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 tabRatio="774" firstSheet="1" activeTab="1"/>
  </bookViews>
  <sheets>
    <sheet name="泡泡国际IP一级分类统计-金额维度" sheetId="10" state="hidden" r:id="rId1"/>
    <sheet name="泡泡国际IP统计-金额维度 深度" sheetId="1" r:id="rId2"/>
    <sheet name="泡泡国际IP统计-SKU维度 宽度" sheetId="6" state="hidden" r:id="rId3"/>
    <sheet name="泡泡国际IP分级统计-金额维度 深度" sheetId="8" state="hidden" r:id="rId4"/>
    <sheet name="泡泡国际IP分级统计-SKU维度 宽度" sheetId="9" state="hidden" r:id="rId5"/>
    <sheet name="泡泡国际品类统计-金额维度 深度" sheetId="18" r:id="rId6"/>
    <sheet name="summary目标渠道值" sheetId="4" state="hidden" r:id="rId7"/>
  </sheets>
  <definedNames>
    <definedName name="_xlnm._FilterDatabase" localSheetId="0" hidden="1">'泡泡国际IP一级分类统计-金额维度'!$A$2:$CI$323</definedName>
    <definedName name="_xlnm._FilterDatabase" localSheetId="1" hidden="1">'泡泡国际IP统计-金额维度 深度'!$A$2:$GD$211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<sst xmlns="http://schemas.openxmlformats.org/spreadsheetml/2006/main" count="1903" uniqueCount="447">
  <si>
    <t>销售业绩金额</t>
  </si>
  <si>
    <t>POP国际</t>
  </si>
  <si>
    <t>亚太区域</t>
  </si>
  <si>
    <t>日本</t>
  </si>
  <si>
    <t>韩国</t>
  </si>
  <si>
    <t>印尼</t>
  </si>
  <si>
    <t>新加坡</t>
  </si>
  <si>
    <t>泰国</t>
  </si>
  <si>
    <t>越南</t>
  </si>
  <si>
    <t>马来西亚</t>
  </si>
  <si>
    <t>新西兰</t>
  </si>
  <si>
    <t>澳大利亚</t>
  </si>
  <si>
    <t>欧洲区域</t>
  </si>
  <si>
    <t>意大利</t>
  </si>
  <si>
    <t>法国</t>
  </si>
  <si>
    <t>英国</t>
  </si>
  <si>
    <t>荷兰</t>
  </si>
  <si>
    <t>西班牙</t>
  </si>
  <si>
    <t>IP</t>
  </si>
  <si>
    <t>商业一级</t>
  </si>
  <si>
    <t>2025-01</t>
  </si>
  <si>
    <t>2025-02</t>
  </si>
  <si>
    <t>2025-03</t>
  </si>
  <si>
    <t>2025-04</t>
  </si>
  <si>
    <t>汇总</t>
  </si>
  <si>
    <t>LABUBU</t>
  </si>
  <si>
    <t>潮流玩具</t>
  </si>
  <si>
    <t>潮流周边</t>
  </si>
  <si>
    <t>毛绒玩具</t>
  </si>
  <si>
    <t>收藏玩具</t>
  </si>
  <si>
    <t>LABUBU 汇总</t>
  </si>
  <si>
    <t>CRYBABY</t>
  </si>
  <si>
    <t>CRYBABY 汇总</t>
  </si>
  <si>
    <t>MOLLY</t>
  </si>
  <si>
    <t>MOLLY 汇总</t>
  </si>
  <si>
    <t>DIMOO</t>
  </si>
  <si>
    <t>DIMOO 汇总</t>
  </si>
  <si>
    <t>SKULLPANDA</t>
  </si>
  <si>
    <t>珠宝首饰</t>
  </si>
  <si>
    <t>SKULLPANDA 汇总</t>
  </si>
  <si>
    <t>HIRONO</t>
  </si>
  <si>
    <t>组合产品</t>
  </si>
  <si>
    <t>HIRONO 汇总</t>
  </si>
  <si>
    <t>DISNEY</t>
  </si>
  <si>
    <t>DISNEY 汇总</t>
  </si>
  <si>
    <t>HACIPUPU</t>
  </si>
  <si>
    <t>HACIPUPU 汇总</t>
  </si>
  <si>
    <t>MIX IP</t>
  </si>
  <si>
    <t>MIX IP 汇总</t>
  </si>
  <si>
    <t>星星人</t>
  </si>
  <si>
    <t>星星人 汇总</t>
  </si>
  <si>
    <t>PUCKY</t>
  </si>
  <si>
    <t>PUCKY 汇总</t>
  </si>
  <si>
    <t>叛桃</t>
  </si>
  <si>
    <t>叛桃 汇总</t>
  </si>
  <si>
    <t>华纳</t>
  </si>
  <si>
    <t>华纳 汇总</t>
  </si>
  <si>
    <t>Nyota</t>
  </si>
  <si>
    <t>Nyota 汇总</t>
  </si>
  <si>
    <t>三丽鸥</t>
  </si>
  <si>
    <t>三丽鸥 汇总</t>
  </si>
  <si>
    <t>PINO JELLY</t>
  </si>
  <si>
    <t>PINO JELLY 汇总</t>
  </si>
  <si>
    <t>英雄联盟</t>
  </si>
  <si>
    <t>英雄联盟 汇总</t>
  </si>
  <si>
    <t>AZURA</t>
  </si>
  <si>
    <t>AZURA 汇总</t>
  </si>
  <si>
    <t>咒术回战</t>
  </si>
  <si>
    <t>咒术回战 汇总</t>
  </si>
  <si>
    <t>鬼灭之刃</t>
  </si>
  <si>
    <t>鬼灭之刃 汇总</t>
  </si>
  <si>
    <t>ZSIGA</t>
  </si>
  <si>
    <t>ZSIGA 汇总</t>
  </si>
  <si>
    <t>KUBO</t>
  </si>
  <si>
    <t>KUBO 汇总</t>
  </si>
  <si>
    <t>火影忍者</t>
  </si>
  <si>
    <t>火影忍者 汇总</t>
  </si>
  <si>
    <t>天线宝宝</t>
  </si>
  <si>
    <t>天线宝宝 汇总</t>
  </si>
  <si>
    <t>爱心熊</t>
  </si>
  <si>
    <t>爱心熊 汇总</t>
  </si>
  <si>
    <t>TinyTiny</t>
  </si>
  <si>
    <t>TinyTiny 汇总</t>
  </si>
  <si>
    <t>海绵宝宝</t>
  </si>
  <si>
    <t>海绵宝宝 汇总</t>
  </si>
  <si>
    <t>芭比</t>
  </si>
  <si>
    <t>芭比 汇总</t>
  </si>
  <si>
    <t>小甜豆</t>
  </si>
  <si>
    <t>小甜豆 汇总</t>
  </si>
  <si>
    <t>泰迪熊</t>
  </si>
  <si>
    <t>泰迪熊 汇总</t>
  </si>
  <si>
    <t>YUKI</t>
  </si>
  <si>
    <t>YUKI 汇总</t>
  </si>
  <si>
    <t>原神</t>
  </si>
  <si>
    <t>原神 汇总</t>
  </si>
  <si>
    <t>CHAKA</t>
  </si>
  <si>
    <t>CHAKA 汇总</t>
  </si>
  <si>
    <t>蜡笔小新</t>
  </si>
  <si>
    <t>蜡笔小新 汇总</t>
  </si>
  <si>
    <t>LOOPY</t>
  </si>
  <si>
    <t>LOOPY 汇总</t>
  </si>
  <si>
    <t>无IP</t>
  </si>
  <si>
    <t>无IP 汇总</t>
  </si>
  <si>
    <t>数码宝贝</t>
  </si>
  <si>
    <t>数码宝贝 汇总</t>
  </si>
  <si>
    <t>INSTINCTOY</t>
  </si>
  <si>
    <t>INSTINCTOY 汇总</t>
  </si>
  <si>
    <t>DUCKOO</t>
  </si>
  <si>
    <t>DUCKOO 汇总</t>
  </si>
  <si>
    <t>POP MART</t>
  </si>
  <si>
    <t>POP MART 汇总</t>
  </si>
  <si>
    <t>间谍过家家</t>
  </si>
  <si>
    <t>间谍过家家 汇总</t>
  </si>
  <si>
    <t>环球</t>
  </si>
  <si>
    <t>环球 汇总</t>
  </si>
  <si>
    <t>Polar</t>
  </si>
  <si>
    <t>Polar 汇总</t>
  </si>
  <si>
    <t>小刘鸭</t>
  </si>
  <si>
    <t>小刘鸭 汇总</t>
  </si>
  <si>
    <t>奥特曼</t>
  </si>
  <si>
    <t>奥特曼 汇总</t>
  </si>
  <si>
    <t>inosoul</t>
  </si>
  <si>
    <t>inosoul 汇总</t>
  </si>
  <si>
    <t>柿子椒熊</t>
  </si>
  <si>
    <t>柿子椒熊 汇总</t>
  </si>
  <si>
    <t>王者荣耀</t>
  </si>
  <si>
    <t>王者荣耀 汇总</t>
  </si>
  <si>
    <t>小马宝莉</t>
  </si>
  <si>
    <t>小马宝莉 汇总</t>
  </si>
  <si>
    <t>变形金刚</t>
  </si>
  <si>
    <t>变形金刚 汇总</t>
  </si>
  <si>
    <t>王嘉尔</t>
  </si>
  <si>
    <t>王嘉尔 汇总</t>
  </si>
  <si>
    <t>柯南</t>
  </si>
  <si>
    <t>柯南 汇总</t>
  </si>
  <si>
    <t>铁臂阿童木</t>
  </si>
  <si>
    <t>铁臂阿童木 汇总</t>
  </si>
  <si>
    <t>樱桃小丸子</t>
  </si>
  <si>
    <t>樱桃小丸子 汇总</t>
  </si>
  <si>
    <t>仙剑奇侠传</t>
  </si>
  <si>
    <t>仙剑奇侠传 汇总</t>
  </si>
  <si>
    <t>魔兽世界</t>
  </si>
  <si>
    <t>魔兽世界 汇总</t>
  </si>
  <si>
    <t>蛋仔派对</t>
  </si>
  <si>
    <t>蛋仔派对 汇总</t>
  </si>
  <si>
    <t>加菲猫</t>
  </si>
  <si>
    <t>加菲猫 汇总</t>
  </si>
  <si>
    <t>时光代理人</t>
  </si>
  <si>
    <t>时光代理人 汇总</t>
  </si>
  <si>
    <t>共鸣车</t>
  </si>
  <si>
    <t>共鸣车 汇总</t>
  </si>
  <si>
    <t>BAZBON</t>
  </si>
  <si>
    <t>BAZBON 汇总</t>
  </si>
  <si>
    <t>LiLiOS</t>
  </si>
  <si>
    <t>LiLiOS 汇总</t>
  </si>
  <si>
    <t>圣斗士星矢</t>
  </si>
  <si>
    <t>圣斗士星矢 汇总</t>
  </si>
  <si>
    <t>JUST A GIRL</t>
  </si>
  <si>
    <t>JUST A GIRL 汇总</t>
  </si>
  <si>
    <t>BUNNY</t>
  </si>
  <si>
    <t>BUNNY 汇总</t>
  </si>
  <si>
    <t>BOBO&amp;COCO</t>
  </si>
  <si>
    <t>BOBO&amp;COCO 汇总</t>
  </si>
  <si>
    <t>OIPIPPI</t>
  </si>
  <si>
    <t>OIPIPPI 汇总</t>
  </si>
  <si>
    <t>跃动青春</t>
  </si>
  <si>
    <t>跃动青春 汇总</t>
  </si>
  <si>
    <t>VITA</t>
  </si>
  <si>
    <t>VITA 汇总</t>
  </si>
  <si>
    <t>小猪佩奇</t>
  </si>
  <si>
    <t>小猪佩奇 汇总</t>
  </si>
  <si>
    <t>山海经</t>
  </si>
  <si>
    <t>山海经 汇总</t>
  </si>
  <si>
    <t>MINICO</t>
  </si>
  <si>
    <t>MINICO 汇总</t>
  </si>
  <si>
    <t>TAPOO</t>
  </si>
  <si>
    <t>TAPOO 汇总</t>
  </si>
  <si>
    <t>福饱饱</t>
  </si>
  <si>
    <t>福饱饱 汇总</t>
  </si>
  <si>
    <t>COOLABO</t>
  </si>
  <si>
    <t>COOLABO 汇总</t>
  </si>
  <si>
    <t>YOKI</t>
  </si>
  <si>
    <t>YOKI 汇总</t>
  </si>
  <si>
    <t>FLABJACKS</t>
  </si>
  <si>
    <t>FLABJACKS 汇总</t>
  </si>
  <si>
    <t>双人成行</t>
  </si>
  <si>
    <t>双人成行 汇总</t>
  </si>
  <si>
    <t>SATYR RORY</t>
  </si>
  <si>
    <t>SATYR RORY 汇总</t>
  </si>
  <si>
    <t>ZOE</t>
  </si>
  <si>
    <t>ZOE 汇总</t>
  </si>
  <si>
    <t>上野阳介</t>
  </si>
  <si>
    <t>上野阳介 汇总</t>
  </si>
  <si>
    <t>GUMMY</t>
  </si>
  <si>
    <t>GUMMY 汇总</t>
  </si>
  <si>
    <t>Trevor Andrew</t>
  </si>
  <si>
    <t>Trevor Andrew 汇总</t>
  </si>
  <si>
    <t>史努比</t>
  </si>
  <si>
    <t>史努比 汇总</t>
  </si>
  <si>
    <t>Hyde</t>
  </si>
  <si>
    <t>Hyde 汇总</t>
  </si>
  <si>
    <t>MOMIJI</t>
  </si>
  <si>
    <t>MOMIJI 汇总</t>
  </si>
  <si>
    <t>HANDS IN FACTORY</t>
  </si>
  <si>
    <t>HANDS IN FACTORY 汇总</t>
  </si>
  <si>
    <t>Green Cow Garden</t>
  </si>
  <si>
    <t>Green Cow Garden 汇总</t>
  </si>
  <si>
    <t>可口可乐</t>
  </si>
  <si>
    <t>可口可乐 汇总</t>
  </si>
  <si>
    <t>非人哉</t>
  </si>
  <si>
    <t>非人哉 汇总</t>
  </si>
  <si>
    <t>光年正传</t>
  </si>
  <si>
    <t>光年正传 汇总</t>
  </si>
  <si>
    <t>MIGO</t>
  </si>
  <si>
    <t>MIGO 汇总</t>
  </si>
  <si>
    <t>009</t>
  </si>
  <si>
    <t>009 汇总</t>
  </si>
  <si>
    <t>CHERRYPIE</t>
  </si>
  <si>
    <t>CHERRYPIE 汇总</t>
  </si>
  <si>
    <t>鲔鱼</t>
  </si>
  <si>
    <t>鲔鱼 汇总</t>
  </si>
  <si>
    <t>MODOLI</t>
  </si>
  <si>
    <t>MODOLI 汇总</t>
  </si>
  <si>
    <t>DearRo</t>
  </si>
  <si>
    <t>DearRo 汇总</t>
  </si>
  <si>
    <t>Flying DongDong</t>
  </si>
  <si>
    <t>Flying DongDong 汇总</t>
  </si>
  <si>
    <t>KENNETH</t>
  </si>
  <si>
    <t>KENNETH 汇总</t>
  </si>
  <si>
    <t>Blythe</t>
  </si>
  <si>
    <t>Blythe 汇总</t>
  </si>
  <si>
    <t>STAYREAL</t>
  </si>
  <si>
    <t>STAYREAL 汇总</t>
  </si>
  <si>
    <t>名侦探柯南</t>
  </si>
  <si>
    <t>名侦探柯南 汇总</t>
  </si>
  <si>
    <t>AVOFRIENDS</t>
  </si>
  <si>
    <t>AVOFRIENDS 汇总</t>
  </si>
  <si>
    <t>一禅小和尚</t>
  </si>
  <si>
    <t>一禅小和尚 汇总</t>
  </si>
  <si>
    <t>九尾狐</t>
  </si>
  <si>
    <t>九尾狐 汇总</t>
  </si>
  <si>
    <t>VIYA DOLL</t>
  </si>
  <si>
    <t>VIYA DOLL 汇总</t>
  </si>
  <si>
    <t>SUSUMI</t>
  </si>
  <si>
    <t>SUSUMI 汇总</t>
  </si>
  <si>
    <t>VIVICAT</t>
  </si>
  <si>
    <t>VIVICAT 汇总</t>
  </si>
  <si>
    <t>阿巳与小铃铛</t>
  </si>
  <si>
    <t>阿巳与小铃铛 汇总</t>
  </si>
  <si>
    <t>北海怪兽</t>
  </si>
  <si>
    <t>北海怪兽 汇总</t>
  </si>
  <si>
    <t>COARSE</t>
  </si>
  <si>
    <t>COARSE 汇总</t>
  </si>
  <si>
    <t>KIWIWI</t>
  </si>
  <si>
    <t>KIWIWI 汇总</t>
  </si>
  <si>
    <t>BIRD MAN</t>
  </si>
  <si>
    <t>BIRD MAN 汇总</t>
  </si>
  <si>
    <t>咕叽</t>
  </si>
  <si>
    <t>咕叽 汇总</t>
  </si>
  <si>
    <t>IXDOLL</t>
  </si>
  <si>
    <t>IXDOLL 汇总</t>
  </si>
  <si>
    <t>LINE FRIENDS</t>
  </si>
  <si>
    <t>LINE FRIENDS 汇总</t>
  </si>
  <si>
    <t>小林家的龙女仆</t>
  </si>
  <si>
    <t>小林家的龙女仆 汇总</t>
  </si>
  <si>
    <t>巴斯奎特</t>
  </si>
  <si>
    <t>巴斯奎特 汇总</t>
  </si>
  <si>
    <t>OKLUNA</t>
  </si>
  <si>
    <t>OKLUNA 汇总</t>
  </si>
  <si>
    <t>姆明</t>
  </si>
  <si>
    <t>姆明 汇总</t>
  </si>
  <si>
    <t>小曲奇</t>
  </si>
  <si>
    <t>小曲奇 汇总</t>
  </si>
  <si>
    <t>穿越火线</t>
  </si>
  <si>
    <t>穿越火线 汇总</t>
  </si>
  <si>
    <t>粉红豹</t>
  </si>
  <si>
    <t>粉红豹 汇总</t>
  </si>
  <si>
    <t>KUMO</t>
  </si>
  <si>
    <t>KUMO 汇总</t>
  </si>
  <si>
    <t>Underverse</t>
  </si>
  <si>
    <t>Underverse 汇总</t>
  </si>
  <si>
    <t>蜜蜂贝蒂</t>
  </si>
  <si>
    <t>蜜蜂贝蒂 汇总</t>
  </si>
  <si>
    <t>PHILIP COLBERT</t>
  </si>
  <si>
    <t>PHILIP COLBERT 汇总</t>
  </si>
  <si>
    <t>汉斯</t>
  </si>
  <si>
    <t>汉斯 汇总</t>
  </si>
  <si>
    <t>KONATSUYA</t>
  </si>
  <si>
    <t>KONATSUYA 汇总</t>
  </si>
  <si>
    <t>鱼化猫</t>
  </si>
  <si>
    <t>鱼化猫 汇总</t>
  </si>
  <si>
    <t>伍六七</t>
  </si>
  <si>
    <t>伍六七 汇总</t>
  </si>
  <si>
    <t>郝朗</t>
  </si>
  <si>
    <t>郝朗 汇总</t>
  </si>
  <si>
    <t>KOUYA</t>
  </si>
  <si>
    <t>KOUYA 汇总</t>
  </si>
  <si>
    <t>光与夜之恋</t>
  </si>
  <si>
    <t>光与夜之恋 汇总</t>
  </si>
  <si>
    <t>阿联酋</t>
  </si>
  <si>
    <t>迪拜</t>
  </si>
  <si>
    <t>菲律宾+文莱</t>
  </si>
  <si>
    <t>卡塔尔</t>
  </si>
  <si>
    <t>亚太电商</t>
  </si>
  <si>
    <t>YOY 2025</t>
  </si>
  <si>
    <t>合计</t>
  </si>
  <si>
    <t>ZIMOMO</t>
  </si>
  <si>
    <t>SNOOPY</t>
  </si>
  <si>
    <t>BIRDMAN</t>
  </si>
  <si>
    <t>GARFIELD</t>
  </si>
  <si>
    <t>HAMS</t>
  </si>
  <si>
    <t>KOOKY</t>
  </si>
  <si>
    <t>SATYR</t>
  </si>
  <si>
    <t>YUMIAO</t>
  </si>
  <si>
    <t>变色龙</t>
  </si>
  <si>
    <t>环太平洋</t>
  </si>
  <si>
    <t>零作</t>
  </si>
  <si>
    <t>明日方舟</t>
  </si>
  <si>
    <t>魔卡少女樱</t>
  </si>
  <si>
    <t>殷越</t>
  </si>
  <si>
    <t>葬送的芙莉莲</t>
  </si>
  <si>
    <t>A仔</t>
  </si>
  <si>
    <t>Coogi&amp;Foody</t>
  </si>
  <si>
    <t>EVA</t>
  </si>
  <si>
    <t>JOJO的奇妙冒险</t>
  </si>
  <si>
    <t>KEY-A</t>
  </si>
  <si>
    <t>Merodi</t>
  </si>
  <si>
    <t>MINIONS</t>
  </si>
  <si>
    <t>ONE PIECE</t>
  </si>
  <si>
    <t>TRANSFORMERS</t>
  </si>
  <si>
    <t>TUTU</t>
  </si>
  <si>
    <t>UPANDA</t>
  </si>
  <si>
    <t>第五人格</t>
  </si>
  <si>
    <t>怪物猎人</t>
  </si>
  <si>
    <t>海德</t>
  </si>
  <si>
    <t>皇室战争</t>
  </si>
  <si>
    <t>假面骑士</t>
  </si>
  <si>
    <t>九尾狐列传</t>
  </si>
  <si>
    <t>绝区零</t>
  </si>
  <si>
    <t>龙珠</t>
  </si>
  <si>
    <t>炉石传说</t>
  </si>
  <si>
    <t>蜜糖</t>
  </si>
  <si>
    <t>哪吒</t>
  </si>
  <si>
    <t>排球少年</t>
  </si>
  <si>
    <t>犬夜叉</t>
  </si>
  <si>
    <t>守望先锋</t>
  </si>
  <si>
    <t>唐宫夜宴</t>
  </si>
  <si>
    <t>银魂</t>
  </si>
  <si>
    <t>芝麻街</t>
  </si>
  <si>
    <t>怪奇物语</t>
  </si>
  <si>
    <t>SUPERTUTU</t>
  </si>
  <si>
    <t>魔法少女小圆</t>
  </si>
  <si>
    <t>Ribo</t>
  </si>
  <si>
    <t>文豪野犬</t>
  </si>
  <si>
    <t>赛博朋克</t>
  </si>
  <si>
    <t>MOKOKO</t>
  </si>
  <si>
    <t>PANTONE</t>
  </si>
  <si>
    <t>KeyA</t>
  </si>
  <si>
    <t>航海王</t>
  </si>
  <si>
    <t>蓝色禁区</t>
  </si>
  <si>
    <t>宝可梦</t>
  </si>
  <si>
    <t>阿童木</t>
  </si>
  <si>
    <t>小肥鱼The ELF</t>
  </si>
  <si>
    <t>家庭教师</t>
  </si>
  <si>
    <t>精灵宝可梦</t>
  </si>
  <si>
    <t>aespa</t>
  </si>
  <si>
    <t>SEVENTEEN</t>
  </si>
  <si>
    <t>角落生物</t>
  </si>
  <si>
    <t>初音未来</t>
  </si>
  <si>
    <t>全职猎人</t>
  </si>
  <si>
    <t>RIIZE</t>
  </si>
  <si>
    <t>TXT</t>
  </si>
  <si>
    <t>蘸酱狗</t>
  </si>
  <si>
    <t>无畏契约</t>
  </si>
  <si>
    <t>索尼克</t>
  </si>
  <si>
    <t>哆啦A梦</t>
  </si>
  <si>
    <t>樱兰高校男公关部</t>
  </si>
  <si>
    <t>RiboDiary</t>
  </si>
  <si>
    <t>Shaun the Sheep</t>
  </si>
  <si>
    <t>IVE</t>
  </si>
  <si>
    <t>ENHYPEN</t>
  </si>
  <si>
    <t>销售业绩金额占比</t>
  </si>
  <si>
    <t>YOY% 2025</t>
  </si>
  <si>
    <t>总计</t>
  </si>
  <si>
    <t>销售SKU数量</t>
  </si>
  <si>
    <t>平均值</t>
  </si>
  <si>
    <t>销售SKU数量占比</t>
  </si>
  <si>
    <t>印度尼西亚</t>
  </si>
  <si>
    <t>月平均占比</t>
  </si>
  <si>
    <t>S+</t>
  </si>
  <si>
    <t>S</t>
  </si>
  <si>
    <t>A</t>
  </si>
  <si>
    <t>B</t>
  </si>
  <si>
    <t>C</t>
  </si>
  <si>
    <t>销售业绩金额（实际达成业绩+DP金额*溢价）</t>
  </si>
  <si>
    <t>商业二级</t>
  </si>
  <si>
    <t>POP BEAN</t>
  </si>
  <si>
    <t>场景玩具</t>
  </si>
  <si>
    <t>大号</t>
  </si>
  <si>
    <t>吊卡</t>
  </si>
  <si>
    <t>积木</t>
  </si>
  <si>
    <t>可动人偶</t>
  </si>
  <si>
    <t>硬线公仔盲盒</t>
  </si>
  <si>
    <t>外采</t>
  </si>
  <si>
    <t>载具模型</t>
  </si>
  <si>
    <t>手办模型</t>
  </si>
  <si>
    <t>桌游卡牌</t>
  </si>
  <si>
    <t>潮流玩具 汇总</t>
  </si>
  <si>
    <t>3C及周边</t>
  </si>
  <si>
    <t>包品</t>
  </si>
  <si>
    <t>陈列展示</t>
  </si>
  <si>
    <t>服鞋配饰</t>
  </si>
  <si>
    <t>挂件挂饰</t>
  </si>
  <si>
    <t>家居生活</t>
  </si>
  <si>
    <t>礼品包装</t>
  </si>
  <si>
    <t>萌粒周边</t>
  </si>
  <si>
    <t>宠物周边</t>
  </si>
  <si>
    <t>香氛类</t>
  </si>
  <si>
    <t>文创</t>
  </si>
  <si>
    <t>潮流周边 汇总</t>
  </si>
  <si>
    <t>软脸毛绒玩偶</t>
  </si>
  <si>
    <t>硬脸毛绒玩偶</t>
  </si>
  <si>
    <t>毛绒玩具 汇总</t>
  </si>
  <si>
    <t>MEGA</t>
  </si>
  <si>
    <t>MEGA 周边</t>
  </si>
  <si>
    <t>外部收藏</t>
  </si>
  <si>
    <t>收藏玩具 汇总</t>
  </si>
  <si>
    <t>首饰</t>
  </si>
  <si>
    <t>珠宝首饰 汇总</t>
  </si>
  <si>
    <t>定制礼盒</t>
  </si>
  <si>
    <t>福袋</t>
  </si>
  <si>
    <t>组合产品 汇总</t>
  </si>
  <si>
    <t>泡泡中国</t>
  </si>
  <si>
    <t>泡泡国际</t>
  </si>
  <si>
    <t>东亚</t>
  </si>
  <si>
    <t>澳门</t>
  </si>
  <si>
    <t>欧洲</t>
  </si>
  <si>
    <t>东南亚</t>
  </si>
  <si>
    <t>澳新</t>
  </si>
  <si>
    <t>盲盒手办</t>
  </si>
  <si>
    <t>搪胶毛绒</t>
  </si>
  <si>
    <t>毛绒玩偶</t>
  </si>
  <si>
    <t>棉花娃娃</t>
  </si>
  <si>
    <t>娃衣</t>
  </si>
  <si>
    <t>运营资财</t>
  </si>
  <si>
    <t>样品道具</t>
  </si>
  <si>
    <t>资财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</si>
</sst>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yyyy\-mm"/>
    <numFmt numFmtId="178" formatCode="_ * #,##0_ ;_ * \-#,##0_ ;_ * &quot;-&quot;??_ ;_ @_ "/>
    <numFmt numFmtId="179" formatCode="_ * #,##0.00000000_ ;_ * \-#,##0.00000000_ ;_ * &quot;-&quot;??_ ;_ @_ "/>
  </numFmts>
  <fonts count="35">
    <font>
      <sz val="11"/>
      <color indexed="8"/>
      <name val="宋体"/>
      <charset val="134"/>
      <scheme val="minor"/>
    </font>
    <font>
      <sz val="11"/>
      <color indexed="8"/>
      <name val="微软雅黑"/>
      <charset val="134"/>
    </font>
    <font>
      <b/>
      <sz val="9.5"/>
      <color theme="0"/>
      <name val="微软雅黑"/>
      <charset val="134"/>
    </font>
    <font>
      <sz val="9.5"/>
      <color indexed="8"/>
      <name val="微软雅黑"/>
      <charset val="134"/>
    </font>
    <font>
      <b/>
      <sz val="9.5"/>
      <color rgb="FFFF0000"/>
      <name val="微软雅黑"/>
      <charset val="134"/>
    </font>
    <font>
      <sz val="11"/>
      <color theme="0"/>
      <name val="微软雅黑"/>
      <charset val="134"/>
    </font>
    <font>
      <b/>
      <sz val="11"/>
      <color indexed="8"/>
      <name val="微软雅黑"/>
      <charset val="134"/>
    </font>
    <font>
      <b/>
      <sz val="11"/>
      <name val="微软雅黑"/>
      <charset val="134"/>
    </font>
    <font>
      <b/>
      <sz val="11"/>
      <color theme="0"/>
      <name val="微软雅黑"/>
      <charset val="134"/>
    </font>
    <font>
      <b/>
      <sz val="11"/>
      <color rgb="FFFFFFFF"/>
      <name val="微软雅黑"/>
      <charset val="134"/>
    </font>
    <font>
      <b/>
      <sz val="10"/>
      <color indexed="8"/>
      <name val="微软雅黑"/>
      <charset val="134"/>
    </font>
    <font>
      <sz val="10"/>
      <color indexed="8"/>
      <name val="微软雅黑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76B7B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1F7F7"/>
        <bgColor indexed="64"/>
      </patternFill>
    </fill>
    <fill>
      <patternFill patternType="solid">
        <fgColor rgb="FFF8FBFB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DCEC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DB1B1"/>
        <bgColor indexed="64"/>
      </patternFill>
    </fill>
    <fill>
      <patternFill patternType="solid">
        <fgColor rgb="FFACD3D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16" borderId="2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7" borderId="27" applyNumberFormat="0" applyAlignment="0" applyProtection="0">
      <alignment vertical="center"/>
    </xf>
    <xf numFmtId="0" fontId="24" fillId="18" borderId="28" applyNumberFormat="0" applyAlignment="0" applyProtection="0">
      <alignment vertical="center"/>
    </xf>
    <xf numFmtId="0" fontId="25" fillId="18" borderId="27" applyNumberFormat="0" applyAlignment="0" applyProtection="0">
      <alignment vertical="center"/>
    </xf>
    <xf numFmtId="0" fontId="26" fillId="19" borderId="29" applyNumberFormat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0" borderId="31" applyNumberFormat="0" applyFill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4" fillId="0" borderId="0" applyNumberFormat="0" applyFont="0" applyFill="0" applyBorder="0" applyProtection="0"/>
    <xf numFmtId="0" fontId="34" fillId="0" borderId="0" applyNumberFormat="0" applyFont="0" applyFill="0" applyBorder="0" applyProtection="0"/>
    <xf numFmtId="0" fontId="14" fillId="0" borderId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2" fillId="4" borderId="2" xfId="0" applyFont="1" applyFill="1" applyBorder="1">
      <alignment vertical="center"/>
    </xf>
    <xf numFmtId="0" fontId="2" fillId="5" borderId="2" xfId="0" applyFont="1" applyFill="1" applyBorder="1">
      <alignment vertical="center"/>
    </xf>
    <xf numFmtId="0" fontId="3" fillId="6" borderId="3" xfId="0" applyFont="1" applyFill="1" applyBorder="1">
      <alignment vertical="center"/>
    </xf>
    <xf numFmtId="0" fontId="3" fillId="6" borderId="4" xfId="0" applyFont="1" applyFill="1" applyBorder="1">
      <alignment vertical="center"/>
    </xf>
    <xf numFmtId="9" fontId="1" fillId="6" borderId="4" xfId="3" applyFont="1" applyFill="1" applyBorder="1" applyAlignment="1">
      <alignment horizontal="right" vertical="center"/>
    </xf>
    <xf numFmtId="9" fontId="3" fillId="6" borderId="4" xfId="3" applyFont="1" applyFill="1" applyBorder="1" applyAlignment="1">
      <alignment vertical="center"/>
    </xf>
    <xf numFmtId="0" fontId="3" fillId="7" borderId="4" xfId="0" applyFont="1" applyFill="1" applyBorder="1">
      <alignment vertical="center"/>
    </xf>
    <xf numFmtId="9" fontId="1" fillId="7" borderId="4" xfId="3" applyFont="1" applyFill="1" applyBorder="1" applyAlignment="1">
      <alignment horizontal="right" vertical="center"/>
    </xf>
    <xf numFmtId="9" fontId="3" fillId="7" borderId="4" xfId="3" applyFont="1" applyFill="1" applyBorder="1" applyAlignment="1">
      <alignment vertical="center"/>
    </xf>
    <xf numFmtId="9" fontId="1" fillId="8" borderId="4" xfId="3" applyFont="1" applyFill="1" applyBorder="1" applyAlignment="1">
      <alignment horizontal="right" vertical="center"/>
    </xf>
    <xf numFmtId="9" fontId="3" fillId="8" borderId="4" xfId="3" applyFont="1" applyFill="1" applyBorder="1" applyAlignment="1">
      <alignment vertical="center"/>
    </xf>
    <xf numFmtId="0" fontId="3" fillId="7" borderId="3" xfId="0" applyFont="1" applyFill="1" applyBorder="1">
      <alignment vertical="center"/>
    </xf>
    <xf numFmtId="0" fontId="3" fillId="0" borderId="4" xfId="0" applyFont="1" applyBorder="1">
      <alignment vertical="center"/>
    </xf>
    <xf numFmtId="9" fontId="1" fillId="8" borderId="5" xfId="3" applyFont="1" applyFill="1" applyBorder="1" applyAlignment="1">
      <alignment horizontal="right" vertical="center"/>
    </xf>
    <xf numFmtId="0" fontId="3" fillId="7" borderId="6" xfId="0" applyFont="1" applyFill="1" applyBorder="1">
      <alignment vertical="center"/>
    </xf>
    <xf numFmtId="0" fontId="3" fillId="6" borderId="7" xfId="0" applyFont="1" applyFill="1" applyBorder="1">
      <alignment vertical="center"/>
    </xf>
    <xf numFmtId="176" fontId="3" fillId="6" borderId="7" xfId="3" applyNumberFormat="1" applyFont="1" applyFill="1" applyBorder="1" applyAlignment="1">
      <alignment vertical="center"/>
    </xf>
    <xf numFmtId="176" fontId="3" fillId="7" borderId="4" xfId="3" applyNumberFormat="1" applyFont="1" applyFill="1" applyBorder="1" applyAlignment="1">
      <alignment vertical="center"/>
    </xf>
    <xf numFmtId="176" fontId="3" fillId="6" borderId="4" xfId="3" applyNumberFormat="1" applyFont="1" applyFill="1" applyBorder="1" applyAlignment="1">
      <alignment vertical="center"/>
    </xf>
    <xf numFmtId="0" fontId="3" fillId="7" borderId="8" xfId="0" applyFont="1" applyFill="1" applyBorder="1">
      <alignment vertical="center"/>
    </xf>
    <xf numFmtId="0" fontId="3" fillId="9" borderId="5" xfId="0" applyFont="1" applyFill="1" applyBorder="1">
      <alignment vertical="center"/>
    </xf>
    <xf numFmtId="9" fontId="1" fillId="10" borderId="5" xfId="3" applyFont="1" applyFill="1" applyBorder="1" applyAlignment="1">
      <alignment horizontal="right" vertical="center"/>
    </xf>
    <xf numFmtId="9" fontId="4" fillId="8" borderId="5" xfId="3" applyFont="1" applyFill="1" applyBorder="1" applyAlignment="1">
      <alignment vertical="center"/>
    </xf>
    <xf numFmtId="9" fontId="4" fillId="11" borderId="5" xfId="3" applyFont="1" applyFill="1" applyBorder="1" applyAlignment="1">
      <alignment vertical="center"/>
    </xf>
    <xf numFmtId="9" fontId="1" fillId="12" borderId="5" xfId="3" applyFont="1" applyFill="1" applyBorder="1" applyAlignment="1">
      <alignment horizontal="right" vertical="center"/>
    </xf>
    <xf numFmtId="9" fontId="3" fillId="9" borderId="4" xfId="3" applyFont="1" applyFill="1" applyBorder="1" applyAlignment="1">
      <alignment vertical="center"/>
    </xf>
    <xf numFmtId="0" fontId="3" fillId="13" borderId="9" xfId="0" applyFont="1" applyFill="1" applyBorder="1">
      <alignment vertical="center"/>
    </xf>
    <xf numFmtId="0" fontId="3" fillId="13" borderId="10" xfId="0" applyFont="1" applyFill="1" applyBorder="1">
      <alignment vertical="center"/>
    </xf>
    <xf numFmtId="9" fontId="1" fillId="13" borderId="10" xfId="3" applyFont="1" applyFill="1" applyBorder="1" applyAlignment="1">
      <alignment horizontal="right" vertical="center"/>
    </xf>
    <xf numFmtId="9" fontId="3" fillId="13" borderId="10" xfId="3" applyFont="1" applyFill="1" applyBorder="1" applyAlignment="1">
      <alignment vertical="center"/>
    </xf>
    <xf numFmtId="0" fontId="2" fillId="2" borderId="11" xfId="0" applyFont="1" applyFill="1" applyBorder="1">
      <alignment vertical="center"/>
    </xf>
    <xf numFmtId="0" fontId="3" fillId="6" borderId="1" xfId="0" applyFont="1" applyFill="1" applyBorder="1">
      <alignment vertical="center"/>
    </xf>
    <xf numFmtId="9" fontId="3" fillId="6" borderId="11" xfId="3" applyFont="1" applyFill="1" applyBorder="1" applyAlignment="1">
      <alignment vertical="center"/>
    </xf>
    <xf numFmtId="9" fontId="3" fillId="6" borderId="12" xfId="3" applyFont="1" applyFill="1" applyBorder="1" applyAlignment="1">
      <alignment vertical="center"/>
    </xf>
    <xf numFmtId="9" fontId="3" fillId="6" borderId="2" xfId="3" applyFont="1" applyFill="1" applyBorder="1" applyAlignment="1">
      <alignment vertical="center"/>
    </xf>
    <xf numFmtId="9" fontId="3" fillId="6" borderId="0" xfId="3" applyFont="1" applyFill="1" applyBorder="1" applyAlignment="1">
      <alignment vertical="center"/>
    </xf>
    <xf numFmtId="9" fontId="3" fillId="7" borderId="13" xfId="3" applyFont="1" applyFill="1" applyBorder="1" applyAlignment="1">
      <alignment vertical="center"/>
    </xf>
    <xf numFmtId="9" fontId="3" fillId="6" borderId="13" xfId="3" applyFont="1" applyFill="1" applyBorder="1" applyAlignment="1">
      <alignment vertical="center"/>
    </xf>
    <xf numFmtId="9" fontId="3" fillId="8" borderId="13" xfId="3" applyFont="1" applyFill="1" applyBorder="1" applyAlignment="1">
      <alignment vertical="center"/>
    </xf>
    <xf numFmtId="0" fontId="3" fillId="6" borderId="14" xfId="0" applyFont="1" applyFill="1" applyBorder="1">
      <alignment vertical="center"/>
    </xf>
    <xf numFmtId="176" fontId="3" fillId="6" borderId="15" xfId="3" applyNumberFormat="1" applyFont="1" applyFill="1" applyBorder="1" applyAlignment="1">
      <alignment vertical="center"/>
    </xf>
    <xf numFmtId="0" fontId="3" fillId="7" borderId="0" xfId="0" applyFont="1" applyFill="1">
      <alignment vertical="center"/>
    </xf>
    <xf numFmtId="176" fontId="3" fillId="7" borderId="13" xfId="3" applyNumberFormat="1" applyFont="1" applyFill="1" applyBorder="1" applyAlignment="1">
      <alignment vertical="center"/>
    </xf>
    <xf numFmtId="0" fontId="3" fillId="6" borderId="0" xfId="0" applyFont="1" applyFill="1">
      <alignment vertical="center"/>
    </xf>
    <xf numFmtId="176" fontId="3" fillId="6" borderId="13" xfId="3" applyNumberFormat="1" applyFont="1" applyFill="1" applyBorder="1" applyAlignment="1">
      <alignment vertical="center"/>
    </xf>
    <xf numFmtId="0" fontId="3" fillId="9" borderId="16" xfId="0" applyFont="1" applyFill="1" applyBorder="1">
      <alignment vertical="center"/>
    </xf>
    <xf numFmtId="9" fontId="4" fillId="8" borderId="17" xfId="3" applyFont="1" applyFill="1" applyBorder="1" applyAlignment="1">
      <alignment vertical="center"/>
    </xf>
    <xf numFmtId="9" fontId="3" fillId="13" borderId="18" xfId="3" applyFont="1" applyFill="1" applyBorder="1" applyAlignment="1">
      <alignment vertical="center"/>
    </xf>
    <xf numFmtId="9" fontId="3" fillId="13" borderId="19" xfId="3" applyFont="1" applyFill="1" applyBorder="1" applyAlignment="1">
      <alignment vertical="center"/>
    </xf>
    <xf numFmtId="9" fontId="1" fillId="6" borderId="0" xfId="3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1" fillId="0" borderId="3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4" xfId="0" applyFont="1" applyBorder="1">
      <alignment vertical="center"/>
    </xf>
    <xf numFmtId="0" fontId="7" fillId="0" borderId="11" xfId="0" applyFont="1" applyBorder="1" applyAlignment="1">
      <alignment vertical="center"/>
    </xf>
    <xf numFmtId="0" fontId="8" fillId="4" borderId="11" xfId="0" applyFont="1" applyFill="1" applyBorder="1" applyAlignment="1">
      <alignment horizontal="centerContinuous" vertical="center"/>
    </xf>
    <xf numFmtId="0" fontId="8" fillId="4" borderId="2" xfId="0" applyFont="1" applyFill="1" applyBorder="1" applyAlignment="1">
      <alignment horizontal="centerContinuous" vertical="center"/>
    </xf>
    <xf numFmtId="0" fontId="5" fillId="2" borderId="11" xfId="0" applyFont="1" applyFill="1" applyBorder="1" applyAlignment="1">
      <alignment horizontal="centerContinuous" vertical="center"/>
    </xf>
    <xf numFmtId="0" fontId="5" fillId="2" borderId="2" xfId="0" applyFont="1" applyFill="1" applyBorder="1" applyAlignment="1">
      <alignment horizontal="centerContinuous" vertical="center"/>
    </xf>
    <xf numFmtId="0" fontId="5" fillId="2" borderId="1" xfId="0" applyFont="1" applyFill="1" applyBorder="1" applyAlignment="1">
      <alignment horizontal="centerContinuous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177" fontId="8" fillId="4" borderId="11" xfId="0" applyNumberFormat="1" applyFont="1" applyFill="1" applyBorder="1" applyAlignment="1">
      <alignment horizontal="center" vertical="center"/>
    </xf>
    <xf numFmtId="177" fontId="8" fillId="4" borderId="2" xfId="0" applyNumberFormat="1" applyFont="1" applyFill="1" applyBorder="1" applyAlignment="1">
      <alignment horizontal="center" vertical="center"/>
    </xf>
    <xf numFmtId="177" fontId="5" fillId="2" borderId="0" xfId="0" applyNumberFormat="1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177" fontId="5" fillId="2" borderId="3" xfId="0" applyNumberFormat="1" applyFont="1" applyFill="1" applyBorder="1" applyAlignment="1">
      <alignment horizontal="center" vertical="center"/>
    </xf>
    <xf numFmtId="177" fontId="5" fillId="2" borderId="0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center"/>
    </xf>
    <xf numFmtId="178" fontId="1" fillId="6" borderId="12" xfId="1" applyNumberFormat="1" applyFont="1" applyFill="1" applyBorder="1" applyAlignment="1">
      <alignment horizontal="left" vertical="center"/>
    </xf>
    <xf numFmtId="178" fontId="1" fillId="6" borderId="11" xfId="1" applyNumberFormat="1" applyFont="1" applyFill="1" applyBorder="1" applyAlignment="1">
      <alignment horizontal="right" vertical="center"/>
    </xf>
    <xf numFmtId="178" fontId="1" fillId="6" borderId="2" xfId="1" applyNumberFormat="1" applyFont="1" applyFill="1" applyBorder="1" applyAlignment="1">
      <alignment horizontal="right" vertical="center"/>
    </xf>
    <xf numFmtId="178" fontId="1" fillId="6" borderId="1" xfId="1" applyNumberFormat="1" applyFont="1" applyFill="1" applyBorder="1" applyAlignment="1">
      <alignment horizontal="right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left" vertical="center"/>
    </xf>
    <xf numFmtId="178" fontId="1" fillId="6" borderId="13" xfId="1" applyNumberFormat="1" applyFont="1" applyFill="1" applyBorder="1" applyAlignment="1">
      <alignment horizontal="left" vertical="center"/>
    </xf>
    <xf numFmtId="178" fontId="1" fillId="6" borderId="0" xfId="1" applyNumberFormat="1" applyFont="1" applyFill="1" applyBorder="1" applyAlignment="1">
      <alignment horizontal="right" vertical="center"/>
    </xf>
    <xf numFmtId="178" fontId="1" fillId="6" borderId="4" xfId="1" applyNumberFormat="1" applyFont="1" applyFill="1" applyBorder="1" applyAlignment="1">
      <alignment horizontal="right" vertical="center"/>
    </xf>
    <xf numFmtId="178" fontId="1" fillId="6" borderId="3" xfId="1" applyNumberFormat="1" applyFont="1" applyFill="1" applyBorder="1" applyAlignment="1">
      <alignment horizontal="right" vertical="center"/>
    </xf>
    <xf numFmtId="0" fontId="6" fillId="6" borderId="9" xfId="0" applyFont="1" applyFill="1" applyBorder="1" applyAlignment="1">
      <alignment horizontal="centerContinuous" vertical="center"/>
    </xf>
    <xf numFmtId="0" fontId="6" fillId="6" borderId="10" xfId="0" applyFont="1" applyFill="1" applyBorder="1" applyAlignment="1">
      <alignment horizontal="centerContinuous" vertical="center"/>
    </xf>
    <xf numFmtId="178" fontId="6" fillId="6" borderId="19" xfId="1" applyNumberFormat="1" applyFont="1" applyFill="1" applyBorder="1" applyAlignment="1">
      <alignment horizontal="centerContinuous" vertical="center"/>
    </xf>
    <xf numFmtId="178" fontId="6" fillId="6" borderId="18" xfId="1" applyNumberFormat="1" applyFont="1" applyFill="1" applyBorder="1" applyAlignment="1">
      <alignment horizontal="right" vertical="center"/>
    </xf>
    <xf numFmtId="178" fontId="6" fillId="6" borderId="10" xfId="1" applyNumberFormat="1" applyFont="1" applyFill="1" applyBorder="1" applyAlignment="1">
      <alignment horizontal="right" vertical="center"/>
    </xf>
    <xf numFmtId="178" fontId="6" fillId="6" borderId="9" xfId="1" applyNumberFormat="1" applyFont="1" applyFill="1" applyBorder="1" applyAlignment="1">
      <alignment horizontal="right" vertical="center"/>
    </xf>
    <xf numFmtId="0" fontId="6" fillId="0" borderId="9" xfId="0" applyFont="1" applyBorder="1" applyAlignment="1">
      <alignment horizontal="centerContinuous" vertical="center"/>
    </xf>
    <xf numFmtId="0" fontId="6" fillId="0" borderId="10" xfId="0" applyFont="1" applyBorder="1" applyAlignment="1">
      <alignment horizontal="centerContinuous" vertical="center"/>
    </xf>
    <xf numFmtId="178" fontId="6" fillId="0" borderId="19" xfId="1" applyNumberFormat="1" applyFont="1" applyBorder="1" applyAlignment="1">
      <alignment horizontal="centerContinuous" vertical="center"/>
    </xf>
    <xf numFmtId="178" fontId="6" fillId="13" borderId="18" xfId="1" applyNumberFormat="1" applyFont="1" applyFill="1" applyBorder="1" applyAlignment="1">
      <alignment horizontal="right" vertical="center"/>
    </xf>
    <xf numFmtId="178" fontId="6" fillId="13" borderId="10" xfId="1" applyNumberFormat="1" applyFont="1" applyFill="1" applyBorder="1" applyAlignment="1">
      <alignment horizontal="right" vertical="center"/>
    </xf>
    <xf numFmtId="178" fontId="6" fillId="13" borderId="9" xfId="1" applyNumberFormat="1" applyFont="1" applyFill="1" applyBorder="1" applyAlignment="1">
      <alignment horizontal="right" vertical="center"/>
    </xf>
    <xf numFmtId="178" fontId="1" fillId="0" borderId="0" xfId="1" applyNumberFormat="1" applyFont="1">
      <alignment vertical="center"/>
    </xf>
    <xf numFmtId="178" fontId="1" fillId="0" borderId="0" xfId="1" applyNumberFormat="1" applyFont="1" applyBorder="1">
      <alignment vertical="center"/>
    </xf>
    <xf numFmtId="178" fontId="1" fillId="0" borderId="3" xfId="1" applyNumberFormat="1" applyFont="1" applyBorder="1">
      <alignment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left" vertical="center"/>
    </xf>
    <xf numFmtId="9" fontId="1" fillId="6" borderId="12" xfId="3" applyFont="1" applyFill="1" applyBorder="1" applyAlignment="1">
      <alignment horizontal="right" vertical="center"/>
    </xf>
    <xf numFmtId="9" fontId="1" fillId="6" borderId="11" xfId="3" applyFont="1" applyFill="1" applyBorder="1" applyAlignment="1">
      <alignment horizontal="right" vertical="center"/>
    </xf>
    <xf numFmtId="9" fontId="1" fillId="6" borderId="2" xfId="3" applyFont="1" applyFill="1" applyBorder="1" applyAlignment="1">
      <alignment horizontal="right" vertical="center"/>
    </xf>
    <xf numFmtId="9" fontId="1" fillId="6" borderId="1" xfId="3" applyFont="1" applyFill="1" applyBorder="1" applyAlignment="1">
      <alignment horizontal="right" vertical="center"/>
    </xf>
    <xf numFmtId="0" fontId="6" fillId="6" borderId="3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left" vertical="center"/>
    </xf>
    <xf numFmtId="9" fontId="1" fillId="6" borderId="13" xfId="3" applyFont="1" applyFill="1" applyBorder="1" applyAlignment="1">
      <alignment horizontal="right" vertical="center"/>
    </xf>
    <xf numFmtId="9" fontId="1" fillId="6" borderId="0" xfId="3" applyFont="1" applyFill="1" applyBorder="1" applyAlignment="1">
      <alignment horizontal="right" vertical="center"/>
    </xf>
    <xf numFmtId="9" fontId="1" fillId="6" borderId="3" xfId="3" applyFont="1" applyFill="1" applyBorder="1" applyAlignment="1">
      <alignment horizontal="right" vertical="center"/>
    </xf>
    <xf numFmtId="0" fontId="6" fillId="6" borderId="18" xfId="0" applyFont="1" applyFill="1" applyBorder="1" applyAlignment="1">
      <alignment horizontal="centerContinuous" vertical="center"/>
    </xf>
    <xf numFmtId="9" fontId="6" fillId="6" borderId="19" xfId="3" applyFont="1" applyFill="1" applyBorder="1" applyAlignment="1">
      <alignment horizontal="right" vertical="center"/>
    </xf>
    <xf numFmtId="9" fontId="6" fillId="6" borderId="18" xfId="3" applyFont="1" applyFill="1" applyBorder="1" applyAlignment="1">
      <alignment horizontal="right" vertical="center"/>
    </xf>
    <xf numFmtId="9" fontId="6" fillId="6" borderId="10" xfId="3" applyFont="1" applyFill="1" applyBorder="1" applyAlignment="1">
      <alignment horizontal="right" vertical="center"/>
    </xf>
    <xf numFmtId="9" fontId="6" fillId="6" borderId="9" xfId="3" applyFont="1" applyFill="1" applyBorder="1" applyAlignment="1">
      <alignment horizontal="right" vertical="center"/>
    </xf>
    <xf numFmtId="0" fontId="6" fillId="0" borderId="18" xfId="0" applyFont="1" applyBorder="1" applyAlignment="1">
      <alignment horizontal="centerContinuous" vertical="center"/>
    </xf>
    <xf numFmtId="9" fontId="6" fillId="0" borderId="19" xfId="3" applyFont="1" applyBorder="1" applyAlignment="1">
      <alignment horizontal="right" vertical="center"/>
    </xf>
    <xf numFmtId="9" fontId="1" fillId="13" borderId="18" xfId="3" applyFont="1" applyFill="1" applyBorder="1" applyAlignment="1">
      <alignment horizontal="right" vertical="center"/>
    </xf>
    <xf numFmtId="9" fontId="1" fillId="13" borderId="9" xfId="3" applyFont="1" applyFill="1" applyBorder="1" applyAlignment="1">
      <alignment horizontal="right" vertical="center"/>
    </xf>
    <xf numFmtId="179" fontId="1" fillId="0" borderId="0" xfId="1" applyNumberFormat="1" applyFont="1">
      <alignment vertical="center"/>
    </xf>
    <xf numFmtId="178" fontId="1" fillId="0" borderId="4" xfId="1" applyNumberFormat="1" applyFont="1" applyBorder="1">
      <alignment vertical="center"/>
    </xf>
    <xf numFmtId="0" fontId="8" fillId="3" borderId="11" xfId="0" applyFont="1" applyFill="1" applyBorder="1" applyAlignment="1">
      <alignment horizontal="centerContinuous" vertical="center"/>
    </xf>
    <xf numFmtId="0" fontId="8" fillId="3" borderId="2" xfId="0" applyFont="1" applyFill="1" applyBorder="1" applyAlignment="1">
      <alignment horizontal="centerContinuous" vertical="center"/>
    </xf>
    <xf numFmtId="0" fontId="8" fillId="2" borderId="4" xfId="0" applyFont="1" applyFill="1" applyBorder="1" applyAlignment="1">
      <alignment horizontal="center" vertical="center"/>
    </xf>
    <xf numFmtId="177" fontId="8" fillId="3" borderId="0" xfId="0" applyNumberFormat="1" applyFont="1" applyFill="1" applyAlignment="1">
      <alignment horizontal="center" vertical="center"/>
    </xf>
    <xf numFmtId="177" fontId="8" fillId="3" borderId="4" xfId="0" applyNumberFormat="1" applyFont="1" applyFill="1" applyBorder="1" applyAlignment="1">
      <alignment horizontal="center" vertical="center"/>
    </xf>
    <xf numFmtId="177" fontId="8" fillId="4" borderId="21" xfId="0" applyNumberFormat="1" applyFont="1" applyFill="1" applyBorder="1" applyAlignment="1">
      <alignment horizontal="center" vertical="center"/>
    </xf>
    <xf numFmtId="177" fontId="8" fillId="4" borderId="23" xfId="0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/>
    </xf>
    <xf numFmtId="178" fontId="1" fillId="6" borderId="0" xfId="1" applyNumberFormat="1" applyFont="1" applyFill="1" applyAlignment="1">
      <alignment horizontal="right" vertical="center"/>
    </xf>
    <xf numFmtId="0" fontId="6" fillId="0" borderId="10" xfId="0" applyFont="1" applyBorder="1">
      <alignment vertical="center"/>
    </xf>
    <xf numFmtId="178" fontId="1" fillId="13" borderId="18" xfId="1" applyNumberFormat="1" applyFont="1" applyFill="1" applyBorder="1" applyAlignment="1">
      <alignment horizontal="right" vertical="center"/>
    </xf>
    <xf numFmtId="178" fontId="1" fillId="13" borderId="10" xfId="1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177" fontId="8" fillId="3" borderId="18" xfId="0" applyNumberFormat="1" applyFont="1" applyFill="1" applyBorder="1" applyAlignment="1">
      <alignment horizontal="center" vertical="center"/>
    </xf>
    <xf numFmtId="9" fontId="1" fillId="6" borderId="0" xfId="3" applyFont="1" applyFill="1" applyAlignment="1">
      <alignment horizontal="right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6" fillId="0" borderId="18" xfId="0" applyFont="1" applyBorder="1">
      <alignment vertical="center"/>
    </xf>
    <xf numFmtId="0" fontId="5" fillId="2" borderId="12" xfId="0" applyFont="1" applyFill="1" applyBorder="1" applyAlignment="1">
      <alignment horizontal="centerContinuous" vertical="center"/>
    </xf>
    <xf numFmtId="0" fontId="5" fillId="2" borderId="13" xfId="0" applyFont="1" applyFill="1" applyBorder="1" applyAlignment="1">
      <alignment horizontal="center" vertical="center"/>
    </xf>
    <xf numFmtId="178" fontId="6" fillId="6" borderId="13" xfId="1" applyNumberFormat="1" applyFont="1" applyFill="1" applyBorder="1" applyAlignment="1">
      <alignment horizontal="left" vertical="center"/>
    </xf>
    <xf numFmtId="178" fontId="1" fillId="6" borderId="13" xfId="1" applyNumberFormat="1" applyFont="1" applyFill="1" applyBorder="1" applyAlignment="1">
      <alignment horizontal="right" vertical="center"/>
    </xf>
    <xf numFmtId="178" fontId="1" fillId="0" borderId="0" xfId="0" applyNumberFormat="1" applyFont="1">
      <alignment vertical="center"/>
    </xf>
    <xf numFmtId="178" fontId="6" fillId="0" borderId="19" xfId="1" applyNumberFormat="1" applyFont="1" applyBorder="1">
      <alignment vertical="center"/>
    </xf>
    <xf numFmtId="178" fontId="6" fillId="13" borderId="19" xfId="1" applyNumberFormat="1" applyFont="1" applyFill="1" applyBorder="1" applyAlignment="1">
      <alignment horizontal="right" vertical="center"/>
    </xf>
    <xf numFmtId="178" fontId="6" fillId="13" borderId="4" xfId="1" applyNumberFormat="1" applyFont="1" applyFill="1" applyBorder="1" applyAlignment="1">
      <alignment horizontal="right" vertical="center"/>
    </xf>
    <xf numFmtId="0" fontId="1" fillId="0" borderId="13" xfId="0" applyFont="1" applyBorder="1">
      <alignment vertical="center"/>
    </xf>
    <xf numFmtId="0" fontId="1" fillId="0" borderId="22" xfId="0" applyFont="1" applyBorder="1">
      <alignment vertical="center"/>
    </xf>
    <xf numFmtId="0" fontId="5" fillId="2" borderId="4" xfId="0" applyFont="1" applyFill="1" applyBorder="1" applyAlignment="1">
      <alignment horizontal="centerContinuous" vertical="center"/>
    </xf>
    <xf numFmtId="9" fontId="6" fillId="6" borderId="13" xfId="3" applyFont="1" applyFill="1" applyBorder="1" applyAlignment="1">
      <alignment horizontal="right" vertical="center"/>
    </xf>
    <xf numFmtId="9" fontId="1" fillId="13" borderId="19" xfId="3" applyFont="1" applyFill="1" applyBorder="1" applyAlignment="1">
      <alignment horizontal="right" vertical="center"/>
    </xf>
    <xf numFmtId="9" fontId="1" fillId="13" borderId="4" xfId="3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0" fillId="0" borderId="1" xfId="0" applyFont="1" applyBorder="1">
      <alignment vertical="center"/>
    </xf>
    <xf numFmtId="0" fontId="10" fillId="0" borderId="2" xfId="0" applyFont="1" applyBorder="1">
      <alignment vertical="center"/>
    </xf>
    <xf numFmtId="0" fontId="10" fillId="11" borderId="1" xfId="0" applyFont="1" applyFill="1" applyBorder="1" applyAlignment="1">
      <alignment horizontal="centerContinuous" vertical="center"/>
    </xf>
    <xf numFmtId="0" fontId="10" fillId="11" borderId="11" xfId="0" applyFont="1" applyFill="1" applyBorder="1" applyAlignment="1">
      <alignment horizontal="centerContinuous" vertical="center"/>
    </xf>
    <xf numFmtId="0" fontId="10" fillId="11" borderId="2" xfId="0" applyFont="1" applyFill="1" applyBorder="1" applyAlignment="1">
      <alignment horizontal="centerContinuous" vertical="center"/>
    </xf>
    <xf numFmtId="0" fontId="10" fillId="14" borderId="1" xfId="0" applyFont="1" applyFill="1" applyBorder="1" applyAlignment="1">
      <alignment horizontal="centerContinuous" vertical="center"/>
    </xf>
    <xf numFmtId="0" fontId="10" fillId="14" borderId="11" xfId="0" applyFont="1" applyFill="1" applyBorder="1" applyAlignment="1">
      <alignment horizontal="centerContinuous" vertical="center"/>
    </xf>
    <xf numFmtId="0" fontId="10" fillId="14" borderId="2" xfId="0" applyFont="1" applyFill="1" applyBorder="1" applyAlignment="1">
      <alignment horizontal="centerContinuous" vertical="center"/>
    </xf>
    <xf numFmtId="0" fontId="10" fillId="15" borderId="1" xfId="0" applyFont="1" applyFill="1" applyBorder="1" applyAlignment="1">
      <alignment horizontal="centerContinuous" vertical="center"/>
    </xf>
    <xf numFmtId="0" fontId="10" fillId="15" borderId="11" xfId="0" applyFont="1" applyFill="1" applyBorder="1" applyAlignment="1">
      <alignment horizontal="centerContinuous" vertical="center"/>
    </xf>
    <xf numFmtId="0" fontId="10" fillId="15" borderId="2" xfId="0" applyFont="1" applyFill="1" applyBorder="1" applyAlignment="1">
      <alignment horizontal="centerContinuous" vertical="center"/>
    </xf>
    <xf numFmtId="0" fontId="10" fillId="15" borderId="3" xfId="0" applyFont="1" applyFill="1" applyBorder="1" applyAlignment="1">
      <alignment horizontal="center" vertical="center"/>
    </xf>
    <xf numFmtId="0" fontId="10" fillId="15" borderId="4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10" fillId="11" borderId="0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center" vertical="center"/>
    </xf>
    <xf numFmtId="0" fontId="10" fillId="14" borderId="0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10" fillId="15" borderId="0" xfId="0" applyFont="1" applyFill="1" applyBorder="1" applyAlignment="1">
      <alignment horizontal="center" vertical="center"/>
    </xf>
    <xf numFmtId="0" fontId="11" fillId="0" borderId="3" xfId="0" applyFont="1" applyBorder="1">
      <alignment vertical="center"/>
    </xf>
    <xf numFmtId="0" fontId="11" fillId="0" borderId="4" xfId="0" applyFont="1" applyBorder="1">
      <alignment vertical="center"/>
    </xf>
    <xf numFmtId="178" fontId="11" fillId="0" borderId="3" xfId="1" applyNumberFormat="1" applyFont="1" applyBorder="1">
      <alignment vertical="center"/>
    </xf>
    <xf numFmtId="178" fontId="11" fillId="0" borderId="0" xfId="1" applyNumberFormat="1" applyFont="1" applyBorder="1">
      <alignment vertical="center"/>
    </xf>
    <xf numFmtId="178" fontId="11" fillId="0" borderId="4" xfId="1" applyNumberFormat="1" applyFont="1" applyBorder="1">
      <alignment vertical="center"/>
    </xf>
    <xf numFmtId="0" fontId="10" fillId="0" borderId="3" xfId="0" applyFont="1" applyBorder="1">
      <alignment vertical="center"/>
    </xf>
    <xf numFmtId="0" fontId="10" fillId="0" borderId="4" xfId="0" applyFont="1" applyBorder="1">
      <alignment vertical="center"/>
    </xf>
    <xf numFmtId="178" fontId="10" fillId="0" borderId="3" xfId="1" applyNumberFormat="1" applyFont="1" applyBorder="1">
      <alignment vertical="center"/>
    </xf>
    <xf numFmtId="178" fontId="10" fillId="0" borderId="0" xfId="1" applyNumberFormat="1" applyFont="1" applyBorder="1">
      <alignment vertical="center"/>
    </xf>
    <xf numFmtId="178" fontId="10" fillId="0" borderId="4" xfId="1" applyNumberFormat="1" applyFont="1" applyBorder="1">
      <alignment vertical="center"/>
    </xf>
    <xf numFmtId="0" fontId="10" fillId="0" borderId="9" xfId="0" applyFont="1" applyBorder="1">
      <alignment vertical="center"/>
    </xf>
    <xf numFmtId="0" fontId="10" fillId="0" borderId="10" xfId="0" applyFont="1" applyBorder="1">
      <alignment vertical="center"/>
    </xf>
    <xf numFmtId="178" fontId="10" fillId="0" borderId="9" xfId="1" applyNumberFormat="1" applyFont="1" applyBorder="1">
      <alignment vertical="center"/>
    </xf>
    <xf numFmtId="178" fontId="10" fillId="0" borderId="18" xfId="1" applyNumberFormat="1" applyFont="1" applyBorder="1">
      <alignment vertical="center"/>
    </xf>
    <xf numFmtId="178" fontId="10" fillId="0" borderId="10" xfId="1" applyNumberFormat="1" applyFont="1" applyBorder="1">
      <alignment vertical="center"/>
    </xf>
    <xf numFmtId="0" fontId="10" fillId="0" borderId="9" xfId="0" applyFont="1" applyBorder="1" applyAlignment="1">
      <alignment horizontal="centerContinuous" vertical="center"/>
    </xf>
    <xf numFmtId="0" fontId="10" fillId="0" borderId="10" xfId="0" applyFont="1" applyBorder="1" applyAlignment="1">
      <alignment horizontal="centerContinuous" vertical="center"/>
    </xf>
    <xf numFmtId="178" fontId="11" fillId="0" borderId="0" xfId="1" applyNumberFormat="1" applyFont="1">
      <alignment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  <cellStyle name="標準 3" xfId="50"/>
    <cellStyle name="常规 2" xfId="51"/>
    <cellStyle name="常规 4" xfId="52"/>
    <cellStyle name="千位分隔 2" xfId="53"/>
  </cellStyles>
  <tableStyles count="0" defaultTableStyle="TableStyleMedium2" defaultPivotStyle="PivotStyleLight16"/>
  <colors>
    <mruColors>
      <color rgb="00CE292F"/>
      <color rgb="00F50701"/>
      <color rgb="00FDB1B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I324"/>
  <sheetViews>
    <sheetView zoomScale="85" zoomScaleNormal="85" workbookViewId="0">
      <pane xSplit="2" ySplit="7" topLeftCell="C8" activePane="bottomRight" state="frozen"/>
      <selection/>
      <selection pane="topRight"/>
      <selection pane="bottomLeft"/>
      <selection pane="bottomRight" activeCell="N34" sqref="N34"/>
    </sheetView>
  </sheetViews>
  <sheetFormatPr defaultColWidth="9" defaultRowHeight="13.85"/>
  <cols>
    <col min="1" max="1" width="18.8672566371681" style="165" customWidth="1"/>
    <col min="2" max="2" width="12.070796460177" style="165" customWidth="1"/>
    <col min="3" max="3" width="13" style="165" customWidth="1"/>
    <col min="4" max="4" width="13.6637168141593" style="165" customWidth="1"/>
    <col min="5" max="6" width="13" style="165" customWidth="1"/>
    <col min="7" max="7" width="14.2035398230088" style="165" customWidth="1"/>
    <col min="8" max="11" width="13" style="165" customWidth="1"/>
    <col min="12" max="12" width="14.070796460177" style="165" customWidth="1"/>
    <col min="13" max="17" width="15.5309734513274" style="165" customWidth="1"/>
    <col min="18" max="18" width="14.3362831858407" style="165" customWidth="1"/>
    <col min="19" max="23" width="15.5309734513274" style="165" customWidth="1"/>
    <col min="24" max="24" width="14.3362831858407" style="165" customWidth="1"/>
    <col min="25" max="27" width="15.5309734513274" style="165" customWidth="1"/>
    <col min="28" max="31" width="14.3362831858407" style="165" customWidth="1"/>
    <col min="32" max="37" width="15.5309734513274" style="165" customWidth="1"/>
    <col min="38" max="41" width="14.3362831858407" style="165" customWidth="1"/>
    <col min="42" max="42" width="15.5309734513274" style="165" customWidth="1"/>
    <col min="43" max="45" width="14.3362831858407" style="165" customWidth="1"/>
    <col min="46" max="47" width="15.5309734513274" style="165" customWidth="1"/>
    <col min="48" max="49" width="12.5309734513274" style="165" customWidth="1"/>
    <col min="50" max="56" width="14.3362831858407" style="165" customWidth="1"/>
    <col min="57" max="57" width="15.5309734513274" style="165" customWidth="1"/>
    <col min="58" max="62" width="14.7345132743363" style="165" customWidth="1"/>
    <col min="63" max="71" width="14.3362831858407" style="165" customWidth="1"/>
    <col min="72" max="72" width="15.5309734513274" style="165" customWidth="1"/>
    <col min="73" max="75" width="14.3362831858407" style="165" customWidth="1"/>
    <col min="76" max="77" width="15.5309734513274" style="165" customWidth="1"/>
    <col min="78" max="82" width="14.3362831858407" style="165" customWidth="1"/>
    <col min="83" max="85" width="12.5309734513274" style="165" customWidth="1"/>
    <col min="86" max="87" width="14.3362831858407" style="165" customWidth="1"/>
    <col min="88" max="16384" width="9.07079646017699" style="165"/>
  </cols>
  <sheetData>
    <row r="1" s="163" customFormat="1" ht="14.6" spans="1:87">
      <c r="A1" s="166" t="s">
        <v>0</v>
      </c>
      <c r="B1" s="167"/>
      <c r="C1" s="168" t="s">
        <v>1</v>
      </c>
      <c r="D1" s="169"/>
      <c r="E1" s="169"/>
      <c r="F1" s="169"/>
      <c r="G1" s="170"/>
      <c r="H1" s="171" t="s">
        <v>2</v>
      </c>
      <c r="I1" s="172"/>
      <c r="J1" s="172"/>
      <c r="K1" s="172"/>
      <c r="L1" s="173"/>
      <c r="M1" s="174" t="s">
        <v>3</v>
      </c>
      <c r="N1" s="175"/>
      <c r="O1" s="175"/>
      <c r="P1" s="175"/>
      <c r="Q1" s="176"/>
      <c r="R1" s="174" t="s">
        <v>4</v>
      </c>
      <c r="S1" s="175"/>
      <c r="T1" s="175"/>
      <c r="U1" s="175"/>
      <c r="V1" s="176"/>
      <c r="W1" s="174" t="s">
        <v>5</v>
      </c>
      <c r="X1" s="175"/>
      <c r="Y1" s="175"/>
      <c r="Z1" s="175"/>
      <c r="AA1" s="176"/>
      <c r="AB1" s="174" t="s">
        <v>6</v>
      </c>
      <c r="AC1" s="175"/>
      <c r="AD1" s="175"/>
      <c r="AE1" s="175"/>
      <c r="AF1" s="176"/>
      <c r="AG1" s="174" t="s">
        <v>7</v>
      </c>
      <c r="AH1" s="175"/>
      <c r="AI1" s="175"/>
      <c r="AJ1" s="175"/>
      <c r="AK1" s="176"/>
      <c r="AL1" s="174" t="s">
        <v>8</v>
      </c>
      <c r="AM1" s="175"/>
      <c r="AN1" s="175"/>
      <c r="AO1" s="175"/>
      <c r="AP1" s="176"/>
      <c r="AQ1" s="174" t="s">
        <v>9</v>
      </c>
      <c r="AR1" s="175"/>
      <c r="AS1" s="175"/>
      <c r="AT1" s="175"/>
      <c r="AU1" s="176"/>
      <c r="AV1" s="174" t="s">
        <v>10</v>
      </c>
      <c r="AW1" s="175"/>
      <c r="AX1" s="175"/>
      <c r="AY1" s="175"/>
      <c r="AZ1" s="176"/>
      <c r="BA1" s="174" t="s">
        <v>11</v>
      </c>
      <c r="BB1" s="175"/>
      <c r="BC1" s="175"/>
      <c r="BD1" s="175"/>
      <c r="BE1" s="176"/>
      <c r="BF1" s="171" t="s">
        <v>12</v>
      </c>
      <c r="BG1" s="172"/>
      <c r="BH1" s="172"/>
      <c r="BI1" s="172"/>
      <c r="BJ1" s="173"/>
      <c r="BK1" s="174" t="s">
        <v>13</v>
      </c>
      <c r="BL1" s="175"/>
      <c r="BM1" s="175"/>
      <c r="BN1" s="175"/>
      <c r="BO1" s="176"/>
      <c r="BP1" s="174" t="s">
        <v>14</v>
      </c>
      <c r="BQ1" s="175"/>
      <c r="BR1" s="175"/>
      <c r="BS1" s="175"/>
      <c r="BT1" s="176"/>
      <c r="BU1" s="174" t="s">
        <v>15</v>
      </c>
      <c r="BV1" s="175"/>
      <c r="BW1" s="175"/>
      <c r="BX1" s="175"/>
      <c r="BY1" s="176"/>
      <c r="BZ1" s="174" t="s">
        <v>16</v>
      </c>
      <c r="CA1" s="175"/>
      <c r="CB1" s="175"/>
      <c r="CC1" s="175"/>
      <c r="CD1" s="176"/>
      <c r="CE1" s="174" t="s">
        <v>17</v>
      </c>
      <c r="CF1" s="175"/>
      <c r="CG1" s="175"/>
      <c r="CH1" s="175"/>
      <c r="CI1" s="176"/>
    </row>
    <row r="2" s="164" customFormat="1" ht="14.6" spans="1:87">
      <c r="A2" s="177" t="s">
        <v>18</v>
      </c>
      <c r="B2" s="178" t="s">
        <v>19</v>
      </c>
      <c r="C2" s="179" t="s">
        <v>20</v>
      </c>
      <c r="D2" s="180" t="s">
        <v>21</v>
      </c>
      <c r="E2" s="180" t="s">
        <v>22</v>
      </c>
      <c r="F2" s="180" t="s">
        <v>23</v>
      </c>
      <c r="G2" s="181" t="s">
        <v>24</v>
      </c>
      <c r="H2" s="182" t="s">
        <v>20</v>
      </c>
      <c r="I2" s="183" t="s">
        <v>21</v>
      </c>
      <c r="J2" s="183" t="s">
        <v>22</v>
      </c>
      <c r="K2" s="183" t="s">
        <v>23</v>
      </c>
      <c r="L2" s="184" t="s">
        <v>24</v>
      </c>
      <c r="M2" s="177" t="s">
        <v>20</v>
      </c>
      <c r="N2" s="185" t="s">
        <v>21</v>
      </c>
      <c r="O2" s="185" t="s">
        <v>22</v>
      </c>
      <c r="P2" s="185" t="s">
        <v>23</v>
      </c>
      <c r="Q2" s="178" t="s">
        <v>24</v>
      </c>
      <c r="R2" s="177" t="s">
        <v>20</v>
      </c>
      <c r="S2" s="185" t="s">
        <v>21</v>
      </c>
      <c r="T2" s="185" t="s">
        <v>22</v>
      </c>
      <c r="U2" s="185" t="s">
        <v>23</v>
      </c>
      <c r="V2" s="178" t="s">
        <v>24</v>
      </c>
      <c r="W2" s="177" t="s">
        <v>20</v>
      </c>
      <c r="X2" s="185" t="s">
        <v>21</v>
      </c>
      <c r="Y2" s="185" t="s">
        <v>22</v>
      </c>
      <c r="Z2" s="185" t="s">
        <v>23</v>
      </c>
      <c r="AA2" s="178" t="s">
        <v>24</v>
      </c>
      <c r="AB2" s="177" t="s">
        <v>20</v>
      </c>
      <c r="AC2" s="185" t="s">
        <v>21</v>
      </c>
      <c r="AD2" s="185" t="s">
        <v>22</v>
      </c>
      <c r="AE2" s="185" t="s">
        <v>23</v>
      </c>
      <c r="AF2" s="178" t="s">
        <v>24</v>
      </c>
      <c r="AG2" s="177" t="s">
        <v>20</v>
      </c>
      <c r="AH2" s="185" t="s">
        <v>21</v>
      </c>
      <c r="AI2" s="185" t="s">
        <v>22</v>
      </c>
      <c r="AJ2" s="185" t="s">
        <v>23</v>
      </c>
      <c r="AK2" s="178" t="s">
        <v>24</v>
      </c>
      <c r="AL2" s="177" t="s">
        <v>20</v>
      </c>
      <c r="AM2" s="185" t="s">
        <v>21</v>
      </c>
      <c r="AN2" s="185" t="s">
        <v>22</v>
      </c>
      <c r="AO2" s="185" t="s">
        <v>23</v>
      </c>
      <c r="AP2" s="178" t="s">
        <v>24</v>
      </c>
      <c r="AQ2" s="177" t="s">
        <v>20</v>
      </c>
      <c r="AR2" s="185" t="s">
        <v>21</v>
      </c>
      <c r="AS2" s="185" t="s">
        <v>22</v>
      </c>
      <c r="AT2" s="185" t="s">
        <v>23</v>
      </c>
      <c r="AU2" s="178" t="s">
        <v>24</v>
      </c>
      <c r="AV2" s="177" t="s">
        <v>20</v>
      </c>
      <c r="AW2" s="185" t="s">
        <v>21</v>
      </c>
      <c r="AX2" s="185" t="s">
        <v>22</v>
      </c>
      <c r="AY2" s="185" t="s">
        <v>23</v>
      </c>
      <c r="AZ2" s="178" t="s">
        <v>24</v>
      </c>
      <c r="BA2" s="177" t="s">
        <v>20</v>
      </c>
      <c r="BB2" s="185" t="s">
        <v>21</v>
      </c>
      <c r="BC2" s="185" t="s">
        <v>22</v>
      </c>
      <c r="BD2" s="185" t="s">
        <v>23</v>
      </c>
      <c r="BE2" s="178" t="s">
        <v>24</v>
      </c>
      <c r="BF2" s="182" t="s">
        <v>20</v>
      </c>
      <c r="BG2" s="183" t="s">
        <v>21</v>
      </c>
      <c r="BH2" s="183" t="s">
        <v>22</v>
      </c>
      <c r="BI2" s="183" t="s">
        <v>23</v>
      </c>
      <c r="BJ2" s="184" t="s">
        <v>24</v>
      </c>
      <c r="BK2" s="177" t="s">
        <v>20</v>
      </c>
      <c r="BL2" s="185" t="s">
        <v>21</v>
      </c>
      <c r="BM2" s="185" t="s">
        <v>22</v>
      </c>
      <c r="BN2" s="185" t="s">
        <v>23</v>
      </c>
      <c r="BO2" s="178" t="s">
        <v>24</v>
      </c>
      <c r="BP2" s="177" t="s">
        <v>20</v>
      </c>
      <c r="BQ2" s="185" t="s">
        <v>21</v>
      </c>
      <c r="BR2" s="185" t="s">
        <v>22</v>
      </c>
      <c r="BS2" s="185" t="s">
        <v>23</v>
      </c>
      <c r="BT2" s="178" t="s">
        <v>24</v>
      </c>
      <c r="BU2" s="177" t="s">
        <v>20</v>
      </c>
      <c r="BV2" s="185" t="s">
        <v>21</v>
      </c>
      <c r="BW2" s="185" t="s">
        <v>22</v>
      </c>
      <c r="BX2" s="185" t="s">
        <v>23</v>
      </c>
      <c r="BY2" s="178" t="s">
        <v>24</v>
      </c>
      <c r="BZ2" s="177" t="s">
        <v>20</v>
      </c>
      <c r="CA2" s="185" t="s">
        <v>21</v>
      </c>
      <c r="CB2" s="185" t="s">
        <v>22</v>
      </c>
      <c r="CC2" s="185" t="s">
        <v>23</v>
      </c>
      <c r="CD2" s="178" t="s">
        <v>24</v>
      </c>
      <c r="CE2" s="177" t="s">
        <v>20</v>
      </c>
      <c r="CF2" s="185" t="s">
        <v>21</v>
      </c>
      <c r="CG2" s="185" t="s">
        <v>22</v>
      </c>
      <c r="CH2" s="185" t="s">
        <v>23</v>
      </c>
      <c r="CI2" s="178" t="s">
        <v>24</v>
      </c>
    </row>
    <row r="3" spans="1:87">
      <c r="A3" s="186" t="s">
        <v>25</v>
      </c>
      <c r="B3" s="187" t="s">
        <v>26</v>
      </c>
      <c r="C3" s="188">
        <f>H3+BF3</f>
        <v>9478303</v>
      </c>
      <c r="D3" s="189">
        <f t="shared" ref="D3:D66" si="0">I3+BG3</f>
        <v>9306257</v>
      </c>
      <c r="E3" s="189">
        <f t="shared" ref="E3:E66" si="1">J3+BH3</f>
        <v>18194811</v>
      </c>
      <c r="F3" s="189">
        <f t="shared" ref="F3:F66" si="2">K3+BI3</f>
        <v>14516537</v>
      </c>
      <c r="G3" s="190">
        <f t="shared" ref="G3:G66" si="3">L3+BJ3</f>
        <v>51495908</v>
      </c>
      <c r="H3" s="188">
        <f>M3+R3+W3+AB3+AG3+AL3+AQ3+AV3+BA3</f>
        <v>8491534</v>
      </c>
      <c r="I3" s="189">
        <f t="shared" ref="I3:I66" si="4">N3+S3+X3+AC3+AH3+AM3+AR3+AW3+BB3</f>
        <v>8335758</v>
      </c>
      <c r="J3" s="189">
        <f t="shared" ref="J3:J66" si="5">O3+T3+Y3+AD3+AI3+AN3+AS3+AX3+BC3</f>
        <v>16678229</v>
      </c>
      <c r="K3" s="189">
        <f t="shared" ref="K3:K66" si="6">P3+U3+Z3+AE3+AJ3+AO3+AT3+AY3+BD3</f>
        <v>12936351</v>
      </c>
      <c r="L3" s="190">
        <f t="shared" ref="L3:L66" si="7">Q3+V3+AA3+AF3+AK3+AP3+AU3+AZ3+BE3</f>
        <v>46441872</v>
      </c>
      <c r="M3" s="188">
        <v>1797817</v>
      </c>
      <c r="N3" s="189">
        <v>1761726</v>
      </c>
      <c r="O3" s="189">
        <v>1898495</v>
      </c>
      <c r="P3" s="189">
        <v>1940600</v>
      </c>
      <c r="Q3" s="190">
        <v>7398638</v>
      </c>
      <c r="R3" s="188">
        <v>899980</v>
      </c>
      <c r="S3" s="189">
        <v>727987</v>
      </c>
      <c r="T3" s="189">
        <v>2060878</v>
      </c>
      <c r="U3" s="189">
        <v>1727693</v>
      </c>
      <c r="V3" s="190">
        <v>5416538</v>
      </c>
      <c r="W3" s="188">
        <v>597249</v>
      </c>
      <c r="X3" s="189">
        <v>311139</v>
      </c>
      <c r="Y3" s="189">
        <v>1011851</v>
      </c>
      <c r="Z3" s="189">
        <v>919971</v>
      </c>
      <c r="AA3" s="190">
        <v>2840210</v>
      </c>
      <c r="AB3" s="188">
        <v>93500</v>
      </c>
      <c r="AC3" s="189">
        <v>608464</v>
      </c>
      <c r="AD3" s="189">
        <v>1535825</v>
      </c>
      <c r="AE3" s="189">
        <v>1980556</v>
      </c>
      <c r="AF3" s="190">
        <v>4218345</v>
      </c>
      <c r="AG3" s="188">
        <v>2455646</v>
      </c>
      <c r="AH3" s="189">
        <v>2563438</v>
      </c>
      <c r="AI3" s="189">
        <v>7326830</v>
      </c>
      <c r="AJ3" s="189">
        <v>3465125</v>
      </c>
      <c r="AK3" s="190">
        <v>15811039</v>
      </c>
      <c r="AL3" s="188">
        <v>199380</v>
      </c>
      <c r="AM3" s="189">
        <v>253983</v>
      </c>
      <c r="AN3" s="189">
        <v>239760</v>
      </c>
      <c r="AO3" s="189">
        <v>284458</v>
      </c>
      <c r="AP3" s="190">
        <v>977581</v>
      </c>
      <c r="AQ3" s="188">
        <v>1067830</v>
      </c>
      <c r="AR3" s="189">
        <v>935926</v>
      </c>
      <c r="AS3" s="189">
        <v>1437306</v>
      </c>
      <c r="AT3" s="189">
        <v>1199817</v>
      </c>
      <c r="AU3" s="190">
        <v>4640879</v>
      </c>
      <c r="AV3" s="188">
        <v>142573</v>
      </c>
      <c r="AW3" s="189">
        <v>125094</v>
      </c>
      <c r="AX3" s="189">
        <v>141896</v>
      </c>
      <c r="AY3" s="189">
        <v>124035</v>
      </c>
      <c r="AZ3" s="190">
        <v>533598</v>
      </c>
      <c r="BA3" s="188">
        <v>1237559</v>
      </c>
      <c r="BB3" s="189">
        <v>1048001</v>
      </c>
      <c r="BC3" s="189">
        <v>1025388</v>
      </c>
      <c r="BD3" s="189">
        <v>1294096</v>
      </c>
      <c r="BE3" s="190">
        <v>4605044</v>
      </c>
      <c r="BF3" s="188">
        <f>BK3+BP3+BU3+BZ3+CE3</f>
        <v>986769</v>
      </c>
      <c r="BG3" s="189">
        <f t="shared" ref="BG3:BG66" si="8">BL3+BQ3+BV3+CA3+CF3</f>
        <v>970499</v>
      </c>
      <c r="BH3" s="189">
        <f t="shared" ref="BH3:BH66" si="9">BM3+BR3+BW3+CB3+CG3</f>
        <v>1516582</v>
      </c>
      <c r="BI3" s="189">
        <f t="shared" ref="BI3:BI66" si="10">BN3+BS3+BX3+CC3+CH3</f>
        <v>1580186</v>
      </c>
      <c r="BJ3" s="190">
        <f t="shared" ref="BJ3:BJ66" si="11">BO3+BT3+BY3+CD3+CI3</f>
        <v>5054036</v>
      </c>
      <c r="BK3" s="188">
        <v>47967</v>
      </c>
      <c r="BL3" s="189">
        <v>49326</v>
      </c>
      <c r="BM3" s="189">
        <v>84565</v>
      </c>
      <c r="BN3" s="189">
        <v>70610</v>
      </c>
      <c r="BO3" s="190">
        <v>252468</v>
      </c>
      <c r="BP3" s="188">
        <v>562537</v>
      </c>
      <c r="BQ3" s="189">
        <v>499432</v>
      </c>
      <c r="BR3" s="189">
        <v>729499</v>
      </c>
      <c r="BS3" s="189">
        <v>669547</v>
      </c>
      <c r="BT3" s="190">
        <v>2461015</v>
      </c>
      <c r="BU3" s="188">
        <v>281719</v>
      </c>
      <c r="BV3" s="189">
        <v>350351</v>
      </c>
      <c r="BW3" s="189">
        <v>463981</v>
      </c>
      <c r="BX3" s="189">
        <v>664926</v>
      </c>
      <c r="BY3" s="190">
        <v>1760977</v>
      </c>
      <c r="BZ3" s="188">
        <v>60455</v>
      </c>
      <c r="CA3" s="189">
        <v>49698</v>
      </c>
      <c r="CB3" s="189">
        <v>181387</v>
      </c>
      <c r="CC3" s="189">
        <v>102232</v>
      </c>
      <c r="CD3" s="190">
        <v>393772</v>
      </c>
      <c r="CE3" s="188">
        <v>34091</v>
      </c>
      <c r="CF3" s="189">
        <v>21692</v>
      </c>
      <c r="CG3" s="189">
        <v>57150</v>
      </c>
      <c r="CH3" s="189">
        <v>72871</v>
      </c>
      <c r="CI3" s="190">
        <v>185804</v>
      </c>
    </row>
    <row r="4" spans="1:87">
      <c r="A4" s="186"/>
      <c r="B4" s="187" t="s">
        <v>27</v>
      </c>
      <c r="C4" s="188">
        <f t="shared" ref="C4:C67" si="12">H4+BF4</f>
        <v>4794329</v>
      </c>
      <c r="D4" s="189">
        <f t="shared" si="0"/>
        <v>4351959</v>
      </c>
      <c r="E4" s="189">
        <f t="shared" si="1"/>
        <v>3959718</v>
      </c>
      <c r="F4" s="189">
        <f t="shared" si="2"/>
        <v>3706022</v>
      </c>
      <c r="G4" s="190">
        <f t="shared" si="3"/>
        <v>16812028</v>
      </c>
      <c r="H4" s="188">
        <f t="shared" ref="H4:H67" si="13">M4+R4+W4+AB4+AG4+AL4+AQ4+AV4+BA4</f>
        <v>4129619</v>
      </c>
      <c r="I4" s="189">
        <f t="shared" si="4"/>
        <v>3885219</v>
      </c>
      <c r="J4" s="189">
        <f t="shared" si="5"/>
        <v>3366022</v>
      </c>
      <c r="K4" s="189">
        <f t="shared" si="6"/>
        <v>2936465</v>
      </c>
      <c r="L4" s="190">
        <f t="shared" si="7"/>
        <v>14317325</v>
      </c>
      <c r="M4" s="188">
        <v>70739</v>
      </c>
      <c r="N4" s="189">
        <v>215877</v>
      </c>
      <c r="O4" s="189">
        <v>233057</v>
      </c>
      <c r="P4" s="189">
        <v>206888</v>
      </c>
      <c r="Q4" s="190">
        <v>726561</v>
      </c>
      <c r="R4" s="188">
        <v>77340</v>
      </c>
      <c r="S4" s="189">
        <v>137066</v>
      </c>
      <c r="T4" s="189">
        <v>90651</v>
      </c>
      <c r="U4" s="189">
        <v>153588</v>
      </c>
      <c r="V4" s="190">
        <v>458645</v>
      </c>
      <c r="W4" s="188">
        <v>722035</v>
      </c>
      <c r="X4" s="189">
        <v>255143</v>
      </c>
      <c r="Y4" s="189">
        <v>429135</v>
      </c>
      <c r="Z4" s="189">
        <v>155324</v>
      </c>
      <c r="AA4" s="190">
        <v>1561637</v>
      </c>
      <c r="AB4" s="188">
        <v>13981</v>
      </c>
      <c r="AC4" s="189">
        <v>276192</v>
      </c>
      <c r="AD4" s="189">
        <v>239716</v>
      </c>
      <c r="AE4" s="189">
        <v>83146</v>
      </c>
      <c r="AF4" s="190">
        <v>613035</v>
      </c>
      <c r="AG4" s="188">
        <v>2886639</v>
      </c>
      <c r="AH4" s="189">
        <v>2687781</v>
      </c>
      <c r="AI4" s="189">
        <v>1757918</v>
      </c>
      <c r="AJ4" s="189">
        <v>1978360</v>
      </c>
      <c r="AK4" s="190">
        <v>9310698</v>
      </c>
      <c r="AL4" s="188">
        <v>72829</v>
      </c>
      <c r="AM4" s="189">
        <v>59637</v>
      </c>
      <c r="AN4" s="189">
        <v>89950</v>
      </c>
      <c r="AO4" s="189">
        <v>41020</v>
      </c>
      <c r="AP4" s="190">
        <v>263436</v>
      </c>
      <c r="AQ4" s="188">
        <v>97306</v>
      </c>
      <c r="AR4" s="189">
        <v>138478</v>
      </c>
      <c r="AS4" s="189">
        <v>132616</v>
      </c>
      <c r="AT4" s="189">
        <v>111514</v>
      </c>
      <c r="AU4" s="190">
        <v>479914</v>
      </c>
      <c r="AV4" s="188">
        <v>15221</v>
      </c>
      <c r="AW4" s="189">
        <v>10648</v>
      </c>
      <c r="AX4" s="189">
        <v>46905</v>
      </c>
      <c r="AY4" s="189">
        <v>20098</v>
      </c>
      <c r="AZ4" s="190">
        <v>92872</v>
      </c>
      <c r="BA4" s="188">
        <v>173529</v>
      </c>
      <c r="BB4" s="189">
        <v>104397</v>
      </c>
      <c r="BC4" s="189">
        <v>346074</v>
      </c>
      <c r="BD4" s="189">
        <v>186527</v>
      </c>
      <c r="BE4" s="190">
        <v>810527</v>
      </c>
      <c r="BF4" s="188">
        <f t="shared" ref="BF4:BF67" si="14">BK4+BP4+BU4+BZ4+CE4</f>
        <v>664710</v>
      </c>
      <c r="BG4" s="189">
        <f t="shared" si="8"/>
        <v>466740</v>
      </c>
      <c r="BH4" s="189">
        <f t="shared" si="9"/>
        <v>593696</v>
      </c>
      <c r="BI4" s="189">
        <f t="shared" si="10"/>
        <v>769557</v>
      </c>
      <c r="BJ4" s="190">
        <f t="shared" si="11"/>
        <v>2494703</v>
      </c>
      <c r="BK4" s="188">
        <v>15550</v>
      </c>
      <c r="BL4" s="189">
        <v>19718</v>
      </c>
      <c r="BM4" s="189">
        <v>9053</v>
      </c>
      <c r="BN4" s="189">
        <v>10861</v>
      </c>
      <c r="BO4" s="190">
        <v>55182</v>
      </c>
      <c r="BP4" s="188">
        <v>473249</v>
      </c>
      <c r="BQ4" s="189">
        <v>324062</v>
      </c>
      <c r="BR4" s="189">
        <v>435697</v>
      </c>
      <c r="BS4" s="189">
        <v>580419</v>
      </c>
      <c r="BT4" s="190">
        <v>1813427</v>
      </c>
      <c r="BU4" s="188">
        <v>145878</v>
      </c>
      <c r="BV4" s="189">
        <v>89940</v>
      </c>
      <c r="BW4" s="189">
        <v>122879</v>
      </c>
      <c r="BX4" s="189">
        <v>163539</v>
      </c>
      <c r="BY4" s="190">
        <v>522236</v>
      </c>
      <c r="BZ4" s="188">
        <v>18181</v>
      </c>
      <c r="CA4" s="189">
        <v>14344</v>
      </c>
      <c r="CB4" s="189">
        <v>9531</v>
      </c>
      <c r="CC4" s="189">
        <v>11346</v>
      </c>
      <c r="CD4" s="190">
        <v>53402</v>
      </c>
      <c r="CE4" s="188">
        <v>11852</v>
      </c>
      <c r="CF4" s="189">
        <v>18676</v>
      </c>
      <c r="CG4" s="189">
        <v>16536</v>
      </c>
      <c r="CH4" s="189">
        <v>3392</v>
      </c>
      <c r="CI4" s="190">
        <v>50456</v>
      </c>
    </row>
    <row r="5" spans="1:87">
      <c r="A5" s="186"/>
      <c r="B5" s="187" t="s">
        <v>28</v>
      </c>
      <c r="C5" s="188">
        <f t="shared" si="12"/>
        <v>65588169</v>
      </c>
      <c r="D5" s="189">
        <f t="shared" si="0"/>
        <v>75958711</v>
      </c>
      <c r="E5" s="189">
        <f t="shared" si="1"/>
        <v>86707200</v>
      </c>
      <c r="F5" s="189">
        <f t="shared" si="2"/>
        <v>125625471</v>
      </c>
      <c r="G5" s="190">
        <f t="shared" si="3"/>
        <v>353879551</v>
      </c>
      <c r="H5" s="188">
        <f t="shared" si="13"/>
        <v>57242034</v>
      </c>
      <c r="I5" s="189">
        <f t="shared" si="4"/>
        <v>66437798</v>
      </c>
      <c r="J5" s="189">
        <f t="shared" si="5"/>
        <v>71481038</v>
      </c>
      <c r="K5" s="189">
        <f t="shared" si="6"/>
        <v>100297506</v>
      </c>
      <c r="L5" s="190">
        <f t="shared" si="7"/>
        <v>295458376</v>
      </c>
      <c r="M5" s="188">
        <v>8807748</v>
      </c>
      <c r="N5" s="189">
        <v>11931036</v>
      </c>
      <c r="O5" s="189">
        <v>12591448</v>
      </c>
      <c r="P5" s="189">
        <v>14940410</v>
      </c>
      <c r="Q5" s="190">
        <v>48270642</v>
      </c>
      <c r="R5" s="188">
        <v>7358076</v>
      </c>
      <c r="S5" s="189">
        <v>11633993</v>
      </c>
      <c r="T5" s="189">
        <v>12733767</v>
      </c>
      <c r="U5" s="189">
        <v>21752440</v>
      </c>
      <c r="V5" s="190">
        <v>53478276</v>
      </c>
      <c r="W5" s="188">
        <v>10030322</v>
      </c>
      <c r="X5" s="189">
        <v>8885306</v>
      </c>
      <c r="Y5" s="189">
        <v>9116203</v>
      </c>
      <c r="Z5" s="189">
        <v>9254383</v>
      </c>
      <c r="AA5" s="190">
        <v>37286214</v>
      </c>
      <c r="AB5" s="188">
        <v>480920</v>
      </c>
      <c r="AC5" s="189">
        <v>1303902</v>
      </c>
      <c r="AD5" s="189">
        <v>1986698</v>
      </c>
      <c r="AE5" s="189">
        <v>4052115</v>
      </c>
      <c r="AF5" s="190">
        <v>7823635</v>
      </c>
      <c r="AG5" s="188">
        <v>13862893</v>
      </c>
      <c r="AH5" s="189">
        <v>17027415</v>
      </c>
      <c r="AI5" s="189">
        <v>14002116</v>
      </c>
      <c r="AJ5" s="189">
        <v>28271758</v>
      </c>
      <c r="AK5" s="190">
        <v>73164182</v>
      </c>
      <c r="AL5" s="188">
        <v>3139019</v>
      </c>
      <c r="AM5" s="189">
        <v>2973564</v>
      </c>
      <c r="AN5" s="189">
        <v>5259535</v>
      </c>
      <c r="AO5" s="189">
        <v>4845129</v>
      </c>
      <c r="AP5" s="190">
        <v>16217247</v>
      </c>
      <c r="AQ5" s="188">
        <v>8703811</v>
      </c>
      <c r="AR5" s="189">
        <v>6762917</v>
      </c>
      <c r="AS5" s="189">
        <v>7086366</v>
      </c>
      <c r="AT5" s="189">
        <v>8594316</v>
      </c>
      <c r="AU5" s="190">
        <v>31147410</v>
      </c>
      <c r="AV5" s="188">
        <v>396571</v>
      </c>
      <c r="AW5" s="189">
        <v>763215</v>
      </c>
      <c r="AX5" s="189">
        <v>931503</v>
      </c>
      <c r="AY5" s="189">
        <v>1096976</v>
      </c>
      <c r="AZ5" s="190">
        <v>3188265</v>
      </c>
      <c r="BA5" s="188">
        <v>4462674</v>
      </c>
      <c r="BB5" s="189">
        <v>5156450</v>
      </c>
      <c r="BC5" s="189">
        <v>7773402</v>
      </c>
      <c r="BD5" s="189">
        <v>7489979</v>
      </c>
      <c r="BE5" s="190">
        <v>24882505</v>
      </c>
      <c r="BF5" s="188">
        <f t="shared" si="14"/>
        <v>8346135</v>
      </c>
      <c r="BG5" s="189">
        <f t="shared" si="8"/>
        <v>9520913</v>
      </c>
      <c r="BH5" s="189">
        <f t="shared" si="9"/>
        <v>15226162</v>
      </c>
      <c r="BI5" s="189">
        <f t="shared" si="10"/>
        <v>25327965</v>
      </c>
      <c r="BJ5" s="190">
        <f t="shared" si="11"/>
        <v>58421175</v>
      </c>
      <c r="BK5" s="188">
        <v>1230775</v>
      </c>
      <c r="BL5" s="189">
        <v>1560434</v>
      </c>
      <c r="BM5" s="189">
        <v>1677632</v>
      </c>
      <c r="BN5" s="189">
        <v>2374817</v>
      </c>
      <c r="BO5" s="190">
        <v>6843658</v>
      </c>
      <c r="BP5" s="188">
        <v>2362284</v>
      </c>
      <c r="BQ5" s="189">
        <v>1950459</v>
      </c>
      <c r="BR5" s="189">
        <v>3208479</v>
      </c>
      <c r="BS5" s="189">
        <v>6090525</v>
      </c>
      <c r="BT5" s="190">
        <v>13611747</v>
      </c>
      <c r="BU5" s="188">
        <v>2934187</v>
      </c>
      <c r="BV5" s="189">
        <v>4109336</v>
      </c>
      <c r="BW5" s="189">
        <v>7766206</v>
      </c>
      <c r="BX5" s="189">
        <v>13147872</v>
      </c>
      <c r="BY5" s="190">
        <v>27957601</v>
      </c>
      <c r="BZ5" s="188">
        <v>980638</v>
      </c>
      <c r="CA5" s="189">
        <v>1061057</v>
      </c>
      <c r="CB5" s="189">
        <v>1654684</v>
      </c>
      <c r="CC5" s="189">
        <v>2412042</v>
      </c>
      <c r="CD5" s="190">
        <v>6108421</v>
      </c>
      <c r="CE5" s="188">
        <v>838251</v>
      </c>
      <c r="CF5" s="189">
        <v>839627</v>
      </c>
      <c r="CG5" s="189">
        <v>919161</v>
      </c>
      <c r="CH5" s="189">
        <v>1302709</v>
      </c>
      <c r="CI5" s="190">
        <v>3899748</v>
      </c>
    </row>
    <row r="6" spans="1:87">
      <c r="A6" s="186"/>
      <c r="B6" s="187" t="s">
        <v>29</v>
      </c>
      <c r="C6" s="188">
        <f t="shared" si="12"/>
        <v>533818</v>
      </c>
      <c r="D6" s="189">
        <f t="shared" si="0"/>
        <v>196456</v>
      </c>
      <c r="E6" s="189">
        <f t="shared" si="1"/>
        <v>222058</v>
      </c>
      <c r="F6" s="189">
        <f t="shared" si="2"/>
        <v>1673630</v>
      </c>
      <c r="G6" s="190">
        <f t="shared" si="3"/>
        <v>2625962</v>
      </c>
      <c r="H6" s="188">
        <f t="shared" si="13"/>
        <v>487739</v>
      </c>
      <c r="I6" s="189">
        <f t="shared" si="4"/>
        <v>140292</v>
      </c>
      <c r="J6" s="189">
        <f t="shared" si="5"/>
        <v>124515</v>
      </c>
      <c r="K6" s="189">
        <f t="shared" si="6"/>
        <v>1620560</v>
      </c>
      <c r="L6" s="190">
        <f t="shared" si="7"/>
        <v>2373106</v>
      </c>
      <c r="M6" s="188">
        <v>207344</v>
      </c>
      <c r="N6" s="189">
        <v>44166</v>
      </c>
      <c r="O6" s="189">
        <v>6495</v>
      </c>
      <c r="P6" s="189"/>
      <c r="Q6" s="190">
        <v>258005</v>
      </c>
      <c r="R6" s="188">
        <v>24681</v>
      </c>
      <c r="S6" s="189">
        <v>11691</v>
      </c>
      <c r="T6" s="189">
        <v>20784</v>
      </c>
      <c r="U6" s="189">
        <v>222365</v>
      </c>
      <c r="V6" s="190">
        <v>279521</v>
      </c>
      <c r="W6" s="188">
        <v>50165</v>
      </c>
      <c r="X6" s="189">
        <v>22083</v>
      </c>
      <c r="Y6" s="189">
        <v>19485</v>
      </c>
      <c r="Z6" s="189">
        <v>35876</v>
      </c>
      <c r="AA6" s="190">
        <v>127609</v>
      </c>
      <c r="AB6" s="188"/>
      <c r="AC6" s="189"/>
      <c r="AD6" s="189"/>
      <c r="AE6" s="189"/>
      <c r="AF6" s="190"/>
      <c r="AG6" s="188">
        <v>96126</v>
      </c>
      <c r="AH6" s="189">
        <v>35073</v>
      </c>
      <c r="AI6" s="189">
        <v>10392</v>
      </c>
      <c r="AJ6" s="189">
        <v>1228900</v>
      </c>
      <c r="AK6" s="190">
        <v>1370491</v>
      </c>
      <c r="AL6" s="188">
        <v>33278</v>
      </c>
      <c r="AM6" s="189">
        <v>25980</v>
      </c>
      <c r="AN6" s="189">
        <v>24681</v>
      </c>
      <c r="AO6" s="189">
        <v>33278</v>
      </c>
      <c r="AP6" s="190">
        <v>117217</v>
      </c>
      <c r="AQ6" s="188"/>
      <c r="AR6" s="189"/>
      <c r="AS6" s="189"/>
      <c r="AT6" s="189">
        <v>100141</v>
      </c>
      <c r="AU6" s="190">
        <v>100141</v>
      </c>
      <c r="AV6" s="188">
        <v>16391</v>
      </c>
      <c r="AW6" s="189"/>
      <c r="AX6" s="189">
        <v>17997</v>
      </c>
      <c r="AY6" s="189"/>
      <c r="AZ6" s="190">
        <v>34388</v>
      </c>
      <c r="BA6" s="188">
        <v>59754</v>
      </c>
      <c r="BB6" s="189">
        <v>1299</v>
      </c>
      <c r="BC6" s="189">
        <v>24681</v>
      </c>
      <c r="BD6" s="189"/>
      <c r="BE6" s="190">
        <v>85734</v>
      </c>
      <c r="BF6" s="188">
        <f t="shared" si="14"/>
        <v>46079</v>
      </c>
      <c r="BG6" s="189">
        <f t="shared" si="8"/>
        <v>56164</v>
      </c>
      <c r="BH6" s="189">
        <f t="shared" si="9"/>
        <v>97543</v>
      </c>
      <c r="BI6" s="189">
        <f t="shared" si="10"/>
        <v>53070</v>
      </c>
      <c r="BJ6" s="190">
        <f t="shared" si="11"/>
        <v>252856</v>
      </c>
      <c r="BK6" s="188">
        <v>12494</v>
      </c>
      <c r="BL6" s="189">
        <v>22886</v>
      </c>
      <c r="BM6" s="189">
        <v>17690</v>
      </c>
      <c r="BN6" s="189">
        <v>16391</v>
      </c>
      <c r="BO6" s="190">
        <v>69461</v>
      </c>
      <c r="BP6" s="188">
        <v>9093</v>
      </c>
      <c r="BQ6" s="189">
        <v>23382</v>
      </c>
      <c r="BR6" s="189">
        <v>31979</v>
      </c>
      <c r="BS6" s="189">
        <v>17690</v>
      </c>
      <c r="BT6" s="190">
        <v>82144</v>
      </c>
      <c r="BU6" s="188">
        <v>19296</v>
      </c>
      <c r="BV6" s="189">
        <v>9896</v>
      </c>
      <c r="BW6" s="189">
        <v>42678</v>
      </c>
      <c r="BX6" s="189">
        <v>11195</v>
      </c>
      <c r="BY6" s="190">
        <v>83065</v>
      </c>
      <c r="BZ6" s="188">
        <v>5196</v>
      </c>
      <c r="CA6" s="189"/>
      <c r="CB6" s="189">
        <v>5196</v>
      </c>
      <c r="CC6" s="189">
        <v>7794</v>
      </c>
      <c r="CD6" s="190">
        <v>18186</v>
      </c>
      <c r="CE6" s="188"/>
      <c r="CF6" s="189"/>
      <c r="CG6" s="189"/>
      <c r="CH6" s="189"/>
      <c r="CI6" s="190"/>
    </row>
    <row r="7" s="163" customFormat="1" ht="14.6" spans="1:87">
      <c r="A7" s="191" t="s">
        <v>30</v>
      </c>
      <c r="B7" s="192"/>
      <c r="C7" s="193">
        <f t="shared" si="12"/>
        <v>80394619</v>
      </c>
      <c r="D7" s="194">
        <f t="shared" si="0"/>
        <v>89813383</v>
      </c>
      <c r="E7" s="194">
        <f t="shared" si="1"/>
        <v>109083787</v>
      </c>
      <c r="F7" s="194">
        <f t="shared" si="2"/>
        <v>145521660</v>
      </c>
      <c r="G7" s="195">
        <f t="shared" si="3"/>
        <v>424813449</v>
      </c>
      <c r="H7" s="193">
        <f t="shared" si="13"/>
        <v>70350926</v>
      </c>
      <c r="I7" s="194">
        <f t="shared" si="4"/>
        <v>78799067</v>
      </c>
      <c r="J7" s="194">
        <f t="shared" si="5"/>
        <v>91649804</v>
      </c>
      <c r="K7" s="194">
        <f t="shared" si="6"/>
        <v>117790882</v>
      </c>
      <c r="L7" s="195">
        <f t="shared" si="7"/>
        <v>358590679</v>
      </c>
      <c r="M7" s="193">
        <v>10883648</v>
      </c>
      <c r="N7" s="194">
        <v>13952805</v>
      </c>
      <c r="O7" s="194">
        <v>14729495</v>
      </c>
      <c r="P7" s="194">
        <v>17087898</v>
      </c>
      <c r="Q7" s="195">
        <v>56653846</v>
      </c>
      <c r="R7" s="193">
        <v>8360077</v>
      </c>
      <c r="S7" s="194">
        <v>12510737</v>
      </c>
      <c r="T7" s="194">
        <v>14906080</v>
      </c>
      <c r="U7" s="194">
        <v>23856086</v>
      </c>
      <c r="V7" s="195">
        <v>59632980</v>
      </c>
      <c r="W7" s="193">
        <v>11399771</v>
      </c>
      <c r="X7" s="194">
        <v>9473671</v>
      </c>
      <c r="Y7" s="194">
        <v>10576674</v>
      </c>
      <c r="Z7" s="194">
        <v>10365554</v>
      </c>
      <c r="AA7" s="195">
        <v>41815670</v>
      </c>
      <c r="AB7" s="193">
        <v>588401</v>
      </c>
      <c r="AC7" s="194">
        <v>2188558</v>
      </c>
      <c r="AD7" s="194">
        <v>3762239</v>
      </c>
      <c r="AE7" s="194">
        <v>6115817</v>
      </c>
      <c r="AF7" s="195">
        <v>12655015</v>
      </c>
      <c r="AG7" s="193">
        <v>19301304</v>
      </c>
      <c r="AH7" s="194">
        <v>22313707</v>
      </c>
      <c r="AI7" s="194">
        <v>23097256</v>
      </c>
      <c r="AJ7" s="194">
        <v>34944143</v>
      </c>
      <c r="AK7" s="195">
        <v>99656410</v>
      </c>
      <c r="AL7" s="193">
        <v>3444506</v>
      </c>
      <c r="AM7" s="194">
        <v>3313164</v>
      </c>
      <c r="AN7" s="194">
        <v>5613926</v>
      </c>
      <c r="AO7" s="194">
        <v>5203885</v>
      </c>
      <c r="AP7" s="195">
        <v>17575481</v>
      </c>
      <c r="AQ7" s="193">
        <v>9868947</v>
      </c>
      <c r="AR7" s="194">
        <v>7837321</v>
      </c>
      <c r="AS7" s="194">
        <v>8656288</v>
      </c>
      <c r="AT7" s="194">
        <v>10005788</v>
      </c>
      <c r="AU7" s="195">
        <v>36368344</v>
      </c>
      <c r="AV7" s="193">
        <v>570756</v>
      </c>
      <c r="AW7" s="194">
        <v>898957</v>
      </c>
      <c r="AX7" s="194">
        <v>1138301</v>
      </c>
      <c r="AY7" s="194">
        <v>1241109</v>
      </c>
      <c r="AZ7" s="195">
        <v>3849123</v>
      </c>
      <c r="BA7" s="193">
        <v>5933516</v>
      </c>
      <c r="BB7" s="194">
        <v>6310147</v>
      </c>
      <c r="BC7" s="194">
        <v>9169545</v>
      </c>
      <c r="BD7" s="194">
        <v>8970602</v>
      </c>
      <c r="BE7" s="195">
        <v>30383810</v>
      </c>
      <c r="BF7" s="193">
        <f t="shared" si="14"/>
        <v>10043693</v>
      </c>
      <c r="BG7" s="194">
        <f t="shared" si="8"/>
        <v>11014316</v>
      </c>
      <c r="BH7" s="194">
        <f t="shared" si="9"/>
        <v>17433983</v>
      </c>
      <c r="BI7" s="194">
        <f t="shared" si="10"/>
        <v>27730778</v>
      </c>
      <c r="BJ7" s="195">
        <f t="shared" si="11"/>
        <v>66222770</v>
      </c>
      <c r="BK7" s="193">
        <v>1306786</v>
      </c>
      <c r="BL7" s="194">
        <v>1652364</v>
      </c>
      <c r="BM7" s="194">
        <v>1788940</v>
      </c>
      <c r="BN7" s="194">
        <v>2472679</v>
      </c>
      <c r="BO7" s="195">
        <v>7220769</v>
      </c>
      <c r="BP7" s="193">
        <v>3407163</v>
      </c>
      <c r="BQ7" s="194">
        <v>2797335</v>
      </c>
      <c r="BR7" s="194">
        <v>4405654</v>
      </c>
      <c r="BS7" s="194">
        <v>7358181</v>
      </c>
      <c r="BT7" s="195">
        <v>17968333</v>
      </c>
      <c r="BU7" s="193">
        <v>3381080</v>
      </c>
      <c r="BV7" s="194">
        <v>4559523</v>
      </c>
      <c r="BW7" s="194">
        <v>8395744</v>
      </c>
      <c r="BX7" s="194">
        <v>13987532</v>
      </c>
      <c r="BY7" s="195">
        <v>30323879</v>
      </c>
      <c r="BZ7" s="193">
        <v>1064470</v>
      </c>
      <c r="CA7" s="194">
        <v>1125099</v>
      </c>
      <c r="CB7" s="194">
        <v>1850798</v>
      </c>
      <c r="CC7" s="194">
        <v>2533414</v>
      </c>
      <c r="CD7" s="195">
        <v>6573781</v>
      </c>
      <c r="CE7" s="193">
        <v>884194</v>
      </c>
      <c r="CF7" s="194">
        <v>879995</v>
      </c>
      <c r="CG7" s="194">
        <v>992847</v>
      </c>
      <c r="CH7" s="194">
        <v>1378972</v>
      </c>
      <c r="CI7" s="195">
        <v>4136008</v>
      </c>
    </row>
    <row r="8" spans="1:87">
      <c r="A8" s="186" t="s">
        <v>31</v>
      </c>
      <c r="B8" s="187" t="s">
        <v>26</v>
      </c>
      <c r="C8" s="188">
        <f t="shared" si="12"/>
        <v>12456868</v>
      </c>
      <c r="D8" s="189">
        <f t="shared" si="0"/>
        <v>13406779</v>
      </c>
      <c r="E8" s="189">
        <f t="shared" si="1"/>
        <v>12790002</v>
      </c>
      <c r="F8" s="189">
        <f t="shared" si="2"/>
        <v>8740642</v>
      </c>
      <c r="G8" s="190">
        <f t="shared" si="3"/>
        <v>47394291</v>
      </c>
      <c r="H8" s="188">
        <f t="shared" si="13"/>
        <v>12176566</v>
      </c>
      <c r="I8" s="189">
        <f t="shared" si="4"/>
        <v>12965277</v>
      </c>
      <c r="J8" s="189">
        <f t="shared" si="5"/>
        <v>12351052</v>
      </c>
      <c r="K8" s="189">
        <f t="shared" si="6"/>
        <v>8121817</v>
      </c>
      <c r="L8" s="190">
        <f t="shared" si="7"/>
        <v>45614712</v>
      </c>
      <c r="M8" s="188">
        <v>1021784</v>
      </c>
      <c r="N8" s="189">
        <v>1415029</v>
      </c>
      <c r="O8" s="189">
        <v>1482794</v>
      </c>
      <c r="P8" s="189">
        <v>1052481</v>
      </c>
      <c r="Q8" s="190">
        <v>4972088</v>
      </c>
      <c r="R8" s="188">
        <v>514944</v>
      </c>
      <c r="S8" s="189">
        <v>659432</v>
      </c>
      <c r="T8" s="189">
        <v>862424</v>
      </c>
      <c r="U8" s="189">
        <v>611314</v>
      </c>
      <c r="V8" s="190">
        <v>2648114</v>
      </c>
      <c r="W8" s="188">
        <v>940300</v>
      </c>
      <c r="X8" s="189">
        <v>1032934</v>
      </c>
      <c r="Y8" s="189">
        <v>1490459</v>
      </c>
      <c r="Z8" s="189">
        <v>817395</v>
      </c>
      <c r="AA8" s="190">
        <v>4281088</v>
      </c>
      <c r="AB8" s="188">
        <v>184491</v>
      </c>
      <c r="AC8" s="189">
        <v>1192678</v>
      </c>
      <c r="AD8" s="189">
        <v>2516669</v>
      </c>
      <c r="AE8" s="189">
        <v>1497621</v>
      </c>
      <c r="AF8" s="190">
        <v>5391459</v>
      </c>
      <c r="AG8" s="188">
        <v>7323196</v>
      </c>
      <c r="AH8" s="189">
        <v>5904047</v>
      </c>
      <c r="AI8" s="189">
        <v>2661429</v>
      </c>
      <c r="AJ8" s="189">
        <v>1901782</v>
      </c>
      <c r="AK8" s="190">
        <v>17790454</v>
      </c>
      <c r="AL8" s="188">
        <v>183936</v>
      </c>
      <c r="AM8" s="189">
        <v>420953</v>
      </c>
      <c r="AN8" s="189">
        <v>661836</v>
      </c>
      <c r="AO8" s="189">
        <v>328278</v>
      </c>
      <c r="AP8" s="190">
        <v>1595003</v>
      </c>
      <c r="AQ8" s="188">
        <v>1178832</v>
      </c>
      <c r="AR8" s="189">
        <v>1117729</v>
      </c>
      <c r="AS8" s="189">
        <v>1467442</v>
      </c>
      <c r="AT8" s="189">
        <v>1072818</v>
      </c>
      <c r="AU8" s="190">
        <v>4836821</v>
      </c>
      <c r="AV8" s="188">
        <v>63167</v>
      </c>
      <c r="AW8" s="189">
        <v>88308</v>
      </c>
      <c r="AX8" s="189">
        <v>88664</v>
      </c>
      <c r="AY8" s="189">
        <v>72793</v>
      </c>
      <c r="AZ8" s="190">
        <v>312932</v>
      </c>
      <c r="BA8" s="188">
        <v>765916</v>
      </c>
      <c r="BB8" s="189">
        <v>1134167</v>
      </c>
      <c r="BC8" s="189">
        <v>1119335</v>
      </c>
      <c r="BD8" s="189">
        <v>767335</v>
      </c>
      <c r="BE8" s="190">
        <v>3786753</v>
      </c>
      <c r="BF8" s="188">
        <f t="shared" si="14"/>
        <v>280302</v>
      </c>
      <c r="BG8" s="189">
        <f t="shared" si="8"/>
        <v>441502</v>
      </c>
      <c r="BH8" s="189">
        <f t="shared" si="9"/>
        <v>438950</v>
      </c>
      <c r="BI8" s="189">
        <f t="shared" si="10"/>
        <v>618825</v>
      </c>
      <c r="BJ8" s="190">
        <f t="shared" si="11"/>
        <v>1779579</v>
      </c>
      <c r="BK8" s="188">
        <v>23334</v>
      </c>
      <c r="BL8" s="189">
        <v>28226</v>
      </c>
      <c r="BM8" s="189">
        <v>34277</v>
      </c>
      <c r="BN8" s="189">
        <v>29922</v>
      </c>
      <c r="BO8" s="190">
        <v>115759</v>
      </c>
      <c r="BP8" s="188">
        <v>57777</v>
      </c>
      <c r="BQ8" s="189">
        <v>139305</v>
      </c>
      <c r="BR8" s="189">
        <v>111727</v>
      </c>
      <c r="BS8" s="189">
        <v>101954</v>
      </c>
      <c r="BT8" s="190">
        <v>410763</v>
      </c>
      <c r="BU8" s="188">
        <v>149344</v>
      </c>
      <c r="BV8" s="189">
        <v>186042</v>
      </c>
      <c r="BW8" s="189">
        <v>237181</v>
      </c>
      <c r="BX8" s="189">
        <v>417081</v>
      </c>
      <c r="BY8" s="190">
        <v>989648</v>
      </c>
      <c r="BZ8" s="188">
        <v>25599</v>
      </c>
      <c r="CA8" s="189">
        <v>45980</v>
      </c>
      <c r="CB8" s="189">
        <v>46174</v>
      </c>
      <c r="CC8" s="189">
        <v>45304</v>
      </c>
      <c r="CD8" s="190">
        <v>163057</v>
      </c>
      <c r="CE8" s="188">
        <v>24248</v>
      </c>
      <c r="CF8" s="189">
        <v>41949</v>
      </c>
      <c r="CG8" s="189">
        <v>9591</v>
      </c>
      <c r="CH8" s="189">
        <v>24564</v>
      </c>
      <c r="CI8" s="190">
        <v>100352</v>
      </c>
    </row>
    <row r="9" spans="1:87">
      <c r="A9" s="186"/>
      <c r="B9" s="187" t="s">
        <v>27</v>
      </c>
      <c r="C9" s="188">
        <f t="shared" si="12"/>
        <v>7448834</v>
      </c>
      <c r="D9" s="189">
        <f t="shared" si="0"/>
        <v>7482109</v>
      </c>
      <c r="E9" s="189">
        <f t="shared" si="1"/>
        <v>5426848</v>
      </c>
      <c r="F9" s="189">
        <f t="shared" si="2"/>
        <v>3848187</v>
      </c>
      <c r="G9" s="190">
        <f t="shared" si="3"/>
        <v>24205978</v>
      </c>
      <c r="H9" s="188">
        <f t="shared" si="13"/>
        <v>7325346</v>
      </c>
      <c r="I9" s="189">
        <f t="shared" si="4"/>
        <v>7300112</v>
      </c>
      <c r="J9" s="189">
        <f t="shared" si="5"/>
        <v>5198240</v>
      </c>
      <c r="K9" s="189">
        <f t="shared" si="6"/>
        <v>3594201</v>
      </c>
      <c r="L9" s="190">
        <f t="shared" si="7"/>
        <v>23417899</v>
      </c>
      <c r="M9" s="188">
        <v>333540</v>
      </c>
      <c r="N9" s="189">
        <v>565172</v>
      </c>
      <c r="O9" s="189">
        <v>437818</v>
      </c>
      <c r="P9" s="189">
        <v>364217</v>
      </c>
      <c r="Q9" s="190">
        <v>1700747</v>
      </c>
      <c r="R9" s="188">
        <v>279667</v>
      </c>
      <c r="S9" s="189">
        <v>463304</v>
      </c>
      <c r="T9" s="189">
        <v>499103</v>
      </c>
      <c r="U9" s="189">
        <v>377200</v>
      </c>
      <c r="V9" s="190">
        <v>1619274</v>
      </c>
      <c r="W9" s="188">
        <v>1802522</v>
      </c>
      <c r="X9" s="189">
        <v>957915</v>
      </c>
      <c r="Y9" s="189">
        <v>1029172</v>
      </c>
      <c r="Z9" s="189">
        <v>508296</v>
      </c>
      <c r="AA9" s="190">
        <v>4297905</v>
      </c>
      <c r="AB9" s="188">
        <v>10983</v>
      </c>
      <c r="AC9" s="189">
        <v>580438</v>
      </c>
      <c r="AD9" s="189">
        <v>482058</v>
      </c>
      <c r="AE9" s="189">
        <v>74037</v>
      </c>
      <c r="AF9" s="190">
        <v>1147516</v>
      </c>
      <c r="AG9" s="188">
        <v>4478015</v>
      </c>
      <c r="AH9" s="189">
        <v>3745846</v>
      </c>
      <c r="AI9" s="189">
        <v>2244195</v>
      </c>
      <c r="AJ9" s="189">
        <v>1897795</v>
      </c>
      <c r="AK9" s="190">
        <v>12365851</v>
      </c>
      <c r="AL9" s="188">
        <v>102417</v>
      </c>
      <c r="AM9" s="189">
        <v>204882</v>
      </c>
      <c r="AN9" s="189">
        <v>72866</v>
      </c>
      <c r="AO9" s="189">
        <v>45689</v>
      </c>
      <c r="AP9" s="190">
        <v>425854</v>
      </c>
      <c r="AQ9" s="188">
        <v>181670</v>
      </c>
      <c r="AR9" s="189">
        <v>363989</v>
      </c>
      <c r="AS9" s="189">
        <v>232101</v>
      </c>
      <c r="AT9" s="189">
        <v>193664</v>
      </c>
      <c r="AU9" s="190">
        <v>971424</v>
      </c>
      <c r="AV9" s="188">
        <v>16568</v>
      </c>
      <c r="AW9" s="189">
        <v>53125</v>
      </c>
      <c r="AX9" s="189">
        <v>26983</v>
      </c>
      <c r="AY9" s="189">
        <v>14604</v>
      </c>
      <c r="AZ9" s="190">
        <v>111280</v>
      </c>
      <c r="BA9" s="188">
        <v>119964</v>
      </c>
      <c r="BB9" s="189">
        <v>365441</v>
      </c>
      <c r="BC9" s="189">
        <v>173944</v>
      </c>
      <c r="BD9" s="189">
        <v>118699</v>
      </c>
      <c r="BE9" s="190">
        <v>778048</v>
      </c>
      <c r="BF9" s="188">
        <f t="shared" si="14"/>
        <v>123488</v>
      </c>
      <c r="BG9" s="189">
        <f t="shared" si="8"/>
        <v>181997</v>
      </c>
      <c r="BH9" s="189">
        <f t="shared" si="9"/>
        <v>228608</v>
      </c>
      <c r="BI9" s="189">
        <f t="shared" si="10"/>
        <v>253986</v>
      </c>
      <c r="BJ9" s="190">
        <f t="shared" si="11"/>
        <v>788079</v>
      </c>
      <c r="BK9" s="188">
        <v>14376</v>
      </c>
      <c r="BL9" s="189">
        <v>15014</v>
      </c>
      <c r="BM9" s="189">
        <v>11422</v>
      </c>
      <c r="BN9" s="189">
        <v>7846</v>
      </c>
      <c r="BO9" s="190">
        <v>48658</v>
      </c>
      <c r="BP9" s="188">
        <v>28443</v>
      </c>
      <c r="BQ9" s="189">
        <v>87590</v>
      </c>
      <c r="BR9" s="189">
        <v>71758</v>
      </c>
      <c r="BS9" s="189">
        <v>43289</v>
      </c>
      <c r="BT9" s="190">
        <v>231080</v>
      </c>
      <c r="BU9" s="188">
        <v>66703</v>
      </c>
      <c r="BV9" s="189">
        <v>47429</v>
      </c>
      <c r="BW9" s="189">
        <v>125600</v>
      </c>
      <c r="BX9" s="189">
        <v>184631</v>
      </c>
      <c r="BY9" s="190">
        <v>424363</v>
      </c>
      <c r="BZ9" s="188">
        <v>8116</v>
      </c>
      <c r="CA9" s="189">
        <v>26768</v>
      </c>
      <c r="CB9" s="189">
        <v>18163</v>
      </c>
      <c r="CC9" s="189">
        <v>13126</v>
      </c>
      <c r="CD9" s="190">
        <v>66173</v>
      </c>
      <c r="CE9" s="188">
        <v>5850</v>
      </c>
      <c r="CF9" s="189">
        <v>5196</v>
      </c>
      <c r="CG9" s="189">
        <v>1665</v>
      </c>
      <c r="CH9" s="189">
        <v>5094</v>
      </c>
      <c r="CI9" s="190">
        <v>17805</v>
      </c>
    </row>
    <row r="10" spans="1:87">
      <c r="A10" s="186"/>
      <c r="B10" s="187" t="s">
        <v>28</v>
      </c>
      <c r="C10" s="188">
        <f t="shared" si="12"/>
        <v>27192110</v>
      </c>
      <c r="D10" s="189">
        <f t="shared" si="0"/>
        <v>24657149</v>
      </c>
      <c r="E10" s="189">
        <f t="shared" si="1"/>
        <v>23042853</v>
      </c>
      <c r="F10" s="189">
        <f t="shared" si="2"/>
        <v>15280514</v>
      </c>
      <c r="G10" s="190">
        <f t="shared" si="3"/>
        <v>90172626</v>
      </c>
      <c r="H10" s="188">
        <f t="shared" si="13"/>
        <v>26107647</v>
      </c>
      <c r="I10" s="189">
        <f t="shared" si="4"/>
        <v>23374265</v>
      </c>
      <c r="J10" s="189">
        <f t="shared" si="5"/>
        <v>21089368</v>
      </c>
      <c r="K10" s="189">
        <f t="shared" si="6"/>
        <v>12952555</v>
      </c>
      <c r="L10" s="190">
        <f t="shared" si="7"/>
        <v>83523835</v>
      </c>
      <c r="M10" s="188">
        <v>2066507</v>
      </c>
      <c r="N10" s="189">
        <v>2691648</v>
      </c>
      <c r="O10" s="189">
        <v>1449691</v>
      </c>
      <c r="P10" s="189">
        <v>1018281</v>
      </c>
      <c r="Q10" s="190">
        <v>7226127</v>
      </c>
      <c r="R10" s="188">
        <v>2485652</v>
      </c>
      <c r="S10" s="189">
        <v>3195312</v>
      </c>
      <c r="T10" s="189">
        <v>4116077</v>
      </c>
      <c r="U10" s="189">
        <v>2315627</v>
      </c>
      <c r="V10" s="190">
        <v>12112668</v>
      </c>
      <c r="W10" s="188">
        <v>3556762</v>
      </c>
      <c r="X10" s="189">
        <v>3750708</v>
      </c>
      <c r="Y10" s="189">
        <v>3533800</v>
      </c>
      <c r="Z10" s="189">
        <v>2525494</v>
      </c>
      <c r="AA10" s="190">
        <v>13366764</v>
      </c>
      <c r="AB10" s="188">
        <v>23140</v>
      </c>
      <c r="AC10" s="189">
        <v>487246</v>
      </c>
      <c r="AD10" s="189">
        <v>1359094</v>
      </c>
      <c r="AE10" s="189">
        <v>394985</v>
      </c>
      <c r="AF10" s="190">
        <v>2264465</v>
      </c>
      <c r="AG10" s="188">
        <v>14224650</v>
      </c>
      <c r="AH10" s="189">
        <v>7966390</v>
      </c>
      <c r="AI10" s="189">
        <v>4583950</v>
      </c>
      <c r="AJ10" s="189">
        <v>3637087</v>
      </c>
      <c r="AK10" s="190">
        <v>30412077</v>
      </c>
      <c r="AL10" s="188">
        <v>1176145</v>
      </c>
      <c r="AM10" s="189">
        <v>1517257</v>
      </c>
      <c r="AN10" s="189">
        <v>1185004</v>
      </c>
      <c r="AO10" s="189">
        <v>821906</v>
      </c>
      <c r="AP10" s="190">
        <v>4700312</v>
      </c>
      <c r="AQ10" s="188">
        <v>1625969</v>
      </c>
      <c r="AR10" s="189">
        <v>1808115</v>
      </c>
      <c r="AS10" s="189">
        <v>3354392</v>
      </c>
      <c r="AT10" s="189">
        <v>1710770</v>
      </c>
      <c r="AU10" s="190">
        <v>8499246</v>
      </c>
      <c r="AV10" s="188">
        <v>93999</v>
      </c>
      <c r="AW10" s="189">
        <v>96038</v>
      </c>
      <c r="AX10" s="189">
        <v>106146</v>
      </c>
      <c r="AY10" s="189">
        <v>96960</v>
      </c>
      <c r="AZ10" s="190">
        <v>393143</v>
      </c>
      <c r="BA10" s="188">
        <v>854823</v>
      </c>
      <c r="BB10" s="189">
        <v>1861551</v>
      </c>
      <c r="BC10" s="189">
        <v>1401214</v>
      </c>
      <c r="BD10" s="189">
        <v>431445</v>
      </c>
      <c r="BE10" s="190">
        <v>4549033</v>
      </c>
      <c r="BF10" s="188">
        <f t="shared" si="14"/>
        <v>1084463</v>
      </c>
      <c r="BG10" s="189">
        <f t="shared" si="8"/>
        <v>1282884</v>
      </c>
      <c r="BH10" s="189">
        <f t="shared" si="9"/>
        <v>1953485</v>
      </c>
      <c r="BI10" s="189">
        <f t="shared" si="10"/>
        <v>2327959</v>
      </c>
      <c r="BJ10" s="190">
        <f t="shared" si="11"/>
        <v>6648791</v>
      </c>
      <c r="BK10" s="188">
        <v>82917</v>
      </c>
      <c r="BL10" s="189">
        <v>158067</v>
      </c>
      <c r="BM10" s="189">
        <v>336477</v>
      </c>
      <c r="BN10" s="189">
        <v>247003</v>
      </c>
      <c r="BO10" s="190">
        <v>824464</v>
      </c>
      <c r="BP10" s="188">
        <v>197747</v>
      </c>
      <c r="BQ10" s="189">
        <v>246796</v>
      </c>
      <c r="BR10" s="189">
        <v>340144</v>
      </c>
      <c r="BS10" s="189">
        <v>269549</v>
      </c>
      <c r="BT10" s="190">
        <v>1054236</v>
      </c>
      <c r="BU10" s="188">
        <v>608867</v>
      </c>
      <c r="BV10" s="189">
        <v>623365</v>
      </c>
      <c r="BW10" s="189">
        <v>1001513</v>
      </c>
      <c r="BX10" s="189">
        <v>1505469</v>
      </c>
      <c r="BY10" s="190">
        <v>3739214</v>
      </c>
      <c r="BZ10" s="188">
        <v>105088</v>
      </c>
      <c r="CA10" s="189">
        <v>145479</v>
      </c>
      <c r="CB10" s="189">
        <v>174254</v>
      </c>
      <c r="CC10" s="189">
        <v>179610</v>
      </c>
      <c r="CD10" s="190">
        <v>604431</v>
      </c>
      <c r="CE10" s="188">
        <v>89844</v>
      </c>
      <c r="CF10" s="189">
        <v>109177</v>
      </c>
      <c r="CG10" s="189">
        <v>101097</v>
      </c>
      <c r="CH10" s="189">
        <v>126328</v>
      </c>
      <c r="CI10" s="190">
        <v>426446</v>
      </c>
    </row>
    <row r="11" spans="1:87">
      <c r="A11" s="186"/>
      <c r="B11" s="187" t="s">
        <v>29</v>
      </c>
      <c r="C11" s="188">
        <f t="shared" si="12"/>
        <v>1797301</v>
      </c>
      <c r="D11" s="189">
        <f t="shared" si="0"/>
        <v>1331112</v>
      </c>
      <c r="E11" s="189">
        <f t="shared" si="1"/>
        <v>791472</v>
      </c>
      <c r="F11" s="189">
        <f t="shared" si="2"/>
        <v>535143</v>
      </c>
      <c r="G11" s="190">
        <f t="shared" si="3"/>
        <v>4455028</v>
      </c>
      <c r="H11" s="188">
        <f t="shared" si="13"/>
        <v>1783810</v>
      </c>
      <c r="I11" s="189">
        <f t="shared" si="4"/>
        <v>1302631</v>
      </c>
      <c r="J11" s="189">
        <f t="shared" si="5"/>
        <v>779480</v>
      </c>
      <c r="K11" s="189">
        <f t="shared" si="6"/>
        <v>505163</v>
      </c>
      <c r="L11" s="190">
        <f t="shared" si="7"/>
        <v>4371084</v>
      </c>
      <c r="M11" s="188">
        <v>133411</v>
      </c>
      <c r="N11" s="189">
        <v>79447</v>
      </c>
      <c r="O11" s="189">
        <v>88441</v>
      </c>
      <c r="P11" s="189">
        <v>73451</v>
      </c>
      <c r="Q11" s="190">
        <v>374750</v>
      </c>
      <c r="R11" s="188">
        <v>52465</v>
      </c>
      <c r="S11" s="189">
        <v>44970</v>
      </c>
      <c r="T11" s="189">
        <v>82445</v>
      </c>
      <c r="U11" s="189">
        <v>46469</v>
      </c>
      <c r="V11" s="190">
        <v>226349</v>
      </c>
      <c r="W11" s="188">
        <v>262325</v>
      </c>
      <c r="X11" s="189">
        <v>38974</v>
      </c>
      <c r="Y11" s="189">
        <v>29980</v>
      </c>
      <c r="Z11" s="189">
        <v>41972</v>
      </c>
      <c r="AA11" s="190">
        <v>373251</v>
      </c>
      <c r="AB11" s="188">
        <v>56962</v>
      </c>
      <c r="AC11" s="189">
        <v>113924</v>
      </c>
      <c r="AD11" s="189">
        <v>41972</v>
      </c>
      <c r="AE11" s="189">
        <v>2998</v>
      </c>
      <c r="AF11" s="190">
        <v>215856</v>
      </c>
      <c r="AG11" s="188">
        <v>920386</v>
      </c>
      <c r="AH11" s="189">
        <v>783977</v>
      </c>
      <c r="AI11" s="189">
        <v>214357</v>
      </c>
      <c r="AJ11" s="189">
        <v>196369</v>
      </c>
      <c r="AK11" s="190">
        <v>2115089</v>
      </c>
      <c r="AL11" s="188">
        <v>92938</v>
      </c>
      <c r="AM11" s="189">
        <v>53964</v>
      </c>
      <c r="AN11" s="189">
        <v>166389</v>
      </c>
      <c r="AO11" s="189">
        <v>29980</v>
      </c>
      <c r="AP11" s="190">
        <v>343271</v>
      </c>
      <c r="AQ11" s="188">
        <v>61459</v>
      </c>
      <c r="AR11" s="189">
        <v>145403</v>
      </c>
      <c r="AS11" s="189">
        <v>98934</v>
      </c>
      <c r="AT11" s="189">
        <v>70453</v>
      </c>
      <c r="AU11" s="190">
        <v>376249</v>
      </c>
      <c r="AV11" s="188">
        <v>14990</v>
      </c>
      <c r="AW11" s="189">
        <v>1499</v>
      </c>
      <c r="AX11" s="189">
        <v>7495</v>
      </c>
      <c r="AY11" s="189">
        <v>5996</v>
      </c>
      <c r="AZ11" s="190">
        <v>29980</v>
      </c>
      <c r="BA11" s="188">
        <v>188874</v>
      </c>
      <c r="BB11" s="189">
        <v>40473</v>
      </c>
      <c r="BC11" s="189">
        <v>49467</v>
      </c>
      <c r="BD11" s="189">
        <v>37475</v>
      </c>
      <c r="BE11" s="190">
        <v>316289</v>
      </c>
      <c r="BF11" s="188">
        <f t="shared" si="14"/>
        <v>13491</v>
      </c>
      <c r="BG11" s="189">
        <f t="shared" si="8"/>
        <v>28481</v>
      </c>
      <c r="BH11" s="189">
        <f t="shared" si="9"/>
        <v>11992</v>
      </c>
      <c r="BI11" s="189">
        <f t="shared" si="10"/>
        <v>29980</v>
      </c>
      <c r="BJ11" s="190">
        <f t="shared" si="11"/>
        <v>83944</v>
      </c>
      <c r="BK11" s="188"/>
      <c r="BL11" s="189"/>
      <c r="BM11" s="189"/>
      <c r="BN11" s="189">
        <v>4497</v>
      </c>
      <c r="BO11" s="190">
        <v>4497</v>
      </c>
      <c r="BP11" s="188"/>
      <c r="BQ11" s="189">
        <v>8994</v>
      </c>
      <c r="BR11" s="189">
        <v>4497</v>
      </c>
      <c r="BS11" s="189">
        <v>1499</v>
      </c>
      <c r="BT11" s="190">
        <v>14990</v>
      </c>
      <c r="BU11" s="188">
        <v>7495</v>
      </c>
      <c r="BV11" s="189">
        <v>14990</v>
      </c>
      <c r="BW11" s="189">
        <v>5996</v>
      </c>
      <c r="BX11" s="189">
        <v>22485</v>
      </c>
      <c r="BY11" s="190">
        <v>50966</v>
      </c>
      <c r="BZ11" s="188"/>
      <c r="CA11" s="189"/>
      <c r="CB11" s="189"/>
      <c r="CC11" s="189">
        <v>1499</v>
      </c>
      <c r="CD11" s="190">
        <v>1499</v>
      </c>
      <c r="CE11" s="188">
        <v>5996</v>
      </c>
      <c r="CF11" s="189">
        <v>4497</v>
      </c>
      <c r="CG11" s="189">
        <v>1499</v>
      </c>
      <c r="CH11" s="189"/>
      <c r="CI11" s="190">
        <v>11992</v>
      </c>
    </row>
    <row r="12" s="163" customFormat="1" ht="14.6" spans="1:87">
      <c r="A12" s="191" t="s">
        <v>32</v>
      </c>
      <c r="B12" s="192"/>
      <c r="C12" s="193">
        <f t="shared" si="12"/>
        <v>48895113</v>
      </c>
      <c r="D12" s="194">
        <f t="shared" si="0"/>
        <v>46877149</v>
      </c>
      <c r="E12" s="194">
        <f t="shared" si="1"/>
        <v>42051175</v>
      </c>
      <c r="F12" s="194">
        <f t="shared" si="2"/>
        <v>28404486</v>
      </c>
      <c r="G12" s="195">
        <f t="shared" si="3"/>
        <v>166227923</v>
      </c>
      <c r="H12" s="193">
        <f t="shared" si="13"/>
        <v>47393369</v>
      </c>
      <c r="I12" s="194">
        <f t="shared" si="4"/>
        <v>44942285</v>
      </c>
      <c r="J12" s="194">
        <f t="shared" si="5"/>
        <v>39418140</v>
      </c>
      <c r="K12" s="194">
        <f t="shared" si="6"/>
        <v>25173736</v>
      </c>
      <c r="L12" s="195">
        <f t="shared" si="7"/>
        <v>156927530</v>
      </c>
      <c r="M12" s="193">
        <v>3555242</v>
      </c>
      <c r="N12" s="194">
        <v>4751296</v>
      </c>
      <c r="O12" s="194">
        <v>3458744</v>
      </c>
      <c r="P12" s="194">
        <v>2508430</v>
      </c>
      <c r="Q12" s="195">
        <v>14273712</v>
      </c>
      <c r="R12" s="193">
        <v>3332728</v>
      </c>
      <c r="S12" s="194">
        <v>4363018</v>
      </c>
      <c r="T12" s="194">
        <v>5560049</v>
      </c>
      <c r="U12" s="194">
        <v>3350610</v>
      </c>
      <c r="V12" s="195">
        <v>16606405</v>
      </c>
      <c r="W12" s="193">
        <v>6561909</v>
      </c>
      <c r="X12" s="194">
        <v>5780531</v>
      </c>
      <c r="Y12" s="194">
        <v>6083411</v>
      </c>
      <c r="Z12" s="194">
        <v>3893157</v>
      </c>
      <c r="AA12" s="195">
        <v>22319008</v>
      </c>
      <c r="AB12" s="193">
        <v>275576</v>
      </c>
      <c r="AC12" s="194">
        <v>2374286</v>
      </c>
      <c r="AD12" s="194">
        <v>4399793</v>
      </c>
      <c r="AE12" s="194">
        <v>1969641</v>
      </c>
      <c r="AF12" s="195">
        <v>9019296</v>
      </c>
      <c r="AG12" s="193">
        <v>26946247</v>
      </c>
      <c r="AH12" s="194">
        <v>18400260</v>
      </c>
      <c r="AI12" s="194">
        <v>9703931</v>
      </c>
      <c r="AJ12" s="194">
        <v>7633033</v>
      </c>
      <c r="AK12" s="195">
        <v>62683471</v>
      </c>
      <c r="AL12" s="193">
        <v>1555436</v>
      </c>
      <c r="AM12" s="194">
        <v>2197056</v>
      </c>
      <c r="AN12" s="194">
        <v>2086095</v>
      </c>
      <c r="AO12" s="194">
        <v>1225853</v>
      </c>
      <c r="AP12" s="195">
        <v>7064440</v>
      </c>
      <c r="AQ12" s="193">
        <v>3047930</v>
      </c>
      <c r="AR12" s="194">
        <v>3435236</v>
      </c>
      <c r="AS12" s="194">
        <v>5152869</v>
      </c>
      <c r="AT12" s="194">
        <v>3047705</v>
      </c>
      <c r="AU12" s="195">
        <v>14683740</v>
      </c>
      <c r="AV12" s="193">
        <v>188724</v>
      </c>
      <c r="AW12" s="194">
        <v>238970</v>
      </c>
      <c r="AX12" s="194">
        <v>229288</v>
      </c>
      <c r="AY12" s="194">
        <v>190353</v>
      </c>
      <c r="AZ12" s="195">
        <v>847335</v>
      </c>
      <c r="BA12" s="193">
        <v>1929577</v>
      </c>
      <c r="BB12" s="194">
        <v>3401632</v>
      </c>
      <c r="BC12" s="194">
        <v>2743960</v>
      </c>
      <c r="BD12" s="194">
        <v>1354954</v>
      </c>
      <c r="BE12" s="195">
        <v>9430123</v>
      </c>
      <c r="BF12" s="193">
        <f t="shared" si="14"/>
        <v>1501744</v>
      </c>
      <c r="BG12" s="194">
        <f t="shared" si="8"/>
        <v>1934864</v>
      </c>
      <c r="BH12" s="194">
        <f t="shared" si="9"/>
        <v>2633035</v>
      </c>
      <c r="BI12" s="194">
        <f t="shared" si="10"/>
        <v>3230750</v>
      </c>
      <c r="BJ12" s="195">
        <f t="shared" si="11"/>
        <v>9300393</v>
      </c>
      <c r="BK12" s="193">
        <v>120627</v>
      </c>
      <c r="BL12" s="194">
        <v>201307</v>
      </c>
      <c r="BM12" s="194">
        <v>382176</v>
      </c>
      <c r="BN12" s="194">
        <v>289268</v>
      </c>
      <c r="BO12" s="195">
        <v>993378</v>
      </c>
      <c r="BP12" s="193">
        <v>283967</v>
      </c>
      <c r="BQ12" s="194">
        <v>482685</v>
      </c>
      <c r="BR12" s="194">
        <v>528126</v>
      </c>
      <c r="BS12" s="194">
        <v>416291</v>
      </c>
      <c r="BT12" s="195">
        <v>1711069</v>
      </c>
      <c r="BU12" s="193">
        <v>832409</v>
      </c>
      <c r="BV12" s="194">
        <v>871826</v>
      </c>
      <c r="BW12" s="194">
        <v>1370290</v>
      </c>
      <c r="BX12" s="194">
        <v>2129666</v>
      </c>
      <c r="BY12" s="195">
        <v>5204191</v>
      </c>
      <c r="BZ12" s="193">
        <v>138803</v>
      </c>
      <c r="CA12" s="194">
        <v>218227</v>
      </c>
      <c r="CB12" s="194">
        <v>238591</v>
      </c>
      <c r="CC12" s="194">
        <v>239539</v>
      </c>
      <c r="CD12" s="195">
        <v>835160</v>
      </c>
      <c r="CE12" s="193">
        <v>125938</v>
      </c>
      <c r="CF12" s="194">
        <v>160819</v>
      </c>
      <c r="CG12" s="194">
        <v>113852</v>
      </c>
      <c r="CH12" s="194">
        <v>155986</v>
      </c>
      <c r="CI12" s="195">
        <v>556595</v>
      </c>
    </row>
    <row r="13" spans="1:87">
      <c r="A13" s="186" t="s">
        <v>33</v>
      </c>
      <c r="B13" s="187" t="s">
        <v>26</v>
      </c>
      <c r="C13" s="188">
        <f t="shared" si="12"/>
        <v>5890275</v>
      </c>
      <c r="D13" s="189">
        <f t="shared" si="0"/>
        <v>3996062</v>
      </c>
      <c r="E13" s="189">
        <f t="shared" si="1"/>
        <v>2948047</v>
      </c>
      <c r="F13" s="189">
        <f t="shared" si="2"/>
        <v>2583000</v>
      </c>
      <c r="G13" s="190">
        <f t="shared" si="3"/>
        <v>15417384</v>
      </c>
      <c r="H13" s="188">
        <f t="shared" si="13"/>
        <v>5730128</v>
      </c>
      <c r="I13" s="189">
        <f t="shared" si="4"/>
        <v>3829552</v>
      </c>
      <c r="J13" s="189">
        <f t="shared" si="5"/>
        <v>2754653</v>
      </c>
      <c r="K13" s="189">
        <f t="shared" si="6"/>
        <v>2398938</v>
      </c>
      <c r="L13" s="190">
        <f t="shared" si="7"/>
        <v>14713271</v>
      </c>
      <c r="M13" s="188">
        <v>465388</v>
      </c>
      <c r="N13" s="189">
        <v>671173</v>
      </c>
      <c r="O13" s="189">
        <v>322495</v>
      </c>
      <c r="P13" s="189">
        <v>273351</v>
      </c>
      <c r="Q13" s="190">
        <v>1732407</v>
      </c>
      <c r="R13" s="188">
        <v>346871</v>
      </c>
      <c r="S13" s="189">
        <v>273551</v>
      </c>
      <c r="T13" s="189">
        <v>255426</v>
      </c>
      <c r="U13" s="189">
        <v>187239</v>
      </c>
      <c r="V13" s="190">
        <v>1063087</v>
      </c>
      <c r="W13" s="188">
        <v>355701</v>
      </c>
      <c r="X13" s="189">
        <v>409882</v>
      </c>
      <c r="Y13" s="189">
        <v>272413</v>
      </c>
      <c r="Z13" s="189">
        <v>174594</v>
      </c>
      <c r="AA13" s="190">
        <v>1212590</v>
      </c>
      <c r="AB13" s="188">
        <v>282085</v>
      </c>
      <c r="AC13" s="189">
        <v>511564</v>
      </c>
      <c r="AD13" s="189">
        <v>233205</v>
      </c>
      <c r="AE13" s="189">
        <v>205895</v>
      </c>
      <c r="AF13" s="190">
        <v>1232749</v>
      </c>
      <c r="AG13" s="188">
        <v>3507869</v>
      </c>
      <c r="AH13" s="189">
        <v>1226201</v>
      </c>
      <c r="AI13" s="189">
        <v>868324</v>
      </c>
      <c r="AJ13" s="189">
        <v>949413</v>
      </c>
      <c r="AK13" s="190">
        <v>6551807</v>
      </c>
      <c r="AL13" s="188">
        <v>60465</v>
      </c>
      <c r="AM13" s="189">
        <v>87678</v>
      </c>
      <c r="AN13" s="189">
        <v>84860</v>
      </c>
      <c r="AO13" s="189">
        <v>87036</v>
      </c>
      <c r="AP13" s="190">
        <v>320039</v>
      </c>
      <c r="AQ13" s="188">
        <v>376272</v>
      </c>
      <c r="AR13" s="189">
        <v>364055</v>
      </c>
      <c r="AS13" s="189">
        <v>263090</v>
      </c>
      <c r="AT13" s="189">
        <v>194460</v>
      </c>
      <c r="AU13" s="190">
        <v>1197877</v>
      </c>
      <c r="AV13" s="188">
        <v>46907</v>
      </c>
      <c r="AW13" s="189">
        <v>24431</v>
      </c>
      <c r="AX13" s="189">
        <v>52842</v>
      </c>
      <c r="AY13" s="189">
        <v>31617</v>
      </c>
      <c r="AZ13" s="190">
        <v>155797</v>
      </c>
      <c r="BA13" s="188">
        <v>288570</v>
      </c>
      <c r="BB13" s="189">
        <v>261017</v>
      </c>
      <c r="BC13" s="189">
        <v>401998</v>
      </c>
      <c r="BD13" s="189">
        <v>295333</v>
      </c>
      <c r="BE13" s="190">
        <v>1246918</v>
      </c>
      <c r="BF13" s="188">
        <f t="shared" si="14"/>
        <v>160147</v>
      </c>
      <c r="BG13" s="189">
        <f t="shared" si="8"/>
        <v>166510</v>
      </c>
      <c r="BH13" s="189">
        <f t="shared" si="9"/>
        <v>193394</v>
      </c>
      <c r="BI13" s="189">
        <f t="shared" si="10"/>
        <v>184062</v>
      </c>
      <c r="BJ13" s="190">
        <f t="shared" si="11"/>
        <v>704113</v>
      </c>
      <c r="BK13" s="188">
        <v>3082</v>
      </c>
      <c r="BL13" s="189">
        <v>17066</v>
      </c>
      <c r="BM13" s="189">
        <v>10741</v>
      </c>
      <c r="BN13" s="189">
        <v>4921</v>
      </c>
      <c r="BO13" s="190">
        <v>35810</v>
      </c>
      <c r="BP13" s="188">
        <v>41419</v>
      </c>
      <c r="BQ13" s="189">
        <v>37656</v>
      </c>
      <c r="BR13" s="189">
        <v>30129</v>
      </c>
      <c r="BS13" s="189">
        <v>32717</v>
      </c>
      <c r="BT13" s="190">
        <v>141921</v>
      </c>
      <c r="BU13" s="188">
        <v>90430</v>
      </c>
      <c r="BV13" s="189">
        <v>74475</v>
      </c>
      <c r="BW13" s="189">
        <v>134997</v>
      </c>
      <c r="BX13" s="189">
        <v>117024</v>
      </c>
      <c r="BY13" s="190">
        <v>416926</v>
      </c>
      <c r="BZ13" s="188">
        <v>8273</v>
      </c>
      <c r="CA13" s="189">
        <v>9507</v>
      </c>
      <c r="CB13" s="189">
        <v>6689</v>
      </c>
      <c r="CC13" s="189">
        <v>7939</v>
      </c>
      <c r="CD13" s="190">
        <v>32408</v>
      </c>
      <c r="CE13" s="188">
        <v>16943</v>
      </c>
      <c r="CF13" s="189">
        <v>27806</v>
      </c>
      <c r="CG13" s="189">
        <v>10838</v>
      </c>
      <c r="CH13" s="189">
        <v>21461</v>
      </c>
      <c r="CI13" s="190">
        <v>77048</v>
      </c>
    </row>
    <row r="14" spans="1:87">
      <c r="A14" s="186"/>
      <c r="B14" s="187" t="s">
        <v>27</v>
      </c>
      <c r="C14" s="188">
        <f t="shared" si="12"/>
        <v>1825922</v>
      </c>
      <c r="D14" s="189">
        <f t="shared" si="0"/>
        <v>1630459</v>
      </c>
      <c r="E14" s="189">
        <f t="shared" si="1"/>
        <v>1605663</v>
      </c>
      <c r="F14" s="189">
        <f t="shared" si="2"/>
        <v>963153</v>
      </c>
      <c r="G14" s="190">
        <f t="shared" si="3"/>
        <v>6025197</v>
      </c>
      <c r="H14" s="188">
        <f t="shared" si="13"/>
        <v>1806750</v>
      </c>
      <c r="I14" s="189">
        <f t="shared" si="4"/>
        <v>1606920</v>
      </c>
      <c r="J14" s="189">
        <f t="shared" si="5"/>
        <v>1528625</v>
      </c>
      <c r="K14" s="189">
        <f t="shared" si="6"/>
        <v>870810</v>
      </c>
      <c r="L14" s="190">
        <f t="shared" si="7"/>
        <v>5813105</v>
      </c>
      <c r="M14" s="188">
        <v>106890</v>
      </c>
      <c r="N14" s="189">
        <v>132307</v>
      </c>
      <c r="O14" s="189">
        <v>87466</v>
      </c>
      <c r="P14" s="189">
        <v>61489</v>
      </c>
      <c r="Q14" s="190">
        <v>388152</v>
      </c>
      <c r="R14" s="188">
        <v>30679</v>
      </c>
      <c r="S14" s="189">
        <v>25395</v>
      </c>
      <c r="T14" s="189">
        <v>13720</v>
      </c>
      <c r="U14" s="189">
        <v>12969</v>
      </c>
      <c r="V14" s="190">
        <v>82763</v>
      </c>
      <c r="W14" s="188">
        <v>265032</v>
      </c>
      <c r="X14" s="189">
        <v>238562</v>
      </c>
      <c r="Y14" s="189">
        <v>180926</v>
      </c>
      <c r="Z14" s="189">
        <v>97592</v>
      </c>
      <c r="AA14" s="190">
        <v>782112</v>
      </c>
      <c r="AB14" s="188">
        <v>112500</v>
      </c>
      <c r="AC14" s="189">
        <v>107578</v>
      </c>
      <c r="AD14" s="189">
        <v>50035</v>
      </c>
      <c r="AE14" s="189">
        <v>15676</v>
      </c>
      <c r="AF14" s="190">
        <v>285789</v>
      </c>
      <c r="AG14" s="188">
        <v>1104420</v>
      </c>
      <c r="AH14" s="189">
        <v>815777</v>
      </c>
      <c r="AI14" s="189">
        <v>1007503</v>
      </c>
      <c r="AJ14" s="189">
        <v>601006</v>
      </c>
      <c r="AK14" s="190">
        <v>3528706</v>
      </c>
      <c r="AL14" s="188">
        <v>61757</v>
      </c>
      <c r="AM14" s="189">
        <v>105523</v>
      </c>
      <c r="AN14" s="189">
        <v>43130</v>
      </c>
      <c r="AO14" s="189">
        <v>27648</v>
      </c>
      <c r="AP14" s="190">
        <v>238058</v>
      </c>
      <c r="AQ14" s="188">
        <v>109947</v>
      </c>
      <c r="AR14" s="189">
        <v>42918</v>
      </c>
      <c r="AS14" s="189">
        <v>85990</v>
      </c>
      <c r="AT14" s="189">
        <v>29218</v>
      </c>
      <c r="AU14" s="190">
        <v>268073</v>
      </c>
      <c r="AV14" s="188">
        <v>2913</v>
      </c>
      <c r="AW14" s="189">
        <v>15494</v>
      </c>
      <c r="AX14" s="189">
        <v>7120</v>
      </c>
      <c r="AY14" s="189">
        <v>5127</v>
      </c>
      <c r="AZ14" s="190">
        <v>30654</v>
      </c>
      <c r="BA14" s="188">
        <v>12612</v>
      </c>
      <c r="BB14" s="189">
        <v>123366</v>
      </c>
      <c r="BC14" s="189">
        <v>52735</v>
      </c>
      <c r="BD14" s="189">
        <v>20085</v>
      </c>
      <c r="BE14" s="190">
        <v>208798</v>
      </c>
      <c r="BF14" s="188">
        <f t="shared" si="14"/>
        <v>19172</v>
      </c>
      <c r="BG14" s="189">
        <f t="shared" si="8"/>
        <v>23539</v>
      </c>
      <c r="BH14" s="189">
        <f t="shared" si="9"/>
        <v>77038</v>
      </c>
      <c r="BI14" s="189">
        <f t="shared" si="10"/>
        <v>92343</v>
      </c>
      <c r="BJ14" s="190">
        <f t="shared" si="11"/>
        <v>212092</v>
      </c>
      <c r="BK14" s="188">
        <v>188</v>
      </c>
      <c r="BL14" s="189">
        <v>395</v>
      </c>
      <c r="BM14" s="189">
        <v>913</v>
      </c>
      <c r="BN14" s="189">
        <v>5220</v>
      </c>
      <c r="BO14" s="190">
        <v>6716</v>
      </c>
      <c r="BP14" s="188">
        <v>7253</v>
      </c>
      <c r="BQ14" s="189">
        <v>6359</v>
      </c>
      <c r="BR14" s="189">
        <v>7242</v>
      </c>
      <c r="BS14" s="189">
        <v>47690</v>
      </c>
      <c r="BT14" s="190">
        <v>68544</v>
      </c>
      <c r="BU14" s="188">
        <v>8443</v>
      </c>
      <c r="BV14" s="189">
        <v>11405</v>
      </c>
      <c r="BW14" s="189">
        <v>66263</v>
      </c>
      <c r="BX14" s="189">
        <v>36672</v>
      </c>
      <c r="BY14" s="190">
        <v>122783</v>
      </c>
      <c r="BZ14" s="188">
        <v>640</v>
      </c>
      <c r="CA14" s="189">
        <v>2030</v>
      </c>
      <c r="CB14" s="189">
        <v>1478</v>
      </c>
      <c r="CC14" s="189">
        <v>1261</v>
      </c>
      <c r="CD14" s="190">
        <v>5409</v>
      </c>
      <c r="CE14" s="188">
        <v>2648</v>
      </c>
      <c r="CF14" s="189">
        <v>3350</v>
      </c>
      <c r="CG14" s="189">
        <v>1142</v>
      </c>
      <c r="CH14" s="189">
        <v>1500</v>
      </c>
      <c r="CI14" s="190">
        <v>8640</v>
      </c>
    </row>
    <row r="15" spans="1:87">
      <c r="A15" s="186"/>
      <c r="B15" s="187" t="s">
        <v>28</v>
      </c>
      <c r="C15" s="188">
        <f t="shared" si="12"/>
        <v>2397723</v>
      </c>
      <c r="D15" s="189">
        <f t="shared" si="0"/>
        <v>1435899</v>
      </c>
      <c r="E15" s="189">
        <f t="shared" si="1"/>
        <v>1270650</v>
      </c>
      <c r="F15" s="189">
        <f t="shared" si="2"/>
        <v>921447</v>
      </c>
      <c r="G15" s="190">
        <f t="shared" si="3"/>
        <v>6025719</v>
      </c>
      <c r="H15" s="188">
        <f t="shared" si="13"/>
        <v>2367924</v>
      </c>
      <c r="I15" s="189">
        <f t="shared" si="4"/>
        <v>1281744</v>
      </c>
      <c r="J15" s="189">
        <f t="shared" si="5"/>
        <v>1211052</v>
      </c>
      <c r="K15" s="189">
        <f t="shared" si="6"/>
        <v>849078</v>
      </c>
      <c r="L15" s="190">
        <f t="shared" si="7"/>
        <v>5709798</v>
      </c>
      <c r="M15" s="188">
        <v>341463</v>
      </c>
      <c r="N15" s="189">
        <v>210915</v>
      </c>
      <c r="O15" s="189">
        <v>197886</v>
      </c>
      <c r="P15" s="189">
        <v>196854</v>
      </c>
      <c r="Q15" s="190">
        <v>947118</v>
      </c>
      <c r="R15" s="188">
        <v>115971</v>
      </c>
      <c r="S15" s="189">
        <v>90816</v>
      </c>
      <c r="T15" s="189">
        <v>95718</v>
      </c>
      <c r="U15" s="189">
        <v>11481</v>
      </c>
      <c r="V15" s="190">
        <v>313986</v>
      </c>
      <c r="W15" s="188">
        <v>174924</v>
      </c>
      <c r="X15" s="189">
        <v>56115</v>
      </c>
      <c r="Y15" s="189">
        <v>228846</v>
      </c>
      <c r="Z15" s="189">
        <v>147705</v>
      </c>
      <c r="AA15" s="190">
        <v>607590</v>
      </c>
      <c r="AB15" s="188">
        <v>23220</v>
      </c>
      <c r="AC15" s="189">
        <v>17028</v>
      </c>
      <c r="AD15" s="189">
        <v>181890</v>
      </c>
      <c r="AE15" s="189">
        <v>151962</v>
      </c>
      <c r="AF15" s="190">
        <v>374100</v>
      </c>
      <c r="AG15" s="188">
        <v>1312188</v>
      </c>
      <c r="AH15" s="189">
        <v>431376</v>
      </c>
      <c r="AI15" s="189">
        <v>336690</v>
      </c>
      <c r="AJ15" s="189">
        <v>195951</v>
      </c>
      <c r="AK15" s="190">
        <v>2276205</v>
      </c>
      <c r="AL15" s="188">
        <v>60243</v>
      </c>
      <c r="AM15" s="189">
        <v>25284</v>
      </c>
      <c r="AN15" s="189">
        <v>28896</v>
      </c>
      <c r="AO15" s="189">
        <v>23736</v>
      </c>
      <c r="AP15" s="190">
        <v>138159</v>
      </c>
      <c r="AQ15" s="188">
        <v>201111</v>
      </c>
      <c r="AR15" s="189">
        <v>124614</v>
      </c>
      <c r="AS15" s="189">
        <v>112101</v>
      </c>
      <c r="AT15" s="189">
        <v>95202</v>
      </c>
      <c r="AU15" s="190">
        <v>533028</v>
      </c>
      <c r="AV15" s="188">
        <v>9675</v>
      </c>
      <c r="AW15" s="189">
        <v>34830</v>
      </c>
      <c r="AX15" s="189">
        <v>20382</v>
      </c>
      <c r="AY15" s="189">
        <v>16512</v>
      </c>
      <c r="AZ15" s="190">
        <v>81399</v>
      </c>
      <c r="BA15" s="188">
        <v>129129</v>
      </c>
      <c r="BB15" s="189">
        <v>290766</v>
      </c>
      <c r="BC15" s="189">
        <v>8643</v>
      </c>
      <c r="BD15" s="189">
        <v>9675</v>
      </c>
      <c r="BE15" s="190">
        <v>438213</v>
      </c>
      <c r="BF15" s="188">
        <f t="shared" si="14"/>
        <v>29799</v>
      </c>
      <c r="BG15" s="189">
        <f t="shared" si="8"/>
        <v>154155</v>
      </c>
      <c r="BH15" s="189">
        <f t="shared" si="9"/>
        <v>59598</v>
      </c>
      <c r="BI15" s="189">
        <f t="shared" si="10"/>
        <v>72369</v>
      </c>
      <c r="BJ15" s="190">
        <f t="shared" si="11"/>
        <v>315921</v>
      </c>
      <c r="BK15" s="188">
        <v>29799</v>
      </c>
      <c r="BL15" s="189">
        <v>18060</v>
      </c>
      <c r="BM15" s="189"/>
      <c r="BN15" s="189">
        <v>10707</v>
      </c>
      <c r="BO15" s="190">
        <v>58566</v>
      </c>
      <c r="BP15" s="188"/>
      <c r="BQ15" s="189">
        <v>49020</v>
      </c>
      <c r="BR15" s="189">
        <v>12513</v>
      </c>
      <c r="BS15" s="189"/>
      <c r="BT15" s="190">
        <v>61533</v>
      </c>
      <c r="BU15" s="188"/>
      <c r="BV15" s="189">
        <v>58695</v>
      </c>
      <c r="BW15" s="189">
        <v>29799</v>
      </c>
      <c r="BX15" s="189">
        <v>61662</v>
      </c>
      <c r="BY15" s="190">
        <v>150156</v>
      </c>
      <c r="BZ15" s="188"/>
      <c r="CA15" s="189">
        <v>28380</v>
      </c>
      <c r="CB15" s="189">
        <v>17286</v>
      </c>
      <c r="CC15" s="189"/>
      <c r="CD15" s="190">
        <v>45666</v>
      </c>
      <c r="CE15" s="188"/>
      <c r="CF15" s="189"/>
      <c r="CG15" s="189"/>
      <c r="CH15" s="189"/>
      <c r="CI15" s="190"/>
    </row>
    <row r="16" spans="1:87">
      <c r="A16" s="186"/>
      <c r="B16" s="187" t="s">
        <v>29</v>
      </c>
      <c r="C16" s="188">
        <f t="shared" si="12"/>
        <v>23495521</v>
      </c>
      <c r="D16" s="189">
        <f t="shared" si="0"/>
        <v>23322120</v>
      </c>
      <c r="E16" s="189">
        <f t="shared" si="1"/>
        <v>21513586</v>
      </c>
      <c r="F16" s="189">
        <f t="shared" si="2"/>
        <v>24963668</v>
      </c>
      <c r="G16" s="190">
        <f t="shared" si="3"/>
        <v>93294895</v>
      </c>
      <c r="H16" s="188">
        <f t="shared" si="13"/>
        <v>22587744</v>
      </c>
      <c r="I16" s="189">
        <f t="shared" si="4"/>
        <v>22665089</v>
      </c>
      <c r="J16" s="189">
        <f t="shared" si="5"/>
        <v>20678926</v>
      </c>
      <c r="K16" s="189">
        <f t="shared" si="6"/>
        <v>24227188</v>
      </c>
      <c r="L16" s="190">
        <f t="shared" si="7"/>
        <v>90158947</v>
      </c>
      <c r="M16" s="188">
        <v>3831512</v>
      </c>
      <c r="N16" s="189">
        <v>3325894</v>
      </c>
      <c r="O16" s="189">
        <v>3930917</v>
      </c>
      <c r="P16" s="189">
        <v>2019344</v>
      </c>
      <c r="Q16" s="190">
        <v>13107667</v>
      </c>
      <c r="R16" s="188">
        <v>1254804</v>
      </c>
      <c r="S16" s="189">
        <v>1653558</v>
      </c>
      <c r="T16" s="189">
        <v>1793823</v>
      </c>
      <c r="U16" s="189">
        <v>1538167</v>
      </c>
      <c r="V16" s="190">
        <v>6240352</v>
      </c>
      <c r="W16" s="188">
        <v>2777546</v>
      </c>
      <c r="X16" s="189">
        <v>2013738</v>
      </c>
      <c r="Y16" s="189">
        <v>1882473</v>
      </c>
      <c r="Z16" s="189">
        <v>2070002</v>
      </c>
      <c r="AA16" s="190">
        <v>8743759</v>
      </c>
      <c r="AB16" s="188">
        <v>700986</v>
      </c>
      <c r="AC16" s="189">
        <v>2154394</v>
      </c>
      <c r="AD16" s="189">
        <v>1093887</v>
      </c>
      <c r="AE16" s="189">
        <v>1939199</v>
      </c>
      <c r="AF16" s="190">
        <v>5888466</v>
      </c>
      <c r="AG16" s="188">
        <v>9009403</v>
      </c>
      <c r="AH16" s="189">
        <v>8941145</v>
      </c>
      <c r="AI16" s="189">
        <v>7669207</v>
      </c>
      <c r="AJ16" s="189">
        <v>13225843</v>
      </c>
      <c r="AK16" s="190">
        <v>38845598</v>
      </c>
      <c r="AL16" s="188">
        <v>593887</v>
      </c>
      <c r="AM16" s="189">
        <v>839957</v>
      </c>
      <c r="AN16" s="189">
        <v>818105</v>
      </c>
      <c r="AO16" s="189">
        <v>615755</v>
      </c>
      <c r="AP16" s="190">
        <v>2867704</v>
      </c>
      <c r="AQ16" s="188">
        <v>1251387</v>
      </c>
      <c r="AR16" s="189">
        <v>1775766</v>
      </c>
      <c r="AS16" s="189">
        <v>1490763</v>
      </c>
      <c r="AT16" s="189">
        <v>1810098</v>
      </c>
      <c r="AU16" s="190">
        <v>6328014</v>
      </c>
      <c r="AV16" s="188">
        <v>253875</v>
      </c>
      <c r="AW16" s="189">
        <v>217506</v>
      </c>
      <c r="AX16" s="189">
        <v>249537</v>
      </c>
      <c r="AY16" s="189">
        <v>117102</v>
      </c>
      <c r="AZ16" s="190">
        <v>838020</v>
      </c>
      <c r="BA16" s="188">
        <v>2914344</v>
      </c>
      <c r="BB16" s="189">
        <v>1743131</v>
      </c>
      <c r="BC16" s="189">
        <v>1750214</v>
      </c>
      <c r="BD16" s="189">
        <v>891678</v>
      </c>
      <c r="BE16" s="190">
        <v>7299367</v>
      </c>
      <c r="BF16" s="188">
        <f t="shared" si="14"/>
        <v>907777</v>
      </c>
      <c r="BG16" s="189">
        <f t="shared" si="8"/>
        <v>657031</v>
      </c>
      <c r="BH16" s="189">
        <f t="shared" si="9"/>
        <v>834660</v>
      </c>
      <c r="BI16" s="189">
        <f t="shared" si="10"/>
        <v>736480</v>
      </c>
      <c r="BJ16" s="190">
        <f t="shared" si="11"/>
        <v>3135948</v>
      </c>
      <c r="BK16" s="188">
        <v>53091</v>
      </c>
      <c r="BL16" s="189">
        <v>60662</v>
      </c>
      <c r="BM16" s="189">
        <v>105751</v>
      </c>
      <c r="BN16" s="189">
        <v>110109</v>
      </c>
      <c r="BO16" s="190">
        <v>329613</v>
      </c>
      <c r="BP16" s="188">
        <v>187737</v>
      </c>
      <c r="BQ16" s="189">
        <v>140350</v>
      </c>
      <c r="BR16" s="189">
        <v>107452</v>
      </c>
      <c r="BS16" s="189">
        <v>101310</v>
      </c>
      <c r="BT16" s="190">
        <v>536849</v>
      </c>
      <c r="BU16" s="188">
        <v>467704</v>
      </c>
      <c r="BV16" s="189">
        <v>286265</v>
      </c>
      <c r="BW16" s="189">
        <v>486708</v>
      </c>
      <c r="BX16" s="189">
        <v>421695</v>
      </c>
      <c r="BY16" s="190">
        <v>1662372</v>
      </c>
      <c r="BZ16" s="188">
        <v>130417</v>
      </c>
      <c r="CA16" s="189">
        <v>118553</v>
      </c>
      <c r="CB16" s="189">
        <v>120560</v>
      </c>
      <c r="CC16" s="189">
        <v>81282</v>
      </c>
      <c r="CD16" s="190">
        <v>450812</v>
      </c>
      <c r="CE16" s="188">
        <v>68828</v>
      </c>
      <c r="CF16" s="189">
        <v>51201</v>
      </c>
      <c r="CG16" s="189">
        <v>14189</v>
      </c>
      <c r="CH16" s="189">
        <v>22084</v>
      </c>
      <c r="CI16" s="190">
        <v>156302</v>
      </c>
    </row>
    <row r="17" s="163" customFormat="1" ht="14.6" spans="1:87">
      <c r="A17" s="191" t="s">
        <v>34</v>
      </c>
      <c r="B17" s="192"/>
      <c r="C17" s="193">
        <f t="shared" si="12"/>
        <v>33609441</v>
      </c>
      <c r="D17" s="194">
        <f t="shared" si="0"/>
        <v>30384540</v>
      </c>
      <c r="E17" s="194">
        <f t="shared" si="1"/>
        <v>27337946</v>
      </c>
      <c r="F17" s="194">
        <f t="shared" si="2"/>
        <v>29431268</v>
      </c>
      <c r="G17" s="195">
        <f t="shared" si="3"/>
        <v>120763195</v>
      </c>
      <c r="H17" s="193">
        <f t="shared" si="13"/>
        <v>32492546</v>
      </c>
      <c r="I17" s="194">
        <f t="shared" si="4"/>
        <v>29383305</v>
      </c>
      <c r="J17" s="194">
        <f t="shared" si="5"/>
        <v>26173256</v>
      </c>
      <c r="K17" s="194">
        <f t="shared" si="6"/>
        <v>28346014</v>
      </c>
      <c r="L17" s="195">
        <f t="shared" si="7"/>
        <v>116395121</v>
      </c>
      <c r="M17" s="193">
        <v>4745253</v>
      </c>
      <c r="N17" s="194">
        <v>4340289</v>
      </c>
      <c r="O17" s="194">
        <v>4538764</v>
      </c>
      <c r="P17" s="194">
        <v>2551038</v>
      </c>
      <c r="Q17" s="195">
        <v>16175344</v>
      </c>
      <c r="R17" s="193">
        <v>1748325</v>
      </c>
      <c r="S17" s="194">
        <v>2043320</v>
      </c>
      <c r="T17" s="194">
        <v>2158687</v>
      </c>
      <c r="U17" s="194">
        <v>1749856</v>
      </c>
      <c r="V17" s="195">
        <v>7700188</v>
      </c>
      <c r="W17" s="193">
        <v>3573203</v>
      </c>
      <c r="X17" s="194">
        <v>2718297</v>
      </c>
      <c r="Y17" s="194">
        <v>2564658</v>
      </c>
      <c r="Z17" s="194">
        <v>2489893</v>
      </c>
      <c r="AA17" s="195">
        <v>11346051</v>
      </c>
      <c r="AB17" s="193">
        <v>1118791</v>
      </c>
      <c r="AC17" s="194">
        <v>2790564</v>
      </c>
      <c r="AD17" s="194">
        <v>1559017</v>
      </c>
      <c r="AE17" s="194">
        <v>2312732</v>
      </c>
      <c r="AF17" s="195">
        <v>7781104</v>
      </c>
      <c r="AG17" s="193">
        <v>14933880</v>
      </c>
      <c r="AH17" s="194">
        <v>11414499</v>
      </c>
      <c r="AI17" s="194">
        <v>9881724</v>
      </c>
      <c r="AJ17" s="194">
        <v>14972213</v>
      </c>
      <c r="AK17" s="195">
        <v>51202316</v>
      </c>
      <c r="AL17" s="193">
        <v>776352</v>
      </c>
      <c r="AM17" s="194">
        <v>1058442</v>
      </c>
      <c r="AN17" s="194">
        <v>974991</v>
      </c>
      <c r="AO17" s="194">
        <v>754175</v>
      </c>
      <c r="AP17" s="195">
        <v>3563960</v>
      </c>
      <c r="AQ17" s="193">
        <v>1938717</v>
      </c>
      <c r="AR17" s="194">
        <v>2307353</v>
      </c>
      <c r="AS17" s="194">
        <v>1951944</v>
      </c>
      <c r="AT17" s="194">
        <v>2128978</v>
      </c>
      <c r="AU17" s="195">
        <v>8326992</v>
      </c>
      <c r="AV17" s="193">
        <v>313370</v>
      </c>
      <c r="AW17" s="194">
        <v>292261</v>
      </c>
      <c r="AX17" s="194">
        <v>329881</v>
      </c>
      <c r="AY17" s="194">
        <v>170358</v>
      </c>
      <c r="AZ17" s="195">
        <v>1105870</v>
      </c>
      <c r="BA17" s="193">
        <v>3344655</v>
      </c>
      <c r="BB17" s="194">
        <v>2418280</v>
      </c>
      <c r="BC17" s="194">
        <v>2213590</v>
      </c>
      <c r="BD17" s="194">
        <v>1216771</v>
      </c>
      <c r="BE17" s="195">
        <v>9193296</v>
      </c>
      <c r="BF17" s="193">
        <f t="shared" si="14"/>
        <v>1116895</v>
      </c>
      <c r="BG17" s="194">
        <f t="shared" si="8"/>
        <v>1001235</v>
      </c>
      <c r="BH17" s="194">
        <f t="shared" si="9"/>
        <v>1164690</v>
      </c>
      <c r="BI17" s="194">
        <f t="shared" si="10"/>
        <v>1085254</v>
      </c>
      <c r="BJ17" s="195">
        <f t="shared" si="11"/>
        <v>4368074</v>
      </c>
      <c r="BK17" s="193">
        <v>86160</v>
      </c>
      <c r="BL17" s="194">
        <v>96183</v>
      </c>
      <c r="BM17" s="194">
        <v>117405</v>
      </c>
      <c r="BN17" s="194">
        <v>130957</v>
      </c>
      <c r="BO17" s="195">
        <v>430705</v>
      </c>
      <c r="BP17" s="193">
        <v>236409</v>
      </c>
      <c r="BQ17" s="194">
        <v>233385</v>
      </c>
      <c r="BR17" s="194">
        <v>157336</v>
      </c>
      <c r="BS17" s="194">
        <v>181717</v>
      </c>
      <c r="BT17" s="195">
        <v>808847</v>
      </c>
      <c r="BU17" s="193">
        <v>566577</v>
      </c>
      <c r="BV17" s="194">
        <v>430840</v>
      </c>
      <c r="BW17" s="194">
        <v>717767</v>
      </c>
      <c r="BX17" s="194">
        <v>637053</v>
      </c>
      <c r="BY17" s="195">
        <v>2352237</v>
      </c>
      <c r="BZ17" s="193">
        <v>139330</v>
      </c>
      <c r="CA17" s="194">
        <v>158470</v>
      </c>
      <c r="CB17" s="194">
        <v>146013</v>
      </c>
      <c r="CC17" s="194">
        <v>90482</v>
      </c>
      <c r="CD17" s="195">
        <v>534295</v>
      </c>
      <c r="CE17" s="193">
        <v>88419</v>
      </c>
      <c r="CF17" s="194">
        <v>82357</v>
      </c>
      <c r="CG17" s="194">
        <v>26169</v>
      </c>
      <c r="CH17" s="194">
        <v>45045</v>
      </c>
      <c r="CI17" s="195">
        <v>241990</v>
      </c>
    </row>
    <row r="18" spans="1:87">
      <c r="A18" s="186" t="s">
        <v>35</v>
      </c>
      <c r="B18" s="187" t="s">
        <v>26</v>
      </c>
      <c r="C18" s="188">
        <f t="shared" si="12"/>
        <v>6505702</v>
      </c>
      <c r="D18" s="189">
        <f t="shared" si="0"/>
        <v>4868835</v>
      </c>
      <c r="E18" s="189">
        <f t="shared" si="1"/>
        <v>11551876</v>
      </c>
      <c r="F18" s="189">
        <f t="shared" si="2"/>
        <v>9873962</v>
      </c>
      <c r="G18" s="190">
        <f t="shared" si="3"/>
        <v>32800375</v>
      </c>
      <c r="H18" s="188">
        <f t="shared" si="13"/>
        <v>6000659</v>
      </c>
      <c r="I18" s="189">
        <f t="shared" si="4"/>
        <v>4449669</v>
      </c>
      <c r="J18" s="189">
        <f t="shared" si="5"/>
        <v>10799750</v>
      </c>
      <c r="K18" s="189">
        <f t="shared" si="6"/>
        <v>9088218</v>
      </c>
      <c r="L18" s="190">
        <f t="shared" si="7"/>
        <v>30338296</v>
      </c>
      <c r="M18" s="188">
        <v>764119</v>
      </c>
      <c r="N18" s="189">
        <v>604233</v>
      </c>
      <c r="O18" s="189">
        <v>1112858</v>
      </c>
      <c r="P18" s="189">
        <v>1108510</v>
      </c>
      <c r="Q18" s="190">
        <v>3589720</v>
      </c>
      <c r="R18" s="188">
        <v>391801</v>
      </c>
      <c r="S18" s="189">
        <v>341518</v>
      </c>
      <c r="T18" s="189">
        <v>878718</v>
      </c>
      <c r="U18" s="189">
        <v>886440</v>
      </c>
      <c r="V18" s="190">
        <v>2498477</v>
      </c>
      <c r="W18" s="188">
        <v>469707</v>
      </c>
      <c r="X18" s="189">
        <v>269723</v>
      </c>
      <c r="Y18" s="189">
        <v>919912</v>
      </c>
      <c r="Z18" s="189">
        <v>571767</v>
      </c>
      <c r="AA18" s="190">
        <v>2231109</v>
      </c>
      <c r="AB18" s="188">
        <v>234135</v>
      </c>
      <c r="AC18" s="189">
        <v>519452</v>
      </c>
      <c r="AD18" s="189">
        <v>2099685</v>
      </c>
      <c r="AE18" s="189">
        <v>1175639</v>
      </c>
      <c r="AF18" s="190">
        <v>4028911</v>
      </c>
      <c r="AG18" s="188">
        <v>1806360</v>
      </c>
      <c r="AH18" s="189">
        <v>1017348</v>
      </c>
      <c r="AI18" s="189">
        <v>3293977</v>
      </c>
      <c r="AJ18" s="189">
        <v>2703454</v>
      </c>
      <c r="AK18" s="190">
        <v>8821139</v>
      </c>
      <c r="AL18" s="188">
        <v>205875</v>
      </c>
      <c r="AM18" s="189">
        <v>208919</v>
      </c>
      <c r="AN18" s="189">
        <v>349254</v>
      </c>
      <c r="AO18" s="189">
        <v>300774</v>
      </c>
      <c r="AP18" s="190">
        <v>1064822</v>
      </c>
      <c r="AQ18" s="188">
        <v>1037424</v>
      </c>
      <c r="AR18" s="189">
        <v>721594</v>
      </c>
      <c r="AS18" s="189">
        <v>1424055</v>
      </c>
      <c r="AT18" s="189">
        <v>1192144</v>
      </c>
      <c r="AU18" s="190">
        <v>4375217</v>
      </c>
      <c r="AV18" s="188">
        <v>143142</v>
      </c>
      <c r="AW18" s="189">
        <v>60497</v>
      </c>
      <c r="AX18" s="189">
        <v>64404</v>
      </c>
      <c r="AY18" s="189">
        <v>119538</v>
      </c>
      <c r="AZ18" s="190">
        <v>387581</v>
      </c>
      <c r="BA18" s="188">
        <v>948096</v>
      </c>
      <c r="BB18" s="189">
        <v>706385</v>
      </c>
      <c r="BC18" s="189">
        <v>656887</v>
      </c>
      <c r="BD18" s="189">
        <v>1029952</v>
      </c>
      <c r="BE18" s="190">
        <v>3341320</v>
      </c>
      <c r="BF18" s="188">
        <f t="shared" si="14"/>
        <v>505043</v>
      </c>
      <c r="BG18" s="189">
        <f t="shared" si="8"/>
        <v>419166</v>
      </c>
      <c r="BH18" s="189">
        <f t="shared" si="9"/>
        <v>752126</v>
      </c>
      <c r="BI18" s="189">
        <f t="shared" si="10"/>
        <v>785744</v>
      </c>
      <c r="BJ18" s="190">
        <f t="shared" si="11"/>
        <v>2462079</v>
      </c>
      <c r="BK18" s="188">
        <v>28825</v>
      </c>
      <c r="BL18" s="189">
        <v>27051</v>
      </c>
      <c r="BM18" s="189">
        <v>59803</v>
      </c>
      <c r="BN18" s="189">
        <v>51358</v>
      </c>
      <c r="BO18" s="190">
        <v>167037</v>
      </c>
      <c r="BP18" s="188">
        <v>253754</v>
      </c>
      <c r="BQ18" s="189">
        <v>226886</v>
      </c>
      <c r="BR18" s="189">
        <v>240519</v>
      </c>
      <c r="BS18" s="189">
        <v>301209</v>
      </c>
      <c r="BT18" s="190">
        <v>1022368</v>
      </c>
      <c r="BU18" s="188">
        <v>140867</v>
      </c>
      <c r="BV18" s="189">
        <v>121617</v>
      </c>
      <c r="BW18" s="189">
        <v>362352</v>
      </c>
      <c r="BX18" s="189">
        <v>344905</v>
      </c>
      <c r="BY18" s="190">
        <v>969741</v>
      </c>
      <c r="BZ18" s="188">
        <v>41773</v>
      </c>
      <c r="CA18" s="189">
        <v>21781</v>
      </c>
      <c r="CB18" s="189">
        <v>53750</v>
      </c>
      <c r="CC18" s="189">
        <v>55083</v>
      </c>
      <c r="CD18" s="190">
        <v>172387</v>
      </c>
      <c r="CE18" s="188">
        <v>39824</v>
      </c>
      <c r="CF18" s="189">
        <v>21831</v>
      </c>
      <c r="CG18" s="189">
        <v>35702</v>
      </c>
      <c r="CH18" s="189">
        <v>33189</v>
      </c>
      <c r="CI18" s="190">
        <v>130546</v>
      </c>
    </row>
    <row r="19" spans="1:87">
      <c r="A19" s="186"/>
      <c r="B19" s="187" t="s">
        <v>27</v>
      </c>
      <c r="C19" s="188">
        <f t="shared" si="12"/>
        <v>2467337</v>
      </c>
      <c r="D19" s="189">
        <f t="shared" si="0"/>
        <v>1667976</v>
      </c>
      <c r="E19" s="189">
        <f t="shared" si="1"/>
        <v>4614976</v>
      </c>
      <c r="F19" s="189">
        <f t="shared" si="2"/>
        <v>4214571</v>
      </c>
      <c r="G19" s="190">
        <f t="shared" si="3"/>
        <v>12964860</v>
      </c>
      <c r="H19" s="188">
        <f t="shared" si="13"/>
        <v>2331991</v>
      </c>
      <c r="I19" s="189">
        <f t="shared" si="4"/>
        <v>1496750</v>
      </c>
      <c r="J19" s="189">
        <f t="shared" si="5"/>
        <v>4478426</v>
      </c>
      <c r="K19" s="189">
        <f t="shared" si="6"/>
        <v>4082611</v>
      </c>
      <c r="L19" s="190">
        <f t="shared" si="7"/>
        <v>12389778</v>
      </c>
      <c r="M19" s="188">
        <v>187175</v>
      </c>
      <c r="N19" s="189">
        <v>113587</v>
      </c>
      <c r="O19" s="189">
        <v>309596</v>
      </c>
      <c r="P19" s="189">
        <v>436438</v>
      </c>
      <c r="Q19" s="190">
        <v>1046796</v>
      </c>
      <c r="R19" s="188">
        <v>73318</v>
      </c>
      <c r="S19" s="189">
        <v>40348</v>
      </c>
      <c r="T19" s="189">
        <v>246462</v>
      </c>
      <c r="U19" s="189">
        <v>202170</v>
      </c>
      <c r="V19" s="190">
        <v>562298</v>
      </c>
      <c r="W19" s="188">
        <v>381338</v>
      </c>
      <c r="X19" s="189">
        <v>141488</v>
      </c>
      <c r="Y19" s="189">
        <v>333485</v>
      </c>
      <c r="Z19" s="189">
        <v>637914</v>
      </c>
      <c r="AA19" s="190">
        <v>1494225</v>
      </c>
      <c r="AB19" s="188">
        <v>183994</v>
      </c>
      <c r="AC19" s="189">
        <v>60221</v>
      </c>
      <c r="AD19" s="189">
        <v>615340</v>
      </c>
      <c r="AE19" s="189">
        <v>452294</v>
      </c>
      <c r="AF19" s="190">
        <v>1311849</v>
      </c>
      <c r="AG19" s="188">
        <v>1001554</v>
      </c>
      <c r="AH19" s="189">
        <v>758781</v>
      </c>
      <c r="AI19" s="189">
        <v>2473501</v>
      </c>
      <c r="AJ19" s="189">
        <v>1628656</v>
      </c>
      <c r="AK19" s="190">
        <v>5862492</v>
      </c>
      <c r="AL19" s="188">
        <v>46995</v>
      </c>
      <c r="AM19" s="189">
        <v>28610</v>
      </c>
      <c r="AN19" s="189">
        <v>60879</v>
      </c>
      <c r="AO19" s="189">
        <v>62194</v>
      </c>
      <c r="AP19" s="190">
        <v>198678</v>
      </c>
      <c r="AQ19" s="188">
        <v>123618</v>
      </c>
      <c r="AR19" s="189">
        <v>153777</v>
      </c>
      <c r="AS19" s="189">
        <v>234160</v>
      </c>
      <c r="AT19" s="189">
        <v>257562</v>
      </c>
      <c r="AU19" s="190">
        <v>769117</v>
      </c>
      <c r="AV19" s="188">
        <v>35355</v>
      </c>
      <c r="AW19" s="189">
        <v>20614</v>
      </c>
      <c r="AX19" s="189">
        <v>10147</v>
      </c>
      <c r="AY19" s="189">
        <v>32766</v>
      </c>
      <c r="AZ19" s="190">
        <v>98882</v>
      </c>
      <c r="BA19" s="188">
        <v>298644</v>
      </c>
      <c r="BB19" s="189">
        <v>179324</v>
      </c>
      <c r="BC19" s="189">
        <v>194856</v>
      </c>
      <c r="BD19" s="189">
        <v>372617</v>
      </c>
      <c r="BE19" s="190">
        <v>1045441</v>
      </c>
      <c r="BF19" s="188">
        <f t="shared" si="14"/>
        <v>135346</v>
      </c>
      <c r="BG19" s="189">
        <f t="shared" si="8"/>
        <v>171226</v>
      </c>
      <c r="BH19" s="189">
        <f t="shared" si="9"/>
        <v>136550</v>
      </c>
      <c r="BI19" s="189">
        <f t="shared" si="10"/>
        <v>131960</v>
      </c>
      <c r="BJ19" s="190">
        <f t="shared" si="11"/>
        <v>575082</v>
      </c>
      <c r="BK19" s="188">
        <v>4685</v>
      </c>
      <c r="BL19" s="189">
        <v>9901</v>
      </c>
      <c r="BM19" s="189">
        <v>19427</v>
      </c>
      <c r="BN19" s="189">
        <v>13959</v>
      </c>
      <c r="BO19" s="190">
        <v>47972</v>
      </c>
      <c r="BP19" s="188">
        <v>49495</v>
      </c>
      <c r="BQ19" s="189">
        <v>61922</v>
      </c>
      <c r="BR19" s="189">
        <v>37519</v>
      </c>
      <c r="BS19" s="189">
        <v>35339</v>
      </c>
      <c r="BT19" s="190">
        <v>184275</v>
      </c>
      <c r="BU19" s="188">
        <v>74766</v>
      </c>
      <c r="BV19" s="189">
        <v>87735</v>
      </c>
      <c r="BW19" s="189">
        <v>63326</v>
      </c>
      <c r="BX19" s="189">
        <v>63025</v>
      </c>
      <c r="BY19" s="190">
        <v>288852</v>
      </c>
      <c r="BZ19" s="188">
        <v>4810</v>
      </c>
      <c r="CA19" s="189">
        <v>7534</v>
      </c>
      <c r="CB19" s="189">
        <v>14292</v>
      </c>
      <c r="CC19" s="189">
        <v>19320</v>
      </c>
      <c r="CD19" s="190">
        <v>45956</v>
      </c>
      <c r="CE19" s="188">
        <v>1590</v>
      </c>
      <c r="CF19" s="189">
        <v>4134</v>
      </c>
      <c r="CG19" s="189">
        <v>1986</v>
      </c>
      <c r="CH19" s="189">
        <v>317</v>
      </c>
      <c r="CI19" s="190">
        <v>8027</v>
      </c>
    </row>
    <row r="20" spans="1:87">
      <c r="A20" s="186"/>
      <c r="B20" s="187" t="s">
        <v>28</v>
      </c>
      <c r="C20" s="188">
        <f t="shared" si="12"/>
        <v>739703</v>
      </c>
      <c r="D20" s="189">
        <f t="shared" si="0"/>
        <v>547602</v>
      </c>
      <c r="E20" s="189">
        <f t="shared" si="1"/>
        <v>13430079</v>
      </c>
      <c r="F20" s="189">
        <f t="shared" si="2"/>
        <v>17046884</v>
      </c>
      <c r="G20" s="190">
        <f t="shared" si="3"/>
        <v>31764268</v>
      </c>
      <c r="H20" s="188">
        <f t="shared" si="13"/>
        <v>709416</v>
      </c>
      <c r="I20" s="189">
        <f t="shared" si="4"/>
        <v>522119</v>
      </c>
      <c r="J20" s="189">
        <f t="shared" si="5"/>
        <v>13107127</v>
      </c>
      <c r="K20" s="189">
        <f t="shared" si="6"/>
        <v>16681734</v>
      </c>
      <c r="L20" s="190">
        <f t="shared" si="7"/>
        <v>31020396</v>
      </c>
      <c r="M20" s="188">
        <v>91013</v>
      </c>
      <c r="N20" s="189">
        <v>30005</v>
      </c>
      <c r="O20" s="189">
        <v>281887</v>
      </c>
      <c r="P20" s="189">
        <v>1296854</v>
      </c>
      <c r="Q20" s="190">
        <v>1699759</v>
      </c>
      <c r="R20" s="188">
        <v>30242</v>
      </c>
      <c r="S20" s="189">
        <v>31921</v>
      </c>
      <c r="T20" s="189">
        <v>1165636</v>
      </c>
      <c r="U20" s="189">
        <v>1045948</v>
      </c>
      <c r="V20" s="190">
        <v>2273747</v>
      </c>
      <c r="W20" s="188">
        <v>92360</v>
      </c>
      <c r="X20" s="189">
        <v>58679</v>
      </c>
      <c r="Y20" s="189">
        <v>200928</v>
      </c>
      <c r="Z20" s="189">
        <v>2105889</v>
      </c>
      <c r="AA20" s="190">
        <v>2457856</v>
      </c>
      <c r="AB20" s="188">
        <v>23979</v>
      </c>
      <c r="AC20" s="189">
        <v>31694</v>
      </c>
      <c r="AD20" s="189">
        <v>416422</v>
      </c>
      <c r="AE20" s="189">
        <v>1247069</v>
      </c>
      <c r="AF20" s="190">
        <v>1719164</v>
      </c>
      <c r="AG20" s="188">
        <v>277481</v>
      </c>
      <c r="AH20" s="189">
        <v>251165</v>
      </c>
      <c r="AI20" s="189">
        <v>9969509</v>
      </c>
      <c r="AJ20" s="189">
        <v>7487701</v>
      </c>
      <c r="AK20" s="190">
        <v>17985856</v>
      </c>
      <c r="AL20" s="188">
        <v>18057</v>
      </c>
      <c r="AM20" s="189">
        <v>11932</v>
      </c>
      <c r="AN20" s="189">
        <v>253875</v>
      </c>
      <c r="AO20" s="189">
        <v>220549</v>
      </c>
      <c r="AP20" s="190">
        <v>504413</v>
      </c>
      <c r="AQ20" s="188">
        <v>27141</v>
      </c>
      <c r="AR20" s="189">
        <v>3895</v>
      </c>
      <c r="AS20" s="189">
        <v>722688</v>
      </c>
      <c r="AT20" s="189">
        <v>1785310</v>
      </c>
      <c r="AU20" s="190">
        <v>2539034</v>
      </c>
      <c r="AV20" s="188">
        <v>11492</v>
      </c>
      <c r="AW20" s="189">
        <v>8659</v>
      </c>
      <c r="AX20" s="189">
        <v>5734</v>
      </c>
      <c r="AY20" s="189">
        <v>131670</v>
      </c>
      <c r="AZ20" s="190">
        <v>157555</v>
      </c>
      <c r="BA20" s="188">
        <v>137651</v>
      </c>
      <c r="BB20" s="189">
        <v>94169</v>
      </c>
      <c r="BC20" s="189">
        <v>90448</v>
      </c>
      <c r="BD20" s="189">
        <v>1360744</v>
      </c>
      <c r="BE20" s="190">
        <v>1683012</v>
      </c>
      <c r="BF20" s="188">
        <f t="shared" si="14"/>
        <v>30287</v>
      </c>
      <c r="BG20" s="189">
        <f t="shared" si="8"/>
        <v>25483</v>
      </c>
      <c r="BH20" s="189">
        <f t="shared" si="9"/>
        <v>322952</v>
      </c>
      <c r="BI20" s="189">
        <f t="shared" si="10"/>
        <v>365150</v>
      </c>
      <c r="BJ20" s="190">
        <f t="shared" si="11"/>
        <v>743872</v>
      </c>
      <c r="BK20" s="188">
        <v>498</v>
      </c>
      <c r="BL20" s="189"/>
      <c r="BM20" s="189">
        <v>88247</v>
      </c>
      <c r="BN20" s="189">
        <v>96612</v>
      </c>
      <c r="BO20" s="190">
        <v>185357</v>
      </c>
      <c r="BP20" s="188">
        <v>15993</v>
      </c>
      <c r="BQ20" s="189">
        <v>21896</v>
      </c>
      <c r="BR20" s="189">
        <v>76634</v>
      </c>
      <c r="BS20" s="189">
        <v>86086</v>
      </c>
      <c r="BT20" s="190">
        <v>200609</v>
      </c>
      <c r="BU20" s="188">
        <v>13796</v>
      </c>
      <c r="BV20" s="189">
        <v>3587</v>
      </c>
      <c r="BW20" s="189">
        <v>129128</v>
      </c>
      <c r="BX20" s="189">
        <v>121991</v>
      </c>
      <c r="BY20" s="190">
        <v>268502</v>
      </c>
      <c r="BZ20" s="188"/>
      <c r="CA20" s="189"/>
      <c r="CB20" s="189">
        <v>28943</v>
      </c>
      <c r="CC20" s="189">
        <v>60461</v>
      </c>
      <c r="CD20" s="190">
        <v>89404</v>
      </c>
      <c r="CE20" s="188"/>
      <c r="CF20" s="189"/>
      <c r="CG20" s="189"/>
      <c r="CH20" s="189"/>
      <c r="CI20" s="190"/>
    </row>
    <row r="21" spans="1:87">
      <c r="A21" s="186"/>
      <c r="B21" s="187" t="s">
        <v>29</v>
      </c>
      <c r="C21" s="188">
        <f t="shared" si="12"/>
        <v>126130</v>
      </c>
      <c r="D21" s="189">
        <f t="shared" si="0"/>
        <v>83459</v>
      </c>
      <c r="E21" s="189">
        <f t="shared" si="1"/>
        <v>3151992</v>
      </c>
      <c r="F21" s="189">
        <f t="shared" si="2"/>
        <v>1804562</v>
      </c>
      <c r="G21" s="190">
        <f t="shared" si="3"/>
        <v>5166143</v>
      </c>
      <c r="H21" s="188">
        <f t="shared" si="13"/>
        <v>110339</v>
      </c>
      <c r="I21" s="189">
        <f t="shared" si="4"/>
        <v>55968</v>
      </c>
      <c r="J21" s="189">
        <f t="shared" si="5"/>
        <v>3136602</v>
      </c>
      <c r="K21" s="189">
        <f t="shared" si="6"/>
        <v>1798766</v>
      </c>
      <c r="L21" s="190">
        <f t="shared" si="7"/>
        <v>5101675</v>
      </c>
      <c r="M21" s="188">
        <v>1299</v>
      </c>
      <c r="N21" s="189">
        <v>2598</v>
      </c>
      <c r="O21" s="189">
        <v>197448</v>
      </c>
      <c r="P21" s="189">
        <v>193716</v>
      </c>
      <c r="Q21" s="190">
        <v>395061</v>
      </c>
      <c r="R21" s="188">
        <v>10197</v>
      </c>
      <c r="S21" s="189">
        <v>2599</v>
      </c>
      <c r="T21" s="189">
        <v>210909</v>
      </c>
      <c r="U21" s="189">
        <v>205242</v>
      </c>
      <c r="V21" s="190">
        <v>428947</v>
      </c>
      <c r="W21" s="188"/>
      <c r="X21" s="189"/>
      <c r="Y21" s="189">
        <v>302667</v>
      </c>
      <c r="Z21" s="189">
        <v>282425</v>
      </c>
      <c r="AA21" s="190">
        <v>585092</v>
      </c>
      <c r="AB21" s="188">
        <v>20195</v>
      </c>
      <c r="AC21" s="189"/>
      <c r="AD21" s="189"/>
      <c r="AE21" s="189">
        <v>264240</v>
      </c>
      <c r="AF21" s="190">
        <v>284435</v>
      </c>
      <c r="AG21" s="188"/>
      <c r="AH21" s="189"/>
      <c r="AI21" s="189">
        <v>2090633</v>
      </c>
      <c r="AJ21" s="189">
        <v>497296</v>
      </c>
      <c r="AK21" s="190">
        <v>2587929</v>
      </c>
      <c r="AL21" s="188">
        <v>9093</v>
      </c>
      <c r="AM21" s="189">
        <v>2598</v>
      </c>
      <c r="AN21" s="189">
        <v>109116</v>
      </c>
      <c r="AO21" s="189">
        <v>85238</v>
      </c>
      <c r="AP21" s="190">
        <v>206045</v>
      </c>
      <c r="AQ21" s="188">
        <v>48771</v>
      </c>
      <c r="AR21" s="189">
        <v>11691</v>
      </c>
      <c r="AS21" s="189">
        <v>211540</v>
      </c>
      <c r="AT21" s="189">
        <v>49669</v>
      </c>
      <c r="AU21" s="190">
        <v>321671</v>
      </c>
      <c r="AV21" s="188"/>
      <c r="AW21" s="189">
        <v>10998</v>
      </c>
      <c r="AX21" s="189"/>
      <c r="AY21" s="189">
        <v>27279</v>
      </c>
      <c r="AZ21" s="190">
        <v>38277</v>
      </c>
      <c r="BA21" s="188">
        <v>20784</v>
      </c>
      <c r="BB21" s="189">
        <v>25484</v>
      </c>
      <c r="BC21" s="189">
        <v>14289</v>
      </c>
      <c r="BD21" s="189">
        <v>193661</v>
      </c>
      <c r="BE21" s="190">
        <v>254218</v>
      </c>
      <c r="BF21" s="188">
        <f t="shared" si="14"/>
        <v>15791</v>
      </c>
      <c r="BG21" s="189">
        <f t="shared" si="8"/>
        <v>27491</v>
      </c>
      <c r="BH21" s="189">
        <f t="shared" si="9"/>
        <v>15390</v>
      </c>
      <c r="BI21" s="189">
        <f t="shared" si="10"/>
        <v>5796</v>
      </c>
      <c r="BJ21" s="190">
        <f t="shared" si="11"/>
        <v>64468</v>
      </c>
      <c r="BK21" s="188">
        <v>4497</v>
      </c>
      <c r="BL21" s="189">
        <v>2598</v>
      </c>
      <c r="BM21" s="189"/>
      <c r="BN21" s="189">
        <v>2598</v>
      </c>
      <c r="BO21" s="190">
        <v>9693</v>
      </c>
      <c r="BP21" s="188">
        <v>6298</v>
      </c>
      <c r="BQ21" s="189">
        <v>2598</v>
      </c>
      <c r="BR21" s="189">
        <v>5196</v>
      </c>
      <c r="BS21" s="189"/>
      <c r="BT21" s="190">
        <v>14092</v>
      </c>
      <c r="BU21" s="188">
        <v>4996</v>
      </c>
      <c r="BV21" s="189">
        <v>17296</v>
      </c>
      <c r="BW21" s="189">
        <v>10194</v>
      </c>
      <c r="BX21" s="189">
        <v>1299</v>
      </c>
      <c r="BY21" s="190">
        <v>33785</v>
      </c>
      <c r="BZ21" s="188"/>
      <c r="CA21" s="189">
        <v>4999</v>
      </c>
      <c r="CB21" s="189"/>
      <c r="CC21" s="189">
        <v>1899</v>
      </c>
      <c r="CD21" s="190">
        <v>6898</v>
      </c>
      <c r="CE21" s="188"/>
      <c r="CF21" s="189"/>
      <c r="CG21" s="189"/>
      <c r="CH21" s="189"/>
      <c r="CI21" s="190"/>
    </row>
    <row r="22" s="163" customFormat="1" ht="14.6" spans="1:87">
      <c r="A22" s="191" t="s">
        <v>36</v>
      </c>
      <c r="B22" s="192"/>
      <c r="C22" s="193">
        <f t="shared" si="12"/>
        <v>9838872</v>
      </c>
      <c r="D22" s="194">
        <f t="shared" si="0"/>
        <v>7167872</v>
      </c>
      <c r="E22" s="194">
        <f t="shared" si="1"/>
        <v>32748923</v>
      </c>
      <c r="F22" s="194">
        <f t="shared" si="2"/>
        <v>32939979</v>
      </c>
      <c r="G22" s="195">
        <f t="shared" si="3"/>
        <v>82695646</v>
      </c>
      <c r="H22" s="193">
        <f t="shared" si="13"/>
        <v>9152405</v>
      </c>
      <c r="I22" s="194">
        <f t="shared" si="4"/>
        <v>6524506</v>
      </c>
      <c r="J22" s="194">
        <f t="shared" si="5"/>
        <v>31521905</v>
      </c>
      <c r="K22" s="194">
        <f t="shared" si="6"/>
        <v>31651329</v>
      </c>
      <c r="L22" s="195">
        <f t="shared" si="7"/>
        <v>78850145</v>
      </c>
      <c r="M22" s="193">
        <v>1043606</v>
      </c>
      <c r="N22" s="194">
        <v>750423</v>
      </c>
      <c r="O22" s="194">
        <v>1901789</v>
      </c>
      <c r="P22" s="194">
        <v>3035518</v>
      </c>
      <c r="Q22" s="195">
        <v>6731336</v>
      </c>
      <c r="R22" s="193">
        <v>505558</v>
      </c>
      <c r="S22" s="194">
        <v>416386</v>
      </c>
      <c r="T22" s="194">
        <v>2501725</v>
      </c>
      <c r="U22" s="194">
        <v>2339800</v>
      </c>
      <c r="V22" s="195">
        <v>5763469</v>
      </c>
      <c r="W22" s="193">
        <v>943405</v>
      </c>
      <c r="X22" s="194">
        <v>469890</v>
      </c>
      <c r="Y22" s="194">
        <v>1756992</v>
      </c>
      <c r="Z22" s="194">
        <v>3597995</v>
      </c>
      <c r="AA22" s="195">
        <v>6768282</v>
      </c>
      <c r="AB22" s="193">
        <v>462303</v>
      </c>
      <c r="AC22" s="194">
        <v>611367</v>
      </c>
      <c r="AD22" s="194">
        <v>3131447</v>
      </c>
      <c r="AE22" s="194">
        <v>3139242</v>
      </c>
      <c r="AF22" s="195">
        <v>7344359</v>
      </c>
      <c r="AG22" s="193">
        <v>3085395</v>
      </c>
      <c r="AH22" s="194">
        <v>2027294</v>
      </c>
      <c r="AI22" s="194">
        <v>17827620</v>
      </c>
      <c r="AJ22" s="194">
        <v>12317107</v>
      </c>
      <c r="AK22" s="195">
        <v>35257416</v>
      </c>
      <c r="AL22" s="193">
        <v>280020</v>
      </c>
      <c r="AM22" s="194">
        <v>252059</v>
      </c>
      <c r="AN22" s="194">
        <v>773124</v>
      </c>
      <c r="AO22" s="194">
        <v>668755</v>
      </c>
      <c r="AP22" s="195">
        <v>1973958</v>
      </c>
      <c r="AQ22" s="193">
        <v>1236954</v>
      </c>
      <c r="AR22" s="194">
        <v>890957</v>
      </c>
      <c r="AS22" s="194">
        <v>2592443</v>
      </c>
      <c r="AT22" s="194">
        <v>3284685</v>
      </c>
      <c r="AU22" s="195">
        <v>8005039</v>
      </c>
      <c r="AV22" s="193">
        <v>189989</v>
      </c>
      <c r="AW22" s="194">
        <v>100768</v>
      </c>
      <c r="AX22" s="194">
        <v>80285</v>
      </c>
      <c r="AY22" s="194">
        <v>311253</v>
      </c>
      <c r="AZ22" s="195">
        <v>682295</v>
      </c>
      <c r="BA22" s="193">
        <v>1405175</v>
      </c>
      <c r="BB22" s="194">
        <v>1005362</v>
      </c>
      <c r="BC22" s="194">
        <v>956480</v>
      </c>
      <c r="BD22" s="194">
        <v>2956974</v>
      </c>
      <c r="BE22" s="195">
        <v>6323991</v>
      </c>
      <c r="BF22" s="193">
        <f t="shared" si="14"/>
        <v>686467</v>
      </c>
      <c r="BG22" s="194">
        <f t="shared" si="8"/>
        <v>643366</v>
      </c>
      <c r="BH22" s="194">
        <f t="shared" si="9"/>
        <v>1227018</v>
      </c>
      <c r="BI22" s="194">
        <f t="shared" si="10"/>
        <v>1288650</v>
      </c>
      <c r="BJ22" s="195">
        <f t="shared" si="11"/>
        <v>3845501</v>
      </c>
      <c r="BK22" s="193">
        <v>38505</v>
      </c>
      <c r="BL22" s="194">
        <v>39550</v>
      </c>
      <c r="BM22" s="194">
        <v>167477</v>
      </c>
      <c r="BN22" s="194">
        <v>164527</v>
      </c>
      <c r="BO22" s="195">
        <v>410059</v>
      </c>
      <c r="BP22" s="193">
        <v>325540</v>
      </c>
      <c r="BQ22" s="194">
        <v>313302</v>
      </c>
      <c r="BR22" s="194">
        <v>359868</v>
      </c>
      <c r="BS22" s="194">
        <v>422634</v>
      </c>
      <c r="BT22" s="195">
        <v>1421344</v>
      </c>
      <c r="BU22" s="193">
        <v>234425</v>
      </c>
      <c r="BV22" s="194">
        <v>230235</v>
      </c>
      <c r="BW22" s="194">
        <v>565000</v>
      </c>
      <c r="BX22" s="194">
        <v>531220</v>
      </c>
      <c r="BY22" s="195">
        <v>1560880</v>
      </c>
      <c r="BZ22" s="193">
        <v>46583</v>
      </c>
      <c r="CA22" s="194">
        <v>34314</v>
      </c>
      <c r="CB22" s="194">
        <v>96985</v>
      </c>
      <c r="CC22" s="194">
        <v>136763</v>
      </c>
      <c r="CD22" s="195">
        <v>314645</v>
      </c>
      <c r="CE22" s="193">
        <v>41414</v>
      </c>
      <c r="CF22" s="194">
        <v>25965</v>
      </c>
      <c r="CG22" s="194">
        <v>37688</v>
      </c>
      <c r="CH22" s="194">
        <v>33506</v>
      </c>
      <c r="CI22" s="195">
        <v>138573</v>
      </c>
    </row>
    <row r="23" spans="1:87">
      <c r="A23" s="186" t="s">
        <v>37</v>
      </c>
      <c r="B23" s="187" t="s">
        <v>26</v>
      </c>
      <c r="C23" s="188">
        <f t="shared" si="12"/>
        <v>8978315</v>
      </c>
      <c r="D23" s="189">
        <f t="shared" si="0"/>
        <v>9995612</v>
      </c>
      <c r="E23" s="189">
        <f t="shared" si="1"/>
        <v>7589134</v>
      </c>
      <c r="F23" s="189">
        <f t="shared" si="2"/>
        <v>10442721</v>
      </c>
      <c r="G23" s="190">
        <f t="shared" si="3"/>
        <v>37005782</v>
      </c>
      <c r="H23" s="188">
        <f t="shared" si="13"/>
        <v>7468360</v>
      </c>
      <c r="I23" s="189">
        <f t="shared" si="4"/>
        <v>8509318</v>
      </c>
      <c r="J23" s="189">
        <f t="shared" si="5"/>
        <v>6025381</v>
      </c>
      <c r="K23" s="189">
        <f t="shared" si="6"/>
        <v>8536765</v>
      </c>
      <c r="L23" s="190">
        <f t="shared" si="7"/>
        <v>30539824</v>
      </c>
      <c r="M23" s="188">
        <v>1631642</v>
      </c>
      <c r="N23" s="189">
        <v>1762863</v>
      </c>
      <c r="O23" s="189">
        <v>1087556</v>
      </c>
      <c r="P23" s="189">
        <v>1928779</v>
      </c>
      <c r="Q23" s="190">
        <v>6410840</v>
      </c>
      <c r="R23" s="188">
        <v>653084</v>
      </c>
      <c r="S23" s="189">
        <v>1062474</v>
      </c>
      <c r="T23" s="189">
        <v>660167</v>
      </c>
      <c r="U23" s="189">
        <v>983394</v>
      </c>
      <c r="V23" s="190">
        <v>3359119</v>
      </c>
      <c r="W23" s="188">
        <v>333089</v>
      </c>
      <c r="X23" s="189">
        <v>403997</v>
      </c>
      <c r="Y23" s="189">
        <v>684672</v>
      </c>
      <c r="Z23" s="189">
        <v>668295</v>
      </c>
      <c r="AA23" s="190">
        <v>2090053</v>
      </c>
      <c r="AB23" s="188">
        <v>202633</v>
      </c>
      <c r="AC23" s="189">
        <v>222133</v>
      </c>
      <c r="AD23" s="189">
        <v>592649</v>
      </c>
      <c r="AE23" s="189">
        <v>811294</v>
      </c>
      <c r="AF23" s="190">
        <v>1828709</v>
      </c>
      <c r="AG23" s="188">
        <v>2012982</v>
      </c>
      <c r="AH23" s="189">
        <v>2555525</v>
      </c>
      <c r="AI23" s="189">
        <v>936281</v>
      </c>
      <c r="AJ23" s="189">
        <v>1827261</v>
      </c>
      <c r="AK23" s="190">
        <v>7332049</v>
      </c>
      <c r="AL23" s="188">
        <v>285771</v>
      </c>
      <c r="AM23" s="189">
        <v>410593</v>
      </c>
      <c r="AN23" s="189">
        <v>284160</v>
      </c>
      <c r="AO23" s="189">
        <v>408934</v>
      </c>
      <c r="AP23" s="190">
        <v>1389458</v>
      </c>
      <c r="AQ23" s="188">
        <v>1185665</v>
      </c>
      <c r="AR23" s="189">
        <v>809542</v>
      </c>
      <c r="AS23" s="189">
        <v>600789</v>
      </c>
      <c r="AT23" s="189">
        <v>801010</v>
      </c>
      <c r="AU23" s="190">
        <v>3397006</v>
      </c>
      <c r="AV23" s="188">
        <v>119247</v>
      </c>
      <c r="AW23" s="189">
        <v>153563</v>
      </c>
      <c r="AX23" s="189">
        <v>135574</v>
      </c>
      <c r="AY23" s="189">
        <v>45987</v>
      </c>
      <c r="AZ23" s="190">
        <v>454371</v>
      </c>
      <c r="BA23" s="188">
        <v>1044247</v>
      </c>
      <c r="BB23" s="189">
        <v>1128628</v>
      </c>
      <c r="BC23" s="189">
        <v>1043533</v>
      </c>
      <c r="BD23" s="189">
        <v>1061811</v>
      </c>
      <c r="BE23" s="190">
        <v>4278219</v>
      </c>
      <c r="BF23" s="188">
        <f t="shared" si="14"/>
        <v>1509955</v>
      </c>
      <c r="BG23" s="189">
        <f t="shared" si="8"/>
        <v>1486294</v>
      </c>
      <c r="BH23" s="189">
        <f t="shared" si="9"/>
        <v>1563753</v>
      </c>
      <c r="BI23" s="189">
        <f t="shared" si="10"/>
        <v>1905956</v>
      </c>
      <c r="BJ23" s="190">
        <f t="shared" si="11"/>
        <v>6465958</v>
      </c>
      <c r="BK23" s="188">
        <v>89061</v>
      </c>
      <c r="BL23" s="189">
        <v>81213</v>
      </c>
      <c r="BM23" s="189">
        <v>95946</v>
      </c>
      <c r="BN23" s="189">
        <v>136193</v>
      </c>
      <c r="BO23" s="190">
        <v>402413</v>
      </c>
      <c r="BP23" s="188">
        <v>460679</v>
      </c>
      <c r="BQ23" s="189">
        <v>537417</v>
      </c>
      <c r="BR23" s="189">
        <v>507382</v>
      </c>
      <c r="BS23" s="189">
        <v>622093</v>
      </c>
      <c r="BT23" s="190">
        <v>2127571</v>
      </c>
      <c r="BU23" s="188">
        <v>713749</v>
      </c>
      <c r="BV23" s="189">
        <v>614136</v>
      </c>
      <c r="BW23" s="189">
        <v>697656</v>
      </c>
      <c r="BX23" s="189">
        <v>812325</v>
      </c>
      <c r="BY23" s="190">
        <v>2837866</v>
      </c>
      <c r="BZ23" s="188">
        <v>129640</v>
      </c>
      <c r="CA23" s="189">
        <v>150650</v>
      </c>
      <c r="CB23" s="189">
        <v>152574</v>
      </c>
      <c r="CC23" s="189">
        <v>204500</v>
      </c>
      <c r="CD23" s="190">
        <v>637364</v>
      </c>
      <c r="CE23" s="188">
        <v>116826</v>
      </c>
      <c r="CF23" s="189">
        <v>102878</v>
      </c>
      <c r="CG23" s="189">
        <v>110195</v>
      </c>
      <c r="CH23" s="189">
        <v>130845</v>
      </c>
      <c r="CI23" s="190">
        <v>460744</v>
      </c>
    </row>
    <row r="24" spans="1:87">
      <c r="A24" s="186"/>
      <c r="B24" s="187" t="s">
        <v>27</v>
      </c>
      <c r="C24" s="188">
        <f t="shared" si="12"/>
        <v>933297</v>
      </c>
      <c r="D24" s="189">
        <f t="shared" si="0"/>
        <v>626517</v>
      </c>
      <c r="E24" s="189">
        <f t="shared" si="1"/>
        <v>492318</v>
      </c>
      <c r="F24" s="189">
        <f t="shared" si="2"/>
        <v>1297585</v>
      </c>
      <c r="G24" s="190">
        <f t="shared" si="3"/>
        <v>3349717</v>
      </c>
      <c r="H24" s="188">
        <f t="shared" si="13"/>
        <v>840583</v>
      </c>
      <c r="I24" s="189">
        <f t="shared" si="4"/>
        <v>554922</v>
      </c>
      <c r="J24" s="189">
        <f t="shared" si="5"/>
        <v>427671</v>
      </c>
      <c r="K24" s="189">
        <f t="shared" si="6"/>
        <v>1130591</v>
      </c>
      <c r="L24" s="190">
        <f t="shared" si="7"/>
        <v>2953767</v>
      </c>
      <c r="M24" s="188">
        <v>23205</v>
      </c>
      <c r="N24" s="189">
        <v>16510</v>
      </c>
      <c r="O24" s="189">
        <v>11825</v>
      </c>
      <c r="P24" s="189">
        <v>91906</v>
      </c>
      <c r="Q24" s="190">
        <v>143446</v>
      </c>
      <c r="R24" s="188">
        <v>25596</v>
      </c>
      <c r="S24" s="189">
        <v>16464</v>
      </c>
      <c r="T24" s="189">
        <v>20510</v>
      </c>
      <c r="U24" s="189">
        <v>29171</v>
      </c>
      <c r="V24" s="190">
        <v>91741</v>
      </c>
      <c r="W24" s="188">
        <v>27671</v>
      </c>
      <c r="X24" s="189">
        <v>20757</v>
      </c>
      <c r="Y24" s="189">
        <v>24745</v>
      </c>
      <c r="Z24" s="189">
        <v>89353</v>
      </c>
      <c r="AA24" s="190">
        <v>162526</v>
      </c>
      <c r="AB24" s="188">
        <v>78022</v>
      </c>
      <c r="AC24" s="189">
        <v>69445</v>
      </c>
      <c r="AD24" s="189">
        <v>38752</v>
      </c>
      <c r="AE24" s="189">
        <v>156324</v>
      </c>
      <c r="AF24" s="190">
        <v>342543</v>
      </c>
      <c r="AG24" s="188">
        <v>520970</v>
      </c>
      <c r="AH24" s="189">
        <v>306551</v>
      </c>
      <c r="AI24" s="189">
        <v>215572</v>
      </c>
      <c r="AJ24" s="189">
        <v>483642</v>
      </c>
      <c r="AK24" s="190">
        <v>1526735</v>
      </c>
      <c r="AL24" s="188">
        <v>28449</v>
      </c>
      <c r="AM24" s="189">
        <v>28666</v>
      </c>
      <c r="AN24" s="189">
        <v>34337</v>
      </c>
      <c r="AO24" s="189">
        <v>56666</v>
      </c>
      <c r="AP24" s="190">
        <v>148118</v>
      </c>
      <c r="AQ24" s="188">
        <v>35027</v>
      </c>
      <c r="AR24" s="189">
        <v>33862</v>
      </c>
      <c r="AS24" s="189">
        <v>28533</v>
      </c>
      <c r="AT24" s="189">
        <v>86684</v>
      </c>
      <c r="AU24" s="190">
        <v>184106</v>
      </c>
      <c r="AV24" s="188">
        <v>10983</v>
      </c>
      <c r="AW24" s="189">
        <v>7738</v>
      </c>
      <c r="AX24" s="189">
        <v>6983</v>
      </c>
      <c r="AY24" s="189">
        <v>13053</v>
      </c>
      <c r="AZ24" s="190">
        <v>38757</v>
      </c>
      <c r="BA24" s="188">
        <v>90660</v>
      </c>
      <c r="BB24" s="189">
        <v>54929</v>
      </c>
      <c r="BC24" s="189">
        <v>46414</v>
      </c>
      <c r="BD24" s="189">
        <v>123792</v>
      </c>
      <c r="BE24" s="190">
        <v>315795</v>
      </c>
      <c r="BF24" s="188">
        <f t="shared" si="14"/>
        <v>92714</v>
      </c>
      <c r="BG24" s="189">
        <f t="shared" si="8"/>
        <v>71595</v>
      </c>
      <c r="BH24" s="189">
        <f t="shared" si="9"/>
        <v>64647</v>
      </c>
      <c r="BI24" s="189">
        <f t="shared" si="10"/>
        <v>166994</v>
      </c>
      <c r="BJ24" s="190">
        <f t="shared" si="11"/>
        <v>395950</v>
      </c>
      <c r="BK24" s="188">
        <v>3356</v>
      </c>
      <c r="BL24" s="189">
        <v>4589</v>
      </c>
      <c r="BM24" s="189">
        <v>4833</v>
      </c>
      <c r="BN24" s="189">
        <v>10528</v>
      </c>
      <c r="BO24" s="190">
        <v>23306</v>
      </c>
      <c r="BP24" s="188">
        <v>27359</v>
      </c>
      <c r="BQ24" s="189">
        <v>17465</v>
      </c>
      <c r="BR24" s="189">
        <v>8667</v>
      </c>
      <c r="BS24" s="189">
        <v>30743</v>
      </c>
      <c r="BT24" s="190">
        <v>84234</v>
      </c>
      <c r="BU24" s="188">
        <v>46418</v>
      </c>
      <c r="BV24" s="189">
        <v>42697</v>
      </c>
      <c r="BW24" s="189">
        <v>43416</v>
      </c>
      <c r="BX24" s="189">
        <v>101431</v>
      </c>
      <c r="BY24" s="190">
        <v>233962</v>
      </c>
      <c r="BZ24" s="188">
        <v>7424</v>
      </c>
      <c r="CA24" s="189">
        <v>5704</v>
      </c>
      <c r="CB24" s="189">
        <v>4577</v>
      </c>
      <c r="CC24" s="189">
        <v>16908</v>
      </c>
      <c r="CD24" s="190">
        <v>34613</v>
      </c>
      <c r="CE24" s="188">
        <v>8157</v>
      </c>
      <c r="CF24" s="189">
        <v>1140</v>
      </c>
      <c r="CG24" s="189">
        <v>3154</v>
      </c>
      <c r="CH24" s="189">
        <v>7384</v>
      </c>
      <c r="CI24" s="190">
        <v>19835</v>
      </c>
    </row>
    <row r="25" spans="1:87">
      <c r="A25" s="186"/>
      <c r="B25" s="187" t="s">
        <v>28</v>
      </c>
      <c r="C25" s="188">
        <f t="shared" si="12"/>
        <v>4455790</v>
      </c>
      <c r="D25" s="189">
        <f t="shared" si="0"/>
        <v>4576468</v>
      </c>
      <c r="E25" s="189">
        <f t="shared" si="1"/>
        <v>7361800</v>
      </c>
      <c r="F25" s="189">
        <f t="shared" si="2"/>
        <v>8904549</v>
      </c>
      <c r="G25" s="190">
        <f t="shared" si="3"/>
        <v>25298607</v>
      </c>
      <c r="H25" s="188">
        <f t="shared" si="13"/>
        <v>4134870</v>
      </c>
      <c r="I25" s="189">
        <f t="shared" si="4"/>
        <v>3156503</v>
      </c>
      <c r="J25" s="189">
        <f t="shared" si="5"/>
        <v>5198885</v>
      </c>
      <c r="K25" s="189">
        <f t="shared" si="6"/>
        <v>6907115</v>
      </c>
      <c r="L25" s="190">
        <f t="shared" si="7"/>
        <v>19397373</v>
      </c>
      <c r="M25" s="188">
        <v>257147</v>
      </c>
      <c r="N25" s="189">
        <v>253834</v>
      </c>
      <c r="O25" s="189">
        <v>462544</v>
      </c>
      <c r="P25" s="189">
        <v>1609264</v>
      </c>
      <c r="Q25" s="190">
        <v>2582789</v>
      </c>
      <c r="R25" s="188">
        <v>334945</v>
      </c>
      <c r="S25" s="189">
        <v>561783</v>
      </c>
      <c r="T25" s="189">
        <v>520062</v>
      </c>
      <c r="U25" s="189">
        <v>755604</v>
      </c>
      <c r="V25" s="190">
        <v>2172394</v>
      </c>
      <c r="W25" s="188">
        <v>21512</v>
      </c>
      <c r="X25" s="189">
        <v>607101</v>
      </c>
      <c r="Y25" s="189">
        <v>763414</v>
      </c>
      <c r="Z25" s="189">
        <v>788763</v>
      </c>
      <c r="AA25" s="190">
        <v>2180790</v>
      </c>
      <c r="AB25" s="188">
        <v>9555</v>
      </c>
      <c r="AC25" s="189">
        <v>586</v>
      </c>
      <c r="AD25" s="189">
        <v>2344</v>
      </c>
      <c r="AE25" s="189">
        <v>1071544</v>
      </c>
      <c r="AF25" s="190">
        <v>1084029</v>
      </c>
      <c r="AG25" s="188">
        <v>3056070</v>
      </c>
      <c r="AH25" s="189">
        <v>1268203</v>
      </c>
      <c r="AI25" s="189">
        <v>2760904</v>
      </c>
      <c r="AJ25" s="189">
        <v>1364321</v>
      </c>
      <c r="AK25" s="190">
        <v>8449498</v>
      </c>
      <c r="AL25" s="188">
        <v>29007</v>
      </c>
      <c r="AM25" s="189">
        <v>85141</v>
      </c>
      <c r="AN25" s="189">
        <v>171315</v>
      </c>
      <c r="AO25" s="189">
        <v>464581</v>
      </c>
      <c r="AP25" s="190">
        <v>750044</v>
      </c>
      <c r="AQ25" s="188">
        <v>300570</v>
      </c>
      <c r="AR25" s="189">
        <v>130032</v>
      </c>
      <c r="AS25" s="189">
        <v>441954</v>
      </c>
      <c r="AT25" s="189">
        <v>492651</v>
      </c>
      <c r="AU25" s="190">
        <v>1365207</v>
      </c>
      <c r="AV25" s="188">
        <v>69</v>
      </c>
      <c r="AW25" s="189">
        <v>33927</v>
      </c>
      <c r="AX25" s="189">
        <v>58953</v>
      </c>
      <c r="AY25" s="189">
        <v>25413</v>
      </c>
      <c r="AZ25" s="190">
        <v>118362</v>
      </c>
      <c r="BA25" s="188">
        <v>125995</v>
      </c>
      <c r="BB25" s="189">
        <v>215896</v>
      </c>
      <c r="BC25" s="189">
        <v>17395</v>
      </c>
      <c r="BD25" s="189">
        <v>334974</v>
      </c>
      <c r="BE25" s="190">
        <v>694260</v>
      </c>
      <c r="BF25" s="188">
        <f t="shared" si="14"/>
        <v>320920</v>
      </c>
      <c r="BG25" s="189">
        <f t="shared" si="8"/>
        <v>1419965</v>
      </c>
      <c r="BH25" s="189">
        <f t="shared" si="9"/>
        <v>2162915</v>
      </c>
      <c r="BI25" s="189">
        <f t="shared" si="10"/>
        <v>1997434</v>
      </c>
      <c r="BJ25" s="190">
        <f t="shared" si="11"/>
        <v>5901234</v>
      </c>
      <c r="BK25" s="188">
        <v>11112</v>
      </c>
      <c r="BL25" s="189">
        <v>211032</v>
      </c>
      <c r="BM25" s="189">
        <v>162094</v>
      </c>
      <c r="BN25" s="189">
        <v>127206</v>
      </c>
      <c r="BO25" s="190">
        <v>511444</v>
      </c>
      <c r="BP25" s="188">
        <v>288309</v>
      </c>
      <c r="BQ25" s="189">
        <v>356225</v>
      </c>
      <c r="BR25" s="189">
        <v>428900</v>
      </c>
      <c r="BS25" s="189">
        <v>406444</v>
      </c>
      <c r="BT25" s="190">
        <v>1479878</v>
      </c>
      <c r="BU25" s="188">
        <v>7720</v>
      </c>
      <c r="BV25" s="189">
        <v>678697</v>
      </c>
      <c r="BW25" s="189">
        <v>1356826</v>
      </c>
      <c r="BX25" s="189">
        <v>1245538</v>
      </c>
      <c r="BY25" s="190">
        <v>3288781</v>
      </c>
      <c r="BZ25" s="188">
        <v>11985</v>
      </c>
      <c r="CA25" s="189">
        <v>173528</v>
      </c>
      <c r="CB25" s="189">
        <v>86250</v>
      </c>
      <c r="CC25" s="189">
        <v>94406</v>
      </c>
      <c r="CD25" s="190">
        <v>366169</v>
      </c>
      <c r="CE25" s="188">
        <v>1794</v>
      </c>
      <c r="CF25" s="189">
        <v>483</v>
      </c>
      <c r="CG25" s="189">
        <v>128845</v>
      </c>
      <c r="CH25" s="189">
        <v>123840</v>
      </c>
      <c r="CI25" s="190">
        <v>254962</v>
      </c>
    </row>
    <row r="26" spans="1:87">
      <c r="A26" s="186"/>
      <c r="B26" s="187" t="s">
        <v>29</v>
      </c>
      <c r="C26" s="188">
        <f t="shared" si="12"/>
        <v>278340</v>
      </c>
      <c r="D26" s="189">
        <f t="shared" si="0"/>
        <v>299844</v>
      </c>
      <c r="E26" s="189">
        <f t="shared" si="1"/>
        <v>231882</v>
      </c>
      <c r="F26" s="189">
        <f t="shared" si="2"/>
        <v>168913</v>
      </c>
      <c r="G26" s="190">
        <f t="shared" si="3"/>
        <v>978979</v>
      </c>
      <c r="H26" s="188">
        <f t="shared" si="13"/>
        <v>252350</v>
      </c>
      <c r="I26" s="189">
        <f t="shared" si="4"/>
        <v>246861</v>
      </c>
      <c r="J26" s="189">
        <f t="shared" si="5"/>
        <v>187397</v>
      </c>
      <c r="K26" s="189">
        <f t="shared" si="6"/>
        <v>144422</v>
      </c>
      <c r="L26" s="190">
        <f t="shared" si="7"/>
        <v>831030</v>
      </c>
      <c r="M26" s="188"/>
      <c r="N26" s="189"/>
      <c r="O26" s="189"/>
      <c r="P26" s="189"/>
      <c r="Q26" s="190"/>
      <c r="R26" s="188">
        <v>17988</v>
      </c>
      <c r="S26" s="189">
        <v>6999</v>
      </c>
      <c r="T26" s="189">
        <v>11992</v>
      </c>
      <c r="U26" s="189">
        <v>14990</v>
      </c>
      <c r="V26" s="190">
        <v>51969</v>
      </c>
      <c r="W26" s="188">
        <v>24987</v>
      </c>
      <c r="X26" s="189">
        <v>13491</v>
      </c>
      <c r="Y26" s="189"/>
      <c r="Z26" s="189"/>
      <c r="AA26" s="190">
        <v>38478</v>
      </c>
      <c r="AB26" s="188"/>
      <c r="AC26" s="189">
        <v>25494</v>
      </c>
      <c r="AD26" s="189">
        <v>15497</v>
      </c>
      <c r="AE26" s="189">
        <v>1499</v>
      </c>
      <c r="AF26" s="190">
        <v>42490</v>
      </c>
      <c r="AG26" s="188">
        <v>135913</v>
      </c>
      <c r="AH26" s="189">
        <v>131912</v>
      </c>
      <c r="AI26" s="189">
        <v>101932</v>
      </c>
      <c r="AJ26" s="189">
        <v>67455</v>
      </c>
      <c r="AK26" s="190">
        <v>437212</v>
      </c>
      <c r="AL26" s="188">
        <v>16996</v>
      </c>
      <c r="AM26" s="189">
        <v>12995</v>
      </c>
      <c r="AN26" s="189">
        <v>2998</v>
      </c>
      <c r="AO26" s="189">
        <v>19994</v>
      </c>
      <c r="AP26" s="190">
        <v>52983</v>
      </c>
      <c r="AQ26" s="188">
        <v>16489</v>
      </c>
      <c r="AR26" s="189">
        <v>27985</v>
      </c>
      <c r="AS26" s="189">
        <v>5996</v>
      </c>
      <c r="AT26" s="189">
        <v>19994</v>
      </c>
      <c r="AU26" s="190">
        <v>70464</v>
      </c>
      <c r="AV26" s="188">
        <v>11496</v>
      </c>
      <c r="AW26" s="189">
        <v>1499</v>
      </c>
      <c r="AX26" s="189">
        <v>22496</v>
      </c>
      <c r="AY26" s="189">
        <v>8498</v>
      </c>
      <c r="AZ26" s="190">
        <v>43989</v>
      </c>
      <c r="BA26" s="188">
        <v>28481</v>
      </c>
      <c r="BB26" s="189">
        <v>26486</v>
      </c>
      <c r="BC26" s="189">
        <v>26486</v>
      </c>
      <c r="BD26" s="189">
        <v>11992</v>
      </c>
      <c r="BE26" s="190">
        <v>93445</v>
      </c>
      <c r="BF26" s="188">
        <f t="shared" si="14"/>
        <v>25990</v>
      </c>
      <c r="BG26" s="189">
        <f t="shared" si="8"/>
        <v>52983</v>
      </c>
      <c r="BH26" s="189">
        <f t="shared" si="9"/>
        <v>44485</v>
      </c>
      <c r="BI26" s="189">
        <f t="shared" si="10"/>
        <v>24491</v>
      </c>
      <c r="BJ26" s="190">
        <f t="shared" si="11"/>
        <v>147949</v>
      </c>
      <c r="BK26" s="188"/>
      <c r="BL26" s="189"/>
      <c r="BM26" s="189"/>
      <c r="BN26" s="189"/>
      <c r="BO26" s="190"/>
      <c r="BP26" s="188">
        <v>8498</v>
      </c>
      <c r="BQ26" s="189">
        <v>25494</v>
      </c>
      <c r="BR26" s="189">
        <v>8498</v>
      </c>
      <c r="BS26" s="189">
        <v>9997</v>
      </c>
      <c r="BT26" s="190">
        <v>52487</v>
      </c>
      <c r="BU26" s="188">
        <v>10493</v>
      </c>
      <c r="BV26" s="189">
        <v>15993</v>
      </c>
      <c r="BW26" s="189">
        <v>32989</v>
      </c>
      <c r="BX26" s="189">
        <v>14494</v>
      </c>
      <c r="BY26" s="190">
        <v>73969</v>
      </c>
      <c r="BZ26" s="188">
        <v>6999</v>
      </c>
      <c r="CA26" s="189">
        <v>11496</v>
      </c>
      <c r="CB26" s="189">
        <v>2998</v>
      </c>
      <c r="CC26" s="189"/>
      <c r="CD26" s="190">
        <v>21493</v>
      </c>
      <c r="CE26" s="188"/>
      <c r="CF26" s="189"/>
      <c r="CG26" s="189"/>
      <c r="CH26" s="189"/>
      <c r="CI26" s="190"/>
    </row>
    <row r="27" spans="1:87">
      <c r="A27" s="186"/>
      <c r="B27" s="187" t="s">
        <v>38</v>
      </c>
      <c r="C27" s="188">
        <f t="shared" si="12"/>
        <v>8956</v>
      </c>
      <c r="D27" s="189">
        <f t="shared" si="0"/>
        <v>0</v>
      </c>
      <c r="E27" s="189">
        <f t="shared" si="1"/>
        <v>0</v>
      </c>
      <c r="F27" s="189">
        <f t="shared" si="2"/>
        <v>0</v>
      </c>
      <c r="G27" s="190">
        <f t="shared" si="3"/>
        <v>8956</v>
      </c>
      <c r="H27" s="188">
        <f t="shared" si="13"/>
        <v>8956</v>
      </c>
      <c r="I27" s="189">
        <f t="shared" si="4"/>
        <v>0</v>
      </c>
      <c r="J27" s="189">
        <f t="shared" si="5"/>
        <v>0</v>
      </c>
      <c r="K27" s="189">
        <f t="shared" si="6"/>
        <v>0</v>
      </c>
      <c r="L27" s="190">
        <f t="shared" si="7"/>
        <v>8956</v>
      </c>
      <c r="M27" s="188"/>
      <c r="N27" s="189"/>
      <c r="O27" s="189"/>
      <c r="P27" s="189"/>
      <c r="Q27" s="190"/>
      <c r="R27" s="188"/>
      <c r="S27" s="189"/>
      <c r="T27" s="189"/>
      <c r="U27" s="189"/>
      <c r="V27" s="190"/>
      <c r="W27" s="188"/>
      <c r="X27" s="189"/>
      <c r="Y27" s="189"/>
      <c r="Z27" s="189"/>
      <c r="AA27" s="190"/>
      <c r="AB27" s="188"/>
      <c r="AC27" s="189"/>
      <c r="AD27" s="189"/>
      <c r="AE27" s="189"/>
      <c r="AF27" s="190"/>
      <c r="AG27" s="188">
        <v>8956</v>
      </c>
      <c r="AH27" s="189"/>
      <c r="AI27" s="189"/>
      <c r="AJ27" s="189"/>
      <c r="AK27" s="190">
        <v>8956</v>
      </c>
      <c r="AL27" s="188"/>
      <c r="AM27" s="189"/>
      <c r="AN27" s="189"/>
      <c r="AO27" s="189"/>
      <c r="AP27" s="190"/>
      <c r="AQ27" s="188"/>
      <c r="AR27" s="189"/>
      <c r="AS27" s="189"/>
      <c r="AT27" s="189"/>
      <c r="AU27" s="190"/>
      <c r="AV27" s="188"/>
      <c r="AW27" s="189"/>
      <c r="AX27" s="189"/>
      <c r="AY27" s="189"/>
      <c r="AZ27" s="190"/>
      <c r="BA27" s="188"/>
      <c r="BB27" s="189"/>
      <c r="BC27" s="189"/>
      <c r="BD27" s="189"/>
      <c r="BE27" s="190"/>
      <c r="BF27" s="188">
        <f t="shared" si="14"/>
        <v>0</v>
      </c>
      <c r="BG27" s="189">
        <f t="shared" si="8"/>
        <v>0</v>
      </c>
      <c r="BH27" s="189">
        <f t="shared" si="9"/>
        <v>0</v>
      </c>
      <c r="BI27" s="189">
        <f t="shared" si="10"/>
        <v>0</v>
      </c>
      <c r="BJ27" s="190">
        <f t="shared" si="11"/>
        <v>0</v>
      </c>
      <c r="BK27" s="188"/>
      <c r="BL27" s="189"/>
      <c r="BM27" s="189"/>
      <c r="BN27" s="189"/>
      <c r="BO27" s="190"/>
      <c r="BP27" s="188"/>
      <c r="BQ27" s="189"/>
      <c r="BR27" s="189"/>
      <c r="BS27" s="189"/>
      <c r="BT27" s="190"/>
      <c r="BU27" s="188"/>
      <c r="BV27" s="189"/>
      <c r="BW27" s="189"/>
      <c r="BX27" s="189"/>
      <c r="BY27" s="190"/>
      <c r="BZ27" s="188"/>
      <c r="CA27" s="189"/>
      <c r="CB27" s="189"/>
      <c r="CC27" s="189"/>
      <c r="CD27" s="190"/>
      <c r="CE27" s="188"/>
      <c r="CF27" s="189"/>
      <c r="CG27" s="189"/>
      <c r="CH27" s="189"/>
      <c r="CI27" s="190"/>
    </row>
    <row r="28" s="163" customFormat="1" ht="14.6" spans="1:87">
      <c r="A28" s="191" t="s">
        <v>39</v>
      </c>
      <c r="B28" s="192"/>
      <c r="C28" s="193">
        <f t="shared" si="12"/>
        <v>14654698</v>
      </c>
      <c r="D28" s="194">
        <f t="shared" si="0"/>
        <v>15498441</v>
      </c>
      <c r="E28" s="194">
        <f t="shared" si="1"/>
        <v>15675134</v>
      </c>
      <c r="F28" s="194">
        <f t="shared" si="2"/>
        <v>20813768</v>
      </c>
      <c r="G28" s="195">
        <f t="shared" si="3"/>
        <v>66642041</v>
      </c>
      <c r="H28" s="193">
        <f t="shared" si="13"/>
        <v>12705119</v>
      </c>
      <c r="I28" s="194">
        <f t="shared" si="4"/>
        <v>12467604</v>
      </c>
      <c r="J28" s="194">
        <f t="shared" si="5"/>
        <v>11839334</v>
      </c>
      <c r="K28" s="194">
        <f t="shared" si="6"/>
        <v>16718893</v>
      </c>
      <c r="L28" s="195">
        <f t="shared" si="7"/>
        <v>53730950</v>
      </c>
      <c r="M28" s="193">
        <v>1911994</v>
      </c>
      <c r="N28" s="194">
        <v>2033207</v>
      </c>
      <c r="O28" s="194">
        <v>1561925</v>
      </c>
      <c r="P28" s="194">
        <v>3629949</v>
      </c>
      <c r="Q28" s="195">
        <v>9137075</v>
      </c>
      <c r="R28" s="193">
        <v>1031613</v>
      </c>
      <c r="S28" s="194">
        <v>1647720</v>
      </c>
      <c r="T28" s="194">
        <v>1212731</v>
      </c>
      <c r="U28" s="194">
        <v>1783159</v>
      </c>
      <c r="V28" s="195">
        <v>5675223</v>
      </c>
      <c r="W28" s="193">
        <v>407259</v>
      </c>
      <c r="X28" s="194">
        <v>1045346</v>
      </c>
      <c r="Y28" s="194">
        <v>1472831</v>
      </c>
      <c r="Z28" s="194">
        <v>1546411</v>
      </c>
      <c r="AA28" s="195">
        <v>4471847</v>
      </c>
      <c r="AB28" s="193">
        <v>290210</v>
      </c>
      <c r="AC28" s="194">
        <v>317658</v>
      </c>
      <c r="AD28" s="194">
        <v>649242</v>
      </c>
      <c r="AE28" s="194">
        <v>2040661</v>
      </c>
      <c r="AF28" s="195">
        <v>3297771</v>
      </c>
      <c r="AG28" s="193">
        <v>5734891</v>
      </c>
      <c r="AH28" s="194">
        <v>4262191</v>
      </c>
      <c r="AI28" s="194">
        <v>4014689</v>
      </c>
      <c r="AJ28" s="194">
        <v>3742679</v>
      </c>
      <c r="AK28" s="195">
        <v>17754450</v>
      </c>
      <c r="AL28" s="193">
        <v>360223</v>
      </c>
      <c r="AM28" s="194">
        <v>537395</v>
      </c>
      <c r="AN28" s="194">
        <v>492810</v>
      </c>
      <c r="AO28" s="194">
        <v>950175</v>
      </c>
      <c r="AP28" s="195">
        <v>2340603</v>
      </c>
      <c r="AQ28" s="193">
        <v>1537751</v>
      </c>
      <c r="AR28" s="194">
        <v>1001421</v>
      </c>
      <c r="AS28" s="194">
        <v>1077272</v>
      </c>
      <c r="AT28" s="194">
        <v>1400339</v>
      </c>
      <c r="AU28" s="195">
        <v>5016783</v>
      </c>
      <c r="AV28" s="193">
        <v>141795</v>
      </c>
      <c r="AW28" s="194">
        <v>196727</v>
      </c>
      <c r="AX28" s="194">
        <v>224006</v>
      </c>
      <c r="AY28" s="194">
        <v>92951</v>
      </c>
      <c r="AZ28" s="195">
        <v>655479</v>
      </c>
      <c r="BA28" s="193">
        <v>1289383</v>
      </c>
      <c r="BB28" s="194">
        <v>1425939</v>
      </c>
      <c r="BC28" s="194">
        <v>1133828</v>
      </c>
      <c r="BD28" s="194">
        <v>1532569</v>
      </c>
      <c r="BE28" s="195">
        <v>5381719</v>
      </c>
      <c r="BF28" s="193">
        <f t="shared" si="14"/>
        <v>1949579</v>
      </c>
      <c r="BG28" s="194">
        <f t="shared" si="8"/>
        <v>3030837</v>
      </c>
      <c r="BH28" s="194">
        <f t="shared" si="9"/>
        <v>3835800</v>
      </c>
      <c r="BI28" s="194">
        <f t="shared" si="10"/>
        <v>4094875</v>
      </c>
      <c r="BJ28" s="195">
        <f t="shared" si="11"/>
        <v>12911091</v>
      </c>
      <c r="BK28" s="193">
        <v>103529</v>
      </c>
      <c r="BL28" s="194">
        <v>296834</v>
      </c>
      <c r="BM28" s="194">
        <v>262873</v>
      </c>
      <c r="BN28" s="194">
        <v>273927</v>
      </c>
      <c r="BO28" s="195">
        <v>937163</v>
      </c>
      <c r="BP28" s="193">
        <v>784845</v>
      </c>
      <c r="BQ28" s="194">
        <v>936601</v>
      </c>
      <c r="BR28" s="194">
        <v>953447</v>
      </c>
      <c r="BS28" s="194">
        <v>1069277</v>
      </c>
      <c r="BT28" s="195">
        <v>3744170</v>
      </c>
      <c r="BU28" s="193">
        <v>778380</v>
      </c>
      <c r="BV28" s="194">
        <v>1351523</v>
      </c>
      <c r="BW28" s="194">
        <v>2130887</v>
      </c>
      <c r="BX28" s="194">
        <v>2173788</v>
      </c>
      <c r="BY28" s="195">
        <v>6434578</v>
      </c>
      <c r="BZ28" s="193">
        <v>156048</v>
      </c>
      <c r="CA28" s="194">
        <v>341378</v>
      </c>
      <c r="CB28" s="194">
        <v>246399</v>
      </c>
      <c r="CC28" s="194">
        <v>315814</v>
      </c>
      <c r="CD28" s="195">
        <v>1059639</v>
      </c>
      <c r="CE28" s="193">
        <v>126777</v>
      </c>
      <c r="CF28" s="194">
        <v>104501</v>
      </c>
      <c r="CG28" s="194">
        <v>242194</v>
      </c>
      <c r="CH28" s="194">
        <v>262069</v>
      </c>
      <c r="CI28" s="195">
        <v>735541</v>
      </c>
    </row>
    <row r="29" spans="1:87">
      <c r="A29" s="186" t="s">
        <v>40</v>
      </c>
      <c r="B29" s="187" t="s">
        <v>26</v>
      </c>
      <c r="C29" s="188">
        <f t="shared" si="12"/>
        <v>13565159</v>
      </c>
      <c r="D29" s="189">
        <f t="shared" si="0"/>
        <v>13790838</v>
      </c>
      <c r="E29" s="189">
        <f t="shared" si="1"/>
        <v>12274924</v>
      </c>
      <c r="F29" s="189">
        <f t="shared" si="2"/>
        <v>17932653</v>
      </c>
      <c r="G29" s="190">
        <f t="shared" si="3"/>
        <v>57563574</v>
      </c>
      <c r="H29" s="188">
        <f t="shared" si="13"/>
        <v>11883349</v>
      </c>
      <c r="I29" s="189">
        <f t="shared" si="4"/>
        <v>12021525</v>
      </c>
      <c r="J29" s="189">
        <f t="shared" si="5"/>
        <v>10423369</v>
      </c>
      <c r="K29" s="189">
        <f t="shared" si="6"/>
        <v>15528561</v>
      </c>
      <c r="L29" s="190">
        <f t="shared" si="7"/>
        <v>49856804</v>
      </c>
      <c r="M29" s="188">
        <v>1652800</v>
      </c>
      <c r="N29" s="189">
        <v>1593374</v>
      </c>
      <c r="O29" s="189">
        <v>1543593</v>
      </c>
      <c r="P29" s="189">
        <v>1477618</v>
      </c>
      <c r="Q29" s="190">
        <v>6267385</v>
      </c>
      <c r="R29" s="188">
        <v>734166</v>
      </c>
      <c r="S29" s="189">
        <v>631996</v>
      </c>
      <c r="T29" s="189">
        <v>642910</v>
      </c>
      <c r="U29" s="189">
        <v>1359684</v>
      </c>
      <c r="V29" s="190">
        <v>3368756</v>
      </c>
      <c r="W29" s="188">
        <v>2025796</v>
      </c>
      <c r="X29" s="189">
        <v>1895489</v>
      </c>
      <c r="Y29" s="189">
        <v>1722666</v>
      </c>
      <c r="Z29" s="189">
        <v>1958380</v>
      </c>
      <c r="AA29" s="190">
        <v>7602331</v>
      </c>
      <c r="AB29" s="188">
        <v>277432</v>
      </c>
      <c r="AC29" s="189">
        <v>825232</v>
      </c>
      <c r="AD29" s="189">
        <v>741898</v>
      </c>
      <c r="AE29" s="189">
        <v>1050387</v>
      </c>
      <c r="AF29" s="190">
        <v>2894949</v>
      </c>
      <c r="AG29" s="188">
        <v>3667980</v>
      </c>
      <c r="AH29" s="189">
        <v>3410897</v>
      </c>
      <c r="AI29" s="189">
        <v>2555165</v>
      </c>
      <c r="AJ29" s="189">
        <v>5596764</v>
      </c>
      <c r="AK29" s="190">
        <v>15230806</v>
      </c>
      <c r="AL29" s="188">
        <v>557242</v>
      </c>
      <c r="AM29" s="189">
        <v>755125</v>
      </c>
      <c r="AN29" s="189">
        <v>732973</v>
      </c>
      <c r="AO29" s="189">
        <v>1256616</v>
      </c>
      <c r="AP29" s="190">
        <v>3301956</v>
      </c>
      <c r="AQ29" s="188">
        <v>1307948</v>
      </c>
      <c r="AR29" s="189">
        <v>1118152</v>
      </c>
      <c r="AS29" s="189">
        <v>1190293</v>
      </c>
      <c r="AT29" s="189">
        <v>1910708</v>
      </c>
      <c r="AU29" s="190">
        <v>5527101</v>
      </c>
      <c r="AV29" s="188">
        <v>179302</v>
      </c>
      <c r="AW29" s="189">
        <v>154798</v>
      </c>
      <c r="AX29" s="189">
        <v>86620</v>
      </c>
      <c r="AY29" s="189">
        <v>90050</v>
      </c>
      <c r="AZ29" s="190">
        <v>510770</v>
      </c>
      <c r="BA29" s="188">
        <v>1480683</v>
      </c>
      <c r="BB29" s="189">
        <v>1636462</v>
      </c>
      <c r="BC29" s="189">
        <v>1207251</v>
      </c>
      <c r="BD29" s="189">
        <v>828354</v>
      </c>
      <c r="BE29" s="190">
        <v>5152750</v>
      </c>
      <c r="BF29" s="188">
        <f t="shared" si="14"/>
        <v>1681810</v>
      </c>
      <c r="BG29" s="189">
        <f t="shared" si="8"/>
        <v>1769313</v>
      </c>
      <c r="BH29" s="189">
        <f t="shared" si="9"/>
        <v>1851555</v>
      </c>
      <c r="BI29" s="189">
        <f t="shared" si="10"/>
        <v>2404092</v>
      </c>
      <c r="BJ29" s="190">
        <f t="shared" si="11"/>
        <v>7706770</v>
      </c>
      <c r="BK29" s="188">
        <v>130738</v>
      </c>
      <c r="BL29" s="189">
        <v>132621</v>
      </c>
      <c r="BM29" s="189">
        <v>138552</v>
      </c>
      <c r="BN29" s="189">
        <v>122912</v>
      </c>
      <c r="BO29" s="190">
        <v>524823</v>
      </c>
      <c r="BP29" s="188">
        <v>622839</v>
      </c>
      <c r="BQ29" s="189">
        <v>692700</v>
      </c>
      <c r="BR29" s="189">
        <v>549402</v>
      </c>
      <c r="BS29" s="189">
        <v>772495</v>
      </c>
      <c r="BT29" s="190">
        <v>2637436</v>
      </c>
      <c r="BU29" s="188">
        <v>672780</v>
      </c>
      <c r="BV29" s="189">
        <v>618492</v>
      </c>
      <c r="BW29" s="189">
        <v>848357</v>
      </c>
      <c r="BX29" s="189">
        <v>1138833</v>
      </c>
      <c r="BY29" s="190">
        <v>3278462</v>
      </c>
      <c r="BZ29" s="188">
        <v>183567</v>
      </c>
      <c r="CA29" s="189">
        <v>180415</v>
      </c>
      <c r="CB29" s="189">
        <v>163773</v>
      </c>
      <c r="CC29" s="189">
        <v>196000</v>
      </c>
      <c r="CD29" s="190">
        <v>723755</v>
      </c>
      <c r="CE29" s="188">
        <v>71886</v>
      </c>
      <c r="CF29" s="189">
        <v>145085</v>
      </c>
      <c r="CG29" s="189">
        <v>151471</v>
      </c>
      <c r="CH29" s="189">
        <v>173852</v>
      </c>
      <c r="CI29" s="190">
        <v>542294</v>
      </c>
    </row>
    <row r="30" spans="1:87">
      <c r="A30" s="186"/>
      <c r="B30" s="187" t="s">
        <v>27</v>
      </c>
      <c r="C30" s="188">
        <f t="shared" si="12"/>
        <v>86682</v>
      </c>
      <c r="D30" s="189">
        <f t="shared" si="0"/>
        <v>45995</v>
      </c>
      <c r="E30" s="189">
        <f t="shared" si="1"/>
        <v>26561</v>
      </c>
      <c r="F30" s="189">
        <f t="shared" si="2"/>
        <v>2908177</v>
      </c>
      <c r="G30" s="190">
        <f t="shared" si="3"/>
        <v>3067415</v>
      </c>
      <c r="H30" s="188">
        <f t="shared" si="13"/>
        <v>78408</v>
      </c>
      <c r="I30" s="189">
        <f t="shared" si="4"/>
        <v>42354</v>
      </c>
      <c r="J30" s="189">
        <f t="shared" si="5"/>
        <v>22960</v>
      </c>
      <c r="K30" s="189">
        <f t="shared" si="6"/>
        <v>2806160</v>
      </c>
      <c r="L30" s="190">
        <f t="shared" si="7"/>
        <v>2949882</v>
      </c>
      <c r="M30" s="188">
        <v>258</v>
      </c>
      <c r="N30" s="189">
        <v>258</v>
      </c>
      <c r="O30" s="189"/>
      <c r="P30" s="189">
        <v>156899</v>
      </c>
      <c r="Q30" s="190">
        <v>157415</v>
      </c>
      <c r="R30" s="188"/>
      <c r="S30" s="189"/>
      <c r="T30" s="189"/>
      <c r="U30" s="189">
        <v>121198</v>
      </c>
      <c r="V30" s="190">
        <v>121198</v>
      </c>
      <c r="W30" s="188"/>
      <c r="X30" s="189"/>
      <c r="Y30" s="189"/>
      <c r="Z30" s="189">
        <v>443813</v>
      </c>
      <c r="AA30" s="190">
        <v>443813</v>
      </c>
      <c r="AB30" s="188">
        <v>22007</v>
      </c>
      <c r="AC30" s="189">
        <v>22892</v>
      </c>
      <c r="AD30" s="189">
        <v>14524</v>
      </c>
      <c r="AE30" s="189">
        <v>94065</v>
      </c>
      <c r="AF30" s="190">
        <v>153488</v>
      </c>
      <c r="AG30" s="188">
        <v>46256</v>
      </c>
      <c r="AH30" s="189">
        <v>11269</v>
      </c>
      <c r="AI30" s="189">
        <v>3245</v>
      </c>
      <c r="AJ30" s="189">
        <v>1764665</v>
      </c>
      <c r="AK30" s="190">
        <v>1825435</v>
      </c>
      <c r="AL30" s="188"/>
      <c r="AM30" s="189">
        <v>138</v>
      </c>
      <c r="AN30" s="189"/>
      <c r="AO30" s="189">
        <v>86783</v>
      </c>
      <c r="AP30" s="190">
        <v>86921</v>
      </c>
      <c r="AQ30" s="188">
        <v>2193</v>
      </c>
      <c r="AR30" s="189">
        <v>2967</v>
      </c>
      <c r="AS30" s="189">
        <v>2193</v>
      </c>
      <c r="AT30" s="189">
        <v>137450</v>
      </c>
      <c r="AU30" s="190">
        <v>144803</v>
      </c>
      <c r="AV30" s="188">
        <v>4018</v>
      </c>
      <c r="AW30" s="189">
        <v>2699</v>
      </c>
      <c r="AX30" s="189">
        <v>1687</v>
      </c>
      <c r="AY30" s="189">
        <v>1041</v>
      </c>
      <c r="AZ30" s="190">
        <v>9445</v>
      </c>
      <c r="BA30" s="188">
        <v>3676</v>
      </c>
      <c r="BB30" s="189">
        <v>2131</v>
      </c>
      <c r="BC30" s="189">
        <v>1311</v>
      </c>
      <c r="BD30" s="189">
        <v>246</v>
      </c>
      <c r="BE30" s="190">
        <v>7364</v>
      </c>
      <c r="BF30" s="188">
        <f t="shared" si="14"/>
        <v>8274</v>
      </c>
      <c r="BG30" s="189">
        <f t="shared" si="8"/>
        <v>3641</v>
      </c>
      <c r="BH30" s="189">
        <f t="shared" si="9"/>
        <v>3601</v>
      </c>
      <c r="BI30" s="189">
        <f t="shared" si="10"/>
        <v>102017</v>
      </c>
      <c r="BJ30" s="190">
        <f t="shared" si="11"/>
        <v>117533</v>
      </c>
      <c r="BK30" s="188">
        <v>3599</v>
      </c>
      <c r="BL30" s="189">
        <v>708</v>
      </c>
      <c r="BM30" s="189">
        <v>1121</v>
      </c>
      <c r="BN30" s="189">
        <v>8180</v>
      </c>
      <c r="BO30" s="190">
        <v>13608</v>
      </c>
      <c r="BP30" s="188">
        <v>590</v>
      </c>
      <c r="BQ30" s="189">
        <v>649</v>
      </c>
      <c r="BR30" s="189">
        <v>531</v>
      </c>
      <c r="BS30" s="189">
        <v>31865</v>
      </c>
      <c r="BT30" s="190">
        <v>33635</v>
      </c>
      <c r="BU30" s="188">
        <v>4085</v>
      </c>
      <c r="BV30" s="189">
        <v>2284</v>
      </c>
      <c r="BW30" s="189">
        <v>1949</v>
      </c>
      <c r="BX30" s="189">
        <v>53776</v>
      </c>
      <c r="BY30" s="190">
        <v>62094</v>
      </c>
      <c r="BZ30" s="188"/>
      <c r="CA30" s="189"/>
      <c r="CB30" s="189"/>
      <c r="CC30" s="189">
        <v>6753</v>
      </c>
      <c r="CD30" s="190">
        <v>6753</v>
      </c>
      <c r="CE30" s="188"/>
      <c r="CF30" s="189"/>
      <c r="CG30" s="189"/>
      <c r="CH30" s="189">
        <v>1443</v>
      </c>
      <c r="CI30" s="190">
        <v>1443</v>
      </c>
    </row>
    <row r="31" spans="1:87">
      <c r="A31" s="186"/>
      <c r="B31" s="187" t="s">
        <v>29</v>
      </c>
      <c r="C31" s="188">
        <f t="shared" si="12"/>
        <v>23994</v>
      </c>
      <c r="D31" s="189">
        <f t="shared" si="0"/>
        <v>341414</v>
      </c>
      <c r="E31" s="189">
        <f t="shared" si="1"/>
        <v>91977</v>
      </c>
      <c r="F31" s="189">
        <f t="shared" si="2"/>
        <v>63984</v>
      </c>
      <c r="G31" s="190">
        <f t="shared" si="3"/>
        <v>521369</v>
      </c>
      <c r="H31" s="188">
        <f t="shared" si="13"/>
        <v>23994</v>
      </c>
      <c r="I31" s="189">
        <f t="shared" si="4"/>
        <v>327918</v>
      </c>
      <c r="J31" s="189">
        <f t="shared" si="5"/>
        <v>79980</v>
      </c>
      <c r="K31" s="189">
        <f t="shared" si="6"/>
        <v>59985</v>
      </c>
      <c r="L31" s="190">
        <f t="shared" si="7"/>
        <v>491877</v>
      </c>
      <c r="M31" s="188">
        <v>11997</v>
      </c>
      <c r="N31" s="189"/>
      <c r="O31" s="189"/>
      <c r="P31" s="189"/>
      <c r="Q31" s="190">
        <v>11997</v>
      </c>
      <c r="R31" s="188">
        <v>11997</v>
      </c>
      <c r="S31" s="189"/>
      <c r="T31" s="189"/>
      <c r="U31" s="189"/>
      <c r="V31" s="190">
        <v>11997</v>
      </c>
      <c r="W31" s="188"/>
      <c r="X31" s="189"/>
      <c r="Y31" s="189"/>
      <c r="Z31" s="189"/>
      <c r="AA31" s="190"/>
      <c r="AB31" s="188"/>
      <c r="AC31" s="189"/>
      <c r="AD31" s="189"/>
      <c r="AE31" s="189"/>
      <c r="AF31" s="190"/>
      <c r="AG31" s="188"/>
      <c r="AH31" s="189">
        <v>327918</v>
      </c>
      <c r="AI31" s="189">
        <v>79980</v>
      </c>
      <c r="AJ31" s="189"/>
      <c r="AK31" s="190">
        <v>407898</v>
      </c>
      <c r="AL31" s="188"/>
      <c r="AM31" s="189"/>
      <c r="AN31" s="189"/>
      <c r="AO31" s="189"/>
      <c r="AP31" s="190"/>
      <c r="AQ31" s="188"/>
      <c r="AR31" s="189"/>
      <c r="AS31" s="189"/>
      <c r="AT31" s="189">
        <v>59985</v>
      </c>
      <c r="AU31" s="190">
        <v>59985</v>
      </c>
      <c r="AV31" s="188"/>
      <c r="AW31" s="189"/>
      <c r="AX31" s="189"/>
      <c r="AY31" s="189"/>
      <c r="AZ31" s="190"/>
      <c r="BA31" s="188"/>
      <c r="BB31" s="189"/>
      <c r="BC31" s="189"/>
      <c r="BD31" s="189"/>
      <c r="BE31" s="190"/>
      <c r="BF31" s="188">
        <f t="shared" si="14"/>
        <v>0</v>
      </c>
      <c r="BG31" s="189">
        <f t="shared" si="8"/>
        <v>13496</v>
      </c>
      <c r="BH31" s="189">
        <f t="shared" si="9"/>
        <v>11997</v>
      </c>
      <c r="BI31" s="189">
        <f t="shared" si="10"/>
        <v>3999</v>
      </c>
      <c r="BJ31" s="190">
        <f t="shared" si="11"/>
        <v>29492</v>
      </c>
      <c r="BK31" s="188"/>
      <c r="BL31" s="189"/>
      <c r="BM31" s="189"/>
      <c r="BN31" s="189"/>
      <c r="BO31" s="190"/>
      <c r="BP31" s="188"/>
      <c r="BQ31" s="189">
        <v>5498</v>
      </c>
      <c r="BR31" s="189">
        <v>3999</v>
      </c>
      <c r="BS31" s="189">
        <v>3999</v>
      </c>
      <c r="BT31" s="190">
        <v>13496</v>
      </c>
      <c r="BU31" s="188"/>
      <c r="BV31" s="189">
        <v>7998</v>
      </c>
      <c r="BW31" s="189">
        <v>7998</v>
      </c>
      <c r="BX31" s="189"/>
      <c r="BY31" s="190">
        <v>15996</v>
      </c>
      <c r="BZ31" s="188"/>
      <c r="CA31" s="189"/>
      <c r="CB31" s="189"/>
      <c r="CC31" s="189"/>
      <c r="CD31" s="190"/>
      <c r="CE31" s="188"/>
      <c r="CF31" s="189"/>
      <c r="CG31" s="189"/>
      <c r="CH31" s="189"/>
      <c r="CI31" s="190"/>
    </row>
    <row r="32" spans="1:87">
      <c r="A32" s="186"/>
      <c r="B32" s="187" t="s">
        <v>41</v>
      </c>
      <c r="C32" s="188">
        <f t="shared" si="12"/>
        <v>510947</v>
      </c>
      <c r="D32" s="189">
        <f t="shared" si="0"/>
        <v>396538</v>
      </c>
      <c r="E32" s="189">
        <f t="shared" si="1"/>
        <v>167121</v>
      </c>
      <c r="F32" s="189">
        <f t="shared" si="2"/>
        <v>97038</v>
      </c>
      <c r="G32" s="190">
        <f t="shared" si="3"/>
        <v>1171644</v>
      </c>
      <c r="H32" s="188">
        <f t="shared" si="13"/>
        <v>494175</v>
      </c>
      <c r="I32" s="189">
        <f t="shared" si="4"/>
        <v>370781</v>
      </c>
      <c r="J32" s="189">
        <f t="shared" si="5"/>
        <v>129983</v>
      </c>
      <c r="K32" s="189">
        <f t="shared" si="6"/>
        <v>81464</v>
      </c>
      <c r="L32" s="190">
        <f t="shared" si="7"/>
        <v>1076403</v>
      </c>
      <c r="M32" s="188">
        <v>34143</v>
      </c>
      <c r="N32" s="189">
        <v>56905</v>
      </c>
      <c r="O32" s="189">
        <v>26356</v>
      </c>
      <c r="P32" s="189">
        <v>25757</v>
      </c>
      <c r="Q32" s="190">
        <v>143161</v>
      </c>
      <c r="R32" s="188">
        <v>7787</v>
      </c>
      <c r="S32" s="189">
        <v>17371</v>
      </c>
      <c r="T32" s="189">
        <v>1198</v>
      </c>
      <c r="U32" s="189"/>
      <c r="V32" s="190">
        <v>26356</v>
      </c>
      <c r="W32" s="188">
        <v>11980</v>
      </c>
      <c r="X32" s="189"/>
      <c r="Y32" s="189"/>
      <c r="Z32" s="189"/>
      <c r="AA32" s="190">
        <v>11980</v>
      </c>
      <c r="AB32" s="188"/>
      <c r="AC32" s="189">
        <v>131181</v>
      </c>
      <c r="AD32" s="189"/>
      <c r="AE32" s="189">
        <v>599</v>
      </c>
      <c r="AF32" s="190">
        <v>131780</v>
      </c>
      <c r="AG32" s="188">
        <v>338435</v>
      </c>
      <c r="AH32" s="189">
        <v>88053</v>
      </c>
      <c r="AI32" s="189">
        <v>58702</v>
      </c>
      <c r="AJ32" s="189">
        <v>44925</v>
      </c>
      <c r="AK32" s="190">
        <v>530115</v>
      </c>
      <c r="AL32" s="188">
        <v>10782</v>
      </c>
      <c r="AM32" s="189">
        <v>8985</v>
      </c>
      <c r="AN32" s="189">
        <v>6589</v>
      </c>
      <c r="AO32" s="189"/>
      <c r="AP32" s="190">
        <v>26356</v>
      </c>
      <c r="AQ32" s="188">
        <v>28752</v>
      </c>
      <c r="AR32" s="189">
        <v>10782</v>
      </c>
      <c r="AS32" s="189">
        <v>11381</v>
      </c>
      <c r="AT32" s="189"/>
      <c r="AU32" s="190">
        <v>50915</v>
      </c>
      <c r="AV32" s="188">
        <v>8985</v>
      </c>
      <c r="AW32" s="189">
        <v>13777</v>
      </c>
      <c r="AX32" s="189">
        <v>4193</v>
      </c>
      <c r="AY32" s="189"/>
      <c r="AZ32" s="190">
        <v>26955</v>
      </c>
      <c r="BA32" s="188">
        <v>53311</v>
      </c>
      <c r="BB32" s="189">
        <v>43727</v>
      </c>
      <c r="BC32" s="189">
        <v>21564</v>
      </c>
      <c r="BD32" s="189">
        <v>10183</v>
      </c>
      <c r="BE32" s="190">
        <v>128785</v>
      </c>
      <c r="BF32" s="188">
        <f t="shared" si="14"/>
        <v>16772</v>
      </c>
      <c r="BG32" s="189">
        <f t="shared" si="8"/>
        <v>25757</v>
      </c>
      <c r="BH32" s="189">
        <f t="shared" si="9"/>
        <v>37138</v>
      </c>
      <c r="BI32" s="189">
        <f t="shared" si="10"/>
        <v>15574</v>
      </c>
      <c r="BJ32" s="190">
        <f t="shared" si="11"/>
        <v>95241</v>
      </c>
      <c r="BK32" s="188">
        <v>7787</v>
      </c>
      <c r="BL32" s="189"/>
      <c r="BM32" s="189"/>
      <c r="BN32" s="189"/>
      <c r="BO32" s="190">
        <v>7787</v>
      </c>
      <c r="BP32" s="188"/>
      <c r="BQ32" s="189">
        <v>20366</v>
      </c>
      <c r="BR32" s="189">
        <v>16772</v>
      </c>
      <c r="BS32" s="189">
        <v>9584</v>
      </c>
      <c r="BT32" s="190">
        <v>46722</v>
      </c>
      <c r="BU32" s="188"/>
      <c r="BV32" s="189"/>
      <c r="BW32" s="189">
        <v>20366</v>
      </c>
      <c r="BX32" s="189">
        <v>5990</v>
      </c>
      <c r="BY32" s="190">
        <v>26356</v>
      </c>
      <c r="BZ32" s="188">
        <v>8985</v>
      </c>
      <c r="CA32" s="189">
        <v>5391</v>
      </c>
      <c r="CB32" s="189"/>
      <c r="CC32" s="189"/>
      <c r="CD32" s="190">
        <v>14376</v>
      </c>
      <c r="CE32" s="188"/>
      <c r="CF32" s="189"/>
      <c r="CG32" s="189"/>
      <c r="CH32" s="189"/>
      <c r="CI32" s="190"/>
    </row>
    <row r="33" s="163" customFormat="1" ht="14.6" spans="1:87">
      <c r="A33" s="191" t="s">
        <v>42</v>
      </c>
      <c r="B33" s="192"/>
      <c r="C33" s="193">
        <f t="shared" si="12"/>
        <v>14186782</v>
      </c>
      <c r="D33" s="194">
        <f t="shared" si="0"/>
        <v>14574785</v>
      </c>
      <c r="E33" s="194">
        <f t="shared" si="1"/>
        <v>12560583</v>
      </c>
      <c r="F33" s="194">
        <f t="shared" si="2"/>
        <v>21001852</v>
      </c>
      <c r="G33" s="195">
        <f t="shared" si="3"/>
        <v>62324002</v>
      </c>
      <c r="H33" s="193">
        <f t="shared" si="13"/>
        <v>12479926</v>
      </c>
      <c r="I33" s="194">
        <f t="shared" si="4"/>
        <v>12762578</v>
      </c>
      <c r="J33" s="194">
        <f t="shared" si="5"/>
        <v>10656292</v>
      </c>
      <c r="K33" s="194">
        <f t="shared" si="6"/>
        <v>18476170</v>
      </c>
      <c r="L33" s="195">
        <f t="shared" si="7"/>
        <v>54374966</v>
      </c>
      <c r="M33" s="193">
        <v>1699198</v>
      </c>
      <c r="N33" s="194">
        <v>1650537</v>
      </c>
      <c r="O33" s="194">
        <v>1569949</v>
      </c>
      <c r="P33" s="194">
        <v>1660274</v>
      </c>
      <c r="Q33" s="195">
        <v>6579958</v>
      </c>
      <c r="R33" s="193">
        <v>753950</v>
      </c>
      <c r="S33" s="194">
        <v>649367</v>
      </c>
      <c r="T33" s="194">
        <v>644108</v>
      </c>
      <c r="U33" s="194">
        <v>1480882</v>
      </c>
      <c r="V33" s="195">
        <v>3528307</v>
      </c>
      <c r="W33" s="193">
        <v>2037776</v>
      </c>
      <c r="X33" s="194">
        <v>1895489</v>
      </c>
      <c r="Y33" s="194">
        <v>1722666</v>
      </c>
      <c r="Z33" s="194">
        <v>2402193</v>
      </c>
      <c r="AA33" s="195">
        <v>8058124</v>
      </c>
      <c r="AB33" s="193">
        <v>299439</v>
      </c>
      <c r="AC33" s="194">
        <v>979305</v>
      </c>
      <c r="AD33" s="194">
        <v>756422</v>
      </c>
      <c r="AE33" s="194">
        <v>1145051</v>
      </c>
      <c r="AF33" s="195">
        <v>3180217</v>
      </c>
      <c r="AG33" s="193">
        <v>4052671</v>
      </c>
      <c r="AH33" s="194">
        <v>3838137</v>
      </c>
      <c r="AI33" s="194">
        <v>2697092</v>
      </c>
      <c r="AJ33" s="194">
        <v>7406354</v>
      </c>
      <c r="AK33" s="195">
        <v>17994254</v>
      </c>
      <c r="AL33" s="193">
        <v>568024</v>
      </c>
      <c r="AM33" s="194">
        <v>764248</v>
      </c>
      <c r="AN33" s="194">
        <v>739562</v>
      </c>
      <c r="AO33" s="194">
        <v>1343399</v>
      </c>
      <c r="AP33" s="195">
        <v>3415233</v>
      </c>
      <c r="AQ33" s="193">
        <v>1338893</v>
      </c>
      <c r="AR33" s="194">
        <v>1131901</v>
      </c>
      <c r="AS33" s="194">
        <v>1203867</v>
      </c>
      <c r="AT33" s="194">
        <v>2108143</v>
      </c>
      <c r="AU33" s="195">
        <v>5782804</v>
      </c>
      <c r="AV33" s="193">
        <v>192305</v>
      </c>
      <c r="AW33" s="194">
        <v>171274</v>
      </c>
      <c r="AX33" s="194">
        <v>92500</v>
      </c>
      <c r="AY33" s="194">
        <v>91091</v>
      </c>
      <c r="AZ33" s="195">
        <v>547170</v>
      </c>
      <c r="BA33" s="193">
        <v>1537670</v>
      </c>
      <c r="BB33" s="194">
        <v>1682320</v>
      </c>
      <c r="BC33" s="194">
        <v>1230126</v>
      </c>
      <c r="BD33" s="194">
        <v>838783</v>
      </c>
      <c r="BE33" s="195">
        <v>5288899</v>
      </c>
      <c r="BF33" s="193">
        <f t="shared" si="14"/>
        <v>1706856</v>
      </c>
      <c r="BG33" s="194">
        <f t="shared" si="8"/>
        <v>1812207</v>
      </c>
      <c r="BH33" s="194">
        <f t="shared" si="9"/>
        <v>1904291</v>
      </c>
      <c r="BI33" s="194">
        <f t="shared" si="10"/>
        <v>2525682</v>
      </c>
      <c r="BJ33" s="195">
        <f t="shared" si="11"/>
        <v>7949036</v>
      </c>
      <c r="BK33" s="193">
        <v>142124</v>
      </c>
      <c r="BL33" s="194">
        <v>133329</v>
      </c>
      <c r="BM33" s="194">
        <v>139673</v>
      </c>
      <c r="BN33" s="194">
        <v>131092</v>
      </c>
      <c r="BO33" s="195">
        <v>546218</v>
      </c>
      <c r="BP33" s="193">
        <v>623429</v>
      </c>
      <c r="BQ33" s="194">
        <v>719213</v>
      </c>
      <c r="BR33" s="194">
        <v>570704</v>
      </c>
      <c r="BS33" s="194">
        <v>817943</v>
      </c>
      <c r="BT33" s="195">
        <v>2731289</v>
      </c>
      <c r="BU33" s="193">
        <v>676865</v>
      </c>
      <c r="BV33" s="194">
        <v>628774</v>
      </c>
      <c r="BW33" s="194">
        <v>878670</v>
      </c>
      <c r="BX33" s="194">
        <v>1198599</v>
      </c>
      <c r="BY33" s="195">
        <v>3382908</v>
      </c>
      <c r="BZ33" s="193">
        <v>192552</v>
      </c>
      <c r="CA33" s="194">
        <v>185806</v>
      </c>
      <c r="CB33" s="194">
        <v>163773</v>
      </c>
      <c r="CC33" s="194">
        <v>202753</v>
      </c>
      <c r="CD33" s="195">
        <v>744884</v>
      </c>
      <c r="CE33" s="193">
        <v>71886</v>
      </c>
      <c r="CF33" s="194">
        <v>145085</v>
      </c>
      <c r="CG33" s="194">
        <v>151471</v>
      </c>
      <c r="CH33" s="194">
        <v>175295</v>
      </c>
      <c r="CI33" s="195">
        <v>543737</v>
      </c>
    </row>
    <row r="34" spans="1:87">
      <c r="A34" s="186" t="s">
        <v>43</v>
      </c>
      <c r="B34" s="187" t="s">
        <v>26</v>
      </c>
      <c r="C34" s="188">
        <f t="shared" si="12"/>
        <v>8647080</v>
      </c>
      <c r="D34" s="189">
        <f t="shared" si="0"/>
        <v>8746746</v>
      </c>
      <c r="E34" s="189">
        <f t="shared" si="1"/>
        <v>9198016</v>
      </c>
      <c r="F34" s="189">
        <f t="shared" si="2"/>
        <v>8351910</v>
      </c>
      <c r="G34" s="190">
        <f t="shared" si="3"/>
        <v>34943752</v>
      </c>
      <c r="H34" s="188">
        <f t="shared" si="13"/>
        <v>6923725</v>
      </c>
      <c r="I34" s="189">
        <f t="shared" si="4"/>
        <v>6838217</v>
      </c>
      <c r="J34" s="189">
        <f t="shared" si="5"/>
        <v>7310429</v>
      </c>
      <c r="K34" s="189">
        <f t="shared" si="6"/>
        <v>6722538</v>
      </c>
      <c r="L34" s="190">
        <f t="shared" si="7"/>
        <v>27794909</v>
      </c>
      <c r="M34" s="188">
        <v>1743467</v>
      </c>
      <c r="N34" s="189">
        <v>1581449</v>
      </c>
      <c r="O34" s="189">
        <v>1531807</v>
      </c>
      <c r="P34" s="189">
        <v>1609425</v>
      </c>
      <c r="Q34" s="190">
        <v>6466148</v>
      </c>
      <c r="R34" s="188">
        <v>1154077</v>
      </c>
      <c r="S34" s="189">
        <v>1091386</v>
      </c>
      <c r="T34" s="189">
        <v>1192110</v>
      </c>
      <c r="U34" s="189">
        <v>968057</v>
      </c>
      <c r="V34" s="190">
        <v>4405630</v>
      </c>
      <c r="W34" s="188">
        <v>328536</v>
      </c>
      <c r="X34" s="189">
        <v>347004</v>
      </c>
      <c r="Y34" s="189">
        <v>449241</v>
      </c>
      <c r="Z34" s="189">
        <v>367139</v>
      </c>
      <c r="AA34" s="190">
        <v>1491920</v>
      </c>
      <c r="AB34" s="188">
        <v>607993</v>
      </c>
      <c r="AC34" s="189">
        <v>993039</v>
      </c>
      <c r="AD34" s="189">
        <v>865998</v>
      </c>
      <c r="AE34" s="189">
        <v>813688</v>
      </c>
      <c r="AF34" s="190">
        <v>3280718</v>
      </c>
      <c r="AG34" s="188">
        <v>1631063</v>
      </c>
      <c r="AH34" s="189">
        <v>1364656</v>
      </c>
      <c r="AI34" s="189">
        <v>1492651</v>
      </c>
      <c r="AJ34" s="189">
        <v>1420798</v>
      </c>
      <c r="AK34" s="190">
        <v>5909168</v>
      </c>
      <c r="AL34" s="188">
        <v>144169</v>
      </c>
      <c r="AM34" s="189">
        <v>200886</v>
      </c>
      <c r="AN34" s="189">
        <v>168372</v>
      </c>
      <c r="AO34" s="189">
        <v>158347</v>
      </c>
      <c r="AP34" s="190">
        <v>671774</v>
      </c>
      <c r="AQ34" s="188">
        <v>625818</v>
      </c>
      <c r="AR34" s="189">
        <v>556495</v>
      </c>
      <c r="AS34" s="189">
        <v>607922</v>
      </c>
      <c r="AT34" s="189">
        <v>532648</v>
      </c>
      <c r="AU34" s="190">
        <v>2322883</v>
      </c>
      <c r="AV34" s="188">
        <v>105972</v>
      </c>
      <c r="AW34" s="189">
        <v>89984</v>
      </c>
      <c r="AX34" s="189">
        <v>125419</v>
      </c>
      <c r="AY34" s="189">
        <v>97408</v>
      </c>
      <c r="AZ34" s="190">
        <v>418783</v>
      </c>
      <c r="BA34" s="188">
        <v>582630</v>
      </c>
      <c r="BB34" s="189">
        <v>613318</v>
      </c>
      <c r="BC34" s="189">
        <v>876909</v>
      </c>
      <c r="BD34" s="189">
        <v>755028</v>
      </c>
      <c r="BE34" s="190">
        <v>2827885</v>
      </c>
      <c r="BF34" s="188">
        <f t="shared" si="14"/>
        <v>1723355</v>
      </c>
      <c r="BG34" s="189">
        <f t="shared" si="8"/>
        <v>1908529</v>
      </c>
      <c r="BH34" s="189">
        <f t="shared" si="9"/>
        <v>1887587</v>
      </c>
      <c r="BI34" s="189">
        <f t="shared" si="10"/>
        <v>1629372</v>
      </c>
      <c r="BJ34" s="190">
        <f t="shared" si="11"/>
        <v>7148843</v>
      </c>
      <c r="BK34" s="188">
        <v>78469</v>
      </c>
      <c r="BL34" s="189">
        <v>67179</v>
      </c>
      <c r="BM34" s="189">
        <v>87405</v>
      </c>
      <c r="BN34" s="189">
        <v>51029</v>
      </c>
      <c r="BO34" s="190">
        <v>284082</v>
      </c>
      <c r="BP34" s="188">
        <v>1148686</v>
      </c>
      <c r="BQ34" s="189">
        <v>1259419</v>
      </c>
      <c r="BR34" s="189">
        <v>1114276</v>
      </c>
      <c r="BS34" s="189">
        <v>838214</v>
      </c>
      <c r="BT34" s="190">
        <v>4360595</v>
      </c>
      <c r="BU34" s="188">
        <v>377746</v>
      </c>
      <c r="BV34" s="189">
        <v>449114</v>
      </c>
      <c r="BW34" s="189">
        <v>577539</v>
      </c>
      <c r="BX34" s="189">
        <v>612187</v>
      </c>
      <c r="BY34" s="190">
        <v>2016586</v>
      </c>
      <c r="BZ34" s="188">
        <v>85145</v>
      </c>
      <c r="CA34" s="189">
        <v>76131</v>
      </c>
      <c r="CB34" s="189">
        <v>86839</v>
      </c>
      <c r="CC34" s="189">
        <v>100679</v>
      </c>
      <c r="CD34" s="190">
        <v>348794</v>
      </c>
      <c r="CE34" s="188">
        <v>33309</v>
      </c>
      <c r="CF34" s="189">
        <v>56686</v>
      </c>
      <c r="CG34" s="189">
        <v>21528</v>
      </c>
      <c r="CH34" s="189">
        <v>27263</v>
      </c>
      <c r="CI34" s="190">
        <v>138786</v>
      </c>
    </row>
    <row r="35" spans="1:87">
      <c r="A35" s="186"/>
      <c r="B35" s="187" t="s">
        <v>28</v>
      </c>
      <c r="C35" s="188">
        <f t="shared" si="12"/>
        <v>0</v>
      </c>
      <c r="D35" s="189">
        <f t="shared" si="0"/>
        <v>291753</v>
      </c>
      <c r="E35" s="189">
        <f t="shared" si="1"/>
        <v>3197106</v>
      </c>
      <c r="F35" s="189">
        <f t="shared" si="2"/>
        <v>4505886</v>
      </c>
      <c r="G35" s="190">
        <f t="shared" si="3"/>
        <v>7994745</v>
      </c>
      <c r="H35" s="188">
        <f t="shared" si="13"/>
        <v>0</v>
      </c>
      <c r="I35" s="189">
        <f t="shared" si="4"/>
        <v>291753</v>
      </c>
      <c r="J35" s="189">
        <f t="shared" si="5"/>
        <v>2972772</v>
      </c>
      <c r="K35" s="189">
        <f t="shared" si="6"/>
        <v>4197501</v>
      </c>
      <c r="L35" s="190">
        <f t="shared" si="7"/>
        <v>7462026</v>
      </c>
      <c r="M35" s="188"/>
      <c r="N35" s="189"/>
      <c r="O35" s="189">
        <v>190377</v>
      </c>
      <c r="P35" s="189">
        <v>1026531</v>
      </c>
      <c r="Q35" s="190">
        <v>1216908</v>
      </c>
      <c r="R35" s="188"/>
      <c r="S35" s="189">
        <v>100386</v>
      </c>
      <c r="T35" s="189">
        <v>307989</v>
      </c>
      <c r="U35" s="189">
        <v>529551</v>
      </c>
      <c r="V35" s="190">
        <v>937926</v>
      </c>
      <c r="W35" s="188"/>
      <c r="X35" s="189"/>
      <c r="Y35" s="189">
        <v>286902</v>
      </c>
      <c r="Z35" s="189">
        <v>488268</v>
      </c>
      <c r="AA35" s="190">
        <v>775170</v>
      </c>
      <c r="AB35" s="188"/>
      <c r="AC35" s="189">
        <v>80586</v>
      </c>
      <c r="AD35" s="189">
        <v>151272</v>
      </c>
      <c r="AE35" s="189">
        <v>418671</v>
      </c>
      <c r="AF35" s="190">
        <v>650529</v>
      </c>
      <c r="AG35" s="188"/>
      <c r="AH35" s="189">
        <v>93753</v>
      </c>
      <c r="AI35" s="189">
        <v>1052568</v>
      </c>
      <c r="AJ35" s="189">
        <v>1188990</v>
      </c>
      <c r="AK35" s="190">
        <v>2335311</v>
      </c>
      <c r="AL35" s="188"/>
      <c r="AM35" s="189">
        <v>17028</v>
      </c>
      <c r="AN35" s="189">
        <v>22275</v>
      </c>
      <c r="AO35" s="189">
        <v>57321</v>
      </c>
      <c r="AP35" s="190">
        <v>96624</v>
      </c>
      <c r="AQ35" s="188"/>
      <c r="AR35" s="189"/>
      <c r="AS35" s="189">
        <v>437283</v>
      </c>
      <c r="AT35" s="189">
        <v>244926</v>
      </c>
      <c r="AU35" s="190">
        <v>682209</v>
      </c>
      <c r="AV35" s="188"/>
      <c r="AW35" s="189"/>
      <c r="AX35" s="189"/>
      <c r="AY35" s="189">
        <v>61281</v>
      </c>
      <c r="AZ35" s="190">
        <v>61281</v>
      </c>
      <c r="BA35" s="188"/>
      <c r="BB35" s="189"/>
      <c r="BC35" s="189">
        <v>524106</v>
      </c>
      <c r="BD35" s="189">
        <v>181962</v>
      </c>
      <c r="BE35" s="190">
        <v>706068</v>
      </c>
      <c r="BF35" s="188">
        <f t="shared" si="14"/>
        <v>0</v>
      </c>
      <c r="BG35" s="189">
        <f t="shared" si="8"/>
        <v>0</v>
      </c>
      <c r="BH35" s="189">
        <f t="shared" si="9"/>
        <v>224334</v>
      </c>
      <c r="BI35" s="189">
        <f t="shared" si="10"/>
        <v>308385</v>
      </c>
      <c r="BJ35" s="190">
        <f t="shared" si="11"/>
        <v>532719</v>
      </c>
      <c r="BK35" s="188"/>
      <c r="BL35" s="189"/>
      <c r="BM35" s="189">
        <v>46332</v>
      </c>
      <c r="BN35" s="189">
        <v>62766</v>
      </c>
      <c r="BO35" s="190">
        <v>109098</v>
      </c>
      <c r="BP35" s="188"/>
      <c r="BQ35" s="189"/>
      <c r="BR35" s="189">
        <v>94743</v>
      </c>
      <c r="BS35" s="189">
        <v>84645</v>
      </c>
      <c r="BT35" s="190">
        <v>179388</v>
      </c>
      <c r="BU35" s="188"/>
      <c r="BV35" s="189"/>
      <c r="BW35" s="189">
        <v>18117</v>
      </c>
      <c r="BX35" s="189">
        <v>119196</v>
      </c>
      <c r="BY35" s="190">
        <v>137313</v>
      </c>
      <c r="BZ35" s="188"/>
      <c r="CA35" s="189"/>
      <c r="CB35" s="189">
        <v>53361</v>
      </c>
      <c r="CC35" s="189">
        <v>41778</v>
      </c>
      <c r="CD35" s="190">
        <v>95139</v>
      </c>
      <c r="CE35" s="188"/>
      <c r="CF35" s="189"/>
      <c r="CG35" s="189">
        <v>11781</v>
      </c>
      <c r="CH35" s="189"/>
      <c r="CI35" s="190">
        <v>11781</v>
      </c>
    </row>
    <row r="36" s="163" customFormat="1" ht="14.6" spans="1:87">
      <c r="A36" s="191" t="s">
        <v>44</v>
      </c>
      <c r="B36" s="192"/>
      <c r="C36" s="193">
        <f t="shared" si="12"/>
        <v>8647080</v>
      </c>
      <c r="D36" s="194">
        <f t="shared" si="0"/>
        <v>9038499</v>
      </c>
      <c r="E36" s="194">
        <f t="shared" si="1"/>
        <v>12395122</v>
      </c>
      <c r="F36" s="194">
        <f t="shared" si="2"/>
        <v>12857796</v>
      </c>
      <c r="G36" s="195">
        <f t="shared" si="3"/>
        <v>42938497</v>
      </c>
      <c r="H36" s="193">
        <f t="shared" si="13"/>
        <v>6923725</v>
      </c>
      <c r="I36" s="194">
        <f t="shared" si="4"/>
        <v>7129970</v>
      </c>
      <c r="J36" s="194">
        <f t="shared" si="5"/>
        <v>10283201</v>
      </c>
      <c r="K36" s="194">
        <f t="shared" si="6"/>
        <v>10920039</v>
      </c>
      <c r="L36" s="195">
        <f t="shared" si="7"/>
        <v>35256935</v>
      </c>
      <c r="M36" s="193">
        <v>1743467</v>
      </c>
      <c r="N36" s="194">
        <v>1581449</v>
      </c>
      <c r="O36" s="194">
        <v>1722184</v>
      </c>
      <c r="P36" s="194">
        <v>2635956</v>
      </c>
      <c r="Q36" s="195">
        <v>7683056</v>
      </c>
      <c r="R36" s="193">
        <v>1154077</v>
      </c>
      <c r="S36" s="194">
        <v>1191772</v>
      </c>
      <c r="T36" s="194">
        <v>1500099</v>
      </c>
      <c r="U36" s="194">
        <v>1497608</v>
      </c>
      <c r="V36" s="195">
        <v>5343556</v>
      </c>
      <c r="W36" s="193">
        <v>328536</v>
      </c>
      <c r="X36" s="194">
        <v>347004</v>
      </c>
      <c r="Y36" s="194">
        <v>736143</v>
      </c>
      <c r="Z36" s="194">
        <v>855407</v>
      </c>
      <c r="AA36" s="195">
        <v>2267090</v>
      </c>
      <c r="AB36" s="193">
        <v>607993</v>
      </c>
      <c r="AC36" s="194">
        <v>1073625</v>
      </c>
      <c r="AD36" s="194">
        <v>1017270</v>
      </c>
      <c r="AE36" s="194">
        <v>1232359</v>
      </c>
      <c r="AF36" s="195">
        <v>3931247</v>
      </c>
      <c r="AG36" s="193">
        <v>1631063</v>
      </c>
      <c r="AH36" s="194">
        <v>1458409</v>
      </c>
      <c r="AI36" s="194">
        <v>2545219</v>
      </c>
      <c r="AJ36" s="194">
        <v>2609788</v>
      </c>
      <c r="AK36" s="195">
        <v>8244479</v>
      </c>
      <c r="AL36" s="193">
        <v>144169</v>
      </c>
      <c r="AM36" s="194">
        <v>217914</v>
      </c>
      <c r="AN36" s="194">
        <v>190647</v>
      </c>
      <c r="AO36" s="194">
        <v>215668</v>
      </c>
      <c r="AP36" s="195">
        <v>768398</v>
      </c>
      <c r="AQ36" s="193">
        <v>625818</v>
      </c>
      <c r="AR36" s="194">
        <v>556495</v>
      </c>
      <c r="AS36" s="194">
        <v>1045205</v>
      </c>
      <c r="AT36" s="194">
        <v>777574</v>
      </c>
      <c r="AU36" s="195">
        <v>3005092</v>
      </c>
      <c r="AV36" s="193">
        <v>105972</v>
      </c>
      <c r="AW36" s="194">
        <v>89984</v>
      </c>
      <c r="AX36" s="194">
        <v>125419</v>
      </c>
      <c r="AY36" s="194">
        <v>158689</v>
      </c>
      <c r="AZ36" s="195">
        <v>480064</v>
      </c>
      <c r="BA36" s="193">
        <v>582630</v>
      </c>
      <c r="BB36" s="194">
        <v>613318</v>
      </c>
      <c r="BC36" s="194">
        <v>1401015</v>
      </c>
      <c r="BD36" s="194">
        <v>936990</v>
      </c>
      <c r="BE36" s="195">
        <v>3533953</v>
      </c>
      <c r="BF36" s="193">
        <f t="shared" si="14"/>
        <v>1723355</v>
      </c>
      <c r="BG36" s="194">
        <f t="shared" si="8"/>
        <v>1908529</v>
      </c>
      <c r="BH36" s="194">
        <f t="shared" si="9"/>
        <v>2111921</v>
      </c>
      <c r="BI36" s="194">
        <f t="shared" si="10"/>
        <v>1937757</v>
      </c>
      <c r="BJ36" s="195">
        <f t="shared" si="11"/>
        <v>7681562</v>
      </c>
      <c r="BK36" s="193">
        <v>78469</v>
      </c>
      <c r="BL36" s="194">
        <v>67179</v>
      </c>
      <c r="BM36" s="194">
        <v>133737</v>
      </c>
      <c r="BN36" s="194">
        <v>113795</v>
      </c>
      <c r="BO36" s="195">
        <v>393180</v>
      </c>
      <c r="BP36" s="193">
        <v>1148686</v>
      </c>
      <c r="BQ36" s="194">
        <v>1259419</v>
      </c>
      <c r="BR36" s="194">
        <v>1209019</v>
      </c>
      <c r="BS36" s="194">
        <v>922859</v>
      </c>
      <c r="BT36" s="195">
        <v>4539983</v>
      </c>
      <c r="BU36" s="193">
        <v>377746</v>
      </c>
      <c r="BV36" s="194">
        <v>449114</v>
      </c>
      <c r="BW36" s="194">
        <v>595656</v>
      </c>
      <c r="BX36" s="194">
        <v>731383</v>
      </c>
      <c r="BY36" s="195">
        <v>2153899</v>
      </c>
      <c r="BZ36" s="193">
        <v>85145</v>
      </c>
      <c r="CA36" s="194">
        <v>76131</v>
      </c>
      <c r="CB36" s="194">
        <v>140200</v>
      </c>
      <c r="CC36" s="194">
        <v>142457</v>
      </c>
      <c r="CD36" s="195">
        <v>443933</v>
      </c>
      <c r="CE36" s="193">
        <v>33309</v>
      </c>
      <c r="CF36" s="194">
        <v>56686</v>
      </c>
      <c r="CG36" s="194">
        <v>33309</v>
      </c>
      <c r="CH36" s="194">
        <v>27263</v>
      </c>
      <c r="CI36" s="195">
        <v>150567</v>
      </c>
    </row>
    <row r="37" spans="1:87">
      <c r="A37" s="186" t="s">
        <v>45</v>
      </c>
      <c r="B37" s="187" t="s">
        <v>26</v>
      </c>
      <c r="C37" s="188">
        <f t="shared" si="12"/>
        <v>3952268</v>
      </c>
      <c r="D37" s="189">
        <f t="shared" si="0"/>
        <v>4787469</v>
      </c>
      <c r="E37" s="189">
        <f t="shared" si="1"/>
        <v>4716414</v>
      </c>
      <c r="F37" s="189">
        <f t="shared" si="2"/>
        <v>3681482</v>
      </c>
      <c r="G37" s="190">
        <f t="shared" si="3"/>
        <v>17137633</v>
      </c>
      <c r="H37" s="188">
        <f t="shared" si="13"/>
        <v>3872293</v>
      </c>
      <c r="I37" s="189">
        <f t="shared" si="4"/>
        <v>4705212</v>
      </c>
      <c r="J37" s="189">
        <f t="shared" si="5"/>
        <v>4511949</v>
      </c>
      <c r="K37" s="189">
        <f t="shared" si="6"/>
        <v>3390158</v>
      </c>
      <c r="L37" s="190">
        <f t="shared" si="7"/>
        <v>16479612</v>
      </c>
      <c r="M37" s="188">
        <v>320516</v>
      </c>
      <c r="N37" s="189">
        <v>413104</v>
      </c>
      <c r="O37" s="189">
        <v>525888</v>
      </c>
      <c r="P37" s="189">
        <v>361698</v>
      </c>
      <c r="Q37" s="190">
        <v>1621206</v>
      </c>
      <c r="R37" s="188">
        <v>365193</v>
      </c>
      <c r="S37" s="189">
        <v>204734</v>
      </c>
      <c r="T37" s="189">
        <v>404988</v>
      </c>
      <c r="U37" s="189">
        <v>431020</v>
      </c>
      <c r="V37" s="190">
        <v>1405935</v>
      </c>
      <c r="W37" s="188">
        <v>61545</v>
      </c>
      <c r="X37" s="189">
        <v>450816</v>
      </c>
      <c r="Y37" s="189">
        <v>386999</v>
      </c>
      <c r="Z37" s="189">
        <v>457515</v>
      </c>
      <c r="AA37" s="190">
        <v>1356875</v>
      </c>
      <c r="AB37" s="188">
        <v>123277</v>
      </c>
      <c r="AC37" s="189">
        <v>540088</v>
      </c>
      <c r="AD37" s="189">
        <v>825717</v>
      </c>
      <c r="AE37" s="189">
        <v>636138</v>
      </c>
      <c r="AF37" s="190">
        <v>2125220</v>
      </c>
      <c r="AG37" s="188">
        <v>2491310</v>
      </c>
      <c r="AH37" s="189">
        <v>1799721</v>
      </c>
      <c r="AI37" s="189">
        <v>1083579</v>
      </c>
      <c r="AJ37" s="189">
        <v>619661</v>
      </c>
      <c r="AK37" s="190">
        <v>5994271</v>
      </c>
      <c r="AL37" s="188">
        <v>14378</v>
      </c>
      <c r="AM37" s="189">
        <v>121027</v>
      </c>
      <c r="AN37" s="189">
        <v>97418</v>
      </c>
      <c r="AO37" s="189">
        <v>68287</v>
      </c>
      <c r="AP37" s="190">
        <v>301110</v>
      </c>
      <c r="AQ37" s="188">
        <v>314926</v>
      </c>
      <c r="AR37" s="189">
        <v>827184</v>
      </c>
      <c r="AS37" s="189">
        <v>860251</v>
      </c>
      <c r="AT37" s="189">
        <v>519645</v>
      </c>
      <c r="AU37" s="190">
        <v>2522006</v>
      </c>
      <c r="AV37" s="188">
        <v>10789</v>
      </c>
      <c r="AW37" s="189">
        <v>12749</v>
      </c>
      <c r="AX37" s="189">
        <v>24853</v>
      </c>
      <c r="AY37" s="189">
        <v>13647</v>
      </c>
      <c r="AZ37" s="190">
        <v>62038</v>
      </c>
      <c r="BA37" s="188">
        <v>170359</v>
      </c>
      <c r="BB37" s="189">
        <v>335789</v>
      </c>
      <c r="BC37" s="189">
        <v>302256</v>
      </c>
      <c r="BD37" s="189">
        <v>282547</v>
      </c>
      <c r="BE37" s="190">
        <v>1090951</v>
      </c>
      <c r="BF37" s="188">
        <f t="shared" si="14"/>
        <v>79975</v>
      </c>
      <c r="BG37" s="189">
        <f t="shared" si="8"/>
        <v>82257</v>
      </c>
      <c r="BH37" s="189">
        <f t="shared" si="9"/>
        <v>204465</v>
      </c>
      <c r="BI37" s="189">
        <f t="shared" si="10"/>
        <v>291324</v>
      </c>
      <c r="BJ37" s="190">
        <f t="shared" si="11"/>
        <v>658021</v>
      </c>
      <c r="BK37" s="188">
        <v>6040</v>
      </c>
      <c r="BL37" s="189">
        <v>7439</v>
      </c>
      <c r="BM37" s="189">
        <v>44098</v>
      </c>
      <c r="BN37" s="189">
        <v>28544</v>
      </c>
      <c r="BO37" s="190">
        <v>86121</v>
      </c>
      <c r="BP37" s="188">
        <v>29265</v>
      </c>
      <c r="BQ37" s="189">
        <v>27716</v>
      </c>
      <c r="BR37" s="189">
        <v>29633</v>
      </c>
      <c r="BS37" s="189">
        <v>93583</v>
      </c>
      <c r="BT37" s="190">
        <v>180197</v>
      </c>
      <c r="BU37" s="188">
        <v>24311</v>
      </c>
      <c r="BV37" s="189">
        <v>28993</v>
      </c>
      <c r="BW37" s="189">
        <v>118305</v>
      </c>
      <c r="BX37" s="189">
        <v>153631</v>
      </c>
      <c r="BY37" s="190">
        <v>325240</v>
      </c>
      <c r="BZ37" s="188">
        <v>5904</v>
      </c>
      <c r="CA37" s="189">
        <v>8994</v>
      </c>
      <c r="CB37" s="189">
        <v>6110</v>
      </c>
      <c r="CC37" s="189">
        <v>3818</v>
      </c>
      <c r="CD37" s="190">
        <v>24826</v>
      </c>
      <c r="CE37" s="188">
        <v>14455</v>
      </c>
      <c r="CF37" s="189">
        <v>9115</v>
      </c>
      <c r="CG37" s="189">
        <v>6319</v>
      </c>
      <c r="CH37" s="189">
        <v>11748</v>
      </c>
      <c r="CI37" s="190">
        <v>41637</v>
      </c>
    </row>
    <row r="38" spans="1:87">
      <c r="A38" s="186"/>
      <c r="B38" s="187" t="s">
        <v>27</v>
      </c>
      <c r="C38" s="188">
        <f t="shared" si="12"/>
        <v>2014912</v>
      </c>
      <c r="D38" s="189">
        <f t="shared" si="0"/>
        <v>1573275</v>
      </c>
      <c r="E38" s="189">
        <f t="shared" si="1"/>
        <v>935625</v>
      </c>
      <c r="F38" s="189">
        <f t="shared" si="2"/>
        <v>493342</v>
      </c>
      <c r="G38" s="190">
        <f t="shared" si="3"/>
        <v>5017154</v>
      </c>
      <c r="H38" s="188">
        <f t="shared" si="13"/>
        <v>1994890</v>
      </c>
      <c r="I38" s="189">
        <f t="shared" si="4"/>
        <v>1560263</v>
      </c>
      <c r="J38" s="189">
        <f t="shared" si="5"/>
        <v>858849</v>
      </c>
      <c r="K38" s="189">
        <f t="shared" si="6"/>
        <v>433987</v>
      </c>
      <c r="L38" s="190">
        <f t="shared" si="7"/>
        <v>4847989</v>
      </c>
      <c r="M38" s="188">
        <v>152758</v>
      </c>
      <c r="N38" s="189">
        <v>154074</v>
      </c>
      <c r="O38" s="189">
        <v>84478</v>
      </c>
      <c r="P38" s="189">
        <v>56904</v>
      </c>
      <c r="Q38" s="190">
        <v>448214</v>
      </c>
      <c r="R38" s="188">
        <v>124923</v>
      </c>
      <c r="S38" s="189">
        <v>38063</v>
      </c>
      <c r="T38" s="189">
        <v>31903</v>
      </c>
      <c r="U38" s="189">
        <v>10819</v>
      </c>
      <c r="V38" s="190">
        <v>205708</v>
      </c>
      <c r="W38" s="188">
        <v>120413</v>
      </c>
      <c r="X38" s="189">
        <v>414783</v>
      </c>
      <c r="Y38" s="189">
        <v>299504</v>
      </c>
      <c r="Z38" s="189">
        <v>56598</v>
      </c>
      <c r="AA38" s="190">
        <v>891298</v>
      </c>
      <c r="AB38" s="188">
        <v>58589</v>
      </c>
      <c r="AC38" s="189">
        <v>209672</v>
      </c>
      <c r="AD38" s="189">
        <v>16545</v>
      </c>
      <c r="AE38" s="189">
        <v>50821</v>
      </c>
      <c r="AF38" s="190">
        <v>335627</v>
      </c>
      <c r="AG38" s="188">
        <v>1256103</v>
      </c>
      <c r="AH38" s="189">
        <v>516643</v>
      </c>
      <c r="AI38" s="189">
        <v>204167</v>
      </c>
      <c r="AJ38" s="189">
        <v>132217</v>
      </c>
      <c r="AK38" s="190">
        <v>2109130</v>
      </c>
      <c r="AL38" s="188">
        <v>89692</v>
      </c>
      <c r="AM38" s="189">
        <v>20444</v>
      </c>
      <c r="AN38" s="189">
        <v>21136</v>
      </c>
      <c r="AO38" s="189">
        <v>21036</v>
      </c>
      <c r="AP38" s="190">
        <v>152308</v>
      </c>
      <c r="AQ38" s="188">
        <v>186360</v>
      </c>
      <c r="AR38" s="189">
        <v>98803</v>
      </c>
      <c r="AS38" s="189">
        <v>113817</v>
      </c>
      <c r="AT38" s="189">
        <v>71963</v>
      </c>
      <c r="AU38" s="190">
        <v>470943</v>
      </c>
      <c r="AV38" s="188">
        <v>636</v>
      </c>
      <c r="AW38" s="189">
        <v>1168</v>
      </c>
      <c r="AX38" s="189">
        <v>4390</v>
      </c>
      <c r="AY38" s="189">
        <v>1583</v>
      </c>
      <c r="AZ38" s="190">
        <v>7777</v>
      </c>
      <c r="BA38" s="188">
        <v>5416</v>
      </c>
      <c r="BB38" s="189">
        <v>106613</v>
      </c>
      <c r="BC38" s="189">
        <v>82909</v>
      </c>
      <c r="BD38" s="189">
        <v>32046</v>
      </c>
      <c r="BE38" s="190">
        <v>226984</v>
      </c>
      <c r="BF38" s="188">
        <f t="shared" si="14"/>
        <v>20022</v>
      </c>
      <c r="BG38" s="189">
        <f t="shared" si="8"/>
        <v>13012</v>
      </c>
      <c r="BH38" s="189">
        <f t="shared" si="9"/>
        <v>76776</v>
      </c>
      <c r="BI38" s="189">
        <f t="shared" si="10"/>
        <v>59355</v>
      </c>
      <c r="BJ38" s="190">
        <f t="shared" si="11"/>
        <v>169165</v>
      </c>
      <c r="BK38" s="188">
        <v>171</v>
      </c>
      <c r="BL38" s="189">
        <v>198</v>
      </c>
      <c r="BM38" s="189">
        <v>5912</v>
      </c>
      <c r="BN38" s="189">
        <v>712</v>
      </c>
      <c r="BO38" s="190">
        <v>6993</v>
      </c>
      <c r="BP38" s="188">
        <v>4689</v>
      </c>
      <c r="BQ38" s="189">
        <v>4484</v>
      </c>
      <c r="BR38" s="189">
        <v>16611</v>
      </c>
      <c r="BS38" s="189">
        <v>24573</v>
      </c>
      <c r="BT38" s="190">
        <v>50357</v>
      </c>
      <c r="BU38" s="188">
        <v>9429</v>
      </c>
      <c r="BV38" s="189">
        <v>4887</v>
      </c>
      <c r="BW38" s="189">
        <v>53659</v>
      </c>
      <c r="BX38" s="189">
        <v>27946</v>
      </c>
      <c r="BY38" s="190">
        <v>95921</v>
      </c>
      <c r="BZ38" s="188">
        <v>1662</v>
      </c>
      <c r="CA38" s="189">
        <v>572</v>
      </c>
      <c r="CB38" s="189"/>
      <c r="CC38" s="189"/>
      <c r="CD38" s="190">
        <v>2234</v>
      </c>
      <c r="CE38" s="188">
        <v>4071</v>
      </c>
      <c r="CF38" s="189">
        <v>2871</v>
      </c>
      <c r="CG38" s="189">
        <v>594</v>
      </c>
      <c r="CH38" s="189">
        <v>6124</v>
      </c>
      <c r="CI38" s="190">
        <v>13660</v>
      </c>
    </row>
    <row r="39" spans="1:87">
      <c r="A39" s="186"/>
      <c r="B39" s="187" t="s">
        <v>28</v>
      </c>
      <c r="C39" s="188">
        <f t="shared" si="12"/>
        <v>1636887</v>
      </c>
      <c r="D39" s="189">
        <f t="shared" si="0"/>
        <v>1470666</v>
      </c>
      <c r="E39" s="189">
        <f t="shared" si="1"/>
        <v>985803</v>
      </c>
      <c r="F39" s="189">
        <f t="shared" si="2"/>
        <v>2014129</v>
      </c>
      <c r="G39" s="190">
        <f t="shared" si="3"/>
        <v>6107485</v>
      </c>
      <c r="H39" s="188">
        <f t="shared" si="13"/>
        <v>1427334</v>
      </c>
      <c r="I39" s="189">
        <f t="shared" si="4"/>
        <v>1322178</v>
      </c>
      <c r="J39" s="189">
        <f t="shared" si="5"/>
        <v>885477</v>
      </c>
      <c r="K39" s="189">
        <f t="shared" si="6"/>
        <v>1902694</v>
      </c>
      <c r="L39" s="190">
        <f t="shared" si="7"/>
        <v>5537683</v>
      </c>
      <c r="M39" s="188">
        <v>1242</v>
      </c>
      <c r="N39" s="189">
        <v>7452</v>
      </c>
      <c r="O39" s="189"/>
      <c r="P39" s="189">
        <v>22632</v>
      </c>
      <c r="Q39" s="190">
        <v>31326</v>
      </c>
      <c r="R39" s="188"/>
      <c r="S39" s="189"/>
      <c r="T39" s="189"/>
      <c r="U39" s="189"/>
      <c r="V39" s="190"/>
      <c r="W39" s="188">
        <v>252609</v>
      </c>
      <c r="X39" s="189">
        <v>156078</v>
      </c>
      <c r="Y39" s="189">
        <v>165117</v>
      </c>
      <c r="Z39" s="189">
        <v>824964</v>
      </c>
      <c r="AA39" s="190">
        <v>1398768</v>
      </c>
      <c r="AB39" s="188">
        <v>2760</v>
      </c>
      <c r="AC39" s="189">
        <v>1725</v>
      </c>
      <c r="AD39" s="189">
        <v>146142</v>
      </c>
      <c r="AE39" s="189">
        <v>461265</v>
      </c>
      <c r="AF39" s="190">
        <v>611892</v>
      </c>
      <c r="AG39" s="188">
        <v>994980</v>
      </c>
      <c r="AH39" s="189">
        <v>870780</v>
      </c>
      <c r="AI39" s="189">
        <v>433251</v>
      </c>
      <c r="AJ39" s="189">
        <v>452019</v>
      </c>
      <c r="AK39" s="190">
        <v>2751030</v>
      </c>
      <c r="AL39" s="188">
        <v>5796</v>
      </c>
      <c r="AM39" s="189">
        <v>6624</v>
      </c>
      <c r="AN39" s="189">
        <v>21114</v>
      </c>
      <c r="AO39" s="189">
        <v>58581</v>
      </c>
      <c r="AP39" s="190">
        <v>92115</v>
      </c>
      <c r="AQ39" s="188">
        <v>24633</v>
      </c>
      <c r="AR39" s="189">
        <v>30498</v>
      </c>
      <c r="AS39" s="189">
        <v>89148</v>
      </c>
      <c r="AT39" s="189">
        <v>79093</v>
      </c>
      <c r="AU39" s="190">
        <v>223372</v>
      </c>
      <c r="AV39" s="188">
        <v>4968</v>
      </c>
      <c r="AW39" s="189">
        <v>7659</v>
      </c>
      <c r="AX39" s="189">
        <v>1518</v>
      </c>
      <c r="AY39" s="189"/>
      <c r="AZ39" s="190">
        <v>14145</v>
      </c>
      <c r="BA39" s="188">
        <v>140346</v>
      </c>
      <c r="BB39" s="189">
        <v>241362</v>
      </c>
      <c r="BC39" s="189">
        <v>29187</v>
      </c>
      <c r="BD39" s="189">
        <v>4140</v>
      </c>
      <c r="BE39" s="190">
        <v>415035</v>
      </c>
      <c r="BF39" s="188">
        <f t="shared" si="14"/>
        <v>209553</v>
      </c>
      <c r="BG39" s="189">
        <f t="shared" si="8"/>
        <v>148488</v>
      </c>
      <c r="BH39" s="189">
        <f t="shared" si="9"/>
        <v>100326</v>
      </c>
      <c r="BI39" s="189">
        <f t="shared" si="10"/>
        <v>111435</v>
      </c>
      <c r="BJ39" s="190">
        <f t="shared" si="11"/>
        <v>569802</v>
      </c>
      <c r="BK39" s="188"/>
      <c r="BL39" s="189">
        <v>8211</v>
      </c>
      <c r="BM39" s="189">
        <v>8901</v>
      </c>
      <c r="BN39" s="189">
        <v>11592</v>
      </c>
      <c r="BO39" s="190">
        <v>28704</v>
      </c>
      <c r="BP39" s="188">
        <v>34707</v>
      </c>
      <c r="BQ39" s="189">
        <v>34086</v>
      </c>
      <c r="BR39" s="189">
        <v>26220</v>
      </c>
      <c r="BS39" s="189">
        <v>23391</v>
      </c>
      <c r="BT39" s="190">
        <v>118404</v>
      </c>
      <c r="BU39" s="188">
        <v>122337</v>
      </c>
      <c r="BV39" s="189">
        <v>67068</v>
      </c>
      <c r="BW39" s="189">
        <v>37122</v>
      </c>
      <c r="BX39" s="189">
        <v>37950</v>
      </c>
      <c r="BY39" s="190">
        <v>264477</v>
      </c>
      <c r="BZ39" s="188">
        <v>31395</v>
      </c>
      <c r="CA39" s="189">
        <v>18492</v>
      </c>
      <c r="CB39" s="189">
        <v>1725</v>
      </c>
      <c r="CC39" s="189">
        <v>19665</v>
      </c>
      <c r="CD39" s="190">
        <v>71277</v>
      </c>
      <c r="CE39" s="188">
        <v>21114</v>
      </c>
      <c r="CF39" s="189">
        <v>20631</v>
      </c>
      <c r="CG39" s="189">
        <v>26358</v>
      </c>
      <c r="CH39" s="189">
        <v>18837</v>
      </c>
      <c r="CI39" s="190">
        <v>86940</v>
      </c>
    </row>
    <row r="40" spans="1:87">
      <c r="A40" s="186"/>
      <c r="B40" s="187" t="s">
        <v>29</v>
      </c>
      <c r="C40" s="188">
        <f t="shared" si="12"/>
        <v>0</v>
      </c>
      <c r="D40" s="189">
        <f t="shared" si="0"/>
        <v>2040</v>
      </c>
      <c r="E40" s="189">
        <f t="shared" si="1"/>
        <v>0</v>
      </c>
      <c r="F40" s="189">
        <f t="shared" si="2"/>
        <v>6800</v>
      </c>
      <c r="G40" s="190">
        <f t="shared" si="3"/>
        <v>8840</v>
      </c>
      <c r="H40" s="188">
        <f t="shared" si="13"/>
        <v>0</v>
      </c>
      <c r="I40" s="189">
        <f t="shared" si="4"/>
        <v>2040</v>
      </c>
      <c r="J40" s="189">
        <f t="shared" si="5"/>
        <v>0</v>
      </c>
      <c r="K40" s="189">
        <f t="shared" si="6"/>
        <v>6800</v>
      </c>
      <c r="L40" s="190">
        <f t="shared" si="7"/>
        <v>8840</v>
      </c>
      <c r="M40" s="188"/>
      <c r="N40" s="189"/>
      <c r="O40" s="189"/>
      <c r="P40" s="189"/>
      <c r="Q40" s="190"/>
      <c r="R40" s="188"/>
      <c r="S40" s="189"/>
      <c r="T40" s="189"/>
      <c r="U40" s="189"/>
      <c r="V40" s="190"/>
      <c r="W40" s="188"/>
      <c r="X40" s="189"/>
      <c r="Y40" s="189"/>
      <c r="Z40" s="189"/>
      <c r="AA40" s="190"/>
      <c r="AB40" s="188"/>
      <c r="AC40" s="189"/>
      <c r="AD40" s="189"/>
      <c r="AE40" s="189"/>
      <c r="AF40" s="190"/>
      <c r="AG40" s="188"/>
      <c r="AH40" s="189"/>
      <c r="AI40" s="189"/>
      <c r="AJ40" s="189"/>
      <c r="AK40" s="190"/>
      <c r="AL40" s="188"/>
      <c r="AM40" s="189">
        <v>2040</v>
      </c>
      <c r="AN40" s="189"/>
      <c r="AO40" s="189">
        <v>1360</v>
      </c>
      <c r="AP40" s="190">
        <v>3400</v>
      </c>
      <c r="AQ40" s="188"/>
      <c r="AR40" s="189"/>
      <c r="AS40" s="189"/>
      <c r="AT40" s="189">
        <v>5440</v>
      </c>
      <c r="AU40" s="190">
        <v>5440</v>
      </c>
      <c r="AV40" s="188"/>
      <c r="AW40" s="189"/>
      <c r="AX40" s="189"/>
      <c r="AY40" s="189"/>
      <c r="AZ40" s="190"/>
      <c r="BA40" s="188"/>
      <c r="BB40" s="189"/>
      <c r="BC40" s="189"/>
      <c r="BD40" s="189"/>
      <c r="BE40" s="190"/>
      <c r="BF40" s="188">
        <f t="shared" si="14"/>
        <v>0</v>
      </c>
      <c r="BG40" s="189">
        <f t="shared" si="8"/>
        <v>0</v>
      </c>
      <c r="BH40" s="189">
        <f t="shared" si="9"/>
        <v>0</v>
      </c>
      <c r="BI40" s="189">
        <f t="shared" si="10"/>
        <v>0</v>
      </c>
      <c r="BJ40" s="190">
        <f t="shared" si="11"/>
        <v>0</v>
      </c>
      <c r="BK40" s="188"/>
      <c r="BL40" s="189"/>
      <c r="BM40" s="189"/>
      <c r="BN40" s="189"/>
      <c r="BO40" s="190"/>
      <c r="BP40" s="188"/>
      <c r="BQ40" s="189"/>
      <c r="BR40" s="189"/>
      <c r="BS40" s="189"/>
      <c r="BT40" s="190"/>
      <c r="BU40" s="188"/>
      <c r="BV40" s="189"/>
      <c r="BW40" s="189"/>
      <c r="BX40" s="189"/>
      <c r="BY40" s="190"/>
      <c r="BZ40" s="188"/>
      <c r="CA40" s="189"/>
      <c r="CB40" s="189"/>
      <c r="CC40" s="189"/>
      <c r="CD40" s="190"/>
      <c r="CE40" s="188"/>
      <c r="CF40" s="189"/>
      <c r="CG40" s="189"/>
      <c r="CH40" s="189"/>
      <c r="CI40" s="190"/>
    </row>
    <row r="41" s="163" customFormat="1" ht="14.6" spans="1:87">
      <c r="A41" s="191" t="s">
        <v>46</v>
      </c>
      <c r="B41" s="192"/>
      <c r="C41" s="193">
        <f t="shared" si="12"/>
        <v>7604067</v>
      </c>
      <c r="D41" s="194">
        <f t="shared" si="0"/>
        <v>7833450</v>
      </c>
      <c r="E41" s="194">
        <f t="shared" si="1"/>
        <v>6637842</v>
      </c>
      <c r="F41" s="194">
        <f t="shared" si="2"/>
        <v>6195753</v>
      </c>
      <c r="G41" s="195">
        <f t="shared" si="3"/>
        <v>28271112</v>
      </c>
      <c r="H41" s="193">
        <f t="shared" si="13"/>
        <v>7294517</v>
      </c>
      <c r="I41" s="194">
        <f t="shared" si="4"/>
        <v>7589693</v>
      </c>
      <c r="J41" s="194">
        <f t="shared" si="5"/>
        <v>6256275</v>
      </c>
      <c r="K41" s="194">
        <f t="shared" si="6"/>
        <v>5733639</v>
      </c>
      <c r="L41" s="195">
        <f t="shared" si="7"/>
        <v>26874124</v>
      </c>
      <c r="M41" s="193">
        <v>474516</v>
      </c>
      <c r="N41" s="194">
        <v>574630</v>
      </c>
      <c r="O41" s="194">
        <v>610366</v>
      </c>
      <c r="P41" s="194">
        <v>441234</v>
      </c>
      <c r="Q41" s="195">
        <v>2100746</v>
      </c>
      <c r="R41" s="193">
        <v>490116</v>
      </c>
      <c r="S41" s="194">
        <v>242797</v>
      </c>
      <c r="T41" s="194">
        <v>436891</v>
      </c>
      <c r="U41" s="194">
        <v>441839</v>
      </c>
      <c r="V41" s="195">
        <v>1611643</v>
      </c>
      <c r="W41" s="193">
        <v>434567</v>
      </c>
      <c r="X41" s="194">
        <v>1021677</v>
      </c>
      <c r="Y41" s="194">
        <v>851620</v>
      </c>
      <c r="Z41" s="194">
        <v>1339077</v>
      </c>
      <c r="AA41" s="195">
        <v>3646941</v>
      </c>
      <c r="AB41" s="193">
        <v>184626</v>
      </c>
      <c r="AC41" s="194">
        <v>751485</v>
      </c>
      <c r="AD41" s="194">
        <v>988404</v>
      </c>
      <c r="AE41" s="194">
        <v>1148224</v>
      </c>
      <c r="AF41" s="195">
        <v>3072739</v>
      </c>
      <c r="AG41" s="193">
        <v>4742393</v>
      </c>
      <c r="AH41" s="194">
        <v>3187144</v>
      </c>
      <c r="AI41" s="194">
        <v>1720997</v>
      </c>
      <c r="AJ41" s="194">
        <v>1203897</v>
      </c>
      <c r="AK41" s="195">
        <v>10854431</v>
      </c>
      <c r="AL41" s="193">
        <v>109866</v>
      </c>
      <c r="AM41" s="194">
        <v>150135</v>
      </c>
      <c r="AN41" s="194">
        <v>139668</v>
      </c>
      <c r="AO41" s="194">
        <v>149264</v>
      </c>
      <c r="AP41" s="195">
        <v>548933</v>
      </c>
      <c r="AQ41" s="193">
        <v>525919</v>
      </c>
      <c r="AR41" s="194">
        <v>956485</v>
      </c>
      <c r="AS41" s="194">
        <v>1063216</v>
      </c>
      <c r="AT41" s="194">
        <v>676141</v>
      </c>
      <c r="AU41" s="195">
        <v>3221761</v>
      </c>
      <c r="AV41" s="193">
        <v>16393</v>
      </c>
      <c r="AW41" s="194">
        <v>21576</v>
      </c>
      <c r="AX41" s="194">
        <v>30761</v>
      </c>
      <c r="AY41" s="194">
        <v>15230</v>
      </c>
      <c r="AZ41" s="195">
        <v>83960</v>
      </c>
      <c r="BA41" s="193">
        <v>316121</v>
      </c>
      <c r="BB41" s="194">
        <v>683764</v>
      </c>
      <c r="BC41" s="194">
        <v>414352</v>
      </c>
      <c r="BD41" s="194">
        <v>318733</v>
      </c>
      <c r="BE41" s="195">
        <v>1732970</v>
      </c>
      <c r="BF41" s="193">
        <f t="shared" si="14"/>
        <v>309550</v>
      </c>
      <c r="BG41" s="194">
        <f t="shared" si="8"/>
        <v>243757</v>
      </c>
      <c r="BH41" s="194">
        <f t="shared" si="9"/>
        <v>381567</v>
      </c>
      <c r="BI41" s="194">
        <f t="shared" si="10"/>
        <v>462114</v>
      </c>
      <c r="BJ41" s="195">
        <f t="shared" si="11"/>
        <v>1396988</v>
      </c>
      <c r="BK41" s="193">
        <v>6211</v>
      </c>
      <c r="BL41" s="194">
        <v>15848</v>
      </c>
      <c r="BM41" s="194">
        <v>58911</v>
      </c>
      <c r="BN41" s="194">
        <v>40848</v>
      </c>
      <c r="BO41" s="195">
        <v>121818</v>
      </c>
      <c r="BP41" s="193">
        <v>68661</v>
      </c>
      <c r="BQ41" s="194">
        <v>66286</v>
      </c>
      <c r="BR41" s="194">
        <v>72464</v>
      </c>
      <c r="BS41" s="194">
        <v>141547</v>
      </c>
      <c r="BT41" s="195">
        <v>348958</v>
      </c>
      <c r="BU41" s="193">
        <v>156077</v>
      </c>
      <c r="BV41" s="194">
        <v>100948</v>
      </c>
      <c r="BW41" s="194">
        <v>209086</v>
      </c>
      <c r="BX41" s="194">
        <v>219527</v>
      </c>
      <c r="BY41" s="195">
        <v>685638</v>
      </c>
      <c r="BZ41" s="193">
        <v>38961</v>
      </c>
      <c r="CA41" s="194">
        <v>28058</v>
      </c>
      <c r="CB41" s="194">
        <v>7835</v>
      </c>
      <c r="CC41" s="194">
        <v>23483</v>
      </c>
      <c r="CD41" s="195">
        <v>98337</v>
      </c>
      <c r="CE41" s="193">
        <v>39640</v>
      </c>
      <c r="CF41" s="194">
        <v>32617</v>
      </c>
      <c r="CG41" s="194">
        <v>33271</v>
      </c>
      <c r="CH41" s="194">
        <v>36709</v>
      </c>
      <c r="CI41" s="195">
        <v>142237</v>
      </c>
    </row>
    <row r="42" spans="1:87">
      <c r="A42" s="186" t="s">
        <v>47</v>
      </c>
      <c r="B42" s="187" t="s">
        <v>26</v>
      </c>
      <c r="C42" s="188">
        <f t="shared" si="12"/>
        <v>9269460</v>
      </c>
      <c r="D42" s="189">
        <f t="shared" si="0"/>
        <v>3622211</v>
      </c>
      <c r="E42" s="189">
        <f t="shared" si="1"/>
        <v>2681399</v>
      </c>
      <c r="F42" s="189">
        <f t="shared" si="2"/>
        <v>3200125</v>
      </c>
      <c r="G42" s="190">
        <f t="shared" si="3"/>
        <v>18773195</v>
      </c>
      <c r="H42" s="188">
        <f t="shared" si="13"/>
        <v>8796543</v>
      </c>
      <c r="I42" s="189">
        <f t="shared" si="4"/>
        <v>3232698</v>
      </c>
      <c r="J42" s="189">
        <f t="shared" si="5"/>
        <v>2361726</v>
      </c>
      <c r="K42" s="189">
        <f t="shared" si="6"/>
        <v>2947615</v>
      </c>
      <c r="L42" s="190">
        <f t="shared" si="7"/>
        <v>17338582</v>
      </c>
      <c r="M42" s="188">
        <v>1246662</v>
      </c>
      <c r="N42" s="189">
        <v>539437</v>
      </c>
      <c r="O42" s="189">
        <v>398583</v>
      </c>
      <c r="P42" s="189">
        <v>371021</v>
      </c>
      <c r="Q42" s="190">
        <v>2555703</v>
      </c>
      <c r="R42" s="188">
        <v>89941</v>
      </c>
      <c r="S42" s="189">
        <v>66637</v>
      </c>
      <c r="T42" s="189">
        <v>52300</v>
      </c>
      <c r="U42" s="189">
        <v>235226</v>
      </c>
      <c r="V42" s="190">
        <v>444104</v>
      </c>
      <c r="W42" s="188">
        <v>768902</v>
      </c>
      <c r="X42" s="189">
        <v>305198</v>
      </c>
      <c r="Y42" s="189">
        <v>170474</v>
      </c>
      <c r="Z42" s="189">
        <v>152076</v>
      </c>
      <c r="AA42" s="190">
        <v>1396650</v>
      </c>
      <c r="AB42" s="188">
        <v>675396</v>
      </c>
      <c r="AC42" s="189">
        <v>126205</v>
      </c>
      <c r="AD42" s="189">
        <v>364209</v>
      </c>
      <c r="AE42" s="189">
        <v>211042</v>
      </c>
      <c r="AF42" s="190">
        <v>1376852</v>
      </c>
      <c r="AG42" s="188">
        <v>3695638</v>
      </c>
      <c r="AH42" s="189">
        <v>1049666</v>
      </c>
      <c r="AI42" s="189">
        <v>664978</v>
      </c>
      <c r="AJ42" s="189">
        <v>1387398</v>
      </c>
      <c r="AK42" s="190">
        <v>6797680</v>
      </c>
      <c r="AL42" s="188">
        <v>313807</v>
      </c>
      <c r="AM42" s="189">
        <v>185642</v>
      </c>
      <c r="AN42" s="189">
        <v>169331</v>
      </c>
      <c r="AO42" s="189">
        <v>154179</v>
      </c>
      <c r="AP42" s="190">
        <v>822959</v>
      </c>
      <c r="AQ42" s="188">
        <v>1278176</v>
      </c>
      <c r="AR42" s="189">
        <v>506162</v>
      </c>
      <c r="AS42" s="189">
        <v>289112</v>
      </c>
      <c r="AT42" s="189">
        <v>190815</v>
      </c>
      <c r="AU42" s="190">
        <v>2264265</v>
      </c>
      <c r="AV42" s="188">
        <v>109378</v>
      </c>
      <c r="AW42" s="189">
        <v>94467</v>
      </c>
      <c r="AX42" s="189">
        <v>51262</v>
      </c>
      <c r="AY42" s="189">
        <v>38552</v>
      </c>
      <c r="AZ42" s="190">
        <v>293659</v>
      </c>
      <c r="BA42" s="188">
        <v>618643</v>
      </c>
      <c r="BB42" s="189">
        <v>359284</v>
      </c>
      <c r="BC42" s="189">
        <v>201477</v>
      </c>
      <c r="BD42" s="189">
        <v>207306</v>
      </c>
      <c r="BE42" s="190">
        <v>1386710</v>
      </c>
      <c r="BF42" s="188">
        <f t="shared" si="14"/>
        <v>472917</v>
      </c>
      <c r="BG42" s="189">
        <f t="shared" si="8"/>
        <v>389513</v>
      </c>
      <c r="BH42" s="189">
        <f t="shared" si="9"/>
        <v>319673</v>
      </c>
      <c r="BI42" s="189">
        <f t="shared" si="10"/>
        <v>252510</v>
      </c>
      <c r="BJ42" s="190">
        <f t="shared" si="11"/>
        <v>1434613</v>
      </c>
      <c r="BK42" s="188">
        <v>30879</v>
      </c>
      <c r="BL42" s="189">
        <v>34495</v>
      </c>
      <c r="BM42" s="189">
        <v>39888</v>
      </c>
      <c r="BN42" s="189">
        <v>24265</v>
      </c>
      <c r="BO42" s="190">
        <v>129527</v>
      </c>
      <c r="BP42" s="188">
        <v>263343</v>
      </c>
      <c r="BQ42" s="189">
        <v>148346</v>
      </c>
      <c r="BR42" s="189">
        <v>105026</v>
      </c>
      <c r="BS42" s="189">
        <v>66960</v>
      </c>
      <c r="BT42" s="190">
        <v>583675</v>
      </c>
      <c r="BU42" s="188">
        <v>130559</v>
      </c>
      <c r="BV42" s="189">
        <v>154442</v>
      </c>
      <c r="BW42" s="189">
        <v>124313</v>
      </c>
      <c r="BX42" s="189">
        <v>132668</v>
      </c>
      <c r="BY42" s="190">
        <v>541982</v>
      </c>
      <c r="BZ42" s="188">
        <v>29757</v>
      </c>
      <c r="CA42" s="189">
        <v>32587</v>
      </c>
      <c r="CB42" s="189">
        <v>24317</v>
      </c>
      <c r="CC42" s="189">
        <v>16956</v>
      </c>
      <c r="CD42" s="190">
        <v>103617</v>
      </c>
      <c r="CE42" s="188">
        <v>18379</v>
      </c>
      <c r="CF42" s="189">
        <v>19643</v>
      </c>
      <c r="CG42" s="189">
        <v>26129</v>
      </c>
      <c r="CH42" s="189">
        <v>11661</v>
      </c>
      <c r="CI42" s="190">
        <v>75812</v>
      </c>
    </row>
    <row r="43" spans="1:87">
      <c r="A43" s="186"/>
      <c r="B43" s="187" t="s">
        <v>27</v>
      </c>
      <c r="C43" s="188">
        <f t="shared" si="12"/>
        <v>848526</v>
      </c>
      <c r="D43" s="189">
        <f t="shared" si="0"/>
        <v>253850</v>
      </c>
      <c r="E43" s="189">
        <f t="shared" si="1"/>
        <v>90654</v>
      </c>
      <c r="F43" s="189">
        <f t="shared" si="2"/>
        <v>1875669</v>
      </c>
      <c r="G43" s="190">
        <f t="shared" si="3"/>
        <v>3068699</v>
      </c>
      <c r="H43" s="188">
        <f t="shared" si="13"/>
        <v>812208</v>
      </c>
      <c r="I43" s="189">
        <f t="shared" si="4"/>
        <v>236896</v>
      </c>
      <c r="J43" s="189">
        <f t="shared" si="5"/>
        <v>78572</v>
      </c>
      <c r="K43" s="189">
        <f t="shared" si="6"/>
        <v>1856143</v>
      </c>
      <c r="L43" s="190">
        <f t="shared" si="7"/>
        <v>2983819</v>
      </c>
      <c r="M43" s="188">
        <v>9496</v>
      </c>
      <c r="N43" s="189">
        <v>2182</v>
      </c>
      <c r="O43" s="189">
        <v>2396</v>
      </c>
      <c r="P43" s="189">
        <v>18433</v>
      </c>
      <c r="Q43" s="190">
        <v>32507</v>
      </c>
      <c r="R43" s="188">
        <v>6129</v>
      </c>
      <c r="S43" s="189">
        <v>4174</v>
      </c>
      <c r="T43" s="189">
        <v>3183</v>
      </c>
      <c r="U43" s="189">
        <v>140073</v>
      </c>
      <c r="V43" s="190">
        <v>153559</v>
      </c>
      <c r="W43" s="188">
        <v>66557</v>
      </c>
      <c r="X43" s="189">
        <v>17081</v>
      </c>
      <c r="Y43" s="189">
        <v>9160</v>
      </c>
      <c r="Z43" s="189">
        <v>188339</v>
      </c>
      <c r="AA43" s="190">
        <v>281137</v>
      </c>
      <c r="AB43" s="188">
        <v>230748</v>
      </c>
      <c r="AC43" s="189">
        <v>77268</v>
      </c>
      <c r="AD43" s="189">
        <v>9696</v>
      </c>
      <c r="AE43" s="189">
        <v>28639</v>
      </c>
      <c r="AF43" s="190">
        <v>346351</v>
      </c>
      <c r="AG43" s="188">
        <v>254151</v>
      </c>
      <c r="AH43" s="189">
        <v>63216</v>
      </c>
      <c r="AI43" s="189">
        <v>28029</v>
      </c>
      <c r="AJ43" s="189">
        <v>1180991</v>
      </c>
      <c r="AK43" s="190">
        <v>1526387</v>
      </c>
      <c r="AL43" s="188">
        <v>18226</v>
      </c>
      <c r="AM43" s="189">
        <v>14321</v>
      </c>
      <c r="AN43" s="189">
        <v>11996</v>
      </c>
      <c r="AO43" s="189">
        <v>64502</v>
      </c>
      <c r="AP43" s="190">
        <v>109045</v>
      </c>
      <c r="AQ43" s="188">
        <v>107411</v>
      </c>
      <c r="AR43" s="189">
        <v>23001</v>
      </c>
      <c r="AS43" s="189">
        <v>6009</v>
      </c>
      <c r="AT43" s="189">
        <v>225190</v>
      </c>
      <c r="AU43" s="190">
        <v>361611</v>
      </c>
      <c r="AV43" s="188">
        <v>13903</v>
      </c>
      <c r="AW43" s="189">
        <v>5017</v>
      </c>
      <c r="AX43" s="189">
        <v>1201</v>
      </c>
      <c r="AY43" s="189">
        <v>1535</v>
      </c>
      <c r="AZ43" s="190">
        <v>21656</v>
      </c>
      <c r="BA43" s="188">
        <v>105587</v>
      </c>
      <c r="BB43" s="189">
        <v>30636</v>
      </c>
      <c r="BC43" s="189">
        <v>6902</v>
      </c>
      <c r="BD43" s="189">
        <v>8441</v>
      </c>
      <c r="BE43" s="190">
        <v>151566</v>
      </c>
      <c r="BF43" s="188">
        <f t="shared" si="14"/>
        <v>36318</v>
      </c>
      <c r="BG43" s="189">
        <f t="shared" si="8"/>
        <v>16954</v>
      </c>
      <c r="BH43" s="189">
        <f t="shared" si="9"/>
        <v>12082</v>
      </c>
      <c r="BI43" s="189">
        <f t="shared" si="10"/>
        <v>19526</v>
      </c>
      <c r="BJ43" s="190">
        <f t="shared" si="11"/>
        <v>84880</v>
      </c>
      <c r="BK43" s="188"/>
      <c r="BL43" s="189"/>
      <c r="BM43" s="189"/>
      <c r="BN43" s="189"/>
      <c r="BO43" s="190"/>
      <c r="BP43" s="188"/>
      <c r="BQ43" s="189">
        <v>14615</v>
      </c>
      <c r="BR43" s="189">
        <v>8374</v>
      </c>
      <c r="BS43" s="189">
        <v>5056</v>
      </c>
      <c r="BT43" s="190">
        <v>28045</v>
      </c>
      <c r="BU43" s="188">
        <v>36318</v>
      </c>
      <c r="BV43" s="189">
        <v>2339</v>
      </c>
      <c r="BW43" s="189">
        <v>3708</v>
      </c>
      <c r="BX43" s="189">
        <v>14470</v>
      </c>
      <c r="BY43" s="190">
        <v>56835</v>
      </c>
      <c r="BZ43" s="188"/>
      <c r="CA43" s="189"/>
      <c r="CB43" s="189"/>
      <c r="CC43" s="189"/>
      <c r="CD43" s="190"/>
      <c r="CE43" s="188"/>
      <c r="CF43" s="189"/>
      <c r="CG43" s="189"/>
      <c r="CH43" s="189"/>
      <c r="CI43" s="190"/>
    </row>
    <row r="44" s="163" customFormat="1" ht="14.6" spans="1:87">
      <c r="A44" s="191" t="s">
        <v>48</v>
      </c>
      <c r="B44" s="192"/>
      <c r="C44" s="193">
        <f t="shared" si="12"/>
        <v>10117986</v>
      </c>
      <c r="D44" s="194">
        <f t="shared" si="0"/>
        <v>3876061</v>
      </c>
      <c r="E44" s="194">
        <f t="shared" si="1"/>
        <v>2772053</v>
      </c>
      <c r="F44" s="194">
        <f t="shared" si="2"/>
        <v>5075794</v>
      </c>
      <c r="G44" s="195">
        <f t="shared" si="3"/>
        <v>21841894</v>
      </c>
      <c r="H44" s="193">
        <f t="shared" si="13"/>
        <v>9608751</v>
      </c>
      <c r="I44" s="194">
        <f t="shared" si="4"/>
        <v>3469594</v>
      </c>
      <c r="J44" s="194">
        <f t="shared" si="5"/>
        <v>2440298</v>
      </c>
      <c r="K44" s="194">
        <f t="shared" si="6"/>
        <v>4803758</v>
      </c>
      <c r="L44" s="195">
        <f t="shared" si="7"/>
        <v>20322401</v>
      </c>
      <c r="M44" s="193">
        <v>1256158</v>
      </c>
      <c r="N44" s="194">
        <v>541619</v>
      </c>
      <c r="O44" s="194">
        <v>400979</v>
      </c>
      <c r="P44" s="194">
        <v>389454</v>
      </c>
      <c r="Q44" s="195">
        <v>2588210</v>
      </c>
      <c r="R44" s="193">
        <v>96070</v>
      </c>
      <c r="S44" s="194">
        <v>70811</v>
      </c>
      <c r="T44" s="194">
        <v>55483</v>
      </c>
      <c r="U44" s="194">
        <v>375299</v>
      </c>
      <c r="V44" s="195">
        <v>597663</v>
      </c>
      <c r="W44" s="193">
        <v>835459</v>
      </c>
      <c r="X44" s="194">
        <v>322279</v>
      </c>
      <c r="Y44" s="194">
        <v>179634</v>
      </c>
      <c r="Z44" s="194">
        <v>340415</v>
      </c>
      <c r="AA44" s="195">
        <v>1677787</v>
      </c>
      <c r="AB44" s="193">
        <v>906144</v>
      </c>
      <c r="AC44" s="194">
        <v>203473</v>
      </c>
      <c r="AD44" s="194">
        <v>373905</v>
      </c>
      <c r="AE44" s="194">
        <v>239681</v>
      </c>
      <c r="AF44" s="195">
        <v>1723203</v>
      </c>
      <c r="AG44" s="193">
        <v>3949789</v>
      </c>
      <c r="AH44" s="194">
        <v>1112882</v>
      </c>
      <c r="AI44" s="194">
        <v>693007</v>
      </c>
      <c r="AJ44" s="194">
        <v>2568389</v>
      </c>
      <c r="AK44" s="195">
        <v>8324067</v>
      </c>
      <c r="AL44" s="193">
        <v>332033</v>
      </c>
      <c r="AM44" s="194">
        <v>199963</v>
      </c>
      <c r="AN44" s="194">
        <v>181327</v>
      </c>
      <c r="AO44" s="194">
        <v>218681</v>
      </c>
      <c r="AP44" s="195">
        <v>932004</v>
      </c>
      <c r="AQ44" s="193">
        <v>1385587</v>
      </c>
      <c r="AR44" s="194">
        <v>529163</v>
      </c>
      <c r="AS44" s="194">
        <v>295121</v>
      </c>
      <c r="AT44" s="194">
        <v>416005</v>
      </c>
      <c r="AU44" s="195">
        <v>2625876</v>
      </c>
      <c r="AV44" s="193">
        <v>123281</v>
      </c>
      <c r="AW44" s="194">
        <v>99484</v>
      </c>
      <c r="AX44" s="194">
        <v>52463</v>
      </c>
      <c r="AY44" s="194">
        <v>40087</v>
      </c>
      <c r="AZ44" s="195">
        <v>315315</v>
      </c>
      <c r="BA44" s="193">
        <v>724230</v>
      </c>
      <c r="BB44" s="194">
        <v>389920</v>
      </c>
      <c r="BC44" s="194">
        <v>208379</v>
      </c>
      <c r="BD44" s="194">
        <v>215747</v>
      </c>
      <c r="BE44" s="195">
        <v>1538276</v>
      </c>
      <c r="BF44" s="193">
        <f t="shared" si="14"/>
        <v>509235</v>
      </c>
      <c r="BG44" s="194">
        <f t="shared" si="8"/>
        <v>406467</v>
      </c>
      <c r="BH44" s="194">
        <f t="shared" si="9"/>
        <v>331755</v>
      </c>
      <c r="BI44" s="194">
        <f t="shared" si="10"/>
        <v>272036</v>
      </c>
      <c r="BJ44" s="195">
        <f t="shared" si="11"/>
        <v>1519493</v>
      </c>
      <c r="BK44" s="193">
        <v>30879</v>
      </c>
      <c r="BL44" s="194">
        <v>34495</v>
      </c>
      <c r="BM44" s="194">
        <v>39888</v>
      </c>
      <c r="BN44" s="194">
        <v>24265</v>
      </c>
      <c r="BO44" s="195">
        <v>129527</v>
      </c>
      <c r="BP44" s="193">
        <v>263343</v>
      </c>
      <c r="BQ44" s="194">
        <v>162961</v>
      </c>
      <c r="BR44" s="194">
        <v>113400</v>
      </c>
      <c r="BS44" s="194">
        <v>72016</v>
      </c>
      <c r="BT44" s="195">
        <v>611720</v>
      </c>
      <c r="BU44" s="193">
        <v>166877</v>
      </c>
      <c r="BV44" s="194">
        <v>156781</v>
      </c>
      <c r="BW44" s="194">
        <v>128021</v>
      </c>
      <c r="BX44" s="194">
        <v>147138</v>
      </c>
      <c r="BY44" s="195">
        <v>598817</v>
      </c>
      <c r="BZ44" s="193">
        <v>29757</v>
      </c>
      <c r="CA44" s="194">
        <v>32587</v>
      </c>
      <c r="CB44" s="194">
        <v>24317</v>
      </c>
      <c r="CC44" s="194">
        <v>16956</v>
      </c>
      <c r="CD44" s="195">
        <v>103617</v>
      </c>
      <c r="CE44" s="193">
        <v>18379</v>
      </c>
      <c r="CF44" s="194">
        <v>19643</v>
      </c>
      <c r="CG44" s="194">
        <v>26129</v>
      </c>
      <c r="CH44" s="194">
        <v>11661</v>
      </c>
      <c r="CI44" s="195">
        <v>75812</v>
      </c>
    </row>
    <row r="45" spans="1:87">
      <c r="A45" s="186" t="s">
        <v>49</v>
      </c>
      <c r="B45" s="187" t="s">
        <v>26</v>
      </c>
      <c r="C45" s="188">
        <f t="shared" si="12"/>
        <v>1483983</v>
      </c>
      <c r="D45" s="189">
        <f t="shared" si="0"/>
        <v>1228821</v>
      </c>
      <c r="E45" s="189">
        <f t="shared" si="1"/>
        <v>1111245</v>
      </c>
      <c r="F45" s="189">
        <f t="shared" si="2"/>
        <v>2919459</v>
      </c>
      <c r="G45" s="190">
        <f t="shared" si="3"/>
        <v>6743508</v>
      </c>
      <c r="H45" s="188">
        <f t="shared" si="13"/>
        <v>1446723</v>
      </c>
      <c r="I45" s="189">
        <f t="shared" si="4"/>
        <v>1168860</v>
      </c>
      <c r="J45" s="189">
        <f t="shared" si="5"/>
        <v>1046523</v>
      </c>
      <c r="K45" s="189">
        <f t="shared" si="6"/>
        <v>2852460</v>
      </c>
      <c r="L45" s="190">
        <f t="shared" si="7"/>
        <v>6514566</v>
      </c>
      <c r="M45" s="188">
        <v>46644</v>
      </c>
      <c r="N45" s="189">
        <v>60513</v>
      </c>
      <c r="O45" s="189">
        <v>47679</v>
      </c>
      <c r="P45" s="189">
        <v>114609</v>
      </c>
      <c r="Q45" s="190">
        <v>269445</v>
      </c>
      <c r="R45" s="188">
        <v>61479</v>
      </c>
      <c r="S45" s="189">
        <v>44091</v>
      </c>
      <c r="T45" s="189">
        <v>49335</v>
      </c>
      <c r="U45" s="189">
        <v>126408</v>
      </c>
      <c r="V45" s="190">
        <v>281313</v>
      </c>
      <c r="W45" s="188">
        <v>82800</v>
      </c>
      <c r="X45" s="189">
        <v>58719</v>
      </c>
      <c r="Y45" s="189">
        <v>31809</v>
      </c>
      <c r="Z45" s="189">
        <v>66654</v>
      </c>
      <c r="AA45" s="190">
        <v>239982</v>
      </c>
      <c r="AB45" s="188">
        <v>79557</v>
      </c>
      <c r="AC45" s="189">
        <v>115713</v>
      </c>
      <c r="AD45" s="189">
        <v>185334</v>
      </c>
      <c r="AE45" s="189">
        <v>571182</v>
      </c>
      <c r="AF45" s="190">
        <v>951786</v>
      </c>
      <c r="AG45" s="188">
        <v>766038</v>
      </c>
      <c r="AH45" s="189">
        <v>466785</v>
      </c>
      <c r="AI45" s="189">
        <v>315330</v>
      </c>
      <c r="AJ45" s="189">
        <v>1083921</v>
      </c>
      <c r="AK45" s="190">
        <v>2632074</v>
      </c>
      <c r="AL45" s="188">
        <v>53820</v>
      </c>
      <c r="AM45" s="189">
        <v>65274</v>
      </c>
      <c r="AN45" s="189">
        <v>75417</v>
      </c>
      <c r="AO45" s="189">
        <v>128340</v>
      </c>
      <c r="AP45" s="190">
        <v>322851</v>
      </c>
      <c r="AQ45" s="188">
        <v>203412</v>
      </c>
      <c r="AR45" s="189">
        <v>193545</v>
      </c>
      <c r="AS45" s="189">
        <v>163599</v>
      </c>
      <c r="AT45" s="189">
        <v>570975</v>
      </c>
      <c r="AU45" s="190">
        <v>1131531</v>
      </c>
      <c r="AV45" s="188">
        <v>20148</v>
      </c>
      <c r="AW45" s="189">
        <v>11178</v>
      </c>
      <c r="AX45" s="189">
        <v>18354</v>
      </c>
      <c r="AY45" s="189">
        <v>21252</v>
      </c>
      <c r="AZ45" s="190">
        <v>70932</v>
      </c>
      <c r="BA45" s="188">
        <v>132825</v>
      </c>
      <c r="BB45" s="189">
        <v>153042</v>
      </c>
      <c r="BC45" s="189">
        <v>159666</v>
      </c>
      <c r="BD45" s="189">
        <v>169119</v>
      </c>
      <c r="BE45" s="190">
        <v>614652</v>
      </c>
      <c r="BF45" s="188">
        <f t="shared" si="14"/>
        <v>37260</v>
      </c>
      <c r="BG45" s="189">
        <f t="shared" si="8"/>
        <v>59961</v>
      </c>
      <c r="BH45" s="189">
        <f t="shared" si="9"/>
        <v>64722</v>
      </c>
      <c r="BI45" s="189">
        <f t="shared" si="10"/>
        <v>66999</v>
      </c>
      <c r="BJ45" s="190">
        <f t="shared" si="11"/>
        <v>228942</v>
      </c>
      <c r="BK45" s="188">
        <v>3105</v>
      </c>
      <c r="BL45" s="189">
        <v>1725</v>
      </c>
      <c r="BM45" s="189">
        <v>1656</v>
      </c>
      <c r="BN45" s="189">
        <v>2760</v>
      </c>
      <c r="BO45" s="190">
        <v>9246</v>
      </c>
      <c r="BP45" s="188">
        <v>7728</v>
      </c>
      <c r="BQ45" s="189">
        <v>10212</v>
      </c>
      <c r="BR45" s="189">
        <v>8763</v>
      </c>
      <c r="BS45" s="189">
        <v>13041</v>
      </c>
      <c r="BT45" s="190">
        <v>39744</v>
      </c>
      <c r="BU45" s="188">
        <v>13041</v>
      </c>
      <c r="BV45" s="189">
        <v>39537</v>
      </c>
      <c r="BW45" s="189">
        <v>50232</v>
      </c>
      <c r="BX45" s="189">
        <v>42987</v>
      </c>
      <c r="BY45" s="190">
        <v>145797</v>
      </c>
      <c r="BZ45" s="188">
        <v>3726</v>
      </c>
      <c r="CA45" s="189">
        <v>3312</v>
      </c>
      <c r="CB45" s="189">
        <v>2967</v>
      </c>
      <c r="CC45" s="189">
        <v>1932</v>
      </c>
      <c r="CD45" s="190">
        <v>11937</v>
      </c>
      <c r="CE45" s="188">
        <v>9660</v>
      </c>
      <c r="CF45" s="189">
        <v>5175</v>
      </c>
      <c r="CG45" s="189">
        <v>1104</v>
      </c>
      <c r="CH45" s="189">
        <v>6279</v>
      </c>
      <c r="CI45" s="190">
        <v>22218</v>
      </c>
    </row>
    <row r="46" spans="1:87">
      <c r="A46" s="186"/>
      <c r="B46" s="187" t="s">
        <v>27</v>
      </c>
      <c r="C46" s="188">
        <f t="shared" si="12"/>
        <v>1166841</v>
      </c>
      <c r="D46" s="189">
        <f t="shared" si="0"/>
        <v>442992</v>
      </c>
      <c r="E46" s="189">
        <f t="shared" si="1"/>
        <v>363306</v>
      </c>
      <c r="F46" s="189">
        <f t="shared" si="2"/>
        <v>1527628</v>
      </c>
      <c r="G46" s="190">
        <f t="shared" si="3"/>
        <v>3500767</v>
      </c>
      <c r="H46" s="188">
        <f t="shared" si="13"/>
        <v>1149852</v>
      </c>
      <c r="I46" s="189">
        <f t="shared" si="4"/>
        <v>433132</v>
      </c>
      <c r="J46" s="189">
        <f t="shared" si="5"/>
        <v>357701</v>
      </c>
      <c r="K46" s="189">
        <f t="shared" si="6"/>
        <v>1524713</v>
      </c>
      <c r="L46" s="190">
        <f t="shared" si="7"/>
        <v>3465398</v>
      </c>
      <c r="M46" s="188">
        <v>2327</v>
      </c>
      <c r="N46" s="189">
        <v>11481</v>
      </c>
      <c r="O46" s="189">
        <v>3269</v>
      </c>
      <c r="P46" s="189">
        <v>7396</v>
      </c>
      <c r="Q46" s="190">
        <v>24473</v>
      </c>
      <c r="R46" s="188">
        <v>11903</v>
      </c>
      <c r="S46" s="189">
        <v>10737</v>
      </c>
      <c r="T46" s="189">
        <v>14922</v>
      </c>
      <c r="U46" s="189">
        <v>35968</v>
      </c>
      <c r="V46" s="190">
        <v>73530</v>
      </c>
      <c r="W46" s="188">
        <v>189890</v>
      </c>
      <c r="X46" s="189">
        <v>171029</v>
      </c>
      <c r="Y46" s="189">
        <v>66456</v>
      </c>
      <c r="Z46" s="189">
        <v>58489</v>
      </c>
      <c r="AA46" s="190">
        <v>485864</v>
      </c>
      <c r="AB46" s="188"/>
      <c r="AC46" s="189">
        <v>2079</v>
      </c>
      <c r="AD46" s="189">
        <v>11936</v>
      </c>
      <c r="AE46" s="189">
        <v>278</v>
      </c>
      <c r="AF46" s="190">
        <v>14293</v>
      </c>
      <c r="AG46" s="188">
        <v>820693</v>
      </c>
      <c r="AH46" s="189">
        <v>158595</v>
      </c>
      <c r="AI46" s="189">
        <v>127305</v>
      </c>
      <c r="AJ46" s="189">
        <v>1300457</v>
      </c>
      <c r="AK46" s="190">
        <v>2407050</v>
      </c>
      <c r="AL46" s="188">
        <v>70320</v>
      </c>
      <c r="AM46" s="189">
        <v>36925</v>
      </c>
      <c r="AN46" s="189">
        <v>25590</v>
      </c>
      <c r="AO46" s="189">
        <v>49716</v>
      </c>
      <c r="AP46" s="190">
        <v>182551</v>
      </c>
      <c r="AQ46" s="188">
        <v>25137</v>
      </c>
      <c r="AR46" s="189">
        <v>19747</v>
      </c>
      <c r="AS46" s="189">
        <v>58273</v>
      </c>
      <c r="AT46" s="189">
        <v>45352</v>
      </c>
      <c r="AU46" s="190">
        <v>148509</v>
      </c>
      <c r="AV46" s="188">
        <v>6105</v>
      </c>
      <c r="AW46" s="189">
        <v>1078</v>
      </c>
      <c r="AX46" s="189">
        <v>3132</v>
      </c>
      <c r="AY46" s="189">
        <v>1376</v>
      </c>
      <c r="AZ46" s="190">
        <v>11691</v>
      </c>
      <c r="BA46" s="188">
        <v>23477</v>
      </c>
      <c r="BB46" s="189">
        <v>21461</v>
      </c>
      <c r="BC46" s="189">
        <v>46818</v>
      </c>
      <c r="BD46" s="189">
        <v>25681</v>
      </c>
      <c r="BE46" s="190">
        <v>117437</v>
      </c>
      <c r="BF46" s="188">
        <f t="shared" si="14"/>
        <v>16989</v>
      </c>
      <c r="BG46" s="189">
        <f t="shared" si="8"/>
        <v>9860</v>
      </c>
      <c r="BH46" s="189">
        <f t="shared" si="9"/>
        <v>5605</v>
      </c>
      <c r="BI46" s="189">
        <f t="shared" si="10"/>
        <v>2915</v>
      </c>
      <c r="BJ46" s="190">
        <f t="shared" si="11"/>
        <v>35369</v>
      </c>
      <c r="BK46" s="188">
        <v>147</v>
      </c>
      <c r="BL46" s="189">
        <v>1140</v>
      </c>
      <c r="BM46" s="189"/>
      <c r="BN46" s="189"/>
      <c r="BO46" s="190">
        <v>1287</v>
      </c>
      <c r="BP46" s="188">
        <v>7126</v>
      </c>
      <c r="BQ46" s="189">
        <v>6482</v>
      </c>
      <c r="BR46" s="189">
        <v>4278</v>
      </c>
      <c r="BS46" s="189">
        <v>2327</v>
      </c>
      <c r="BT46" s="190">
        <v>20213</v>
      </c>
      <c r="BU46" s="188">
        <v>8834</v>
      </c>
      <c r="BV46" s="189">
        <v>1880</v>
      </c>
      <c r="BW46" s="189">
        <v>1148</v>
      </c>
      <c r="BX46" s="189">
        <v>588</v>
      </c>
      <c r="BY46" s="190">
        <v>12450</v>
      </c>
      <c r="BZ46" s="188"/>
      <c r="CA46" s="189">
        <v>358</v>
      </c>
      <c r="CB46" s="189">
        <v>179</v>
      </c>
      <c r="CC46" s="189"/>
      <c r="CD46" s="190">
        <v>537</v>
      </c>
      <c r="CE46" s="188">
        <v>882</v>
      </c>
      <c r="CF46" s="189"/>
      <c r="CG46" s="189"/>
      <c r="CH46" s="189"/>
      <c r="CI46" s="190">
        <v>882</v>
      </c>
    </row>
    <row r="47" spans="1:87">
      <c r="A47" s="186"/>
      <c r="B47" s="187" t="s">
        <v>28</v>
      </c>
      <c r="C47" s="188">
        <f t="shared" si="12"/>
        <v>2562365</v>
      </c>
      <c r="D47" s="189">
        <f t="shared" si="0"/>
        <v>1764307</v>
      </c>
      <c r="E47" s="189">
        <f t="shared" si="1"/>
        <v>1300735</v>
      </c>
      <c r="F47" s="189">
        <f t="shared" si="2"/>
        <v>3197736</v>
      </c>
      <c r="G47" s="190">
        <f t="shared" si="3"/>
        <v>8825143</v>
      </c>
      <c r="H47" s="188">
        <f t="shared" si="13"/>
        <v>2535031</v>
      </c>
      <c r="I47" s="189">
        <f t="shared" si="4"/>
        <v>1710508</v>
      </c>
      <c r="J47" s="189">
        <f t="shared" si="5"/>
        <v>1234849</v>
      </c>
      <c r="K47" s="189">
        <f t="shared" si="6"/>
        <v>3123002</v>
      </c>
      <c r="L47" s="190">
        <f t="shared" si="7"/>
        <v>8603390</v>
      </c>
      <c r="M47" s="188">
        <v>15879</v>
      </c>
      <c r="N47" s="189">
        <v>9243</v>
      </c>
      <c r="O47" s="189">
        <v>25912</v>
      </c>
      <c r="P47" s="189">
        <v>178373</v>
      </c>
      <c r="Q47" s="190">
        <v>229407</v>
      </c>
      <c r="R47" s="188">
        <v>72048</v>
      </c>
      <c r="S47" s="189">
        <v>54589</v>
      </c>
      <c r="T47" s="189">
        <v>63516</v>
      </c>
      <c r="U47" s="189">
        <v>145131</v>
      </c>
      <c r="V47" s="190">
        <v>335284</v>
      </c>
      <c r="W47" s="188">
        <v>308021</v>
      </c>
      <c r="X47" s="189">
        <v>232418</v>
      </c>
      <c r="Y47" s="189">
        <v>121344</v>
      </c>
      <c r="Z47" s="189">
        <v>88480</v>
      </c>
      <c r="AA47" s="190">
        <v>750263</v>
      </c>
      <c r="AB47" s="188"/>
      <c r="AC47" s="189">
        <v>271681</v>
      </c>
      <c r="AD47" s="189">
        <v>162424</v>
      </c>
      <c r="AE47" s="189">
        <v>274889</v>
      </c>
      <c r="AF47" s="190">
        <v>708994</v>
      </c>
      <c r="AG47" s="188">
        <v>1733576</v>
      </c>
      <c r="AH47" s="189">
        <v>728538</v>
      </c>
      <c r="AI47" s="189">
        <v>437344</v>
      </c>
      <c r="AJ47" s="189">
        <v>1607912</v>
      </c>
      <c r="AK47" s="190">
        <v>4507370</v>
      </c>
      <c r="AL47" s="188">
        <v>95669</v>
      </c>
      <c r="AM47" s="189">
        <v>101594</v>
      </c>
      <c r="AN47" s="189">
        <v>60830</v>
      </c>
      <c r="AO47" s="189">
        <v>165173</v>
      </c>
      <c r="AP47" s="190">
        <v>423266</v>
      </c>
      <c r="AQ47" s="188">
        <v>134458</v>
      </c>
      <c r="AR47" s="189">
        <v>185650</v>
      </c>
      <c r="AS47" s="189">
        <v>227125</v>
      </c>
      <c r="AT47" s="189">
        <v>519817</v>
      </c>
      <c r="AU47" s="190">
        <v>1067050</v>
      </c>
      <c r="AV47" s="188">
        <v>18407</v>
      </c>
      <c r="AW47" s="189">
        <v>6478</v>
      </c>
      <c r="AX47" s="189">
        <v>395</v>
      </c>
      <c r="AY47" s="189"/>
      <c r="AZ47" s="190">
        <v>25280</v>
      </c>
      <c r="BA47" s="188">
        <v>156973</v>
      </c>
      <c r="BB47" s="189">
        <v>120317</v>
      </c>
      <c r="BC47" s="189">
        <v>135959</v>
      </c>
      <c r="BD47" s="189">
        <v>143227</v>
      </c>
      <c r="BE47" s="190">
        <v>556476</v>
      </c>
      <c r="BF47" s="188">
        <f t="shared" si="14"/>
        <v>27334</v>
      </c>
      <c r="BG47" s="189">
        <f t="shared" si="8"/>
        <v>53799</v>
      </c>
      <c r="BH47" s="189">
        <f t="shared" si="9"/>
        <v>65886</v>
      </c>
      <c r="BI47" s="189">
        <f t="shared" si="10"/>
        <v>74734</v>
      </c>
      <c r="BJ47" s="190">
        <f t="shared" si="11"/>
        <v>221753</v>
      </c>
      <c r="BK47" s="188">
        <v>2133</v>
      </c>
      <c r="BL47" s="189">
        <v>5056</v>
      </c>
      <c r="BM47" s="189">
        <v>6478</v>
      </c>
      <c r="BN47" s="189">
        <v>8453</v>
      </c>
      <c r="BO47" s="190">
        <v>22120</v>
      </c>
      <c r="BP47" s="188">
        <v>12324</v>
      </c>
      <c r="BQ47" s="189">
        <v>16827</v>
      </c>
      <c r="BR47" s="189">
        <v>16274</v>
      </c>
      <c r="BS47" s="189">
        <v>12640</v>
      </c>
      <c r="BT47" s="190">
        <v>58065</v>
      </c>
      <c r="BU47" s="188">
        <v>2607</v>
      </c>
      <c r="BV47" s="189">
        <v>29072</v>
      </c>
      <c r="BW47" s="189">
        <v>37920</v>
      </c>
      <c r="BX47" s="189">
        <v>45741</v>
      </c>
      <c r="BY47" s="190">
        <v>115340</v>
      </c>
      <c r="BZ47" s="188">
        <v>4582</v>
      </c>
      <c r="CA47" s="189">
        <v>2844</v>
      </c>
      <c r="CB47" s="189">
        <v>2923</v>
      </c>
      <c r="CC47" s="189">
        <v>5135</v>
      </c>
      <c r="CD47" s="190">
        <v>15484</v>
      </c>
      <c r="CE47" s="188">
        <v>5688</v>
      </c>
      <c r="CF47" s="189"/>
      <c r="CG47" s="189">
        <v>2291</v>
      </c>
      <c r="CH47" s="189">
        <v>2765</v>
      </c>
      <c r="CI47" s="190">
        <v>10744</v>
      </c>
    </row>
    <row r="48" s="163" customFormat="1" ht="14.6" spans="1:87">
      <c r="A48" s="191" t="s">
        <v>50</v>
      </c>
      <c r="B48" s="192"/>
      <c r="C48" s="193">
        <f t="shared" si="12"/>
        <v>5213189</v>
      </c>
      <c r="D48" s="194">
        <f t="shared" si="0"/>
        <v>3436120</v>
      </c>
      <c r="E48" s="194">
        <f t="shared" si="1"/>
        <v>2775286</v>
      </c>
      <c r="F48" s="194">
        <f t="shared" si="2"/>
        <v>7644823</v>
      </c>
      <c r="G48" s="195">
        <f t="shared" si="3"/>
        <v>19069418</v>
      </c>
      <c r="H48" s="193">
        <f t="shared" si="13"/>
        <v>5131606</v>
      </c>
      <c r="I48" s="194">
        <f t="shared" si="4"/>
        <v>3312500</v>
      </c>
      <c r="J48" s="194">
        <f t="shared" si="5"/>
        <v>2639073</v>
      </c>
      <c r="K48" s="194">
        <f t="shared" si="6"/>
        <v>7500175</v>
      </c>
      <c r="L48" s="195">
        <f t="shared" si="7"/>
        <v>18583354</v>
      </c>
      <c r="M48" s="193">
        <v>64850</v>
      </c>
      <c r="N48" s="194">
        <v>81237</v>
      </c>
      <c r="O48" s="194">
        <v>76860</v>
      </c>
      <c r="P48" s="194">
        <v>300378</v>
      </c>
      <c r="Q48" s="195">
        <v>523325</v>
      </c>
      <c r="R48" s="193">
        <v>145430</v>
      </c>
      <c r="S48" s="194">
        <v>109417</v>
      </c>
      <c r="T48" s="194">
        <v>127773</v>
      </c>
      <c r="U48" s="194">
        <v>307507</v>
      </c>
      <c r="V48" s="195">
        <v>690127</v>
      </c>
      <c r="W48" s="193">
        <v>580711</v>
      </c>
      <c r="X48" s="194">
        <v>462166</v>
      </c>
      <c r="Y48" s="194">
        <v>219609</v>
      </c>
      <c r="Z48" s="194">
        <v>213623</v>
      </c>
      <c r="AA48" s="195">
        <v>1476109</v>
      </c>
      <c r="AB48" s="193">
        <v>79557</v>
      </c>
      <c r="AC48" s="194">
        <v>389473</v>
      </c>
      <c r="AD48" s="194">
        <v>359694</v>
      </c>
      <c r="AE48" s="194">
        <v>846349</v>
      </c>
      <c r="AF48" s="195">
        <v>1675073</v>
      </c>
      <c r="AG48" s="193">
        <v>3320307</v>
      </c>
      <c r="AH48" s="194">
        <v>1353918</v>
      </c>
      <c r="AI48" s="194">
        <v>879979</v>
      </c>
      <c r="AJ48" s="194">
        <v>3992290</v>
      </c>
      <c r="AK48" s="195">
        <v>9546494</v>
      </c>
      <c r="AL48" s="193">
        <v>219809</v>
      </c>
      <c r="AM48" s="194">
        <v>203793</v>
      </c>
      <c r="AN48" s="194">
        <v>161837</v>
      </c>
      <c r="AO48" s="194">
        <v>343229</v>
      </c>
      <c r="AP48" s="195">
        <v>928668</v>
      </c>
      <c r="AQ48" s="193">
        <v>363007</v>
      </c>
      <c r="AR48" s="194">
        <v>398942</v>
      </c>
      <c r="AS48" s="194">
        <v>448997</v>
      </c>
      <c r="AT48" s="194">
        <v>1136144</v>
      </c>
      <c r="AU48" s="195">
        <v>2347090</v>
      </c>
      <c r="AV48" s="193">
        <v>44660</v>
      </c>
      <c r="AW48" s="194">
        <v>18734</v>
      </c>
      <c r="AX48" s="194">
        <v>21881</v>
      </c>
      <c r="AY48" s="194">
        <v>22628</v>
      </c>
      <c r="AZ48" s="195">
        <v>107903</v>
      </c>
      <c r="BA48" s="193">
        <v>313275</v>
      </c>
      <c r="BB48" s="194">
        <v>294820</v>
      </c>
      <c r="BC48" s="194">
        <v>342443</v>
      </c>
      <c r="BD48" s="194">
        <v>338027</v>
      </c>
      <c r="BE48" s="195">
        <v>1288565</v>
      </c>
      <c r="BF48" s="193">
        <f t="shared" si="14"/>
        <v>81583</v>
      </c>
      <c r="BG48" s="194">
        <f t="shared" si="8"/>
        <v>123620</v>
      </c>
      <c r="BH48" s="194">
        <f t="shared" si="9"/>
        <v>136213</v>
      </c>
      <c r="BI48" s="194">
        <f t="shared" si="10"/>
        <v>144648</v>
      </c>
      <c r="BJ48" s="195">
        <f t="shared" si="11"/>
        <v>486064</v>
      </c>
      <c r="BK48" s="193">
        <v>5385</v>
      </c>
      <c r="BL48" s="194">
        <v>7921</v>
      </c>
      <c r="BM48" s="194">
        <v>8134</v>
      </c>
      <c r="BN48" s="194">
        <v>11213</v>
      </c>
      <c r="BO48" s="195">
        <v>32653</v>
      </c>
      <c r="BP48" s="193">
        <v>27178</v>
      </c>
      <c r="BQ48" s="194">
        <v>33521</v>
      </c>
      <c r="BR48" s="194">
        <v>29315</v>
      </c>
      <c r="BS48" s="194">
        <v>28008</v>
      </c>
      <c r="BT48" s="195">
        <v>118022</v>
      </c>
      <c r="BU48" s="193">
        <v>24482</v>
      </c>
      <c r="BV48" s="194">
        <v>70489</v>
      </c>
      <c r="BW48" s="194">
        <v>89300</v>
      </c>
      <c r="BX48" s="194">
        <v>89316</v>
      </c>
      <c r="BY48" s="195">
        <v>273587</v>
      </c>
      <c r="BZ48" s="193">
        <v>8308</v>
      </c>
      <c r="CA48" s="194">
        <v>6514</v>
      </c>
      <c r="CB48" s="194">
        <v>6069</v>
      </c>
      <c r="CC48" s="194">
        <v>7067</v>
      </c>
      <c r="CD48" s="195">
        <v>27958</v>
      </c>
      <c r="CE48" s="193">
        <v>16230</v>
      </c>
      <c r="CF48" s="194">
        <v>5175</v>
      </c>
      <c r="CG48" s="194">
        <v>3395</v>
      </c>
      <c r="CH48" s="194">
        <v>9044</v>
      </c>
      <c r="CI48" s="195">
        <v>33844</v>
      </c>
    </row>
    <row r="49" spans="1:87">
      <c r="A49" s="186" t="s">
        <v>51</v>
      </c>
      <c r="B49" s="187" t="s">
        <v>26</v>
      </c>
      <c r="C49" s="188">
        <f t="shared" si="12"/>
        <v>1469696</v>
      </c>
      <c r="D49" s="189">
        <f t="shared" si="0"/>
        <v>1216111</v>
      </c>
      <c r="E49" s="189">
        <f t="shared" si="1"/>
        <v>1114377</v>
      </c>
      <c r="F49" s="189">
        <f t="shared" si="2"/>
        <v>1013422</v>
      </c>
      <c r="G49" s="190">
        <f t="shared" si="3"/>
        <v>4813606</v>
      </c>
      <c r="H49" s="188">
        <f t="shared" si="13"/>
        <v>1201188</v>
      </c>
      <c r="I49" s="189">
        <f t="shared" si="4"/>
        <v>962707</v>
      </c>
      <c r="J49" s="189">
        <f t="shared" si="5"/>
        <v>868642</v>
      </c>
      <c r="K49" s="189">
        <f t="shared" si="6"/>
        <v>863156</v>
      </c>
      <c r="L49" s="190">
        <f t="shared" si="7"/>
        <v>3895693</v>
      </c>
      <c r="M49" s="188">
        <v>169583</v>
      </c>
      <c r="N49" s="189">
        <v>111031</v>
      </c>
      <c r="O49" s="189">
        <v>88833</v>
      </c>
      <c r="P49" s="189">
        <v>76259</v>
      </c>
      <c r="Q49" s="190">
        <v>445706</v>
      </c>
      <c r="R49" s="188">
        <v>79456</v>
      </c>
      <c r="S49" s="189">
        <v>32354</v>
      </c>
      <c r="T49" s="189">
        <v>50045</v>
      </c>
      <c r="U49" s="189">
        <v>28167</v>
      </c>
      <c r="V49" s="190">
        <v>190022</v>
      </c>
      <c r="W49" s="188">
        <v>71611</v>
      </c>
      <c r="X49" s="189">
        <v>49288</v>
      </c>
      <c r="Y49" s="189">
        <v>42776</v>
      </c>
      <c r="Z49" s="189">
        <v>54620</v>
      </c>
      <c r="AA49" s="190">
        <v>218295</v>
      </c>
      <c r="AB49" s="188">
        <v>136311</v>
      </c>
      <c r="AC49" s="189">
        <v>189672</v>
      </c>
      <c r="AD49" s="189">
        <v>146507</v>
      </c>
      <c r="AE49" s="189">
        <v>288367</v>
      </c>
      <c r="AF49" s="190">
        <v>760857</v>
      </c>
      <c r="AG49" s="188">
        <v>233355</v>
      </c>
      <c r="AH49" s="189">
        <v>163338</v>
      </c>
      <c r="AI49" s="189">
        <v>132520</v>
      </c>
      <c r="AJ49" s="189">
        <v>104519</v>
      </c>
      <c r="AK49" s="190">
        <v>633732</v>
      </c>
      <c r="AL49" s="188">
        <v>21488</v>
      </c>
      <c r="AM49" s="189">
        <v>24757</v>
      </c>
      <c r="AN49" s="189">
        <v>23376</v>
      </c>
      <c r="AO49" s="189">
        <v>21470</v>
      </c>
      <c r="AP49" s="190">
        <v>91091</v>
      </c>
      <c r="AQ49" s="188">
        <v>115254</v>
      </c>
      <c r="AR49" s="189">
        <v>94458</v>
      </c>
      <c r="AS49" s="189">
        <v>82287</v>
      </c>
      <c r="AT49" s="189">
        <v>70531</v>
      </c>
      <c r="AU49" s="190">
        <v>362530</v>
      </c>
      <c r="AV49" s="188">
        <v>36869</v>
      </c>
      <c r="AW49" s="189">
        <v>20401</v>
      </c>
      <c r="AX49" s="189">
        <v>23351</v>
      </c>
      <c r="AY49" s="189">
        <v>15529</v>
      </c>
      <c r="AZ49" s="190">
        <v>96150</v>
      </c>
      <c r="BA49" s="188">
        <v>337261</v>
      </c>
      <c r="BB49" s="189">
        <v>277408</v>
      </c>
      <c r="BC49" s="189">
        <v>278947</v>
      </c>
      <c r="BD49" s="189">
        <v>203694</v>
      </c>
      <c r="BE49" s="190">
        <v>1097310</v>
      </c>
      <c r="BF49" s="188">
        <f t="shared" si="14"/>
        <v>268508</v>
      </c>
      <c r="BG49" s="189">
        <f t="shared" si="8"/>
        <v>253404</v>
      </c>
      <c r="BH49" s="189">
        <f t="shared" si="9"/>
        <v>245735</v>
      </c>
      <c r="BI49" s="189">
        <f t="shared" si="10"/>
        <v>150266</v>
      </c>
      <c r="BJ49" s="190">
        <f t="shared" si="11"/>
        <v>917913</v>
      </c>
      <c r="BK49" s="188">
        <v>8203</v>
      </c>
      <c r="BL49" s="189">
        <v>10212</v>
      </c>
      <c r="BM49" s="189">
        <v>6693</v>
      </c>
      <c r="BN49" s="189">
        <v>6255</v>
      </c>
      <c r="BO49" s="190">
        <v>31363</v>
      </c>
      <c r="BP49" s="188">
        <v>90249</v>
      </c>
      <c r="BQ49" s="189">
        <v>65014</v>
      </c>
      <c r="BR49" s="189">
        <v>63854</v>
      </c>
      <c r="BS49" s="189">
        <v>24096</v>
      </c>
      <c r="BT49" s="190">
        <v>243213</v>
      </c>
      <c r="BU49" s="188">
        <v>119242</v>
      </c>
      <c r="BV49" s="189">
        <v>133883</v>
      </c>
      <c r="BW49" s="189">
        <v>127044</v>
      </c>
      <c r="BX49" s="189">
        <v>81809</v>
      </c>
      <c r="BY49" s="190">
        <v>461978</v>
      </c>
      <c r="BZ49" s="188">
        <v>38259</v>
      </c>
      <c r="CA49" s="189">
        <v>37740</v>
      </c>
      <c r="CB49" s="189">
        <v>39156</v>
      </c>
      <c r="CC49" s="189">
        <v>29160</v>
      </c>
      <c r="CD49" s="190">
        <v>144315</v>
      </c>
      <c r="CE49" s="188">
        <v>12555</v>
      </c>
      <c r="CF49" s="189">
        <v>6555</v>
      </c>
      <c r="CG49" s="189">
        <v>8988</v>
      </c>
      <c r="CH49" s="189">
        <v>8946</v>
      </c>
      <c r="CI49" s="190">
        <v>37044</v>
      </c>
    </row>
    <row r="50" spans="1:87">
      <c r="A50" s="186"/>
      <c r="B50" s="187" t="s">
        <v>27</v>
      </c>
      <c r="C50" s="188">
        <f t="shared" si="12"/>
        <v>33217</v>
      </c>
      <c r="D50" s="189">
        <f t="shared" si="0"/>
        <v>21203</v>
      </c>
      <c r="E50" s="189">
        <f t="shared" si="1"/>
        <v>24565</v>
      </c>
      <c r="F50" s="189">
        <f t="shared" si="2"/>
        <v>19110</v>
      </c>
      <c r="G50" s="190">
        <f t="shared" si="3"/>
        <v>98095</v>
      </c>
      <c r="H50" s="188">
        <f t="shared" si="13"/>
        <v>20818</v>
      </c>
      <c r="I50" s="189">
        <f t="shared" si="4"/>
        <v>14992</v>
      </c>
      <c r="J50" s="189">
        <f t="shared" si="5"/>
        <v>14103</v>
      </c>
      <c r="K50" s="189">
        <f t="shared" si="6"/>
        <v>11250</v>
      </c>
      <c r="L50" s="190">
        <f t="shared" si="7"/>
        <v>61163</v>
      </c>
      <c r="M50" s="188">
        <v>1485</v>
      </c>
      <c r="N50" s="189">
        <v>1085</v>
      </c>
      <c r="O50" s="189">
        <v>196</v>
      </c>
      <c r="P50" s="189">
        <v>333</v>
      </c>
      <c r="Q50" s="190">
        <v>3099</v>
      </c>
      <c r="R50" s="188">
        <v>490</v>
      </c>
      <c r="S50" s="189">
        <v>931</v>
      </c>
      <c r="T50" s="189">
        <v>49</v>
      </c>
      <c r="U50" s="189">
        <v>539</v>
      </c>
      <c r="V50" s="190">
        <v>2009</v>
      </c>
      <c r="W50" s="188"/>
      <c r="X50" s="189"/>
      <c r="Y50" s="189"/>
      <c r="Z50" s="189"/>
      <c r="AA50" s="190"/>
      <c r="AB50" s="188">
        <v>3450</v>
      </c>
      <c r="AC50" s="189">
        <v>1330</v>
      </c>
      <c r="AD50" s="189">
        <v>940</v>
      </c>
      <c r="AE50" s="189">
        <v>49</v>
      </c>
      <c r="AF50" s="190">
        <v>5769</v>
      </c>
      <c r="AG50" s="188">
        <v>1323</v>
      </c>
      <c r="AH50" s="189">
        <v>784</v>
      </c>
      <c r="AI50" s="189">
        <v>196</v>
      </c>
      <c r="AJ50" s="189"/>
      <c r="AK50" s="190">
        <v>2303</v>
      </c>
      <c r="AL50" s="188">
        <v>312</v>
      </c>
      <c r="AM50" s="189">
        <v>78</v>
      </c>
      <c r="AN50" s="189"/>
      <c r="AO50" s="189"/>
      <c r="AP50" s="190">
        <v>390</v>
      </c>
      <c r="AQ50" s="188">
        <v>2556</v>
      </c>
      <c r="AR50" s="189">
        <v>1289</v>
      </c>
      <c r="AS50" s="189">
        <v>2021</v>
      </c>
      <c r="AT50" s="189">
        <v>199</v>
      </c>
      <c r="AU50" s="190">
        <v>6065</v>
      </c>
      <c r="AV50" s="188">
        <v>2671</v>
      </c>
      <c r="AW50" s="189">
        <v>2866</v>
      </c>
      <c r="AX50" s="189">
        <v>2610</v>
      </c>
      <c r="AY50" s="189">
        <v>2460</v>
      </c>
      <c r="AZ50" s="190">
        <v>10607</v>
      </c>
      <c r="BA50" s="188">
        <v>8531</v>
      </c>
      <c r="BB50" s="189">
        <v>6629</v>
      </c>
      <c r="BC50" s="189">
        <v>8091</v>
      </c>
      <c r="BD50" s="189">
        <v>7670</v>
      </c>
      <c r="BE50" s="190">
        <v>30921</v>
      </c>
      <c r="BF50" s="188">
        <f t="shared" si="14"/>
        <v>12399</v>
      </c>
      <c r="BG50" s="189">
        <f t="shared" si="8"/>
        <v>6211</v>
      </c>
      <c r="BH50" s="189">
        <f t="shared" si="9"/>
        <v>10462</v>
      </c>
      <c r="BI50" s="189">
        <f t="shared" si="10"/>
        <v>7860</v>
      </c>
      <c r="BJ50" s="190">
        <f t="shared" si="11"/>
        <v>36932</v>
      </c>
      <c r="BK50" s="188">
        <v>871</v>
      </c>
      <c r="BL50" s="189">
        <v>444</v>
      </c>
      <c r="BM50" s="189">
        <v>277</v>
      </c>
      <c r="BN50" s="189">
        <v>198</v>
      </c>
      <c r="BO50" s="190">
        <v>1790</v>
      </c>
      <c r="BP50" s="188">
        <v>2130</v>
      </c>
      <c r="BQ50" s="189">
        <v>1323</v>
      </c>
      <c r="BR50" s="189">
        <v>2124</v>
      </c>
      <c r="BS50" s="189">
        <v>891</v>
      </c>
      <c r="BT50" s="190">
        <v>6468</v>
      </c>
      <c r="BU50" s="188">
        <v>8903</v>
      </c>
      <c r="BV50" s="189">
        <v>4246</v>
      </c>
      <c r="BW50" s="189">
        <v>7764</v>
      </c>
      <c r="BX50" s="189">
        <v>6573</v>
      </c>
      <c r="BY50" s="190">
        <v>27486</v>
      </c>
      <c r="BZ50" s="188">
        <v>495</v>
      </c>
      <c r="CA50" s="189">
        <v>198</v>
      </c>
      <c r="CB50" s="189">
        <v>297</v>
      </c>
      <c r="CC50" s="189">
        <v>198</v>
      </c>
      <c r="CD50" s="190">
        <v>1188</v>
      </c>
      <c r="CE50" s="188"/>
      <c r="CF50" s="189"/>
      <c r="CG50" s="189"/>
      <c r="CH50" s="189"/>
      <c r="CI50" s="190"/>
    </row>
    <row r="51" spans="1:87">
      <c r="A51" s="186"/>
      <c r="B51" s="187" t="s">
        <v>28</v>
      </c>
      <c r="C51" s="188">
        <f t="shared" si="12"/>
        <v>2138004</v>
      </c>
      <c r="D51" s="189">
        <f t="shared" si="0"/>
        <v>1612215</v>
      </c>
      <c r="E51" s="189">
        <f t="shared" si="1"/>
        <v>2157311</v>
      </c>
      <c r="F51" s="189">
        <f t="shared" si="2"/>
        <v>3305757</v>
      </c>
      <c r="G51" s="190">
        <f t="shared" si="3"/>
        <v>9213287</v>
      </c>
      <c r="H51" s="188">
        <f t="shared" si="13"/>
        <v>1983267</v>
      </c>
      <c r="I51" s="189">
        <f t="shared" si="4"/>
        <v>1396395</v>
      </c>
      <c r="J51" s="189">
        <f t="shared" si="5"/>
        <v>1825746</v>
      </c>
      <c r="K51" s="189">
        <f t="shared" si="6"/>
        <v>2829216</v>
      </c>
      <c r="L51" s="190">
        <f t="shared" si="7"/>
        <v>8034624</v>
      </c>
      <c r="M51" s="188">
        <v>141174</v>
      </c>
      <c r="N51" s="189">
        <v>144441</v>
      </c>
      <c r="O51" s="189">
        <v>146882</v>
      </c>
      <c r="P51" s="189">
        <v>255169</v>
      </c>
      <c r="Q51" s="190">
        <v>687666</v>
      </c>
      <c r="R51" s="188">
        <v>9999</v>
      </c>
      <c r="S51" s="189">
        <v>5247</v>
      </c>
      <c r="T51" s="189">
        <v>112895</v>
      </c>
      <c r="U51" s="189">
        <v>310183</v>
      </c>
      <c r="V51" s="190">
        <v>438324</v>
      </c>
      <c r="W51" s="188">
        <v>248589</v>
      </c>
      <c r="X51" s="189">
        <v>277695</v>
      </c>
      <c r="Y51" s="189">
        <v>565622</v>
      </c>
      <c r="Z51" s="189">
        <v>393459</v>
      </c>
      <c r="AA51" s="190">
        <v>1485365</v>
      </c>
      <c r="AB51" s="188">
        <v>184338</v>
      </c>
      <c r="AC51" s="189">
        <v>232650</v>
      </c>
      <c r="AD51" s="189">
        <v>195902</v>
      </c>
      <c r="AE51" s="189">
        <v>181466</v>
      </c>
      <c r="AF51" s="190">
        <v>794356</v>
      </c>
      <c r="AG51" s="188">
        <v>1132461</v>
      </c>
      <c r="AH51" s="189">
        <v>378873</v>
      </c>
      <c r="AI51" s="189">
        <v>561157</v>
      </c>
      <c r="AJ51" s="189">
        <v>802999</v>
      </c>
      <c r="AK51" s="190">
        <v>2875490</v>
      </c>
      <c r="AL51" s="188">
        <v>64548</v>
      </c>
      <c r="AM51" s="189">
        <v>28908</v>
      </c>
      <c r="AN51" s="189">
        <v>61139</v>
      </c>
      <c r="AO51" s="189">
        <v>90159</v>
      </c>
      <c r="AP51" s="190">
        <v>244754</v>
      </c>
      <c r="AQ51" s="188">
        <v>60885</v>
      </c>
      <c r="AR51" s="189">
        <v>37422</v>
      </c>
      <c r="AS51" s="189">
        <v>134629</v>
      </c>
      <c r="AT51" s="189">
        <v>344261</v>
      </c>
      <c r="AU51" s="190">
        <v>577197</v>
      </c>
      <c r="AV51" s="188">
        <v>4851</v>
      </c>
      <c r="AW51" s="189"/>
      <c r="AX51" s="189"/>
      <c r="AY51" s="189">
        <v>15281</v>
      </c>
      <c r="AZ51" s="190">
        <v>20132</v>
      </c>
      <c r="BA51" s="188">
        <v>136422</v>
      </c>
      <c r="BB51" s="189">
        <v>291159</v>
      </c>
      <c r="BC51" s="189">
        <v>47520</v>
      </c>
      <c r="BD51" s="189">
        <v>436239</v>
      </c>
      <c r="BE51" s="190">
        <v>911340</v>
      </c>
      <c r="BF51" s="188">
        <f t="shared" si="14"/>
        <v>154737</v>
      </c>
      <c r="BG51" s="189">
        <f t="shared" si="8"/>
        <v>215820</v>
      </c>
      <c r="BH51" s="189">
        <f t="shared" si="9"/>
        <v>331565</v>
      </c>
      <c r="BI51" s="189">
        <f t="shared" si="10"/>
        <v>476541</v>
      </c>
      <c r="BJ51" s="190">
        <f t="shared" si="11"/>
        <v>1178663</v>
      </c>
      <c r="BK51" s="188">
        <v>18414</v>
      </c>
      <c r="BL51" s="189">
        <v>5544</v>
      </c>
      <c r="BM51" s="189">
        <v>29115</v>
      </c>
      <c r="BN51" s="189">
        <v>30444</v>
      </c>
      <c r="BO51" s="190">
        <v>83517</v>
      </c>
      <c r="BP51" s="188">
        <v>28611</v>
      </c>
      <c r="BQ51" s="189">
        <v>35937</v>
      </c>
      <c r="BR51" s="189">
        <v>37026</v>
      </c>
      <c r="BS51" s="189">
        <v>34155</v>
      </c>
      <c r="BT51" s="190">
        <v>135729</v>
      </c>
      <c r="BU51" s="188">
        <v>74151</v>
      </c>
      <c r="BV51" s="189">
        <v>140976</v>
      </c>
      <c r="BW51" s="189">
        <v>226417</v>
      </c>
      <c r="BX51" s="189">
        <v>341625</v>
      </c>
      <c r="BY51" s="190">
        <v>783169</v>
      </c>
      <c r="BZ51" s="188">
        <v>29403</v>
      </c>
      <c r="CA51" s="189">
        <v>8613</v>
      </c>
      <c r="CB51" s="189">
        <v>24174</v>
      </c>
      <c r="CC51" s="189">
        <v>38635</v>
      </c>
      <c r="CD51" s="190">
        <v>100825</v>
      </c>
      <c r="CE51" s="188">
        <v>4158</v>
      </c>
      <c r="CF51" s="189">
        <v>24750</v>
      </c>
      <c r="CG51" s="189">
        <v>14833</v>
      </c>
      <c r="CH51" s="189">
        <v>31682</v>
      </c>
      <c r="CI51" s="190">
        <v>75423</v>
      </c>
    </row>
    <row r="52" s="163" customFormat="1" ht="14.6" spans="1:87">
      <c r="A52" s="191" t="s">
        <v>52</v>
      </c>
      <c r="B52" s="192"/>
      <c r="C52" s="193">
        <f t="shared" si="12"/>
        <v>3640917</v>
      </c>
      <c r="D52" s="194">
        <f t="shared" si="0"/>
        <v>2849529</v>
      </c>
      <c r="E52" s="194">
        <f t="shared" si="1"/>
        <v>3296253</v>
      </c>
      <c r="F52" s="194">
        <f t="shared" si="2"/>
        <v>4338289</v>
      </c>
      <c r="G52" s="195">
        <f t="shared" si="3"/>
        <v>14124988</v>
      </c>
      <c r="H52" s="193">
        <f t="shared" si="13"/>
        <v>3205273</v>
      </c>
      <c r="I52" s="194">
        <f t="shared" si="4"/>
        <v>2374094</v>
      </c>
      <c r="J52" s="194">
        <f t="shared" si="5"/>
        <v>2708491</v>
      </c>
      <c r="K52" s="194">
        <f t="shared" si="6"/>
        <v>3703622</v>
      </c>
      <c r="L52" s="195">
        <f t="shared" si="7"/>
        <v>11991480</v>
      </c>
      <c r="M52" s="193">
        <v>312242</v>
      </c>
      <c r="N52" s="194">
        <v>256557</v>
      </c>
      <c r="O52" s="194">
        <v>235911</v>
      </c>
      <c r="P52" s="194">
        <v>331761</v>
      </c>
      <c r="Q52" s="195">
        <v>1136471</v>
      </c>
      <c r="R52" s="193">
        <v>89945</v>
      </c>
      <c r="S52" s="194">
        <v>38532</v>
      </c>
      <c r="T52" s="194">
        <v>162989</v>
      </c>
      <c r="U52" s="194">
        <v>338889</v>
      </c>
      <c r="V52" s="195">
        <v>630355</v>
      </c>
      <c r="W52" s="193">
        <v>320200</v>
      </c>
      <c r="X52" s="194">
        <v>326983</v>
      </c>
      <c r="Y52" s="194">
        <v>608398</v>
      </c>
      <c r="Z52" s="194">
        <v>448079</v>
      </c>
      <c r="AA52" s="195">
        <v>1703660</v>
      </c>
      <c r="AB52" s="193">
        <v>324099</v>
      </c>
      <c r="AC52" s="194">
        <v>423652</v>
      </c>
      <c r="AD52" s="194">
        <v>343349</v>
      </c>
      <c r="AE52" s="194">
        <v>469882</v>
      </c>
      <c r="AF52" s="195">
        <v>1560982</v>
      </c>
      <c r="AG52" s="193">
        <v>1367139</v>
      </c>
      <c r="AH52" s="194">
        <v>542995</v>
      </c>
      <c r="AI52" s="194">
        <v>693873</v>
      </c>
      <c r="AJ52" s="194">
        <v>907518</v>
      </c>
      <c r="AK52" s="195">
        <v>3511525</v>
      </c>
      <c r="AL52" s="193">
        <v>86348</v>
      </c>
      <c r="AM52" s="194">
        <v>53743</v>
      </c>
      <c r="AN52" s="194">
        <v>84515</v>
      </c>
      <c r="AO52" s="194">
        <v>111629</v>
      </c>
      <c r="AP52" s="195">
        <v>336235</v>
      </c>
      <c r="AQ52" s="193">
        <v>178695</v>
      </c>
      <c r="AR52" s="194">
        <v>133169</v>
      </c>
      <c r="AS52" s="194">
        <v>218937</v>
      </c>
      <c r="AT52" s="194">
        <v>414991</v>
      </c>
      <c r="AU52" s="195">
        <v>945792</v>
      </c>
      <c r="AV52" s="193">
        <v>44391</v>
      </c>
      <c r="AW52" s="194">
        <v>23267</v>
      </c>
      <c r="AX52" s="194">
        <v>25961</v>
      </c>
      <c r="AY52" s="194">
        <v>33270</v>
      </c>
      <c r="AZ52" s="195">
        <v>126889</v>
      </c>
      <c r="BA52" s="193">
        <v>482214</v>
      </c>
      <c r="BB52" s="194">
        <v>575196</v>
      </c>
      <c r="BC52" s="194">
        <v>334558</v>
      </c>
      <c r="BD52" s="194">
        <v>647603</v>
      </c>
      <c r="BE52" s="195">
        <v>2039571</v>
      </c>
      <c r="BF52" s="193">
        <f t="shared" si="14"/>
        <v>435644</v>
      </c>
      <c r="BG52" s="194">
        <f t="shared" si="8"/>
        <v>475435</v>
      </c>
      <c r="BH52" s="194">
        <f t="shared" si="9"/>
        <v>587762</v>
      </c>
      <c r="BI52" s="194">
        <f t="shared" si="10"/>
        <v>634667</v>
      </c>
      <c r="BJ52" s="195">
        <f t="shared" si="11"/>
        <v>2133508</v>
      </c>
      <c r="BK52" s="193">
        <v>27488</v>
      </c>
      <c r="BL52" s="194">
        <v>16200</v>
      </c>
      <c r="BM52" s="194">
        <v>36085</v>
      </c>
      <c r="BN52" s="194">
        <v>36897</v>
      </c>
      <c r="BO52" s="195">
        <v>116670</v>
      </c>
      <c r="BP52" s="193">
        <v>120990</v>
      </c>
      <c r="BQ52" s="194">
        <v>102274</v>
      </c>
      <c r="BR52" s="194">
        <v>103004</v>
      </c>
      <c r="BS52" s="194">
        <v>59142</v>
      </c>
      <c r="BT52" s="195">
        <v>385410</v>
      </c>
      <c r="BU52" s="193">
        <v>202296</v>
      </c>
      <c r="BV52" s="194">
        <v>279105</v>
      </c>
      <c r="BW52" s="194">
        <v>361225</v>
      </c>
      <c r="BX52" s="194">
        <v>430007</v>
      </c>
      <c r="BY52" s="195">
        <v>1272633</v>
      </c>
      <c r="BZ52" s="193">
        <v>68157</v>
      </c>
      <c r="CA52" s="194">
        <v>46551</v>
      </c>
      <c r="CB52" s="194">
        <v>63627</v>
      </c>
      <c r="CC52" s="194">
        <v>67993</v>
      </c>
      <c r="CD52" s="195">
        <v>246328</v>
      </c>
      <c r="CE52" s="193">
        <v>16713</v>
      </c>
      <c r="CF52" s="194">
        <v>31305</v>
      </c>
      <c r="CG52" s="194">
        <v>23821</v>
      </c>
      <c r="CH52" s="194">
        <v>40628</v>
      </c>
      <c r="CI52" s="195">
        <v>112467</v>
      </c>
    </row>
    <row r="53" spans="1:87">
      <c r="A53" s="186" t="s">
        <v>53</v>
      </c>
      <c r="B53" s="187" t="s">
        <v>26</v>
      </c>
      <c r="C53" s="188">
        <f t="shared" si="12"/>
        <v>1512266</v>
      </c>
      <c r="D53" s="189">
        <f t="shared" si="0"/>
        <v>1952165</v>
      </c>
      <c r="E53" s="189">
        <f t="shared" si="1"/>
        <v>2386886</v>
      </c>
      <c r="F53" s="189">
        <f t="shared" si="2"/>
        <v>2099935</v>
      </c>
      <c r="G53" s="190">
        <f t="shared" si="3"/>
        <v>7951252</v>
      </c>
      <c r="H53" s="188">
        <f t="shared" si="13"/>
        <v>1039146</v>
      </c>
      <c r="I53" s="189">
        <f t="shared" si="4"/>
        <v>1347426</v>
      </c>
      <c r="J53" s="189">
        <f t="shared" si="5"/>
        <v>1712095</v>
      </c>
      <c r="K53" s="189">
        <f t="shared" si="6"/>
        <v>1487441</v>
      </c>
      <c r="L53" s="190">
        <f t="shared" si="7"/>
        <v>5586108</v>
      </c>
      <c r="M53" s="188">
        <v>167097</v>
      </c>
      <c r="N53" s="189">
        <v>266069</v>
      </c>
      <c r="O53" s="189">
        <v>317436</v>
      </c>
      <c r="P53" s="189">
        <v>270715</v>
      </c>
      <c r="Q53" s="190">
        <v>1021317</v>
      </c>
      <c r="R53" s="188">
        <v>104059</v>
      </c>
      <c r="S53" s="189">
        <v>174659</v>
      </c>
      <c r="T53" s="189">
        <v>244951</v>
      </c>
      <c r="U53" s="189">
        <v>175950</v>
      </c>
      <c r="V53" s="190">
        <v>699619</v>
      </c>
      <c r="W53" s="188">
        <v>44184</v>
      </c>
      <c r="X53" s="189">
        <v>46598</v>
      </c>
      <c r="Y53" s="189">
        <v>70090</v>
      </c>
      <c r="Z53" s="189">
        <v>77476</v>
      </c>
      <c r="AA53" s="190">
        <v>238348</v>
      </c>
      <c r="AB53" s="188">
        <v>30363</v>
      </c>
      <c r="AC53" s="189">
        <v>202039</v>
      </c>
      <c r="AD53" s="189">
        <v>181541</v>
      </c>
      <c r="AE53" s="189">
        <v>116272</v>
      </c>
      <c r="AF53" s="190">
        <v>530215</v>
      </c>
      <c r="AG53" s="188">
        <v>112417</v>
      </c>
      <c r="AH53" s="189">
        <v>181616</v>
      </c>
      <c r="AI53" s="189">
        <v>174321</v>
      </c>
      <c r="AJ53" s="189">
        <v>152510</v>
      </c>
      <c r="AK53" s="190">
        <v>620864</v>
      </c>
      <c r="AL53" s="188">
        <v>15880</v>
      </c>
      <c r="AM53" s="189">
        <v>23265</v>
      </c>
      <c r="AN53" s="189">
        <v>38919</v>
      </c>
      <c r="AO53" s="189">
        <v>30042</v>
      </c>
      <c r="AP53" s="190">
        <v>108106</v>
      </c>
      <c r="AQ53" s="188">
        <v>40599</v>
      </c>
      <c r="AR53" s="189">
        <v>52581</v>
      </c>
      <c r="AS53" s="189">
        <v>89139</v>
      </c>
      <c r="AT53" s="189">
        <v>63086</v>
      </c>
      <c r="AU53" s="190">
        <v>245405</v>
      </c>
      <c r="AV53" s="188">
        <v>47685</v>
      </c>
      <c r="AW53" s="189">
        <v>21102</v>
      </c>
      <c r="AX53" s="189">
        <v>44152</v>
      </c>
      <c r="AY53" s="189">
        <v>53864</v>
      </c>
      <c r="AZ53" s="190">
        <v>166803</v>
      </c>
      <c r="BA53" s="188">
        <v>476862</v>
      </c>
      <c r="BB53" s="189">
        <v>379497</v>
      </c>
      <c r="BC53" s="189">
        <v>551546</v>
      </c>
      <c r="BD53" s="189">
        <v>547526</v>
      </c>
      <c r="BE53" s="190">
        <v>1955431</v>
      </c>
      <c r="BF53" s="188">
        <f t="shared" si="14"/>
        <v>473120</v>
      </c>
      <c r="BG53" s="189">
        <f t="shared" si="8"/>
        <v>604739</v>
      </c>
      <c r="BH53" s="189">
        <f t="shared" si="9"/>
        <v>674791</v>
      </c>
      <c r="BI53" s="189">
        <f t="shared" si="10"/>
        <v>612494</v>
      </c>
      <c r="BJ53" s="190">
        <f t="shared" si="11"/>
        <v>2365144</v>
      </c>
      <c r="BK53" s="188">
        <v>18080</v>
      </c>
      <c r="BL53" s="189">
        <v>27856</v>
      </c>
      <c r="BM53" s="189">
        <v>35198</v>
      </c>
      <c r="BN53" s="189">
        <v>22858</v>
      </c>
      <c r="BO53" s="190">
        <v>103992</v>
      </c>
      <c r="BP53" s="188">
        <v>161920</v>
      </c>
      <c r="BQ53" s="189">
        <v>215444</v>
      </c>
      <c r="BR53" s="189">
        <v>244829</v>
      </c>
      <c r="BS53" s="189">
        <v>170105</v>
      </c>
      <c r="BT53" s="190">
        <v>792298</v>
      </c>
      <c r="BU53" s="188">
        <v>216764</v>
      </c>
      <c r="BV53" s="189">
        <v>256461</v>
      </c>
      <c r="BW53" s="189">
        <v>312843</v>
      </c>
      <c r="BX53" s="189">
        <v>338922</v>
      </c>
      <c r="BY53" s="190">
        <v>1124990</v>
      </c>
      <c r="BZ53" s="188">
        <v>46089</v>
      </c>
      <c r="CA53" s="189">
        <v>52450</v>
      </c>
      <c r="CB53" s="189">
        <v>47963</v>
      </c>
      <c r="CC53" s="189">
        <v>36779</v>
      </c>
      <c r="CD53" s="190">
        <v>183281</v>
      </c>
      <c r="CE53" s="188">
        <v>30267</v>
      </c>
      <c r="CF53" s="189">
        <v>52528</v>
      </c>
      <c r="CG53" s="189">
        <v>33958</v>
      </c>
      <c r="CH53" s="189">
        <v>43830</v>
      </c>
      <c r="CI53" s="190">
        <v>160583</v>
      </c>
    </row>
    <row r="54" spans="1:87">
      <c r="A54" s="186"/>
      <c r="B54" s="187" t="s">
        <v>27</v>
      </c>
      <c r="C54" s="188">
        <f t="shared" si="12"/>
        <v>114251</v>
      </c>
      <c r="D54" s="189">
        <f t="shared" si="0"/>
        <v>289440</v>
      </c>
      <c r="E54" s="189">
        <f t="shared" si="1"/>
        <v>540033</v>
      </c>
      <c r="F54" s="189">
        <f t="shared" si="2"/>
        <v>467921</v>
      </c>
      <c r="G54" s="190">
        <f t="shared" si="3"/>
        <v>1411645</v>
      </c>
      <c r="H54" s="188">
        <f t="shared" si="13"/>
        <v>85580</v>
      </c>
      <c r="I54" s="189">
        <f t="shared" si="4"/>
        <v>233493</v>
      </c>
      <c r="J54" s="189">
        <f t="shared" si="5"/>
        <v>478523</v>
      </c>
      <c r="K54" s="189">
        <f t="shared" si="6"/>
        <v>346219</v>
      </c>
      <c r="L54" s="190">
        <f t="shared" si="7"/>
        <v>1143815</v>
      </c>
      <c r="M54" s="188">
        <v>2356</v>
      </c>
      <c r="N54" s="189">
        <v>25045</v>
      </c>
      <c r="O54" s="189">
        <v>50444</v>
      </c>
      <c r="P54" s="189">
        <v>28495</v>
      </c>
      <c r="Q54" s="190">
        <v>106340</v>
      </c>
      <c r="R54" s="188">
        <v>17220</v>
      </c>
      <c r="S54" s="189">
        <v>30522</v>
      </c>
      <c r="T54" s="189">
        <v>48621</v>
      </c>
      <c r="U54" s="189">
        <v>34944</v>
      </c>
      <c r="V54" s="190">
        <v>131307</v>
      </c>
      <c r="W54" s="188">
        <v>5234</v>
      </c>
      <c r="X54" s="189">
        <v>14982</v>
      </c>
      <c r="Y54" s="189">
        <v>49218</v>
      </c>
      <c r="Z54" s="189">
        <v>44843</v>
      </c>
      <c r="AA54" s="190">
        <v>114277</v>
      </c>
      <c r="AB54" s="188">
        <v>815</v>
      </c>
      <c r="AC54" s="189">
        <v>45110</v>
      </c>
      <c r="AD54" s="189">
        <v>74404</v>
      </c>
      <c r="AE54" s="189">
        <v>22584</v>
      </c>
      <c r="AF54" s="190">
        <v>142913</v>
      </c>
      <c r="AG54" s="188">
        <v>28850</v>
      </c>
      <c r="AH54" s="189">
        <v>93091</v>
      </c>
      <c r="AI54" s="189">
        <v>128841</v>
      </c>
      <c r="AJ54" s="189">
        <v>81494</v>
      </c>
      <c r="AK54" s="190">
        <v>332276</v>
      </c>
      <c r="AL54" s="188"/>
      <c r="AM54" s="189">
        <v>2300</v>
      </c>
      <c r="AN54" s="189">
        <v>4703</v>
      </c>
      <c r="AO54" s="189">
        <v>5661</v>
      </c>
      <c r="AP54" s="190">
        <v>12664</v>
      </c>
      <c r="AQ54" s="188">
        <v>569</v>
      </c>
      <c r="AR54" s="189">
        <v>1647</v>
      </c>
      <c r="AS54" s="189">
        <v>19789</v>
      </c>
      <c r="AT54" s="189">
        <v>14491</v>
      </c>
      <c r="AU54" s="190">
        <v>36496</v>
      </c>
      <c r="AV54" s="188"/>
      <c r="AW54" s="189"/>
      <c r="AX54" s="189">
        <v>9649</v>
      </c>
      <c r="AY54" s="189">
        <v>16477</v>
      </c>
      <c r="AZ54" s="190">
        <v>26126</v>
      </c>
      <c r="BA54" s="188">
        <v>30536</v>
      </c>
      <c r="BB54" s="189">
        <v>20796</v>
      </c>
      <c r="BC54" s="189">
        <v>92854</v>
      </c>
      <c r="BD54" s="189">
        <v>97230</v>
      </c>
      <c r="BE54" s="190">
        <v>241416</v>
      </c>
      <c r="BF54" s="188">
        <f t="shared" si="14"/>
        <v>28671</v>
      </c>
      <c r="BG54" s="189">
        <f t="shared" si="8"/>
        <v>55947</v>
      </c>
      <c r="BH54" s="189">
        <f t="shared" si="9"/>
        <v>61510</v>
      </c>
      <c r="BI54" s="189">
        <f t="shared" si="10"/>
        <v>121702</v>
      </c>
      <c r="BJ54" s="190">
        <f t="shared" si="11"/>
        <v>267830</v>
      </c>
      <c r="BK54" s="188">
        <v>413</v>
      </c>
      <c r="BL54" s="189">
        <v>2333</v>
      </c>
      <c r="BM54" s="189">
        <v>4310</v>
      </c>
      <c r="BN54" s="189">
        <v>3472</v>
      </c>
      <c r="BO54" s="190">
        <v>10528</v>
      </c>
      <c r="BP54" s="188">
        <v>5286</v>
      </c>
      <c r="BQ54" s="189">
        <v>9382</v>
      </c>
      <c r="BR54" s="189">
        <v>3444</v>
      </c>
      <c r="BS54" s="189">
        <v>21624</v>
      </c>
      <c r="BT54" s="190">
        <v>39736</v>
      </c>
      <c r="BU54" s="188">
        <v>22036</v>
      </c>
      <c r="BV54" s="189">
        <v>42617</v>
      </c>
      <c r="BW54" s="189">
        <v>45940</v>
      </c>
      <c r="BX54" s="189">
        <v>84759</v>
      </c>
      <c r="BY54" s="190">
        <v>195352</v>
      </c>
      <c r="BZ54" s="188">
        <v>936</v>
      </c>
      <c r="CA54" s="189">
        <v>1615</v>
      </c>
      <c r="CB54" s="189">
        <v>2376</v>
      </c>
      <c r="CC54" s="189">
        <v>3365</v>
      </c>
      <c r="CD54" s="190">
        <v>8292</v>
      </c>
      <c r="CE54" s="188"/>
      <c r="CF54" s="189"/>
      <c r="CG54" s="189">
        <v>5440</v>
      </c>
      <c r="CH54" s="189">
        <v>8482</v>
      </c>
      <c r="CI54" s="190">
        <v>13922</v>
      </c>
    </row>
    <row r="55" s="163" customFormat="1" ht="14.6" spans="1:87">
      <c r="A55" s="191" t="s">
        <v>54</v>
      </c>
      <c r="B55" s="192"/>
      <c r="C55" s="193">
        <f t="shared" si="12"/>
        <v>1626517</v>
      </c>
      <c r="D55" s="194">
        <f t="shared" si="0"/>
        <v>2241605</v>
      </c>
      <c r="E55" s="194">
        <f t="shared" si="1"/>
        <v>2926919</v>
      </c>
      <c r="F55" s="194">
        <f t="shared" si="2"/>
        <v>2567856</v>
      </c>
      <c r="G55" s="195">
        <f t="shared" si="3"/>
        <v>9362897</v>
      </c>
      <c r="H55" s="193">
        <f t="shared" si="13"/>
        <v>1124726</v>
      </c>
      <c r="I55" s="194">
        <f t="shared" si="4"/>
        <v>1580919</v>
      </c>
      <c r="J55" s="194">
        <f t="shared" si="5"/>
        <v>2190618</v>
      </c>
      <c r="K55" s="194">
        <f t="shared" si="6"/>
        <v>1833660</v>
      </c>
      <c r="L55" s="195">
        <f t="shared" si="7"/>
        <v>6729923</v>
      </c>
      <c r="M55" s="193">
        <v>169453</v>
      </c>
      <c r="N55" s="194">
        <v>291114</v>
      </c>
      <c r="O55" s="194">
        <v>367880</v>
      </c>
      <c r="P55" s="194">
        <v>299210</v>
      </c>
      <c r="Q55" s="195">
        <v>1127657</v>
      </c>
      <c r="R55" s="193">
        <v>121279</v>
      </c>
      <c r="S55" s="194">
        <v>205181</v>
      </c>
      <c r="T55" s="194">
        <v>293572</v>
      </c>
      <c r="U55" s="194">
        <v>210894</v>
      </c>
      <c r="V55" s="195">
        <v>830926</v>
      </c>
      <c r="W55" s="193">
        <v>49418</v>
      </c>
      <c r="X55" s="194">
        <v>61580</v>
      </c>
      <c r="Y55" s="194">
        <v>119308</v>
      </c>
      <c r="Z55" s="194">
        <v>122319</v>
      </c>
      <c r="AA55" s="195">
        <v>352625</v>
      </c>
      <c r="AB55" s="193">
        <v>31178</v>
      </c>
      <c r="AC55" s="194">
        <v>247149</v>
      </c>
      <c r="AD55" s="194">
        <v>255945</v>
      </c>
      <c r="AE55" s="194">
        <v>138856</v>
      </c>
      <c r="AF55" s="195">
        <v>673128</v>
      </c>
      <c r="AG55" s="193">
        <v>141267</v>
      </c>
      <c r="AH55" s="194">
        <v>274707</v>
      </c>
      <c r="AI55" s="194">
        <v>303162</v>
      </c>
      <c r="AJ55" s="194">
        <v>234004</v>
      </c>
      <c r="AK55" s="195">
        <v>953140</v>
      </c>
      <c r="AL55" s="193">
        <v>15880</v>
      </c>
      <c r="AM55" s="194">
        <v>25565</v>
      </c>
      <c r="AN55" s="194">
        <v>43622</v>
      </c>
      <c r="AO55" s="194">
        <v>35703</v>
      </c>
      <c r="AP55" s="195">
        <v>120770</v>
      </c>
      <c r="AQ55" s="193">
        <v>41168</v>
      </c>
      <c r="AR55" s="194">
        <v>54228</v>
      </c>
      <c r="AS55" s="194">
        <v>108928</v>
      </c>
      <c r="AT55" s="194">
        <v>77577</v>
      </c>
      <c r="AU55" s="195">
        <v>281901</v>
      </c>
      <c r="AV55" s="193">
        <v>47685</v>
      </c>
      <c r="AW55" s="194">
        <v>21102</v>
      </c>
      <c r="AX55" s="194">
        <v>53801</v>
      </c>
      <c r="AY55" s="194">
        <v>70341</v>
      </c>
      <c r="AZ55" s="195">
        <v>192929</v>
      </c>
      <c r="BA55" s="193">
        <v>507398</v>
      </c>
      <c r="BB55" s="194">
        <v>400293</v>
      </c>
      <c r="BC55" s="194">
        <v>644400</v>
      </c>
      <c r="BD55" s="194">
        <v>644756</v>
      </c>
      <c r="BE55" s="195">
        <v>2196847</v>
      </c>
      <c r="BF55" s="193">
        <f t="shared" si="14"/>
        <v>501791</v>
      </c>
      <c r="BG55" s="194">
        <f t="shared" si="8"/>
        <v>660686</v>
      </c>
      <c r="BH55" s="194">
        <f t="shared" si="9"/>
        <v>736301</v>
      </c>
      <c r="BI55" s="194">
        <f t="shared" si="10"/>
        <v>734196</v>
      </c>
      <c r="BJ55" s="195">
        <f t="shared" si="11"/>
        <v>2632974</v>
      </c>
      <c r="BK55" s="193">
        <v>18493</v>
      </c>
      <c r="BL55" s="194">
        <v>30189</v>
      </c>
      <c r="BM55" s="194">
        <v>39508</v>
      </c>
      <c r="BN55" s="194">
        <v>26330</v>
      </c>
      <c r="BO55" s="195">
        <v>114520</v>
      </c>
      <c r="BP55" s="193">
        <v>167206</v>
      </c>
      <c r="BQ55" s="194">
        <v>224826</v>
      </c>
      <c r="BR55" s="194">
        <v>248273</v>
      </c>
      <c r="BS55" s="194">
        <v>191729</v>
      </c>
      <c r="BT55" s="195">
        <v>832034</v>
      </c>
      <c r="BU55" s="193">
        <v>238800</v>
      </c>
      <c r="BV55" s="194">
        <v>299078</v>
      </c>
      <c r="BW55" s="194">
        <v>358783</v>
      </c>
      <c r="BX55" s="194">
        <v>423681</v>
      </c>
      <c r="BY55" s="195">
        <v>1320342</v>
      </c>
      <c r="BZ55" s="193">
        <v>47025</v>
      </c>
      <c r="CA55" s="194">
        <v>54065</v>
      </c>
      <c r="CB55" s="194">
        <v>50339</v>
      </c>
      <c r="CC55" s="194">
        <v>40144</v>
      </c>
      <c r="CD55" s="195">
        <v>191573</v>
      </c>
      <c r="CE55" s="193">
        <v>30267</v>
      </c>
      <c r="CF55" s="194">
        <v>52528</v>
      </c>
      <c r="CG55" s="194">
        <v>39398</v>
      </c>
      <c r="CH55" s="194">
        <v>52312</v>
      </c>
      <c r="CI55" s="195">
        <v>174505</v>
      </c>
    </row>
    <row r="56" spans="1:87">
      <c r="A56" s="186" t="s">
        <v>55</v>
      </c>
      <c r="B56" s="187" t="s">
        <v>26</v>
      </c>
      <c r="C56" s="188">
        <f t="shared" si="12"/>
        <v>2399450</v>
      </c>
      <c r="D56" s="189">
        <f t="shared" si="0"/>
        <v>1899746</v>
      </c>
      <c r="E56" s="189">
        <f t="shared" si="1"/>
        <v>1664498</v>
      </c>
      <c r="F56" s="189">
        <f t="shared" si="2"/>
        <v>1221472</v>
      </c>
      <c r="G56" s="190">
        <f t="shared" si="3"/>
        <v>7185166</v>
      </c>
      <c r="H56" s="188">
        <f t="shared" si="13"/>
        <v>2121098</v>
      </c>
      <c r="I56" s="189">
        <f t="shared" si="4"/>
        <v>1617632</v>
      </c>
      <c r="J56" s="189">
        <f t="shared" si="5"/>
        <v>1397763</v>
      </c>
      <c r="K56" s="189">
        <f t="shared" si="6"/>
        <v>979806</v>
      </c>
      <c r="L56" s="190">
        <f t="shared" si="7"/>
        <v>6116299</v>
      </c>
      <c r="M56" s="188">
        <v>369647</v>
      </c>
      <c r="N56" s="189">
        <v>212609</v>
      </c>
      <c r="O56" s="189">
        <v>180047</v>
      </c>
      <c r="P56" s="189">
        <v>133638</v>
      </c>
      <c r="Q56" s="190">
        <v>895941</v>
      </c>
      <c r="R56" s="188">
        <v>114840</v>
      </c>
      <c r="S56" s="189">
        <v>84596</v>
      </c>
      <c r="T56" s="189">
        <v>38243</v>
      </c>
      <c r="U56" s="189">
        <v>34189</v>
      </c>
      <c r="V56" s="190">
        <v>271868</v>
      </c>
      <c r="W56" s="188">
        <v>143021</v>
      </c>
      <c r="X56" s="189">
        <v>101148</v>
      </c>
      <c r="Y56" s="189">
        <v>125649</v>
      </c>
      <c r="Z56" s="189">
        <v>104008</v>
      </c>
      <c r="AA56" s="190">
        <v>473826</v>
      </c>
      <c r="AB56" s="188">
        <v>402272</v>
      </c>
      <c r="AC56" s="189">
        <v>392404</v>
      </c>
      <c r="AD56" s="189">
        <v>294834</v>
      </c>
      <c r="AE56" s="189">
        <v>110411</v>
      </c>
      <c r="AF56" s="190">
        <v>1199921</v>
      </c>
      <c r="AG56" s="188">
        <v>479200</v>
      </c>
      <c r="AH56" s="189">
        <v>371355</v>
      </c>
      <c r="AI56" s="189">
        <v>294665</v>
      </c>
      <c r="AJ56" s="189">
        <v>142067</v>
      </c>
      <c r="AK56" s="190">
        <v>1287287</v>
      </c>
      <c r="AL56" s="188">
        <v>75621</v>
      </c>
      <c r="AM56" s="189">
        <v>65087</v>
      </c>
      <c r="AN56" s="189">
        <v>74427</v>
      </c>
      <c r="AO56" s="189">
        <v>80756</v>
      </c>
      <c r="AP56" s="190">
        <v>295891</v>
      </c>
      <c r="AQ56" s="188">
        <v>143147</v>
      </c>
      <c r="AR56" s="189">
        <v>81312</v>
      </c>
      <c r="AS56" s="189">
        <v>65453</v>
      </c>
      <c r="AT56" s="189">
        <v>53851</v>
      </c>
      <c r="AU56" s="190">
        <v>343763</v>
      </c>
      <c r="AV56" s="188">
        <v>34577</v>
      </c>
      <c r="AW56" s="189">
        <v>26879</v>
      </c>
      <c r="AX56" s="189">
        <v>34471</v>
      </c>
      <c r="AY56" s="189">
        <v>25371</v>
      </c>
      <c r="AZ56" s="190">
        <v>121298</v>
      </c>
      <c r="BA56" s="188">
        <v>358773</v>
      </c>
      <c r="BB56" s="189">
        <v>282242</v>
      </c>
      <c r="BC56" s="189">
        <v>289974</v>
      </c>
      <c r="BD56" s="189">
        <v>295515</v>
      </c>
      <c r="BE56" s="190">
        <v>1226504</v>
      </c>
      <c r="BF56" s="188">
        <f t="shared" si="14"/>
        <v>278352</v>
      </c>
      <c r="BG56" s="189">
        <f t="shared" si="8"/>
        <v>282114</v>
      </c>
      <c r="BH56" s="189">
        <f t="shared" si="9"/>
        <v>266735</v>
      </c>
      <c r="BI56" s="189">
        <f t="shared" si="10"/>
        <v>241666</v>
      </c>
      <c r="BJ56" s="190">
        <f t="shared" si="11"/>
        <v>1068867</v>
      </c>
      <c r="BK56" s="188">
        <v>39612</v>
      </c>
      <c r="BL56" s="189">
        <v>38004</v>
      </c>
      <c r="BM56" s="189">
        <v>47232</v>
      </c>
      <c r="BN56" s="189">
        <v>25618</v>
      </c>
      <c r="BO56" s="190">
        <v>150466</v>
      </c>
      <c r="BP56" s="188">
        <v>52274</v>
      </c>
      <c r="BQ56" s="189">
        <v>77385</v>
      </c>
      <c r="BR56" s="189">
        <v>37057</v>
      </c>
      <c r="BS56" s="189">
        <v>53074</v>
      </c>
      <c r="BT56" s="190">
        <v>219790</v>
      </c>
      <c r="BU56" s="188">
        <v>168349</v>
      </c>
      <c r="BV56" s="189">
        <v>154482</v>
      </c>
      <c r="BW56" s="189">
        <v>171213</v>
      </c>
      <c r="BX56" s="189">
        <v>152198</v>
      </c>
      <c r="BY56" s="190">
        <v>646242</v>
      </c>
      <c r="BZ56" s="188">
        <v>14391</v>
      </c>
      <c r="CA56" s="189">
        <v>7206</v>
      </c>
      <c r="CB56" s="189">
        <v>10060</v>
      </c>
      <c r="CC56" s="189">
        <v>6912</v>
      </c>
      <c r="CD56" s="190">
        <v>38569</v>
      </c>
      <c r="CE56" s="188">
        <v>3726</v>
      </c>
      <c r="CF56" s="189">
        <v>5037</v>
      </c>
      <c r="CG56" s="189">
        <v>1173</v>
      </c>
      <c r="CH56" s="189">
        <v>3864</v>
      </c>
      <c r="CI56" s="190">
        <v>13800</v>
      </c>
    </row>
    <row r="57" spans="1:87">
      <c r="A57" s="186"/>
      <c r="B57" s="187" t="s">
        <v>27</v>
      </c>
      <c r="C57" s="188">
        <f t="shared" si="12"/>
        <v>8115</v>
      </c>
      <c r="D57" s="189">
        <f t="shared" si="0"/>
        <v>6429</v>
      </c>
      <c r="E57" s="189">
        <f t="shared" si="1"/>
        <v>7056</v>
      </c>
      <c r="F57" s="189">
        <f t="shared" si="2"/>
        <v>7840</v>
      </c>
      <c r="G57" s="190">
        <f t="shared" si="3"/>
        <v>29440</v>
      </c>
      <c r="H57" s="188">
        <f t="shared" si="13"/>
        <v>8115</v>
      </c>
      <c r="I57" s="189">
        <f t="shared" si="4"/>
        <v>6429</v>
      </c>
      <c r="J57" s="189">
        <f t="shared" si="5"/>
        <v>4606</v>
      </c>
      <c r="K57" s="189">
        <f t="shared" si="6"/>
        <v>3283</v>
      </c>
      <c r="L57" s="190">
        <f t="shared" si="7"/>
        <v>22433</v>
      </c>
      <c r="M57" s="188">
        <v>2842</v>
      </c>
      <c r="N57" s="189">
        <v>4312</v>
      </c>
      <c r="O57" s="189">
        <v>3038</v>
      </c>
      <c r="P57" s="189">
        <v>1372</v>
      </c>
      <c r="Q57" s="190">
        <v>11564</v>
      </c>
      <c r="R57" s="188"/>
      <c r="S57" s="189"/>
      <c r="T57" s="189"/>
      <c r="U57" s="189">
        <v>588</v>
      </c>
      <c r="V57" s="190">
        <v>588</v>
      </c>
      <c r="W57" s="188"/>
      <c r="X57" s="189"/>
      <c r="Y57" s="189"/>
      <c r="Z57" s="189"/>
      <c r="AA57" s="190"/>
      <c r="AB57" s="188">
        <v>177</v>
      </c>
      <c r="AC57" s="189">
        <v>59</v>
      </c>
      <c r="AD57" s="189"/>
      <c r="AE57" s="189"/>
      <c r="AF57" s="190">
        <v>236</v>
      </c>
      <c r="AG57" s="188">
        <v>5096</v>
      </c>
      <c r="AH57" s="189">
        <v>2058</v>
      </c>
      <c r="AI57" s="189">
        <v>1568</v>
      </c>
      <c r="AJ57" s="189">
        <v>1323</v>
      </c>
      <c r="AK57" s="190">
        <v>10045</v>
      </c>
      <c r="AL57" s="188"/>
      <c r="AM57" s="189"/>
      <c r="AN57" s="189"/>
      <c r="AO57" s="189"/>
      <c r="AP57" s="190"/>
      <c r="AQ57" s="188"/>
      <c r="AR57" s="189"/>
      <c r="AS57" s="189"/>
      <c r="AT57" s="189"/>
      <c r="AU57" s="190"/>
      <c r="AV57" s="188"/>
      <c r="AW57" s="189"/>
      <c r="AX57" s="189"/>
      <c r="AY57" s="189"/>
      <c r="AZ57" s="190"/>
      <c r="BA57" s="188"/>
      <c r="BB57" s="189"/>
      <c r="BC57" s="189"/>
      <c r="BD57" s="189"/>
      <c r="BE57" s="190"/>
      <c r="BF57" s="188">
        <f t="shared" si="14"/>
        <v>0</v>
      </c>
      <c r="BG57" s="189">
        <f t="shared" si="8"/>
        <v>0</v>
      </c>
      <c r="BH57" s="189">
        <f t="shared" si="9"/>
        <v>2450</v>
      </c>
      <c r="BI57" s="189">
        <f t="shared" si="10"/>
        <v>4557</v>
      </c>
      <c r="BJ57" s="190">
        <f t="shared" si="11"/>
        <v>7007</v>
      </c>
      <c r="BK57" s="188"/>
      <c r="BL57" s="189"/>
      <c r="BM57" s="189"/>
      <c r="BN57" s="189"/>
      <c r="BO57" s="190"/>
      <c r="BP57" s="188"/>
      <c r="BQ57" s="189"/>
      <c r="BR57" s="189"/>
      <c r="BS57" s="189"/>
      <c r="BT57" s="190"/>
      <c r="BU57" s="188"/>
      <c r="BV57" s="189"/>
      <c r="BW57" s="189">
        <v>2450</v>
      </c>
      <c r="BX57" s="189">
        <v>3675</v>
      </c>
      <c r="BY57" s="190">
        <v>6125</v>
      </c>
      <c r="BZ57" s="188"/>
      <c r="CA57" s="189"/>
      <c r="CB57" s="189"/>
      <c r="CC57" s="189">
        <v>882</v>
      </c>
      <c r="CD57" s="190">
        <v>882</v>
      </c>
      <c r="CE57" s="188"/>
      <c r="CF57" s="189"/>
      <c r="CG57" s="189"/>
      <c r="CH57" s="189"/>
      <c r="CI57" s="190"/>
    </row>
    <row r="58" spans="1:87">
      <c r="A58" s="186"/>
      <c r="B58" s="187" t="s">
        <v>28</v>
      </c>
      <c r="C58" s="188">
        <f t="shared" si="12"/>
        <v>7182</v>
      </c>
      <c r="D58" s="189">
        <f t="shared" si="0"/>
        <v>6384</v>
      </c>
      <c r="E58" s="189">
        <f t="shared" si="1"/>
        <v>716052</v>
      </c>
      <c r="F58" s="189">
        <f t="shared" si="2"/>
        <v>417484</v>
      </c>
      <c r="G58" s="190">
        <f t="shared" si="3"/>
        <v>1147102</v>
      </c>
      <c r="H58" s="188">
        <f t="shared" si="13"/>
        <v>1197</v>
      </c>
      <c r="I58" s="189">
        <f t="shared" si="4"/>
        <v>399</v>
      </c>
      <c r="J58" s="189">
        <f t="shared" si="5"/>
        <v>691871</v>
      </c>
      <c r="K58" s="189">
        <f t="shared" si="6"/>
        <v>358446</v>
      </c>
      <c r="L58" s="190">
        <f t="shared" si="7"/>
        <v>1051913</v>
      </c>
      <c r="M58" s="188">
        <v>399</v>
      </c>
      <c r="N58" s="189"/>
      <c r="O58" s="189">
        <v>152724</v>
      </c>
      <c r="P58" s="189">
        <v>90068</v>
      </c>
      <c r="Q58" s="190">
        <v>243191</v>
      </c>
      <c r="R58" s="188">
        <v>798</v>
      </c>
      <c r="S58" s="189">
        <v>399</v>
      </c>
      <c r="T58" s="189">
        <v>173182</v>
      </c>
      <c r="U58" s="189">
        <v>5429</v>
      </c>
      <c r="V58" s="190">
        <v>179808</v>
      </c>
      <c r="W58" s="188"/>
      <c r="X58" s="189"/>
      <c r="Y58" s="189">
        <v>173817</v>
      </c>
      <c r="Z58" s="189">
        <v>73247</v>
      </c>
      <c r="AA58" s="190">
        <v>247064</v>
      </c>
      <c r="AB58" s="188"/>
      <c r="AC58" s="189"/>
      <c r="AD58" s="189">
        <v>64479</v>
      </c>
      <c r="AE58" s="189">
        <v>49751</v>
      </c>
      <c r="AF58" s="190">
        <v>114230</v>
      </c>
      <c r="AG58" s="188"/>
      <c r="AH58" s="189"/>
      <c r="AI58" s="189"/>
      <c r="AJ58" s="189">
        <v>82236</v>
      </c>
      <c r="AK58" s="190">
        <v>82236</v>
      </c>
      <c r="AL58" s="188"/>
      <c r="AM58" s="189"/>
      <c r="AN58" s="189">
        <v>11214</v>
      </c>
      <c r="AO58" s="189"/>
      <c r="AP58" s="190">
        <v>11214</v>
      </c>
      <c r="AQ58" s="188"/>
      <c r="AR58" s="189"/>
      <c r="AS58" s="189">
        <v>37024</v>
      </c>
      <c r="AT58" s="189"/>
      <c r="AU58" s="190">
        <v>37024</v>
      </c>
      <c r="AV58" s="188"/>
      <c r="AW58" s="189"/>
      <c r="AX58" s="189">
        <v>8854</v>
      </c>
      <c r="AY58" s="189">
        <v>11036</v>
      </c>
      <c r="AZ58" s="190">
        <v>19890</v>
      </c>
      <c r="BA58" s="188"/>
      <c r="BB58" s="189"/>
      <c r="BC58" s="189">
        <v>70577</v>
      </c>
      <c r="BD58" s="189">
        <v>46679</v>
      </c>
      <c r="BE58" s="190">
        <v>117256</v>
      </c>
      <c r="BF58" s="188">
        <f t="shared" si="14"/>
        <v>5985</v>
      </c>
      <c r="BG58" s="189">
        <f t="shared" si="8"/>
        <v>5985</v>
      </c>
      <c r="BH58" s="189">
        <f t="shared" si="9"/>
        <v>24181</v>
      </c>
      <c r="BI58" s="189">
        <f t="shared" si="10"/>
        <v>59038</v>
      </c>
      <c r="BJ58" s="190">
        <f t="shared" si="11"/>
        <v>95189</v>
      </c>
      <c r="BK58" s="188">
        <v>798</v>
      </c>
      <c r="BL58" s="189">
        <v>399</v>
      </c>
      <c r="BM58" s="189">
        <v>1197</v>
      </c>
      <c r="BN58" s="189"/>
      <c r="BO58" s="190">
        <v>2394</v>
      </c>
      <c r="BP58" s="188"/>
      <c r="BQ58" s="189"/>
      <c r="BR58" s="189">
        <v>12905</v>
      </c>
      <c r="BS58" s="189">
        <v>17355</v>
      </c>
      <c r="BT58" s="190">
        <v>30260</v>
      </c>
      <c r="BU58" s="188">
        <v>5187</v>
      </c>
      <c r="BV58" s="189">
        <v>5586</v>
      </c>
      <c r="BW58" s="189">
        <v>5985</v>
      </c>
      <c r="BX58" s="189">
        <v>33940</v>
      </c>
      <c r="BY58" s="190">
        <v>50698</v>
      </c>
      <c r="BZ58" s="188"/>
      <c r="CA58" s="189"/>
      <c r="CB58" s="189"/>
      <c r="CC58" s="189">
        <v>7654</v>
      </c>
      <c r="CD58" s="190">
        <v>7654</v>
      </c>
      <c r="CE58" s="188"/>
      <c r="CF58" s="189"/>
      <c r="CG58" s="189">
        <v>4094</v>
      </c>
      <c r="CH58" s="189">
        <v>89</v>
      </c>
      <c r="CI58" s="190">
        <v>4183</v>
      </c>
    </row>
    <row r="59" s="163" customFormat="1" ht="14.6" spans="1:87">
      <c r="A59" s="191" t="s">
        <v>56</v>
      </c>
      <c r="B59" s="192"/>
      <c r="C59" s="193">
        <f t="shared" si="12"/>
        <v>2414747</v>
      </c>
      <c r="D59" s="194">
        <f t="shared" si="0"/>
        <v>1912559</v>
      </c>
      <c r="E59" s="194">
        <f t="shared" si="1"/>
        <v>2387606</v>
      </c>
      <c r="F59" s="194">
        <f t="shared" si="2"/>
        <v>1646796</v>
      </c>
      <c r="G59" s="195">
        <f t="shared" si="3"/>
        <v>8361708</v>
      </c>
      <c r="H59" s="193">
        <f t="shared" si="13"/>
        <v>2130410</v>
      </c>
      <c r="I59" s="194">
        <f t="shared" si="4"/>
        <v>1624460</v>
      </c>
      <c r="J59" s="194">
        <f t="shared" si="5"/>
        <v>2094240</v>
      </c>
      <c r="K59" s="194">
        <f t="shared" si="6"/>
        <v>1341535</v>
      </c>
      <c r="L59" s="195">
        <f t="shared" si="7"/>
        <v>7190645</v>
      </c>
      <c r="M59" s="193">
        <v>372888</v>
      </c>
      <c r="N59" s="194">
        <v>216921</v>
      </c>
      <c r="O59" s="194">
        <v>335809</v>
      </c>
      <c r="P59" s="194">
        <v>225078</v>
      </c>
      <c r="Q59" s="195">
        <v>1150696</v>
      </c>
      <c r="R59" s="193">
        <v>115638</v>
      </c>
      <c r="S59" s="194">
        <v>84995</v>
      </c>
      <c r="T59" s="194">
        <v>211425</v>
      </c>
      <c r="U59" s="194">
        <v>40206</v>
      </c>
      <c r="V59" s="195">
        <v>452264</v>
      </c>
      <c r="W59" s="193">
        <v>143021</v>
      </c>
      <c r="X59" s="194">
        <v>101148</v>
      </c>
      <c r="Y59" s="194">
        <v>299466</v>
      </c>
      <c r="Z59" s="194">
        <v>177255</v>
      </c>
      <c r="AA59" s="195">
        <v>720890</v>
      </c>
      <c r="AB59" s="193">
        <v>402449</v>
      </c>
      <c r="AC59" s="194">
        <v>392463</v>
      </c>
      <c r="AD59" s="194">
        <v>359313</v>
      </c>
      <c r="AE59" s="194">
        <v>160162</v>
      </c>
      <c r="AF59" s="195">
        <v>1314387</v>
      </c>
      <c r="AG59" s="193">
        <v>484296</v>
      </c>
      <c r="AH59" s="194">
        <v>373413</v>
      </c>
      <c r="AI59" s="194">
        <v>296233</v>
      </c>
      <c r="AJ59" s="194">
        <v>225626</v>
      </c>
      <c r="AK59" s="195">
        <v>1379568</v>
      </c>
      <c r="AL59" s="193">
        <v>75621</v>
      </c>
      <c r="AM59" s="194">
        <v>65087</v>
      </c>
      <c r="AN59" s="194">
        <v>85641</v>
      </c>
      <c r="AO59" s="194">
        <v>80756</v>
      </c>
      <c r="AP59" s="195">
        <v>307105</v>
      </c>
      <c r="AQ59" s="193">
        <v>143147</v>
      </c>
      <c r="AR59" s="194">
        <v>81312</v>
      </c>
      <c r="AS59" s="194">
        <v>102477</v>
      </c>
      <c r="AT59" s="194">
        <v>53851</v>
      </c>
      <c r="AU59" s="195">
        <v>380787</v>
      </c>
      <c r="AV59" s="193">
        <v>34577</v>
      </c>
      <c r="AW59" s="194">
        <v>26879</v>
      </c>
      <c r="AX59" s="194">
        <v>43325</v>
      </c>
      <c r="AY59" s="194">
        <v>36407</v>
      </c>
      <c r="AZ59" s="195">
        <v>141188</v>
      </c>
      <c r="BA59" s="193">
        <v>358773</v>
      </c>
      <c r="BB59" s="194">
        <v>282242</v>
      </c>
      <c r="BC59" s="194">
        <v>360551</v>
      </c>
      <c r="BD59" s="194">
        <v>342194</v>
      </c>
      <c r="BE59" s="195">
        <v>1343760</v>
      </c>
      <c r="BF59" s="193">
        <f t="shared" si="14"/>
        <v>284337</v>
      </c>
      <c r="BG59" s="194">
        <f t="shared" si="8"/>
        <v>288099</v>
      </c>
      <c r="BH59" s="194">
        <f t="shared" si="9"/>
        <v>293366</v>
      </c>
      <c r="BI59" s="194">
        <f t="shared" si="10"/>
        <v>305261</v>
      </c>
      <c r="BJ59" s="195">
        <f t="shared" si="11"/>
        <v>1171063</v>
      </c>
      <c r="BK59" s="193">
        <v>40410</v>
      </c>
      <c r="BL59" s="194">
        <v>38403</v>
      </c>
      <c r="BM59" s="194">
        <v>48429</v>
      </c>
      <c r="BN59" s="194">
        <v>25618</v>
      </c>
      <c r="BO59" s="195">
        <v>152860</v>
      </c>
      <c r="BP59" s="193">
        <v>52274</v>
      </c>
      <c r="BQ59" s="194">
        <v>77385</v>
      </c>
      <c r="BR59" s="194">
        <v>49962</v>
      </c>
      <c r="BS59" s="194">
        <v>70429</v>
      </c>
      <c r="BT59" s="195">
        <v>250050</v>
      </c>
      <c r="BU59" s="193">
        <v>173536</v>
      </c>
      <c r="BV59" s="194">
        <v>160068</v>
      </c>
      <c r="BW59" s="194">
        <v>179648</v>
      </c>
      <c r="BX59" s="194">
        <v>189813</v>
      </c>
      <c r="BY59" s="195">
        <v>703065</v>
      </c>
      <c r="BZ59" s="193">
        <v>14391</v>
      </c>
      <c r="CA59" s="194">
        <v>7206</v>
      </c>
      <c r="CB59" s="194">
        <v>10060</v>
      </c>
      <c r="CC59" s="194">
        <v>15448</v>
      </c>
      <c r="CD59" s="195">
        <v>47105</v>
      </c>
      <c r="CE59" s="193">
        <v>3726</v>
      </c>
      <c r="CF59" s="194">
        <v>5037</v>
      </c>
      <c r="CG59" s="194">
        <v>5267</v>
      </c>
      <c r="CH59" s="194">
        <v>3953</v>
      </c>
      <c r="CI59" s="195">
        <v>17983</v>
      </c>
    </row>
    <row r="60" spans="1:87">
      <c r="A60" s="186" t="s">
        <v>57</v>
      </c>
      <c r="B60" s="187" t="s">
        <v>26</v>
      </c>
      <c r="C60" s="188">
        <f t="shared" si="12"/>
        <v>2227527</v>
      </c>
      <c r="D60" s="189">
        <f t="shared" si="0"/>
        <v>1735350</v>
      </c>
      <c r="E60" s="189">
        <f t="shared" si="1"/>
        <v>1666350</v>
      </c>
      <c r="F60" s="189">
        <f t="shared" si="2"/>
        <v>1408842</v>
      </c>
      <c r="G60" s="190">
        <f t="shared" si="3"/>
        <v>7038069</v>
      </c>
      <c r="H60" s="188">
        <f t="shared" si="13"/>
        <v>1907988</v>
      </c>
      <c r="I60" s="189">
        <f t="shared" si="4"/>
        <v>1446861</v>
      </c>
      <c r="J60" s="189">
        <f t="shared" si="5"/>
        <v>1231305</v>
      </c>
      <c r="K60" s="189">
        <f t="shared" si="6"/>
        <v>966552</v>
      </c>
      <c r="L60" s="190">
        <f t="shared" si="7"/>
        <v>5552706</v>
      </c>
      <c r="M60" s="188">
        <v>165876</v>
      </c>
      <c r="N60" s="189">
        <v>145314</v>
      </c>
      <c r="O60" s="189">
        <v>107847</v>
      </c>
      <c r="P60" s="189">
        <v>93909</v>
      </c>
      <c r="Q60" s="190">
        <v>512946</v>
      </c>
      <c r="R60" s="188">
        <v>78384</v>
      </c>
      <c r="S60" s="189">
        <v>69345</v>
      </c>
      <c r="T60" s="189">
        <v>58926</v>
      </c>
      <c r="U60" s="189">
        <v>60030</v>
      </c>
      <c r="V60" s="190">
        <v>266685</v>
      </c>
      <c r="W60" s="188">
        <v>208104</v>
      </c>
      <c r="X60" s="189">
        <v>203619</v>
      </c>
      <c r="Y60" s="189">
        <v>140622</v>
      </c>
      <c r="Z60" s="189">
        <v>139242</v>
      </c>
      <c r="AA60" s="190">
        <v>691587</v>
      </c>
      <c r="AB60" s="188">
        <v>203205</v>
      </c>
      <c r="AC60" s="189">
        <v>64929</v>
      </c>
      <c r="AD60" s="189">
        <v>211899</v>
      </c>
      <c r="AE60" s="189">
        <v>146211</v>
      </c>
      <c r="AF60" s="190">
        <v>626244</v>
      </c>
      <c r="AG60" s="188">
        <v>932742</v>
      </c>
      <c r="AH60" s="189">
        <v>413586</v>
      </c>
      <c r="AI60" s="189">
        <v>266892</v>
      </c>
      <c r="AJ60" s="189">
        <v>174294</v>
      </c>
      <c r="AK60" s="190">
        <v>1787514</v>
      </c>
      <c r="AL60" s="188">
        <v>36846</v>
      </c>
      <c r="AM60" s="189">
        <v>68586</v>
      </c>
      <c r="AN60" s="189">
        <v>45471</v>
      </c>
      <c r="AO60" s="189">
        <v>22356</v>
      </c>
      <c r="AP60" s="190">
        <v>173259</v>
      </c>
      <c r="AQ60" s="188">
        <v>191061</v>
      </c>
      <c r="AR60" s="189">
        <v>121785</v>
      </c>
      <c r="AS60" s="189">
        <v>105087</v>
      </c>
      <c r="AT60" s="189">
        <v>96876</v>
      </c>
      <c r="AU60" s="190">
        <v>514809</v>
      </c>
      <c r="AV60" s="188">
        <v>207</v>
      </c>
      <c r="AW60" s="189">
        <v>34707</v>
      </c>
      <c r="AX60" s="189">
        <v>27117</v>
      </c>
      <c r="AY60" s="189">
        <v>21942</v>
      </c>
      <c r="AZ60" s="190">
        <v>83973</v>
      </c>
      <c r="BA60" s="188">
        <v>91563</v>
      </c>
      <c r="BB60" s="189">
        <v>324990</v>
      </c>
      <c r="BC60" s="189">
        <v>267444</v>
      </c>
      <c r="BD60" s="189">
        <v>211692</v>
      </c>
      <c r="BE60" s="190">
        <v>895689</v>
      </c>
      <c r="BF60" s="188">
        <f t="shared" si="14"/>
        <v>319539</v>
      </c>
      <c r="BG60" s="189">
        <f t="shared" si="8"/>
        <v>288489</v>
      </c>
      <c r="BH60" s="189">
        <f t="shared" si="9"/>
        <v>435045</v>
      </c>
      <c r="BI60" s="189">
        <f t="shared" si="10"/>
        <v>442290</v>
      </c>
      <c r="BJ60" s="190">
        <f t="shared" si="11"/>
        <v>1485363</v>
      </c>
      <c r="BK60" s="188">
        <v>20148</v>
      </c>
      <c r="BL60" s="189">
        <v>17526</v>
      </c>
      <c r="BM60" s="189">
        <v>18078</v>
      </c>
      <c r="BN60" s="189">
        <v>11799</v>
      </c>
      <c r="BO60" s="190">
        <v>67551</v>
      </c>
      <c r="BP60" s="188">
        <v>39744</v>
      </c>
      <c r="BQ60" s="189">
        <v>89838</v>
      </c>
      <c r="BR60" s="189">
        <v>141036</v>
      </c>
      <c r="BS60" s="189">
        <v>132342</v>
      </c>
      <c r="BT60" s="190">
        <v>402960</v>
      </c>
      <c r="BU60" s="188">
        <v>211554</v>
      </c>
      <c r="BV60" s="189">
        <v>144831</v>
      </c>
      <c r="BW60" s="189">
        <v>219834</v>
      </c>
      <c r="BX60" s="189">
        <v>229287</v>
      </c>
      <c r="BY60" s="190">
        <v>805506</v>
      </c>
      <c r="BZ60" s="188">
        <v>29118</v>
      </c>
      <c r="CA60" s="189">
        <v>24564</v>
      </c>
      <c r="CB60" s="189">
        <v>34707</v>
      </c>
      <c r="CC60" s="189">
        <v>46506</v>
      </c>
      <c r="CD60" s="190">
        <v>134895</v>
      </c>
      <c r="CE60" s="188">
        <v>18975</v>
      </c>
      <c r="CF60" s="189">
        <v>11730</v>
      </c>
      <c r="CG60" s="189">
        <v>21390</v>
      </c>
      <c r="CH60" s="189">
        <v>22356</v>
      </c>
      <c r="CI60" s="190">
        <v>74451</v>
      </c>
    </row>
    <row r="61" s="163" customFormat="1" ht="14.6" spans="1:87">
      <c r="A61" s="191" t="s">
        <v>58</v>
      </c>
      <c r="B61" s="192"/>
      <c r="C61" s="193">
        <f t="shared" si="12"/>
        <v>2227527</v>
      </c>
      <c r="D61" s="194">
        <f t="shared" si="0"/>
        <v>1735350</v>
      </c>
      <c r="E61" s="194">
        <f t="shared" si="1"/>
        <v>1666350</v>
      </c>
      <c r="F61" s="194">
        <f t="shared" si="2"/>
        <v>1408842</v>
      </c>
      <c r="G61" s="195">
        <f t="shared" si="3"/>
        <v>7038069</v>
      </c>
      <c r="H61" s="193">
        <f t="shared" si="13"/>
        <v>1907988</v>
      </c>
      <c r="I61" s="194">
        <f t="shared" si="4"/>
        <v>1446861</v>
      </c>
      <c r="J61" s="194">
        <f t="shared" si="5"/>
        <v>1231305</v>
      </c>
      <c r="K61" s="194">
        <f t="shared" si="6"/>
        <v>966552</v>
      </c>
      <c r="L61" s="195">
        <f t="shared" si="7"/>
        <v>5552706</v>
      </c>
      <c r="M61" s="193">
        <v>165876</v>
      </c>
      <c r="N61" s="194">
        <v>145314</v>
      </c>
      <c r="O61" s="194">
        <v>107847</v>
      </c>
      <c r="P61" s="194">
        <v>93909</v>
      </c>
      <c r="Q61" s="195">
        <v>512946</v>
      </c>
      <c r="R61" s="193">
        <v>78384</v>
      </c>
      <c r="S61" s="194">
        <v>69345</v>
      </c>
      <c r="T61" s="194">
        <v>58926</v>
      </c>
      <c r="U61" s="194">
        <v>60030</v>
      </c>
      <c r="V61" s="195">
        <v>266685</v>
      </c>
      <c r="W61" s="193">
        <v>208104</v>
      </c>
      <c r="X61" s="194">
        <v>203619</v>
      </c>
      <c r="Y61" s="194">
        <v>140622</v>
      </c>
      <c r="Z61" s="194">
        <v>139242</v>
      </c>
      <c r="AA61" s="195">
        <v>691587</v>
      </c>
      <c r="AB61" s="193">
        <v>203205</v>
      </c>
      <c r="AC61" s="194">
        <v>64929</v>
      </c>
      <c r="AD61" s="194">
        <v>211899</v>
      </c>
      <c r="AE61" s="194">
        <v>146211</v>
      </c>
      <c r="AF61" s="195">
        <v>626244</v>
      </c>
      <c r="AG61" s="193">
        <v>932742</v>
      </c>
      <c r="AH61" s="194">
        <v>413586</v>
      </c>
      <c r="AI61" s="194">
        <v>266892</v>
      </c>
      <c r="AJ61" s="194">
        <v>174294</v>
      </c>
      <c r="AK61" s="195">
        <v>1787514</v>
      </c>
      <c r="AL61" s="193">
        <v>36846</v>
      </c>
      <c r="AM61" s="194">
        <v>68586</v>
      </c>
      <c r="AN61" s="194">
        <v>45471</v>
      </c>
      <c r="AO61" s="194">
        <v>22356</v>
      </c>
      <c r="AP61" s="195">
        <v>173259</v>
      </c>
      <c r="AQ61" s="193">
        <v>191061</v>
      </c>
      <c r="AR61" s="194">
        <v>121785</v>
      </c>
      <c r="AS61" s="194">
        <v>105087</v>
      </c>
      <c r="AT61" s="194">
        <v>96876</v>
      </c>
      <c r="AU61" s="195">
        <v>514809</v>
      </c>
      <c r="AV61" s="193">
        <v>207</v>
      </c>
      <c r="AW61" s="194">
        <v>34707</v>
      </c>
      <c r="AX61" s="194">
        <v>27117</v>
      </c>
      <c r="AY61" s="194">
        <v>21942</v>
      </c>
      <c r="AZ61" s="195">
        <v>83973</v>
      </c>
      <c r="BA61" s="193">
        <v>91563</v>
      </c>
      <c r="BB61" s="194">
        <v>324990</v>
      </c>
      <c r="BC61" s="194">
        <v>267444</v>
      </c>
      <c r="BD61" s="194">
        <v>211692</v>
      </c>
      <c r="BE61" s="195">
        <v>895689</v>
      </c>
      <c r="BF61" s="193">
        <f t="shared" si="14"/>
        <v>319539</v>
      </c>
      <c r="BG61" s="194">
        <f t="shared" si="8"/>
        <v>288489</v>
      </c>
      <c r="BH61" s="194">
        <f t="shared" si="9"/>
        <v>435045</v>
      </c>
      <c r="BI61" s="194">
        <f t="shared" si="10"/>
        <v>442290</v>
      </c>
      <c r="BJ61" s="195">
        <f t="shared" si="11"/>
        <v>1485363</v>
      </c>
      <c r="BK61" s="193">
        <v>20148</v>
      </c>
      <c r="BL61" s="194">
        <v>17526</v>
      </c>
      <c r="BM61" s="194">
        <v>18078</v>
      </c>
      <c r="BN61" s="194">
        <v>11799</v>
      </c>
      <c r="BO61" s="195">
        <v>67551</v>
      </c>
      <c r="BP61" s="193">
        <v>39744</v>
      </c>
      <c r="BQ61" s="194">
        <v>89838</v>
      </c>
      <c r="BR61" s="194">
        <v>141036</v>
      </c>
      <c r="BS61" s="194">
        <v>132342</v>
      </c>
      <c r="BT61" s="195">
        <v>402960</v>
      </c>
      <c r="BU61" s="193">
        <v>211554</v>
      </c>
      <c r="BV61" s="194">
        <v>144831</v>
      </c>
      <c r="BW61" s="194">
        <v>219834</v>
      </c>
      <c r="BX61" s="194">
        <v>229287</v>
      </c>
      <c r="BY61" s="195">
        <v>805506</v>
      </c>
      <c r="BZ61" s="193">
        <v>29118</v>
      </c>
      <c r="CA61" s="194">
        <v>24564</v>
      </c>
      <c r="CB61" s="194">
        <v>34707</v>
      </c>
      <c r="CC61" s="194">
        <v>46506</v>
      </c>
      <c r="CD61" s="195">
        <v>134895</v>
      </c>
      <c r="CE61" s="193">
        <v>18975</v>
      </c>
      <c r="CF61" s="194">
        <v>11730</v>
      </c>
      <c r="CG61" s="194">
        <v>21390</v>
      </c>
      <c r="CH61" s="194">
        <v>22356</v>
      </c>
      <c r="CI61" s="195">
        <v>74451</v>
      </c>
    </row>
    <row r="62" spans="1:87">
      <c r="A62" s="186" t="s">
        <v>59</v>
      </c>
      <c r="B62" s="187" t="s">
        <v>26</v>
      </c>
      <c r="C62" s="188">
        <f t="shared" si="12"/>
        <v>2085530</v>
      </c>
      <c r="D62" s="189">
        <f t="shared" si="0"/>
        <v>1815405</v>
      </c>
      <c r="E62" s="189">
        <f t="shared" si="1"/>
        <v>1582421</v>
      </c>
      <c r="F62" s="189">
        <f t="shared" si="2"/>
        <v>1348717</v>
      </c>
      <c r="G62" s="190">
        <f t="shared" si="3"/>
        <v>6832073</v>
      </c>
      <c r="H62" s="188">
        <f t="shared" si="13"/>
        <v>1880034</v>
      </c>
      <c r="I62" s="189">
        <f t="shared" si="4"/>
        <v>1590035</v>
      </c>
      <c r="J62" s="189">
        <f t="shared" si="5"/>
        <v>1356473</v>
      </c>
      <c r="K62" s="189">
        <f t="shared" si="6"/>
        <v>1080298</v>
      </c>
      <c r="L62" s="190">
        <f t="shared" si="7"/>
        <v>5906840</v>
      </c>
      <c r="M62" s="188">
        <v>473512</v>
      </c>
      <c r="N62" s="189">
        <v>289713</v>
      </c>
      <c r="O62" s="189">
        <v>238536</v>
      </c>
      <c r="P62" s="189">
        <v>227134</v>
      </c>
      <c r="Q62" s="190">
        <v>1228895</v>
      </c>
      <c r="R62" s="188">
        <v>374751</v>
      </c>
      <c r="S62" s="189">
        <v>350962</v>
      </c>
      <c r="T62" s="189">
        <v>381372</v>
      </c>
      <c r="U62" s="189">
        <v>273033</v>
      </c>
      <c r="V62" s="190">
        <v>1380118</v>
      </c>
      <c r="W62" s="188">
        <v>51751</v>
      </c>
      <c r="X62" s="189">
        <v>43415</v>
      </c>
      <c r="Y62" s="189">
        <v>39105</v>
      </c>
      <c r="Z62" s="189">
        <v>28455</v>
      </c>
      <c r="AA62" s="190">
        <v>162726</v>
      </c>
      <c r="AB62" s="188">
        <v>182022</v>
      </c>
      <c r="AC62" s="189">
        <v>261672</v>
      </c>
      <c r="AD62" s="189">
        <v>158128</v>
      </c>
      <c r="AE62" s="189">
        <v>108754</v>
      </c>
      <c r="AF62" s="190">
        <v>710576</v>
      </c>
      <c r="AG62" s="188">
        <v>390605</v>
      </c>
      <c r="AH62" s="189">
        <v>270614</v>
      </c>
      <c r="AI62" s="189">
        <v>224353</v>
      </c>
      <c r="AJ62" s="189">
        <v>190525</v>
      </c>
      <c r="AK62" s="190">
        <v>1076097</v>
      </c>
      <c r="AL62" s="188">
        <v>46929</v>
      </c>
      <c r="AM62" s="189">
        <v>40053</v>
      </c>
      <c r="AN62" s="189">
        <v>30223</v>
      </c>
      <c r="AO62" s="189">
        <v>25714</v>
      </c>
      <c r="AP62" s="190">
        <v>142919</v>
      </c>
      <c r="AQ62" s="188">
        <v>100672</v>
      </c>
      <c r="AR62" s="189">
        <v>111643</v>
      </c>
      <c r="AS62" s="189">
        <v>74416</v>
      </c>
      <c r="AT62" s="189">
        <v>62724</v>
      </c>
      <c r="AU62" s="190">
        <v>349455</v>
      </c>
      <c r="AV62" s="188">
        <v>40981</v>
      </c>
      <c r="AW62" s="189">
        <v>27499</v>
      </c>
      <c r="AX62" s="189">
        <v>26932</v>
      </c>
      <c r="AY62" s="189">
        <v>20072</v>
      </c>
      <c r="AZ62" s="190">
        <v>115484</v>
      </c>
      <c r="BA62" s="188">
        <v>218811</v>
      </c>
      <c r="BB62" s="189">
        <v>194464</v>
      </c>
      <c r="BC62" s="189">
        <v>183408</v>
      </c>
      <c r="BD62" s="189">
        <v>143887</v>
      </c>
      <c r="BE62" s="190">
        <v>740570</v>
      </c>
      <c r="BF62" s="188">
        <f t="shared" si="14"/>
        <v>205496</v>
      </c>
      <c r="BG62" s="189">
        <f t="shared" si="8"/>
        <v>225370</v>
      </c>
      <c r="BH62" s="189">
        <f t="shared" si="9"/>
        <v>225948</v>
      </c>
      <c r="BI62" s="189">
        <f t="shared" si="10"/>
        <v>268419</v>
      </c>
      <c r="BJ62" s="190">
        <f t="shared" si="11"/>
        <v>925233</v>
      </c>
      <c r="BK62" s="188">
        <v>13798</v>
      </c>
      <c r="BL62" s="189">
        <v>8648</v>
      </c>
      <c r="BM62" s="189">
        <v>9381</v>
      </c>
      <c r="BN62" s="189">
        <v>12537</v>
      </c>
      <c r="BO62" s="190">
        <v>44364</v>
      </c>
      <c r="BP62" s="188">
        <v>73069</v>
      </c>
      <c r="BQ62" s="189">
        <v>93891</v>
      </c>
      <c r="BR62" s="189">
        <v>85191</v>
      </c>
      <c r="BS62" s="189">
        <v>95923</v>
      </c>
      <c r="BT62" s="190">
        <v>348074</v>
      </c>
      <c r="BU62" s="188">
        <v>93394</v>
      </c>
      <c r="BV62" s="189">
        <v>103082</v>
      </c>
      <c r="BW62" s="189">
        <v>113464</v>
      </c>
      <c r="BX62" s="189">
        <v>138576</v>
      </c>
      <c r="BY62" s="190">
        <v>448516</v>
      </c>
      <c r="BZ62" s="188">
        <v>18155</v>
      </c>
      <c r="CA62" s="189">
        <v>18510</v>
      </c>
      <c r="CB62" s="189">
        <v>14136</v>
      </c>
      <c r="CC62" s="189">
        <v>17430</v>
      </c>
      <c r="CD62" s="190">
        <v>68231</v>
      </c>
      <c r="CE62" s="188">
        <v>7080</v>
      </c>
      <c r="CF62" s="189">
        <v>1239</v>
      </c>
      <c r="CG62" s="189">
        <v>3776</v>
      </c>
      <c r="CH62" s="189">
        <v>3953</v>
      </c>
      <c r="CI62" s="190">
        <v>16048</v>
      </c>
    </row>
    <row r="63" s="163" customFormat="1" ht="14.6" spans="1:87">
      <c r="A63" s="191" t="s">
        <v>60</v>
      </c>
      <c r="B63" s="192"/>
      <c r="C63" s="193">
        <f t="shared" si="12"/>
        <v>2085530</v>
      </c>
      <c r="D63" s="194">
        <f t="shared" si="0"/>
        <v>1815405</v>
      </c>
      <c r="E63" s="194">
        <f t="shared" si="1"/>
        <v>1582421</v>
      </c>
      <c r="F63" s="194">
        <f t="shared" si="2"/>
        <v>1348717</v>
      </c>
      <c r="G63" s="195">
        <f t="shared" si="3"/>
        <v>6832073</v>
      </c>
      <c r="H63" s="193">
        <f t="shared" si="13"/>
        <v>1880034</v>
      </c>
      <c r="I63" s="194">
        <f t="shared" si="4"/>
        <v>1590035</v>
      </c>
      <c r="J63" s="194">
        <f t="shared" si="5"/>
        <v>1356473</v>
      </c>
      <c r="K63" s="194">
        <f t="shared" si="6"/>
        <v>1080298</v>
      </c>
      <c r="L63" s="195">
        <f t="shared" si="7"/>
        <v>5906840</v>
      </c>
      <c r="M63" s="193">
        <v>473512</v>
      </c>
      <c r="N63" s="194">
        <v>289713</v>
      </c>
      <c r="O63" s="194">
        <v>238536</v>
      </c>
      <c r="P63" s="194">
        <v>227134</v>
      </c>
      <c r="Q63" s="195">
        <v>1228895</v>
      </c>
      <c r="R63" s="193">
        <v>374751</v>
      </c>
      <c r="S63" s="194">
        <v>350962</v>
      </c>
      <c r="T63" s="194">
        <v>381372</v>
      </c>
      <c r="U63" s="194">
        <v>273033</v>
      </c>
      <c r="V63" s="195">
        <v>1380118</v>
      </c>
      <c r="W63" s="193">
        <v>51751</v>
      </c>
      <c r="X63" s="194">
        <v>43415</v>
      </c>
      <c r="Y63" s="194">
        <v>39105</v>
      </c>
      <c r="Z63" s="194">
        <v>28455</v>
      </c>
      <c r="AA63" s="195">
        <v>162726</v>
      </c>
      <c r="AB63" s="193">
        <v>182022</v>
      </c>
      <c r="AC63" s="194">
        <v>261672</v>
      </c>
      <c r="AD63" s="194">
        <v>158128</v>
      </c>
      <c r="AE63" s="194">
        <v>108754</v>
      </c>
      <c r="AF63" s="195">
        <v>710576</v>
      </c>
      <c r="AG63" s="193">
        <v>390605</v>
      </c>
      <c r="AH63" s="194">
        <v>270614</v>
      </c>
      <c r="AI63" s="194">
        <v>224353</v>
      </c>
      <c r="AJ63" s="194">
        <v>190525</v>
      </c>
      <c r="AK63" s="195">
        <v>1076097</v>
      </c>
      <c r="AL63" s="193">
        <v>46929</v>
      </c>
      <c r="AM63" s="194">
        <v>40053</v>
      </c>
      <c r="AN63" s="194">
        <v>30223</v>
      </c>
      <c r="AO63" s="194">
        <v>25714</v>
      </c>
      <c r="AP63" s="195">
        <v>142919</v>
      </c>
      <c r="AQ63" s="193">
        <v>100672</v>
      </c>
      <c r="AR63" s="194">
        <v>111643</v>
      </c>
      <c r="AS63" s="194">
        <v>74416</v>
      </c>
      <c r="AT63" s="194">
        <v>62724</v>
      </c>
      <c r="AU63" s="195">
        <v>349455</v>
      </c>
      <c r="AV63" s="193">
        <v>40981</v>
      </c>
      <c r="AW63" s="194">
        <v>27499</v>
      </c>
      <c r="AX63" s="194">
        <v>26932</v>
      </c>
      <c r="AY63" s="194">
        <v>20072</v>
      </c>
      <c r="AZ63" s="195">
        <v>115484</v>
      </c>
      <c r="BA63" s="193">
        <v>218811</v>
      </c>
      <c r="BB63" s="194">
        <v>194464</v>
      </c>
      <c r="BC63" s="194">
        <v>183408</v>
      </c>
      <c r="BD63" s="194">
        <v>143887</v>
      </c>
      <c r="BE63" s="195">
        <v>740570</v>
      </c>
      <c r="BF63" s="193">
        <f t="shared" si="14"/>
        <v>205496</v>
      </c>
      <c r="BG63" s="194">
        <f t="shared" si="8"/>
        <v>225370</v>
      </c>
      <c r="BH63" s="194">
        <f t="shared" si="9"/>
        <v>225948</v>
      </c>
      <c r="BI63" s="194">
        <f t="shared" si="10"/>
        <v>268419</v>
      </c>
      <c r="BJ63" s="195">
        <f t="shared" si="11"/>
        <v>925233</v>
      </c>
      <c r="BK63" s="193">
        <v>13798</v>
      </c>
      <c r="BL63" s="194">
        <v>8648</v>
      </c>
      <c r="BM63" s="194">
        <v>9381</v>
      </c>
      <c r="BN63" s="194">
        <v>12537</v>
      </c>
      <c r="BO63" s="195">
        <v>44364</v>
      </c>
      <c r="BP63" s="193">
        <v>73069</v>
      </c>
      <c r="BQ63" s="194">
        <v>93891</v>
      </c>
      <c r="BR63" s="194">
        <v>85191</v>
      </c>
      <c r="BS63" s="194">
        <v>95923</v>
      </c>
      <c r="BT63" s="195">
        <v>348074</v>
      </c>
      <c r="BU63" s="193">
        <v>93394</v>
      </c>
      <c r="BV63" s="194">
        <v>103082</v>
      </c>
      <c r="BW63" s="194">
        <v>113464</v>
      </c>
      <c r="BX63" s="194">
        <v>138576</v>
      </c>
      <c r="BY63" s="195">
        <v>448516</v>
      </c>
      <c r="BZ63" s="193">
        <v>18155</v>
      </c>
      <c r="CA63" s="194">
        <v>18510</v>
      </c>
      <c r="CB63" s="194">
        <v>14136</v>
      </c>
      <c r="CC63" s="194">
        <v>17430</v>
      </c>
      <c r="CD63" s="195">
        <v>68231</v>
      </c>
      <c r="CE63" s="193">
        <v>7080</v>
      </c>
      <c r="CF63" s="194">
        <v>1239</v>
      </c>
      <c r="CG63" s="194">
        <v>3776</v>
      </c>
      <c r="CH63" s="194">
        <v>3953</v>
      </c>
      <c r="CI63" s="195">
        <v>16048</v>
      </c>
    </row>
    <row r="64" spans="1:87">
      <c r="A64" s="186" t="s">
        <v>61</v>
      </c>
      <c r="B64" s="187" t="s">
        <v>26</v>
      </c>
      <c r="C64" s="188">
        <f t="shared" si="12"/>
        <v>1468204</v>
      </c>
      <c r="D64" s="189">
        <f t="shared" si="0"/>
        <v>1649308</v>
      </c>
      <c r="E64" s="189">
        <f t="shared" si="1"/>
        <v>1419026</v>
      </c>
      <c r="F64" s="189">
        <f t="shared" si="2"/>
        <v>1099321</v>
      </c>
      <c r="G64" s="190">
        <f t="shared" si="3"/>
        <v>5635859</v>
      </c>
      <c r="H64" s="188">
        <f t="shared" si="13"/>
        <v>1398713</v>
      </c>
      <c r="I64" s="189">
        <f t="shared" si="4"/>
        <v>1582869</v>
      </c>
      <c r="J64" s="189">
        <f t="shared" si="5"/>
        <v>1337332</v>
      </c>
      <c r="K64" s="189">
        <f t="shared" si="6"/>
        <v>1004665</v>
      </c>
      <c r="L64" s="190">
        <f t="shared" si="7"/>
        <v>5323579</v>
      </c>
      <c r="M64" s="188">
        <v>80704</v>
      </c>
      <c r="N64" s="189">
        <v>180325</v>
      </c>
      <c r="O64" s="189">
        <v>100894</v>
      </c>
      <c r="P64" s="189">
        <v>96203</v>
      </c>
      <c r="Q64" s="190">
        <v>458126</v>
      </c>
      <c r="R64" s="188">
        <v>454184</v>
      </c>
      <c r="S64" s="189">
        <v>641560</v>
      </c>
      <c r="T64" s="189">
        <v>429043</v>
      </c>
      <c r="U64" s="189">
        <v>301671</v>
      </c>
      <c r="V64" s="190">
        <v>1826458</v>
      </c>
      <c r="W64" s="188">
        <v>40347</v>
      </c>
      <c r="X64" s="189">
        <v>64140</v>
      </c>
      <c r="Y64" s="189">
        <v>42707</v>
      </c>
      <c r="Z64" s="189">
        <v>38233</v>
      </c>
      <c r="AA64" s="190">
        <v>185427</v>
      </c>
      <c r="AB64" s="188">
        <v>111456</v>
      </c>
      <c r="AC64" s="189">
        <v>150428</v>
      </c>
      <c r="AD64" s="189">
        <v>265261</v>
      </c>
      <c r="AE64" s="189">
        <v>132617</v>
      </c>
      <c r="AF64" s="190">
        <v>659762</v>
      </c>
      <c r="AG64" s="188">
        <v>303952</v>
      </c>
      <c r="AH64" s="189">
        <v>205210</v>
      </c>
      <c r="AI64" s="189">
        <v>159005</v>
      </c>
      <c r="AJ64" s="189">
        <v>143366</v>
      </c>
      <c r="AK64" s="190">
        <v>811533</v>
      </c>
      <c r="AL64" s="188">
        <v>18838</v>
      </c>
      <c r="AM64" s="189">
        <v>26006</v>
      </c>
      <c r="AN64" s="189">
        <v>28514</v>
      </c>
      <c r="AO64" s="189">
        <v>26065</v>
      </c>
      <c r="AP64" s="190">
        <v>99423</v>
      </c>
      <c r="AQ64" s="188">
        <v>261282</v>
      </c>
      <c r="AR64" s="189">
        <v>163683</v>
      </c>
      <c r="AS64" s="189">
        <v>125097</v>
      </c>
      <c r="AT64" s="189">
        <v>102424</v>
      </c>
      <c r="AU64" s="190">
        <v>652486</v>
      </c>
      <c r="AV64" s="188">
        <v>16370</v>
      </c>
      <c r="AW64" s="189">
        <v>13405</v>
      </c>
      <c r="AX64" s="189">
        <v>25611</v>
      </c>
      <c r="AY64" s="189">
        <v>16800</v>
      </c>
      <c r="AZ64" s="190">
        <v>72186</v>
      </c>
      <c r="BA64" s="188">
        <v>111580</v>
      </c>
      <c r="BB64" s="189">
        <v>138112</v>
      </c>
      <c r="BC64" s="189">
        <v>161200</v>
      </c>
      <c r="BD64" s="189">
        <v>147286</v>
      </c>
      <c r="BE64" s="190">
        <v>558178</v>
      </c>
      <c r="BF64" s="188">
        <f t="shared" si="14"/>
        <v>69491</v>
      </c>
      <c r="BG64" s="189">
        <f t="shared" si="8"/>
        <v>66439</v>
      </c>
      <c r="BH64" s="189">
        <f t="shared" si="9"/>
        <v>81694</v>
      </c>
      <c r="BI64" s="189">
        <f t="shared" si="10"/>
        <v>94656</v>
      </c>
      <c r="BJ64" s="190">
        <f t="shared" si="11"/>
        <v>312280</v>
      </c>
      <c r="BK64" s="188">
        <v>7122</v>
      </c>
      <c r="BL64" s="189">
        <v>1096</v>
      </c>
      <c r="BM64" s="189">
        <v>1013</v>
      </c>
      <c r="BN64" s="189">
        <v>1242</v>
      </c>
      <c r="BO64" s="190">
        <v>10473</v>
      </c>
      <c r="BP64" s="188">
        <v>22878</v>
      </c>
      <c r="BQ64" s="189">
        <v>21606</v>
      </c>
      <c r="BR64" s="189">
        <v>23667</v>
      </c>
      <c r="BS64" s="189">
        <v>22166</v>
      </c>
      <c r="BT64" s="190">
        <v>90317</v>
      </c>
      <c r="BU64" s="188">
        <v>31625</v>
      </c>
      <c r="BV64" s="189">
        <v>30105</v>
      </c>
      <c r="BW64" s="189">
        <v>48182</v>
      </c>
      <c r="BX64" s="189">
        <v>65253</v>
      </c>
      <c r="BY64" s="190">
        <v>175165</v>
      </c>
      <c r="BZ64" s="188">
        <v>2070</v>
      </c>
      <c r="CA64" s="189">
        <v>7698</v>
      </c>
      <c r="CB64" s="189">
        <v>5106</v>
      </c>
      <c r="CC64" s="189">
        <v>4339</v>
      </c>
      <c r="CD64" s="190">
        <v>19213</v>
      </c>
      <c r="CE64" s="188">
        <v>5796</v>
      </c>
      <c r="CF64" s="189">
        <v>5934</v>
      </c>
      <c r="CG64" s="189">
        <v>3726</v>
      </c>
      <c r="CH64" s="189">
        <v>1656</v>
      </c>
      <c r="CI64" s="190">
        <v>17112</v>
      </c>
    </row>
    <row r="65" spans="1:87">
      <c r="A65" s="186"/>
      <c r="B65" s="187" t="s">
        <v>27</v>
      </c>
      <c r="C65" s="188">
        <f t="shared" si="12"/>
        <v>20552</v>
      </c>
      <c r="D65" s="189">
        <f t="shared" si="0"/>
        <v>8562</v>
      </c>
      <c r="E65" s="189">
        <f t="shared" si="1"/>
        <v>11088</v>
      </c>
      <c r="F65" s="189">
        <f t="shared" si="2"/>
        <v>7116</v>
      </c>
      <c r="G65" s="190">
        <f t="shared" si="3"/>
        <v>47318</v>
      </c>
      <c r="H65" s="188">
        <f t="shared" si="13"/>
        <v>17403</v>
      </c>
      <c r="I65" s="189">
        <f t="shared" si="4"/>
        <v>8023</v>
      </c>
      <c r="J65" s="189">
        <f t="shared" si="5"/>
        <v>9652</v>
      </c>
      <c r="K65" s="189">
        <f t="shared" si="6"/>
        <v>5793</v>
      </c>
      <c r="L65" s="190">
        <f t="shared" si="7"/>
        <v>40871</v>
      </c>
      <c r="M65" s="188"/>
      <c r="N65" s="189"/>
      <c r="O65" s="189"/>
      <c r="P65" s="189"/>
      <c r="Q65" s="190"/>
      <c r="R65" s="188"/>
      <c r="S65" s="189"/>
      <c r="T65" s="189"/>
      <c r="U65" s="189"/>
      <c r="V65" s="190"/>
      <c r="W65" s="188">
        <v>2156</v>
      </c>
      <c r="X65" s="189">
        <v>833</v>
      </c>
      <c r="Y65" s="189">
        <v>98</v>
      </c>
      <c r="Z65" s="189">
        <v>686</v>
      </c>
      <c r="AA65" s="190">
        <v>3773</v>
      </c>
      <c r="AB65" s="188">
        <v>343</v>
      </c>
      <c r="AC65" s="189">
        <v>637</v>
      </c>
      <c r="AD65" s="189"/>
      <c r="AE65" s="189"/>
      <c r="AF65" s="190">
        <v>980</v>
      </c>
      <c r="AG65" s="188">
        <v>11814</v>
      </c>
      <c r="AH65" s="189">
        <v>4117</v>
      </c>
      <c r="AI65" s="189">
        <v>3938</v>
      </c>
      <c r="AJ65" s="189">
        <v>3222</v>
      </c>
      <c r="AK65" s="190">
        <v>23091</v>
      </c>
      <c r="AL65" s="188"/>
      <c r="AM65" s="189"/>
      <c r="AN65" s="189"/>
      <c r="AO65" s="189"/>
      <c r="AP65" s="190"/>
      <c r="AQ65" s="188">
        <v>1764</v>
      </c>
      <c r="AR65" s="189">
        <v>1764</v>
      </c>
      <c r="AS65" s="189">
        <v>4719</v>
      </c>
      <c r="AT65" s="189">
        <v>1470</v>
      </c>
      <c r="AU65" s="190">
        <v>9717</v>
      </c>
      <c r="AV65" s="188">
        <v>444</v>
      </c>
      <c r="AW65" s="189">
        <v>147</v>
      </c>
      <c r="AX65" s="189">
        <v>554</v>
      </c>
      <c r="AY65" s="189">
        <v>49</v>
      </c>
      <c r="AZ65" s="190">
        <v>1194</v>
      </c>
      <c r="BA65" s="188">
        <v>882</v>
      </c>
      <c r="BB65" s="189">
        <v>525</v>
      </c>
      <c r="BC65" s="189">
        <v>343</v>
      </c>
      <c r="BD65" s="189">
        <v>366</v>
      </c>
      <c r="BE65" s="190">
        <v>2116</v>
      </c>
      <c r="BF65" s="188">
        <f t="shared" si="14"/>
        <v>3149</v>
      </c>
      <c r="BG65" s="189">
        <f t="shared" si="8"/>
        <v>539</v>
      </c>
      <c r="BH65" s="189">
        <f t="shared" si="9"/>
        <v>1436</v>
      </c>
      <c r="BI65" s="189">
        <f t="shared" si="10"/>
        <v>1323</v>
      </c>
      <c r="BJ65" s="190">
        <f t="shared" si="11"/>
        <v>6447</v>
      </c>
      <c r="BK65" s="188"/>
      <c r="BL65" s="189"/>
      <c r="BM65" s="189"/>
      <c r="BN65" s="189"/>
      <c r="BO65" s="190"/>
      <c r="BP65" s="188">
        <v>343</v>
      </c>
      <c r="BQ65" s="189">
        <v>147</v>
      </c>
      <c r="BR65" s="189">
        <v>375</v>
      </c>
      <c r="BS65" s="189">
        <v>98</v>
      </c>
      <c r="BT65" s="190">
        <v>963</v>
      </c>
      <c r="BU65" s="188">
        <v>686</v>
      </c>
      <c r="BV65" s="189">
        <v>196</v>
      </c>
      <c r="BW65" s="189">
        <v>147</v>
      </c>
      <c r="BX65" s="189">
        <v>1225</v>
      </c>
      <c r="BY65" s="190">
        <v>2254</v>
      </c>
      <c r="BZ65" s="188"/>
      <c r="CA65" s="189"/>
      <c r="CB65" s="189"/>
      <c r="CC65" s="189"/>
      <c r="CD65" s="190"/>
      <c r="CE65" s="188">
        <v>2120</v>
      </c>
      <c r="CF65" s="189">
        <v>196</v>
      </c>
      <c r="CG65" s="189">
        <v>914</v>
      </c>
      <c r="CH65" s="189"/>
      <c r="CI65" s="190">
        <v>3230</v>
      </c>
    </row>
    <row r="66" s="163" customFormat="1" ht="14.6" spans="1:87">
      <c r="A66" s="191" t="s">
        <v>62</v>
      </c>
      <c r="B66" s="192"/>
      <c r="C66" s="193">
        <f t="shared" si="12"/>
        <v>1488756</v>
      </c>
      <c r="D66" s="194">
        <f t="shared" si="0"/>
        <v>1657870</v>
      </c>
      <c r="E66" s="194">
        <f t="shared" si="1"/>
        <v>1430114</v>
      </c>
      <c r="F66" s="194">
        <f t="shared" si="2"/>
        <v>1106437</v>
      </c>
      <c r="G66" s="195">
        <f t="shared" si="3"/>
        <v>5683177</v>
      </c>
      <c r="H66" s="193">
        <f t="shared" si="13"/>
        <v>1416116</v>
      </c>
      <c r="I66" s="194">
        <f t="shared" si="4"/>
        <v>1590892</v>
      </c>
      <c r="J66" s="194">
        <f t="shared" si="5"/>
        <v>1346984</v>
      </c>
      <c r="K66" s="194">
        <f t="shared" si="6"/>
        <v>1010458</v>
      </c>
      <c r="L66" s="195">
        <f t="shared" si="7"/>
        <v>5364450</v>
      </c>
      <c r="M66" s="193">
        <v>80704</v>
      </c>
      <c r="N66" s="194">
        <v>180325</v>
      </c>
      <c r="O66" s="194">
        <v>100894</v>
      </c>
      <c r="P66" s="194">
        <v>96203</v>
      </c>
      <c r="Q66" s="195">
        <v>458126</v>
      </c>
      <c r="R66" s="193">
        <v>454184</v>
      </c>
      <c r="S66" s="194">
        <v>641560</v>
      </c>
      <c r="T66" s="194">
        <v>429043</v>
      </c>
      <c r="U66" s="194">
        <v>301671</v>
      </c>
      <c r="V66" s="195">
        <v>1826458</v>
      </c>
      <c r="W66" s="193">
        <v>42503</v>
      </c>
      <c r="X66" s="194">
        <v>64973</v>
      </c>
      <c r="Y66" s="194">
        <v>42805</v>
      </c>
      <c r="Z66" s="194">
        <v>38919</v>
      </c>
      <c r="AA66" s="195">
        <v>189200</v>
      </c>
      <c r="AB66" s="193">
        <v>111799</v>
      </c>
      <c r="AC66" s="194">
        <v>151065</v>
      </c>
      <c r="AD66" s="194">
        <v>265261</v>
      </c>
      <c r="AE66" s="194">
        <v>132617</v>
      </c>
      <c r="AF66" s="195">
        <v>660742</v>
      </c>
      <c r="AG66" s="193">
        <v>315766</v>
      </c>
      <c r="AH66" s="194">
        <v>209327</v>
      </c>
      <c r="AI66" s="194">
        <v>162943</v>
      </c>
      <c r="AJ66" s="194">
        <v>146588</v>
      </c>
      <c r="AK66" s="195">
        <v>834624</v>
      </c>
      <c r="AL66" s="193">
        <v>18838</v>
      </c>
      <c r="AM66" s="194">
        <v>26006</v>
      </c>
      <c r="AN66" s="194">
        <v>28514</v>
      </c>
      <c r="AO66" s="194">
        <v>26065</v>
      </c>
      <c r="AP66" s="195">
        <v>99423</v>
      </c>
      <c r="AQ66" s="193">
        <v>263046</v>
      </c>
      <c r="AR66" s="194">
        <v>165447</v>
      </c>
      <c r="AS66" s="194">
        <v>129816</v>
      </c>
      <c r="AT66" s="194">
        <v>103894</v>
      </c>
      <c r="AU66" s="195">
        <v>662203</v>
      </c>
      <c r="AV66" s="193">
        <v>16814</v>
      </c>
      <c r="AW66" s="194">
        <v>13552</v>
      </c>
      <c r="AX66" s="194">
        <v>26165</v>
      </c>
      <c r="AY66" s="194">
        <v>16849</v>
      </c>
      <c r="AZ66" s="195">
        <v>73380</v>
      </c>
      <c r="BA66" s="193">
        <v>112462</v>
      </c>
      <c r="BB66" s="194">
        <v>138637</v>
      </c>
      <c r="BC66" s="194">
        <v>161543</v>
      </c>
      <c r="BD66" s="194">
        <v>147652</v>
      </c>
      <c r="BE66" s="195">
        <v>560294</v>
      </c>
      <c r="BF66" s="193">
        <f t="shared" si="14"/>
        <v>72640</v>
      </c>
      <c r="BG66" s="194">
        <f t="shared" si="8"/>
        <v>66978</v>
      </c>
      <c r="BH66" s="194">
        <f t="shared" si="9"/>
        <v>83130</v>
      </c>
      <c r="BI66" s="194">
        <f t="shared" si="10"/>
        <v>95979</v>
      </c>
      <c r="BJ66" s="195">
        <f t="shared" si="11"/>
        <v>318727</v>
      </c>
      <c r="BK66" s="193">
        <v>7122</v>
      </c>
      <c r="BL66" s="194">
        <v>1096</v>
      </c>
      <c r="BM66" s="194">
        <v>1013</v>
      </c>
      <c r="BN66" s="194">
        <v>1242</v>
      </c>
      <c r="BO66" s="195">
        <v>10473</v>
      </c>
      <c r="BP66" s="193">
        <v>23221</v>
      </c>
      <c r="BQ66" s="194">
        <v>21753</v>
      </c>
      <c r="BR66" s="194">
        <v>24042</v>
      </c>
      <c r="BS66" s="194">
        <v>22264</v>
      </c>
      <c r="BT66" s="195">
        <v>91280</v>
      </c>
      <c r="BU66" s="193">
        <v>32311</v>
      </c>
      <c r="BV66" s="194">
        <v>30301</v>
      </c>
      <c r="BW66" s="194">
        <v>48329</v>
      </c>
      <c r="BX66" s="194">
        <v>66478</v>
      </c>
      <c r="BY66" s="195">
        <v>177419</v>
      </c>
      <c r="BZ66" s="193">
        <v>2070</v>
      </c>
      <c r="CA66" s="194">
        <v>7698</v>
      </c>
      <c r="CB66" s="194">
        <v>5106</v>
      </c>
      <c r="CC66" s="194">
        <v>4339</v>
      </c>
      <c r="CD66" s="195">
        <v>19213</v>
      </c>
      <c r="CE66" s="193">
        <v>7916</v>
      </c>
      <c r="CF66" s="194">
        <v>6130</v>
      </c>
      <c r="CG66" s="194">
        <v>4640</v>
      </c>
      <c r="CH66" s="194">
        <v>1656</v>
      </c>
      <c r="CI66" s="195">
        <v>20342</v>
      </c>
    </row>
    <row r="67" spans="1:87">
      <c r="A67" s="186" t="s">
        <v>63</v>
      </c>
      <c r="B67" s="187" t="s">
        <v>26</v>
      </c>
      <c r="C67" s="188">
        <f t="shared" si="12"/>
        <v>1566705</v>
      </c>
      <c r="D67" s="189">
        <f t="shared" ref="D67:D130" si="15">I67+BG67</f>
        <v>1449147</v>
      </c>
      <c r="E67" s="189">
        <f t="shared" ref="E67:E130" si="16">J67+BH67</f>
        <v>1259784</v>
      </c>
      <c r="F67" s="189">
        <f t="shared" ref="F67:F130" si="17">K67+BI67</f>
        <v>1389930</v>
      </c>
      <c r="G67" s="190">
        <f t="shared" ref="G67:G130" si="18">L67+BJ67</f>
        <v>5665566</v>
      </c>
      <c r="H67" s="188">
        <f t="shared" si="13"/>
        <v>1265016</v>
      </c>
      <c r="I67" s="189">
        <f t="shared" ref="I67:I130" si="19">N67+S67+X67+AC67+AH67+AM67+AR67+AW67+BB67</f>
        <v>1097706</v>
      </c>
      <c r="J67" s="189">
        <f t="shared" ref="J67:J130" si="20">O67+T67+Y67+AD67+AI67+AN67+AS67+AX67+BC67</f>
        <v>911442</v>
      </c>
      <c r="K67" s="189">
        <f t="shared" ref="K67:K130" si="21">P67+U67+Z67+AE67+AJ67+AO67+AT67+AY67+BD67</f>
        <v>1026378</v>
      </c>
      <c r="L67" s="190">
        <f t="shared" ref="L67:L130" si="22">Q67+V67+AA67+AF67+AK67+AP67+AU67+AZ67+BE67</f>
        <v>4300542</v>
      </c>
      <c r="M67" s="188">
        <v>324144</v>
      </c>
      <c r="N67" s="189">
        <v>210207</v>
      </c>
      <c r="O67" s="189">
        <v>147024</v>
      </c>
      <c r="P67" s="189">
        <v>131265</v>
      </c>
      <c r="Q67" s="190">
        <v>812640</v>
      </c>
      <c r="R67" s="188">
        <v>460110</v>
      </c>
      <c r="S67" s="189">
        <v>419934</v>
      </c>
      <c r="T67" s="189">
        <v>383880</v>
      </c>
      <c r="U67" s="189">
        <v>359613</v>
      </c>
      <c r="V67" s="190">
        <v>1623537</v>
      </c>
      <c r="W67" s="188">
        <v>20802</v>
      </c>
      <c r="X67" s="189">
        <v>19272</v>
      </c>
      <c r="Y67" s="189">
        <v>20010</v>
      </c>
      <c r="Z67" s="189">
        <v>19809</v>
      </c>
      <c r="AA67" s="190">
        <v>79893</v>
      </c>
      <c r="AB67" s="188">
        <v>86472</v>
      </c>
      <c r="AC67" s="189">
        <v>123384</v>
      </c>
      <c r="AD67" s="189">
        <v>90456</v>
      </c>
      <c r="AE67" s="189">
        <v>71787</v>
      </c>
      <c r="AF67" s="190">
        <v>372099</v>
      </c>
      <c r="AG67" s="188">
        <v>111249</v>
      </c>
      <c r="AH67" s="189">
        <v>72843</v>
      </c>
      <c r="AI67" s="189">
        <v>66159</v>
      </c>
      <c r="AJ67" s="189">
        <v>177213</v>
      </c>
      <c r="AK67" s="190">
        <v>427464</v>
      </c>
      <c r="AL67" s="188">
        <v>66609</v>
      </c>
      <c r="AM67" s="189">
        <v>58161</v>
      </c>
      <c r="AN67" s="189">
        <v>44199</v>
      </c>
      <c r="AO67" s="189">
        <v>44742</v>
      </c>
      <c r="AP67" s="190">
        <v>213711</v>
      </c>
      <c r="AQ67" s="188">
        <v>70041</v>
      </c>
      <c r="AR67" s="189">
        <v>49329</v>
      </c>
      <c r="AS67" s="189">
        <v>44268</v>
      </c>
      <c r="AT67" s="189">
        <v>49878</v>
      </c>
      <c r="AU67" s="190">
        <v>213516</v>
      </c>
      <c r="AV67" s="188">
        <v>7101</v>
      </c>
      <c r="AW67" s="189">
        <v>28428</v>
      </c>
      <c r="AX67" s="189">
        <v>2070</v>
      </c>
      <c r="AY67" s="189">
        <v>2553</v>
      </c>
      <c r="AZ67" s="190">
        <v>40152</v>
      </c>
      <c r="BA67" s="188">
        <v>118488</v>
      </c>
      <c r="BB67" s="189">
        <v>116148</v>
      </c>
      <c r="BC67" s="189">
        <v>113376</v>
      </c>
      <c r="BD67" s="189">
        <v>169518</v>
      </c>
      <c r="BE67" s="190">
        <v>517530</v>
      </c>
      <c r="BF67" s="188">
        <f t="shared" si="14"/>
        <v>301689</v>
      </c>
      <c r="BG67" s="189">
        <f t="shared" ref="BG67:BG130" si="23">BL67+BQ67+BV67+CA67+CF67</f>
        <v>351441</v>
      </c>
      <c r="BH67" s="189">
        <f t="shared" ref="BH67:BH130" si="24">BM67+BR67+BW67+CB67+CG67</f>
        <v>348342</v>
      </c>
      <c r="BI67" s="189">
        <f t="shared" ref="BI67:BI130" si="25">BN67+BS67+BX67+CC67+CH67</f>
        <v>363552</v>
      </c>
      <c r="BJ67" s="190">
        <f t="shared" ref="BJ67:BJ130" si="26">BO67+BT67+BY67+CD67+CI67</f>
        <v>1365024</v>
      </c>
      <c r="BK67" s="188">
        <v>6894</v>
      </c>
      <c r="BL67" s="189">
        <v>16914</v>
      </c>
      <c r="BM67" s="189">
        <v>18483</v>
      </c>
      <c r="BN67" s="189">
        <v>28569</v>
      </c>
      <c r="BO67" s="190">
        <v>70860</v>
      </c>
      <c r="BP67" s="188">
        <v>170721</v>
      </c>
      <c r="BQ67" s="189">
        <v>155070</v>
      </c>
      <c r="BR67" s="189">
        <v>151452</v>
      </c>
      <c r="BS67" s="189">
        <v>154701</v>
      </c>
      <c r="BT67" s="190">
        <v>631944</v>
      </c>
      <c r="BU67" s="188">
        <v>82185</v>
      </c>
      <c r="BV67" s="189">
        <v>120141</v>
      </c>
      <c r="BW67" s="189">
        <v>135369</v>
      </c>
      <c r="BX67" s="189">
        <v>138693</v>
      </c>
      <c r="BY67" s="190">
        <v>476388</v>
      </c>
      <c r="BZ67" s="188">
        <v>24429</v>
      </c>
      <c r="CA67" s="189">
        <v>37956</v>
      </c>
      <c r="CB67" s="189">
        <v>25815</v>
      </c>
      <c r="CC67" s="189">
        <v>18780</v>
      </c>
      <c r="CD67" s="190">
        <v>106980</v>
      </c>
      <c r="CE67" s="188">
        <v>17460</v>
      </c>
      <c r="CF67" s="189">
        <v>21360</v>
      </c>
      <c r="CG67" s="189">
        <v>17223</v>
      </c>
      <c r="CH67" s="189">
        <v>22809</v>
      </c>
      <c r="CI67" s="190">
        <v>78852</v>
      </c>
    </row>
    <row r="68" s="163" customFormat="1" ht="14.6" spans="1:87">
      <c r="A68" s="191" t="s">
        <v>64</v>
      </c>
      <c r="B68" s="192"/>
      <c r="C68" s="193">
        <f t="shared" ref="C68:C131" si="27">H68+BF68</f>
        <v>1566705</v>
      </c>
      <c r="D68" s="194">
        <f t="shared" si="15"/>
        <v>1449147</v>
      </c>
      <c r="E68" s="194">
        <f t="shared" si="16"/>
        <v>1259784</v>
      </c>
      <c r="F68" s="194">
        <f t="shared" si="17"/>
        <v>1389930</v>
      </c>
      <c r="G68" s="195">
        <f t="shared" si="18"/>
        <v>5665566</v>
      </c>
      <c r="H68" s="193">
        <f t="shared" ref="H68:H131" si="28">M68+R68+W68+AB68+AG68+AL68+AQ68+AV68+BA68</f>
        <v>1265016</v>
      </c>
      <c r="I68" s="194">
        <f t="shared" si="19"/>
        <v>1097706</v>
      </c>
      <c r="J68" s="194">
        <f t="shared" si="20"/>
        <v>911442</v>
      </c>
      <c r="K68" s="194">
        <f t="shared" si="21"/>
        <v>1026378</v>
      </c>
      <c r="L68" s="195">
        <f t="shared" si="22"/>
        <v>4300542</v>
      </c>
      <c r="M68" s="193">
        <v>324144</v>
      </c>
      <c r="N68" s="194">
        <v>210207</v>
      </c>
      <c r="O68" s="194">
        <v>147024</v>
      </c>
      <c r="P68" s="194">
        <v>131265</v>
      </c>
      <c r="Q68" s="195">
        <v>812640</v>
      </c>
      <c r="R68" s="193">
        <v>460110</v>
      </c>
      <c r="S68" s="194">
        <v>419934</v>
      </c>
      <c r="T68" s="194">
        <v>383880</v>
      </c>
      <c r="U68" s="194">
        <v>359613</v>
      </c>
      <c r="V68" s="195">
        <v>1623537</v>
      </c>
      <c r="W68" s="193">
        <v>20802</v>
      </c>
      <c r="X68" s="194">
        <v>19272</v>
      </c>
      <c r="Y68" s="194">
        <v>20010</v>
      </c>
      <c r="Z68" s="194">
        <v>19809</v>
      </c>
      <c r="AA68" s="195">
        <v>79893</v>
      </c>
      <c r="AB68" s="193">
        <v>86472</v>
      </c>
      <c r="AC68" s="194">
        <v>123384</v>
      </c>
      <c r="AD68" s="194">
        <v>90456</v>
      </c>
      <c r="AE68" s="194">
        <v>71787</v>
      </c>
      <c r="AF68" s="195">
        <v>372099</v>
      </c>
      <c r="AG68" s="193">
        <v>111249</v>
      </c>
      <c r="AH68" s="194">
        <v>72843</v>
      </c>
      <c r="AI68" s="194">
        <v>66159</v>
      </c>
      <c r="AJ68" s="194">
        <v>177213</v>
      </c>
      <c r="AK68" s="195">
        <v>427464</v>
      </c>
      <c r="AL68" s="193">
        <v>66609</v>
      </c>
      <c r="AM68" s="194">
        <v>58161</v>
      </c>
      <c r="AN68" s="194">
        <v>44199</v>
      </c>
      <c r="AO68" s="194">
        <v>44742</v>
      </c>
      <c r="AP68" s="195">
        <v>213711</v>
      </c>
      <c r="AQ68" s="193">
        <v>70041</v>
      </c>
      <c r="AR68" s="194">
        <v>49329</v>
      </c>
      <c r="AS68" s="194">
        <v>44268</v>
      </c>
      <c r="AT68" s="194">
        <v>49878</v>
      </c>
      <c r="AU68" s="195">
        <v>213516</v>
      </c>
      <c r="AV68" s="193">
        <v>7101</v>
      </c>
      <c r="AW68" s="194">
        <v>28428</v>
      </c>
      <c r="AX68" s="194">
        <v>2070</v>
      </c>
      <c r="AY68" s="194">
        <v>2553</v>
      </c>
      <c r="AZ68" s="195">
        <v>40152</v>
      </c>
      <c r="BA68" s="193">
        <v>118488</v>
      </c>
      <c r="BB68" s="194">
        <v>116148</v>
      </c>
      <c r="BC68" s="194">
        <v>113376</v>
      </c>
      <c r="BD68" s="194">
        <v>169518</v>
      </c>
      <c r="BE68" s="195">
        <v>517530</v>
      </c>
      <c r="BF68" s="193">
        <f t="shared" ref="BF68:BF131" si="29">BK68+BP68+BU68+BZ68+CE68</f>
        <v>301689</v>
      </c>
      <c r="BG68" s="194">
        <f t="shared" si="23"/>
        <v>351441</v>
      </c>
      <c r="BH68" s="194">
        <f t="shared" si="24"/>
        <v>348342</v>
      </c>
      <c r="BI68" s="194">
        <f t="shared" si="25"/>
        <v>363552</v>
      </c>
      <c r="BJ68" s="195">
        <f t="shared" si="26"/>
        <v>1365024</v>
      </c>
      <c r="BK68" s="193">
        <v>6894</v>
      </c>
      <c r="BL68" s="194">
        <v>16914</v>
      </c>
      <c r="BM68" s="194">
        <v>18483</v>
      </c>
      <c r="BN68" s="194">
        <v>28569</v>
      </c>
      <c r="BO68" s="195">
        <v>70860</v>
      </c>
      <c r="BP68" s="193">
        <v>170721</v>
      </c>
      <c r="BQ68" s="194">
        <v>155070</v>
      </c>
      <c r="BR68" s="194">
        <v>151452</v>
      </c>
      <c r="BS68" s="194">
        <v>154701</v>
      </c>
      <c r="BT68" s="195">
        <v>631944</v>
      </c>
      <c r="BU68" s="193">
        <v>82185</v>
      </c>
      <c r="BV68" s="194">
        <v>120141</v>
      </c>
      <c r="BW68" s="194">
        <v>135369</v>
      </c>
      <c r="BX68" s="194">
        <v>138693</v>
      </c>
      <c r="BY68" s="195">
        <v>476388</v>
      </c>
      <c r="BZ68" s="193">
        <v>24429</v>
      </c>
      <c r="CA68" s="194">
        <v>37956</v>
      </c>
      <c r="CB68" s="194">
        <v>25815</v>
      </c>
      <c r="CC68" s="194">
        <v>18780</v>
      </c>
      <c r="CD68" s="195">
        <v>106980</v>
      </c>
      <c r="CE68" s="193">
        <v>17460</v>
      </c>
      <c r="CF68" s="194">
        <v>21360</v>
      </c>
      <c r="CG68" s="194">
        <v>17223</v>
      </c>
      <c r="CH68" s="194">
        <v>22809</v>
      </c>
      <c r="CI68" s="195">
        <v>78852</v>
      </c>
    </row>
    <row r="69" spans="1:87">
      <c r="A69" s="186" t="s">
        <v>65</v>
      </c>
      <c r="B69" s="187" t="s">
        <v>26</v>
      </c>
      <c r="C69" s="188">
        <f t="shared" si="27"/>
        <v>1706118</v>
      </c>
      <c r="D69" s="189">
        <f t="shared" si="15"/>
        <v>1256698</v>
      </c>
      <c r="E69" s="189">
        <f t="shared" si="16"/>
        <v>1096800</v>
      </c>
      <c r="F69" s="189">
        <f t="shared" si="17"/>
        <v>1116635</v>
      </c>
      <c r="G69" s="190">
        <f t="shared" si="18"/>
        <v>5176251</v>
      </c>
      <c r="H69" s="188">
        <f t="shared" si="28"/>
        <v>1491924</v>
      </c>
      <c r="I69" s="189">
        <f t="shared" si="19"/>
        <v>1054722</v>
      </c>
      <c r="J69" s="189">
        <f t="shared" si="20"/>
        <v>869876</v>
      </c>
      <c r="K69" s="189">
        <f t="shared" si="21"/>
        <v>870284</v>
      </c>
      <c r="L69" s="190">
        <f t="shared" si="22"/>
        <v>4286806</v>
      </c>
      <c r="M69" s="188">
        <v>549109</v>
      </c>
      <c r="N69" s="189">
        <v>339446</v>
      </c>
      <c r="O69" s="189">
        <v>268602</v>
      </c>
      <c r="P69" s="189">
        <v>315086</v>
      </c>
      <c r="Q69" s="190">
        <v>1472243</v>
      </c>
      <c r="R69" s="188">
        <v>188591</v>
      </c>
      <c r="S69" s="189">
        <v>141571</v>
      </c>
      <c r="T69" s="189">
        <v>108676</v>
      </c>
      <c r="U69" s="189">
        <v>99345</v>
      </c>
      <c r="V69" s="190">
        <v>538183</v>
      </c>
      <c r="W69" s="188">
        <v>19442</v>
      </c>
      <c r="X69" s="189">
        <v>11040</v>
      </c>
      <c r="Y69" s="189">
        <v>7030</v>
      </c>
      <c r="Z69" s="189">
        <v>6831</v>
      </c>
      <c r="AA69" s="190">
        <v>44343</v>
      </c>
      <c r="AB69" s="188">
        <v>134916</v>
      </c>
      <c r="AC69" s="189">
        <v>132127</v>
      </c>
      <c r="AD69" s="189">
        <v>55675</v>
      </c>
      <c r="AE69" s="189">
        <v>5244</v>
      </c>
      <c r="AF69" s="190">
        <v>327962</v>
      </c>
      <c r="AG69" s="188">
        <v>231383</v>
      </c>
      <c r="AH69" s="189">
        <v>157609</v>
      </c>
      <c r="AI69" s="189">
        <v>126169</v>
      </c>
      <c r="AJ69" s="189">
        <v>104511</v>
      </c>
      <c r="AK69" s="190">
        <v>619672</v>
      </c>
      <c r="AL69" s="188">
        <v>31387</v>
      </c>
      <c r="AM69" s="189">
        <v>31870</v>
      </c>
      <c r="AN69" s="189">
        <v>39736</v>
      </c>
      <c r="AO69" s="189">
        <v>42971</v>
      </c>
      <c r="AP69" s="190">
        <v>145964</v>
      </c>
      <c r="AQ69" s="188">
        <v>110920</v>
      </c>
      <c r="AR69" s="189">
        <v>64576</v>
      </c>
      <c r="AS69" s="189">
        <v>62413</v>
      </c>
      <c r="AT69" s="189">
        <v>52923</v>
      </c>
      <c r="AU69" s="190">
        <v>290832</v>
      </c>
      <c r="AV69" s="188">
        <v>29386</v>
      </c>
      <c r="AW69" s="189">
        <v>16008</v>
      </c>
      <c r="AX69" s="189">
        <v>16138</v>
      </c>
      <c r="AY69" s="189">
        <v>25737</v>
      </c>
      <c r="AZ69" s="190">
        <v>87269</v>
      </c>
      <c r="BA69" s="188">
        <v>196790</v>
      </c>
      <c r="BB69" s="189">
        <v>160475</v>
      </c>
      <c r="BC69" s="189">
        <v>185437</v>
      </c>
      <c r="BD69" s="189">
        <v>217636</v>
      </c>
      <c r="BE69" s="190">
        <v>760338</v>
      </c>
      <c r="BF69" s="188">
        <f t="shared" si="29"/>
        <v>214194</v>
      </c>
      <c r="BG69" s="189">
        <f t="shared" si="23"/>
        <v>201976</v>
      </c>
      <c r="BH69" s="189">
        <f t="shared" si="24"/>
        <v>226924</v>
      </c>
      <c r="BI69" s="189">
        <f t="shared" si="25"/>
        <v>246351</v>
      </c>
      <c r="BJ69" s="190">
        <f t="shared" si="26"/>
        <v>889445</v>
      </c>
      <c r="BK69" s="188">
        <v>2752</v>
      </c>
      <c r="BL69" s="189">
        <v>1311</v>
      </c>
      <c r="BM69" s="189">
        <v>2553</v>
      </c>
      <c r="BN69" s="189">
        <v>414</v>
      </c>
      <c r="BO69" s="190">
        <v>7030</v>
      </c>
      <c r="BP69" s="188">
        <v>92794</v>
      </c>
      <c r="BQ69" s="189">
        <v>93126</v>
      </c>
      <c r="BR69" s="189">
        <v>98208</v>
      </c>
      <c r="BS69" s="189">
        <v>98715</v>
      </c>
      <c r="BT69" s="190">
        <v>382843</v>
      </c>
      <c r="BU69" s="188">
        <v>91961</v>
      </c>
      <c r="BV69" s="189">
        <v>80507</v>
      </c>
      <c r="BW69" s="189">
        <v>110861</v>
      </c>
      <c r="BX69" s="189">
        <v>137777</v>
      </c>
      <c r="BY69" s="190">
        <v>421106</v>
      </c>
      <c r="BZ69" s="188">
        <v>11783</v>
      </c>
      <c r="CA69" s="189">
        <v>10886</v>
      </c>
      <c r="CB69" s="189">
        <v>4883</v>
      </c>
      <c r="CC69" s="189">
        <v>6340</v>
      </c>
      <c r="CD69" s="190">
        <v>33892</v>
      </c>
      <c r="CE69" s="188">
        <v>14904</v>
      </c>
      <c r="CF69" s="189">
        <v>16146</v>
      </c>
      <c r="CG69" s="189">
        <v>10419</v>
      </c>
      <c r="CH69" s="189">
        <v>3105</v>
      </c>
      <c r="CI69" s="190">
        <v>44574</v>
      </c>
    </row>
    <row r="70" spans="1:87">
      <c r="A70" s="186"/>
      <c r="B70" s="187" t="s">
        <v>27</v>
      </c>
      <c r="C70" s="188">
        <f t="shared" si="27"/>
        <v>0</v>
      </c>
      <c r="D70" s="189">
        <f t="shared" si="15"/>
        <v>17464</v>
      </c>
      <c r="E70" s="189">
        <f t="shared" si="16"/>
        <v>25075</v>
      </c>
      <c r="F70" s="189">
        <f t="shared" si="17"/>
        <v>24485</v>
      </c>
      <c r="G70" s="190">
        <f t="shared" si="18"/>
        <v>67024</v>
      </c>
      <c r="H70" s="188">
        <f t="shared" si="28"/>
        <v>0</v>
      </c>
      <c r="I70" s="189">
        <f t="shared" si="19"/>
        <v>17464</v>
      </c>
      <c r="J70" s="189">
        <f t="shared" si="20"/>
        <v>25075</v>
      </c>
      <c r="K70" s="189">
        <f t="shared" si="21"/>
        <v>24485</v>
      </c>
      <c r="L70" s="190">
        <f t="shared" si="22"/>
        <v>67024</v>
      </c>
      <c r="M70" s="188"/>
      <c r="N70" s="189">
        <v>17464</v>
      </c>
      <c r="O70" s="189">
        <v>25075</v>
      </c>
      <c r="P70" s="189">
        <v>24485</v>
      </c>
      <c r="Q70" s="190">
        <v>67024</v>
      </c>
      <c r="R70" s="188"/>
      <c r="S70" s="189"/>
      <c r="T70" s="189"/>
      <c r="U70" s="189"/>
      <c r="V70" s="190"/>
      <c r="W70" s="188"/>
      <c r="X70" s="189"/>
      <c r="Y70" s="189"/>
      <c r="Z70" s="189"/>
      <c r="AA70" s="190"/>
      <c r="AB70" s="188"/>
      <c r="AC70" s="189"/>
      <c r="AD70" s="189"/>
      <c r="AE70" s="189"/>
      <c r="AF70" s="190"/>
      <c r="AG70" s="188"/>
      <c r="AH70" s="189"/>
      <c r="AI70" s="189"/>
      <c r="AJ70" s="189"/>
      <c r="AK70" s="190"/>
      <c r="AL70" s="188"/>
      <c r="AM70" s="189"/>
      <c r="AN70" s="189"/>
      <c r="AO70" s="189"/>
      <c r="AP70" s="190"/>
      <c r="AQ70" s="188"/>
      <c r="AR70" s="189"/>
      <c r="AS70" s="189"/>
      <c r="AT70" s="189"/>
      <c r="AU70" s="190"/>
      <c r="AV70" s="188"/>
      <c r="AW70" s="189"/>
      <c r="AX70" s="189"/>
      <c r="AY70" s="189"/>
      <c r="AZ70" s="190"/>
      <c r="BA70" s="188"/>
      <c r="BB70" s="189"/>
      <c r="BC70" s="189"/>
      <c r="BD70" s="189"/>
      <c r="BE70" s="190"/>
      <c r="BF70" s="188">
        <f t="shared" si="29"/>
        <v>0</v>
      </c>
      <c r="BG70" s="189">
        <f t="shared" si="23"/>
        <v>0</v>
      </c>
      <c r="BH70" s="189">
        <f t="shared" si="24"/>
        <v>0</v>
      </c>
      <c r="BI70" s="189">
        <f t="shared" si="25"/>
        <v>0</v>
      </c>
      <c r="BJ70" s="190">
        <f t="shared" si="26"/>
        <v>0</v>
      </c>
      <c r="BK70" s="188"/>
      <c r="BL70" s="189"/>
      <c r="BM70" s="189"/>
      <c r="BN70" s="189"/>
      <c r="BO70" s="190"/>
      <c r="BP70" s="188"/>
      <c r="BQ70" s="189"/>
      <c r="BR70" s="189"/>
      <c r="BS70" s="189"/>
      <c r="BT70" s="190"/>
      <c r="BU70" s="188"/>
      <c r="BV70" s="189"/>
      <c r="BW70" s="189"/>
      <c r="BX70" s="189"/>
      <c r="BY70" s="190"/>
      <c r="BZ70" s="188"/>
      <c r="CA70" s="189"/>
      <c r="CB70" s="189"/>
      <c r="CC70" s="189"/>
      <c r="CD70" s="190"/>
      <c r="CE70" s="188"/>
      <c r="CF70" s="189"/>
      <c r="CG70" s="189"/>
      <c r="CH70" s="189"/>
      <c r="CI70" s="190"/>
    </row>
    <row r="71" s="163" customFormat="1" ht="14.6" spans="1:87">
      <c r="A71" s="191" t="s">
        <v>66</v>
      </c>
      <c r="B71" s="192"/>
      <c r="C71" s="193">
        <f t="shared" si="27"/>
        <v>1706118</v>
      </c>
      <c r="D71" s="194">
        <f t="shared" si="15"/>
        <v>1274162</v>
      </c>
      <c r="E71" s="194">
        <f t="shared" si="16"/>
        <v>1121875</v>
      </c>
      <c r="F71" s="194">
        <f t="shared" si="17"/>
        <v>1141120</v>
      </c>
      <c r="G71" s="195">
        <f t="shared" si="18"/>
        <v>5243275</v>
      </c>
      <c r="H71" s="193">
        <f t="shared" si="28"/>
        <v>1491924</v>
      </c>
      <c r="I71" s="194">
        <f t="shared" si="19"/>
        <v>1072186</v>
      </c>
      <c r="J71" s="194">
        <f t="shared" si="20"/>
        <v>894951</v>
      </c>
      <c r="K71" s="194">
        <f t="shared" si="21"/>
        <v>894769</v>
      </c>
      <c r="L71" s="195">
        <f t="shared" si="22"/>
        <v>4353830</v>
      </c>
      <c r="M71" s="193">
        <v>549109</v>
      </c>
      <c r="N71" s="194">
        <v>356910</v>
      </c>
      <c r="O71" s="194">
        <v>293677</v>
      </c>
      <c r="P71" s="194">
        <v>339571</v>
      </c>
      <c r="Q71" s="195">
        <v>1539267</v>
      </c>
      <c r="R71" s="193">
        <v>188591</v>
      </c>
      <c r="S71" s="194">
        <v>141571</v>
      </c>
      <c r="T71" s="194">
        <v>108676</v>
      </c>
      <c r="U71" s="194">
        <v>99345</v>
      </c>
      <c r="V71" s="195">
        <v>538183</v>
      </c>
      <c r="W71" s="193">
        <v>19442</v>
      </c>
      <c r="X71" s="194">
        <v>11040</v>
      </c>
      <c r="Y71" s="194">
        <v>7030</v>
      </c>
      <c r="Z71" s="194">
        <v>6831</v>
      </c>
      <c r="AA71" s="195">
        <v>44343</v>
      </c>
      <c r="AB71" s="193">
        <v>134916</v>
      </c>
      <c r="AC71" s="194">
        <v>132127</v>
      </c>
      <c r="AD71" s="194">
        <v>55675</v>
      </c>
      <c r="AE71" s="194">
        <v>5244</v>
      </c>
      <c r="AF71" s="195">
        <v>327962</v>
      </c>
      <c r="AG71" s="193">
        <v>231383</v>
      </c>
      <c r="AH71" s="194">
        <v>157609</v>
      </c>
      <c r="AI71" s="194">
        <v>126169</v>
      </c>
      <c r="AJ71" s="194">
        <v>104511</v>
      </c>
      <c r="AK71" s="195">
        <v>619672</v>
      </c>
      <c r="AL71" s="193">
        <v>31387</v>
      </c>
      <c r="AM71" s="194">
        <v>31870</v>
      </c>
      <c r="AN71" s="194">
        <v>39736</v>
      </c>
      <c r="AO71" s="194">
        <v>42971</v>
      </c>
      <c r="AP71" s="195">
        <v>145964</v>
      </c>
      <c r="AQ71" s="193">
        <v>110920</v>
      </c>
      <c r="AR71" s="194">
        <v>64576</v>
      </c>
      <c r="AS71" s="194">
        <v>62413</v>
      </c>
      <c r="AT71" s="194">
        <v>52923</v>
      </c>
      <c r="AU71" s="195">
        <v>290832</v>
      </c>
      <c r="AV71" s="193">
        <v>29386</v>
      </c>
      <c r="AW71" s="194">
        <v>16008</v>
      </c>
      <c r="AX71" s="194">
        <v>16138</v>
      </c>
      <c r="AY71" s="194">
        <v>25737</v>
      </c>
      <c r="AZ71" s="195">
        <v>87269</v>
      </c>
      <c r="BA71" s="193">
        <v>196790</v>
      </c>
      <c r="BB71" s="194">
        <v>160475</v>
      </c>
      <c r="BC71" s="194">
        <v>185437</v>
      </c>
      <c r="BD71" s="194">
        <v>217636</v>
      </c>
      <c r="BE71" s="195">
        <v>760338</v>
      </c>
      <c r="BF71" s="193">
        <f t="shared" si="29"/>
        <v>214194</v>
      </c>
      <c r="BG71" s="194">
        <f t="shared" si="23"/>
        <v>201976</v>
      </c>
      <c r="BH71" s="194">
        <f t="shared" si="24"/>
        <v>226924</v>
      </c>
      <c r="BI71" s="194">
        <f t="shared" si="25"/>
        <v>246351</v>
      </c>
      <c r="BJ71" s="195">
        <f t="shared" si="26"/>
        <v>889445</v>
      </c>
      <c r="BK71" s="193">
        <v>2752</v>
      </c>
      <c r="BL71" s="194">
        <v>1311</v>
      </c>
      <c r="BM71" s="194">
        <v>2553</v>
      </c>
      <c r="BN71" s="194">
        <v>414</v>
      </c>
      <c r="BO71" s="195">
        <v>7030</v>
      </c>
      <c r="BP71" s="193">
        <v>92794</v>
      </c>
      <c r="BQ71" s="194">
        <v>93126</v>
      </c>
      <c r="BR71" s="194">
        <v>98208</v>
      </c>
      <c r="BS71" s="194">
        <v>98715</v>
      </c>
      <c r="BT71" s="195">
        <v>382843</v>
      </c>
      <c r="BU71" s="193">
        <v>91961</v>
      </c>
      <c r="BV71" s="194">
        <v>80507</v>
      </c>
      <c r="BW71" s="194">
        <v>110861</v>
      </c>
      <c r="BX71" s="194">
        <v>137777</v>
      </c>
      <c r="BY71" s="195">
        <v>421106</v>
      </c>
      <c r="BZ71" s="193">
        <v>11783</v>
      </c>
      <c r="CA71" s="194">
        <v>10886</v>
      </c>
      <c r="CB71" s="194">
        <v>4883</v>
      </c>
      <c r="CC71" s="194">
        <v>6340</v>
      </c>
      <c r="CD71" s="195">
        <v>33892</v>
      </c>
      <c r="CE71" s="193">
        <v>14904</v>
      </c>
      <c r="CF71" s="194">
        <v>16146</v>
      </c>
      <c r="CG71" s="194">
        <v>10419</v>
      </c>
      <c r="CH71" s="194">
        <v>3105</v>
      </c>
      <c r="CI71" s="195">
        <v>44574</v>
      </c>
    </row>
    <row r="72" spans="1:87">
      <c r="A72" s="186" t="s">
        <v>67</v>
      </c>
      <c r="B72" s="187" t="s">
        <v>26</v>
      </c>
      <c r="C72" s="188">
        <f t="shared" si="27"/>
        <v>1743423</v>
      </c>
      <c r="D72" s="189">
        <f t="shared" si="15"/>
        <v>1293474</v>
      </c>
      <c r="E72" s="189">
        <f t="shared" si="16"/>
        <v>1053906</v>
      </c>
      <c r="F72" s="189">
        <f t="shared" si="17"/>
        <v>813027</v>
      </c>
      <c r="G72" s="190">
        <f t="shared" si="18"/>
        <v>4903830</v>
      </c>
      <c r="H72" s="188">
        <f t="shared" si="28"/>
        <v>1456383</v>
      </c>
      <c r="I72" s="189">
        <f t="shared" si="19"/>
        <v>1050939</v>
      </c>
      <c r="J72" s="189">
        <f t="shared" si="20"/>
        <v>807507</v>
      </c>
      <c r="K72" s="189">
        <f t="shared" si="21"/>
        <v>599541</v>
      </c>
      <c r="L72" s="190">
        <f t="shared" si="22"/>
        <v>3914370</v>
      </c>
      <c r="M72" s="188">
        <v>260613</v>
      </c>
      <c r="N72" s="189">
        <v>60099</v>
      </c>
      <c r="O72" s="189">
        <v>36708</v>
      </c>
      <c r="P72" s="189">
        <v>14283</v>
      </c>
      <c r="Q72" s="190">
        <v>371703</v>
      </c>
      <c r="R72" s="188">
        <v>288144</v>
      </c>
      <c r="S72" s="189">
        <v>256749</v>
      </c>
      <c r="T72" s="189">
        <v>212727</v>
      </c>
      <c r="U72" s="189">
        <v>186783</v>
      </c>
      <c r="V72" s="190">
        <v>944403</v>
      </c>
      <c r="W72" s="188">
        <v>41055</v>
      </c>
      <c r="X72" s="189">
        <v>35811</v>
      </c>
      <c r="Y72" s="189">
        <v>58029</v>
      </c>
      <c r="Z72" s="189">
        <v>11316</v>
      </c>
      <c r="AA72" s="190">
        <v>146211</v>
      </c>
      <c r="AB72" s="188">
        <v>111021</v>
      </c>
      <c r="AC72" s="189">
        <v>206310</v>
      </c>
      <c r="AD72" s="189">
        <v>184713</v>
      </c>
      <c r="AE72" s="189">
        <v>165738</v>
      </c>
      <c r="AF72" s="190">
        <v>667782</v>
      </c>
      <c r="AG72" s="188">
        <v>196719</v>
      </c>
      <c r="AH72" s="189">
        <v>143175</v>
      </c>
      <c r="AI72" s="189">
        <v>171741</v>
      </c>
      <c r="AJ72" s="189">
        <v>154215</v>
      </c>
      <c r="AK72" s="190">
        <v>665850</v>
      </c>
      <c r="AL72" s="188">
        <v>15939</v>
      </c>
      <c r="AM72" s="189">
        <v>10626</v>
      </c>
      <c r="AN72" s="189">
        <v>18423</v>
      </c>
      <c r="AO72" s="189">
        <v>16698</v>
      </c>
      <c r="AP72" s="190">
        <v>61686</v>
      </c>
      <c r="AQ72" s="188">
        <v>151386</v>
      </c>
      <c r="AR72" s="189">
        <v>107226</v>
      </c>
      <c r="AS72" s="189">
        <v>74520</v>
      </c>
      <c r="AT72" s="189">
        <v>49404</v>
      </c>
      <c r="AU72" s="190">
        <v>382536</v>
      </c>
      <c r="AV72" s="188"/>
      <c r="AW72" s="189"/>
      <c r="AX72" s="189"/>
      <c r="AY72" s="189"/>
      <c r="AZ72" s="190"/>
      <c r="BA72" s="188">
        <v>391506</v>
      </c>
      <c r="BB72" s="189">
        <v>230943</v>
      </c>
      <c r="BC72" s="189">
        <v>50646</v>
      </c>
      <c r="BD72" s="189">
        <v>1104</v>
      </c>
      <c r="BE72" s="190">
        <v>674199</v>
      </c>
      <c r="BF72" s="188">
        <f t="shared" si="29"/>
        <v>287040</v>
      </c>
      <c r="BG72" s="189">
        <f t="shared" si="23"/>
        <v>242535</v>
      </c>
      <c r="BH72" s="189">
        <f t="shared" si="24"/>
        <v>246399</v>
      </c>
      <c r="BI72" s="189">
        <f t="shared" si="25"/>
        <v>213486</v>
      </c>
      <c r="BJ72" s="190">
        <f t="shared" si="26"/>
        <v>989460</v>
      </c>
      <c r="BK72" s="188">
        <v>5934</v>
      </c>
      <c r="BL72" s="189">
        <v>3174</v>
      </c>
      <c r="BM72" s="189"/>
      <c r="BN72" s="189"/>
      <c r="BO72" s="190">
        <v>9108</v>
      </c>
      <c r="BP72" s="188">
        <v>74865</v>
      </c>
      <c r="BQ72" s="189">
        <v>77694</v>
      </c>
      <c r="BR72" s="189">
        <v>76797</v>
      </c>
      <c r="BS72" s="189">
        <v>44850</v>
      </c>
      <c r="BT72" s="190">
        <v>274206</v>
      </c>
      <c r="BU72" s="188">
        <v>167394</v>
      </c>
      <c r="BV72" s="189">
        <v>161667</v>
      </c>
      <c r="BW72" s="189">
        <v>144348</v>
      </c>
      <c r="BX72" s="189">
        <v>164841</v>
      </c>
      <c r="BY72" s="190">
        <v>638250</v>
      </c>
      <c r="BZ72" s="188">
        <v>38847</v>
      </c>
      <c r="CA72" s="189"/>
      <c r="CB72" s="189">
        <v>25254</v>
      </c>
      <c r="CC72" s="189">
        <v>3795</v>
      </c>
      <c r="CD72" s="190">
        <v>67896</v>
      </c>
      <c r="CE72" s="188"/>
      <c r="CF72" s="189"/>
      <c r="CG72" s="189"/>
      <c r="CH72" s="189"/>
      <c r="CI72" s="190"/>
    </row>
    <row r="73" s="163" customFormat="1" ht="14.6" spans="1:87">
      <c r="A73" s="191" t="s">
        <v>68</v>
      </c>
      <c r="B73" s="192"/>
      <c r="C73" s="193">
        <f t="shared" si="27"/>
        <v>1743423</v>
      </c>
      <c r="D73" s="194">
        <f t="shared" si="15"/>
        <v>1293474</v>
      </c>
      <c r="E73" s="194">
        <f t="shared" si="16"/>
        <v>1053906</v>
      </c>
      <c r="F73" s="194">
        <f t="shared" si="17"/>
        <v>813027</v>
      </c>
      <c r="G73" s="195">
        <f t="shared" si="18"/>
        <v>4903830</v>
      </c>
      <c r="H73" s="193">
        <f t="shared" si="28"/>
        <v>1456383</v>
      </c>
      <c r="I73" s="194">
        <f t="shared" si="19"/>
        <v>1050939</v>
      </c>
      <c r="J73" s="194">
        <f t="shared" si="20"/>
        <v>807507</v>
      </c>
      <c r="K73" s="194">
        <f t="shared" si="21"/>
        <v>599541</v>
      </c>
      <c r="L73" s="195">
        <f t="shared" si="22"/>
        <v>3914370</v>
      </c>
      <c r="M73" s="193">
        <v>260613</v>
      </c>
      <c r="N73" s="194">
        <v>60099</v>
      </c>
      <c r="O73" s="194">
        <v>36708</v>
      </c>
      <c r="P73" s="194">
        <v>14283</v>
      </c>
      <c r="Q73" s="195">
        <v>371703</v>
      </c>
      <c r="R73" s="193">
        <v>288144</v>
      </c>
      <c r="S73" s="194">
        <v>256749</v>
      </c>
      <c r="T73" s="194">
        <v>212727</v>
      </c>
      <c r="U73" s="194">
        <v>186783</v>
      </c>
      <c r="V73" s="195">
        <v>944403</v>
      </c>
      <c r="W73" s="193">
        <v>41055</v>
      </c>
      <c r="X73" s="194">
        <v>35811</v>
      </c>
      <c r="Y73" s="194">
        <v>58029</v>
      </c>
      <c r="Z73" s="194">
        <v>11316</v>
      </c>
      <c r="AA73" s="195">
        <v>146211</v>
      </c>
      <c r="AB73" s="193">
        <v>111021</v>
      </c>
      <c r="AC73" s="194">
        <v>206310</v>
      </c>
      <c r="AD73" s="194">
        <v>184713</v>
      </c>
      <c r="AE73" s="194">
        <v>165738</v>
      </c>
      <c r="AF73" s="195">
        <v>667782</v>
      </c>
      <c r="AG73" s="193">
        <v>196719</v>
      </c>
      <c r="AH73" s="194">
        <v>143175</v>
      </c>
      <c r="AI73" s="194">
        <v>171741</v>
      </c>
      <c r="AJ73" s="194">
        <v>154215</v>
      </c>
      <c r="AK73" s="195">
        <v>665850</v>
      </c>
      <c r="AL73" s="193">
        <v>15939</v>
      </c>
      <c r="AM73" s="194">
        <v>10626</v>
      </c>
      <c r="AN73" s="194">
        <v>18423</v>
      </c>
      <c r="AO73" s="194">
        <v>16698</v>
      </c>
      <c r="AP73" s="195">
        <v>61686</v>
      </c>
      <c r="AQ73" s="193">
        <v>151386</v>
      </c>
      <c r="AR73" s="194">
        <v>107226</v>
      </c>
      <c r="AS73" s="194">
        <v>74520</v>
      </c>
      <c r="AT73" s="194">
        <v>49404</v>
      </c>
      <c r="AU73" s="195">
        <v>382536</v>
      </c>
      <c r="AV73" s="193"/>
      <c r="AW73" s="194"/>
      <c r="AX73" s="194"/>
      <c r="AY73" s="194"/>
      <c r="AZ73" s="195"/>
      <c r="BA73" s="193">
        <v>391506</v>
      </c>
      <c r="BB73" s="194">
        <v>230943</v>
      </c>
      <c r="BC73" s="194">
        <v>50646</v>
      </c>
      <c r="BD73" s="194">
        <v>1104</v>
      </c>
      <c r="BE73" s="195">
        <v>674199</v>
      </c>
      <c r="BF73" s="193">
        <f t="shared" si="29"/>
        <v>287040</v>
      </c>
      <c r="BG73" s="194">
        <f t="shared" si="23"/>
        <v>242535</v>
      </c>
      <c r="BH73" s="194">
        <f t="shared" si="24"/>
        <v>246399</v>
      </c>
      <c r="BI73" s="194">
        <f t="shared" si="25"/>
        <v>213486</v>
      </c>
      <c r="BJ73" s="195">
        <f t="shared" si="26"/>
        <v>989460</v>
      </c>
      <c r="BK73" s="193">
        <v>5934</v>
      </c>
      <c r="BL73" s="194">
        <v>3174</v>
      </c>
      <c r="BM73" s="194"/>
      <c r="BN73" s="194"/>
      <c r="BO73" s="195">
        <v>9108</v>
      </c>
      <c r="BP73" s="193">
        <v>74865</v>
      </c>
      <c r="BQ73" s="194">
        <v>77694</v>
      </c>
      <c r="BR73" s="194">
        <v>76797</v>
      </c>
      <c r="BS73" s="194">
        <v>44850</v>
      </c>
      <c r="BT73" s="195">
        <v>274206</v>
      </c>
      <c r="BU73" s="193">
        <v>167394</v>
      </c>
      <c r="BV73" s="194">
        <v>161667</v>
      </c>
      <c r="BW73" s="194">
        <v>144348</v>
      </c>
      <c r="BX73" s="194">
        <v>164841</v>
      </c>
      <c r="BY73" s="195">
        <v>638250</v>
      </c>
      <c r="BZ73" s="193">
        <v>38847</v>
      </c>
      <c r="CA73" s="194"/>
      <c r="CB73" s="194">
        <v>25254</v>
      </c>
      <c r="CC73" s="194">
        <v>3795</v>
      </c>
      <c r="CD73" s="195">
        <v>67896</v>
      </c>
      <c r="CE73" s="193"/>
      <c r="CF73" s="194"/>
      <c r="CG73" s="194"/>
      <c r="CH73" s="194"/>
      <c r="CI73" s="195"/>
    </row>
    <row r="74" spans="1:87">
      <c r="A74" s="186" t="s">
        <v>69</v>
      </c>
      <c r="B74" s="187" t="s">
        <v>26</v>
      </c>
      <c r="C74" s="188">
        <f t="shared" si="27"/>
        <v>1151109</v>
      </c>
      <c r="D74" s="189">
        <f t="shared" si="15"/>
        <v>962457</v>
      </c>
      <c r="E74" s="189">
        <f t="shared" si="16"/>
        <v>1374837</v>
      </c>
      <c r="F74" s="189">
        <f t="shared" si="17"/>
        <v>1129858</v>
      </c>
      <c r="G74" s="190">
        <f t="shared" si="18"/>
        <v>4618261</v>
      </c>
      <c r="H74" s="188">
        <f t="shared" si="28"/>
        <v>935913</v>
      </c>
      <c r="I74" s="189">
        <f t="shared" si="19"/>
        <v>794898</v>
      </c>
      <c r="J74" s="189">
        <f t="shared" si="20"/>
        <v>1015466</v>
      </c>
      <c r="K74" s="189">
        <f t="shared" si="21"/>
        <v>702073</v>
      </c>
      <c r="L74" s="190">
        <f t="shared" si="22"/>
        <v>3448350</v>
      </c>
      <c r="M74" s="188">
        <v>417041</v>
      </c>
      <c r="N74" s="189">
        <v>255565</v>
      </c>
      <c r="O74" s="189">
        <v>377778</v>
      </c>
      <c r="P74" s="189">
        <v>205558</v>
      </c>
      <c r="Q74" s="190">
        <v>1255942</v>
      </c>
      <c r="R74" s="188">
        <v>436791</v>
      </c>
      <c r="S74" s="189">
        <v>439003</v>
      </c>
      <c r="T74" s="189">
        <v>485376</v>
      </c>
      <c r="U74" s="189">
        <v>390655</v>
      </c>
      <c r="V74" s="190">
        <v>1751825</v>
      </c>
      <c r="W74" s="188"/>
      <c r="X74" s="189"/>
      <c r="Y74" s="189"/>
      <c r="Z74" s="189"/>
      <c r="AA74" s="190"/>
      <c r="AB74" s="188"/>
      <c r="AC74" s="189"/>
      <c r="AD74" s="189"/>
      <c r="AE74" s="189"/>
      <c r="AF74" s="190"/>
      <c r="AG74" s="188"/>
      <c r="AH74" s="189"/>
      <c r="AI74" s="189"/>
      <c r="AJ74" s="189"/>
      <c r="AK74" s="190"/>
      <c r="AL74" s="188"/>
      <c r="AM74" s="189"/>
      <c r="AN74" s="189"/>
      <c r="AO74" s="189"/>
      <c r="AP74" s="190"/>
      <c r="AQ74" s="188">
        <v>82081</v>
      </c>
      <c r="AR74" s="189">
        <v>100330</v>
      </c>
      <c r="AS74" s="189">
        <v>152312</v>
      </c>
      <c r="AT74" s="189">
        <v>105860</v>
      </c>
      <c r="AU74" s="190">
        <v>440583</v>
      </c>
      <c r="AV74" s="188"/>
      <c r="AW74" s="189"/>
      <c r="AX74" s="189"/>
      <c r="AY74" s="189"/>
      <c r="AZ74" s="190"/>
      <c r="BA74" s="188"/>
      <c r="BB74" s="189"/>
      <c r="BC74" s="189"/>
      <c r="BD74" s="189"/>
      <c r="BE74" s="190"/>
      <c r="BF74" s="188">
        <f t="shared" si="29"/>
        <v>215196</v>
      </c>
      <c r="BG74" s="189">
        <f t="shared" si="23"/>
        <v>167559</v>
      </c>
      <c r="BH74" s="189">
        <f t="shared" si="24"/>
        <v>359371</v>
      </c>
      <c r="BI74" s="189">
        <f t="shared" si="25"/>
        <v>427785</v>
      </c>
      <c r="BJ74" s="190">
        <f t="shared" si="26"/>
        <v>1169911</v>
      </c>
      <c r="BK74" s="188"/>
      <c r="BL74" s="189"/>
      <c r="BM74" s="189"/>
      <c r="BN74" s="189"/>
      <c r="BO74" s="190"/>
      <c r="BP74" s="188">
        <v>79237</v>
      </c>
      <c r="BQ74" s="189">
        <v>155472</v>
      </c>
      <c r="BR74" s="189">
        <v>207217</v>
      </c>
      <c r="BS74" s="189">
        <v>218593</v>
      </c>
      <c r="BT74" s="190">
        <v>660519</v>
      </c>
      <c r="BU74" s="188">
        <v>124978</v>
      </c>
      <c r="BV74" s="189">
        <v>790</v>
      </c>
      <c r="BW74" s="189">
        <v>152154</v>
      </c>
      <c r="BX74" s="189">
        <v>177039</v>
      </c>
      <c r="BY74" s="190">
        <v>454961</v>
      </c>
      <c r="BZ74" s="188"/>
      <c r="CA74" s="189"/>
      <c r="CB74" s="189"/>
      <c r="CC74" s="189">
        <v>23858</v>
      </c>
      <c r="CD74" s="190">
        <v>23858</v>
      </c>
      <c r="CE74" s="188">
        <v>10981</v>
      </c>
      <c r="CF74" s="189">
        <v>11297</v>
      </c>
      <c r="CG74" s="189"/>
      <c r="CH74" s="189">
        <v>8295</v>
      </c>
      <c r="CI74" s="190">
        <v>30573</v>
      </c>
    </row>
    <row r="75" s="163" customFormat="1" ht="14.6" spans="1:87">
      <c r="A75" s="191" t="s">
        <v>70</v>
      </c>
      <c r="B75" s="192"/>
      <c r="C75" s="193">
        <f t="shared" si="27"/>
        <v>1151109</v>
      </c>
      <c r="D75" s="194">
        <f t="shared" si="15"/>
        <v>962457</v>
      </c>
      <c r="E75" s="194">
        <f t="shared" si="16"/>
        <v>1374837</v>
      </c>
      <c r="F75" s="194">
        <f t="shared" si="17"/>
        <v>1129858</v>
      </c>
      <c r="G75" s="195">
        <f t="shared" si="18"/>
        <v>4618261</v>
      </c>
      <c r="H75" s="193">
        <f t="shared" si="28"/>
        <v>935913</v>
      </c>
      <c r="I75" s="194">
        <f t="shared" si="19"/>
        <v>794898</v>
      </c>
      <c r="J75" s="194">
        <f t="shared" si="20"/>
        <v>1015466</v>
      </c>
      <c r="K75" s="194">
        <f t="shared" si="21"/>
        <v>702073</v>
      </c>
      <c r="L75" s="195">
        <f t="shared" si="22"/>
        <v>3448350</v>
      </c>
      <c r="M75" s="193">
        <v>417041</v>
      </c>
      <c r="N75" s="194">
        <v>255565</v>
      </c>
      <c r="O75" s="194">
        <v>377778</v>
      </c>
      <c r="P75" s="194">
        <v>205558</v>
      </c>
      <c r="Q75" s="195">
        <v>1255942</v>
      </c>
      <c r="R75" s="193">
        <v>436791</v>
      </c>
      <c r="S75" s="194">
        <v>439003</v>
      </c>
      <c r="T75" s="194">
        <v>485376</v>
      </c>
      <c r="U75" s="194">
        <v>390655</v>
      </c>
      <c r="V75" s="195">
        <v>1751825</v>
      </c>
      <c r="W75" s="193"/>
      <c r="X75" s="194"/>
      <c r="Y75" s="194"/>
      <c r="Z75" s="194"/>
      <c r="AA75" s="195"/>
      <c r="AB75" s="193"/>
      <c r="AC75" s="194"/>
      <c r="AD75" s="194"/>
      <c r="AE75" s="194"/>
      <c r="AF75" s="195"/>
      <c r="AG75" s="193"/>
      <c r="AH75" s="194"/>
      <c r="AI75" s="194"/>
      <c r="AJ75" s="194"/>
      <c r="AK75" s="195"/>
      <c r="AL75" s="193"/>
      <c r="AM75" s="194"/>
      <c r="AN75" s="194"/>
      <c r="AO75" s="194"/>
      <c r="AP75" s="195"/>
      <c r="AQ75" s="193">
        <v>82081</v>
      </c>
      <c r="AR75" s="194">
        <v>100330</v>
      </c>
      <c r="AS75" s="194">
        <v>152312</v>
      </c>
      <c r="AT75" s="194">
        <v>105860</v>
      </c>
      <c r="AU75" s="195">
        <v>440583</v>
      </c>
      <c r="AV75" s="193"/>
      <c r="AW75" s="194"/>
      <c r="AX75" s="194"/>
      <c r="AY75" s="194"/>
      <c r="AZ75" s="195"/>
      <c r="BA75" s="193"/>
      <c r="BB75" s="194"/>
      <c r="BC75" s="194"/>
      <c r="BD75" s="194"/>
      <c r="BE75" s="195"/>
      <c r="BF75" s="193">
        <f t="shared" si="29"/>
        <v>215196</v>
      </c>
      <c r="BG75" s="194">
        <f t="shared" si="23"/>
        <v>167559</v>
      </c>
      <c r="BH75" s="194">
        <f t="shared" si="24"/>
        <v>359371</v>
      </c>
      <c r="BI75" s="194">
        <f t="shared" si="25"/>
        <v>427785</v>
      </c>
      <c r="BJ75" s="195">
        <f t="shared" si="26"/>
        <v>1169911</v>
      </c>
      <c r="BK75" s="193"/>
      <c r="BL75" s="194"/>
      <c r="BM75" s="194"/>
      <c r="BN75" s="194"/>
      <c r="BO75" s="195"/>
      <c r="BP75" s="193">
        <v>79237</v>
      </c>
      <c r="BQ75" s="194">
        <v>155472</v>
      </c>
      <c r="BR75" s="194">
        <v>207217</v>
      </c>
      <c r="BS75" s="194">
        <v>218593</v>
      </c>
      <c r="BT75" s="195">
        <v>660519</v>
      </c>
      <c r="BU75" s="193">
        <v>124978</v>
      </c>
      <c r="BV75" s="194">
        <v>790</v>
      </c>
      <c r="BW75" s="194">
        <v>152154</v>
      </c>
      <c r="BX75" s="194">
        <v>177039</v>
      </c>
      <c r="BY75" s="195">
        <v>454961</v>
      </c>
      <c r="BZ75" s="193"/>
      <c r="CA75" s="194"/>
      <c r="CB75" s="194"/>
      <c r="CC75" s="194">
        <v>23858</v>
      </c>
      <c r="CD75" s="195">
        <v>23858</v>
      </c>
      <c r="CE75" s="193">
        <v>10981</v>
      </c>
      <c r="CF75" s="194">
        <v>11297</v>
      </c>
      <c r="CG75" s="194"/>
      <c r="CH75" s="194">
        <v>8295</v>
      </c>
      <c r="CI75" s="195">
        <v>30573</v>
      </c>
    </row>
    <row r="76" spans="1:87">
      <c r="A76" s="186" t="s">
        <v>71</v>
      </c>
      <c r="B76" s="187" t="s">
        <v>26</v>
      </c>
      <c r="C76" s="188">
        <f t="shared" si="27"/>
        <v>438482</v>
      </c>
      <c r="D76" s="189">
        <f t="shared" si="15"/>
        <v>408792</v>
      </c>
      <c r="E76" s="189">
        <f t="shared" si="16"/>
        <v>1286115</v>
      </c>
      <c r="F76" s="189">
        <f t="shared" si="17"/>
        <v>1063510</v>
      </c>
      <c r="G76" s="190">
        <f t="shared" si="18"/>
        <v>3196899</v>
      </c>
      <c r="H76" s="188">
        <f t="shared" si="28"/>
        <v>399695</v>
      </c>
      <c r="I76" s="189">
        <f t="shared" si="19"/>
        <v>366255</v>
      </c>
      <c r="J76" s="189">
        <f t="shared" si="20"/>
        <v>1208275</v>
      </c>
      <c r="K76" s="189">
        <f t="shared" si="21"/>
        <v>967835</v>
      </c>
      <c r="L76" s="190">
        <f t="shared" si="22"/>
        <v>2942060</v>
      </c>
      <c r="M76" s="188">
        <v>79496</v>
      </c>
      <c r="N76" s="189">
        <v>58935</v>
      </c>
      <c r="O76" s="189">
        <v>182362</v>
      </c>
      <c r="P76" s="189">
        <v>128478</v>
      </c>
      <c r="Q76" s="190">
        <v>449271</v>
      </c>
      <c r="R76" s="188">
        <v>28680</v>
      </c>
      <c r="S76" s="189">
        <v>31233</v>
      </c>
      <c r="T76" s="189">
        <v>124968</v>
      </c>
      <c r="U76" s="189">
        <v>70823</v>
      </c>
      <c r="V76" s="190">
        <v>255704</v>
      </c>
      <c r="W76" s="188">
        <v>9641</v>
      </c>
      <c r="X76" s="189">
        <v>10610</v>
      </c>
      <c r="Y76" s="189">
        <v>43509</v>
      </c>
      <c r="Z76" s="189">
        <v>59820</v>
      </c>
      <c r="AA76" s="190">
        <v>123580</v>
      </c>
      <c r="AB76" s="188">
        <v>18082</v>
      </c>
      <c r="AC76" s="189">
        <v>44897</v>
      </c>
      <c r="AD76" s="189">
        <v>157835</v>
      </c>
      <c r="AE76" s="189">
        <v>114489</v>
      </c>
      <c r="AF76" s="190">
        <v>335303</v>
      </c>
      <c r="AG76" s="188">
        <v>106053</v>
      </c>
      <c r="AH76" s="189">
        <v>82593</v>
      </c>
      <c r="AI76" s="189">
        <v>412198</v>
      </c>
      <c r="AJ76" s="189">
        <v>291853</v>
      </c>
      <c r="AK76" s="190">
        <v>892697</v>
      </c>
      <c r="AL76" s="188">
        <v>7299</v>
      </c>
      <c r="AM76" s="189">
        <v>10080</v>
      </c>
      <c r="AN76" s="189">
        <v>21438</v>
      </c>
      <c r="AO76" s="189">
        <v>28448</v>
      </c>
      <c r="AP76" s="190">
        <v>67265</v>
      </c>
      <c r="AQ76" s="188">
        <v>51961</v>
      </c>
      <c r="AR76" s="189">
        <v>45348</v>
      </c>
      <c r="AS76" s="189">
        <v>115136</v>
      </c>
      <c r="AT76" s="189">
        <v>78463</v>
      </c>
      <c r="AU76" s="190">
        <v>290908</v>
      </c>
      <c r="AV76" s="188">
        <v>12090</v>
      </c>
      <c r="AW76" s="189">
        <v>11337</v>
      </c>
      <c r="AX76" s="189">
        <v>19110</v>
      </c>
      <c r="AY76" s="189">
        <v>30501</v>
      </c>
      <c r="AZ76" s="190">
        <v>73038</v>
      </c>
      <c r="BA76" s="188">
        <v>86393</v>
      </c>
      <c r="BB76" s="189">
        <v>71222</v>
      </c>
      <c r="BC76" s="189">
        <v>131719</v>
      </c>
      <c r="BD76" s="189">
        <v>164960</v>
      </c>
      <c r="BE76" s="190">
        <v>454294</v>
      </c>
      <c r="BF76" s="188">
        <f t="shared" si="29"/>
        <v>38787</v>
      </c>
      <c r="BG76" s="189">
        <f t="shared" si="23"/>
        <v>42537</v>
      </c>
      <c r="BH76" s="189">
        <f t="shared" si="24"/>
        <v>77840</v>
      </c>
      <c r="BI76" s="189">
        <f t="shared" si="25"/>
        <v>95675</v>
      </c>
      <c r="BJ76" s="190">
        <f t="shared" si="26"/>
        <v>254839</v>
      </c>
      <c r="BK76" s="188">
        <v>1449</v>
      </c>
      <c r="BL76" s="189">
        <v>2876</v>
      </c>
      <c r="BM76" s="189">
        <v>6093</v>
      </c>
      <c r="BN76" s="189">
        <v>6253</v>
      </c>
      <c r="BO76" s="190">
        <v>16671</v>
      </c>
      <c r="BP76" s="188">
        <v>14657</v>
      </c>
      <c r="BQ76" s="189">
        <v>14193</v>
      </c>
      <c r="BR76" s="189">
        <v>14605</v>
      </c>
      <c r="BS76" s="189">
        <v>18006</v>
      </c>
      <c r="BT76" s="190">
        <v>61461</v>
      </c>
      <c r="BU76" s="188">
        <v>20197</v>
      </c>
      <c r="BV76" s="189">
        <v>22178</v>
      </c>
      <c r="BW76" s="189">
        <v>49207</v>
      </c>
      <c r="BX76" s="189">
        <v>59233</v>
      </c>
      <c r="BY76" s="190">
        <v>150815</v>
      </c>
      <c r="BZ76" s="188">
        <v>2484</v>
      </c>
      <c r="CA76" s="189">
        <v>3290</v>
      </c>
      <c r="CB76" s="189">
        <v>5865</v>
      </c>
      <c r="CC76" s="189">
        <v>5567</v>
      </c>
      <c r="CD76" s="190">
        <v>17206</v>
      </c>
      <c r="CE76" s="188"/>
      <c r="CF76" s="189"/>
      <c r="CG76" s="189">
        <v>2070</v>
      </c>
      <c r="CH76" s="189">
        <v>6616</v>
      </c>
      <c r="CI76" s="190">
        <v>8686</v>
      </c>
    </row>
    <row r="77" spans="1:87">
      <c r="A77" s="186"/>
      <c r="B77" s="187" t="s">
        <v>27</v>
      </c>
      <c r="C77" s="188">
        <f t="shared" si="27"/>
        <v>37819</v>
      </c>
      <c r="D77" s="189">
        <f t="shared" si="15"/>
        <v>36424</v>
      </c>
      <c r="E77" s="189">
        <f t="shared" si="16"/>
        <v>587085</v>
      </c>
      <c r="F77" s="189">
        <f t="shared" si="17"/>
        <v>380454</v>
      </c>
      <c r="G77" s="190">
        <f t="shared" si="18"/>
        <v>1041782</v>
      </c>
      <c r="H77" s="188">
        <f t="shared" si="28"/>
        <v>33966</v>
      </c>
      <c r="I77" s="189">
        <f t="shared" si="19"/>
        <v>33226</v>
      </c>
      <c r="J77" s="189">
        <f t="shared" si="20"/>
        <v>583590</v>
      </c>
      <c r="K77" s="189">
        <f t="shared" si="21"/>
        <v>364609</v>
      </c>
      <c r="L77" s="190">
        <f t="shared" si="22"/>
        <v>1015391</v>
      </c>
      <c r="M77" s="188">
        <v>3306</v>
      </c>
      <c r="N77" s="189">
        <v>2090</v>
      </c>
      <c r="O77" s="189">
        <v>40836</v>
      </c>
      <c r="P77" s="189">
        <v>24757</v>
      </c>
      <c r="Q77" s="190">
        <v>70989</v>
      </c>
      <c r="R77" s="188">
        <v>156</v>
      </c>
      <c r="S77" s="189">
        <v>429</v>
      </c>
      <c r="T77" s="189">
        <v>15186</v>
      </c>
      <c r="U77" s="189">
        <v>11694</v>
      </c>
      <c r="V77" s="190">
        <v>27465</v>
      </c>
      <c r="W77" s="188">
        <v>8473</v>
      </c>
      <c r="X77" s="189">
        <v>7417</v>
      </c>
      <c r="Y77" s="189">
        <v>33995</v>
      </c>
      <c r="Z77" s="189">
        <v>45639</v>
      </c>
      <c r="AA77" s="190">
        <v>95524</v>
      </c>
      <c r="AB77" s="188">
        <v>429</v>
      </c>
      <c r="AC77" s="189">
        <v>3228</v>
      </c>
      <c r="AD77" s="189">
        <v>93219</v>
      </c>
      <c r="AE77" s="189">
        <v>37973</v>
      </c>
      <c r="AF77" s="190">
        <v>134849</v>
      </c>
      <c r="AG77" s="188">
        <v>8931</v>
      </c>
      <c r="AH77" s="189">
        <v>8346</v>
      </c>
      <c r="AI77" s="189">
        <v>313137</v>
      </c>
      <c r="AJ77" s="189">
        <v>156890</v>
      </c>
      <c r="AK77" s="190">
        <v>487304</v>
      </c>
      <c r="AL77" s="188">
        <v>195</v>
      </c>
      <c r="AM77" s="189">
        <v>468</v>
      </c>
      <c r="AN77" s="189">
        <v>22035</v>
      </c>
      <c r="AO77" s="189">
        <v>7461</v>
      </c>
      <c r="AP77" s="190">
        <v>30159</v>
      </c>
      <c r="AQ77" s="188">
        <v>1507</v>
      </c>
      <c r="AR77" s="189">
        <v>741</v>
      </c>
      <c r="AS77" s="189">
        <v>19048</v>
      </c>
      <c r="AT77" s="189">
        <v>9937</v>
      </c>
      <c r="AU77" s="190">
        <v>31233</v>
      </c>
      <c r="AV77" s="188">
        <v>274</v>
      </c>
      <c r="AW77" s="189">
        <v>215</v>
      </c>
      <c r="AX77" s="189">
        <v>7286</v>
      </c>
      <c r="AY77" s="189">
        <v>12348</v>
      </c>
      <c r="AZ77" s="190">
        <v>20123</v>
      </c>
      <c r="BA77" s="188">
        <v>10695</v>
      </c>
      <c r="BB77" s="189">
        <v>10292</v>
      </c>
      <c r="BC77" s="189">
        <v>38848</v>
      </c>
      <c r="BD77" s="189">
        <v>57910</v>
      </c>
      <c r="BE77" s="190">
        <v>117745</v>
      </c>
      <c r="BF77" s="188">
        <f t="shared" si="29"/>
        <v>3853</v>
      </c>
      <c r="BG77" s="189">
        <f t="shared" si="23"/>
        <v>3198</v>
      </c>
      <c r="BH77" s="189">
        <f t="shared" si="24"/>
        <v>3495</v>
      </c>
      <c r="BI77" s="189">
        <f t="shared" si="25"/>
        <v>15845</v>
      </c>
      <c r="BJ77" s="190">
        <f t="shared" si="26"/>
        <v>26391</v>
      </c>
      <c r="BK77" s="188"/>
      <c r="BL77" s="189"/>
      <c r="BM77" s="189"/>
      <c r="BN77" s="189"/>
      <c r="BO77" s="190"/>
      <c r="BP77" s="188">
        <v>1623</v>
      </c>
      <c r="BQ77" s="189">
        <v>1613</v>
      </c>
      <c r="BR77" s="189">
        <v>1367</v>
      </c>
      <c r="BS77" s="189">
        <v>4270</v>
      </c>
      <c r="BT77" s="190">
        <v>8873</v>
      </c>
      <c r="BU77" s="188">
        <v>2230</v>
      </c>
      <c r="BV77" s="189">
        <v>1585</v>
      </c>
      <c r="BW77" s="189">
        <v>2128</v>
      </c>
      <c r="BX77" s="189">
        <v>11575</v>
      </c>
      <c r="BY77" s="190">
        <v>17518</v>
      </c>
      <c r="BZ77" s="188"/>
      <c r="CA77" s="189"/>
      <c r="CB77" s="189"/>
      <c r="CC77" s="189"/>
      <c r="CD77" s="190"/>
      <c r="CE77" s="188"/>
      <c r="CF77" s="189"/>
      <c r="CG77" s="189"/>
      <c r="CH77" s="189"/>
      <c r="CI77" s="190"/>
    </row>
    <row r="78" s="163" customFormat="1" ht="14.6" spans="1:87">
      <c r="A78" s="191" t="s">
        <v>72</v>
      </c>
      <c r="B78" s="192"/>
      <c r="C78" s="193">
        <f t="shared" si="27"/>
        <v>476301</v>
      </c>
      <c r="D78" s="194">
        <f t="shared" si="15"/>
        <v>445216</v>
      </c>
      <c r="E78" s="194">
        <f t="shared" si="16"/>
        <v>1873200</v>
      </c>
      <c r="F78" s="194">
        <f t="shared" si="17"/>
        <v>1443964</v>
      </c>
      <c r="G78" s="195">
        <f t="shared" si="18"/>
        <v>4238681</v>
      </c>
      <c r="H78" s="193">
        <f t="shared" si="28"/>
        <v>433661</v>
      </c>
      <c r="I78" s="194">
        <f t="shared" si="19"/>
        <v>399481</v>
      </c>
      <c r="J78" s="194">
        <f t="shared" si="20"/>
        <v>1791865</v>
      </c>
      <c r="K78" s="194">
        <f t="shared" si="21"/>
        <v>1332444</v>
      </c>
      <c r="L78" s="195">
        <f t="shared" si="22"/>
        <v>3957451</v>
      </c>
      <c r="M78" s="193">
        <v>82802</v>
      </c>
      <c r="N78" s="194">
        <v>61025</v>
      </c>
      <c r="O78" s="194">
        <v>223198</v>
      </c>
      <c r="P78" s="194">
        <v>153235</v>
      </c>
      <c r="Q78" s="195">
        <v>520260</v>
      </c>
      <c r="R78" s="193">
        <v>28836</v>
      </c>
      <c r="S78" s="194">
        <v>31662</v>
      </c>
      <c r="T78" s="194">
        <v>140154</v>
      </c>
      <c r="U78" s="194">
        <v>82517</v>
      </c>
      <c r="V78" s="195">
        <v>283169</v>
      </c>
      <c r="W78" s="193">
        <v>18114</v>
      </c>
      <c r="X78" s="194">
        <v>18027</v>
      </c>
      <c r="Y78" s="194">
        <v>77504</v>
      </c>
      <c r="Z78" s="194">
        <v>105459</v>
      </c>
      <c r="AA78" s="195">
        <v>219104</v>
      </c>
      <c r="AB78" s="193">
        <v>18511</v>
      </c>
      <c r="AC78" s="194">
        <v>48125</v>
      </c>
      <c r="AD78" s="194">
        <v>251054</v>
      </c>
      <c r="AE78" s="194">
        <v>152462</v>
      </c>
      <c r="AF78" s="195">
        <v>470152</v>
      </c>
      <c r="AG78" s="193">
        <v>114984</v>
      </c>
      <c r="AH78" s="194">
        <v>90939</v>
      </c>
      <c r="AI78" s="194">
        <v>725335</v>
      </c>
      <c r="AJ78" s="194">
        <v>448743</v>
      </c>
      <c r="AK78" s="195">
        <v>1380001</v>
      </c>
      <c r="AL78" s="193">
        <v>7494</v>
      </c>
      <c r="AM78" s="194">
        <v>10548</v>
      </c>
      <c r="AN78" s="194">
        <v>43473</v>
      </c>
      <c r="AO78" s="194">
        <v>35909</v>
      </c>
      <c r="AP78" s="195">
        <v>97424</v>
      </c>
      <c r="AQ78" s="193">
        <v>53468</v>
      </c>
      <c r="AR78" s="194">
        <v>46089</v>
      </c>
      <c r="AS78" s="194">
        <v>134184</v>
      </c>
      <c r="AT78" s="194">
        <v>88400</v>
      </c>
      <c r="AU78" s="195">
        <v>322141</v>
      </c>
      <c r="AV78" s="193">
        <v>12364</v>
      </c>
      <c r="AW78" s="194">
        <v>11552</v>
      </c>
      <c r="AX78" s="194">
        <v>26396</v>
      </c>
      <c r="AY78" s="194">
        <v>42849</v>
      </c>
      <c r="AZ78" s="195">
        <v>93161</v>
      </c>
      <c r="BA78" s="193">
        <v>97088</v>
      </c>
      <c r="BB78" s="194">
        <v>81514</v>
      </c>
      <c r="BC78" s="194">
        <v>170567</v>
      </c>
      <c r="BD78" s="194">
        <v>222870</v>
      </c>
      <c r="BE78" s="195">
        <v>572039</v>
      </c>
      <c r="BF78" s="193">
        <f t="shared" si="29"/>
        <v>42640</v>
      </c>
      <c r="BG78" s="194">
        <f t="shared" si="23"/>
        <v>45735</v>
      </c>
      <c r="BH78" s="194">
        <f t="shared" si="24"/>
        <v>81335</v>
      </c>
      <c r="BI78" s="194">
        <f t="shared" si="25"/>
        <v>111520</v>
      </c>
      <c r="BJ78" s="195">
        <f t="shared" si="26"/>
        <v>281230</v>
      </c>
      <c r="BK78" s="193">
        <v>1449</v>
      </c>
      <c r="BL78" s="194">
        <v>2876</v>
      </c>
      <c r="BM78" s="194">
        <v>6093</v>
      </c>
      <c r="BN78" s="194">
        <v>6253</v>
      </c>
      <c r="BO78" s="195">
        <v>16671</v>
      </c>
      <c r="BP78" s="193">
        <v>16280</v>
      </c>
      <c r="BQ78" s="194">
        <v>15806</v>
      </c>
      <c r="BR78" s="194">
        <v>15972</v>
      </c>
      <c r="BS78" s="194">
        <v>22276</v>
      </c>
      <c r="BT78" s="195">
        <v>70334</v>
      </c>
      <c r="BU78" s="193">
        <v>22427</v>
      </c>
      <c r="BV78" s="194">
        <v>23763</v>
      </c>
      <c r="BW78" s="194">
        <v>51335</v>
      </c>
      <c r="BX78" s="194">
        <v>70808</v>
      </c>
      <c r="BY78" s="195">
        <v>168333</v>
      </c>
      <c r="BZ78" s="193">
        <v>2484</v>
      </c>
      <c r="CA78" s="194">
        <v>3290</v>
      </c>
      <c r="CB78" s="194">
        <v>5865</v>
      </c>
      <c r="CC78" s="194">
        <v>5567</v>
      </c>
      <c r="CD78" s="195">
        <v>17206</v>
      </c>
      <c r="CE78" s="193"/>
      <c r="CF78" s="194"/>
      <c r="CG78" s="194">
        <v>2070</v>
      </c>
      <c r="CH78" s="194">
        <v>6616</v>
      </c>
      <c r="CI78" s="195">
        <v>8686</v>
      </c>
    </row>
    <row r="79" spans="1:87">
      <c r="A79" s="186" t="s">
        <v>73</v>
      </c>
      <c r="B79" s="187" t="s">
        <v>26</v>
      </c>
      <c r="C79" s="188">
        <f t="shared" si="27"/>
        <v>1131324</v>
      </c>
      <c r="D79" s="189">
        <f t="shared" si="15"/>
        <v>1057269</v>
      </c>
      <c r="E79" s="189">
        <f t="shared" si="16"/>
        <v>1044852</v>
      </c>
      <c r="F79" s="189">
        <f t="shared" si="17"/>
        <v>910777</v>
      </c>
      <c r="G79" s="190">
        <f t="shared" si="18"/>
        <v>4144222</v>
      </c>
      <c r="H79" s="188">
        <f t="shared" si="28"/>
        <v>931086</v>
      </c>
      <c r="I79" s="189">
        <f t="shared" si="19"/>
        <v>875204</v>
      </c>
      <c r="J79" s="189">
        <f t="shared" si="20"/>
        <v>896279</v>
      </c>
      <c r="K79" s="189">
        <f t="shared" si="21"/>
        <v>725729</v>
      </c>
      <c r="L79" s="190">
        <f t="shared" si="22"/>
        <v>3428298</v>
      </c>
      <c r="M79" s="188">
        <v>98634</v>
      </c>
      <c r="N79" s="189">
        <v>112667</v>
      </c>
      <c r="O79" s="189">
        <v>125119</v>
      </c>
      <c r="P79" s="189">
        <v>68061</v>
      </c>
      <c r="Q79" s="190">
        <v>404481</v>
      </c>
      <c r="R79" s="188">
        <v>37950</v>
      </c>
      <c r="S79" s="189">
        <v>54640</v>
      </c>
      <c r="T79" s="189">
        <v>66715</v>
      </c>
      <c r="U79" s="189">
        <v>23083</v>
      </c>
      <c r="V79" s="190">
        <v>182388</v>
      </c>
      <c r="W79" s="188">
        <v>68481</v>
      </c>
      <c r="X79" s="189">
        <v>84940</v>
      </c>
      <c r="Y79" s="189">
        <v>35769</v>
      </c>
      <c r="Z79" s="189">
        <v>12012</v>
      </c>
      <c r="AA79" s="190">
        <v>201202</v>
      </c>
      <c r="AB79" s="188">
        <v>134664</v>
      </c>
      <c r="AC79" s="189">
        <v>83299</v>
      </c>
      <c r="AD79" s="189">
        <v>9108</v>
      </c>
      <c r="AE79" s="189">
        <v>5658</v>
      </c>
      <c r="AF79" s="190">
        <v>232729</v>
      </c>
      <c r="AG79" s="188">
        <v>326469</v>
      </c>
      <c r="AH79" s="189">
        <v>274887</v>
      </c>
      <c r="AI79" s="189">
        <v>245604</v>
      </c>
      <c r="AJ79" s="189">
        <v>217240</v>
      </c>
      <c r="AK79" s="190">
        <v>1064200</v>
      </c>
      <c r="AL79" s="188">
        <v>18203</v>
      </c>
      <c r="AM79" s="189">
        <v>23564</v>
      </c>
      <c r="AN79" s="189">
        <v>30504</v>
      </c>
      <c r="AO79" s="189">
        <v>33086</v>
      </c>
      <c r="AP79" s="190">
        <v>105357</v>
      </c>
      <c r="AQ79" s="188">
        <v>145681</v>
      </c>
      <c r="AR79" s="189">
        <v>145009</v>
      </c>
      <c r="AS79" s="189">
        <v>157453</v>
      </c>
      <c r="AT79" s="189">
        <v>101717</v>
      </c>
      <c r="AU79" s="190">
        <v>549860</v>
      </c>
      <c r="AV79" s="188">
        <v>16950</v>
      </c>
      <c r="AW79" s="189">
        <v>15735</v>
      </c>
      <c r="AX79" s="189">
        <v>24824</v>
      </c>
      <c r="AY79" s="189">
        <v>25920</v>
      </c>
      <c r="AZ79" s="190">
        <v>83429</v>
      </c>
      <c r="BA79" s="188">
        <v>84054</v>
      </c>
      <c r="BB79" s="189">
        <v>80463</v>
      </c>
      <c r="BC79" s="189">
        <v>201183</v>
      </c>
      <c r="BD79" s="189">
        <v>238952</v>
      </c>
      <c r="BE79" s="190">
        <v>604652</v>
      </c>
      <c r="BF79" s="188">
        <f t="shared" si="29"/>
        <v>200238</v>
      </c>
      <c r="BG79" s="189">
        <f t="shared" si="23"/>
        <v>182065</v>
      </c>
      <c r="BH79" s="189">
        <f t="shared" si="24"/>
        <v>148573</v>
      </c>
      <c r="BI79" s="189">
        <f t="shared" si="25"/>
        <v>185048</v>
      </c>
      <c r="BJ79" s="190">
        <f t="shared" si="26"/>
        <v>715924</v>
      </c>
      <c r="BK79" s="188">
        <v>6823</v>
      </c>
      <c r="BL79" s="189">
        <v>8970</v>
      </c>
      <c r="BM79" s="189">
        <v>9384</v>
      </c>
      <c r="BN79" s="189">
        <v>16974</v>
      </c>
      <c r="BO79" s="190">
        <v>42151</v>
      </c>
      <c r="BP79" s="188">
        <v>72758</v>
      </c>
      <c r="BQ79" s="189">
        <v>49797</v>
      </c>
      <c r="BR79" s="189">
        <v>25875</v>
      </c>
      <c r="BS79" s="189">
        <v>47143</v>
      </c>
      <c r="BT79" s="190">
        <v>195573</v>
      </c>
      <c r="BU79" s="188">
        <v>103354</v>
      </c>
      <c r="BV79" s="189">
        <v>88798</v>
      </c>
      <c r="BW79" s="189">
        <v>98893</v>
      </c>
      <c r="BX79" s="189">
        <v>93124</v>
      </c>
      <c r="BY79" s="190">
        <v>384169</v>
      </c>
      <c r="BZ79" s="188">
        <v>16613</v>
      </c>
      <c r="CA79" s="189">
        <v>25185</v>
      </c>
      <c r="CB79" s="189">
        <v>12627</v>
      </c>
      <c r="CC79" s="189">
        <v>17112</v>
      </c>
      <c r="CD79" s="190">
        <v>71537</v>
      </c>
      <c r="CE79" s="188">
        <v>690</v>
      </c>
      <c r="CF79" s="189">
        <v>9315</v>
      </c>
      <c r="CG79" s="189">
        <v>1794</v>
      </c>
      <c r="CH79" s="189">
        <v>10695</v>
      </c>
      <c r="CI79" s="190">
        <v>22494</v>
      </c>
    </row>
    <row r="80" spans="1:87">
      <c r="A80" s="186"/>
      <c r="B80" s="187" t="s">
        <v>27</v>
      </c>
      <c r="C80" s="188">
        <f t="shared" si="27"/>
        <v>9772</v>
      </c>
      <c r="D80" s="189">
        <f t="shared" si="15"/>
        <v>9671</v>
      </c>
      <c r="E80" s="189">
        <f t="shared" si="16"/>
        <v>9999</v>
      </c>
      <c r="F80" s="189">
        <f t="shared" si="17"/>
        <v>11642</v>
      </c>
      <c r="G80" s="190">
        <f t="shared" si="18"/>
        <v>41084</v>
      </c>
      <c r="H80" s="188">
        <f t="shared" si="28"/>
        <v>3665</v>
      </c>
      <c r="I80" s="189">
        <f t="shared" si="19"/>
        <v>2948</v>
      </c>
      <c r="J80" s="189">
        <f t="shared" si="20"/>
        <v>1955</v>
      </c>
      <c r="K80" s="189">
        <f t="shared" si="21"/>
        <v>3054</v>
      </c>
      <c r="L80" s="190">
        <f t="shared" si="22"/>
        <v>11622</v>
      </c>
      <c r="M80" s="188">
        <v>2427</v>
      </c>
      <c r="N80" s="189">
        <v>1888</v>
      </c>
      <c r="O80" s="189">
        <v>1416</v>
      </c>
      <c r="P80" s="189">
        <v>2680</v>
      </c>
      <c r="Q80" s="190">
        <v>8411</v>
      </c>
      <c r="R80" s="188"/>
      <c r="S80" s="189"/>
      <c r="T80" s="189"/>
      <c r="U80" s="189"/>
      <c r="V80" s="190"/>
      <c r="W80" s="188">
        <v>49</v>
      </c>
      <c r="X80" s="189"/>
      <c r="Y80" s="189"/>
      <c r="Z80" s="189"/>
      <c r="AA80" s="190">
        <v>49</v>
      </c>
      <c r="AB80" s="188">
        <v>227</v>
      </c>
      <c r="AC80" s="189">
        <v>245</v>
      </c>
      <c r="AD80" s="189"/>
      <c r="AE80" s="189">
        <v>98</v>
      </c>
      <c r="AF80" s="190">
        <v>570</v>
      </c>
      <c r="AG80" s="188"/>
      <c r="AH80" s="189"/>
      <c r="AI80" s="189"/>
      <c r="AJ80" s="189"/>
      <c r="AK80" s="190"/>
      <c r="AL80" s="188"/>
      <c r="AM80" s="189">
        <v>129</v>
      </c>
      <c r="AN80" s="189">
        <v>245</v>
      </c>
      <c r="AO80" s="189"/>
      <c r="AP80" s="190">
        <v>374</v>
      </c>
      <c r="AQ80" s="188"/>
      <c r="AR80" s="189"/>
      <c r="AS80" s="189"/>
      <c r="AT80" s="189"/>
      <c r="AU80" s="190"/>
      <c r="AV80" s="188"/>
      <c r="AW80" s="189"/>
      <c r="AX80" s="189"/>
      <c r="AY80" s="189"/>
      <c r="AZ80" s="190"/>
      <c r="BA80" s="188">
        <v>962</v>
      </c>
      <c r="BB80" s="189">
        <v>686</v>
      </c>
      <c r="BC80" s="189">
        <v>294</v>
      </c>
      <c r="BD80" s="189">
        <v>276</v>
      </c>
      <c r="BE80" s="190">
        <v>2218</v>
      </c>
      <c r="BF80" s="188">
        <f t="shared" si="29"/>
        <v>6107</v>
      </c>
      <c r="BG80" s="189">
        <f t="shared" si="23"/>
        <v>6723</v>
      </c>
      <c r="BH80" s="189">
        <f t="shared" si="24"/>
        <v>8044</v>
      </c>
      <c r="BI80" s="189">
        <f t="shared" si="25"/>
        <v>8588</v>
      </c>
      <c r="BJ80" s="190">
        <f t="shared" si="26"/>
        <v>29462</v>
      </c>
      <c r="BK80" s="188">
        <v>1550</v>
      </c>
      <c r="BL80" s="189">
        <v>343</v>
      </c>
      <c r="BM80" s="189">
        <v>343</v>
      </c>
      <c r="BN80" s="189">
        <v>343</v>
      </c>
      <c r="BO80" s="190">
        <v>2579</v>
      </c>
      <c r="BP80" s="188">
        <v>784</v>
      </c>
      <c r="BQ80" s="189">
        <v>1421</v>
      </c>
      <c r="BR80" s="189">
        <v>1568</v>
      </c>
      <c r="BS80" s="189">
        <v>1519</v>
      </c>
      <c r="BT80" s="190">
        <v>5292</v>
      </c>
      <c r="BU80" s="188">
        <v>3185</v>
      </c>
      <c r="BV80" s="189">
        <v>4665</v>
      </c>
      <c r="BW80" s="189">
        <v>5643</v>
      </c>
      <c r="BX80" s="189">
        <v>5991</v>
      </c>
      <c r="BY80" s="190">
        <v>19484</v>
      </c>
      <c r="BZ80" s="188">
        <v>588</v>
      </c>
      <c r="CA80" s="189">
        <v>294</v>
      </c>
      <c r="CB80" s="189">
        <v>490</v>
      </c>
      <c r="CC80" s="189">
        <v>735</v>
      </c>
      <c r="CD80" s="190">
        <v>2107</v>
      </c>
      <c r="CE80" s="188"/>
      <c r="CF80" s="189"/>
      <c r="CG80" s="189"/>
      <c r="CH80" s="189"/>
      <c r="CI80" s="190"/>
    </row>
    <row r="81" s="163" customFormat="1" ht="14.6" spans="1:87">
      <c r="A81" s="191" t="s">
        <v>74</v>
      </c>
      <c r="B81" s="192"/>
      <c r="C81" s="193">
        <f t="shared" si="27"/>
        <v>1141096</v>
      </c>
      <c r="D81" s="194">
        <f t="shared" si="15"/>
        <v>1066940</v>
      </c>
      <c r="E81" s="194">
        <f t="shared" si="16"/>
        <v>1054851</v>
      </c>
      <c r="F81" s="194">
        <f t="shared" si="17"/>
        <v>922419</v>
      </c>
      <c r="G81" s="195">
        <f t="shared" si="18"/>
        <v>4185306</v>
      </c>
      <c r="H81" s="193">
        <f t="shared" si="28"/>
        <v>934751</v>
      </c>
      <c r="I81" s="194">
        <f t="shared" si="19"/>
        <v>878152</v>
      </c>
      <c r="J81" s="194">
        <f t="shared" si="20"/>
        <v>898234</v>
      </c>
      <c r="K81" s="194">
        <f t="shared" si="21"/>
        <v>728783</v>
      </c>
      <c r="L81" s="195">
        <f t="shared" si="22"/>
        <v>3439920</v>
      </c>
      <c r="M81" s="193">
        <v>101061</v>
      </c>
      <c r="N81" s="194">
        <v>114555</v>
      </c>
      <c r="O81" s="194">
        <v>126535</v>
      </c>
      <c r="P81" s="194">
        <v>70741</v>
      </c>
      <c r="Q81" s="195">
        <v>412892</v>
      </c>
      <c r="R81" s="193">
        <v>37950</v>
      </c>
      <c r="S81" s="194">
        <v>54640</v>
      </c>
      <c r="T81" s="194">
        <v>66715</v>
      </c>
      <c r="U81" s="194">
        <v>23083</v>
      </c>
      <c r="V81" s="195">
        <v>182388</v>
      </c>
      <c r="W81" s="193">
        <v>68530</v>
      </c>
      <c r="X81" s="194">
        <v>84940</v>
      </c>
      <c r="Y81" s="194">
        <v>35769</v>
      </c>
      <c r="Z81" s="194">
        <v>12012</v>
      </c>
      <c r="AA81" s="195">
        <v>201251</v>
      </c>
      <c r="AB81" s="193">
        <v>134891</v>
      </c>
      <c r="AC81" s="194">
        <v>83544</v>
      </c>
      <c r="AD81" s="194">
        <v>9108</v>
      </c>
      <c r="AE81" s="194">
        <v>5756</v>
      </c>
      <c r="AF81" s="195">
        <v>233299</v>
      </c>
      <c r="AG81" s="193">
        <v>326469</v>
      </c>
      <c r="AH81" s="194">
        <v>274887</v>
      </c>
      <c r="AI81" s="194">
        <v>245604</v>
      </c>
      <c r="AJ81" s="194">
        <v>217240</v>
      </c>
      <c r="AK81" s="195">
        <v>1064200</v>
      </c>
      <c r="AL81" s="193">
        <v>18203</v>
      </c>
      <c r="AM81" s="194">
        <v>23693</v>
      </c>
      <c r="AN81" s="194">
        <v>30749</v>
      </c>
      <c r="AO81" s="194">
        <v>33086</v>
      </c>
      <c r="AP81" s="195">
        <v>105731</v>
      </c>
      <c r="AQ81" s="193">
        <v>145681</v>
      </c>
      <c r="AR81" s="194">
        <v>145009</v>
      </c>
      <c r="AS81" s="194">
        <v>157453</v>
      </c>
      <c r="AT81" s="194">
        <v>101717</v>
      </c>
      <c r="AU81" s="195">
        <v>549860</v>
      </c>
      <c r="AV81" s="193">
        <v>16950</v>
      </c>
      <c r="AW81" s="194">
        <v>15735</v>
      </c>
      <c r="AX81" s="194">
        <v>24824</v>
      </c>
      <c r="AY81" s="194">
        <v>25920</v>
      </c>
      <c r="AZ81" s="195">
        <v>83429</v>
      </c>
      <c r="BA81" s="193">
        <v>85016</v>
      </c>
      <c r="BB81" s="194">
        <v>81149</v>
      </c>
      <c r="BC81" s="194">
        <v>201477</v>
      </c>
      <c r="BD81" s="194">
        <v>239228</v>
      </c>
      <c r="BE81" s="195">
        <v>606870</v>
      </c>
      <c r="BF81" s="193">
        <f t="shared" si="29"/>
        <v>206345</v>
      </c>
      <c r="BG81" s="194">
        <f t="shared" si="23"/>
        <v>188788</v>
      </c>
      <c r="BH81" s="194">
        <f t="shared" si="24"/>
        <v>156617</v>
      </c>
      <c r="BI81" s="194">
        <f t="shared" si="25"/>
        <v>193636</v>
      </c>
      <c r="BJ81" s="195">
        <f t="shared" si="26"/>
        <v>745386</v>
      </c>
      <c r="BK81" s="193">
        <v>8373</v>
      </c>
      <c r="BL81" s="194">
        <v>9313</v>
      </c>
      <c r="BM81" s="194">
        <v>9727</v>
      </c>
      <c r="BN81" s="194">
        <v>17317</v>
      </c>
      <c r="BO81" s="195">
        <v>44730</v>
      </c>
      <c r="BP81" s="193">
        <v>73542</v>
      </c>
      <c r="BQ81" s="194">
        <v>51218</v>
      </c>
      <c r="BR81" s="194">
        <v>27443</v>
      </c>
      <c r="BS81" s="194">
        <v>48662</v>
      </c>
      <c r="BT81" s="195">
        <v>200865</v>
      </c>
      <c r="BU81" s="193">
        <v>106539</v>
      </c>
      <c r="BV81" s="194">
        <v>93463</v>
      </c>
      <c r="BW81" s="194">
        <v>104536</v>
      </c>
      <c r="BX81" s="194">
        <v>99115</v>
      </c>
      <c r="BY81" s="195">
        <v>403653</v>
      </c>
      <c r="BZ81" s="193">
        <v>17201</v>
      </c>
      <c r="CA81" s="194">
        <v>25479</v>
      </c>
      <c r="CB81" s="194">
        <v>13117</v>
      </c>
      <c r="CC81" s="194">
        <v>17847</v>
      </c>
      <c r="CD81" s="195">
        <v>73644</v>
      </c>
      <c r="CE81" s="193">
        <v>690</v>
      </c>
      <c r="CF81" s="194">
        <v>9315</v>
      </c>
      <c r="CG81" s="194">
        <v>1794</v>
      </c>
      <c r="CH81" s="194">
        <v>10695</v>
      </c>
      <c r="CI81" s="195">
        <v>22494</v>
      </c>
    </row>
    <row r="82" spans="1:87">
      <c r="A82" s="186" t="s">
        <v>75</v>
      </c>
      <c r="B82" s="187" t="s">
        <v>26</v>
      </c>
      <c r="C82" s="188">
        <f t="shared" si="27"/>
        <v>1036725</v>
      </c>
      <c r="D82" s="189">
        <f t="shared" si="15"/>
        <v>1038214</v>
      </c>
      <c r="E82" s="189">
        <f t="shared" si="16"/>
        <v>1066119</v>
      </c>
      <c r="F82" s="189">
        <f t="shared" si="17"/>
        <v>869400</v>
      </c>
      <c r="G82" s="190">
        <f t="shared" si="18"/>
        <v>4010458</v>
      </c>
      <c r="H82" s="188">
        <f t="shared" si="28"/>
        <v>850287</v>
      </c>
      <c r="I82" s="189">
        <f t="shared" si="19"/>
        <v>749932</v>
      </c>
      <c r="J82" s="189">
        <f t="shared" si="20"/>
        <v>755412</v>
      </c>
      <c r="K82" s="189">
        <f t="shared" si="21"/>
        <v>539925</v>
      </c>
      <c r="L82" s="190">
        <f t="shared" si="22"/>
        <v>2895556</v>
      </c>
      <c r="M82" s="188"/>
      <c r="N82" s="189"/>
      <c r="O82" s="189"/>
      <c r="P82" s="189"/>
      <c r="Q82" s="190"/>
      <c r="R82" s="188">
        <v>328233</v>
      </c>
      <c r="S82" s="189">
        <v>282555</v>
      </c>
      <c r="T82" s="189">
        <v>280416</v>
      </c>
      <c r="U82" s="189">
        <v>230943</v>
      </c>
      <c r="V82" s="190">
        <v>1122147</v>
      </c>
      <c r="W82" s="188">
        <v>36432</v>
      </c>
      <c r="X82" s="189">
        <v>40503</v>
      </c>
      <c r="Y82" s="189">
        <v>44574</v>
      </c>
      <c r="Z82" s="189">
        <v>26082</v>
      </c>
      <c r="AA82" s="190">
        <v>147591</v>
      </c>
      <c r="AB82" s="188">
        <v>170844</v>
      </c>
      <c r="AC82" s="189">
        <v>131071</v>
      </c>
      <c r="AD82" s="189">
        <v>132066</v>
      </c>
      <c r="AE82" s="189">
        <v>14766</v>
      </c>
      <c r="AF82" s="190">
        <v>448747</v>
      </c>
      <c r="AG82" s="188">
        <v>242259</v>
      </c>
      <c r="AH82" s="189">
        <v>238602</v>
      </c>
      <c r="AI82" s="189">
        <v>249849</v>
      </c>
      <c r="AJ82" s="189">
        <v>196374</v>
      </c>
      <c r="AK82" s="190">
        <v>927084</v>
      </c>
      <c r="AL82" s="188">
        <v>20010</v>
      </c>
      <c r="AM82" s="189">
        <v>6831</v>
      </c>
      <c r="AN82" s="189"/>
      <c r="AO82" s="189">
        <v>1656</v>
      </c>
      <c r="AP82" s="190">
        <v>28497</v>
      </c>
      <c r="AQ82" s="188">
        <v>52509</v>
      </c>
      <c r="AR82" s="189">
        <v>50370</v>
      </c>
      <c r="AS82" s="189">
        <v>48507</v>
      </c>
      <c r="AT82" s="189">
        <v>70104</v>
      </c>
      <c r="AU82" s="190">
        <v>221490</v>
      </c>
      <c r="AV82" s="188"/>
      <c r="AW82" s="189"/>
      <c r="AX82" s="189"/>
      <c r="AY82" s="189"/>
      <c r="AZ82" s="190"/>
      <c r="BA82" s="188"/>
      <c r="BB82" s="189"/>
      <c r="BC82" s="189"/>
      <c r="BD82" s="189"/>
      <c r="BE82" s="190"/>
      <c r="BF82" s="188">
        <f t="shared" si="29"/>
        <v>186438</v>
      </c>
      <c r="BG82" s="189">
        <f t="shared" si="23"/>
        <v>288282</v>
      </c>
      <c r="BH82" s="189">
        <f t="shared" si="24"/>
        <v>310707</v>
      </c>
      <c r="BI82" s="189">
        <f t="shared" si="25"/>
        <v>329475</v>
      </c>
      <c r="BJ82" s="190">
        <f t="shared" si="26"/>
        <v>1114902</v>
      </c>
      <c r="BK82" s="188">
        <v>1587</v>
      </c>
      <c r="BL82" s="189">
        <v>12834</v>
      </c>
      <c r="BM82" s="189">
        <v>24702</v>
      </c>
      <c r="BN82" s="189">
        <v>11937</v>
      </c>
      <c r="BO82" s="190">
        <v>51060</v>
      </c>
      <c r="BP82" s="188">
        <v>115230</v>
      </c>
      <c r="BQ82" s="189">
        <v>121716</v>
      </c>
      <c r="BR82" s="189">
        <v>119094</v>
      </c>
      <c r="BS82" s="189">
        <v>143520</v>
      </c>
      <c r="BT82" s="190">
        <v>499560</v>
      </c>
      <c r="BU82" s="188">
        <v>49128</v>
      </c>
      <c r="BV82" s="189">
        <v>122820</v>
      </c>
      <c r="BW82" s="189">
        <v>134964</v>
      </c>
      <c r="BX82" s="189">
        <v>140346</v>
      </c>
      <c r="BY82" s="190">
        <v>447258</v>
      </c>
      <c r="BZ82" s="188">
        <v>17043</v>
      </c>
      <c r="CA82" s="189">
        <v>29394</v>
      </c>
      <c r="CB82" s="189">
        <v>31947</v>
      </c>
      <c r="CC82" s="189">
        <v>33672</v>
      </c>
      <c r="CD82" s="190">
        <v>112056</v>
      </c>
      <c r="CE82" s="188">
        <v>3450</v>
      </c>
      <c r="CF82" s="189">
        <v>1518</v>
      </c>
      <c r="CG82" s="189"/>
      <c r="CH82" s="189"/>
      <c r="CI82" s="190">
        <v>4968</v>
      </c>
    </row>
    <row r="83" s="163" customFormat="1" ht="14.6" spans="1:87">
      <c r="A83" s="191" t="s">
        <v>76</v>
      </c>
      <c r="B83" s="192"/>
      <c r="C83" s="193">
        <f t="shared" si="27"/>
        <v>1036725</v>
      </c>
      <c r="D83" s="194">
        <f t="shared" si="15"/>
        <v>1038214</v>
      </c>
      <c r="E83" s="194">
        <f t="shared" si="16"/>
        <v>1066119</v>
      </c>
      <c r="F83" s="194">
        <f t="shared" si="17"/>
        <v>869400</v>
      </c>
      <c r="G83" s="195">
        <f t="shared" si="18"/>
        <v>4010458</v>
      </c>
      <c r="H83" s="193">
        <f t="shared" si="28"/>
        <v>850287</v>
      </c>
      <c r="I83" s="194">
        <f t="shared" si="19"/>
        <v>749932</v>
      </c>
      <c r="J83" s="194">
        <f t="shared" si="20"/>
        <v>755412</v>
      </c>
      <c r="K83" s="194">
        <f t="shared" si="21"/>
        <v>539925</v>
      </c>
      <c r="L83" s="195">
        <f t="shared" si="22"/>
        <v>2895556</v>
      </c>
      <c r="M83" s="193"/>
      <c r="N83" s="194"/>
      <c r="O83" s="194"/>
      <c r="P83" s="194"/>
      <c r="Q83" s="195"/>
      <c r="R83" s="193">
        <v>328233</v>
      </c>
      <c r="S83" s="194">
        <v>282555</v>
      </c>
      <c r="T83" s="194">
        <v>280416</v>
      </c>
      <c r="U83" s="194">
        <v>230943</v>
      </c>
      <c r="V83" s="195">
        <v>1122147</v>
      </c>
      <c r="W83" s="193">
        <v>36432</v>
      </c>
      <c r="X83" s="194">
        <v>40503</v>
      </c>
      <c r="Y83" s="194">
        <v>44574</v>
      </c>
      <c r="Z83" s="194">
        <v>26082</v>
      </c>
      <c r="AA83" s="195">
        <v>147591</v>
      </c>
      <c r="AB83" s="193">
        <v>170844</v>
      </c>
      <c r="AC83" s="194">
        <v>131071</v>
      </c>
      <c r="AD83" s="194">
        <v>132066</v>
      </c>
      <c r="AE83" s="194">
        <v>14766</v>
      </c>
      <c r="AF83" s="195">
        <v>448747</v>
      </c>
      <c r="AG83" s="193">
        <v>242259</v>
      </c>
      <c r="AH83" s="194">
        <v>238602</v>
      </c>
      <c r="AI83" s="194">
        <v>249849</v>
      </c>
      <c r="AJ83" s="194">
        <v>196374</v>
      </c>
      <c r="AK83" s="195">
        <v>927084</v>
      </c>
      <c r="AL83" s="193">
        <v>20010</v>
      </c>
      <c r="AM83" s="194">
        <v>6831</v>
      </c>
      <c r="AN83" s="194"/>
      <c r="AO83" s="194">
        <v>1656</v>
      </c>
      <c r="AP83" s="195">
        <v>28497</v>
      </c>
      <c r="AQ83" s="193">
        <v>52509</v>
      </c>
      <c r="AR83" s="194">
        <v>50370</v>
      </c>
      <c r="AS83" s="194">
        <v>48507</v>
      </c>
      <c r="AT83" s="194">
        <v>70104</v>
      </c>
      <c r="AU83" s="195">
        <v>221490</v>
      </c>
      <c r="AV83" s="193"/>
      <c r="AW83" s="194"/>
      <c r="AX83" s="194"/>
      <c r="AY83" s="194"/>
      <c r="AZ83" s="195"/>
      <c r="BA83" s="193"/>
      <c r="BB83" s="194"/>
      <c r="BC83" s="194"/>
      <c r="BD83" s="194"/>
      <c r="BE83" s="195"/>
      <c r="BF83" s="193">
        <f t="shared" si="29"/>
        <v>186438</v>
      </c>
      <c r="BG83" s="194">
        <f t="shared" si="23"/>
        <v>288282</v>
      </c>
      <c r="BH83" s="194">
        <f t="shared" si="24"/>
        <v>310707</v>
      </c>
      <c r="BI83" s="194">
        <f t="shared" si="25"/>
        <v>329475</v>
      </c>
      <c r="BJ83" s="195">
        <f t="shared" si="26"/>
        <v>1114902</v>
      </c>
      <c r="BK83" s="193">
        <v>1587</v>
      </c>
      <c r="BL83" s="194">
        <v>12834</v>
      </c>
      <c r="BM83" s="194">
        <v>24702</v>
      </c>
      <c r="BN83" s="194">
        <v>11937</v>
      </c>
      <c r="BO83" s="195">
        <v>51060</v>
      </c>
      <c r="BP83" s="193">
        <v>115230</v>
      </c>
      <c r="BQ83" s="194">
        <v>121716</v>
      </c>
      <c r="BR83" s="194">
        <v>119094</v>
      </c>
      <c r="BS83" s="194">
        <v>143520</v>
      </c>
      <c r="BT83" s="195">
        <v>499560</v>
      </c>
      <c r="BU83" s="193">
        <v>49128</v>
      </c>
      <c r="BV83" s="194">
        <v>122820</v>
      </c>
      <c r="BW83" s="194">
        <v>134964</v>
      </c>
      <c r="BX83" s="194">
        <v>140346</v>
      </c>
      <c r="BY83" s="195">
        <v>447258</v>
      </c>
      <c r="BZ83" s="193">
        <v>17043</v>
      </c>
      <c r="CA83" s="194">
        <v>29394</v>
      </c>
      <c r="CB83" s="194">
        <v>31947</v>
      </c>
      <c r="CC83" s="194">
        <v>33672</v>
      </c>
      <c r="CD83" s="195">
        <v>112056</v>
      </c>
      <c r="CE83" s="193">
        <v>3450</v>
      </c>
      <c r="CF83" s="194">
        <v>1518</v>
      </c>
      <c r="CG83" s="194"/>
      <c r="CH83" s="194"/>
      <c r="CI83" s="195">
        <v>4968</v>
      </c>
    </row>
    <row r="84" spans="1:87">
      <c r="A84" s="186" t="s">
        <v>77</v>
      </c>
      <c r="B84" s="187" t="s">
        <v>26</v>
      </c>
      <c r="C84" s="188">
        <f t="shared" si="27"/>
        <v>333781</v>
      </c>
      <c r="D84" s="189">
        <f t="shared" si="15"/>
        <v>310621</v>
      </c>
      <c r="E84" s="189">
        <f t="shared" si="16"/>
        <v>1488270</v>
      </c>
      <c r="F84" s="189">
        <f t="shared" si="17"/>
        <v>1822618</v>
      </c>
      <c r="G84" s="190">
        <f t="shared" si="18"/>
        <v>3955290</v>
      </c>
      <c r="H84" s="188">
        <f t="shared" si="28"/>
        <v>310897</v>
      </c>
      <c r="I84" s="189">
        <f t="shared" si="19"/>
        <v>287469</v>
      </c>
      <c r="J84" s="189">
        <f t="shared" si="20"/>
        <v>1431877</v>
      </c>
      <c r="K84" s="189">
        <f t="shared" si="21"/>
        <v>1741977</v>
      </c>
      <c r="L84" s="190">
        <f t="shared" si="22"/>
        <v>3772220</v>
      </c>
      <c r="M84" s="188">
        <v>91393</v>
      </c>
      <c r="N84" s="189">
        <v>78972</v>
      </c>
      <c r="O84" s="189">
        <v>257205</v>
      </c>
      <c r="P84" s="189">
        <v>383128</v>
      </c>
      <c r="Q84" s="190">
        <v>810698</v>
      </c>
      <c r="R84" s="188">
        <v>76692</v>
      </c>
      <c r="S84" s="189">
        <v>91431</v>
      </c>
      <c r="T84" s="189">
        <v>302986</v>
      </c>
      <c r="U84" s="189">
        <v>334685</v>
      </c>
      <c r="V84" s="190">
        <v>805794</v>
      </c>
      <c r="W84" s="188">
        <v>10497</v>
      </c>
      <c r="X84" s="189">
        <v>11805</v>
      </c>
      <c r="Y84" s="189">
        <v>19452</v>
      </c>
      <c r="Z84" s="189">
        <v>174160</v>
      </c>
      <c r="AA84" s="190">
        <v>215914</v>
      </c>
      <c r="AB84" s="188">
        <v>792</v>
      </c>
      <c r="AC84" s="189">
        <v>1089</v>
      </c>
      <c r="AD84" s="189">
        <v>295875</v>
      </c>
      <c r="AE84" s="189">
        <v>207396</v>
      </c>
      <c r="AF84" s="190">
        <v>505152</v>
      </c>
      <c r="AG84" s="188">
        <v>65193</v>
      </c>
      <c r="AH84" s="189">
        <v>48489</v>
      </c>
      <c r="AI84" s="189">
        <v>334507</v>
      </c>
      <c r="AJ84" s="189">
        <v>267374</v>
      </c>
      <c r="AK84" s="190">
        <v>715563</v>
      </c>
      <c r="AL84" s="188">
        <v>7761</v>
      </c>
      <c r="AM84" s="189">
        <v>7710</v>
      </c>
      <c r="AN84" s="189">
        <v>18931</v>
      </c>
      <c r="AO84" s="189">
        <v>47578</v>
      </c>
      <c r="AP84" s="190">
        <v>81980</v>
      </c>
      <c r="AQ84" s="188">
        <v>12281</v>
      </c>
      <c r="AR84" s="189">
        <v>9334</v>
      </c>
      <c r="AS84" s="189">
        <v>168579</v>
      </c>
      <c r="AT84" s="189">
        <v>163138</v>
      </c>
      <c r="AU84" s="190">
        <v>353332</v>
      </c>
      <c r="AV84" s="188">
        <v>9225</v>
      </c>
      <c r="AW84" s="189">
        <v>7521</v>
      </c>
      <c r="AX84" s="189">
        <v>5376</v>
      </c>
      <c r="AY84" s="189">
        <v>26942</v>
      </c>
      <c r="AZ84" s="190">
        <v>49064</v>
      </c>
      <c r="BA84" s="188">
        <v>37063</v>
      </c>
      <c r="BB84" s="189">
        <v>31118</v>
      </c>
      <c r="BC84" s="189">
        <v>28966</v>
      </c>
      <c r="BD84" s="189">
        <v>137576</v>
      </c>
      <c r="BE84" s="190">
        <v>234723</v>
      </c>
      <c r="BF84" s="188">
        <f t="shared" si="29"/>
        <v>22884</v>
      </c>
      <c r="BG84" s="189">
        <f t="shared" si="23"/>
        <v>23152</v>
      </c>
      <c r="BH84" s="189">
        <f t="shared" si="24"/>
        <v>56393</v>
      </c>
      <c r="BI84" s="189">
        <f t="shared" si="25"/>
        <v>80641</v>
      </c>
      <c r="BJ84" s="190">
        <f t="shared" si="26"/>
        <v>183070</v>
      </c>
      <c r="BK84" s="188">
        <v>138</v>
      </c>
      <c r="BL84" s="189">
        <v>69</v>
      </c>
      <c r="BM84" s="189">
        <v>13894</v>
      </c>
      <c r="BN84" s="189">
        <v>9113</v>
      </c>
      <c r="BO84" s="190">
        <v>23214</v>
      </c>
      <c r="BP84" s="188">
        <v>6750</v>
      </c>
      <c r="BQ84" s="189">
        <v>6813</v>
      </c>
      <c r="BR84" s="189">
        <v>6546</v>
      </c>
      <c r="BS84" s="189">
        <v>297</v>
      </c>
      <c r="BT84" s="190">
        <v>20406</v>
      </c>
      <c r="BU84" s="188">
        <v>11580</v>
      </c>
      <c r="BV84" s="189">
        <v>13993</v>
      </c>
      <c r="BW84" s="189">
        <v>25689</v>
      </c>
      <c r="BX84" s="189">
        <v>52032</v>
      </c>
      <c r="BY84" s="190">
        <v>103294</v>
      </c>
      <c r="BZ84" s="188">
        <v>4416</v>
      </c>
      <c r="CA84" s="189">
        <v>2277</v>
      </c>
      <c r="CB84" s="189">
        <v>10264</v>
      </c>
      <c r="CC84" s="189">
        <v>11931</v>
      </c>
      <c r="CD84" s="190">
        <v>28888</v>
      </c>
      <c r="CE84" s="188"/>
      <c r="CF84" s="189"/>
      <c r="CG84" s="189"/>
      <c r="CH84" s="189">
        <v>7268</v>
      </c>
      <c r="CI84" s="190">
        <v>7268</v>
      </c>
    </row>
    <row r="85" s="163" customFormat="1" ht="14.6" spans="1:87">
      <c r="A85" s="191" t="s">
        <v>78</v>
      </c>
      <c r="B85" s="192"/>
      <c r="C85" s="193">
        <f t="shared" si="27"/>
        <v>333781</v>
      </c>
      <c r="D85" s="194">
        <f t="shared" si="15"/>
        <v>310621</v>
      </c>
      <c r="E85" s="194">
        <f t="shared" si="16"/>
        <v>1488270</v>
      </c>
      <c r="F85" s="194">
        <f t="shared" si="17"/>
        <v>1822618</v>
      </c>
      <c r="G85" s="195">
        <f t="shared" si="18"/>
        <v>3955290</v>
      </c>
      <c r="H85" s="193">
        <f t="shared" si="28"/>
        <v>310897</v>
      </c>
      <c r="I85" s="194">
        <f t="shared" si="19"/>
        <v>287469</v>
      </c>
      <c r="J85" s="194">
        <f t="shared" si="20"/>
        <v>1431877</v>
      </c>
      <c r="K85" s="194">
        <f t="shared" si="21"/>
        <v>1741977</v>
      </c>
      <c r="L85" s="195">
        <f t="shared" si="22"/>
        <v>3772220</v>
      </c>
      <c r="M85" s="193">
        <v>91393</v>
      </c>
      <c r="N85" s="194">
        <v>78972</v>
      </c>
      <c r="O85" s="194">
        <v>257205</v>
      </c>
      <c r="P85" s="194">
        <v>383128</v>
      </c>
      <c r="Q85" s="195">
        <v>810698</v>
      </c>
      <c r="R85" s="193">
        <v>76692</v>
      </c>
      <c r="S85" s="194">
        <v>91431</v>
      </c>
      <c r="T85" s="194">
        <v>302986</v>
      </c>
      <c r="U85" s="194">
        <v>334685</v>
      </c>
      <c r="V85" s="195">
        <v>805794</v>
      </c>
      <c r="W85" s="193">
        <v>10497</v>
      </c>
      <c r="X85" s="194">
        <v>11805</v>
      </c>
      <c r="Y85" s="194">
        <v>19452</v>
      </c>
      <c r="Z85" s="194">
        <v>174160</v>
      </c>
      <c r="AA85" s="195">
        <v>215914</v>
      </c>
      <c r="AB85" s="193">
        <v>792</v>
      </c>
      <c r="AC85" s="194">
        <v>1089</v>
      </c>
      <c r="AD85" s="194">
        <v>295875</v>
      </c>
      <c r="AE85" s="194">
        <v>207396</v>
      </c>
      <c r="AF85" s="195">
        <v>505152</v>
      </c>
      <c r="AG85" s="193">
        <v>65193</v>
      </c>
      <c r="AH85" s="194">
        <v>48489</v>
      </c>
      <c r="AI85" s="194">
        <v>334507</v>
      </c>
      <c r="AJ85" s="194">
        <v>267374</v>
      </c>
      <c r="AK85" s="195">
        <v>715563</v>
      </c>
      <c r="AL85" s="193">
        <v>7761</v>
      </c>
      <c r="AM85" s="194">
        <v>7710</v>
      </c>
      <c r="AN85" s="194">
        <v>18931</v>
      </c>
      <c r="AO85" s="194">
        <v>47578</v>
      </c>
      <c r="AP85" s="195">
        <v>81980</v>
      </c>
      <c r="AQ85" s="193">
        <v>12281</v>
      </c>
      <c r="AR85" s="194">
        <v>9334</v>
      </c>
      <c r="AS85" s="194">
        <v>168579</v>
      </c>
      <c r="AT85" s="194">
        <v>163138</v>
      </c>
      <c r="AU85" s="195">
        <v>353332</v>
      </c>
      <c r="AV85" s="193">
        <v>9225</v>
      </c>
      <c r="AW85" s="194">
        <v>7521</v>
      </c>
      <c r="AX85" s="194">
        <v>5376</v>
      </c>
      <c r="AY85" s="194">
        <v>26942</v>
      </c>
      <c r="AZ85" s="195">
        <v>49064</v>
      </c>
      <c r="BA85" s="193">
        <v>37063</v>
      </c>
      <c r="BB85" s="194">
        <v>31118</v>
      </c>
      <c r="BC85" s="194">
        <v>28966</v>
      </c>
      <c r="BD85" s="194">
        <v>137576</v>
      </c>
      <c r="BE85" s="195">
        <v>234723</v>
      </c>
      <c r="BF85" s="193">
        <f t="shared" si="29"/>
        <v>22884</v>
      </c>
      <c r="BG85" s="194">
        <f t="shared" si="23"/>
        <v>23152</v>
      </c>
      <c r="BH85" s="194">
        <f t="shared" si="24"/>
        <v>56393</v>
      </c>
      <c r="BI85" s="194">
        <f t="shared" si="25"/>
        <v>80641</v>
      </c>
      <c r="BJ85" s="195">
        <f t="shared" si="26"/>
        <v>183070</v>
      </c>
      <c r="BK85" s="193">
        <v>138</v>
      </c>
      <c r="BL85" s="194">
        <v>69</v>
      </c>
      <c r="BM85" s="194">
        <v>13894</v>
      </c>
      <c r="BN85" s="194">
        <v>9113</v>
      </c>
      <c r="BO85" s="195">
        <v>23214</v>
      </c>
      <c r="BP85" s="193">
        <v>6750</v>
      </c>
      <c r="BQ85" s="194">
        <v>6813</v>
      </c>
      <c r="BR85" s="194">
        <v>6546</v>
      </c>
      <c r="BS85" s="194">
        <v>297</v>
      </c>
      <c r="BT85" s="195">
        <v>20406</v>
      </c>
      <c r="BU85" s="193">
        <v>11580</v>
      </c>
      <c r="BV85" s="194">
        <v>13993</v>
      </c>
      <c r="BW85" s="194">
        <v>25689</v>
      </c>
      <c r="BX85" s="194">
        <v>52032</v>
      </c>
      <c r="BY85" s="195">
        <v>103294</v>
      </c>
      <c r="BZ85" s="193">
        <v>4416</v>
      </c>
      <c r="CA85" s="194">
        <v>2277</v>
      </c>
      <c r="CB85" s="194">
        <v>10264</v>
      </c>
      <c r="CC85" s="194">
        <v>11931</v>
      </c>
      <c r="CD85" s="195">
        <v>28888</v>
      </c>
      <c r="CE85" s="193"/>
      <c r="CF85" s="194"/>
      <c r="CG85" s="194"/>
      <c r="CH85" s="194">
        <v>7268</v>
      </c>
      <c r="CI85" s="195">
        <v>7268</v>
      </c>
    </row>
    <row r="86" spans="1:87">
      <c r="A86" s="186" t="s">
        <v>79</v>
      </c>
      <c r="B86" s="187" t="s">
        <v>27</v>
      </c>
      <c r="C86" s="188">
        <f t="shared" si="27"/>
        <v>257221</v>
      </c>
      <c r="D86" s="189">
        <f t="shared" si="15"/>
        <v>130681</v>
      </c>
      <c r="E86" s="189">
        <f t="shared" si="16"/>
        <v>57823</v>
      </c>
      <c r="F86" s="189">
        <f t="shared" si="17"/>
        <v>32195</v>
      </c>
      <c r="G86" s="190">
        <f t="shared" si="18"/>
        <v>477920</v>
      </c>
      <c r="H86" s="188">
        <f t="shared" si="28"/>
        <v>241970</v>
      </c>
      <c r="I86" s="189">
        <f t="shared" si="19"/>
        <v>120037</v>
      </c>
      <c r="J86" s="189">
        <f t="shared" si="20"/>
        <v>32107</v>
      </c>
      <c r="K86" s="189">
        <f t="shared" si="21"/>
        <v>6964</v>
      </c>
      <c r="L86" s="190">
        <f t="shared" si="22"/>
        <v>401078</v>
      </c>
      <c r="M86" s="188">
        <v>59682</v>
      </c>
      <c r="N86" s="189">
        <v>22785</v>
      </c>
      <c r="O86" s="189">
        <v>6664</v>
      </c>
      <c r="P86" s="189">
        <v>882</v>
      </c>
      <c r="Q86" s="190">
        <v>90013</v>
      </c>
      <c r="R86" s="188">
        <v>196</v>
      </c>
      <c r="S86" s="189">
        <v>98</v>
      </c>
      <c r="T86" s="189"/>
      <c r="U86" s="189"/>
      <c r="V86" s="190">
        <v>294</v>
      </c>
      <c r="W86" s="188">
        <v>24843</v>
      </c>
      <c r="X86" s="189">
        <v>4508</v>
      </c>
      <c r="Y86" s="189"/>
      <c r="Z86" s="189"/>
      <c r="AA86" s="190">
        <v>29351</v>
      </c>
      <c r="AB86" s="188">
        <v>828</v>
      </c>
      <c r="AC86" s="189">
        <v>98</v>
      </c>
      <c r="AD86" s="189"/>
      <c r="AE86" s="189"/>
      <c r="AF86" s="190">
        <v>926</v>
      </c>
      <c r="AG86" s="188">
        <v>149940</v>
      </c>
      <c r="AH86" s="189">
        <v>88347</v>
      </c>
      <c r="AI86" s="189">
        <v>20384</v>
      </c>
      <c r="AJ86" s="189">
        <v>3430</v>
      </c>
      <c r="AK86" s="190">
        <v>262101</v>
      </c>
      <c r="AL86" s="188"/>
      <c r="AM86" s="189"/>
      <c r="AN86" s="189"/>
      <c r="AO86" s="189"/>
      <c r="AP86" s="190"/>
      <c r="AQ86" s="188"/>
      <c r="AR86" s="189"/>
      <c r="AS86" s="189">
        <v>392</v>
      </c>
      <c r="AT86" s="189"/>
      <c r="AU86" s="190">
        <v>392</v>
      </c>
      <c r="AV86" s="188">
        <v>3038</v>
      </c>
      <c r="AW86" s="189">
        <v>2324</v>
      </c>
      <c r="AX86" s="189">
        <v>2744</v>
      </c>
      <c r="AY86" s="189">
        <v>2009</v>
      </c>
      <c r="AZ86" s="190">
        <v>10115</v>
      </c>
      <c r="BA86" s="188">
        <v>3443</v>
      </c>
      <c r="BB86" s="189">
        <v>1877</v>
      </c>
      <c r="BC86" s="189">
        <v>1923</v>
      </c>
      <c r="BD86" s="189">
        <v>643</v>
      </c>
      <c r="BE86" s="190">
        <v>7886</v>
      </c>
      <c r="BF86" s="188">
        <f t="shared" si="29"/>
        <v>15251</v>
      </c>
      <c r="BG86" s="189">
        <f t="shared" si="23"/>
        <v>10644</v>
      </c>
      <c r="BH86" s="189">
        <f t="shared" si="24"/>
        <v>25716</v>
      </c>
      <c r="BI86" s="189">
        <f t="shared" si="25"/>
        <v>25231</v>
      </c>
      <c r="BJ86" s="190">
        <f t="shared" si="26"/>
        <v>76842</v>
      </c>
      <c r="BK86" s="188">
        <v>3528</v>
      </c>
      <c r="BL86" s="189">
        <v>2499</v>
      </c>
      <c r="BM86" s="189">
        <v>6566</v>
      </c>
      <c r="BN86" s="189">
        <v>6811</v>
      </c>
      <c r="BO86" s="190">
        <v>19404</v>
      </c>
      <c r="BP86" s="188">
        <v>1188</v>
      </c>
      <c r="BQ86" s="189">
        <v>396</v>
      </c>
      <c r="BR86" s="189">
        <v>99</v>
      </c>
      <c r="BS86" s="189"/>
      <c r="BT86" s="190">
        <v>1683</v>
      </c>
      <c r="BU86" s="188">
        <v>10535</v>
      </c>
      <c r="BV86" s="189">
        <v>7749</v>
      </c>
      <c r="BW86" s="189">
        <v>19051</v>
      </c>
      <c r="BX86" s="189">
        <v>18420</v>
      </c>
      <c r="BY86" s="190">
        <v>55755</v>
      </c>
      <c r="BZ86" s="188"/>
      <c r="CA86" s="189"/>
      <c r="CB86" s="189"/>
      <c r="CC86" s="189"/>
      <c r="CD86" s="190"/>
      <c r="CE86" s="188"/>
      <c r="CF86" s="189"/>
      <c r="CG86" s="189"/>
      <c r="CH86" s="189"/>
      <c r="CI86" s="190"/>
    </row>
    <row r="87" spans="1:87">
      <c r="A87" s="186"/>
      <c r="B87" s="187" t="s">
        <v>28</v>
      </c>
      <c r="C87" s="188">
        <f t="shared" si="27"/>
        <v>799284</v>
      </c>
      <c r="D87" s="189">
        <f t="shared" si="15"/>
        <v>730782</v>
      </c>
      <c r="E87" s="189">
        <f t="shared" si="16"/>
        <v>896799</v>
      </c>
      <c r="F87" s="189">
        <f t="shared" si="17"/>
        <v>895956</v>
      </c>
      <c r="G87" s="190">
        <f t="shared" si="18"/>
        <v>3322821</v>
      </c>
      <c r="H87" s="188">
        <f t="shared" si="28"/>
        <v>746073</v>
      </c>
      <c r="I87" s="189">
        <f t="shared" si="19"/>
        <v>646080</v>
      </c>
      <c r="J87" s="189">
        <f t="shared" si="20"/>
        <v>789627</v>
      </c>
      <c r="K87" s="189">
        <f t="shared" si="21"/>
        <v>710538</v>
      </c>
      <c r="L87" s="190">
        <f t="shared" si="22"/>
        <v>2892318</v>
      </c>
      <c r="M87" s="188">
        <v>203616</v>
      </c>
      <c r="N87" s="189">
        <v>157614</v>
      </c>
      <c r="O87" s="189">
        <v>138900</v>
      </c>
      <c r="P87" s="189">
        <v>166131</v>
      </c>
      <c r="Q87" s="190">
        <v>666261</v>
      </c>
      <c r="R87" s="188">
        <v>53958</v>
      </c>
      <c r="S87" s="189">
        <v>41745</v>
      </c>
      <c r="T87" s="189">
        <v>33948</v>
      </c>
      <c r="U87" s="189">
        <v>35397</v>
      </c>
      <c r="V87" s="190">
        <v>165048</v>
      </c>
      <c r="W87" s="188">
        <v>120978</v>
      </c>
      <c r="X87" s="189">
        <v>87384</v>
      </c>
      <c r="Y87" s="189">
        <v>72783</v>
      </c>
      <c r="Z87" s="189">
        <v>67329</v>
      </c>
      <c r="AA87" s="190">
        <v>348474</v>
      </c>
      <c r="AB87" s="188">
        <v>1584</v>
      </c>
      <c r="AC87" s="189">
        <v>30768</v>
      </c>
      <c r="AD87" s="189">
        <v>197628</v>
      </c>
      <c r="AE87" s="189">
        <v>132132</v>
      </c>
      <c r="AF87" s="190">
        <v>362112</v>
      </c>
      <c r="AG87" s="188">
        <v>193878</v>
      </c>
      <c r="AH87" s="189">
        <v>175983</v>
      </c>
      <c r="AI87" s="189">
        <v>143130</v>
      </c>
      <c r="AJ87" s="189">
        <v>97995</v>
      </c>
      <c r="AK87" s="190">
        <v>610986</v>
      </c>
      <c r="AL87" s="188">
        <v>23604</v>
      </c>
      <c r="AM87" s="189">
        <v>36426</v>
      </c>
      <c r="AN87" s="189">
        <v>44565</v>
      </c>
      <c r="AO87" s="189">
        <v>22362</v>
      </c>
      <c r="AP87" s="190">
        <v>126957</v>
      </c>
      <c r="AQ87" s="188">
        <v>10143</v>
      </c>
      <c r="AR87" s="189">
        <v>2898</v>
      </c>
      <c r="AS87" s="189">
        <v>23469</v>
      </c>
      <c r="AT87" s="189">
        <v>44349</v>
      </c>
      <c r="AU87" s="190">
        <v>80859</v>
      </c>
      <c r="AV87" s="188">
        <v>7491</v>
      </c>
      <c r="AW87" s="189">
        <v>8754</v>
      </c>
      <c r="AX87" s="189">
        <v>6423</v>
      </c>
      <c r="AY87" s="189">
        <v>5088</v>
      </c>
      <c r="AZ87" s="190">
        <v>27756</v>
      </c>
      <c r="BA87" s="188">
        <v>130821</v>
      </c>
      <c r="BB87" s="189">
        <v>104508</v>
      </c>
      <c r="BC87" s="189">
        <v>128781</v>
      </c>
      <c r="BD87" s="189">
        <v>139755</v>
      </c>
      <c r="BE87" s="190">
        <v>503865</v>
      </c>
      <c r="BF87" s="188">
        <f t="shared" si="29"/>
        <v>53211</v>
      </c>
      <c r="BG87" s="189">
        <f t="shared" si="23"/>
        <v>84702</v>
      </c>
      <c r="BH87" s="189">
        <f t="shared" si="24"/>
        <v>107172</v>
      </c>
      <c r="BI87" s="189">
        <f t="shared" si="25"/>
        <v>185418</v>
      </c>
      <c r="BJ87" s="190">
        <f t="shared" si="26"/>
        <v>430503</v>
      </c>
      <c r="BK87" s="188">
        <v>5550</v>
      </c>
      <c r="BL87" s="189">
        <v>6417</v>
      </c>
      <c r="BM87" s="189">
        <v>207</v>
      </c>
      <c r="BN87" s="189"/>
      <c r="BO87" s="190">
        <v>12174</v>
      </c>
      <c r="BP87" s="188">
        <v>23742</v>
      </c>
      <c r="BQ87" s="189">
        <v>29979</v>
      </c>
      <c r="BR87" s="189">
        <v>40200</v>
      </c>
      <c r="BS87" s="189">
        <v>40161</v>
      </c>
      <c r="BT87" s="190">
        <v>134082</v>
      </c>
      <c r="BU87" s="188">
        <v>17337</v>
      </c>
      <c r="BV87" s="189">
        <v>39120</v>
      </c>
      <c r="BW87" s="189">
        <v>61131</v>
      </c>
      <c r="BX87" s="189">
        <v>139443</v>
      </c>
      <c r="BY87" s="190">
        <v>257031</v>
      </c>
      <c r="BZ87" s="188">
        <v>2691</v>
      </c>
      <c r="CA87" s="189">
        <v>1518</v>
      </c>
      <c r="CB87" s="189">
        <v>2070</v>
      </c>
      <c r="CC87" s="189"/>
      <c r="CD87" s="190">
        <v>6279</v>
      </c>
      <c r="CE87" s="188">
        <v>3891</v>
      </c>
      <c r="CF87" s="189">
        <v>7668</v>
      </c>
      <c r="CG87" s="189">
        <v>3564</v>
      </c>
      <c r="CH87" s="189">
        <v>5814</v>
      </c>
      <c r="CI87" s="190">
        <v>20937</v>
      </c>
    </row>
    <row r="88" s="163" customFormat="1" ht="14.6" spans="1:87">
      <c r="A88" s="191" t="s">
        <v>80</v>
      </c>
      <c r="B88" s="192"/>
      <c r="C88" s="193">
        <f t="shared" si="27"/>
        <v>1056505</v>
      </c>
      <c r="D88" s="194">
        <f t="shared" si="15"/>
        <v>861463</v>
      </c>
      <c r="E88" s="194">
        <f t="shared" si="16"/>
        <v>954622</v>
      </c>
      <c r="F88" s="194">
        <f t="shared" si="17"/>
        <v>928151</v>
      </c>
      <c r="G88" s="195">
        <f t="shared" si="18"/>
        <v>3800741</v>
      </c>
      <c r="H88" s="193">
        <f t="shared" si="28"/>
        <v>988043</v>
      </c>
      <c r="I88" s="194">
        <f t="shared" si="19"/>
        <v>766117</v>
      </c>
      <c r="J88" s="194">
        <f t="shared" si="20"/>
        <v>821734</v>
      </c>
      <c r="K88" s="194">
        <f t="shared" si="21"/>
        <v>717502</v>
      </c>
      <c r="L88" s="195">
        <f t="shared" si="22"/>
        <v>3293396</v>
      </c>
      <c r="M88" s="193">
        <v>263298</v>
      </c>
      <c r="N88" s="194">
        <v>180399</v>
      </c>
      <c r="O88" s="194">
        <v>145564</v>
      </c>
      <c r="P88" s="194">
        <v>167013</v>
      </c>
      <c r="Q88" s="195">
        <v>756274</v>
      </c>
      <c r="R88" s="193">
        <v>54154</v>
      </c>
      <c r="S88" s="194">
        <v>41843</v>
      </c>
      <c r="T88" s="194">
        <v>33948</v>
      </c>
      <c r="U88" s="194">
        <v>35397</v>
      </c>
      <c r="V88" s="195">
        <v>165342</v>
      </c>
      <c r="W88" s="193">
        <v>145821</v>
      </c>
      <c r="X88" s="194">
        <v>91892</v>
      </c>
      <c r="Y88" s="194">
        <v>72783</v>
      </c>
      <c r="Z88" s="194">
        <v>67329</v>
      </c>
      <c r="AA88" s="195">
        <v>377825</v>
      </c>
      <c r="AB88" s="193">
        <v>2412</v>
      </c>
      <c r="AC88" s="194">
        <v>30866</v>
      </c>
      <c r="AD88" s="194">
        <v>197628</v>
      </c>
      <c r="AE88" s="194">
        <v>132132</v>
      </c>
      <c r="AF88" s="195">
        <v>363038</v>
      </c>
      <c r="AG88" s="193">
        <v>343818</v>
      </c>
      <c r="AH88" s="194">
        <v>264330</v>
      </c>
      <c r="AI88" s="194">
        <v>163514</v>
      </c>
      <c r="AJ88" s="194">
        <v>101425</v>
      </c>
      <c r="AK88" s="195">
        <v>873087</v>
      </c>
      <c r="AL88" s="193">
        <v>23604</v>
      </c>
      <c r="AM88" s="194">
        <v>36426</v>
      </c>
      <c r="AN88" s="194">
        <v>44565</v>
      </c>
      <c r="AO88" s="194">
        <v>22362</v>
      </c>
      <c r="AP88" s="195">
        <v>126957</v>
      </c>
      <c r="AQ88" s="193">
        <v>10143</v>
      </c>
      <c r="AR88" s="194">
        <v>2898</v>
      </c>
      <c r="AS88" s="194">
        <v>23861</v>
      </c>
      <c r="AT88" s="194">
        <v>44349</v>
      </c>
      <c r="AU88" s="195">
        <v>81251</v>
      </c>
      <c r="AV88" s="193">
        <v>10529</v>
      </c>
      <c r="AW88" s="194">
        <v>11078</v>
      </c>
      <c r="AX88" s="194">
        <v>9167</v>
      </c>
      <c r="AY88" s="194">
        <v>7097</v>
      </c>
      <c r="AZ88" s="195">
        <v>37871</v>
      </c>
      <c r="BA88" s="193">
        <v>134264</v>
      </c>
      <c r="BB88" s="194">
        <v>106385</v>
      </c>
      <c r="BC88" s="194">
        <v>130704</v>
      </c>
      <c r="BD88" s="194">
        <v>140398</v>
      </c>
      <c r="BE88" s="195">
        <v>511751</v>
      </c>
      <c r="BF88" s="193">
        <f t="shared" si="29"/>
        <v>68462</v>
      </c>
      <c r="BG88" s="194">
        <f t="shared" si="23"/>
        <v>95346</v>
      </c>
      <c r="BH88" s="194">
        <f t="shared" si="24"/>
        <v>132888</v>
      </c>
      <c r="BI88" s="194">
        <f t="shared" si="25"/>
        <v>210649</v>
      </c>
      <c r="BJ88" s="195">
        <f t="shared" si="26"/>
        <v>507345</v>
      </c>
      <c r="BK88" s="193">
        <v>9078</v>
      </c>
      <c r="BL88" s="194">
        <v>8916</v>
      </c>
      <c r="BM88" s="194">
        <v>6773</v>
      </c>
      <c r="BN88" s="194">
        <v>6811</v>
      </c>
      <c r="BO88" s="195">
        <v>31578</v>
      </c>
      <c r="BP88" s="193">
        <v>24930</v>
      </c>
      <c r="BQ88" s="194">
        <v>30375</v>
      </c>
      <c r="BR88" s="194">
        <v>40299</v>
      </c>
      <c r="BS88" s="194">
        <v>40161</v>
      </c>
      <c r="BT88" s="195">
        <v>135765</v>
      </c>
      <c r="BU88" s="193">
        <v>27872</v>
      </c>
      <c r="BV88" s="194">
        <v>46869</v>
      </c>
      <c r="BW88" s="194">
        <v>80182</v>
      </c>
      <c r="BX88" s="194">
        <v>157863</v>
      </c>
      <c r="BY88" s="195">
        <v>312786</v>
      </c>
      <c r="BZ88" s="193">
        <v>2691</v>
      </c>
      <c r="CA88" s="194">
        <v>1518</v>
      </c>
      <c r="CB88" s="194">
        <v>2070</v>
      </c>
      <c r="CC88" s="194"/>
      <c r="CD88" s="195">
        <v>6279</v>
      </c>
      <c r="CE88" s="193">
        <v>3891</v>
      </c>
      <c r="CF88" s="194">
        <v>7668</v>
      </c>
      <c r="CG88" s="194">
        <v>3564</v>
      </c>
      <c r="CH88" s="194">
        <v>5814</v>
      </c>
      <c r="CI88" s="195">
        <v>20937</v>
      </c>
    </row>
    <row r="89" spans="1:87">
      <c r="A89" s="186" t="s">
        <v>81</v>
      </c>
      <c r="B89" s="187" t="s">
        <v>26</v>
      </c>
      <c r="C89" s="188">
        <f t="shared" si="27"/>
        <v>0</v>
      </c>
      <c r="D89" s="189">
        <f t="shared" si="15"/>
        <v>1353918</v>
      </c>
      <c r="E89" s="189">
        <f t="shared" si="16"/>
        <v>1152714</v>
      </c>
      <c r="F89" s="189">
        <f t="shared" si="17"/>
        <v>757413</v>
      </c>
      <c r="G89" s="190">
        <f t="shared" si="18"/>
        <v>3264045</v>
      </c>
      <c r="H89" s="188">
        <f t="shared" si="28"/>
        <v>0</v>
      </c>
      <c r="I89" s="189">
        <f t="shared" si="19"/>
        <v>1353918</v>
      </c>
      <c r="J89" s="189">
        <f t="shared" si="20"/>
        <v>1032378</v>
      </c>
      <c r="K89" s="189">
        <f t="shared" si="21"/>
        <v>652326</v>
      </c>
      <c r="L89" s="190">
        <f t="shared" si="22"/>
        <v>3038622</v>
      </c>
      <c r="M89" s="188"/>
      <c r="N89" s="189">
        <v>222801</v>
      </c>
      <c r="O89" s="189">
        <v>303807</v>
      </c>
      <c r="P89" s="189">
        <v>214314</v>
      </c>
      <c r="Q89" s="190">
        <v>740922</v>
      </c>
      <c r="R89" s="188"/>
      <c r="S89" s="189">
        <v>39744</v>
      </c>
      <c r="T89" s="189">
        <v>26496</v>
      </c>
      <c r="U89" s="189">
        <v>43884</v>
      </c>
      <c r="V89" s="190">
        <v>110124</v>
      </c>
      <c r="W89" s="188"/>
      <c r="X89" s="189"/>
      <c r="Y89" s="189">
        <v>70725</v>
      </c>
      <c r="Z89" s="189">
        <v>26289</v>
      </c>
      <c r="AA89" s="190">
        <v>97014</v>
      </c>
      <c r="AB89" s="188"/>
      <c r="AC89" s="189">
        <v>87354</v>
      </c>
      <c r="AD89" s="189">
        <v>216798</v>
      </c>
      <c r="AE89" s="189">
        <v>90597</v>
      </c>
      <c r="AF89" s="190">
        <v>394749</v>
      </c>
      <c r="AG89" s="188"/>
      <c r="AH89" s="189">
        <v>947991</v>
      </c>
      <c r="AI89" s="189">
        <v>283659</v>
      </c>
      <c r="AJ89" s="189">
        <v>116403</v>
      </c>
      <c r="AK89" s="190">
        <v>1348053</v>
      </c>
      <c r="AL89" s="188"/>
      <c r="AM89" s="189"/>
      <c r="AN89" s="189">
        <v>15456</v>
      </c>
      <c r="AO89" s="189">
        <v>24426</v>
      </c>
      <c r="AP89" s="190">
        <v>39882</v>
      </c>
      <c r="AQ89" s="188"/>
      <c r="AR89" s="189">
        <v>56028</v>
      </c>
      <c r="AS89" s="189">
        <v>115437</v>
      </c>
      <c r="AT89" s="189">
        <v>74451</v>
      </c>
      <c r="AU89" s="190">
        <v>245916</v>
      </c>
      <c r="AV89" s="188"/>
      <c r="AW89" s="189"/>
      <c r="AX89" s="189"/>
      <c r="AY89" s="189">
        <v>19872</v>
      </c>
      <c r="AZ89" s="190">
        <v>19872</v>
      </c>
      <c r="BA89" s="188"/>
      <c r="BB89" s="189"/>
      <c r="BC89" s="189"/>
      <c r="BD89" s="189">
        <v>42090</v>
      </c>
      <c r="BE89" s="190">
        <v>42090</v>
      </c>
      <c r="BF89" s="188">
        <f t="shared" si="29"/>
        <v>0</v>
      </c>
      <c r="BG89" s="189">
        <f t="shared" si="23"/>
        <v>0</v>
      </c>
      <c r="BH89" s="189">
        <f t="shared" si="24"/>
        <v>120336</v>
      </c>
      <c r="BI89" s="189">
        <f t="shared" si="25"/>
        <v>105087</v>
      </c>
      <c r="BJ89" s="190">
        <f t="shared" si="26"/>
        <v>225423</v>
      </c>
      <c r="BK89" s="188"/>
      <c r="BL89" s="189"/>
      <c r="BM89" s="189">
        <v>33603</v>
      </c>
      <c r="BN89" s="189">
        <v>16008</v>
      </c>
      <c r="BO89" s="190">
        <v>49611</v>
      </c>
      <c r="BP89" s="188"/>
      <c r="BQ89" s="189"/>
      <c r="BR89" s="189">
        <v>44091</v>
      </c>
      <c r="BS89" s="189">
        <v>22494</v>
      </c>
      <c r="BT89" s="190">
        <v>66585</v>
      </c>
      <c r="BU89" s="188"/>
      <c r="BV89" s="189"/>
      <c r="BW89" s="189">
        <v>2898</v>
      </c>
      <c r="BX89" s="189">
        <v>55407</v>
      </c>
      <c r="BY89" s="190">
        <v>58305</v>
      </c>
      <c r="BZ89" s="188"/>
      <c r="CA89" s="189"/>
      <c r="CB89" s="189">
        <v>24081</v>
      </c>
      <c r="CC89" s="189">
        <v>1242</v>
      </c>
      <c r="CD89" s="190">
        <v>25323</v>
      </c>
      <c r="CE89" s="188"/>
      <c r="CF89" s="189"/>
      <c r="CG89" s="189">
        <v>15663</v>
      </c>
      <c r="CH89" s="189">
        <v>9936</v>
      </c>
      <c r="CI89" s="190">
        <v>25599</v>
      </c>
    </row>
    <row r="90" s="163" customFormat="1" ht="14.6" spans="1:87">
      <c r="A90" s="191" t="s">
        <v>82</v>
      </c>
      <c r="B90" s="192"/>
      <c r="C90" s="193">
        <f t="shared" si="27"/>
        <v>0</v>
      </c>
      <c r="D90" s="194">
        <f t="shared" si="15"/>
        <v>1353918</v>
      </c>
      <c r="E90" s="194">
        <f t="shared" si="16"/>
        <v>1152714</v>
      </c>
      <c r="F90" s="194">
        <f t="shared" si="17"/>
        <v>757413</v>
      </c>
      <c r="G90" s="195">
        <f t="shared" si="18"/>
        <v>3264045</v>
      </c>
      <c r="H90" s="193">
        <f t="shared" si="28"/>
        <v>0</v>
      </c>
      <c r="I90" s="194">
        <f t="shared" si="19"/>
        <v>1353918</v>
      </c>
      <c r="J90" s="194">
        <f t="shared" si="20"/>
        <v>1032378</v>
      </c>
      <c r="K90" s="194">
        <f t="shared" si="21"/>
        <v>652326</v>
      </c>
      <c r="L90" s="195">
        <f t="shared" si="22"/>
        <v>3038622</v>
      </c>
      <c r="M90" s="193"/>
      <c r="N90" s="194">
        <v>222801</v>
      </c>
      <c r="O90" s="194">
        <v>303807</v>
      </c>
      <c r="P90" s="194">
        <v>214314</v>
      </c>
      <c r="Q90" s="195">
        <v>740922</v>
      </c>
      <c r="R90" s="193"/>
      <c r="S90" s="194">
        <v>39744</v>
      </c>
      <c r="T90" s="194">
        <v>26496</v>
      </c>
      <c r="U90" s="194">
        <v>43884</v>
      </c>
      <c r="V90" s="195">
        <v>110124</v>
      </c>
      <c r="W90" s="193"/>
      <c r="X90" s="194"/>
      <c r="Y90" s="194">
        <v>70725</v>
      </c>
      <c r="Z90" s="194">
        <v>26289</v>
      </c>
      <c r="AA90" s="195">
        <v>97014</v>
      </c>
      <c r="AB90" s="193"/>
      <c r="AC90" s="194">
        <v>87354</v>
      </c>
      <c r="AD90" s="194">
        <v>216798</v>
      </c>
      <c r="AE90" s="194">
        <v>90597</v>
      </c>
      <c r="AF90" s="195">
        <v>394749</v>
      </c>
      <c r="AG90" s="193"/>
      <c r="AH90" s="194">
        <v>947991</v>
      </c>
      <c r="AI90" s="194">
        <v>283659</v>
      </c>
      <c r="AJ90" s="194">
        <v>116403</v>
      </c>
      <c r="AK90" s="195">
        <v>1348053</v>
      </c>
      <c r="AL90" s="193"/>
      <c r="AM90" s="194"/>
      <c r="AN90" s="194">
        <v>15456</v>
      </c>
      <c r="AO90" s="194">
        <v>24426</v>
      </c>
      <c r="AP90" s="195">
        <v>39882</v>
      </c>
      <c r="AQ90" s="193"/>
      <c r="AR90" s="194">
        <v>56028</v>
      </c>
      <c r="AS90" s="194">
        <v>115437</v>
      </c>
      <c r="AT90" s="194">
        <v>74451</v>
      </c>
      <c r="AU90" s="195">
        <v>245916</v>
      </c>
      <c r="AV90" s="193"/>
      <c r="AW90" s="194"/>
      <c r="AX90" s="194"/>
      <c r="AY90" s="194">
        <v>19872</v>
      </c>
      <c r="AZ90" s="195">
        <v>19872</v>
      </c>
      <c r="BA90" s="193"/>
      <c r="BB90" s="194"/>
      <c r="BC90" s="194"/>
      <c r="BD90" s="194">
        <v>42090</v>
      </c>
      <c r="BE90" s="195">
        <v>42090</v>
      </c>
      <c r="BF90" s="193">
        <f t="shared" si="29"/>
        <v>0</v>
      </c>
      <c r="BG90" s="194">
        <f t="shared" si="23"/>
        <v>0</v>
      </c>
      <c r="BH90" s="194">
        <f t="shared" si="24"/>
        <v>120336</v>
      </c>
      <c r="BI90" s="194">
        <f t="shared" si="25"/>
        <v>105087</v>
      </c>
      <c r="BJ90" s="195">
        <f t="shared" si="26"/>
        <v>225423</v>
      </c>
      <c r="BK90" s="193"/>
      <c r="BL90" s="194"/>
      <c r="BM90" s="194">
        <v>33603</v>
      </c>
      <c r="BN90" s="194">
        <v>16008</v>
      </c>
      <c r="BO90" s="195">
        <v>49611</v>
      </c>
      <c r="BP90" s="193"/>
      <c r="BQ90" s="194"/>
      <c r="BR90" s="194">
        <v>44091</v>
      </c>
      <c r="BS90" s="194">
        <v>22494</v>
      </c>
      <c r="BT90" s="195">
        <v>66585</v>
      </c>
      <c r="BU90" s="193"/>
      <c r="BV90" s="194"/>
      <c r="BW90" s="194">
        <v>2898</v>
      </c>
      <c r="BX90" s="194">
        <v>55407</v>
      </c>
      <c r="BY90" s="195">
        <v>58305</v>
      </c>
      <c r="BZ90" s="193"/>
      <c r="CA90" s="194"/>
      <c r="CB90" s="194">
        <v>24081</v>
      </c>
      <c r="CC90" s="194">
        <v>1242</v>
      </c>
      <c r="CD90" s="195">
        <v>25323</v>
      </c>
      <c r="CE90" s="193"/>
      <c r="CF90" s="194"/>
      <c r="CG90" s="194">
        <v>15663</v>
      </c>
      <c r="CH90" s="194">
        <v>9936</v>
      </c>
      <c r="CI90" s="195">
        <v>25599</v>
      </c>
    </row>
    <row r="91" spans="1:87">
      <c r="A91" s="186" t="s">
        <v>83</v>
      </c>
      <c r="B91" s="187" t="s">
        <v>26</v>
      </c>
      <c r="C91" s="188">
        <f t="shared" si="27"/>
        <v>443303</v>
      </c>
      <c r="D91" s="189">
        <f t="shared" si="15"/>
        <v>357856</v>
      </c>
      <c r="E91" s="189">
        <f t="shared" si="16"/>
        <v>353555</v>
      </c>
      <c r="F91" s="189">
        <f t="shared" si="17"/>
        <v>1007566</v>
      </c>
      <c r="G91" s="190">
        <f t="shared" si="18"/>
        <v>2162280</v>
      </c>
      <c r="H91" s="188">
        <f t="shared" si="28"/>
        <v>365121</v>
      </c>
      <c r="I91" s="189">
        <f t="shared" si="19"/>
        <v>275487</v>
      </c>
      <c r="J91" s="189">
        <f t="shared" si="20"/>
        <v>265644</v>
      </c>
      <c r="K91" s="189">
        <f t="shared" si="21"/>
        <v>883880</v>
      </c>
      <c r="L91" s="190">
        <f t="shared" si="22"/>
        <v>1790132</v>
      </c>
      <c r="M91" s="188">
        <v>43790</v>
      </c>
      <c r="N91" s="189">
        <v>27266</v>
      </c>
      <c r="O91" s="189">
        <v>13775</v>
      </c>
      <c r="P91" s="189">
        <v>119069</v>
      </c>
      <c r="Q91" s="190">
        <v>203900</v>
      </c>
      <c r="R91" s="188">
        <v>20931</v>
      </c>
      <c r="S91" s="189">
        <v>18339</v>
      </c>
      <c r="T91" s="189">
        <v>16782</v>
      </c>
      <c r="U91" s="189">
        <v>188731</v>
      </c>
      <c r="V91" s="190">
        <v>244783</v>
      </c>
      <c r="W91" s="188">
        <v>18762</v>
      </c>
      <c r="X91" s="189">
        <v>17818</v>
      </c>
      <c r="Y91" s="189">
        <v>28184</v>
      </c>
      <c r="Z91" s="189">
        <v>35079</v>
      </c>
      <c r="AA91" s="190">
        <v>99843</v>
      </c>
      <c r="AB91" s="188">
        <v>84536</v>
      </c>
      <c r="AC91" s="189">
        <v>50991</v>
      </c>
      <c r="AD91" s="189">
        <v>50508</v>
      </c>
      <c r="AE91" s="189">
        <v>222387</v>
      </c>
      <c r="AF91" s="190">
        <v>408422</v>
      </c>
      <c r="AG91" s="188">
        <v>62928</v>
      </c>
      <c r="AH91" s="189">
        <v>59685</v>
      </c>
      <c r="AI91" s="189">
        <v>65343</v>
      </c>
      <c r="AJ91" s="189">
        <v>126822</v>
      </c>
      <c r="AK91" s="190">
        <v>314778</v>
      </c>
      <c r="AL91" s="188">
        <v>29333</v>
      </c>
      <c r="AM91" s="189">
        <v>29220</v>
      </c>
      <c r="AN91" s="189">
        <v>18042</v>
      </c>
      <c r="AO91" s="189">
        <v>17675</v>
      </c>
      <c r="AP91" s="190">
        <v>94270</v>
      </c>
      <c r="AQ91" s="188">
        <v>34845</v>
      </c>
      <c r="AR91" s="189">
        <v>22563</v>
      </c>
      <c r="AS91" s="189">
        <v>21597</v>
      </c>
      <c r="AT91" s="189">
        <v>119991</v>
      </c>
      <c r="AU91" s="190">
        <v>198996</v>
      </c>
      <c r="AV91" s="188">
        <v>10833</v>
      </c>
      <c r="AW91" s="189">
        <v>9751</v>
      </c>
      <c r="AX91" s="189">
        <v>7347</v>
      </c>
      <c r="AY91" s="189">
        <v>1540</v>
      </c>
      <c r="AZ91" s="190">
        <v>29471</v>
      </c>
      <c r="BA91" s="188">
        <v>59163</v>
      </c>
      <c r="BB91" s="189">
        <v>39854</v>
      </c>
      <c r="BC91" s="189">
        <v>44066</v>
      </c>
      <c r="BD91" s="189">
        <v>52586</v>
      </c>
      <c r="BE91" s="190">
        <v>195669</v>
      </c>
      <c r="BF91" s="188">
        <f t="shared" si="29"/>
        <v>78182</v>
      </c>
      <c r="BG91" s="189">
        <f t="shared" si="23"/>
        <v>82369</v>
      </c>
      <c r="BH91" s="189">
        <f t="shared" si="24"/>
        <v>87911</v>
      </c>
      <c r="BI91" s="189">
        <f t="shared" si="25"/>
        <v>123686</v>
      </c>
      <c r="BJ91" s="190">
        <f t="shared" si="26"/>
        <v>372148</v>
      </c>
      <c r="BK91" s="188">
        <v>4714</v>
      </c>
      <c r="BL91" s="189">
        <v>5244</v>
      </c>
      <c r="BM91" s="189">
        <v>2448</v>
      </c>
      <c r="BN91" s="189">
        <v>10071</v>
      </c>
      <c r="BO91" s="190">
        <v>22477</v>
      </c>
      <c r="BP91" s="188">
        <v>22367</v>
      </c>
      <c r="BQ91" s="189">
        <v>18354</v>
      </c>
      <c r="BR91" s="189">
        <v>25563</v>
      </c>
      <c r="BS91" s="189">
        <v>58810</v>
      </c>
      <c r="BT91" s="190">
        <v>125094</v>
      </c>
      <c r="BU91" s="188">
        <v>42581</v>
      </c>
      <c r="BV91" s="189">
        <v>54907</v>
      </c>
      <c r="BW91" s="189">
        <v>59900</v>
      </c>
      <c r="BX91" s="189">
        <v>38797</v>
      </c>
      <c r="BY91" s="190">
        <v>196185</v>
      </c>
      <c r="BZ91" s="188">
        <v>8520</v>
      </c>
      <c r="CA91" s="189">
        <v>3864</v>
      </c>
      <c r="CB91" s="189"/>
      <c r="CC91" s="189">
        <v>16008</v>
      </c>
      <c r="CD91" s="190">
        <v>28392</v>
      </c>
      <c r="CE91" s="188"/>
      <c r="CF91" s="189"/>
      <c r="CG91" s="189"/>
      <c r="CH91" s="189"/>
      <c r="CI91" s="190"/>
    </row>
    <row r="92" spans="1:87">
      <c r="A92" s="186"/>
      <c r="B92" s="187" t="s">
        <v>27</v>
      </c>
      <c r="C92" s="188">
        <f t="shared" si="27"/>
        <v>676</v>
      </c>
      <c r="D92" s="189">
        <f t="shared" si="15"/>
        <v>54330</v>
      </c>
      <c r="E92" s="189">
        <f t="shared" si="16"/>
        <v>243905</v>
      </c>
      <c r="F92" s="189">
        <f t="shared" si="17"/>
        <v>89528</v>
      </c>
      <c r="G92" s="190">
        <f t="shared" si="18"/>
        <v>388439</v>
      </c>
      <c r="H92" s="188">
        <f t="shared" si="28"/>
        <v>676</v>
      </c>
      <c r="I92" s="189">
        <f t="shared" si="19"/>
        <v>53654</v>
      </c>
      <c r="J92" s="189">
        <f t="shared" si="20"/>
        <v>240957</v>
      </c>
      <c r="K92" s="189">
        <f t="shared" si="21"/>
        <v>82614</v>
      </c>
      <c r="L92" s="190">
        <f t="shared" si="22"/>
        <v>377901</v>
      </c>
      <c r="M92" s="188"/>
      <c r="N92" s="189">
        <v>2360</v>
      </c>
      <c r="O92" s="189">
        <v>27390</v>
      </c>
      <c r="P92" s="189">
        <v>10417</v>
      </c>
      <c r="Q92" s="190">
        <v>40167</v>
      </c>
      <c r="R92" s="188"/>
      <c r="S92" s="189">
        <v>2231</v>
      </c>
      <c r="T92" s="189">
        <v>20137</v>
      </c>
      <c r="U92" s="189">
        <v>9010</v>
      </c>
      <c r="V92" s="190">
        <v>31378</v>
      </c>
      <c r="W92" s="188">
        <v>676</v>
      </c>
      <c r="X92" s="189">
        <v>11793</v>
      </c>
      <c r="Y92" s="189">
        <v>77741</v>
      </c>
      <c r="Z92" s="189">
        <v>21320</v>
      </c>
      <c r="AA92" s="190">
        <v>111530</v>
      </c>
      <c r="AB92" s="188"/>
      <c r="AC92" s="189">
        <v>10352</v>
      </c>
      <c r="AD92" s="189">
        <v>15393</v>
      </c>
      <c r="AE92" s="189">
        <v>3184</v>
      </c>
      <c r="AF92" s="190">
        <v>28929</v>
      </c>
      <c r="AG92" s="188"/>
      <c r="AH92" s="189">
        <v>26918</v>
      </c>
      <c r="AI92" s="189">
        <v>64772</v>
      </c>
      <c r="AJ92" s="189">
        <v>27214</v>
      </c>
      <c r="AK92" s="190">
        <v>118904</v>
      </c>
      <c r="AL92" s="188"/>
      <c r="AM92" s="189"/>
      <c r="AN92" s="189"/>
      <c r="AO92" s="189"/>
      <c r="AP92" s="190"/>
      <c r="AQ92" s="188"/>
      <c r="AR92" s="189"/>
      <c r="AS92" s="189">
        <v>17327</v>
      </c>
      <c r="AT92" s="189">
        <v>2669</v>
      </c>
      <c r="AU92" s="190">
        <v>19996</v>
      </c>
      <c r="AV92" s="188"/>
      <c r="AW92" s="189"/>
      <c r="AX92" s="189">
        <v>2844</v>
      </c>
      <c r="AY92" s="189">
        <v>2054</v>
      </c>
      <c r="AZ92" s="190">
        <v>4898</v>
      </c>
      <c r="BA92" s="188"/>
      <c r="BB92" s="189"/>
      <c r="BC92" s="189">
        <v>15353</v>
      </c>
      <c r="BD92" s="189">
        <v>6746</v>
      </c>
      <c r="BE92" s="190">
        <v>22099</v>
      </c>
      <c r="BF92" s="188">
        <f t="shared" si="29"/>
        <v>0</v>
      </c>
      <c r="BG92" s="189">
        <f t="shared" si="23"/>
        <v>676</v>
      </c>
      <c r="BH92" s="189">
        <f t="shared" si="24"/>
        <v>2948</v>
      </c>
      <c r="BI92" s="189">
        <f t="shared" si="25"/>
        <v>6914</v>
      </c>
      <c r="BJ92" s="190">
        <f t="shared" si="26"/>
        <v>10538</v>
      </c>
      <c r="BK92" s="188"/>
      <c r="BL92" s="189"/>
      <c r="BM92" s="189"/>
      <c r="BN92" s="189"/>
      <c r="BO92" s="190"/>
      <c r="BP92" s="188"/>
      <c r="BQ92" s="189">
        <v>676</v>
      </c>
      <c r="BR92" s="189">
        <v>1349</v>
      </c>
      <c r="BS92" s="189">
        <v>2727</v>
      </c>
      <c r="BT92" s="190">
        <v>4752</v>
      </c>
      <c r="BU92" s="188"/>
      <c r="BV92" s="189"/>
      <c r="BW92" s="189">
        <v>1599</v>
      </c>
      <c r="BX92" s="189">
        <v>4187</v>
      </c>
      <c r="BY92" s="190">
        <v>5786</v>
      </c>
      <c r="BZ92" s="188"/>
      <c r="CA92" s="189"/>
      <c r="CB92" s="189"/>
      <c r="CC92" s="189"/>
      <c r="CD92" s="190"/>
      <c r="CE92" s="188"/>
      <c r="CF92" s="189"/>
      <c r="CG92" s="189"/>
      <c r="CH92" s="189"/>
      <c r="CI92" s="190"/>
    </row>
    <row r="93" spans="1:87">
      <c r="A93" s="186"/>
      <c r="B93" s="187" t="s">
        <v>28</v>
      </c>
      <c r="C93" s="188">
        <f t="shared" si="27"/>
        <v>0</v>
      </c>
      <c r="D93" s="189">
        <f t="shared" si="15"/>
        <v>1580</v>
      </c>
      <c r="E93" s="189">
        <f t="shared" si="16"/>
        <v>150969</v>
      </c>
      <c r="F93" s="189">
        <f t="shared" si="17"/>
        <v>233287</v>
      </c>
      <c r="G93" s="190">
        <f t="shared" si="18"/>
        <v>385836</v>
      </c>
      <c r="H93" s="188">
        <f t="shared" si="28"/>
        <v>0</v>
      </c>
      <c r="I93" s="189">
        <f t="shared" si="19"/>
        <v>1580</v>
      </c>
      <c r="J93" s="189">
        <f t="shared" si="20"/>
        <v>150969</v>
      </c>
      <c r="K93" s="189">
        <f t="shared" si="21"/>
        <v>213616</v>
      </c>
      <c r="L93" s="190">
        <f t="shared" si="22"/>
        <v>366165</v>
      </c>
      <c r="M93" s="188"/>
      <c r="N93" s="189"/>
      <c r="O93" s="189">
        <v>17696</v>
      </c>
      <c r="P93" s="189">
        <v>21725</v>
      </c>
      <c r="Q93" s="190">
        <v>39421</v>
      </c>
      <c r="R93" s="188"/>
      <c r="S93" s="189"/>
      <c r="T93" s="189"/>
      <c r="U93" s="189"/>
      <c r="V93" s="190"/>
      <c r="W93" s="188"/>
      <c r="X93" s="189">
        <v>1580</v>
      </c>
      <c r="Y93" s="189">
        <v>40527</v>
      </c>
      <c r="Z93" s="189">
        <v>65728</v>
      </c>
      <c r="AA93" s="190">
        <v>107835</v>
      </c>
      <c r="AB93" s="188"/>
      <c r="AC93" s="189"/>
      <c r="AD93" s="189">
        <v>23463</v>
      </c>
      <c r="AE93" s="189">
        <v>14694</v>
      </c>
      <c r="AF93" s="190">
        <v>38157</v>
      </c>
      <c r="AG93" s="188"/>
      <c r="AH93" s="189"/>
      <c r="AI93" s="189">
        <v>39263</v>
      </c>
      <c r="AJ93" s="189">
        <v>59092</v>
      </c>
      <c r="AK93" s="190">
        <v>98355</v>
      </c>
      <c r="AL93" s="188"/>
      <c r="AM93" s="189"/>
      <c r="AN93" s="189">
        <v>2528</v>
      </c>
      <c r="AO93" s="189">
        <v>8532</v>
      </c>
      <c r="AP93" s="190">
        <v>11060</v>
      </c>
      <c r="AQ93" s="188"/>
      <c r="AR93" s="189"/>
      <c r="AS93" s="189"/>
      <c r="AT93" s="189"/>
      <c r="AU93" s="190"/>
      <c r="AV93" s="188"/>
      <c r="AW93" s="189"/>
      <c r="AX93" s="189"/>
      <c r="AY93" s="189">
        <v>8453</v>
      </c>
      <c r="AZ93" s="190">
        <v>8453</v>
      </c>
      <c r="BA93" s="188"/>
      <c r="BB93" s="189"/>
      <c r="BC93" s="189">
        <v>27492</v>
      </c>
      <c r="BD93" s="189">
        <v>35392</v>
      </c>
      <c r="BE93" s="190">
        <v>62884</v>
      </c>
      <c r="BF93" s="188">
        <f t="shared" si="29"/>
        <v>0</v>
      </c>
      <c r="BG93" s="189">
        <f t="shared" si="23"/>
        <v>0</v>
      </c>
      <c r="BH93" s="189">
        <f t="shared" si="24"/>
        <v>0</v>
      </c>
      <c r="BI93" s="189">
        <f t="shared" si="25"/>
        <v>19671</v>
      </c>
      <c r="BJ93" s="190">
        <f t="shared" si="26"/>
        <v>19671</v>
      </c>
      <c r="BK93" s="188"/>
      <c r="BL93" s="189"/>
      <c r="BM93" s="189"/>
      <c r="BN93" s="189"/>
      <c r="BO93" s="190"/>
      <c r="BP93" s="188"/>
      <c r="BQ93" s="189"/>
      <c r="BR93" s="189"/>
      <c r="BS93" s="189"/>
      <c r="BT93" s="190"/>
      <c r="BU93" s="188"/>
      <c r="BV93" s="189"/>
      <c r="BW93" s="189"/>
      <c r="BX93" s="189">
        <v>19671</v>
      </c>
      <c r="BY93" s="190">
        <v>19671</v>
      </c>
      <c r="BZ93" s="188"/>
      <c r="CA93" s="189"/>
      <c r="CB93" s="189"/>
      <c r="CC93" s="189"/>
      <c r="CD93" s="190"/>
      <c r="CE93" s="188"/>
      <c r="CF93" s="189"/>
      <c r="CG93" s="189"/>
      <c r="CH93" s="189"/>
      <c r="CI93" s="190"/>
    </row>
    <row r="94" s="163" customFormat="1" ht="14.6" spans="1:87">
      <c r="A94" s="191" t="s">
        <v>84</v>
      </c>
      <c r="B94" s="192"/>
      <c r="C94" s="193">
        <f t="shared" si="27"/>
        <v>443979</v>
      </c>
      <c r="D94" s="194">
        <f t="shared" si="15"/>
        <v>413766</v>
      </c>
      <c r="E94" s="194">
        <f t="shared" si="16"/>
        <v>748429</v>
      </c>
      <c r="F94" s="194">
        <f t="shared" si="17"/>
        <v>1330381</v>
      </c>
      <c r="G94" s="195">
        <f t="shared" si="18"/>
        <v>2936555</v>
      </c>
      <c r="H94" s="193">
        <f t="shared" si="28"/>
        <v>365797</v>
      </c>
      <c r="I94" s="194">
        <f t="shared" si="19"/>
        <v>330721</v>
      </c>
      <c r="J94" s="194">
        <f t="shared" si="20"/>
        <v>657570</v>
      </c>
      <c r="K94" s="194">
        <f t="shared" si="21"/>
        <v>1180110</v>
      </c>
      <c r="L94" s="195">
        <f t="shared" si="22"/>
        <v>2534198</v>
      </c>
      <c r="M94" s="193">
        <v>43790</v>
      </c>
      <c r="N94" s="194">
        <v>29626</v>
      </c>
      <c r="O94" s="194">
        <v>58861</v>
      </c>
      <c r="P94" s="194">
        <v>151211</v>
      </c>
      <c r="Q94" s="195">
        <v>283488</v>
      </c>
      <c r="R94" s="193">
        <v>20931</v>
      </c>
      <c r="S94" s="194">
        <v>20570</v>
      </c>
      <c r="T94" s="194">
        <v>36919</v>
      </c>
      <c r="U94" s="194">
        <v>197741</v>
      </c>
      <c r="V94" s="195">
        <v>276161</v>
      </c>
      <c r="W94" s="193">
        <v>19438</v>
      </c>
      <c r="X94" s="194">
        <v>31191</v>
      </c>
      <c r="Y94" s="194">
        <v>146452</v>
      </c>
      <c r="Z94" s="194">
        <v>122127</v>
      </c>
      <c r="AA94" s="195">
        <v>319208</v>
      </c>
      <c r="AB94" s="193">
        <v>84536</v>
      </c>
      <c r="AC94" s="194">
        <v>61343</v>
      </c>
      <c r="AD94" s="194">
        <v>89364</v>
      </c>
      <c r="AE94" s="194">
        <v>240265</v>
      </c>
      <c r="AF94" s="195">
        <v>475508</v>
      </c>
      <c r="AG94" s="193">
        <v>62928</v>
      </c>
      <c r="AH94" s="194">
        <v>86603</v>
      </c>
      <c r="AI94" s="194">
        <v>169378</v>
      </c>
      <c r="AJ94" s="194">
        <v>213128</v>
      </c>
      <c r="AK94" s="195">
        <v>532037</v>
      </c>
      <c r="AL94" s="193">
        <v>29333</v>
      </c>
      <c r="AM94" s="194">
        <v>29220</v>
      </c>
      <c r="AN94" s="194">
        <v>20570</v>
      </c>
      <c r="AO94" s="194">
        <v>26207</v>
      </c>
      <c r="AP94" s="195">
        <v>105330</v>
      </c>
      <c r="AQ94" s="193">
        <v>34845</v>
      </c>
      <c r="AR94" s="194">
        <v>22563</v>
      </c>
      <c r="AS94" s="194">
        <v>38924</v>
      </c>
      <c r="AT94" s="194">
        <v>122660</v>
      </c>
      <c r="AU94" s="195">
        <v>218992</v>
      </c>
      <c r="AV94" s="193">
        <v>10833</v>
      </c>
      <c r="AW94" s="194">
        <v>9751</v>
      </c>
      <c r="AX94" s="194">
        <v>10191</v>
      </c>
      <c r="AY94" s="194">
        <v>12047</v>
      </c>
      <c r="AZ94" s="195">
        <v>42822</v>
      </c>
      <c r="BA94" s="193">
        <v>59163</v>
      </c>
      <c r="BB94" s="194">
        <v>39854</v>
      </c>
      <c r="BC94" s="194">
        <v>86911</v>
      </c>
      <c r="BD94" s="194">
        <v>94724</v>
      </c>
      <c r="BE94" s="195">
        <v>280652</v>
      </c>
      <c r="BF94" s="193">
        <f t="shared" si="29"/>
        <v>78182</v>
      </c>
      <c r="BG94" s="194">
        <f t="shared" si="23"/>
        <v>83045</v>
      </c>
      <c r="BH94" s="194">
        <f t="shared" si="24"/>
        <v>90859</v>
      </c>
      <c r="BI94" s="194">
        <f t="shared" si="25"/>
        <v>150271</v>
      </c>
      <c r="BJ94" s="195">
        <f t="shared" si="26"/>
        <v>402357</v>
      </c>
      <c r="BK94" s="193">
        <v>4714</v>
      </c>
      <c r="BL94" s="194">
        <v>5244</v>
      </c>
      <c r="BM94" s="194">
        <v>2448</v>
      </c>
      <c r="BN94" s="194">
        <v>10071</v>
      </c>
      <c r="BO94" s="195">
        <v>22477</v>
      </c>
      <c r="BP94" s="193">
        <v>22367</v>
      </c>
      <c r="BQ94" s="194">
        <v>19030</v>
      </c>
      <c r="BR94" s="194">
        <v>26912</v>
      </c>
      <c r="BS94" s="194">
        <v>61537</v>
      </c>
      <c r="BT94" s="195">
        <v>129846</v>
      </c>
      <c r="BU94" s="193">
        <v>42581</v>
      </c>
      <c r="BV94" s="194">
        <v>54907</v>
      </c>
      <c r="BW94" s="194">
        <v>61499</v>
      </c>
      <c r="BX94" s="194">
        <v>62655</v>
      </c>
      <c r="BY94" s="195">
        <v>221642</v>
      </c>
      <c r="BZ94" s="193">
        <v>8520</v>
      </c>
      <c r="CA94" s="194">
        <v>3864</v>
      </c>
      <c r="CB94" s="194"/>
      <c r="CC94" s="194">
        <v>16008</v>
      </c>
      <c r="CD94" s="195">
        <v>28392</v>
      </c>
      <c r="CE94" s="193"/>
      <c r="CF94" s="194"/>
      <c r="CG94" s="194"/>
      <c r="CH94" s="194"/>
      <c r="CI94" s="195"/>
    </row>
    <row r="95" spans="1:87">
      <c r="A95" s="186" t="s">
        <v>85</v>
      </c>
      <c r="B95" s="187" t="s">
        <v>26</v>
      </c>
      <c r="C95" s="188">
        <f t="shared" si="27"/>
        <v>0</v>
      </c>
      <c r="D95" s="189">
        <f t="shared" si="15"/>
        <v>0</v>
      </c>
      <c r="E95" s="189">
        <f t="shared" si="16"/>
        <v>1596867</v>
      </c>
      <c r="F95" s="189">
        <f t="shared" si="17"/>
        <v>874920</v>
      </c>
      <c r="G95" s="190">
        <f t="shared" si="18"/>
        <v>2471787</v>
      </c>
      <c r="H95" s="188">
        <f t="shared" si="28"/>
        <v>0</v>
      </c>
      <c r="I95" s="189">
        <f t="shared" si="19"/>
        <v>0</v>
      </c>
      <c r="J95" s="189">
        <f t="shared" si="20"/>
        <v>1484052</v>
      </c>
      <c r="K95" s="189">
        <f t="shared" si="21"/>
        <v>813579</v>
      </c>
      <c r="L95" s="190">
        <f t="shared" si="22"/>
        <v>2297631</v>
      </c>
      <c r="M95" s="188"/>
      <c r="N95" s="189"/>
      <c r="O95" s="189">
        <v>149592</v>
      </c>
      <c r="P95" s="189">
        <v>83766</v>
      </c>
      <c r="Q95" s="190">
        <v>233358</v>
      </c>
      <c r="R95" s="188"/>
      <c r="S95" s="189"/>
      <c r="T95" s="189">
        <v>235497</v>
      </c>
      <c r="U95" s="189">
        <v>129099</v>
      </c>
      <c r="V95" s="190">
        <v>364596</v>
      </c>
      <c r="W95" s="188"/>
      <c r="X95" s="189"/>
      <c r="Y95" s="189">
        <v>149592</v>
      </c>
      <c r="Z95" s="189">
        <v>142347</v>
      </c>
      <c r="AA95" s="190">
        <v>291939</v>
      </c>
      <c r="AB95" s="188"/>
      <c r="AC95" s="189"/>
      <c r="AD95" s="189">
        <v>440496</v>
      </c>
      <c r="AE95" s="189">
        <v>93564</v>
      </c>
      <c r="AF95" s="190">
        <v>534060</v>
      </c>
      <c r="AG95" s="188"/>
      <c r="AH95" s="189"/>
      <c r="AI95" s="189">
        <v>382950</v>
      </c>
      <c r="AJ95" s="189">
        <v>55269</v>
      </c>
      <c r="AK95" s="190">
        <v>438219</v>
      </c>
      <c r="AL95" s="188"/>
      <c r="AM95" s="189"/>
      <c r="AN95" s="189">
        <v>39054</v>
      </c>
      <c r="AO95" s="189">
        <v>26910</v>
      </c>
      <c r="AP95" s="190">
        <v>65964</v>
      </c>
      <c r="AQ95" s="188"/>
      <c r="AR95" s="189"/>
      <c r="AS95" s="189">
        <v>86871</v>
      </c>
      <c r="AT95" s="189">
        <v>35466</v>
      </c>
      <c r="AU95" s="190">
        <v>122337</v>
      </c>
      <c r="AV95" s="188"/>
      <c r="AW95" s="189"/>
      <c r="AX95" s="189"/>
      <c r="AY95" s="189">
        <v>21252</v>
      </c>
      <c r="AZ95" s="190">
        <v>21252</v>
      </c>
      <c r="BA95" s="188"/>
      <c r="BB95" s="189"/>
      <c r="BC95" s="189"/>
      <c r="BD95" s="189">
        <v>225906</v>
      </c>
      <c r="BE95" s="190">
        <v>225906</v>
      </c>
      <c r="BF95" s="188">
        <f t="shared" si="29"/>
        <v>0</v>
      </c>
      <c r="BG95" s="189">
        <f t="shared" si="23"/>
        <v>0</v>
      </c>
      <c r="BH95" s="189">
        <f t="shared" si="24"/>
        <v>112815</v>
      </c>
      <c r="BI95" s="189">
        <f t="shared" si="25"/>
        <v>61341</v>
      </c>
      <c r="BJ95" s="190">
        <f t="shared" si="26"/>
        <v>174156</v>
      </c>
      <c r="BK95" s="188"/>
      <c r="BL95" s="189"/>
      <c r="BM95" s="189">
        <v>15387</v>
      </c>
      <c r="BN95" s="189">
        <v>10488</v>
      </c>
      <c r="BO95" s="190">
        <v>25875</v>
      </c>
      <c r="BP95" s="188"/>
      <c r="BQ95" s="189"/>
      <c r="BR95" s="189"/>
      <c r="BS95" s="189">
        <v>5244</v>
      </c>
      <c r="BT95" s="190">
        <v>5244</v>
      </c>
      <c r="BU95" s="188"/>
      <c r="BV95" s="189"/>
      <c r="BW95" s="189">
        <v>75831</v>
      </c>
      <c r="BX95" s="189">
        <v>36570</v>
      </c>
      <c r="BY95" s="190">
        <v>112401</v>
      </c>
      <c r="BZ95" s="188"/>
      <c r="CA95" s="189"/>
      <c r="CB95" s="189">
        <v>14214</v>
      </c>
      <c r="CC95" s="189">
        <v>9039</v>
      </c>
      <c r="CD95" s="190">
        <v>23253</v>
      </c>
      <c r="CE95" s="188"/>
      <c r="CF95" s="189"/>
      <c r="CG95" s="189">
        <v>7383</v>
      </c>
      <c r="CH95" s="189"/>
      <c r="CI95" s="190">
        <v>7383</v>
      </c>
    </row>
    <row r="96" s="163" customFormat="1" ht="14.6" spans="1:87">
      <c r="A96" s="191" t="s">
        <v>86</v>
      </c>
      <c r="B96" s="192"/>
      <c r="C96" s="193">
        <f t="shared" si="27"/>
        <v>0</v>
      </c>
      <c r="D96" s="194">
        <f t="shared" si="15"/>
        <v>0</v>
      </c>
      <c r="E96" s="194">
        <f t="shared" si="16"/>
        <v>1596867</v>
      </c>
      <c r="F96" s="194">
        <f t="shared" si="17"/>
        <v>874920</v>
      </c>
      <c r="G96" s="195">
        <f t="shared" si="18"/>
        <v>2471787</v>
      </c>
      <c r="H96" s="193">
        <f t="shared" si="28"/>
        <v>0</v>
      </c>
      <c r="I96" s="194">
        <f t="shared" si="19"/>
        <v>0</v>
      </c>
      <c r="J96" s="194">
        <f t="shared" si="20"/>
        <v>1484052</v>
      </c>
      <c r="K96" s="194">
        <f t="shared" si="21"/>
        <v>813579</v>
      </c>
      <c r="L96" s="195">
        <f t="shared" si="22"/>
        <v>2297631</v>
      </c>
      <c r="M96" s="193"/>
      <c r="N96" s="194"/>
      <c r="O96" s="194">
        <v>149592</v>
      </c>
      <c r="P96" s="194">
        <v>83766</v>
      </c>
      <c r="Q96" s="195">
        <v>233358</v>
      </c>
      <c r="R96" s="193"/>
      <c r="S96" s="194"/>
      <c r="T96" s="194">
        <v>235497</v>
      </c>
      <c r="U96" s="194">
        <v>129099</v>
      </c>
      <c r="V96" s="195">
        <v>364596</v>
      </c>
      <c r="W96" s="193"/>
      <c r="X96" s="194"/>
      <c r="Y96" s="194">
        <v>149592</v>
      </c>
      <c r="Z96" s="194">
        <v>142347</v>
      </c>
      <c r="AA96" s="195">
        <v>291939</v>
      </c>
      <c r="AB96" s="193"/>
      <c r="AC96" s="194"/>
      <c r="AD96" s="194">
        <v>440496</v>
      </c>
      <c r="AE96" s="194">
        <v>93564</v>
      </c>
      <c r="AF96" s="195">
        <v>534060</v>
      </c>
      <c r="AG96" s="193"/>
      <c r="AH96" s="194"/>
      <c r="AI96" s="194">
        <v>382950</v>
      </c>
      <c r="AJ96" s="194">
        <v>55269</v>
      </c>
      <c r="AK96" s="195">
        <v>438219</v>
      </c>
      <c r="AL96" s="193"/>
      <c r="AM96" s="194"/>
      <c r="AN96" s="194">
        <v>39054</v>
      </c>
      <c r="AO96" s="194">
        <v>26910</v>
      </c>
      <c r="AP96" s="195">
        <v>65964</v>
      </c>
      <c r="AQ96" s="193"/>
      <c r="AR96" s="194"/>
      <c r="AS96" s="194">
        <v>86871</v>
      </c>
      <c r="AT96" s="194">
        <v>35466</v>
      </c>
      <c r="AU96" s="195">
        <v>122337</v>
      </c>
      <c r="AV96" s="193"/>
      <c r="AW96" s="194"/>
      <c r="AX96" s="194"/>
      <c r="AY96" s="194">
        <v>21252</v>
      </c>
      <c r="AZ96" s="195">
        <v>21252</v>
      </c>
      <c r="BA96" s="193"/>
      <c r="BB96" s="194"/>
      <c r="BC96" s="194"/>
      <c r="BD96" s="194">
        <v>225906</v>
      </c>
      <c r="BE96" s="195">
        <v>225906</v>
      </c>
      <c r="BF96" s="193">
        <f t="shared" si="29"/>
        <v>0</v>
      </c>
      <c r="BG96" s="194">
        <f t="shared" si="23"/>
        <v>0</v>
      </c>
      <c r="BH96" s="194">
        <f t="shared" si="24"/>
        <v>112815</v>
      </c>
      <c r="BI96" s="194">
        <f t="shared" si="25"/>
        <v>61341</v>
      </c>
      <c r="BJ96" s="195">
        <f t="shared" si="26"/>
        <v>174156</v>
      </c>
      <c r="BK96" s="193"/>
      <c r="BL96" s="194"/>
      <c r="BM96" s="194">
        <v>15387</v>
      </c>
      <c r="BN96" s="194">
        <v>10488</v>
      </c>
      <c r="BO96" s="195">
        <v>25875</v>
      </c>
      <c r="BP96" s="193"/>
      <c r="BQ96" s="194"/>
      <c r="BR96" s="194"/>
      <c r="BS96" s="194">
        <v>5244</v>
      </c>
      <c r="BT96" s="195">
        <v>5244</v>
      </c>
      <c r="BU96" s="193"/>
      <c r="BV96" s="194"/>
      <c r="BW96" s="194">
        <v>75831</v>
      </c>
      <c r="BX96" s="194">
        <v>36570</v>
      </c>
      <c r="BY96" s="195">
        <v>112401</v>
      </c>
      <c r="BZ96" s="193"/>
      <c r="CA96" s="194"/>
      <c r="CB96" s="194">
        <v>14214</v>
      </c>
      <c r="CC96" s="194">
        <v>9039</v>
      </c>
      <c r="CD96" s="195">
        <v>23253</v>
      </c>
      <c r="CE96" s="193"/>
      <c r="CF96" s="194"/>
      <c r="CG96" s="194">
        <v>7383</v>
      </c>
      <c r="CH96" s="194"/>
      <c r="CI96" s="195">
        <v>7383</v>
      </c>
    </row>
    <row r="97" spans="1:87">
      <c r="A97" s="186" t="s">
        <v>87</v>
      </c>
      <c r="B97" s="187" t="s">
        <v>26</v>
      </c>
      <c r="C97" s="188">
        <f t="shared" si="27"/>
        <v>358357</v>
      </c>
      <c r="D97" s="189">
        <f t="shared" si="15"/>
        <v>816448</v>
      </c>
      <c r="E97" s="189">
        <f t="shared" si="16"/>
        <v>637489</v>
      </c>
      <c r="F97" s="189">
        <f t="shared" si="17"/>
        <v>559885</v>
      </c>
      <c r="G97" s="190">
        <f t="shared" si="18"/>
        <v>2372179</v>
      </c>
      <c r="H97" s="188">
        <f t="shared" si="28"/>
        <v>279299</v>
      </c>
      <c r="I97" s="189">
        <f t="shared" si="19"/>
        <v>792133</v>
      </c>
      <c r="J97" s="189">
        <f t="shared" si="20"/>
        <v>596006</v>
      </c>
      <c r="K97" s="189">
        <f t="shared" si="21"/>
        <v>485589</v>
      </c>
      <c r="L97" s="190">
        <f t="shared" si="22"/>
        <v>2153027</v>
      </c>
      <c r="M97" s="188">
        <v>32442</v>
      </c>
      <c r="N97" s="189">
        <v>68398</v>
      </c>
      <c r="O97" s="189">
        <v>37162</v>
      </c>
      <c r="P97" s="189">
        <v>44216</v>
      </c>
      <c r="Q97" s="190">
        <v>182218</v>
      </c>
      <c r="R97" s="188">
        <v>32722</v>
      </c>
      <c r="S97" s="189">
        <v>41387</v>
      </c>
      <c r="T97" s="189">
        <v>24914</v>
      </c>
      <c r="U97" s="189">
        <v>21714</v>
      </c>
      <c r="V97" s="190">
        <v>120737</v>
      </c>
      <c r="W97" s="188">
        <v>4560</v>
      </c>
      <c r="X97" s="189">
        <v>72174</v>
      </c>
      <c r="Y97" s="189">
        <v>22324</v>
      </c>
      <c r="Z97" s="189">
        <v>22910</v>
      </c>
      <c r="AA97" s="190">
        <v>121968</v>
      </c>
      <c r="AB97" s="188">
        <v>80207</v>
      </c>
      <c r="AC97" s="189">
        <v>190994</v>
      </c>
      <c r="AD97" s="189">
        <v>180167</v>
      </c>
      <c r="AE97" s="189">
        <v>126624</v>
      </c>
      <c r="AF97" s="190">
        <v>577992</v>
      </c>
      <c r="AG97" s="188">
        <v>46789</v>
      </c>
      <c r="AH97" s="189">
        <v>206617</v>
      </c>
      <c r="AI97" s="189">
        <v>118006</v>
      </c>
      <c r="AJ97" s="189">
        <v>92868</v>
      </c>
      <c r="AK97" s="190">
        <v>464280</v>
      </c>
      <c r="AL97" s="188">
        <v>8457</v>
      </c>
      <c r="AM97" s="189">
        <v>19549</v>
      </c>
      <c r="AN97" s="189">
        <v>10050</v>
      </c>
      <c r="AO97" s="189">
        <v>11913</v>
      </c>
      <c r="AP97" s="190">
        <v>49969</v>
      </c>
      <c r="AQ97" s="188">
        <v>31188</v>
      </c>
      <c r="AR97" s="189">
        <v>156376</v>
      </c>
      <c r="AS97" s="189">
        <v>73926</v>
      </c>
      <c r="AT97" s="189">
        <v>46117</v>
      </c>
      <c r="AU97" s="190">
        <v>307607</v>
      </c>
      <c r="AV97" s="188">
        <v>6612</v>
      </c>
      <c r="AW97" s="189">
        <v>7002</v>
      </c>
      <c r="AX97" s="189">
        <v>14731</v>
      </c>
      <c r="AY97" s="189">
        <v>11549</v>
      </c>
      <c r="AZ97" s="190">
        <v>39894</v>
      </c>
      <c r="BA97" s="188">
        <v>36322</v>
      </c>
      <c r="BB97" s="189">
        <v>29636</v>
      </c>
      <c r="BC97" s="189">
        <v>114726</v>
      </c>
      <c r="BD97" s="189">
        <v>107678</v>
      </c>
      <c r="BE97" s="190">
        <v>288362</v>
      </c>
      <c r="BF97" s="188">
        <f t="shared" si="29"/>
        <v>79058</v>
      </c>
      <c r="BG97" s="189">
        <f t="shared" si="23"/>
        <v>24315</v>
      </c>
      <c r="BH97" s="189">
        <f t="shared" si="24"/>
        <v>41483</v>
      </c>
      <c r="BI97" s="189">
        <f t="shared" si="25"/>
        <v>74296</v>
      </c>
      <c r="BJ97" s="190">
        <f t="shared" si="26"/>
        <v>219152</v>
      </c>
      <c r="BK97" s="188">
        <v>13310</v>
      </c>
      <c r="BL97" s="189">
        <v>499</v>
      </c>
      <c r="BM97" s="189">
        <v>414</v>
      </c>
      <c r="BN97" s="189">
        <v>3718</v>
      </c>
      <c r="BO97" s="190">
        <v>17941</v>
      </c>
      <c r="BP97" s="188">
        <v>42923</v>
      </c>
      <c r="BQ97" s="189">
        <v>7197</v>
      </c>
      <c r="BR97" s="189">
        <v>15157</v>
      </c>
      <c r="BS97" s="189">
        <v>25627</v>
      </c>
      <c r="BT97" s="190">
        <v>90904</v>
      </c>
      <c r="BU97" s="188">
        <v>16605</v>
      </c>
      <c r="BV97" s="189">
        <v>14825</v>
      </c>
      <c r="BW97" s="189">
        <v>22738</v>
      </c>
      <c r="BX97" s="189">
        <v>39044</v>
      </c>
      <c r="BY97" s="190">
        <v>93212</v>
      </c>
      <c r="BZ97" s="188">
        <v>1242</v>
      </c>
      <c r="CA97" s="189">
        <v>1794</v>
      </c>
      <c r="CB97" s="189">
        <v>1587</v>
      </c>
      <c r="CC97" s="189">
        <v>1778</v>
      </c>
      <c r="CD97" s="190">
        <v>6401</v>
      </c>
      <c r="CE97" s="188">
        <v>4978</v>
      </c>
      <c r="CF97" s="189"/>
      <c r="CG97" s="189">
        <v>1587</v>
      </c>
      <c r="CH97" s="189">
        <v>4129</v>
      </c>
      <c r="CI97" s="190">
        <v>10694</v>
      </c>
    </row>
    <row r="98" spans="1:87">
      <c r="A98" s="186"/>
      <c r="B98" s="187" t="s">
        <v>27</v>
      </c>
      <c r="C98" s="188">
        <f t="shared" si="27"/>
        <v>261</v>
      </c>
      <c r="D98" s="189">
        <f t="shared" si="15"/>
        <v>0</v>
      </c>
      <c r="E98" s="189">
        <f t="shared" si="16"/>
        <v>0</v>
      </c>
      <c r="F98" s="189">
        <f t="shared" si="17"/>
        <v>0</v>
      </c>
      <c r="G98" s="190">
        <f t="shared" si="18"/>
        <v>261</v>
      </c>
      <c r="H98" s="188">
        <f t="shared" si="28"/>
        <v>261</v>
      </c>
      <c r="I98" s="189">
        <f t="shared" si="19"/>
        <v>0</v>
      </c>
      <c r="J98" s="189">
        <f t="shared" si="20"/>
        <v>0</v>
      </c>
      <c r="K98" s="189">
        <f t="shared" si="21"/>
        <v>0</v>
      </c>
      <c r="L98" s="190">
        <f t="shared" si="22"/>
        <v>261</v>
      </c>
      <c r="M98" s="188"/>
      <c r="N98" s="189"/>
      <c r="O98" s="189"/>
      <c r="P98" s="189"/>
      <c r="Q98" s="190"/>
      <c r="R98" s="188"/>
      <c r="S98" s="189"/>
      <c r="T98" s="189"/>
      <c r="U98" s="189"/>
      <c r="V98" s="190"/>
      <c r="W98" s="188"/>
      <c r="X98" s="189"/>
      <c r="Y98" s="189"/>
      <c r="Z98" s="189"/>
      <c r="AA98" s="190"/>
      <c r="AB98" s="188"/>
      <c r="AC98" s="189"/>
      <c r="AD98" s="189"/>
      <c r="AE98" s="189"/>
      <c r="AF98" s="190"/>
      <c r="AG98" s="188"/>
      <c r="AH98" s="189"/>
      <c r="AI98" s="189"/>
      <c r="AJ98" s="189"/>
      <c r="AK98" s="190"/>
      <c r="AL98" s="188"/>
      <c r="AM98" s="189"/>
      <c r="AN98" s="189"/>
      <c r="AO98" s="189"/>
      <c r="AP98" s="190"/>
      <c r="AQ98" s="188"/>
      <c r="AR98" s="189"/>
      <c r="AS98" s="189"/>
      <c r="AT98" s="189"/>
      <c r="AU98" s="190"/>
      <c r="AV98" s="188">
        <v>261</v>
      </c>
      <c r="AW98" s="189"/>
      <c r="AX98" s="189"/>
      <c r="AY98" s="189"/>
      <c r="AZ98" s="190">
        <v>261</v>
      </c>
      <c r="BA98" s="188"/>
      <c r="BB98" s="189"/>
      <c r="BC98" s="189"/>
      <c r="BD98" s="189"/>
      <c r="BE98" s="190"/>
      <c r="BF98" s="188">
        <f t="shared" si="29"/>
        <v>0</v>
      </c>
      <c r="BG98" s="189">
        <f t="shared" si="23"/>
        <v>0</v>
      </c>
      <c r="BH98" s="189">
        <f t="shared" si="24"/>
        <v>0</v>
      </c>
      <c r="BI98" s="189">
        <f t="shared" si="25"/>
        <v>0</v>
      </c>
      <c r="BJ98" s="190">
        <f t="shared" si="26"/>
        <v>0</v>
      </c>
      <c r="BK98" s="188"/>
      <c r="BL98" s="189"/>
      <c r="BM98" s="189"/>
      <c r="BN98" s="189"/>
      <c r="BO98" s="190"/>
      <c r="BP98" s="188"/>
      <c r="BQ98" s="189"/>
      <c r="BR98" s="189"/>
      <c r="BS98" s="189"/>
      <c r="BT98" s="190"/>
      <c r="BU98" s="188"/>
      <c r="BV98" s="189"/>
      <c r="BW98" s="189"/>
      <c r="BX98" s="189"/>
      <c r="BY98" s="190"/>
      <c r="BZ98" s="188"/>
      <c r="CA98" s="189"/>
      <c r="CB98" s="189"/>
      <c r="CC98" s="189"/>
      <c r="CD98" s="190"/>
      <c r="CE98" s="188"/>
      <c r="CF98" s="189"/>
      <c r="CG98" s="189"/>
      <c r="CH98" s="189"/>
      <c r="CI98" s="190"/>
    </row>
    <row r="99" s="163" customFormat="1" ht="14.6" spans="1:87">
      <c r="A99" s="191" t="s">
        <v>88</v>
      </c>
      <c r="B99" s="192"/>
      <c r="C99" s="193">
        <f t="shared" si="27"/>
        <v>358618</v>
      </c>
      <c r="D99" s="194">
        <f t="shared" si="15"/>
        <v>816448</v>
      </c>
      <c r="E99" s="194">
        <f t="shared" si="16"/>
        <v>637489</v>
      </c>
      <c r="F99" s="194">
        <f t="shared" si="17"/>
        <v>559885</v>
      </c>
      <c r="G99" s="195">
        <f t="shared" si="18"/>
        <v>2372440</v>
      </c>
      <c r="H99" s="193">
        <f t="shared" si="28"/>
        <v>279560</v>
      </c>
      <c r="I99" s="194">
        <f t="shared" si="19"/>
        <v>792133</v>
      </c>
      <c r="J99" s="194">
        <f t="shared" si="20"/>
        <v>596006</v>
      </c>
      <c r="K99" s="194">
        <f t="shared" si="21"/>
        <v>485589</v>
      </c>
      <c r="L99" s="195">
        <f t="shared" si="22"/>
        <v>2153288</v>
      </c>
      <c r="M99" s="193">
        <v>32442</v>
      </c>
      <c r="N99" s="194">
        <v>68398</v>
      </c>
      <c r="O99" s="194">
        <v>37162</v>
      </c>
      <c r="P99" s="194">
        <v>44216</v>
      </c>
      <c r="Q99" s="195">
        <v>182218</v>
      </c>
      <c r="R99" s="193">
        <v>32722</v>
      </c>
      <c r="S99" s="194">
        <v>41387</v>
      </c>
      <c r="T99" s="194">
        <v>24914</v>
      </c>
      <c r="U99" s="194">
        <v>21714</v>
      </c>
      <c r="V99" s="195">
        <v>120737</v>
      </c>
      <c r="W99" s="193">
        <v>4560</v>
      </c>
      <c r="X99" s="194">
        <v>72174</v>
      </c>
      <c r="Y99" s="194">
        <v>22324</v>
      </c>
      <c r="Z99" s="194">
        <v>22910</v>
      </c>
      <c r="AA99" s="195">
        <v>121968</v>
      </c>
      <c r="AB99" s="193">
        <v>80207</v>
      </c>
      <c r="AC99" s="194">
        <v>190994</v>
      </c>
      <c r="AD99" s="194">
        <v>180167</v>
      </c>
      <c r="AE99" s="194">
        <v>126624</v>
      </c>
      <c r="AF99" s="195">
        <v>577992</v>
      </c>
      <c r="AG99" s="193">
        <v>46789</v>
      </c>
      <c r="AH99" s="194">
        <v>206617</v>
      </c>
      <c r="AI99" s="194">
        <v>118006</v>
      </c>
      <c r="AJ99" s="194">
        <v>92868</v>
      </c>
      <c r="AK99" s="195">
        <v>464280</v>
      </c>
      <c r="AL99" s="193">
        <v>8457</v>
      </c>
      <c r="AM99" s="194">
        <v>19549</v>
      </c>
      <c r="AN99" s="194">
        <v>10050</v>
      </c>
      <c r="AO99" s="194">
        <v>11913</v>
      </c>
      <c r="AP99" s="195">
        <v>49969</v>
      </c>
      <c r="AQ99" s="193">
        <v>31188</v>
      </c>
      <c r="AR99" s="194">
        <v>156376</v>
      </c>
      <c r="AS99" s="194">
        <v>73926</v>
      </c>
      <c r="AT99" s="194">
        <v>46117</v>
      </c>
      <c r="AU99" s="195">
        <v>307607</v>
      </c>
      <c r="AV99" s="193">
        <v>6873</v>
      </c>
      <c r="AW99" s="194">
        <v>7002</v>
      </c>
      <c r="AX99" s="194">
        <v>14731</v>
      </c>
      <c r="AY99" s="194">
        <v>11549</v>
      </c>
      <c r="AZ99" s="195">
        <v>40155</v>
      </c>
      <c r="BA99" s="193">
        <v>36322</v>
      </c>
      <c r="BB99" s="194">
        <v>29636</v>
      </c>
      <c r="BC99" s="194">
        <v>114726</v>
      </c>
      <c r="BD99" s="194">
        <v>107678</v>
      </c>
      <c r="BE99" s="195">
        <v>288362</v>
      </c>
      <c r="BF99" s="193">
        <f t="shared" si="29"/>
        <v>79058</v>
      </c>
      <c r="BG99" s="194">
        <f t="shared" si="23"/>
        <v>24315</v>
      </c>
      <c r="BH99" s="194">
        <f t="shared" si="24"/>
        <v>41483</v>
      </c>
      <c r="BI99" s="194">
        <f t="shared" si="25"/>
        <v>74296</v>
      </c>
      <c r="BJ99" s="195">
        <f t="shared" si="26"/>
        <v>219152</v>
      </c>
      <c r="BK99" s="193">
        <v>13310</v>
      </c>
      <c r="BL99" s="194">
        <v>499</v>
      </c>
      <c r="BM99" s="194">
        <v>414</v>
      </c>
      <c r="BN99" s="194">
        <v>3718</v>
      </c>
      <c r="BO99" s="195">
        <v>17941</v>
      </c>
      <c r="BP99" s="193">
        <v>42923</v>
      </c>
      <c r="BQ99" s="194">
        <v>7197</v>
      </c>
      <c r="BR99" s="194">
        <v>15157</v>
      </c>
      <c r="BS99" s="194">
        <v>25627</v>
      </c>
      <c r="BT99" s="195">
        <v>90904</v>
      </c>
      <c r="BU99" s="193">
        <v>16605</v>
      </c>
      <c r="BV99" s="194">
        <v>14825</v>
      </c>
      <c r="BW99" s="194">
        <v>22738</v>
      </c>
      <c r="BX99" s="194">
        <v>39044</v>
      </c>
      <c r="BY99" s="195">
        <v>93212</v>
      </c>
      <c r="BZ99" s="193">
        <v>1242</v>
      </c>
      <c r="CA99" s="194">
        <v>1794</v>
      </c>
      <c r="CB99" s="194">
        <v>1587</v>
      </c>
      <c r="CC99" s="194">
        <v>1778</v>
      </c>
      <c r="CD99" s="195">
        <v>6401</v>
      </c>
      <c r="CE99" s="193">
        <v>4978</v>
      </c>
      <c r="CF99" s="194"/>
      <c r="CG99" s="194">
        <v>1587</v>
      </c>
      <c r="CH99" s="194">
        <v>4129</v>
      </c>
      <c r="CI99" s="195">
        <v>10694</v>
      </c>
    </row>
    <row r="100" spans="1:87">
      <c r="A100" s="186" t="s">
        <v>89</v>
      </c>
      <c r="B100" s="187" t="s">
        <v>28</v>
      </c>
      <c r="C100" s="188">
        <f t="shared" si="27"/>
        <v>62192</v>
      </c>
      <c r="D100" s="189">
        <f t="shared" si="15"/>
        <v>52026</v>
      </c>
      <c r="E100" s="189">
        <f t="shared" si="16"/>
        <v>588816</v>
      </c>
      <c r="F100" s="189">
        <f t="shared" si="17"/>
        <v>1557221</v>
      </c>
      <c r="G100" s="190">
        <f t="shared" si="18"/>
        <v>2260255</v>
      </c>
      <c r="H100" s="188">
        <f t="shared" si="28"/>
        <v>57109</v>
      </c>
      <c r="I100" s="189">
        <f t="shared" si="19"/>
        <v>44551</v>
      </c>
      <c r="J100" s="189">
        <f t="shared" si="20"/>
        <v>558175</v>
      </c>
      <c r="K100" s="189">
        <f t="shared" si="21"/>
        <v>1470419</v>
      </c>
      <c r="L100" s="190">
        <f t="shared" si="22"/>
        <v>2130254</v>
      </c>
      <c r="M100" s="188">
        <v>1495</v>
      </c>
      <c r="N100" s="189">
        <v>1794</v>
      </c>
      <c r="O100" s="189">
        <v>2990</v>
      </c>
      <c r="P100" s="189">
        <v>222562</v>
      </c>
      <c r="Q100" s="190">
        <v>228841</v>
      </c>
      <c r="R100" s="188">
        <v>8671</v>
      </c>
      <c r="S100" s="189">
        <v>8372</v>
      </c>
      <c r="T100" s="189">
        <v>78567</v>
      </c>
      <c r="U100" s="189">
        <v>143731</v>
      </c>
      <c r="V100" s="190">
        <v>239341</v>
      </c>
      <c r="W100" s="188">
        <v>20930</v>
      </c>
      <c r="X100" s="189">
        <v>17342</v>
      </c>
      <c r="Y100" s="189">
        <v>13156</v>
      </c>
      <c r="Z100" s="189">
        <v>109838</v>
      </c>
      <c r="AA100" s="190">
        <v>161266</v>
      </c>
      <c r="AB100" s="188">
        <v>13455</v>
      </c>
      <c r="AC100" s="189">
        <v>6279</v>
      </c>
      <c r="AD100" s="189">
        <v>212997</v>
      </c>
      <c r="AE100" s="189">
        <v>222948</v>
      </c>
      <c r="AF100" s="190">
        <v>455679</v>
      </c>
      <c r="AG100" s="188"/>
      <c r="AH100" s="189"/>
      <c r="AI100" s="189">
        <v>219384</v>
      </c>
      <c r="AJ100" s="189">
        <v>361053</v>
      </c>
      <c r="AK100" s="190">
        <v>580437</v>
      </c>
      <c r="AL100" s="188">
        <v>2392</v>
      </c>
      <c r="AM100" s="189">
        <v>2691</v>
      </c>
      <c r="AN100" s="189">
        <v>20915</v>
      </c>
      <c r="AO100" s="189">
        <v>43374</v>
      </c>
      <c r="AP100" s="190">
        <v>69372</v>
      </c>
      <c r="AQ100" s="188"/>
      <c r="AR100" s="189"/>
      <c r="AS100" s="189"/>
      <c r="AT100" s="189">
        <v>229581</v>
      </c>
      <c r="AU100" s="190">
        <v>229581</v>
      </c>
      <c r="AV100" s="188"/>
      <c r="AW100" s="189"/>
      <c r="AX100" s="189"/>
      <c r="AY100" s="189">
        <v>19503</v>
      </c>
      <c r="AZ100" s="190">
        <v>19503</v>
      </c>
      <c r="BA100" s="188">
        <v>10166</v>
      </c>
      <c r="BB100" s="189">
        <v>8073</v>
      </c>
      <c r="BC100" s="189">
        <v>10166</v>
      </c>
      <c r="BD100" s="189">
        <v>117829</v>
      </c>
      <c r="BE100" s="190">
        <v>146234</v>
      </c>
      <c r="BF100" s="188">
        <f t="shared" si="29"/>
        <v>5083</v>
      </c>
      <c r="BG100" s="189">
        <f t="shared" si="23"/>
        <v>7475</v>
      </c>
      <c r="BH100" s="189">
        <f t="shared" si="24"/>
        <v>30641</v>
      </c>
      <c r="BI100" s="189">
        <f t="shared" si="25"/>
        <v>86802</v>
      </c>
      <c r="BJ100" s="190">
        <f t="shared" si="26"/>
        <v>130001</v>
      </c>
      <c r="BK100" s="188"/>
      <c r="BL100" s="189">
        <v>1196</v>
      </c>
      <c r="BM100" s="189"/>
      <c r="BN100" s="189">
        <v>16038</v>
      </c>
      <c r="BO100" s="190">
        <v>17234</v>
      </c>
      <c r="BP100" s="188"/>
      <c r="BQ100" s="189"/>
      <c r="BR100" s="189"/>
      <c r="BS100" s="189"/>
      <c r="BT100" s="190"/>
      <c r="BU100" s="188">
        <v>5083</v>
      </c>
      <c r="BV100" s="189">
        <v>6279</v>
      </c>
      <c r="BW100" s="189">
        <v>30641</v>
      </c>
      <c r="BX100" s="189">
        <v>63636</v>
      </c>
      <c r="BY100" s="190">
        <v>105639</v>
      </c>
      <c r="BZ100" s="188"/>
      <c r="CA100" s="189"/>
      <c r="CB100" s="189"/>
      <c r="CC100" s="189"/>
      <c r="CD100" s="190"/>
      <c r="CE100" s="188"/>
      <c r="CF100" s="189"/>
      <c r="CG100" s="189"/>
      <c r="CH100" s="189">
        <v>7128</v>
      </c>
      <c r="CI100" s="190">
        <v>7128</v>
      </c>
    </row>
    <row r="101" s="163" customFormat="1" ht="14.6" spans="1:87">
      <c r="A101" s="191" t="s">
        <v>90</v>
      </c>
      <c r="B101" s="192"/>
      <c r="C101" s="193">
        <f t="shared" si="27"/>
        <v>62192</v>
      </c>
      <c r="D101" s="194">
        <f t="shared" si="15"/>
        <v>52026</v>
      </c>
      <c r="E101" s="194">
        <f t="shared" si="16"/>
        <v>588816</v>
      </c>
      <c r="F101" s="194">
        <f t="shared" si="17"/>
        <v>1557221</v>
      </c>
      <c r="G101" s="195">
        <f t="shared" si="18"/>
        <v>2260255</v>
      </c>
      <c r="H101" s="193">
        <f t="shared" si="28"/>
        <v>57109</v>
      </c>
      <c r="I101" s="194">
        <f t="shared" si="19"/>
        <v>44551</v>
      </c>
      <c r="J101" s="194">
        <f t="shared" si="20"/>
        <v>558175</v>
      </c>
      <c r="K101" s="194">
        <f t="shared" si="21"/>
        <v>1470419</v>
      </c>
      <c r="L101" s="195">
        <f t="shared" si="22"/>
        <v>2130254</v>
      </c>
      <c r="M101" s="193">
        <v>1495</v>
      </c>
      <c r="N101" s="194">
        <v>1794</v>
      </c>
      <c r="O101" s="194">
        <v>2990</v>
      </c>
      <c r="P101" s="194">
        <v>222562</v>
      </c>
      <c r="Q101" s="195">
        <v>228841</v>
      </c>
      <c r="R101" s="193">
        <v>8671</v>
      </c>
      <c r="S101" s="194">
        <v>8372</v>
      </c>
      <c r="T101" s="194">
        <v>78567</v>
      </c>
      <c r="U101" s="194">
        <v>143731</v>
      </c>
      <c r="V101" s="195">
        <v>239341</v>
      </c>
      <c r="W101" s="193">
        <v>20930</v>
      </c>
      <c r="X101" s="194">
        <v>17342</v>
      </c>
      <c r="Y101" s="194">
        <v>13156</v>
      </c>
      <c r="Z101" s="194">
        <v>109838</v>
      </c>
      <c r="AA101" s="195">
        <v>161266</v>
      </c>
      <c r="AB101" s="193">
        <v>13455</v>
      </c>
      <c r="AC101" s="194">
        <v>6279</v>
      </c>
      <c r="AD101" s="194">
        <v>212997</v>
      </c>
      <c r="AE101" s="194">
        <v>222948</v>
      </c>
      <c r="AF101" s="195">
        <v>455679</v>
      </c>
      <c r="AG101" s="193"/>
      <c r="AH101" s="194"/>
      <c r="AI101" s="194">
        <v>219384</v>
      </c>
      <c r="AJ101" s="194">
        <v>361053</v>
      </c>
      <c r="AK101" s="195">
        <v>580437</v>
      </c>
      <c r="AL101" s="193">
        <v>2392</v>
      </c>
      <c r="AM101" s="194">
        <v>2691</v>
      </c>
      <c r="AN101" s="194">
        <v>20915</v>
      </c>
      <c r="AO101" s="194">
        <v>43374</v>
      </c>
      <c r="AP101" s="195">
        <v>69372</v>
      </c>
      <c r="AQ101" s="193"/>
      <c r="AR101" s="194"/>
      <c r="AS101" s="194"/>
      <c r="AT101" s="194">
        <v>229581</v>
      </c>
      <c r="AU101" s="195">
        <v>229581</v>
      </c>
      <c r="AV101" s="193"/>
      <c r="AW101" s="194"/>
      <c r="AX101" s="194"/>
      <c r="AY101" s="194">
        <v>19503</v>
      </c>
      <c r="AZ101" s="195">
        <v>19503</v>
      </c>
      <c r="BA101" s="193">
        <v>10166</v>
      </c>
      <c r="BB101" s="194">
        <v>8073</v>
      </c>
      <c r="BC101" s="194">
        <v>10166</v>
      </c>
      <c r="BD101" s="194">
        <v>117829</v>
      </c>
      <c r="BE101" s="195">
        <v>146234</v>
      </c>
      <c r="BF101" s="193">
        <f t="shared" si="29"/>
        <v>5083</v>
      </c>
      <c r="BG101" s="194">
        <f t="shared" si="23"/>
        <v>7475</v>
      </c>
      <c r="BH101" s="194">
        <f t="shared" si="24"/>
        <v>30641</v>
      </c>
      <c r="BI101" s="194">
        <f t="shared" si="25"/>
        <v>86802</v>
      </c>
      <c r="BJ101" s="195">
        <f t="shared" si="26"/>
        <v>130001</v>
      </c>
      <c r="BK101" s="193"/>
      <c r="BL101" s="194">
        <v>1196</v>
      </c>
      <c r="BM101" s="194"/>
      <c r="BN101" s="194">
        <v>16038</v>
      </c>
      <c r="BO101" s="195">
        <v>17234</v>
      </c>
      <c r="BP101" s="193"/>
      <c r="BQ101" s="194"/>
      <c r="BR101" s="194"/>
      <c r="BS101" s="194"/>
      <c r="BT101" s="195"/>
      <c r="BU101" s="193">
        <v>5083</v>
      </c>
      <c r="BV101" s="194">
        <v>6279</v>
      </c>
      <c r="BW101" s="194">
        <v>30641</v>
      </c>
      <c r="BX101" s="194">
        <v>63636</v>
      </c>
      <c r="BY101" s="195">
        <v>105639</v>
      </c>
      <c r="BZ101" s="193"/>
      <c r="CA101" s="194"/>
      <c r="CB101" s="194"/>
      <c r="CC101" s="194"/>
      <c r="CD101" s="195"/>
      <c r="CE101" s="193"/>
      <c r="CF101" s="194"/>
      <c r="CG101" s="194"/>
      <c r="CH101" s="194">
        <v>7128</v>
      </c>
      <c r="CI101" s="195">
        <v>7128</v>
      </c>
    </row>
    <row r="102" spans="1:87">
      <c r="A102" s="186" t="s">
        <v>91</v>
      </c>
      <c r="B102" s="187" t="s">
        <v>26</v>
      </c>
      <c r="C102" s="188">
        <f t="shared" si="27"/>
        <v>682891</v>
      </c>
      <c r="D102" s="189">
        <f t="shared" si="15"/>
        <v>487649</v>
      </c>
      <c r="E102" s="189">
        <f t="shared" si="16"/>
        <v>516975</v>
      </c>
      <c r="F102" s="189">
        <f t="shared" si="17"/>
        <v>444775</v>
      </c>
      <c r="G102" s="190">
        <f t="shared" si="18"/>
        <v>2132290</v>
      </c>
      <c r="H102" s="188">
        <f t="shared" si="28"/>
        <v>682891</v>
      </c>
      <c r="I102" s="189">
        <f t="shared" si="19"/>
        <v>487531</v>
      </c>
      <c r="J102" s="189">
        <f t="shared" si="20"/>
        <v>516975</v>
      </c>
      <c r="K102" s="189">
        <f t="shared" si="21"/>
        <v>444303</v>
      </c>
      <c r="L102" s="190">
        <f t="shared" si="22"/>
        <v>2131700</v>
      </c>
      <c r="M102" s="188">
        <v>666253</v>
      </c>
      <c r="N102" s="189">
        <v>474079</v>
      </c>
      <c r="O102" s="189">
        <v>505352</v>
      </c>
      <c r="P102" s="189">
        <v>434273</v>
      </c>
      <c r="Q102" s="190">
        <v>2079957</v>
      </c>
      <c r="R102" s="188"/>
      <c r="S102" s="189"/>
      <c r="T102" s="189"/>
      <c r="U102" s="189"/>
      <c r="V102" s="190"/>
      <c r="W102" s="188"/>
      <c r="X102" s="189"/>
      <c r="Y102" s="189"/>
      <c r="Z102" s="189"/>
      <c r="AA102" s="190"/>
      <c r="AB102" s="188">
        <v>15045</v>
      </c>
      <c r="AC102" s="189">
        <v>12154</v>
      </c>
      <c r="AD102" s="189">
        <v>9735</v>
      </c>
      <c r="AE102" s="189">
        <v>9263</v>
      </c>
      <c r="AF102" s="190">
        <v>46197</v>
      </c>
      <c r="AG102" s="188"/>
      <c r="AH102" s="189"/>
      <c r="AI102" s="189"/>
      <c r="AJ102" s="189"/>
      <c r="AK102" s="190"/>
      <c r="AL102" s="188"/>
      <c r="AM102" s="189"/>
      <c r="AN102" s="189"/>
      <c r="AO102" s="189"/>
      <c r="AP102" s="190"/>
      <c r="AQ102" s="188">
        <v>1593</v>
      </c>
      <c r="AR102" s="189">
        <v>1298</v>
      </c>
      <c r="AS102" s="189">
        <v>1888</v>
      </c>
      <c r="AT102" s="189">
        <v>767</v>
      </c>
      <c r="AU102" s="190">
        <v>5546</v>
      </c>
      <c r="AV102" s="188"/>
      <c r="AW102" s="189"/>
      <c r="AX102" s="189"/>
      <c r="AY102" s="189"/>
      <c r="AZ102" s="190"/>
      <c r="BA102" s="188"/>
      <c r="BB102" s="189"/>
      <c r="BC102" s="189"/>
      <c r="BD102" s="189"/>
      <c r="BE102" s="190"/>
      <c r="BF102" s="188">
        <f t="shared" si="29"/>
        <v>0</v>
      </c>
      <c r="BG102" s="189">
        <f t="shared" si="23"/>
        <v>118</v>
      </c>
      <c r="BH102" s="189">
        <f t="shared" si="24"/>
        <v>0</v>
      </c>
      <c r="BI102" s="189">
        <f t="shared" si="25"/>
        <v>472</v>
      </c>
      <c r="BJ102" s="190">
        <f t="shared" si="26"/>
        <v>590</v>
      </c>
      <c r="BK102" s="188"/>
      <c r="BL102" s="189"/>
      <c r="BM102" s="189"/>
      <c r="BN102" s="189"/>
      <c r="BO102" s="190"/>
      <c r="BP102" s="188"/>
      <c r="BQ102" s="189"/>
      <c r="BR102" s="189"/>
      <c r="BS102" s="189"/>
      <c r="BT102" s="190"/>
      <c r="BU102" s="188"/>
      <c r="BV102" s="189">
        <v>118</v>
      </c>
      <c r="BW102" s="189"/>
      <c r="BX102" s="189">
        <v>472</v>
      </c>
      <c r="BY102" s="190">
        <v>590</v>
      </c>
      <c r="BZ102" s="188"/>
      <c r="CA102" s="189"/>
      <c r="CB102" s="189"/>
      <c r="CC102" s="189"/>
      <c r="CD102" s="190"/>
      <c r="CE102" s="188"/>
      <c r="CF102" s="189"/>
      <c r="CG102" s="189"/>
      <c r="CH102" s="189"/>
      <c r="CI102" s="190"/>
    </row>
    <row r="103" spans="1:87">
      <c r="A103" s="186"/>
      <c r="B103" s="187" t="s">
        <v>29</v>
      </c>
      <c r="C103" s="188">
        <f t="shared" si="27"/>
        <v>1598</v>
      </c>
      <c r="D103" s="189">
        <f t="shared" si="15"/>
        <v>1598</v>
      </c>
      <c r="E103" s="189">
        <f t="shared" si="16"/>
        <v>3196</v>
      </c>
      <c r="F103" s="189">
        <f t="shared" si="17"/>
        <v>1598</v>
      </c>
      <c r="G103" s="190">
        <f t="shared" si="18"/>
        <v>7990</v>
      </c>
      <c r="H103" s="188">
        <f t="shared" si="28"/>
        <v>1598</v>
      </c>
      <c r="I103" s="189">
        <f t="shared" si="19"/>
        <v>1598</v>
      </c>
      <c r="J103" s="189">
        <f t="shared" si="20"/>
        <v>3196</v>
      </c>
      <c r="K103" s="189">
        <f t="shared" si="21"/>
        <v>1598</v>
      </c>
      <c r="L103" s="190">
        <f t="shared" si="22"/>
        <v>7990</v>
      </c>
      <c r="M103" s="188"/>
      <c r="N103" s="189"/>
      <c r="O103" s="189"/>
      <c r="P103" s="189"/>
      <c r="Q103" s="190"/>
      <c r="R103" s="188">
        <v>799</v>
      </c>
      <c r="S103" s="189"/>
      <c r="T103" s="189">
        <v>1598</v>
      </c>
      <c r="U103" s="189">
        <v>1598</v>
      </c>
      <c r="V103" s="190">
        <v>3995</v>
      </c>
      <c r="W103" s="188"/>
      <c r="X103" s="189"/>
      <c r="Y103" s="189"/>
      <c r="Z103" s="189"/>
      <c r="AA103" s="190"/>
      <c r="AB103" s="188"/>
      <c r="AC103" s="189">
        <v>799</v>
      </c>
      <c r="AD103" s="189">
        <v>799</v>
      </c>
      <c r="AE103" s="189"/>
      <c r="AF103" s="190">
        <v>1598</v>
      </c>
      <c r="AG103" s="188"/>
      <c r="AH103" s="189"/>
      <c r="AI103" s="189"/>
      <c r="AJ103" s="189"/>
      <c r="AK103" s="190"/>
      <c r="AL103" s="188"/>
      <c r="AM103" s="189"/>
      <c r="AN103" s="189"/>
      <c r="AO103" s="189"/>
      <c r="AP103" s="190"/>
      <c r="AQ103" s="188"/>
      <c r="AR103" s="189"/>
      <c r="AS103" s="189">
        <v>799</v>
      </c>
      <c r="AT103" s="189"/>
      <c r="AU103" s="190">
        <v>799</v>
      </c>
      <c r="AV103" s="188">
        <v>799</v>
      </c>
      <c r="AW103" s="189">
        <v>799</v>
      </c>
      <c r="AX103" s="189"/>
      <c r="AY103" s="189"/>
      <c r="AZ103" s="190">
        <v>1598</v>
      </c>
      <c r="BA103" s="188"/>
      <c r="BB103" s="189"/>
      <c r="BC103" s="189"/>
      <c r="BD103" s="189"/>
      <c r="BE103" s="190"/>
      <c r="BF103" s="188">
        <f t="shared" si="29"/>
        <v>0</v>
      </c>
      <c r="BG103" s="189">
        <f t="shared" si="23"/>
        <v>0</v>
      </c>
      <c r="BH103" s="189">
        <f t="shared" si="24"/>
        <v>0</v>
      </c>
      <c r="BI103" s="189">
        <f t="shared" si="25"/>
        <v>0</v>
      </c>
      <c r="BJ103" s="190">
        <f t="shared" si="26"/>
        <v>0</v>
      </c>
      <c r="BK103" s="188"/>
      <c r="BL103" s="189"/>
      <c r="BM103" s="189"/>
      <c r="BN103" s="189"/>
      <c r="BO103" s="190"/>
      <c r="BP103" s="188"/>
      <c r="BQ103" s="189"/>
      <c r="BR103" s="189"/>
      <c r="BS103" s="189"/>
      <c r="BT103" s="190"/>
      <c r="BU103" s="188"/>
      <c r="BV103" s="189"/>
      <c r="BW103" s="189"/>
      <c r="BX103" s="189"/>
      <c r="BY103" s="190"/>
      <c r="BZ103" s="188"/>
      <c r="CA103" s="189"/>
      <c r="CB103" s="189"/>
      <c r="CC103" s="189"/>
      <c r="CD103" s="190"/>
      <c r="CE103" s="188"/>
      <c r="CF103" s="189"/>
      <c r="CG103" s="189"/>
      <c r="CH103" s="189"/>
      <c r="CI103" s="190"/>
    </row>
    <row r="104" s="163" customFormat="1" ht="14.6" spans="1:87">
      <c r="A104" s="191" t="s">
        <v>92</v>
      </c>
      <c r="B104" s="192"/>
      <c r="C104" s="193">
        <f t="shared" si="27"/>
        <v>684489</v>
      </c>
      <c r="D104" s="194">
        <f t="shared" si="15"/>
        <v>489247</v>
      </c>
      <c r="E104" s="194">
        <f t="shared" si="16"/>
        <v>520171</v>
      </c>
      <c r="F104" s="194">
        <f t="shared" si="17"/>
        <v>446373</v>
      </c>
      <c r="G104" s="195">
        <f t="shared" si="18"/>
        <v>2140280</v>
      </c>
      <c r="H104" s="193">
        <f t="shared" si="28"/>
        <v>684489</v>
      </c>
      <c r="I104" s="194">
        <f t="shared" si="19"/>
        <v>489129</v>
      </c>
      <c r="J104" s="194">
        <f t="shared" si="20"/>
        <v>520171</v>
      </c>
      <c r="K104" s="194">
        <f t="shared" si="21"/>
        <v>445901</v>
      </c>
      <c r="L104" s="195">
        <f t="shared" si="22"/>
        <v>2139690</v>
      </c>
      <c r="M104" s="193">
        <v>666253</v>
      </c>
      <c r="N104" s="194">
        <v>474079</v>
      </c>
      <c r="O104" s="194">
        <v>505352</v>
      </c>
      <c r="P104" s="194">
        <v>434273</v>
      </c>
      <c r="Q104" s="195">
        <v>2079957</v>
      </c>
      <c r="R104" s="193">
        <v>799</v>
      </c>
      <c r="S104" s="194"/>
      <c r="T104" s="194">
        <v>1598</v>
      </c>
      <c r="U104" s="194">
        <v>1598</v>
      </c>
      <c r="V104" s="195">
        <v>3995</v>
      </c>
      <c r="W104" s="193"/>
      <c r="X104" s="194"/>
      <c r="Y104" s="194"/>
      <c r="Z104" s="194"/>
      <c r="AA104" s="195"/>
      <c r="AB104" s="193">
        <v>15045</v>
      </c>
      <c r="AC104" s="194">
        <v>12953</v>
      </c>
      <c r="AD104" s="194">
        <v>10534</v>
      </c>
      <c r="AE104" s="194">
        <v>9263</v>
      </c>
      <c r="AF104" s="195">
        <v>47795</v>
      </c>
      <c r="AG104" s="193"/>
      <c r="AH104" s="194"/>
      <c r="AI104" s="194"/>
      <c r="AJ104" s="194"/>
      <c r="AK104" s="195"/>
      <c r="AL104" s="193"/>
      <c r="AM104" s="194"/>
      <c r="AN104" s="194"/>
      <c r="AO104" s="194"/>
      <c r="AP104" s="195"/>
      <c r="AQ104" s="193">
        <v>1593</v>
      </c>
      <c r="AR104" s="194">
        <v>1298</v>
      </c>
      <c r="AS104" s="194">
        <v>2687</v>
      </c>
      <c r="AT104" s="194">
        <v>767</v>
      </c>
      <c r="AU104" s="195">
        <v>6345</v>
      </c>
      <c r="AV104" s="193">
        <v>799</v>
      </c>
      <c r="AW104" s="194">
        <v>799</v>
      </c>
      <c r="AX104" s="194"/>
      <c r="AY104" s="194"/>
      <c r="AZ104" s="195">
        <v>1598</v>
      </c>
      <c r="BA104" s="193"/>
      <c r="BB104" s="194"/>
      <c r="BC104" s="194"/>
      <c r="BD104" s="194"/>
      <c r="BE104" s="195"/>
      <c r="BF104" s="193">
        <f t="shared" si="29"/>
        <v>0</v>
      </c>
      <c r="BG104" s="194">
        <f t="shared" si="23"/>
        <v>118</v>
      </c>
      <c r="BH104" s="194">
        <f t="shared" si="24"/>
        <v>0</v>
      </c>
      <c r="BI104" s="194">
        <f t="shared" si="25"/>
        <v>472</v>
      </c>
      <c r="BJ104" s="195">
        <f t="shared" si="26"/>
        <v>590</v>
      </c>
      <c r="BK104" s="193"/>
      <c r="BL104" s="194"/>
      <c r="BM104" s="194"/>
      <c r="BN104" s="194"/>
      <c r="BO104" s="195"/>
      <c r="BP104" s="193"/>
      <c r="BQ104" s="194"/>
      <c r="BR104" s="194"/>
      <c r="BS104" s="194"/>
      <c r="BT104" s="195"/>
      <c r="BU104" s="193"/>
      <c r="BV104" s="194">
        <v>118</v>
      </c>
      <c r="BW104" s="194"/>
      <c r="BX104" s="194">
        <v>472</v>
      </c>
      <c r="BY104" s="195">
        <v>590</v>
      </c>
      <c r="BZ104" s="193"/>
      <c r="CA104" s="194"/>
      <c r="CB104" s="194"/>
      <c r="CC104" s="194"/>
      <c r="CD104" s="195"/>
      <c r="CE104" s="193"/>
      <c r="CF104" s="194"/>
      <c r="CG104" s="194"/>
      <c r="CH104" s="194"/>
      <c r="CI104" s="195"/>
    </row>
    <row r="105" spans="1:87">
      <c r="A105" s="186" t="s">
        <v>93</v>
      </c>
      <c r="B105" s="187" t="s">
        <v>26</v>
      </c>
      <c r="C105" s="188">
        <f t="shared" si="27"/>
        <v>504459</v>
      </c>
      <c r="D105" s="189">
        <f t="shared" si="15"/>
        <v>427524</v>
      </c>
      <c r="E105" s="189">
        <f t="shared" si="16"/>
        <v>387228</v>
      </c>
      <c r="F105" s="189">
        <f t="shared" si="17"/>
        <v>391989</v>
      </c>
      <c r="G105" s="190">
        <f t="shared" si="18"/>
        <v>1711200</v>
      </c>
      <c r="H105" s="188">
        <f t="shared" si="28"/>
        <v>339618</v>
      </c>
      <c r="I105" s="189">
        <f t="shared" si="19"/>
        <v>270135</v>
      </c>
      <c r="J105" s="189">
        <f t="shared" si="20"/>
        <v>244467</v>
      </c>
      <c r="K105" s="189">
        <f t="shared" si="21"/>
        <v>233013</v>
      </c>
      <c r="L105" s="190">
        <f t="shared" si="22"/>
        <v>1087233</v>
      </c>
      <c r="M105" s="188">
        <v>147108</v>
      </c>
      <c r="N105" s="189">
        <v>93978</v>
      </c>
      <c r="O105" s="189">
        <v>80868</v>
      </c>
      <c r="P105" s="189">
        <v>93702</v>
      </c>
      <c r="Q105" s="190">
        <v>415656</v>
      </c>
      <c r="R105" s="188">
        <v>77832</v>
      </c>
      <c r="S105" s="189">
        <v>64860</v>
      </c>
      <c r="T105" s="189">
        <v>60789</v>
      </c>
      <c r="U105" s="189">
        <v>58029</v>
      </c>
      <c r="V105" s="190">
        <v>261510</v>
      </c>
      <c r="W105" s="188">
        <v>26013</v>
      </c>
      <c r="X105" s="189">
        <v>24426</v>
      </c>
      <c r="Y105" s="189">
        <v>41331</v>
      </c>
      <c r="Z105" s="189">
        <v>41538</v>
      </c>
      <c r="AA105" s="190">
        <v>133308</v>
      </c>
      <c r="AB105" s="188">
        <v>30429</v>
      </c>
      <c r="AC105" s="189">
        <v>36363</v>
      </c>
      <c r="AD105" s="189">
        <v>25530</v>
      </c>
      <c r="AE105" s="189">
        <v>4071</v>
      </c>
      <c r="AF105" s="190">
        <v>96393</v>
      </c>
      <c r="AG105" s="188"/>
      <c r="AH105" s="189"/>
      <c r="AI105" s="189"/>
      <c r="AJ105" s="189"/>
      <c r="AK105" s="190"/>
      <c r="AL105" s="188">
        <v>25185</v>
      </c>
      <c r="AM105" s="189">
        <v>15456</v>
      </c>
      <c r="AN105" s="189">
        <v>2208</v>
      </c>
      <c r="AO105" s="189">
        <v>2277</v>
      </c>
      <c r="AP105" s="190">
        <v>45126</v>
      </c>
      <c r="AQ105" s="188">
        <v>33051</v>
      </c>
      <c r="AR105" s="189">
        <v>35052</v>
      </c>
      <c r="AS105" s="189">
        <v>33741</v>
      </c>
      <c r="AT105" s="189">
        <v>33396</v>
      </c>
      <c r="AU105" s="190">
        <v>135240</v>
      </c>
      <c r="AV105" s="188"/>
      <c r="AW105" s="189"/>
      <c r="AX105" s="189"/>
      <c r="AY105" s="189"/>
      <c r="AZ105" s="190"/>
      <c r="BA105" s="188"/>
      <c r="BB105" s="189"/>
      <c r="BC105" s="189"/>
      <c r="BD105" s="189"/>
      <c r="BE105" s="190"/>
      <c r="BF105" s="188">
        <f t="shared" si="29"/>
        <v>164841</v>
      </c>
      <c r="BG105" s="189">
        <f t="shared" si="23"/>
        <v>157389</v>
      </c>
      <c r="BH105" s="189">
        <f t="shared" si="24"/>
        <v>142761</v>
      </c>
      <c r="BI105" s="189">
        <f t="shared" si="25"/>
        <v>158976</v>
      </c>
      <c r="BJ105" s="190">
        <f t="shared" si="26"/>
        <v>623967</v>
      </c>
      <c r="BK105" s="188">
        <v>12627</v>
      </c>
      <c r="BL105" s="189">
        <v>3174</v>
      </c>
      <c r="BM105" s="189">
        <v>5451</v>
      </c>
      <c r="BN105" s="189">
        <v>5175</v>
      </c>
      <c r="BO105" s="190">
        <v>26427</v>
      </c>
      <c r="BP105" s="188">
        <v>44298</v>
      </c>
      <c r="BQ105" s="189">
        <v>56235</v>
      </c>
      <c r="BR105" s="189">
        <v>51681</v>
      </c>
      <c r="BS105" s="189">
        <v>49266</v>
      </c>
      <c r="BT105" s="190">
        <v>201480</v>
      </c>
      <c r="BU105" s="188">
        <v>82731</v>
      </c>
      <c r="BV105" s="189">
        <v>78591</v>
      </c>
      <c r="BW105" s="189">
        <v>68724</v>
      </c>
      <c r="BX105" s="189">
        <v>91080</v>
      </c>
      <c r="BY105" s="190">
        <v>321126</v>
      </c>
      <c r="BZ105" s="188">
        <v>13386</v>
      </c>
      <c r="CA105" s="189">
        <v>13179</v>
      </c>
      <c r="CB105" s="189">
        <v>10281</v>
      </c>
      <c r="CC105" s="189">
        <v>414</v>
      </c>
      <c r="CD105" s="190">
        <v>37260</v>
      </c>
      <c r="CE105" s="188">
        <v>11799</v>
      </c>
      <c r="CF105" s="189">
        <v>6210</v>
      </c>
      <c r="CG105" s="189">
        <v>6624</v>
      </c>
      <c r="CH105" s="189">
        <v>13041</v>
      </c>
      <c r="CI105" s="190">
        <v>37674</v>
      </c>
    </row>
    <row r="106" s="163" customFormat="1" ht="14.6" spans="1:87">
      <c r="A106" s="191" t="s">
        <v>94</v>
      </c>
      <c r="B106" s="192"/>
      <c r="C106" s="193">
        <f t="shared" si="27"/>
        <v>504459</v>
      </c>
      <c r="D106" s="194">
        <f t="shared" si="15"/>
        <v>427524</v>
      </c>
      <c r="E106" s="194">
        <f t="shared" si="16"/>
        <v>387228</v>
      </c>
      <c r="F106" s="194">
        <f t="shared" si="17"/>
        <v>391989</v>
      </c>
      <c r="G106" s="195">
        <f t="shared" si="18"/>
        <v>1711200</v>
      </c>
      <c r="H106" s="193">
        <f t="shared" si="28"/>
        <v>339618</v>
      </c>
      <c r="I106" s="194">
        <f t="shared" si="19"/>
        <v>270135</v>
      </c>
      <c r="J106" s="194">
        <f t="shared" si="20"/>
        <v>244467</v>
      </c>
      <c r="K106" s="194">
        <f t="shared" si="21"/>
        <v>233013</v>
      </c>
      <c r="L106" s="195">
        <f t="shared" si="22"/>
        <v>1087233</v>
      </c>
      <c r="M106" s="193">
        <v>147108</v>
      </c>
      <c r="N106" s="194">
        <v>93978</v>
      </c>
      <c r="O106" s="194">
        <v>80868</v>
      </c>
      <c r="P106" s="194">
        <v>93702</v>
      </c>
      <c r="Q106" s="195">
        <v>415656</v>
      </c>
      <c r="R106" s="193">
        <v>77832</v>
      </c>
      <c r="S106" s="194">
        <v>64860</v>
      </c>
      <c r="T106" s="194">
        <v>60789</v>
      </c>
      <c r="U106" s="194">
        <v>58029</v>
      </c>
      <c r="V106" s="195">
        <v>261510</v>
      </c>
      <c r="W106" s="193">
        <v>26013</v>
      </c>
      <c r="X106" s="194">
        <v>24426</v>
      </c>
      <c r="Y106" s="194">
        <v>41331</v>
      </c>
      <c r="Z106" s="194">
        <v>41538</v>
      </c>
      <c r="AA106" s="195">
        <v>133308</v>
      </c>
      <c r="AB106" s="193">
        <v>30429</v>
      </c>
      <c r="AC106" s="194">
        <v>36363</v>
      </c>
      <c r="AD106" s="194">
        <v>25530</v>
      </c>
      <c r="AE106" s="194">
        <v>4071</v>
      </c>
      <c r="AF106" s="195">
        <v>96393</v>
      </c>
      <c r="AG106" s="193"/>
      <c r="AH106" s="194"/>
      <c r="AI106" s="194"/>
      <c r="AJ106" s="194"/>
      <c r="AK106" s="195"/>
      <c r="AL106" s="193">
        <v>25185</v>
      </c>
      <c r="AM106" s="194">
        <v>15456</v>
      </c>
      <c r="AN106" s="194">
        <v>2208</v>
      </c>
      <c r="AO106" s="194">
        <v>2277</v>
      </c>
      <c r="AP106" s="195">
        <v>45126</v>
      </c>
      <c r="AQ106" s="193">
        <v>33051</v>
      </c>
      <c r="AR106" s="194">
        <v>35052</v>
      </c>
      <c r="AS106" s="194">
        <v>33741</v>
      </c>
      <c r="AT106" s="194">
        <v>33396</v>
      </c>
      <c r="AU106" s="195">
        <v>135240</v>
      </c>
      <c r="AV106" s="193"/>
      <c r="AW106" s="194"/>
      <c r="AX106" s="194"/>
      <c r="AY106" s="194"/>
      <c r="AZ106" s="195"/>
      <c r="BA106" s="193"/>
      <c r="BB106" s="194"/>
      <c r="BC106" s="194"/>
      <c r="BD106" s="194"/>
      <c r="BE106" s="195"/>
      <c r="BF106" s="193">
        <f t="shared" si="29"/>
        <v>164841</v>
      </c>
      <c r="BG106" s="194">
        <f t="shared" si="23"/>
        <v>157389</v>
      </c>
      <c r="BH106" s="194">
        <f t="shared" si="24"/>
        <v>142761</v>
      </c>
      <c r="BI106" s="194">
        <f t="shared" si="25"/>
        <v>158976</v>
      </c>
      <c r="BJ106" s="195">
        <f t="shared" si="26"/>
        <v>623967</v>
      </c>
      <c r="BK106" s="193">
        <v>12627</v>
      </c>
      <c r="BL106" s="194">
        <v>3174</v>
      </c>
      <c r="BM106" s="194">
        <v>5451</v>
      </c>
      <c r="BN106" s="194">
        <v>5175</v>
      </c>
      <c r="BO106" s="195">
        <v>26427</v>
      </c>
      <c r="BP106" s="193">
        <v>44298</v>
      </c>
      <c r="BQ106" s="194">
        <v>56235</v>
      </c>
      <c r="BR106" s="194">
        <v>51681</v>
      </c>
      <c r="BS106" s="194">
        <v>49266</v>
      </c>
      <c r="BT106" s="195">
        <v>201480</v>
      </c>
      <c r="BU106" s="193">
        <v>82731</v>
      </c>
      <c r="BV106" s="194">
        <v>78591</v>
      </c>
      <c r="BW106" s="194">
        <v>68724</v>
      </c>
      <c r="BX106" s="194">
        <v>91080</v>
      </c>
      <c r="BY106" s="195">
        <v>321126</v>
      </c>
      <c r="BZ106" s="193">
        <v>13386</v>
      </c>
      <c r="CA106" s="194">
        <v>13179</v>
      </c>
      <c r="CB106" s="194">
        <v>10281</v>
      </c>
      <c r="CC106" s="194">
        <v>414</v>
      </c>
      <c r="CD106" s="195">
        <v>37260</v>
      </c>
      <c r="CE106" s="193">
        <v>11799</v>
      </c>
      <c r="CF106" s="194">
        <v>6210</v>
      </c>
      <c r="CG106" s="194">
        <v>6624</v>
      </c>
      <c r="CH106" s="194">
        <v>13041</v>
      </c>
      <c r="CI106" s="195">
        <v>37674</v>
      </c>
    </row>
    <row r="107" spans="1:87">
      <c r="A107" s="186" t="s">
        <v>95</v>
      </c>
      <c r="B107" s="187" t="s">
        <v>26</v>
      </c>
      <c r="C107" s="188">
        <f t="shared" si="27"/>
        <v>370875</v>
      </c>
      <c r="D107" s="189">
        <f t="shared" si="15"/>
        <v>367218</v>
      </c>
      <c r="E107" s="189">
        <f t="shared" si="16"/>
        <v>384951</v>
      </c>
      <c r="F107" s="189">
        <f t="shared" si="17"/>
        <v>382743</v>
      </c>
      <c r="G107" s="190">
        <f t="shared" si="18"/>
        <v>1505787</v>
      </c>
      <c r="H107" s="188">
        <f t="shared" si="28"/>
        <v>255714</v>
      </c>
      <c r="I107" s="189">
        <f t="shared" si="19"/>
        <v>237153</v>
      </c>
      <c r="J107" s="189">
        <f t="shared" si="20"/>
        <v>262407</v>
      </c>
      <c r="K107" s="189">
        <f t="shared" si="21"/>
        <v>231426</v>
      </c>
      <c r="L107" s="190">
        <f t="shared" si="22"/>
        <v>986700</v>
      </c>
      <c r="M107" s="188">
        <v>49956</v>
      </c>
      <c r="N107" s="189">
        <v>39951</v>
      </c>
      <c r="O107" s="189">
        <v>37329</v>
      </c>
      <c r="P107" s="189">
        <v>23046</v>
      </c>
      <c r="Q107" s="190">
        <v>150282</v>
      </c>
      <c r="R107" s="188">
        <v>11868</v>
      </c>
      <c r="S107" s="189">
        <v>11178</v>
      </c>
      <c r="T107" s="189">
        <v>8901</v>
      </c>
      <c r="U107" s="189">
        <v>11247</v>
      </c>
      <c r="V107" s="190">
        <v>43194</v>
      </c>
      <c r="W107" s="188">
        <v>19665</v>
      </c>
      <c r="X107" s="189">
        <v>19872</v>
      </c>
      <c r="Y107" s="189">
        <v>20079</v>
      </c>
      <c r="Z107" s="189">
        <v>24357</v>
      </c>
      <c r="AA107" s="190">
        <v>83973</v>
      </c>
      <c r="AB107" s="188">
        <v>207</v>
      </c>
      <c r="AC107" s="189">
        <v>16698</v>
      </c>
      <c r="AD107" s="189">
        <v>76728</v>
      </c>
      <c r="AE107" s="189">
        <v>56718</v>
      </c>
      <c r="AF107" s="190">
        <v>150351</v>
      </c>
      <c r="AG107" s="188">
        <v>75141</v>
      </c>
      <c r="AH107" s="189">
        <v>62307</v>
      </c>
      <c r="AI107" s="189">
        <v>57546</v>
      </c>
      <c r="AJ107" s="189">
        <v>57753</v>
      </c>
      <c r="AK107" s="190">
        <v>252747</v>
      </c>
      <c r="AL107" s="188">
        <v>12351</v>
      </c>
      <c r="AM107" s="189">
        <v>10005</v>
      </c>
      <c r="AN107" s="189">
        <v>7728</v>
      </c>
      <c r="AO107" s="189">
        <v>16767</v>
      </c>
      <c r="AP107" s="190">
        <v>46851</v>
      </c>
      <c r="AQ107" s="188">
        <v>21804</v>
      </c>
      <c r="AR107" s="189">
        <v>41952</v>
      </c>
      <c r="AS107" s="189">
        <v>38157</v>
      </c>
      <c r="AT107" s="189">
        <v>29946</v>
      </c>
      <c r="AU107" s="190">
        <v>131859</v>
      </c>
      <c r="AV107" s="188">
        <v>8280</v>
      </c>
      <c r="AW107" s="189">
        <v>4347</v>
      </c>
      <c r="AX107" s="189">
        <v>3726</v>
      </c>
      <c r="AY107" s="189">
        <v>11454</v>
      </c>
      <c r="AZ107" s="190">
        <v>27807</v>
      </c>
      <c r="BA107" s="188">
        <v>56442</v>
      </c>
      <c r="BB107" s="189">
        <v>30843</v>
      </c>
      <c r="BC107" s="189">
        <v>12213</v>
      </c>
      <c r="BD107" s="189">
        <v>138</v>
      </c>
      <c r="BE107" s="190">
        <v>99636</v>
      </c>
      <c r="BF107" s="188">
        <f t="shared" si="29"/>
        <v>115161</v>
      </c>
      <c r="BG107" s="189">
        <f t="shared" si="23"/>
        <v>130065</v>
      </c>
      <c r="BH107" s="189">
        <f t="shared" si="24"/>
        <v>122544</v>
      </c>
      <c r="BI107" s="189">
        <f t="shared" si="25"/>
        <v>151317</v>
      </c>
      <c r="BJ107" s="190">
        <f t="shared" si="26"/>
        <v>519087</v>
      </c>
      <c r="BK107" s="188">
        <v>5865</v>
      </c>
      <c r="BL107" s="189">
        <v>3864</v>
      </c>
      <c r="BM107" s="189">
        <v>4830</v>
      </c>
      <c r="BN107" s="189">
        <v>7314</v>
      </c>
      <c r="BO107" s="190">
        <v>21873</v>
      </c>
      <c r="BP107" s="188">
        <v>33603</v>
      </c>
      <c r="BQ107" s="189">
        <v>48852</v>
      </c>
      <c r="BR107" s="189">
        <v>48783</v>
      </c>
      <c r="BS107" s="189">
        <v>58995</v>
      </c>
      <c r="BT107" s="190">
        <v>190233</v>
      </c>
      <c r="BU107" s="188">
        <v>70863</v>
      </c>
      <c r="BV107" s="189">
        <v>69552</v>
      </c>
      <c r="BW107" s="189">
        <v>48645</v>
      </c>
      <c r="BX107" s="189">
        <v>52854</v>
      </c>
      <c r="BY107" s="190">
        <v>241914</v>
      </c>
      <c r="BZ107" s="188"/>
      <c r="CA107" s="189">
        <v>7797</v>
      </c>
      <c r="CB107" s="189">
        <v>17802</v>
      </c>
      <c r="CC107" s="189">
        <v>32154</v>
      </c>
      <c r="CD107" s="190">
        <v>57753</v>
      </c>
      <c r="CE107" s="188">
        <v>4830</v>
      </c>
      <c r="CF107" s="189"/>
      <c r="CG107" s="189">
        <v>2484</v>
      </c>
      <c r="CH107" s="189"/>
      <c r="CI107" s="190">
        <v>7314</v>
      </c>
    </row>
    <row r="108" s="163" customFormat="1" ht="14.6" spans="1:87">
      <c r="A108" s="191" t="s">
        <v>96</v>
      </c>
      <c r="B108" s="192"/>
      <c r="C108" s="193">
        <f t="shared" si="27"/>
        <v>370875</v>
      </c>
      <c r="D108" s="194">
        <f t="shared" si="15"/>
        <v>367218</v>
      </c>
      <c r="E108" s="194">
        <f t="shared" si="16"/>
        <v>384951</v>
      </c>
      <c r="F108" s="194">
        <f t="shared" si="17"/>
        <v>382743</v>
      </c>
      <c r="G108" s="195">
        <f t="shared" si="18"/>
        <v>1505787</v>
      </c>
      <c r="H108" s="193">
        <f t="shared" si="28"/>
        <v>255714</v>
      </c>
      <c r="I108" s="194">
        <f t="shared" si="19"/>
        <v>237153</v>
      </c>
      <c r="J108" s="194">
        <f t="shared" si="20"/>
        <v>262407</v>
      </c>
      <c r="K108" s="194">
        <f t="shared" si="21"/>
        <v>231426</v>
      </c>
      <c r="L108" s="195">
        <f t="shared" si="22"/>
        <v>986700</v>
      </c>
      <c r="M108" s="193">
        <v>49956</v>
      </c>
      <c r="N108" s="194">
        <v>39951</v>
      </c>
      <c r="O108" s="194">
        <v>37329</v>
      </c>
      <c r="P108" s="194">
        <v>23046</v>
      </c>
      <c r="Q108" s="195">
        <v>150282</v>
      </c>
      <c r="R108" s="193">
        <v>11868</v>
      </c>
      <c r="S108" s="194">
        <v>11178</v>
      </c>
      <c r="T108" s="194">
        <v>8901</v>
      </c>
      <c r="U108" s="194">
        <v>11247</v>
      </c>
      <c r="V108" s="195">
        <v>43194</v>
      </c>
      <c r="W108" s="193">
        <v>19665</v>
      </c>
      <c r="X108" s="194">
        <v>19872</v>
      </c>
      <c r="Y108" s="194">
        <v>20079</v>
      </c>
      <c r="Z108" s="194">
        <v>24357</v>
      </c>
      <c r="AA108" s="195">
        <v>83973</v>
      </c>
      <c r="AB108" s="193">
        <v>207</v>
      </c>
      <c r="AC108" s="194">
        <v>16698</v>
      </c>
      <c r="AD108" s="194">
        <v>76728</v>
      </c>
      <c r="AE108" s="194">
        <v>56718</v>
      </c>
      <c r="AF108" s="195">
        <v>150351</v>
      </c>
      <c r="AG108" s="193">
        <v>75141</v>
      </c>
      <c r="AH108" s="194">
        <v>62307</v>
      </c>
      <c r="AI108" s="194">
        <v>57546</v>
      </c>
      <c r="AJ108" s="194">
        <v>57753</v>
      </c>
      <c r="AK108" s="195">
        <v>252747</v>
      </c>
      <c r="AL108" s="193">
        <v>12351</v>
      </c>
      <c r="AM108" s="194">
        <v>10005</v>
      </c>
      <c r="AN108" s="194">
        <v>7728</v>
      </c>
      <c r="AO108" s="194">
        <v>16767</v>
      </c>
      <c r="AP108" s="195">
        <v>46851</v>
      </c>
      <c r="AQ108" s="193">
        <v>21804</v>
      </c>
      <c r="AR108" s="194">
        <v>41952</v>
      </c>
      <c r="AS108" s="194">
        <v>38157</v>
      </c>
      <c r="AT108" s="194">
        <v>29946</v>
      </c>
      <c r="AU108" s="195">
        <v>131859</v>
      </c>
      <c r="AV108" s="193">
        <v>8280</v>
      </c>
      <c r="AW108" s="194">
        <v>4347</v>
      </c>
      <c r="AX108" s="194">
        <v>3726</v>
      </c>
      <c r="AY108" s="194">
        <v>11454</v>
      </c>
      <c r="AZ108" s="195">
        <v>27807</v>
      </c>
      <c r="BA108" s="193">
        <v>56442</v>
      </c>
      <c r="BB108" s="194">
        <v>30843</v>
      </c>
      <c r="BC108" s="194">
        <v>12213</v>
      </c>
      <c r="BD108" s="194">
        <v>138</v>
      </c>
      <c r="BE108" s="195">
        <v>99636</v>
      </c>
      <c r="BF108" s="193">
        <f t="shared" si="29"/>
        <v>115161</v>
      </c>
      <c r="BG108" s="194">
        <f t="shared" si="23"/>
        <v>130065</v>
      </c>
      <c r="BH108" s="194">
        <f t="shared" si="24"/>
        <v>122544</v>
      </c>
      <c r="BI108" s="194">
        <f t="shared" si="25"/>
        <v>151317</v>
      </c>
      <c r="BJ108" s="195">
        <f t="shared" si="26"/>
        <v>519087</v>
      </c>
      <c r="BK108" s="193">
        <v>5865</v>
      </c>
      <c r="BL108" s="194">
        <v>3864</v>
      </c>
      <c r="BM108" s="194">
        <v>4830</v>
      </c>
      <c r="BN108" s="194">
        <v>7314</v>
      </c>
      <c r="BO108" s="195">
        <v>21873</v>
      </c>
      <c r="BP108" s="193">
        <v>33603</v>
      </c>
      <c r="BQ108" s="194">
        <v>48852</v>
      </c>
      <c r="BR108" s="194">
        <v>48783</v>
      </c>
      <c r="BS108" s="194">
        <v>58995</v>
      </c>
      <c r="BT108" s="195">
        <v>190233</v>
      </c>
      <c r="BU108" s="193">
        <v>70863</v>
      </c>
      <c r="BV108" s="194">
        <v>69552</v>
      </c>
      <c r="BW108" s="194">
        <v>48645</v>
      </c>
      <c r="BX108" s="194">
        <v>52854</v>
      </c>
      <c r="BY108" s="195">
        <v>241914</v>
      </c>
      <c r="BZ108" s="193"/>
      <c r="CA108" s="194">
        <v>7797</v>
      </c>
      <c r="CB108" s="194">
        <v>17802</v>
      </c>
      <c r="CC108" s="194">
        <v>32154</v>
      </c>
      <c r="CD108" s="195">
        <v>57753</v>
      </c>
      <c r="CE108" s="193">
        <v>4830</v>
      </c>
      <c r="CF108" s="194"/>
      <c r="CG108" s="194">
        <v>2484</v>
      </c>
      <c r="CH108" s="194"/>
      <c r="CI108" s="195">
        <v>7314</v>
      </c>
    </row>
    <row r="109" spans="1:87">
      <c r="A109" s="186" t="s">
        <v>97</v>
      </c>
      <c r="B109" s="187" t="s">
        <v>26</v>
      </c>
      <c r="C109" s="188">
        <f t="shared" si="27"/>
        <v>498663</v>
      </c>
      <c r="D109" s="189">
        <f t="shared" si="15"/>
        <v>390885</v>
      </c>
      <c r="E109" s="189">
        <f t="shared" si="16"/>
        <v>293250</v>
      </c>
      <c r="F109" s="189">
        <f t="shared" si="17"/>
        <v>260130</v>
      </c>
      <c r="G109" s="190">
        <f t="shared" si="18"/>
        <v>1442928</v>
      </c>
      <c r="H109" s="188">
        <f t="shared" si="28"/>
        <v>498663</v>
      </c>
      <c r="I109" s="189">
        <f t="shared" si="19"/>
        <v>390885</v>
      </c>
      <c r="J109" s="189">
        <f t="shared" si="20"/>
        <v>293250</v>
      </c>
      <c r="K109" s="189">
        <f t="shared" si="21"/>
        <v>260130</v>
      </c>
      <c r="L109" s="190">
        <f t="shared" si="22"/>
        <v>1442928</v>
      </c>
      <c r="M109" s="188">
        <v>191889</v>
      </c>
      <c r="N109" s="189">
        <v>112056</v>
      </c>
      <c r="O109" s="189">
        <v>90183</v>
      </c>
      <c r="P109" s="189">
        <v>81696</v>
      </c>
      <c r="Q109" s="190">
        <v>475824</v>
      </c>
      <c r="R109" s="188"/>
      <c r="S109" s="189"/>
      <c r="T109" s="189"/>
      <c r="U109" s="189"/>
      <c r="V109" s="190"/>
      <c r="W109" s="188"/>
      <c r="X109" s="189"/>
      <c r="Y109" s="189"/>
      <c r="Z109" s="189"/>
      <c r="AA109" s="190"/>
      <c r="AB109" s="188">
        <v>165669</v>
      </c>
      <c r="AC109" s="189">
        <v>187404</v>
      </c>
      <c r="AD109" s="189">
        <v>76107</v>
      </c>
      <c r="AE109" s="189">
        <v>134688</v>
      </c>
      <c r="AF109" s="190">
        <v>563868</v>
      </c>
      <c r="AG109" s="188">
        <v>141105</v>
      </c>
      <c r="AH109" s="189">
        <v>91425</v>
      </c>
      <c r="AI109" s="189">
        <v>126960</v>
      </c>
      <c r="AJ109" s="189">
        <v>43746</v>
      </c>
      <c r="AK109" s="190">
        <v>403236</v>
      </c>
      <c r="AL109" s="188"/>
      <c r="AM109" s="189"/>
      <c r="AN109" s="189"/>
      <c r="AO109" s="189"/>
      <c r="AP109" s="190"/>
      <c r="AQ109" s="188"/>
      <c r="AR109" s="189"/>
      <c r="AS109" s="189"/>
      <c r="AT109" s="189"/>
      <c r="AU109" s="190"/>
      <c r="AV109" s="188"/>
      <c r="AW109" s="189"/>
      <c r="AX109" s="189"/>
      <c r="AY109" s="189"/>
      <c r="AZ109" s="190"/>
      <c r="BA109" s="188"/>
      <c r="BB109" s="189"/>
      <c r="BC109" s="189"/>
      <c r="BD109" s="189"/>
      <c r="BE109" s="190"/>
      <c r="BF109" s="188">
        <f t="shared" si="29"/>
        <v>0</v>
      </c>
      <c r="BG109" s="189">
        <f t="shared" si="23"/>
        <v>0</v>
      </c>
      <c r="BH109" s="189">
        <f t="shared" si="24"/>
        <v>0</v>
      </c>
      <c r="BI109" s="189">
        <f t="shared" si="25"/>
        <v>0</v>
      </c>
      <c r="BJ109" s="190">
        <f t="shared" si="26"/>
        <v>0</v>
      </c>
      <c r="BK109" s="188"/>
      <c r="BL109" s="189"/>
      <c r="BM109" s="189"/>
      <c r="BN109" s="189"/>
      <c r="BO109" s="190"/>
      <c r="BP109" s="188"/>
      <c r="BQ109" s="189"/>
      <c r="BR109" s="189"/>
      <c r="BS109" s="189"/>
      <c r="BT109" s="190"/>
      <c r="BU109" s="188"/>
      <c r="BV109" s="189"/>
      <c r="BW109" s="189"/>
      <c r="BX109" s="189"/>
      <c r="BY109" s="190"/>
      <c r="BZ109" s="188"/>
      <c r="CA109" s="189"/>
      <c r="CB109" s="189"/>
      <c r="CC109" s="189"/>
      <c r="CD109" s="190"/>
      <c r="CE109" s="188"/>
      <c r="CF109" s="189"/>
      <c r="CG109" s="189"/>
      <c r="CH109" s="189"/>
      <c r="CI109" s="190"/>
    </row>
    <row r="110" s="163" customFormat="1" ht="14.6" spans="1:87">
      <c r="A110" s="191" t="s">
        <v>98</v>
      </c>
      <c r="B110" s="192"/>
      <c r="C110" s="193">
        <f t="shared" si="27"/>
        <v>498663</v>
      </c>
      <c r="D110" s="194">
        <f t="shared" si="15"/>
        <v>390885</v>
      </c>
      <c r="E110" s="194">
        <f t="shared" si="16"/>
        <v>293250</v>
      </c>
      <c r="F110" s="194">
        <f t="shared" si="17"/>
        <v>260130</v>
      </c>
      <c r="G110" s="195">
        <f t="shared" si="18"/>
        <v>1442928</v>
      </c>
      <c r="H110" s="193">
        <f t="shared" si="28"/>
        <v>498663</v>
      </c>
      <c r="I110" s="194">
        <f t="shared" si="19"/>
        <v>390885</v>
      </c>
      <c r="J110" s="194">
        <f t="shared" si="20"/>
        <v>293250</v>
      </c>
      <c r="K110" s="194">
        <f t="shared" si="21"/>
        <v>260130</v>
      </c>
      <c r="L110" s="195">
        <f t="shared" si="22"/>
        <v>1442928</v>
      </c>
      <c r="M110" s="193">
        <v>191889</v>
      </c>
      <c r="N110" s="194">
        <v>112056</v>
      </c>
      <c r="O110" s="194">
        <v>90183</v>
      </c>
      <c r="P110" s="194">
        <v>81696</v>
      </c>
      <c r="Q110" s="195">
        <v>475824</v>
      </c>
      <c r="R110" s="193"/>
      <c r="S110" s="194"/>
      <c r="T110" s="194"/>
      <c r="U110" s="194"/>
      <c r="V110" s="195"/>
      <c r="W110" s="193"/>
      <c r="X110" s="194"/>
      <c r="Y110" s="194"/>
      <c r="Z110" s="194"/>
      <c r="AA110" s="195"/>
      <c r="AB110" s="193">
        <v>165669</v>
      </c>
      <c r="AC110" s="194">
        <v>187404</v>
      </c>
      <c r="AD110" s="194">
        <v>76107</v>
      </c>
      <c r="AE110" s="194">
        <v>134688</v>
      </c>
      <c r="AF110" s="195">
        <v>563868</v>
      </c>
      <c r="AG110" s="193">
        <v>141105</v>
      </c>
      <c r="AH110" s="194">
        <v>91425</v>
      </c>
      <c r="AI110" s="194">
        <v>126960</v>
      </c>
      <c r="AJ110" s="194">
        <v>43746</v>
      </c>
      <c r="AK110" s="195">
        <v>403236</v>
      </c>
      <c r="AL110" s="193"/>
      <c r="AM110" s="194"/>
      <c r="AN110" s="194"/>
      <c r="AO110" s="194"/>
      <c r="AP110" s="195"/>
      <c r="AQ110" s="193"/>
      <c r="AR110" s="194"/>
      <c r="AS110" s="194"/>
      <c r="AT110" s="194"/>
      <c r="AU110" s="195"/>
      <c r="AV110" s="193"/>
      <c r="AW110" s="194"/>
      <c r="AX110" s="194"/>
      <c r="AY110" s="194"/>
      <c r="AZ110" s="195"/>
      <c r="BA110" s="193"/>
      <c r="BB110" s="194"/>
      <c r="BC110" s="194"/>
      <c r="BD110" s="194"/>
      <c r="BE110" s="195"/>
      <c r="BF110" s="193">
        <f t="shared" si="29"/>
        <v>0</v>
      </c>
      <c r="BG110" s="194">
        <f t="shared" si="23"/>
        <v>0</v>
      </c>
      <c r="BH110" s="194">
        <f t="shared" si="24"/>
        <v>0</v>
      </c>
      <c r="BI110" s="194">
        <f t="shared" si="25"/>
        <v>0</v>
      </c>
      <c r="BJ110" s="195">
        <f t="shared" si="26"/>
        <v>0</v>
      </c>
      <c r="BK110" s="193"/>
      <c r="BL110" s="194"/>
      <c r="BM110" s="194"/>
      <c r="BN110" s="194"/>
      <c r="BO110" s="195"/>
      <c r="BP110" s="193"/>
      <c r="BQ110" s="194"/>
      <c r="BR110" s="194"/>
      <c r="BS110" s="194"/>
      <c r="BT110" s="195"/>
      <c r="BU110" s="193"/>
      <c r="BV110" s="194"/>
      <c r="BW110" s="194"/>
      <c r="BX110" s="194"/>
      <c r="BY110" s="195"/>
      <c r="BZ110" s="193"/>
      <c r="CA110" s="194"/>
      <c r="CB110" s="194"/>
      <c r="CC110" s="194"/>
      <c r="CD110" s="195"/>
      <c r="CE110" s="193"/>
      <c r="CF110" s="194"/>
      <c r="CG110" s="194"/>
      <c r="CH110" s="194"/>
      <c r="CI110" s="195"/>
    </row>
    <row r="111" spans="1:87">
      <c r="A111" s="186" t="s">
        <v>99</v>
      </c>
      <c r="B111" s="187" t="s">
        <v>26</v>
      </c>
      <c r="C111" s="188">
        <f t="shared" si="27"/>
        <v>354246</v>
      </c>
      <c r="D111" s="189">
        <f t="shared" si="15"/>
        <v>600300</v>
      </c>
      <c r="E111" s="189">
        <f t="shared" si="16"/>
        <v>295872</v>
      </c>
      <c r="F111" s="189">
        <f t="shared" si="17"/>
        <v>180504</v>
      </c>
      <c r="G111" s="190">
        <f t="shared" si="18"/>
        <v>1430922</v>
      </c>
      <c r="H111" s="188">
        <f t="shared" si="28"/>
        <v>341481</v>
      </c>
      <c r="I111" s="189">
        <f t="shared" si="19"/>
        <v>577047</v>
      </c>
      <c r="J111" s="189">
        <f t="shared" si="20"/>
        <v>274758</v>
      </c>
      <c r="K111" s="189">
        <f t="shared" si="21"/>
        <v>162012</v>
      </c>
      <c r="L111" s="190">
        <f t="shared" si="22"/>
        <v>1355298</v>
      </c>
      <c r="M111" s="188">
        <v>4140</v>
      </c>
      <c r="N111" s="189">
        <v>40503</v>
      </c>
      <c r="O111" s="189">
        <v>27393</v>
      </c>
      <c r="P111" s="189">
        <v>26841</v>
      </c>
      <c r="Q111" s="190">
        <v>98877</v>
      </c>
      <c r="R111" s="188">
        <v>150282</v>
      </c>
      <c r="S111" s="189">
        <v>200652</v>
      </c>
      <c r="T111" s="189">
        <v>55338</v>
      </c>
      <c r="U111" s="189"/>
      <c r="V111" s="190">
        <v>406272</v>
      </c>
      <c r="W111" s="188"/>
      <c r="X111" s="189">
        <v>17526</v>
      </c>
      <c r="Y111" s="189">
        <v>19941</v>
      </c>
      <c r="Z111" s="189">
        <v>26289</v>
      </c>
      <c r="AA111" s="190">
        <v>63756</v>
      </c>
      <c r="AB111" s="188">
        <v>90321</v>
      </c>
      <c r="AC111" s="189">
        <v>149385</v>
      </c>
      <c r="AD111" s="189">
        <v>60651</v>
      </c>
      <c r="AE111" s="189">
        <v>27945</v>
      </c>
      <c r="AF111" s="190">
        <v>328302</v>
      </c>
      <c r="AG111" s="188">
        <v>65895</v>
      </c>
      <c r="AH111" s="189">
        <v>139587</v>
      </c>
      <c r="AI111" s="189">
        <v>93633</v>
      </c>
      <c r="AJ111" s="189">
        <v>67965</v>
      </c>
      <c r="AK111" s="190">
        <v>367080</v>
      </c>
      <c r="AL111" s="188"/>
      <c r="AM111" s="189"/>
      <c r="AN111" s="189"/>
      <c r="AO111" s="189"/>
      <c r="AP111" s="190"/>
      <c r="AQ111" s="188">
        <v>30843</v>
      </c>
      <c r="AR111" s="189">
        <v>29394</v>
      </c>
      <c r="AS111" s="189">
        <v>17802</v>
      </c>
      <c r="AT111" s="189">
        <v>12972</v>
      </c>
      <c r="AU111" s="190">
        <v>91011</v>
      </c>
      <c r="AV111" s="188"/>
      <c r="AW111" s="189"/>
      <c r="AX111" s="189"/>
      <c r="AY111" s="189"/>
      <c r="AZ111" s="190"/>
      <c r="BA111" s="188"/>
      <c r="BB111" s="189"/>
      <c r="BC111" s="189"/>
      <c r="BD111" s="189"/>
      <c r="BE111" s="190"/>
      <c r="BF111" s="188">
        <f t="shared" si="29"/>
        <v>12765</v>
      </c>
      <c r="BG111" s="189">
        <f t="shared" si="23"/>
        <v>23253</v>
      </c>
      <c r="BH111" s="189">
        <f t="shared" si="24"/>
        <v>21114</v>
      </c>
      <c r="BI111" s="189">
        <f t="shared" si="25"/>
        <v>18492</v>
      </c>
      <c r="BJ111" s="190">
        <f t="shared" si="26"/>
        <v>75624</v>
      </c>
      <c r="BK111" s="188"/>
      <c r="BL111" s="189"/>
      <c r="BM111" s="189">
        <v>1104</v>
      </c>
      <c r="BN111" s="189">
        <v>3174</v>
      </c>
      <c r="BO111" s="190">
        <v>4278</v>
      </c>
      <c r="BP111" s="188"/>
      <c r="BQ111" s="189">
        <v>9729</v>
      </c>
      <c r="BR111" s="189">
        <v>10005</v>
      </c>
      <c r="BS111" s="189">
        <v>4209</v>
      </c>
      <c r="BT111" s="190">
        <v>23943</v>
      </c>
      <c r="BU111" s="188">
        <v>12765</v>
      </c>
      <c r="BV111" s="189">
        <v>13524</v>
      </c>
      <c r="BW111" s="189">
        <v>10005</v>
      </c>
      <c r="BX111" s="189">
        <v>10143</v>
      </c>
      <c r="BY111" s="190">
        <v>46437</v>
      </c>
      <c r="BZ111" s="188"/>
      <c r="CA111" s="189"/>
      <c r="CB111" s="189"/>
      <c r="CC111" s="189">
        <v>966</v>
      </c>
      <c r="CD111" s="190">
        <v>966</v>
      </c>
      <c r="CE111" s="188"/>
      <c r="CF111" s="189"/>
      <c r="CG111" s="189"/>
      <c r="CH111" s="189"/>
      <c r="CI111" s="190"/>
    </row>
    <row r="112" s="163" customFormat="1" ht="14.6" spans="1:87">
      <c r="A112" s="191" t="s">
        <v>100</v>
      </c>
      <c r="B112" s="192"/>
      <c r="C112" s="193">
        <f t="shared" si="27"/>
        <v>354246</v>
      </c>
      <c r="D112" s="194">
        <f t="shared" si="15"/>
        <v>600300</v>
      </c>
      <c r="E112" s="194">
        <f t="shared" si="16"/>
        <v>295872</v>
      </c>
      <c r="F112" s="194">
        <f t="shared" si="17"/>
        <v>180504</v>
      </c>
      <c r="G112" s="195">
        <f t="shared" si="18"/>
        <v>1430922</v>
      </c>
      <c r="H112" s="193">
        <f t="shared" si="28"/>
        <v>341481</v>
      </c>
      <c r="I112" s="194">
        <f t="shared" si="19"/>
        <v>577047</v>
      </c>
      <c r="J112" s="194">
        <f t="shared" si="20"/>
        <v>274758</v>
      </c>
      <c r="K112" s="194">
        <f t="shared" si="21"/>
        <v>162012</v>
      </c>
      <c r="L112" s="195">
        <f t="shared" si="22"/>
        <v>1355298</v>
      </c>
      <c r="M112" s="193">
        <v>4140</v>
      </c>
      <c r="N112" s="194">
        <v>40503</v>
      </c>
      <c r="O112" s="194">
        <v>27393</v>
      </c>
      <c r="P112" s="194">
        <v>26841</v>
      </c>
      <c r="Q112" s="195">
        <v>98877</v>
      </c>
      <c r="R112" s="193">
        <v>150282</v>
      </c>
      <c r="S112" s="194">
        <v>200652</v>
      </c>
      <c r="T112" s="194">
        <v>55338</v>
      </c>
      <c r="U112" s="194"/>
      <c r="V112" s="195">
        <v>406272</v>
      </c>
      <c r="W112" s="193"/>
      <c r="X112" s="194">
        <v>17526</v>
      </c>
      <c r="Y112" s="194">
        <v>19941</v>
      </c>
      <c r="Z112" s="194">
        <v>26289</v>
      </c>
      <c r="AA112" s="195">
        <v>63756</v>
      </c>
      <c r="AB112" s="193">
        <v>90321</v>
      </c>
      <c r="AC112" s="194">
        <v>149385</v>
      </c>
      <c r="AD112" s="194">
        <v>60651</v>
      </c>
      <c r="AE112" s="194">
        <v>27945</v>
      </c>
      <c r="AF112" s="195">
        <v>328302</v>
      </c>
      <c r="AG112" s="193">
        <v>65895</v>
      </c>
      <c r="AH112" s="194">
        <v>139587</v>
      </c>
      <c r="AI112" s="194">
        <v>93633</v>
      </c>
      <c r="AJ112" s="194">
        <v>67965</v>
      </c>
      <c r="AK112" s="195">
        <v>367080</v>
      </c>
      <c r="AL112" s="193"/>
      <c r="AM112" s="194"/>
      <c r="AN112" s="194"/>
      <c r="AO112" s="194"/>
      <c r="AP112" s="195"/>
      <c r="AQ112" s="193">
        <v>30843</v>
      </c>
      <c r="AR112" s="194">
        <v>29394</v>
      </c>
      <c r="AS112" s="194">
        <v>17802</v>
      </c>
      <c r="AT112" s="194">
        <v>12972</v>
      </c>
      <c r="AU112" s="195">
        <v>91011</v>
      </c>
      <c r="AV112" s="193"/>
      <c r="AW112" s="194"/>
      <c r="AX112" s="194"/>
      <c r="AY112" s="194"/>
      <c r="AZ112" s="195"/>
      <c r="BA112" s="193"/>
      <c r="BB112" s="194"/>
      <c r="BC112" s="194"/>
      <c r="BD112" s="194"/>
      <c r="BE112" s="195"/>
      <c r="BF112" s="193">
        <f t="shared" si="29"/>
        <v>12765</v>
      </c>
      <c r="BG112" s="194">
        <f t="shared" si="23"/>
        <v>23253</v>
      </c>
      <c r="BH112" s="194">
        <f t="shared" si="24"/>
        <v>21114</v>
      </c>
      <c r="BI112" s="194">
        <f t="shared" si="25"/>
        <v>18492</v>
      </c>
      <c r="BJ112" s="195">
        <f t="shared" si="26"/>
        <v>75624</v>
      </c>
      <c r="BK112" s="193"/>
      <c r="BL112" s="194"/>
      <c r="BM112" s="194">
        <v>1104</v>
      </c>
      <c r="BN112" s="194">
        <v>3174</v>
      </c>
      <c r="BO112" s="195">
        <v>4278</v>
      </c>
      <c r="BP112" s="193"/>
      <c r="BQ112" s="194">
        <v>9729</v>
      </c>
      <c r="BR112" s="194">
        <v>10005</v>
      </c>
      <c r="BS112" s="194">
        <v>4209</v>
      </c>
      <c r="BT112" s="195">
        <v>23943</v>
      </c>
      <c r="BU112" s="193">
        <v>12765</v>
      </c>
      <c r="BV112" s="194">
        <v>13524</v>
      </c>
      <c r="BW112" s="194">
        <v>10005</v>
      </c>
      <c r="BX112" s="194">
        <v>10143</v>
      </c>
      <c r="BY112" s="195">
        <v>46437</v>
      </c>
      <c r="BZ112" s="193"/>
      <c r="CA112" s="194"/>
      <c r="CB112" s="194"/>
      <c r="CC112" s="194">
        <v>966</v>
      </c>
      <c r="CD112" s="195">
        <v>966</v>
      </c>
      <c r="CE112" s="193"/>
      <c r="CF112" s="194"/>
      <c r="CG112" s="194"/>
      <c r="CH112" s="194"/>
      <c r="CI112" s="195"/>
    </row>
    <row r="113" spans="1:87">
      <c r="A113" s="186" t="s">
        <v>101</v>
      </c>
      <c r="B113" s="187" t="s">
        <v>26</v>
      </c>
      <c r="C113" s="188">
        <f t="shared" si="27"/>
        <v>205588</v>
      </c>
      <c r="D113" s="189">
        <f t="shared" si="15"/>
        <v>317569</v>
      </c>
      <c r="E113" s="189">
        <f t="shared" si="16"/>
        <v>240060</v>
      </c>
      <c r="F113" s="189">
        <f t="shared" si="17"/>
        <v>576560</v>
      </c>
      <c r="G113" s="190">
        <f t="shared" si="18"/>
        <v>1339777</v>
      </c>
      <c r="H113" s="188">
        <f t="shared" si="28"/>
        <v>201884</v>
      </c>
      <c r="I113" s="189">
        <f t="shared" si="19"/>
        <v>317272</v>
      </c>
      <c r="J113" s="189">
        <f t="shared" si="20"/>
        <v>229032</v>
      </c>
      <c r="K113" s="189">
        <f t="shared" si="21"/>
        <v>573529</v>
      </c>
      <c r="L113" s="190">
        <f t="shared" si="22"/>
        <v>1321717</v>
      </c>
      <c r="M113" s="188">
        <v>207</v>
      </c>
      <c r="N113" s="189">
        <v>42342</v>
      </c>
      <c r="O113" s="189"/>
      <c r="P113" s="189"/>
      <c r="Q113" s="190">
        <v>42549</v>
      </c>
      <c r="R113" s="188">
        <v>43237</v>
      </c>
      <c r="S113" s="189">
        <v>48172</v>
      </c>
      <c r="T113" s="189">
        <v>49324</v>
      </c>
      <c r="U113" s="189">
        <v>58545</v>
      </c>
      <c r="V113" s="190">
        <v>199278</v>
      </c>
      <c r="W113" s="188">
        <v>19199</v>
      </c>
      <c r="X113" s="189">
        <v>26435</v>
      </c>
      <c r="Y113" s="189">
        <v>47751</v>
      </c>
      <c r="Z113" s="189">
        <v>38649</v>
      </c>
      <c r="AA113" s="190">
        <v>132034</v>
      </c>
      <c r="AB113" s="188">
        <v>42538</v>
      </c>
      <c r="AC113" s="189">
        <v>43220</v>
      </c>
      <c r="AD113" s="189">
        <v>35731</v>
      </c>
      <c r="AE113" s="189">
        <v>29388</v>
      </c>
      <c r="AF113" s="190">
        <v>150877</v>
      </c>
      <c r="AG113" s="188">
        <v>75755</v>
      </c>
      <c r="AH113" s="189">
        <v>134768</v>
      </c>
      <c r="AI113" s="189">
        <v>77094</v>
      </c>
      <c r="AJ113" s="189">
        <v>395592</v>
      </c>
      <c r="AK113" s="190">
        <v>683209</v>
      </c>
      <c r="AL113" s="188">
        <v>12689</v>
      </c>
      <c r="AM113" s="189">
        <v>10839</v>
      </c>
      <c r="AN113" s="189">
        <v>12569</v>
      </c>
      <c r="AO113" s="189">
        <v>12525</v>
      </c>
      <c r="AP113" s="190">
        <v>48622</v>
      </c>
      <c r="AQ113" s="188">
        <v>6879</v>
      </c>
      <c r="AR113" s="189">
        <v>10944</v>
      </c>
      <c r="AS113" s="189">
        <v>6287</v>
      </c>
      <c r="AT113" s="189">
        <v>38623</v>
      </c>
      <c r="AU113" s="190">
        <v>62733</v>
      </c>
      <c r="AV113" s="188">
        <v>276</v>
      </c>
      <c r="AW113" s="189">
        <v>138</v>
      </c>
      <c r="AX113" s="189">
        <v>138</v>
      </c>
      <c r="AY113" s="189">
        <v>207</v>
      </c>
      <c r="AZ113" s="190">
        <v>759</v>
      </c>
      <c r="BA113" s="188">
        <v>1104</v>
      </c>
      <c r="BB113" s="189">
        <v>414</v>
      </c>
      <c r="BC113" s="189">
        <v>138</v>
      </c>
      <c r="BD113" s="189"/>
      <c r="BE113" s="190">
        <v>1656</v>
      </c>
      <c r="BF113" s="188">
        <f t="shared" si="29"/>
        <v>3704</v>
      </c>
      <c r="BG113" s="189">
        <f t="shared" si="23"/>
        <v>297</v>
      </c>
      <c r="BH113" s="189">
        <f t="shared" si="24"/>
        <v>11028</v>
      </c>
      <c r="BI113" s="189">
        <f t="shared" si="25"/>
        <v>3031</v>
      </c>
      <c r="BJ113" s="190">
        <f t="shared" si="26"/>
        <v>18060</v>
      </c>
      <c r="BK113" s="188"/>
      <c r="BL113" s="189"/>
      <c r="BM113" s="189"/>
      <c r="BN113" s="189"/>
      <c r="BO113" s="190"/>
      <c r="BP113" s="188"/>
      <c r="BQ113" s="189"/>
      <c r="BR113" s="189">
        <v>259</v>
      </c>
      <c r="BS113" s="189"/>
      <c r="BT113" s="190">
        <v>259</v>
      </c>
      <c r="BU113" s="188">
        <v>3704</v>
      </c>
      <c r="BV113" s="189">
        <v>297</v>
      </c>
      <c r="BW113" s="189">
        <v>10769</v>
      </c>
      <c r="BX113" s="189">
        <v>3031</v>
      </c>
      <c r="BY113" s="190">
        <v>17801</v>
      </c>
      <c r="BZ113" s="188"/>
      <c r="CA113" s="189"/>
      <c r="CB113" s="189"/>
      <c r="CC113" s="189"/>
      <c r="CD113" s="190"/>
      <c r="CE113" s="188"/>
      <c r="CF113" s="189"/>
      <c r="CG113" s="189"/>
      <c r="CH113" s="189"/>
      <c r="CI113" s="190"/>
    </row>
    <row r="114" s="163" customFormat="1" ht="14.6" spans="1:87">
      <c r="A114" s="191" t="s">
        <v>102</v>
      </c>
      <c r="B114" s="192"/>
      <c r="C114" s="193">
        <f t="shared" si="27"/>
        <v>205588</v>
      </c>
      <c r="D114" s="194">
        <f t="shared" si="15"/>
        <v>317569</v>
      </c>
      <c r="E114" s="194">
        <f t="shared" si="16"/>
        <v>240060</v>
      </c>
      <c r="F114" s="194">
        <f t="shared" si="17"/>
        <v>576560</v>
      </c>
      <c r="G114" s="195">
        <f t="shared" si="18"/>
        <v>1339777</v>
      </c>
      <c r="H114" s="193">
        <f t="shared" si="28"/>
        <v>201884</v>
      </c>
      <c r="I114" s="194">
        <f t="shared" si="19"/>
        <v>317272</v>
      </c>
      <c r="J114" s="194">
        <f t="shared" si="20"/>
        <v>229032</v>
      </c>
      <c r="K114" s="194">
        <f t="shared" si="21"/>
        <v>573529</v>
      </c>
      <c r="L114" s="195">
        <f t="shared" si="22"/>
        <v>1321717</v>
      </c>
      <c r="M114" s="193">
        <v>207</v>
      </c>
      <c r="N114" s="194">
        <v>42342</v>
      </c>
      <c r="O114" s="194"/>
      <c r="P114" s="194"/>
      <c r="Q114" s="195">
        <v>42549</v>
      </c>
      <c r="R114" s="193">
        <v>43237</v>
      </c>
      <c r="S114" s="194">
        <v>48172</v>
      </c>
      <c r="T114" s="194">
        <v>49324</v>
      </c>
      <c r="U114" s="194">
        <v>58545</v>
      </c>
      <c r="V114" s="195">
        <v>199278</v>
      </c>
      <c r="W114" s="193">
        <v>19199</v>
      </c>
      <c r="X114" s="194">
        <v>26435</v>
      </c>
      <c r="Y114" s="194">
        <v>47751</v>
      </c>
      <c r="Z114" s="194">
        <v>38649</v>
      </c>
      <c r="AA114" s="195">
        <v>132034</v>
      </c>
      <c r="AB114" s="193">
        <v>42538</v>
      </c>
      <c r="AC114" s="194">
        <v>43220</v>
      </c>
      <c r="AD114" s="194">
        <v>35731</v>
      </c>
      <c r="AE114" s="194">
        <v>29388</v>
      </c>
      <c r="AF114" s="195">
        <v>150877</v>
      </c>
      <c r="AG114" s="193">
        <v>75755</v>
      </c>
      <c r="AH114" s="194">
        <v>134768</v>
      </c>
      <c r="AI114" s="194">
        <v>77094</v>
      </c>
      <c r="AJ114" s="194">
        <v>395592</v>
      </c>
      <c r="AK114" s="195">
        <v>683209</v>
      </c>
      <c r="AL114" s="193">
        <v>12689</v>
      </c>
      <c r="AM114" s="194">
        <v>10839</v>
      </c>
      <c r="AN114" s="194">
        <v>12569</v>
      </c>
      <c r="AO114" s="194">
        <v>12525</v>
      </c>
      <c r="AP114" s="195">
        <v>48622</v>
      </c>
      <c r="AQ114" s="193">
        <v>6879</v>
      </c>
      <c r="AR114" s="194">
        <v>10944</v>
      </c>
      <c r="AS114" s="194">
        <v>6287</v>
      </c>
      <c r="AT114" s="194">
        <v>38623</v>
      </c>
      <c r="AU114" s="195">
        <v>62733</v>
      </c>
      <c r="AV114" s="193">
        <v>276</v>
      </c>
      <c r="AW114" s="194">
        <v>138</v>
      </c>
      <c r="AX114" s="194">
        <v>138</v>
      </c>
      <c r="AY114" s="194">
        <v>207</v>
      </c>
      <c r="AZ114" s="195">
        <v>759</v>
      </c>
      <c r="BA114" s="193">
        <v>1104</v>
      </c>
      <c r="BB114" s="194">
        <v>414</v>
      </c>
      <c r="BC114" s="194">
        <v>138</v>
      </c>
      <c r="BD114" s="194"/>
      <c r="BE114" s="195">
        <v>1656</v>
      </c>
      <c r="BF114" s="193">
        <f t="shared" si="29"/>
        <v>3704</v>
      </c>
      <c r="BG114" s="194">
        <f t="shared" si="23"/>
        <v>297</v>
      </c>
      <c r="BH114" s="194">
        <f t="shared" si="24"/>
        <v>11028</v>
      </c>
      <c r="BI114" s="194">
        <f t="shared" si="25"/>
        <v>3031</v>
      </c>
      <c r="BJ114" s="195">
        <f t="shared" si="26"/>
        <v>18060</v>
      </c>
      <c r="BK114" s="193"/>
      <c r="BL114" s="194"/>
      <c r="BM114" s="194"/>
      <c r="BN114" s="194"/>
      <c r="BO114" s="195"/>
      <c r="BP114" s="193"/>
      <c r="BQ114" s="194"/>
      <c r="BR114" s="194">
        <v>259</v>
      </c>
      <c r="BS114" s="194"/>
      <c r="BT114" s="195">
        <v>259</v>
      </c>
      <c r="BU114" s="193">
        <v>3704</v>
      </c>
      <c r="BV114" s="194">
        <v>297</v>
      </c>
      <c r="BW114" s="194">
        <v>10769</v>
      </c>
      <c r="BX114" s="194">
        <v>3031</v>
      </c>
      <c r="BY114" s="195">
        <v>17801</v>
      </c>
      <c r="BZ114" s="193"/>
      <c r="CA114" s="194"/>
      <c r="CB114" s="194"/>
      <c r="CC114" s="194"/>
      <c r="CD114" s="195"/>
      <c r="CE114" s="193"/>
      <c r="CF114" s="194"/>
      <c r="CG114" s="194"/>
      <c r="CH114" s="194"/>
      <c r="CI114" s="195"/>
    </row>
    <row r="115" spans="1:87">
      <c r="A115" s="186" t="s">
        <v>103</v>
      </c>
      <c r="B115" s="187" t="s">
        <v>26</v>
      </c>
      <c r="C115" s="188">
        <f t="shared" si="27"/>
        <v>0</v>
      </c>
      <c r="D115" s="189">
        <f t="shared" si="15"/>
        <v>0</v>
      </c>
      <c r="E115" s="189">
        <f t="shared" si="16"/>
        <v>0</v>
      </c>
      <c r="F115" s="189">
        <f t="shared" si="17"/>
        <v>1161960</v>
      </c>
      <c r="G115" s="190">
        <f t="shared" si="18"/>
        <v>1161960</v>
      </c>
      <c r="H115" s="188">
        <f t="shared" si="28"/>
        <v>0</v>
      </c>
      <c r="I115" s="189">
        <f t="shared" si="19"/>
        <v>0</v>
      </c>
      <c r="J115" s="189">
        <f t="shared" si="20"/>
        <v>0</v>
      </c>
      <c r="K115" s="189">
        <f t="shared" si="21"/>
        <v>1161960</v>
      </c>
      <c r="L115" s="190">
        <f t="shared" si="22"/>
        <v>1161960</v>
      </c>
      <c r="M115" s="188"/>
      <c r="N115" s="189"/>
      <c r="O115" s="189"/>
      <c r="P115" s="189"/>
      <c r="Q115" s="190"/>
      <c r="R115" s="188"/>
      <c r="S115" s="189"/>
      <c r="T115" s="189"/>
      <c r="U115" s="189">
        <v>188370</v>
      </c>
      <c r="V115" s="190">
        <v>188370</v>
      </c>
      <c r="W115" s="188"/>
      <c r="X115" s="189"/>
      <c r="Y115" s="189"/>
      <c r="Z115" s="189">
        <v>125166</v>
      </c>
      <c r="AA115" s="190">
        <v>125166</v>
      </c>
      <c r="AB115" s="188"/>
      <c r="AC115" s="189"/>
      <c r="AD115" s="189"/>
      <c r="AE115" s="189">
        <v>272550</v>
      </c>
      <c r="AF115" s="190">
        <v>272550</v>
      </c>
      <c r="AG115" s="188"/>
      <c r="AH115" s="189"/>
      <c r="AI115" s="189"/>
      <c r="AJ115" s="189">
        <v>339618</v>
      </c>
      <c r="AK115" s="190">
        <v>339618</v>
      </c>
      <c r="AL115" s="188"/>
      <c r="AM115" s="189"/>
      <c r="AN115" s="189"/>
      <c r="AO115" s="189">
        <v>5520</v>
      </c>
      <c r="AP115" s="190">
        <v>5520</v>
      </c>
      <c r="AQ115" s="188"/>
      <c r="AR115" s="189"/>
      <c r="AS115" s="189"/>
      <c r="AT115" s="189">
        <v>230736</v>
      </c>
      <c r="AU115" s="190">
        <v>230736</v>
      </c>
      <c r="AV115" s="188"/>
      <c r="AW115" s="189"/>
      <c r="AX115" s="189"/>
      <c r="AY115" s="189"/>
      <c r="AZ115" s="190"/>
      <c r="BA115" s="188"/>
      <c r="BB115" s="189"/>
      <c r="BC115" s="189"/>
      <c r="BD115" s="189"/>
      <c r="BE115" s="190"/>
      <c r="BF115" s="188">
        <f t="shared" si="29"/>
        <v>0</v>
      </c>
      <c r="BG115" s="189">
        <f t="shared" si="23"/>
        <v>0</v>
      </c>
      <c r="BH115" s="189">
        <f t="shared" si="24"/>
        <v>0</v>
      </c>
      <c r="BI115" s="189">
        <f t="shared" si="25"/>
        <v>0</v>
      </c>
      <c r="BJ115" s="190">
        <f t="shared" si="26"/>
        <v>0</v>
      </c>
      <c r="BK115" s="188"/>
      <c r="BL115" s="189"/>
      <c r="BM115" s="189"/>
      <c r="BN115" s="189"/>
      <c r="BO115" s="190"/>
      <c r="BP115" s="188"/>
      <c r="BQ115" s="189"/>
      <c r="BR115" s="189"/>
      <c r="BS115" s="189"/>
      <c r="BT115" s="190"/>
      <c r="BU115" s="188"/>
      <c r="BV115" s="189"/>
      <c r="BW115" s="189"/>
      <c r="BX115" s="189"/>
      <c r="BY115" s="190"/>
      <c r="BZ115" s="188"/>
      <c r="CA115" s="189"/>
      <c r="CB115" s="189"/>
      <c r="CC115" s="189"/>
      <c r="CD115" s="190"/>
      <c r="CE115" s="188"/>
      <c r="CF115" s="189"/>
      <c r="CG115" s="189"/>
      <c r="CH115" s="189"/>
      <c r="CI115" s="190"/>
    </row>
    <row r="116" s="163" customFormat="1" ht="14.6" spans="1:87">
      <c r="A116" s="191" t="s">
        <v>104</v>
      </c>
      <c r="B116" s="192"/>
      <c r="C116" s="193">
        <f t="shared" si="27"/>
        <v>0</v>
      </c>
      <c r="D116" s="194">
        <f t="shared" si="15"/>
        <v>0</v>
      </c>
      <c r="E116" s="194">
        <f t="shared" si="16"/>
        <v>0</v>
      </c>
      <c r="F116" s="194">
        <f t="shared" si="17"/>
        <v>1161960</v>
      </c>
      <c r="G116" s="195">
        <f t="shared" si="18"/>
        <v>1161960</v>
      </c>
      <c r="H116" s="193">
        <f t="shared" si="28"/>
        <v>0</v>
      </c>
      <c r="I116" s="194">
        <f t="shared" si="19"/>
        <v>0</v>
      </c>
      <c r="J116" s="194">
        <f t="shared" si="20"/>
        <v>0</v>
      </c>
      <c r="K116" s="194">
        <f t="shared" si="21"/>
        <v>1161960</v>
      </c>
      <c r="L116" s="195">
        <f t="shared" si="22"/>
        <v>1161960</v>
      </c>
      <c r="M116" s="193"/>
      <c r="N116" s="194"/>
      <c r="O116" s="194"/>
      <c r="P116" s="194"/>
      <c r="Q116" s="195"/>
      <c r="R116" s="193"/>
      <c r="S116" s="194"/>
      <c r="T116" s="194"/>
      <c r="U116" s="194">
        <v>188370</v>
      </c>
      <c r="V116" s="195">
        <v>188370</v>
      </c>
      <c r="W116" s="193"/>
      <c r="X116" s="194"/>
      <c r="Y116" s="194"/>
      <c r="Z116" s="194">
        <v>125166</v>
      </c>
      <c r="AA116" s="195">
        <v>125166</v>
      </c>
      <c r="AB116" s="193"/>
      <c r="AC116" s="194"/>
      <c r="AD116" s="194"/>
      <c r="AE116" s="194">
        <v>272550</v>
      </c>
      <c r="AF116" s="195">
        <v>272550</v>
      </c>
      <c r="AG116" s="193"/>
      <c r="AH116" s="194"/>
      <c r="AI116" s="194"/>
      <c r="AJ116" s="194">
        <v>339618</v>
      </c>
      <c r="AK116" s="195">
        <v>339618</v>
      </c>
      <c r="AL116" s="193"/>
      <c r="AM116" s="194"/>
      <c r="AN116" s="194"/>
      <c r="AO116" s="194">
        <v>5520</v>
      </c>
      <c r="AP116" s="195">
        <v>5520</v>
      </c>
      <c r="AQ116" s="193"/>
      <c r="AR116" s="194"/>
      <c r="AS116" s="194"/>
      <c r="AT116" s="194">
        <v>230736</v>
      </c>
      <c r="AU116" s="195">
        <v>230736</v>
      </c>
      <c r="AV116" s="193"/>
      <c r="AW116" s="194"/>
      <c r="AX116" s="194"/>
      <c r="AY116" s="194"/>
      <c r="AZ116" s="195"/>
      <c r="BA116" s="193"/>
      <c r="BB116" s="194"/>
      <c r="BC116" s="194"/>
      <c r="BD116" s="194"/>
      <c r="BE116" s="195"/>
      <c r="BF116" s="193">
        <f t="shared" si="29"/>
        <v>0</v>
      </c>
      <c r="BG116" s="194">
        <f t="shared" si="23"/>
        <v>0</v>
      </c>
      <c r="BH116" s="194">
        <f t="shared" si="24"/>
        <v>0</v>
      </c>
      <c r="BI116" s="194">
        <f t="shared" si="25"/>
        <v>0</v>
      </c>
      <c r="BJ116" s="195">
        <f t="shared" si="26"/>
        <v>0</v>
      </c>
      <c r="BK116" s="193"/>
      <c r="BL116" s="194"/>
      <c r="BM116" s="194"/>
      <c r="BN116" s="194"/>
      <c r="BO116" s="195"/>
      <c r="BP116" s="193"/>
      <c r="BQ116" s="194"/>
      <c r="BR116" s="194"/>
      <c r="BS116" s="194"/>
      <c r="BT116" s="195"/>
      <c r="BU116" s="193"/>
      <c r="BV116" s="194"/>
      <c r="BW116" s="194"/>
      <c r="BX116" s="194"/>
      <c r="BY116" s="195"/>
      <c r="BZ116" s="193"/>
      <c r="CA116" s="194"/>
      <c r="CB116" s="194"/>
      <c r="CC116" s="194"/>
      <c r="CD116" s="195"/>
      <c r="CE116" s="193"/>
      <c r="CF116" s="194"/>
      <c r="CG116" s="194"/>
      <c r="CH116" s="194"/>
      <c r="CI116" s="195"/>
    </row>
    <row r="117" spans="1:87">
      <c r="A117" s="186" t="s">
        <v>105</v>
      </c>
      <c r="B117" s="187" t="s">
        <v>26</v>
      </c>
      <c r="C117" s="188">
        <f t="shared" si="27"/>
        <v>170938</v>
      </c>
      <c r="D117" s="189">
        <f t="shared" si="15"/>
        <v>100144</v>
      </c>
      <c r="E117" s="189">
        <f t="shared" si="16"/>
        <v>70917</v>
      </c>
      <c r="F117" s="189">
        <f t="shared" si="17"/>
        <v>56464</v>
      </c>
      <c r="G117" s="190">
        <f t="shared" si="18"/>
        <v>398463</v>
      </c>
      <c r="H117" s="188">
        <f t="shared" si="28"/>
        <v>152688</v>
      </c>
      <c r="I117" s="189">
        <f t="shared" si="19"/>
        <v>96786</v>
      </c>
      <c r="J117" s="189">
        <f t="shared" si="20"/>
        <v>68833</v>
      </c>
      <c r="K117" s="189">
        <f t="shared" si="21"/>
        <v>50193</v>
      </c>
      <c r="L117" s="190">
        <f t="shared" si="22"/>
        <v>368500</v>
      </c>
      <c r="M117" s="188">
        <v>57117</v>
      </c>
      <c r="N117" s="189">
        <v>25178</v>
      </c>
      <c r="O117" s="189">
        <v>12510</v>
      </c>
      <c r="P117" s="189">
        <v>6901</v>
      </c>
      <c r="Q117" s="190">
        <v>101706</v>
      </c>
      <c r="R117" s="188">
        <v>25952</v>
      </c>
      <c r="S117" s="189">
        <v>22970</v>
      </c>
      <c r="T117" s="189">
        <v>8523</v>
      </c>
      <c r="U117" s="189">
        <v>7031</v>
      </c>
      <c r="V117" s="190">
        <v>64476</v>
      </c>
      <c r="W117" s="188">
        <v>7821</v>
      </c>
      <c r="X117" s="189">
        <v>4898</v>
      </c>
      <c r="Y117" s="189">
        <v>6636</v>
      </c>
      <c r="Z117" s="189">
        <v>7742</v>
      </c>
      <c r="AA117" s="190">
        <v>27097</v>
      </c>
      <c r="AB117" s="188">
        <v>49977</v>
      </c>
      <c r="AC117" s="189">
        <v>34557</v>
      </c>
      <c r="AD117" s="189">
        <v>30144</v>
      </c>
      <c r="AE117" s="189">
        <v>16434</v>
      </c>
      <c r="AF117" s="190">
        <v>131112</v>
      </c>
      <c r="AG117" s="188"/>
      <c r="AH117" s="189"/>
      <c r="AI117" s="189"/>
      <c r="AJ117" s="189"/>
      <c r="AK117" s="190"/>
      <c r="AL117" s="188">
        <v>3953</v>
      </c>
      <c r="AM117" s="189">
        <v>3558</v>
      </c>
      <c r="AN117" s="189">
        <v>4326</v>
      </c>
      <c r="AO117" s="189">
        <v>4839</v>
      </c>
      <c r="AP117" s="190">
        <v>16676</v>
      </c>
      <c r="AQ117" s="188">
        <v>1199</v>
      </c>
      <c r="AR117" s="189">
        <v>1199</v>
      </c>
      <c r="AS117" s="189">
        <v>1199</v>
      </c>
      <c r="AT117" s="189"/>
      <c r="AU117" s="190">
        <v>3597</v>
      </c>
      <c r="AV117" s="188">
        <v>2956</v>
      </c>
      <c r="AW117" s="189">
        <v>2293</v>
      </c>
      <c r="AX117" s="189">
        <v>2481</v>
      </c>
      <c r="AY117" s="189">
        <v>3549</v>
      </c>
      <c r="AZ117" s="190">
        <v>11279</v>
      </c>
      <c r="BA117" s="188">
        <v>3713</v>
      </c>
      <c r="BB117" s="189">
        <v>2133</v>
      </c>
      <c r="BC117" s="189">
        <v>3014</v>
      </c>
      <c r="BD117" s="189">
        <v>3697</v>
      </c>
      <c r="BE117" s="190">
        <v>12557</v>
      </c>
      <c r="BF117" s="188">
        <f t="shared" si="29"/>
        <v>18250</v>
      </c>
      <c r="BG117" s="189">
        <f t="shared" si="23"/>
        <v>3358</v>
      </c>
      <c r="BH117" s="189">
        <f t="shared" si="24"/>
        <v>2084</v>
      </c>
      <c r="BI117" s="189">
        <f t="shared" si="25"/>
        <v>6271</v>
      </c>
      <c r="BJ117" s="190">
        <f t="shared" si="26"/>
        <v>29963</v>
      </c>
      <c r="BK117" s="188"/>
      <c r="BL117" s="189"/>
      <c r="BM117" s="189"/>
      <c r="BN117" s="189"/>
      <c r="BO117" s="190"/>
      <c r="BP117" s="188">
        <v>14378</v>
      </c>
      <c r="BQ117" s="189">
        <v>316</v>
      </c>
      <c r="BR117" s="189">
        <v>395</v>
      </c>
      <c r="BS117" s="189">
        <v>395</v>
      </c>
      <c r="BT117" s="190">
        <v>15484</v>
      </c>
      <c r="BU117" s="188">
        <v>1344</v>
      </c>
      <c r="BV117" s="189">
        <v>356</v>
      </c>
      <c r="BW117" s="189">
        <v>346</v>
      </c>
      <c r="BX117" s="189">
        <v>4296</v>
      </c>
      <c r="BY117" s="190">
        <v>6342</v>
      </c>
      <c r="BZ117" s="188">
        <v>2528</v>
      </c>
      <c r="CA117" s="189">
        <v>2686</v>
      </c>
      <c r="CB117" s="189">
        <v>1343</v>
      </c>
      <c r="CC117" s="189">
        <v>1580</v>
      </c>
      <c r="CD117" s="190">
        <v>8137</v>
      </c>
      <c r="CE117" s="188"/>
      <c r="CF117" s="189"/>
      <c r="CG117" s="189"/>
      <c r="CH117" s="189"/>
      <c r="CI117" s="190"/>
    </row>
    <row r="118" spans="1:87">
      <c r="A118" s="186"/>
      <c r="B118" s="187" t="s">
        <v>27</v>
      </c>
      <c r="C118" s="188">
        <f t="shared" si="27"/>
        <v>0</v>
      </c>
      <c r="D118" s="189">
        <f t="shared" si="15"/>
        <v>32568</v>
      </c>
      <c r="E118" s="189">
        <f t="shared" si="16"/>
        <v>44722</v>
      </c>
      <c r="F118" s="189">
        <f t="shared" si="17"/>
        <v>45194</v>
      </c>
      <c r="G118" s="190">
        <f t="shared" si="18"/>
        <v>122484</v>
      </c>
      <c r="H118" s="188">
        <f t="shared" si="28"/>
        <v>0</v>
      </c>
      <c r="I118" s="189">
        <f t="shared" si="19"/>
        <v>32568</v>
      </c>
      <c r="J118" s="189">
        <f t="shared" si="20"/>
        <v>44722</v>
      </c>
      <c r="K118" s="189">
        <f t="shared" si="21"/>
        <v>45194</v>
      </c>
      <c r="L118" s="190">
        <f t="shared" si="22"/>
        <v>122484</v>
      </c>
      <c r="M118" s="188"/>
      <c r="N118" s="189">
        <v>32568</v>
      </c>
      <c r="O118" s="189">
        <v>44722</v>
      </c>
      <c r="P118" s="189">
        <v>45194</v>
      </c>
      <c r="Q118" s="190">
        <v>122484</v>
      </c>
      <c r="R118" s="188"/>
      <c r="S118" s="189"/>
      <c r="T118" s="189"/>
      <c r="U118" s="189"/>
      <c r="V118" s="190"/>
      <c r="W118" s="188"/>
      <c r="X118" s="189"/>
      <c r="Y118" s="189"/>
      <c r="Z118" s="189"/>
      <c r="AA118" s="190"/>
      <c r="AB118" s="188"/>
      <c r="AC118" s="189"/>
      <c r="AD118" s="189"/>
      <c r="AE118" s="189"/>
      <c r="AF118" s="190"/>
      <c r="AG118" s="188"/>
      <c r="AH118" s="189"/>
      <c r="AI118" s="189"/>
      <c r="AJ118" s="189"/>
      <c r="AK118" s="190"/>
      <c r="AL118" s="188"/>
      <c r="AM118" s="189"/>
      <c r="AN118" s="189"/>
      <c r="AO118" s="189"/>
      <c r="AP118" s="190"/>
      <c r="AQ118" s="188"/>
      <c r="AR118" s="189"/>
      <c r="AS118" s="189"/>
      <c r="AT118" s="189"/>
      <c r="AU118" s="190"/>
      <c r="AV118" s="188"/>
      <c r="AW118" s="189"/>
      <c r="AX118" s="189"/>
      <c r="AY118" s="189"/>
      <c r="AZ118" s="190"/>
      <c r="BA118" s="188"/>
      <c r="BB118" s="189"/>
      <c r="BC118" s="189"/>
      <c r="BD118" s="189"/>
      <c r="BE118" s="190"/>
      <c r="BF118" s="188">
        <f t="shared" si="29"/>
        <v>0</v>
      </c>
      <c r="BG118" s="189">
        <f t="shared" si="23"/>
        <v>0</v>
      </c>
      <c r="BH118" s="189">
        <f t="shared" si="24"/>
        <v>0</v>
      </c>
      <c r="BI118" s="189">
        <f t="shared" si="25"/>
        <v>0</v>
      </c>
      <c r="BJ118" s="190">
        <f t="shared" si="26"/>
        <v>0</v>
      </c>
      <c r="BK118" s="188"/>
      <c r="BL118" s="189"/>
      <c r="BM118" s="189"/>
      <c r="BN118" s="189"/>
      <c r="BO118" s="190"/>
      <c r="BP118" s="188"/>
      <c r="BQ118" s="189"/>
      <c r="BR118" s="189"/>
      <c r="BS118" s="189"/>
      <c r="BT118" s="190"/>
      <c r="BU118" s="188"/>
      <c r="BV118" s="189"/>
      <c r="BW118" s="189"/>
      <c r="BX118" s="189"/>
      <c r="BY118" s="190"/>
      <c r="BZ118" s="188"/>
      <c r="CA118" s="189"/>
      <c r="CB118" s="189"/>
      <c r="CC118" s="189"/>
      <c r="CD118" s="190"/>
      <c r="CE118" s="188"/>
      <c r="CF118" s="189"/>
      <c r="CG118" s="189"/>
      <c r="CH118" s="189"/>
      <c r="CI118" s="190"/>
    </row>
    <row r="119" spans="1:87">
      <c r="A119" s="186"/>
      <c r="B119" s="187" t="s">
        <v>28</v>
      </c>
      <c r="C119" s="188">
        <f t="shared" si="27"/>
        <v>213140</v>
      </c>
      <c r="D119" s="189">
        <f t="shared" si="15"/>
        <v>129033</v>
      </c>
      <c r="E119" s="189">
        <f t="shared" si="16"/>
        <v>131393</v>
      </c>
      <c r="F119" s="189">
        <f t="shared" si="17"/>
        <v>111451</v>
      </c>
      <c r="G119" s="190">
        <f t="shared" si="18"/>
        <v>585017</v>
      </c>
      <c r="H119" s="188">
        <f t="shared" si="28"/>
        <v>198272</v>
      </c>
      <c r="I119" s="189">
        <f t="shared" si="19"/>
        <v>115758</v>
      </c>
      <c r="J119" s="189">
        <f t="shared" si="20"/>
        <v>121068</v>
      </c>
      <c r="K119" s="189">
        <f t="shared" si="21"/>
        <v>104489</v>
      </c>
      <c r="L119" s="190">
        <f t="shared" si="22"/>
        <v>539587</v>
      </c>
      <c r="M119" s="188">
        <v>4012</v>
      </c>
      <c r="N119" s="189">
        <v>4012</v>
      </c>
      <c r="O119" s="189">
        <v>1062</v>
      </c>
      <c r="P119" s="189">
        <v>3068</v>
      </c>
      <c r="Q119" s="190">
        <v>12154</v>
      </c>
      <c r="R119" s="188">
        <v>59</v>
      </c>
      <c r="S119" s="189">
        <v>531</v>
      </c>
      <c r="T119" s="189"/>
      <c r="U119" s="189">
        <v>177</v>
      </c>
      <c r="V119" s="190">
        <v>767</v>
      </c>
      <c r="W119" s="188">
        <v>86789</v>
      </c>
      <c r="X119" s="189">
        <v>46551</v>
      </c>
      <c r="Y119" s="189">
        <v>28969</v>
      </c>
      <c r="Z119" s="189">
        <v>42480</v>
      </c>
      <c r="AA119" s="190">
        <v>204789</v>
      </c>
      <c r="AB119" s="188">
        <v>90715</v>
      </c>
      <c r="AC119" s="189">
        <v>53513</v>
      </c>
      <c r="AD119" s="189">
        <v>38468</v>
      </c>
      <c r="AE119" s="189">
        <v>25724</v>
      </c>
      <c r="AF119" s="190">
        <v>208420</v>
      </c>
      <c r="AG119" s="188">
        <v>8083</v>
      </c>
      <c r="AH119" s="189">
        <v>2183</v>
      </c>
      <c r="AI119" s="189">
        <v>39825</v>
      </c>
      <c r="AJ119" s="189">
        <v>26078</v>
      </c>
      <c r="AK119" s="190">
        <v>76169</v>
      </c>
      <c r="AL119" s="188">
        <v>8614</v>
      </c>
      <c r="AM119" s="189">
        <v>8968</v>
      </c>
      <c r="AN119" s="189">
        <v>12744</v>
      </c>
      <c r="AO119" s="189">
        <v>6962</v>
      </c>
      <c r="AP119" s="190">
        <v>37288</v>
      </c>
      <c r="AQ119" s="188"/>
      <c r="AR119" s="189"/>
      <c r="AS119" s="189"/>
      <c r="AT119" s="189"/>
      <c r="AU119" s="190"/>
      <c r="AV119" s="188"/>
      <c r="AW119" s="189"/>
      <c r="AX119" s="189"/>
      <c r="AY119" s="189"/>
      <c r="AZ119" s="190"/>
      <c r="BA119" s="188"/>
      <c r="BB119" s="189"/>
      <c r="BC119" s="189"/>
      <c r="BD119" s="189"/>
      <c r="BE119" s="190"/>
      <c r="BF119" s="188">
        <f t="shared" si="29"/>
        <v>14868</v>
      </c>
      <c r="BG119" s="189">
        <f t="shared" si="23"/>
        <v>13275</v>
      </c>
      <c r="BH119" s="189">
        <f t="shared" si="24"/>
        <v>10325</v>
      </c>
      <c r="BI119" s="189">
        <f t="shared" si="25"/>
        <v>6962</v>
      </c>
      <c r="BJ119" s="190">
        <f t="shared" si="26"/>
        <v>45430</v>
      </c>
      <c r="BK119" s="188">
        <v>1888</v>
      </c>
      <c r="BL119" s="189">
        <v>1534</v>
      </c>
      <c r="BM119" s="189">
        <v>118</v>
      </c>
      <c r="BN119" s="189"/>
      <c r="BO119" s="190">
        <v>3540</v>
      </c>
      <c r="BP119" s="188">
        <v>2596</v>
      </c>
      <c r="BQ119" s="189">
        <v>4130</v>
      </c>
      <c r="BR119" s="189">
        <v>2596</v>
      </c>
      <c r="BS119" s="189">
        <v>1947</v>
      </c>
      <c r="BT119" s="190">
        <v>11269</v>
      </c>
      <c r="BU119" s="188">
        <v>10384</v>
      </c>
      <c r="BV119" s="189">
        <v>7611</v>
      </c>
      <c r="BW119" s="189">
        <v>7611</v>
      </c>
      <c r="BX119" s="189">
        <v>5015</v>
      </c>
      <c r="BY119" s="190">
        <v>30621</v>
      </c>
      <c r="BZ119" s="188"/>
      <c r="CA119" s="189"/>
      <c r="CB119" s="189"/>
      <c r="CC119" s="189"/>
      <c r="CD119" s="190"/>
      <c r="CE119" s="188"/>
      <c r="CF119" s="189"/>
      <c r="CG119" s="189"/>
      <c r="CH119" s="189"/>
      <c r="CI119" s="190"/>
    </row>
    <row r="120" s="163" customFormat="1" ht="14.6" spans="1:87">
      <c r="A120" s="191" t="s">
        <v>106</v>
      </c>
      <c r="B120" s="192"/>
      <c r="C120" s="193">
        <f t="shared" si="27"/>
        <v>384078</v>
      </c>
      <c r="D120" s="194">
        <f t="shared" si="15"/>
        <v>261745</v>
      </c>
      <c r="E120" s="194">
        <f t="shared" si="16"/>
        <v>247032</v>
      </c>
      <c r="F120" s="194">
        <f t="shared" si="17"/>
        <v>213109</v>
      </c>
      <c r="G120" s="195">
        <f t="shared" si="18"/>
        <v>1105964</v>
      </c>
      <c r="H120" s="193">
        <f t="shared" si="28"/>
        <v>350960</v>
      </c>
      <c r="I120" s="194">
        <f t="shared" si="19"/>
        <v>245112</v>
      </c>
      <c r="J120" s="194">
        <f t="shared" si="20"/>
        <v>234623</v>
      </c>
      <c r="K120" s="194">
        <f t="shared" si="21"/>
        <v>199876</v>
      </c>
      <c r="L120" s="195">
        <f t="shared" si="22"/>
        <v>1030571</v>
      </c>
      <c r="M120" s="193">
        <v>61129</v>
      </c>
      <c r="N120" s="194">
        <v>61758</v>
      </c>
      <c r="O120" s="194">
        <v>58294</v>
      </c>
      <c r="P120" s="194">
        <v>55163</v>
      </c>
      <c r="Q120" s="195">
        <v>236344</v>
      </c>
      <c r="R120" s="193">
        <v>26011</v>
      </c>
      <c r="S120" s="194">
        <v>23501</v>
      </c>
      <c r="T120" s="194">
        <v>8523</v>
      </c>
      <c r="U120" s="194">
        <v>7208</v>
      </c>
      <c r="V120" s="195">
        <v>65243</v>
      </c>
      <c r="W120" s="193">
        <v>94610</v>
      </c>
      <c r="X120" s="194">
        <v>51449</v>
      </c>
      <c r="Y120" s="194">
        <v>35605</v>
      </c>
      <c r="Z120" s="194">
        <v>50222</v>
      </c>
      <c r="AA120" s="195">
        <v>231886</v>
      </c>
      <c r="AB120" s="193">
        <v>140692</v>
      </c>
      <c r="AC120" s="194">
        <v>88070</v>
      </c>
      <c r="AD120" s="194">
        <v>68612</v>
      </c>
      <c r="AE120" s="194">
        <v>42158</v>
      </c>
      <c r="AF120" s="195">
        <v>339532</v>
      </c>
      <c r="AG120" s="193">
        <v>8083</v>
      </c>
      <c r="AH120" s="194">
        <v>2183</v>
      </c>
      <c r="AI120" s="194">
        <v>39825</v>
      </c>
      <c r="AJ120" s="194">
        <v>26078</v>
      </c>
      <c r="AK120" s="195">
        <v>76169</v>
      </c>
      <c r="AL120" s="193">
        <v>12567</v>
      </c>
      <c r="AM120" s="194">
        <v>12526</v>
      </c>
      <c r="AN120" s="194">
        <v>17070</v>
      </c>
      <c r="AO120" s="194">
        <v>11801</v>
      </c>
      <c r="AP120" s="195">
        <v>53964</v>
      </c>
      <c r="AQ120" s="193">
        <v>1199</v>
      </c>
      <c r="AR120" s="194">
        <v>1199</v>
      </c>
      <c r="AS120" s="194">
        <v>1199</v>
      </c>
      <c r="AT120" s="194"/>
      <c r="AU120" s="195">
        <v>3597</v>
      </c>
      <c r="AV120" s="193">
        <v>2956</v>
      </c>
      <c r="AW120" s="194">
        <v>2293</v>
      </c>
      <c r="AX120" s="194">
        <v>2481</v>
      </c>
      <c r="AY120" s="194">
        <v>3549</v>
      </c>
      <c r="AZ120" s="195">
        <v>11279</v>
      </c>
      <c r="BA120" s="193">
        <v>3713</v>
      </c>
      <c r="BB120" s="194">
        <v>2133</v>
      </c>
      <c r="BC120" s="194">
        <v>3014</v>
      </c>
      <c r="BD120" s="194">
        <v>3697</v>
      </c>
      <c r="BE120" s="195">
        <v>12557</v>
      </c>
      <c r="BF120" s="193">
        <f t="shared" si="29"/>
        <v>33118</v>
      </c>
      <c r="BG120" s="194">
        <f t="shared" si="23"/>
        <v>16633</v>
      </c>
      <c r="BH120" s="194">
        <f t="shared" si="24"/>
        <v>12409</v>
      </c>
      <c r="BI120" s="194">
        <f t="shared" si="25"/>
        <v>13233</v>
      </c>
      <c r="BJ120" s="195">
        <f t="shared" si="26"/>
        <v>75393</v>
      </c>
      <c r="BK120" s="193">
        <v>1888</v>
      </c>
      <c r="BL120" s="194">
        <v>1534</v>
      </c>
      <c r="BM120" s="194">
        <v>118</v>
      </c>
      <c r="BN120" s="194"/>
      <c r="BO120" s="195">
        <v>3540</v>
      </c>
      <c r="BP120" s="193">
        <v>16974</v>
      </c>
      <c r="BQ120" s="194">
        <v>4446</v>
      </c>
      <c r="BR120" s="194">
        <v>2991</v>
      </c>
      <c r="BS120" s="194">
        <v>2342</v>
      </c>
      <c r="BT120" s="195">
        <v>26753</v>
      </c>
      <c r="BU120" s="193">
        <v>11728</v>
      </c>
      <c r="BV120" s="194">
        <v>7967</v>
      </c>
      <c r="BW120" s="194">
        <v>7957</v>
      </c>
      <c r="BX120" s="194">
        <v>9311</v>
      </c>
      <c r="BY120" s="195">
        <v>36963</v>
      </c>
      <c r="BZ120" s="193">
        <v>2528</v>
      </c>
      <c r="CA120" s="194">
        <v>2686</v>
      </c>
      <c r="CB120" s="194">
        <v>1343</v>
      </c>
      <c r="CC120" s="194">
        <v>1580</v>
      </c>
      <c r="CD120" s="195">
        <v>8137</v>
      </c>
      <c r="CE120" s="193"/>
      <c r="CF120" s="194"/>
      <c r="CG120" s="194"/>
      <c r="CH120" s="194"/>
      <c r="CI120" s="195"/>
    </row>
    <row r="121" spans="1:87">
      <c r="A121" s="186" t="s">
        <v>107</v>
      </c>
      <c r="B121" s="187" t="s">
        <v>26</v>
      </c>
      <c r="C121" s="188">
        <f t="shared" si="27"/>
        <v>254939</v>
      </c>
      <c r="D121" s="189">
        <f t="shared" si="15"/>
        <v>241369</v>
      </c>
      <c r="E121" s="189">
        <f t="shared" si="16"/>
        <v>261360</v>
      </c>
      <c r="F121" s="189">
        <f t="shared" si="17"/>
        <v>226233</v>
      </c>
      <c r="G121" s="190">
        <f t="shared" si="18"/>
        <v>983901</v>
      </c>
      <c r="H121" s="188">
        <f t="shared" si="28"/>
        <v>222548</v>
      </c>
      <c r="I121" s="189">
        <f t="shared" si="19"/>
        <v>215291</v>
      </c>
      <c r="J121" s="189">
        <f t="shared" si="20"/>
        <v>242421</v>
      </c>
      <c r="K121" s="189">
        <f t="shared" si="21"/>
        <v>211070</v>
      </c>
      <c r="L121" s="190">
        <f t="shared" si="22"/>
        <v>891330</v>
      </c>
      <c r="M121" s="188">
        <v>1829</v>
      </c>
      <c r="N121" s="189">
        <v>10207</v>
      </c>
      <c r="O121" s="189">
        <v>11623</v>
      </c>
      <c r="P121" s="189">
        <v>20591</v>
      </c>
      <c r="Q121" s="190">
        <v>44250</v>
      </c>
      <c r="R121" s="188">
        <v>55047</v>
      </c>
      <c r="S121" s="189">
        <v>43601</v>
      </c>
      <c r="T121" s="189">
        <v>70709</v>
      </c>
      <c r="U121" s="189">
        <v>57198</v>
      </c>
      <c r="V121" s="190">
        <v>226555</v>
      </c>
      <c r="W121" s="188">
        <v>3304</v>
      </c>
      <c r="X121" s="189">
        <v>6313</v>
      </c>
      <c r="Y121" s="189">
        <v>6903</v>
      </c>
      <c r="Z121" s="189">
        <v>3894</v>
      </c>
      <c r="AA121" s="190">
        <v>20414</v>
      </c>
      <c r="AB121" s="188">
        <v>53336</v>
      </c>
      <c r="AC121" s="189">
        <v>39294</v>
      </c>
      <c r="AD121" s="189">
        <v>31651</v>
      </c>
      <c r="AE121" s="189">
        <v>20827</v>
      </c>
      <c r="AF121" s="190">
        <v>145108</v>
      </c>
      <c r="AG121" s="188">
        <v>48734</v>
      </c>
      <c r="AH121" s="189">
        <v>35990</v>
      </c>
      <c r="AI121" s="189">
        <v>34279</v>
      </c>
      <c r="AJ121" s="189">
        <v>20768</v>
      </c>
      <c r="AK121" s="190">
        <v>139771</v>
      </c>
      <c r="AL121" s="188">
        <v>4602</v>
      </c>
      <c r="AM121" s="189">
        <v>2478</v>
      </c>
      <c r="AN121" s="189">
        <v>4307</v>
      </c>
      <c r="AO121" s="189">
        <v>5959</v>
      </c>
      <c r="AP121" s="190">
        <v>17346</v>
      </c>
      <c r="AQ121" s="188">
        <v>9499</v>
      </c>
      <c r="AR121" s="189">
        <v>9558</v>
      </c>
      <c r="AS121" s="189">
        <v>5782</v>
      </c>
      <c r="AT121" s="189">
        <v>5546</v>
      </c>
      <c r="AU121" s="190">
        <v>30385</v>
      </c>
      <c r="AV121" s="188">
        <v>4071</v>
      </c>
      <c r="AW121" s="189">
        <v>6372</v>
      </c>
      <c r="AX121" s="189">
        <v>10089</v>
      </c>
      <c r="AY121" s="189">
        <v>12095</v>
      </c>
      <c r="AZ121" s="190">
        <v>32627</v>
      </c>
      <c r="BA121" s="188">
        <v>42126</v>
      </c>
      <c r="BB121" s="189">
        <v>61478</v>
      </c>
      <c r="BC121" s="189">
        <v>67078</v>
      </c>
      <c r="BD121" s="189">
        <v>64192</v>
      </c>
      <c r="BE121" s="190">
        <v>234874</v>
      </c>
      <c r="BF121" s="188">
        <f t="shared" si="29"/>
        <v>32391</v>
      </c>
      <c r="BG121" s="189">
        <f t="shared" si="23"/>
        <v>26078</v>
      </c>
      <c r="BH121" s="189">
        <f t="shared" si="24"/>
        <v>18939</v>
      </c>
      <c r="BI121" s="189">
        <f t="shared" si="25"/>
        <v>15163</v>
      </c>
      <c r="BJ121" s="190">
        <f t="shared" si="26"/>
        <v>92571</v>
      </c>
      <c r="BK121" s="188"/>
      <c r="BL121" s="189"/>
      <c r="BM121" s="189"/>
      <c r="BN121" s="189"/>
      <c r="BO121" s="190"/>
      <c r="BP121" s="188"/>
      <c r="BQ121" s="189"/>
      <c r="BR121" s="189"/>
      <c r="BS121" s="189"/>
      <c r="BT121" s="190"/>
      <c r="BU121" s="188">
        <v>32391</v>
      </c>
      <c r="BV121" s="189">
        <v>26078</v>
      </c>
      <c r="BW121" s="189">
        <v>14101</v>
      </c>
      <c r="BX121" s="189">
        <v>59</v>
      </c>
      <c r="BY121" s="190">
        <v>72629</v>
      </c>
      <c r="BZ121" s="188"/>
      <c r="CA121" s="189"/>
      <c r="CB121" s="189">
        <v>4838</v>
      </c>
      <c r="CC121" s="189">
        <v>15104</v>
      </c>
      <c r="CD121" s="190">
        <v>19942</v>
      </c>
      <c r="CE121" s="188"/>
      <c r="CF121" s="189"/>
      <c r="CG121" s="189"/>
      <c r="CH121" s="189"/>
      <c r="CI121" s="190"/>
    </row>
    <row r="122" s="163" customFormat="1" ht="14.6" spans="1:87">
      <c r="A122" s="191" t="s">
        <v>108</v>
      </c>
      <c r="B122" s="192"/>
      <c r="C122" s="193">
        <f t="shared" si="27"/>
        <v>254939</v>
      </c>
      <c r="D122" s="194">
        <f t="shared" si="15"/>
        <v>241369</v>
      </c>
      <c r="E122" s="194">
        <f t="shared" si="16"/>
        <v>261360</v>
      </c>
      <c r="F122" s="194">
        <f t="shared" si="17"/>
        <v>226233</v>
      </c>
      <c r="G122" s="195">
        <f t="shared" si="18"/>
        <v>983901</v>
      </c>
      <c r="H122" s="193">
        <f t="shared" si="28"/>
        <v>222548</v>
      </c>
      <c r="I122" s="194">
        <f t="shared" si="19"/>
        <v>215291</v>
      </c>
      <c r="J122" s="194">
        <f t="shared" si="20"/>
        <v>242421</v>
      </c>
      <c r="K122" s="194">
        <f t="shared" si="21"/>
        <v>211070</v>
      </c>
      <c r="L122" s="195">
        <f t="shared" si="22"/>
        <v>891330</v>
      </c>
      <c r="M122" s="193">
        <v>1829</v>
      </c>
      <c r="N122" s="194">
        <v>10207</v>
      </c>
      <c r="O122" s="194">
        <v>11623</v>
      </c>
      <c r="P122" s="194">
        <v>20591</v>
      </c>
      <c r="Q122" s="195">
        <v>44250</v>
      </c>
      <c r="R122" s="193">
        <v>55047</v>
      </c>
      <c r="S122" s="194">
        <v>43601</v>
      </c>
      <c r="T122" s="194">
        <v>70709</v>
      </c>
      <c r="U122" s="194">
        <v>57198</v>
      </c>
      <c r="V122" s="195">
        <v>226555</v>
      </c>
      <c r="W122" s="193">
        <v>3304</v>
      </c>
      <c r="X122" s="194">
        <v>6313</v>
      </c>
      <c r="Y122" s="194">
        <v>6903</v>
      </c>
      <c r="Z122" s="194">
        <v>3894</v>
      </c>
      <c r="AA122" s="195">
        <v>20414</v>
      </c>
      <c r="AB122" s="193">
        <v>53336</v>
      </c>
      <c r="AC122" s="194">
        <v>39294</v>
      </c>
      <c r="AD122" s="194">
        <v>31651</v>
      </c>
      <c r="AE122" s="194">
        <v>20827</v>
      </c>
      <c r="AF122" s="195">
        <v>145108</v>
      </c>
      <c r="AG122" s="193">
        <v>48734</v>
      </c>
      <c r="AH122" s="194">
        <v>35990</v>
      </c>
      <c r="AI122" s="194">
        <v>34279</v>
      </c>
      <c r="AJ122" s="194">
        <v>20768</v>
      </c>
      <c r="AK122" s="195">
        <v>139771</v>
      </c>
      <c r="AL122" s="193">
        <v>4602</v>
      </c>
      <c r="AM122" s="194">
        <v>2478</v>
      </c>
      <c r="AN122" s="194">
        <v>4307</v>
      </c>
      <c r="AO122" s="194">
        <v>5959</v>
      </c>
      <c r="AP122" s="195">
        <v>17346</v>
      </c>
      <c r="AQ122" s="193">
        <v>9499</v>
      </c>
      <c r="AR122" s="194">
        <v>9558</v>
      </c>
      <c r="AS122" s="194">
        <v>5782</v>
      </c>
      <c r="AT122" s="194">
        <v>5546</v>
      </c>
      <c r="AU122" s="195">
        <v>30385</v>
      </c>
      <c r="AV122" s="193">
        <v>4071</v>
      </c>
      <c r="AW122" s="194">
        <v>6372</v>
      </c>
      <c r="AX122" s="194">
        <v>10089</v>
      </c>
      <c r="AY122" s="194">
        <v>12095</v>
      </c>
      <c r="AZ122" s="195">
        <v>32627</v>
      </c>
      <c r="BA122" s="193">
        <v>42126</v>
      </c>
      <c r="BB122" s="194">
        <v>61478</v>
      </c>
      <c r="BC122" s="194">
        <v>67078</v>
      </c>
      <c r="BD122" s="194">
        <v>64192</v>
      </c>
      <c r="BE122" s="195">
        <v>234874</v>
      </c>
      <c r="BF122" s="193">
        <f t="shared" si="29"/>
        <v>32391</v>
      </c>
      <c r="BG122" s="194">
        <f t="shared" si="23"/>
        <v>26078</v>
      </c>
      <c r="BH122" s="194">
        <f t="shared" si="24"/>
        <v>18939</v>
      </c>
      <c r="BI122" s="194">
        <f t="shared" si="25"/>
        <v>15163</v>
      </c>
      <c r="BJ122" s="195">
        <f t="shared" si="26"/>
        <v>92571</v>
      </c>
      <c r="BK122" s="193"/>
      <c r="BL122" s="194"/>
      <c r="BM122" s="194"/>
      <c r="BN122" s="194"/>
      <c r="BO122" s="195"/>
      <c r="BP122" s="193"/>
      <c r="BQ122" s="194"/>
      <c r="BR122" s="194"/>
      <c r="BS122" s="194"/>
      <c r="BT122" s="195"/>
      <c r="BU122" s="193">
        <v>32391</v>
      </c>
      <c r="BV122" s="194">
        <v>26078</v>
      </c>
      <c r="BW122" s="194">
        <v>14101</v>
      </c>
      <c r="BX122" s="194">
        <v>59</v>
      </c>
      <c r="BY122" s="195">
        <v>72629</v>
      </c>
      <c r="BZ122" s="193"/>
      <c r="CA122" s="194"/>
      <c r="CB122" s="194">
        <v>4838</v>
      </c>
      <c r="CC122" s="194">
        <v>15104</v>
      </c>
      <c r="CD122" s="195">
        <v>19942</v>
      </c>
      <c r="CE122" s="193"/>
      <c r="CF122" s="194"/>
      <c r="CG122" s="194"/>
      <c r="CH122" s="194"/>
      <c r="CI122" s="195"/>
    </row>
    <row r="123" spans="1:87">
      <c r="A123" s="186" t="s">
        <v>109</v>
      </c>
      <c r="B123" s="187" t="s">
        <v>26</v>
      </c>
      <c r="C123" s="188">
        <f t="shared" si="27"/>
        <v>19141</v>
      </c>
      <c r="D123" s="189">
        <f t="shared" si="15"/>
        <v>18330</v>
      </c>
      <c r="E123" s="189">
        <f t="shared" si="16"/>
        <v>13492</v>
      </c>
      <c r="F123" s="189">
        <f t="shared" si="17"/>
        <v>8051</v>
      </c>
      <c r="G123" s="190">
        <f t="shared" si="18"/>
        <v>59014</v>
      </c>
      <c r="H123" s="188">
        <f t="shared" si="28"/>
        <v>18367</v>
      </c>
      <c r="I123" s="189">
        <f t="shared" si="19"/>
        <v>17261</v>
      </c>
      <c r="J123" s="189">
        <f t="shared" si="20"/>
        <v>12976</v>
      </c>
      <c r="K123" s="189">
        <f t="shared" si="21"/>
        <v>7734</v>
      </c>
      <c r="L123" s="190">
        <f t="shared" si="22"/>
        <v>56338</v>
      </c>
      <c r="M123" s="188">
        <v>99</v>
      </c>
      <c r="N123" s="189">
        <v>613</v>
      </c>
      <c r="O123" s="189">
        <v>495</v>
      </c>
      <c r="P123" s="189"/>
      <c r="Q123" s="190">
        <v>1207</v>
      </c>
      <c r="R123" s="188">
        <v>6579</v>
      </c>
      <c r="S123" s="189">
        <v>5934</v>
      </c>
      <c r="T123" s="189">
        <v>4902</v>
      </c>
      <c r="U123" s="189">
        <v>3612</v>
      </c>
      <c r="V123" s="190">
        <v>21027</v>
      </c>
      <c r="W123" s="188"/>
      <c r="X123" s="189"/>
      <c r="Y123" s="189"/>
      <c r="Z123" s="189"/>
      <c r="AA123" s="190"/>
      <c r="AB123" s="188">
        <v>5188</v>
      </c>
      <c r="AC123" s="189">
        <v>4838</v>
      </c>
      <c r="AD123" s="189">
        <v>3658</v>
      </c>
      <c r="AE123" s="189">
        <v>2046</v>
      </c>
      <c r="AF123" s="190">
        <v>15730</v>
      </c>
      <c r="AG123" s="188"/>
      <c r="AH123" s="189"/>
      <c r="AI123" s="189"/>
      <c r="AJ123" s="189">
        <v>129</v>
      </c>
      <c r="AK123" s="190">
        <v>129</v>
      </c>
      <c r="AL123" s="188"/>
      <c r="AM123" s="189">
        <v>387</v>
      </c>
      <c r="AN123" s="189"/>
      <c r="AO123" s="189"/>
      <c r="AP123" s="190">
        <v>387</v>
      </c>
      <c r="AQ123" s="188">
        <v>2322</v>
      </c>
      <c r="AR123" s="189">
        <v>2459</v>
      </c>
      <c r="AS123" s="189">
        <v>1102</v>
      </c>
      <c r="AT123" s="189">
        <v>1180</v>
      </c>
      <c r="AU123" s="190">
        <v>7063</v>
      </c>
      <c r="AV123" s="188">
        <v>1312</v>
      </c>
      <c r="AW123" s="189">
        <v>1353</v>
      </c>
      <c r="AX123" s="189">
        <v>1223</v>
      </c>
      <c r="AY123" s="189">
        <v>767</v>
      </c>
      <c r="AZ123" s="190">
        <v>4655</v>
      </c>
      <c r="BA123" s="188">
        <v>2867</v>
      </c>
      <c r="BB123" s="189">
        <v>1677</v>
      </c>
      <c r="BC123" s="189">
        <v>1596</v>
      </c>
      <c r="BD123" s="189"/>
      <c r="BE123" s="190">
        <v>6140</v>
      </c>
      <c r="BF123" s="188">
        <f t="shared" si="29"/>
        <v>774</v>
      </c>
      <c r="BG123" s="189">
        <f t="shared" si="23"/>
        <v>1069</v>
      </c>
      <c r="BH123" s="189">
        <f t="shared" si="24"/>
        <v>516</v>
      </c>
      <c r="BI123" s="189">
        <f t="shared" si="25"/>
        <v>317</v>
      </c>
      <c r="BJ123" s="190">
        <f t="shared" si="26"/>
        <v>2676</v>
      </c>
      <c r="BK123" s="188"/>
      <c r="BL123" s="189"/>
      <c r="BM123" s="189"/>
      <c r="BN123" s="189"/>
      <c r="BO123" s="190"/>
      <c r="BP123" s="188">
        <v>258</v>
      </c>
      <c r="BQ123" s="189">
        <v>387</v>
      </c>
      <c r="BR123" s="189"/>
      <c r="BS123" s="189"/>
      <c r="BT123" s="190">
        <v>645</v>
      </c>
      <c r="BU123" s="188">
        <v>258</v>
      </c>
      <c r="BV123" s="189">
        <v>387</v>
      </c>
      <c r="BW123" s="189">
        <v>258</v>
      </c>
      <c r="BX123" s="189">
        <v>258</v>
      </c>
      <c r="BY123" s="190">
        <v>1161</v>
      </c>
      <c r="BZ123" s="188">
        <v>258</v>
      </c>
      <c r="CA123" s="189">
        <v>295</v>
      </c>
      <c r="CB123" s="189">
        <v>258</v>
      </c>
      <c r="CC123" s="189">
        <v>59</v>
      </c>
      <c r="CD123" s="190">
        <v>870</v>
      </c>
      <c r="CE123" s="188"/>
      <c r="CF123" s="189"/>
      <c r="CG123" s="189"/>
      <c r="CH123" s="189"/>
      <c r="CI123" s="190"/>
    </row>
    <row r="124" spans="1:87">
      <c r="A124" s="186"/>
      <c r="B124" s="187" t="s">
        <v>27</v>
      </c>
      <c r="C124" s="188">
        <f t="shared" si="27"/>
        <v>229163.5</v>
      </c>
      <c r="D124" s="189">
        <f t="shared" si="15"/>
        <v>181171.4</v>
      </c>
      <c r="E124" s="189">
        <f t="shared" si="16"/>
        <v>217035</v>
      </c>
      <c r="F124" s="189">
        <f t="shared" si="17"/>
        <v>262233.9</v>
      </c>
      <c r="G124" s="190">
        <f t="shared" si="18"/>
        <v>889603.8</v>
      </c>
      <c r="H124" s="188">
        <f t="shared" si="28"/>
        <v>179647.6</v>
      </c>
      <c r="I124" s="189">
        <f t="shared" si="19"/>
        <v>146578.4</v>
      </c>
      <c r="J124" s="189">
        <f t="shared" si="20"/>
        <v>180299.3</v>
      </c>
      <c r="K124" s="189">
        <f t="shared" si="21"/>
        <v>231192</v>
      </c>
      <c r="L124" s="190">
        <f t="shared" si="22"/>
        <v>737717.3</v>
      </c>
      <c r="M124" s="188">
        <v>35699.8</v>
      </c>
      <c r="N124" s="189">
        <v>26191.4</v>
      </c>
      <c r="O124" s="189">
        <v>25039.8</v>
      </c>
      <c r="P124" s="189">
        <v>12316.8</v>
      </c>
      <c r="Q124" s="190">
        <v>99247.8</v>
      </c>
      <c r="R124" s="188">
        <v>9135.9</v>
      </c>
      <c r="S124" s="189">
        <v>8788</v>
      </c>
      <c r="T124" s="189">
        <v>9332.6</v>
      </c>
      <c r="U124" s="189">
        <v>10154.4</v>
      </c>
      <c r="V124" s="190">
        <v>37410.9</v>
      </c>
      <c r="W124" s="188"/>
      <c r="X124" s="189"/>
      <c r="Y124" s="189"/>
      <c r="Z124" s="189">
        <v>36471</v>
      </c>
      <c r="AA124" s="190">
        <v>36471</v>
      </c>
      <c r="AB124" s="188">
        <v>2702.8</v>
      </c>
      <c r="AC124" s="189">
        <v>9905.7</v>
      </c>
      <c r="AD124" s="189">
        <v>12147.3</v>
      </c>
      <c r="AE124" s="189">
        <v>23443.8</v>
      </c>
      <c r="AF124" s="190">
        <v>48199.6</v>
      </c>
      <c r="AG124" s="188">
        <v>75497.3</v>
      </c>
      <c r="AH124" s="189">
        <v>57094.7</v>
      </c>
      <c r="AI124" s="189">
        <v>61196.2</v>
      </c>
      <c r="AJ124" s="189">
        <v>89324.1</v>
      </c>
      <c r="AK124" s="190">
        <v>283112.3</v>
      </c>
      <c r="AL124" s="188">
        <v>12170.3</v>
      </c>
      <c r="AM124" s="189">
        <v>5605</v>
      </c>
      <c r="AN124" s="189">
        <v>3881</v>
      </c>
      <c r="AO124" s="189">
        <v>5429.1</v>
      </c>
      <c r="AP124" s="190">
        <v>27085.4</v>
      </c>
      <c r="AQ124" s="188">
        <v>19065.2</v>
      </c>
      <c r="AR124" s="189">
        <v>17273.8</v>
      </c>
      <c r="AS124" s="189">
        <v>49660.9</v>
      </c>
      <c r="AT124" s="189">
        <v>40255.8</v>
      </c>
      <c r="AU124" s="190">
        <v>126255.7</v>
      </c>
      <c r="AV124" s="188">
        <v>3370</v>
      </c>
      <c r="AW124" s="189">
        <v>1183</v>
      </c>
      <c r="AX124" s="189">
        <v>497</v>
      </c>
      <c r="AY124" s="189">
        <v>288</v>
      </c>
      <c r="AZ124" s="190">
        <v>5338</v>
      </c>
      <c r="BA124" s="188">
        <v>22006.3</v>
      </c>
      <c r="BB124" s="189">
        <v>20536.8</v>
      </c>
      <c r="BC124" s="189">
        <v>18544.5</v>
      </c>
      <c r="BD124" s="189">
        <v>13509</v>
      </c>
      <c r="BE124" s="190">
        <v>74596.6</v>
      </c>
      <c r="BF124" s="188">
        <f t="shared" si="29"/>
        <v>49515.9</v>
      </c>
      <c r="BG124" s="189">
        <f t="shared" si="23"/>
        <v>34593</v>
      </c>
      <c r="BH124" s="189">
        <f t="shared" si="24"/>
        <v>36735.7</v>
      </c>
      <c r="BI124" s="189">
        <f t="shared" si="25"/>
        <v>31041.9</v>
      </c>
      <c r="BJ124" s="190">
        <f t="shared" si="26"/>
        <v>151886.5</v>
      </c>
      <c r="BK124" s="188">
        <v>634.9</v>
      </c>
      <c r="BL124" s="189">
        <v>2364.5</v>
      </c>
      <c r="BM124" s="189">
        <v>1957.2</v>
      </c>
      <c r="BN124" s="189">
        <v>1837.8</v>
      </c>
      <c r="BO124" s="190">
        <v>6794.4</v>
      </c>
      <c r="BP124" s="188">
        <v>5302.2</v>
      </c>
      <c r="BQ124" s="189">
        <v>4215.9</v>
      </c>
      <c r="BR124" s="189">
        <v>2900</v>
      </c>
      <c r="BS124" s="189">
        <v>3157.9</v>
      </c>
      <c r="BT124" s="190">
        <v>15576</v>
      </c>
      <c r="BU124" s="188">
        <v>39308.4</v>
      </c>
      <c r="BV124" s="189">
        <v>26564.1</v>
      </c>
      <c r="BW124" s="189">
        <v>27297.5</v>
      </c>
      <c r="BX124" s="189">
        <v>23800.2</v>
      </c>
      <c r="BY124" s="190">
        <v>116970.2</v>
      </c>
      <c r="BZ124" s="188">
        <v>3518</v>
      </c>
      <c r="CA124" s="189">
        <v>1201</v>
      </c>
      <c r="CB124" s="189">
        <v>4581</v>
      </c>
      <c r="CC124" s="189">
        <v>2246</v>
      </c>
      <c r="CD124" s="190">
        <v>11546</v>
      </c>
      <c r="CE124" s="188">
        <v>752.4</v>
      </c>
      <c r="CF124" s="189">
        <v>247.5</v>
      </c>
      <c r="CG124" s="189"/>
      <c r="CH124" s="189"/>
      <c r="CI124" s="190">
        <v>999.9</v>
      </c>
    </row>
    <row r="125" s="163" customFormat="1" ht="14.6" spans="1:87">
      <c r="A125" s="191" t="s">
        <v>110</v>
      </c>
      <c r="B125" s="192"/>
      <c r="C125" s="193">
        <f t="shared" si="27"/>
        <v>248304.5</v>
      </c>
      <c r="D125" s="194">
        <f t="shared" si="15"/>
        <v>199501.4</v>
      </c>
      <c r="E125" s="194">
        <f t="shared" si="16"/>
        <v>230527</v>
      </c>
      <c r="F125" s="194">
        <f t="shared" si="17"/>
        <v>270284.9</v>
      </c>
      <c r="G125" s="195">
        <f t="shared" si="18"/>
        <v>948617.8</v>
      </c>
      <c r="H125" s="193">
        <f t="shared" si="28"/>
        <v>198014.6</v>
      </c>
      <c r="I125" s="194">
        <f t="shared" si="19"/>
        <v>163839.4</v>
      </c>
      <c r="J125" s="194">
        <f t="shared" si="20"/>
        <v>193275.3</v>
      </c>
      <c r="K125" s="194">
        <f t="shared" si="21"/>
        <v>238926</v>
      </c>
      <c r="L125" s="195">
        <f t="shared" si="22"/>
        <v>794055.3</v>
      </c>
      <c r="M125" s="193">
        <v>35798.8</v>
      </c>
      <c r="N125" s="194">
        <v>26804.4</v>
      </c>
      <c r="O125" s="194">
        <v>25534.8</v>
      </c>
      <c r="P125" s="194">
        <v>12316.8</v>
      </c>
      <c r="Q125" s="195">
        <v>100454.8</v>
      </c>
      <c r="R125" s="193">
        <v>15714.9</v>
      </c>
      <c r="S125" s="194">
        <v>14722</v>
      </c>
      <c r="T125" s="194">
        <v>14234.6</v>
      </c>
      <c r="U125" s="194">
        <v>13766.4</v>
      </c>
      <c r="V125" s="195">
        <v>58437.9</v>
      </c>
      <c r="W125" s="193"/>
      <c r="X125" s="194"/>
      <c r="Y125" s="194"/>
      <c r="Z125" s="194">
        <v>36471</v>
      </c>
      <c r="AA125" s="195">
        <v>36471</v>
      </c>
      <c r="AB125" s="193">
        <v>7890.8</v>
      </c>
      <c r="AC125" s="194">
        <v>14743.7</v>
      </c>
      <c r="AD125" s="194">
        <v>15805.3</v>
      </c>
      <c r="AE125" s="194">
        <v>25489.8</v>
      </c>
      <c r="AF125" s="195">
        <v>63929.6</v>
      </c>
      <c r="AG125" s="193">
        <v>75497.3</v>
      </c>
      <c r="AH125" s="194">
        <v>57094.7</v>
      </c>
      <c r="AI125" s="194">
        <v>61196.2</v>
      </c>
      <c r="AJ125" s="194">
        <v>89453.1</v>
      </c>
      <c r="AK125" s="195">
        <v>283241.3</v>
      </c>
      <c r="AL125" s="193">
        <v>12170.3</v>
      </c>
      <c r="AM125" s="194">
        <v>5992</v>
      </c>
      <c r="AN125" s="194">
        <v>3881</v>
      </c>
      <c r="AO125" s="194">
        <v>5429.1</v>
      </c>
      <c r="AP125" s="195">
        <v>27472.4</v>
      </c>
      <c r="AQ125" s="193">
        <v>21387.2</v>
      </c>
      <c r="AR125" s="194">
        <v>19732.8</v>
      </c>
      <c r="AS125" s="194">
        <v>50762.9</v>
      </c>
      <c r="AT125" s="194">
        <v>41435.8</v>
      </c>
      <c r="AU125" s="195">
        <v>133318.7</v>
      </c>
      <c r="AV125" s="193">
        <v>4682</v>
      </c>
      <c r="AW125" s="194">
        <v>2536</v>
      </c>
      <c r="AX125" s="194">
        <v>1720</v>
      </c>
      <c r="AY125" s="194">
        <v>1055</v>
      </c>
      <c r="AZ125" s="195">
        <v>9993</v>
      </c>
      <c r="BA125" s="193">
        <v>24873.3</v>
      </c>
      <c r="BB125" s="194">
        <v>22213.8</v>
      </c>
      <c r="BC125" s="194">
        <v>20140.5</v>
      </c>
      <c r="BD125" s="194">
        <v>13509</v>
      </c>
      <c r="BE125" s="195">
        <v>80736.6</v>
      </c>
      <c r="BF125" s="193">
        <f t="shared" si="29"/>
        <v>50289.9</v>
      </c>
      <c r="BG125" s="194">
        <f t="shared" si="23"/>
        <v>35662</v>
      </c>
      <c r="BH125" s="194">
        <f t="shared" si="24"/>
        <v>37251.7</v>
      </c>
      <c r="BI125" s="194">
        <f t="shared" si="25"/>
        <v>31358.9</v>
      </c>
      <c r="BJ125" s="195">
        <f t="shared" si="26"/>
        <v>154562.5</v>
      </c>
      <c r="BK125" s="193">
        <v>634.9</v>
      </c>
      <c r="BL125" s="194">
        <v>2364.5</v>
      </c>
      <c r="BM125" s="194">
        <v>1957.2</v>
      </c>
      <c r="BN125" s="194">
        <v>1837.8</v>
      </c>
      <c r="BO125" s="195">
        <v>6794.4</v>
      </c>
      <c r="BP125" s="193">
        <v>5560.2</v>
      </c>
      <c r="BQ125" s="194">
        <v>4602.9</v>
      </c>
      <c r="BR125" s="194">
        <v>2900</v>
      </c>
      <c r="BS125" s="194">
        <v>3157.9</v>
      </c>
      <c r="BT125" s="195">
        <v>16221</v>
      </c>
      <c r="BU125" s="193">
        <v>39566.4</v>
      </c>
      <c r="BV125" s="194">
        <v>26951.1</v>
      </c>
      <c r="BW125" s="194">
        <v>27555.5</v>
      </c>
      <c r="BX125" s="194">
        <v>24058.2</v>
      </c>
      <c r="BY125" s="195">
        <v>118131.2</v>
      </c>
      <c r="BZ125" s="193">
        <v>3776</v>
      </c>
      <c r="CA125" s="194">
        <v>1496</v>
      </c>
      <c r="CB125" s="194">
        <v>4839</v>
      </c>
      <c r="CC125" s="194">
        <v>2305</v>
      </c>
      <c r="CD125" s="195">
        <v>12416</v>
      </c>
      <c r="CE125" s="193">
        <v>752.4</v>
      </c>
      <c r="CF125" s="194">
        <v>247.5</v>
      </c>
      <c r="CG125" s="194"/>
      <c r="CH125" s="194"/>
      <c r="CI125" s="195">
        <v>999.9</v>
      </c>
    </row>
    <row r="126" spans="1:87">
      <c r="A126" s="186" t="s">
        <v>111</v>
      </c>
      <c r="B126" s="187" t="s">
        <v>26</v>
      </c>
      <c r="C126" s="188">
        <f t="shared" si="27"/>
        <v>236187</v>
      </c>
      <c r="D126" s="189">
        <f t="shared" si="15"/>
        <v>277863</v>
      </c>
      <c r="E126" s="189">
        <f t="shared" si="16"/>
        <v>206724</v>
      </c>
      <c r="F126" s="189">
        <f t="shared" si="17"/>
        <v>168153</v>
      </c>
      <c r="G126" s="190">
        <f t="shared" si="18"/>
        <v>888927</v>
      </c>
      <c r="H126" s="188">
        <f t="shared" si="28"/>
        <v>141795</v>
      </c>
      <c r="I126" s="189">
        <f t="shared" si="19"/>
        <v>178296</v>
      </c>
      <c r="J126" s="189">
        <f t="shared" si="20"/>
        <v>128685</v>
      </c>
      <c r="K126" s="189">
        <f t="shared" si="21"/>
        <v>78108</v>
      </c>
      <c r="L126" s="190">
        <f t="shared" si="22"/>
        <v>526884</v>
      </c>
      <c r="M126" s="188"/>
      <c r="N126" s="189"/>
      <c r="O126" s="189"/>
      <c r="P126" s="189"/>
      <c r="Q126" s="190"/>
      <c r="R126" s="188">
        <v>47058</v>
      </c>
      <c r="S126" s="189">
        <v>106812</v>
      </c>
      <c r="T126" s="189">
        <v>48783</v>
      </c>
      <c r="U126" s="189">
        <v>20493</v>
      </c>
      <c r="V126" s="190">
        <v>223146</v>
      </c>
      <c r="W126" s="188"/>
      <c r="X126" s="189"/>
      <c r="Y126" s="189">
        <v>2760</v>
      </c>
      <c r="Z126" s="189"/>
      <c r="AA126" s="190">
        <v>2760</v>
      </c>
      <c r="AB126" s="188">
        <v>13524</v>
      </c>
      <c r="AC126" s="189">
        <v>2277</v>
      </c>
      <c r="AD126" s="189">
        <v>1380</v>
      </c>
      <c r="AE126" s="189">
        <v>69</v>
      </c>
      <c r="AF126" s="190">
        <v>17250</v>
      </c>
      <c r="AG126" s="188">
        <v>1656</v>
      </c>
      <c r="AH126" s="189">
        <v>4554</v>
      </c>
      <c r="AI126" s="189">
        <v>3036</v>
      </c>
      <c r="AJ126" s="189">
        <v>1932</v>
      </c>
      <c r="AK126" s="190">
        <v>11178</v>
      </c>
      <c r="AL126" s="188">
        <v>138</v>
      </c>
      <c r="AM126" s="189">
        <v>69</v>
      </c>
      <c r="AN126" s="189">
        <v>69</v>
      </c>
      <c r="AO126" s="189"/>
      <c r="AP126" s="190">
        <v>276</v>
      </c>
      <c r="AQ126" s="188">
        <v>10074</v>
      </c>
      <c r="AR126" s="189">
        <v>10143</v>
      </c>
      <c r="AS126" s="189">
        <v>15663</v>
      </c>
      <c r="AT126" s="189">
        <v>15939</v>
      </c>
      <c r="AU126" s="190">
        <v>51819</v>
      </c>
      <c r="AV126" s="188">
        <v>6900</v>
      </c>
      <c r="AW126" s="189">
        <v>8211</v>
      </c>
      <c r="AX126" s="189">
        <v>4278</v>
      </c>
      <c r="AY126" s="189">
        <v>69</v>
      </c>
      <c r="AZ126" s="190">
        <v>19458</v>
      </c>
      <c r="BA126" s="188">
        <v>62445</v>
      </c>
      <c r="BB126" s="189">
        <v>46230</v>
      </c>
      <c r="BC126" s="189">
        <v>52716</v>
      </c>
      <c r="BD126" s="189">
        <v>39606</v>
      </c>
      <c r="BE126" s="190">
        <v>200997</v>
      </c>
      <c r="BF126" s="188">
        <f t="shared" si="29"/>
        <v>94392</v>
      </c>
      <c r="BG126" s="189">
        <f t="shared" si="23"/>
        <v>99567</v>
      </c>
      <c r="BH126" s="189">
        <f t="shared" si="24"/>
        <v>78039</v>
      </c>
      <c r="BI126" s="189">
        <f t="shared" si="25"/>
        <v>90045</v>
      </c>
      <c r="BJ126" s="190">
        <f t="shared" si="26"/>
        <v>362043</v>
      </c>
      <c r="BK126" s="188">
        <v>8694</v>
      </c>
      <c r="BL126" s="189">
        <v>2691</v>
      </c>
      <c r="BM126" s="189">
        <v>4830</v>
      </c>
      <c r="BN126" s="189">
        <v>5382</v>
      </c>
      <c r="BO126" s="190">
        <v>21597</v>
      </c>
      <c r="BP126" s="188">
        <v>56580</v>
      </c>
      <c r="BQ126" s="189">
        <v>62514</v>
      </c>
      <c r="BR126" s="189">
        <v>59271</v>
      </c>
      <c r="BS126" s="189">
        <v>60720</v>
      </c>
      <c r="BT126" s="190">
        <v>239085</v>
      </c>
      <c r="BU126" s="188">
        <v>18975</v>
      </c>
      <c r="BV126" s="189">
        <v>23322</v>
      </c>
      <c r="BW126" s="189">
        <v>2829</v>
      </c>
      <c r="BX126" s="189">
        <v>2139</v>
      </c>
      <c r="BY126" s="190">
        <v>47265</v>
      </c>
      <c r="BZ126" s="188">
        <v>6969</v>
      </c>
      <c r="CA126" s="189">
        <v>7866</v>
      </c>
      <c r="CB126" s="189">
        <v>7590</v>
      </c>
      <c r="CC126" s="189">
        <v>9039</v>
      </c>
      <c r="CD126" s="190">
        <v>31464</v>
      </c>
      <c r="CE126" s="188">
        <v>3174</v>
      </c>
      <c r="CF126" s="189">
        <v>3174</v>
      </c>
      <c r="CG126" s="189">
        <v>3519</v>
      </c>
      <c r="CH126" s="189">
        <v>12765</v>
      </c>
      <c r="CI126" s="190">
        <v>22632</v>
      </c>
    </row>
    <row r="127" spans="1:87">
      <c r="A127" s="186"/>
      <c r="B127" s="187" t="s">
        <v>28</v>
      </c>
      <c r="C127" s="188">
        <f t="shared" si="27"/>
        <v>0</v>
      </c>
      <c r="D127" s="189">
        <f t="shared" si="15"/>
        <v>0</v>
      </c>
      <c r="E127" s="189">
        <f t="shared" si="16"/>
        <v>12152</v>
      </c>
      <c r="F127" s="189">
        <f t="shared" si="17"/>
        <v>27881</v>
      </c>
      <c r="G127" s="190">
        <f t="shared" si="18"/>
        <v>40033</v>
      </c>
      <c r="H127" s="188">
        <f t="shared" si="28"/>
        <v>0</v>
      </c>
      <c r="I127" s="189">
        <f t="shared" si="19"/>
        <v>0</v>
      </c>
      <c r="J127" s="189">
        <f t="shared" si="20"/>
        <v>12152</v>
      </c>
      <c r="K127" s="189">
        <f t="shared" si="21"/>
        <v>27881</v>
      </c>
      <c r="L127" s="190">
        <f t="shared" si="22"/>
        <v>40033</v>
      </c>
      <c r="M127" s="188"/>
      <c r="N127" s="189"/>
      <c r="O127" s="189"/>
      <c r="P127" s="189"/>
      <c r="Q127" s="190"/>
      <c r="R127" s="188"/>
      <c r="S127" s="189"/>
      <c r="T127" s="189">
        <v>12152</v>
      </c>
      <c r="U127" s="189">
        <v>26264</v>
      </c>
      <c r="V127" s="190">
        <v>38416</v>
      </c>
      <c r="W127" s="188"/>
      <c r="X127" s="189"/>
      <c r="Y127" s="189"/>
      <c r="Z127" s="189"/>
      <c r="AA127" s="190"/>
      <c r="AB127" s="188"/>
      <c r="AC127" s="189"/>
      <c r="AD127" s="189"/>
      <c r="AE127" s="189"/>
      <c r="AF127" s="190"/>
      <c r="AG127" s="188"/>
      <c r="AH127" s="189"/>
      <c r="AI127" s="189"/>
      <c r="AJ127" s="189"/>
      <c r="AK127" s="190"/>
      <c r="AL127" s="188"/>
      <c r="AM127" s="189"/>
      <c r="AN127" s="189"/>
      <c r="AO127" s="189">
        <v>1617</v>
      </c>
      <c r="AP127" s="190">
        <v>1617</v>
      </c>
      <c r="AQ127" s="188"/>
      <c r="AR127" s="189"/>
      <c r="AS127" s="189"/>
      <c r="AT127" s="189"/>
      <c r="AU127" s="190"/>
      <c r="AV127" s="188"/>
      <c r="AW127" s="189"/>
      <c r="AX127" s="189"/>
      <c r="AY127" s="189"/>
      <c r="AZ127" s="190"/>
      <c r="BA127" s="188"/>
      <c r="BB127" s="189"/>
      <c r="BC127" s="189"/>
      <c r="BD127" s="189"/>
      <c r="BE127" s="190"/>
      <c r="BF127" s="188">
        <f t="shared" si="29"/>
        <v>0</v>
      </c>
      <c r="BG127" s="189">
        <f t="shared" si="23"/>
        <v>0</v>
      </c>
      <c r="BH127" s="189">
        <f t="shared" si="24"/>
        <v>0</v>
      </c>
      <c r="BI127" s="189">
        <f t="shared" si="25"/>
        <v>0</v>
      </c>
      <c r="BJ127" s="190">
        <f t="shared" si="26"/>
        <v>0</v>
      </c>
      <c r="BK127" s="188"/>
      <c r="BL127" s="189"/>
      <c r="BM127" s="189"/>
      <c r="BN127" s="189"/>
      <c r="BO127" s="190"/>
      <c r="BP127" s="188"/>
      <c r="BQ127" s="189"/>
      <c r="BR127" s="189"/>
      <c r="BS127" s="189"/>
      <c r="BT127" s="190"/>
      <c r="BU127" s="188"/>
      <c r="BV127" s="189"/>
      <c r="BW127" s="189"/>
      <c r="BX127" s="189"/>
      <c r="BY127" s="190"/>
      <c r="BZ127" s="188"/>
      <c r="CA127" s="189"/>
      <c r="CB127" s="189"/>
      <c r="CC127" s="189"/>
      <c r="CD127" s="190"/>
      <c r="CE127" s="188"/>
      <c r="CF127" s="189"/>
      <c r="CG127" s="189"/>
      <c r="CH127" s="189"/>
      <c r="CI127" s="190"/>
    </row>
    <row r="128" s="163" customFormat="1" ht="14.6" spans="1:87">
      <c r="A128" s="191" t="s">
        <v>112</v>
      </c>
      <c r="B128" s="192"/>
      <c r="C128" s="193">
        <f t="shared" si="27"/>
        <v>236187</v>
      </c>
      <c r="D128" s="194">
        <f t="shared" si="15"/>
        <v>277863</v>
      </c>
      <c r="E128" s="194">
        <f t="shared" si="16"/>
        <v>218876</v>
      </c>
      <c r="F128" s="194">
        <f t="shared" si="17"/>
        <v>196034</v>
      </c>
      <c r="G128" s="195">
        <f t="shared" si="18"/>
        <v>928960</v>
      </c>
      <c r="H128" s="193">
        <f t="shared" si="28"/>
        <v>141795</v>
      </c>
      <c r="I128" s="194">
        <f t="shared" si="19"/>
        <v>178296</v>
      </c>
      <c r="J128" s="194">
        <f t="shared" si="20"/>
        <v>140837</v>
      </c>
      <c r="K128" s="194">
        <f t="shared" si="21"/>
        <v>105989</v>
      </c>
      <c r="L128" s="195">
        <f t="shared" si="22"/>
        <v>566917</v>
      </c>
      <c r="M128" s="193"/>
      <c r="N128" s="194"/>
      <c r="O128" s="194"/>
      <c r="P128" s="194"/>
      <c r="Q128" s="195"/>
      <c r="R128" s="193">
        <v>47058</v>
      </c>
      <c r="S128" s="194">
        <v>106812</v>
      </c>
      <c r="T128" s="194">
        <v>60935</v>
      </c>
      <c r="U128" s="194">
        <v>46757</v>
      </c>
      <c r="V128" s="195">
        <v>261562</v>
      </c>
      <c r="W128" s="193"/>
      <c r="X128" s="194"/>
      <c r="Y128" s="194">
        <v>2760</v>
      </c>
      <c r="Z128" s="194"/>
      <c r="AA128" s="195">
        <v>2760</v>
      </c>
      <c r="AB128" s="193">
        <v>13524</v>
      </c>
      <c r="AC128" s="194">
        <v>2277</v>
      </c>
      <c r="AD128" s="194">
        <v>1380</v>
      </c>
      <c r="AE128" s="194">
        <v>69</v>
      </c>
      <c r="AF128" s="195">
        <v>17250</v>
      </c>
      <c r="AG128" s="193">
        <v>1656</v>
      </c>
      <c r="AH128" s="194">
        <v>4554</v>
      </c>
      <c r="AI128" s="194">
        <v>3036</v>
      </c>
      <c r="AJ128" s="194">
        <v>1932</v>
      </c>
      <c r="AK128" s="195">
        <v>11178</v>
      </c>
      <c r="AL128" s="193">
        <v>138</v>
      </c>
      <c r="AM128" s="194">
        <v>69</v>
      </c>
      <c r="AN128" s="194">
        <v>69</v>
      </c>
      <c r="AO128" s="194">
        <v>1617</v>
      </c>
      <c r="AP128" s="195">
        <v>1893</v>
      </c>
      <c r="AQ128" s="193">
        <v>10074</v>
      </c>
      <c r="AR128" s="194">
        <v>10143</v>
      </c>
      <c r="AS128" s="194">
        <v>15663</v>
      </c>
      <c r="AT128" s="194">
        <v>15939</v>
      </c>
      <c r="AU128" s="195">
        <v>51819</v>
      </c>
      <c r="AV128" s="193">
        <v>6900</v>
      </c>
      <c r="AW128" s="194">
        <v>8211</v>
      </c>
      <c r="AX128" s="194">
        <v>4278</v>
      </c>
      <c r="AY128" s="194">
        <v>69</v>
      </c>
      <c r="AZ128" s="195">
        <v>19458</v>
      </c>
      <c r="BA128" s="193">
        <v>62445</v>
      </c>
      <c r="BB128" s="194">
        <v>46230</v>
      </c>
      <c r="BC128" s="194">
        <v>52716</v>
      </c>
      <c r="BD128" s="194">
        <v>39606</v>
      </c>
      <c r="BE128" s="195">
        <v>200997</v>
      </c>
      <c r="BF128" s="193">
        <f t="shared" si="29"/>
        <v>94392</v>
      </c>
      <c r="BG128" s="194">
        <f t="shared" si="23"/>
        <v>99567</v>
      </c>
      <c r="BH128" s="194">
        <f t="shared" si="24"/>
        <v>78039</v>
      </c>
      <c r="BI128" s="194">
        <f t="shared" si="25"/>
        <v>90045</v>
      </c>
      <c r="BJ128" s="195">
        <f t="shared" si="26"/>
        <v>362043</v>
      </c>
      <c r="BK128" s="193">
        <v>8694</v>
      </c>
      <c r="BL128" s="194">
        <v>2691</v>
      </c>
      <c r="BM128" s="194">
        <v>4830</v>
      </c>
      <c r="BN128" s="194">
        <v>5382</v>
      </c>
      <c r="BO128" s="195">
        <v>21597</v>
      </c>
      <c r="BP128" s="193">
        <v>56580</v>
      </c>
      <c r="BQ128" s="194">
        <v>62514</v>
      </c>
      <c r="BR128" s="194">
        <v>59271</v>
      </c>
      <c r="BS128" s="194">
        <v>60720</v>
      </c>
      <c r="BT128" s="195">
        <v>239085</v>
      </c>
      <c r="BU128" s="193">
        <v>18975</v>
      </c>
      <c r="BV128" s="194">
        <v>23322</v>
      </c>
      <c r="BW128" s="194">
        <v>2829</v>
      </c>
      <c r="BX128" s="194">
        <v>2139</v>
      </c>
      <c r="BY128" s="195">
        <v>47265</v>
      </c>
      <c r="BZ128" s="193">
        <v>6969</v>
      </c>
      <c r="CA128" s="194">
        <v>7866</v>
      </c>
      <c r="CB128" s="194">
        <v>7590</v>
      </c>
      <c r="CC128" s="194">
        <v>9039</v>
      </c>
      <c r="CD128" s="195">
        <v>31464</v>
      </c>
      <c r="CE128" s="193">
        <v>3174</v>
      </c>
      <c r="CF128" s="194">
        <v>3174</v>
      </c>
      <c r="CG128" s="194">
        <v>3519</v>
      </c>
      <c r="CH128" s="194">
        <v>12765</v>
      </c>
      <c r="CI128" s="195">
        <v>22632</v>
      </c>
    </row>
    <row r="129" spans="1:87">
      <c r="A129" s="186" t="s">
        <v>113</v>
      </c>
      <c r="B129" s="187" t="s">
        <v>26</v>
      </c>
      <c r="C129" s="188">
        <f t="shared" si="27"/>
        <v>240732</v>
      </c>
      <c r="D129" s="189">
        <f t="shared" si="15"/>
        <v>175628</v>
      </c>
      <c r="E129" s="189">
        <f t="shared" si="16"/>
        <v>197505</v>
      </c>
      <c r="F129" s="189">
        <f t="shared" si="17"/>
        <v>206133</v>
      </c>
      <c r="G129" s="190">
        <f t="shared" si="18"/>
        <v>819998</v>
      </c>
      <c r="H129" s="188">
        <f t="shared" si="28"/>
        <v>173196</v>
      </c>
      <c r="I129" s="189">
        <f t="shared" si="19"/>
        <v>115592</v>
      </c>
      <c r="J129" s="189">
        <f t="shared" si="20"/>
        <v>142461</v>
      </c>
      <c r="K129" s="189">
        <f t="shared" si="21"/>
        <v>147954</v>
      </c>
      <c r="L129" s="190">
        <f t="shared" si="22"/>
        <v>579203</v>
      </c>
      <c r="M129" s="188">
        <v>15594</v>
      </c>
      <c r="N129" s="189">
        <v>11592</v>
      </c>
      <c r="O129" s="189">
        <v>19527</v>
      </c>
      <c r="P129" s="189">
        <v>12333</v>
      </c>
      <c r="Q129" s="190">
        <v>59046</v>
      </c>
      <c r="R129" s="188"/>
      <c r="S129" s="189"/>
      <c r="T129" s="189"/>
      <c r="U129" s="189"/>
      <c r="V129" s="190"/>
      <c r="W129" s="188">
        <v>69</v>
      </c>
      <c r="X129" s="189"/>
      <c r="Y129" s="189">
        <v>69</v>
      </c>
      <c r="Z129" s="189"/>
      <c r="AA129" s="190">
        <v>138</v>
      </c>
      <c r="AB129" s="188">
        <v>51003</v>
      </c>
      <c r="AC129" s="189">
        <v>14610</v>
      </c>
      <c r="AD129" s="189">
        <v>39174</v>
      </c>
      <c r="AE129" s="189">
        <v>52026</v>
      </c>
      <c r="AF129" s="190">
        <v>156813</v>
      </c>
      <c r="AG129" s="188">
        <v>28911</v>
      </c>
      <c r="AH129" s="189">
        <v>16146</v>
      </c>
      <c r="AI129" s="189">
        <v>20700</v>
      </c>
      <c r="AJ129" s="189">
        <v>19389</v>
      </c>
      <c r="AK129" s="190">
        <v>85146</v>
      </c>
      <c r="AL129" s="188">
        <v>18642</v>
      </c>
      <c r="AM129" s="189">
        <v>25158</v>
      </c>
      <c r="AN129" s="189">
        <v>17004</v>
      </c>
      <c r="AO129" s="189">
        <v>21678</v>
      </c>
      <c r="AP129" s="190">
        <v>82482</v>
      </c>
      <c r="AQ129" s="188">
        <v>11799</v>
      </c>
      <c r="AR129" s="189">
        <v>17595</v>
      </c>
      <c r="AS129" s="189">
        <v>10350</v>
      </c>
      <c r="AT129" s="189">
        <v>3657</v>
      </c>
      <c r="AU129" s="190">
        <v>43401</v>
      </c>
      <c r="AV129" s="188">
        <v>9681</v>
      </c>
      <c r="AW129" s="189">
        <v>4595</v>
      </c>
      <c r="AX129" s="189">
        <v>2289</v>
      </c>
      <c r="AY129" s="189">
        <v>1215</v>
      </c>
      <c r="AZ129" s="190">
        <v>17780</v>
      </c>
      <c r="BA129" s="188">
        <v>37497</v>
      </c>
      <c r="BB129" s="189">
        <v>25896</v>
      </c>
      <c r="BC129" s="189">
        <v>33348</v>
      </c>
      <c r="BD129" s="189">
        <v>37656</v>
      </c>
      <c r="BE129" s="190">
        <v>134397</v>
      </c>
      <c r="BF129" s="188">
        <f t="shared" si="29"/>
        <v>67536</v>
      </c>
      <c r="BG129" s="189">
        <f t="shared" si="23"/>
        <v>60036</v>
      </c>
      <c r="BH129" s="189">
        <f t="shared" si="24"/>
        <v>55044</v>
      </c>
      <c r="BI129" s="189">
        <f t="shared" si="25"/>
        <v>58179</v>
      </c>
      <c r="BJ129" s="190">
        <f t="shared" si="26"/>
        <v>240795</v>
      </c>
      <c r="BK129" s="188">
        <v>6279</v>
      </c>
      <c r="BL129" s="189">
        <v>7068</v>
      </c>
      <c r="BM129" s="189">
        <v>5727</v>
      </c>
      <c r="BN129" s="189">
        <v>3036</v>
      </c>
      <c r="BO129" s="190">
        <v>22110</v>
      </c>
      <c r="BP129" s="188">
        <v>23046</v>
      </c>
      <c r="BQ129" s="189">
        <v>21252</v>
      </c>
      <c r="BR129" s="189">
        <v>26595</v>
      </c>
      <c r="BS129" s="189">
        <v>24663</v>
      </c>
      <c r="BT129" s="190">
        <v>95556</v>
      </c>
      <c r="BU129" s="188">
        <v>32706</v>
      </c>
      <c r="BV129" s="189">
        <v>26289</v>
      </c>
      <c r="BW129" s="189">
        <v>20247</v>
      </c>
      <c r="BX129" s="189">
        <v>28635</v>
      </c>
      <c r="BY129" s="190">
        <v>107877</v>
      </c>
      <c r="BZ129" s="188">
        <v>4515</v>
      </c>
      <c r="CA129" s="189">
        <v>4140</v>
      </c>
      <c r="CB129" s="189">
        <v>2277</v>
      </c>
      <c r="CC129" s="189">
        <v>1449</v>
      </c>
      <c r="CD129" s="190">
        <v>12381</v>
      </c>
      <c r="CE129" s="188">
        <v>990</v>
      </c>
      <c r="CF129" s="189">
        <v>1287</v>
      </c>
      <c r="CG129" s="189">
        <v>198</v>
      </c>
      <c r="CH129" s="189">
        <v>396</v>
      </c>
      <c r="CI129" s="190">
        <v>2871</v>
      </c>
    </row>
    <row r="130" s="163" customFormat="1" ht="14.6" spans="1:87">
      <c r="A130" s="191" t="s">
        <v>114</v>
      </c>
      <c r="B130" s="192"/>
      <c r="C130" s="193">
        <f t="shared" si="27"/>
        <v>240732</v>
      </c>
      <c r="D130" s="194">
        <f t="shared" si="15"/>
        <v>175628</v>
      </c>
      <c r="E130" s="194">
        <f t="shared" si="16"/>
        <v>197505</v>
      </c>
      <c r="F130" s="194">
        <f t="shared" si="17"/>
        <v>206133</v>
      </c>
      <c r="G130" s="195">
        <f t="shared" si="18"/>
        <v>819998</v>
      </c>
      <c r="H130" s="193">
        <f t="shared" si="28"/>
        <v>173196</v>
      </c>
      <c r="I130" s="194">
        <f t="shared" si="19"/>
        <v>115592</v>
      </c>
      <c r="J130" s="194">
        <f t="shared" si="20"/>
        <v>142461</v>
      </c>
      <c r="K130" s="194">
        <f t="shared" si="21"/>
        <v>147954</v>
      </c>
      <c r="L130" s="195">
        <f t="shared" si="22"/>
        <v>579203</v>
      </c>
      <c r="M130" s="193">
        <v>15594</v>
      </c>
      <c r="N130" s="194">
        <v>11592</v>
      </c>
      <c r="O130" s="194">
        <v>19527</v>
      </c>
      <c r="P130" s="194">
        <v>12333</v>
      </c>
      <c r="Q130" s="195">
        <v>59046</v>
      </c>
      <c r="R130" s="193"/>
      <c r="S130" s="194"/>
      <c r="T130" s="194"/>
      <c r="U130" s="194"/>
      <c r="V130" s="195"/>
      <c r="W130" s="193">
        <v>69</v>
      </c>
      <c r="X130" s="194"/>
      <c r="Y130" s="194">
        <v>69</v>
      </c>
      <c r="Z130" s="194"/>
      <c r="AA130" s="195">
        <v>138</v>
      </c>
      <c r="AB130" s="193">
        <v>51003</v>
      </c>
      <c r="AC130" s="194">
        <v>14610</v>
      </c>
      <c r="AD130" s="194">
        <v>39174</v>
      </c>
      <c r="AE130" s="194">
        <v>52026</v>
      </c>
      <c r="AF130" s="195">
        <v>156813</v>
      </c>
      <c r="AG130" s="193">
        <v>28911</v>
      </c>
      <c r="AH130" s="194">
        <v>16146</v>
      </c>
      <c r="AI130" s="194">
        <v>20700</v>
      </c>
      <c r="AJ130" s="194">
        <v>19389</v>
      </c>
      <c r="AK130" s="195">
        <v>85146</v>
      </c>
      <c r="AL130" s="193">
        <v>18642</v>
      </c>
      <c r="AM130" s="194">
        <v>25158</v>
      </c>
      <c r="AN130" s="194">
        <v>17004</v>
      </c>
      <c r="AO130" s="194">
        <v>21678</v>
      </c>
      <c r="AP130" s="195">
        <v>82482</v>
      </c>
      <c r="AQ130" s="193">
        <v>11799</v>
      </c>
      <c r="AR130" s="194">
        <v>17595</v>
      </c>
      <c r="AS130" s="194">
        <v>10350</v>
      </c>
      <c r="AT130" s="194">
        <v>3657</v>
      </c>
      <c r="AU130" s="195">
        <v>43401</v>
      </c>
      <c r="AV130" s="193">
        <v>9681</v>
      </c>
      <c r="AW130" s="194">
        <v>4595</v>
      </c>
      <c r="AX130" s="194">
        <v>2289</v>
      </c>
      <c r="AY130" s="194">
        <v>1215</v>
      </c>
      <c r="AZ130" s="195">
        <v>17780</v>
      </c>
      <c r="BA130" s="193">
        <v>37497</v>
      </c>
      <c r="BB130" s="194">
        <v>25896</v>
      </c>
      <c r="BC130" s="194">
        <v>33348</v>
      </c>
      <c r="BD130" s="194">
        <v>37656</v>
      </c>
      <c r="BE130" s="195">
        <v>134397</v>
      </c>
      <c r="BF130" s="193">
        <f t="shared" si="29"/>
        <v>67536</v>
      </c>
      <c r="BG130" s="194">
        <f t="shared" si="23"/>
        <v>60036</v>
      </c>
      <c r="BH130" s="194">
        <f t="shared" si="24"/>
        <v>55044</v>
      </c>
      <c r="BI130" s="194">
        <f t="shared" si="25"/>
        <v>58179</v>
      </c>
      <c r="BJ130" s="195">
        <f t="shared" si="26"/>
        <v>240795</v>
      </c>
      <c r="BK130" s="193">
        <v>6279</v>
      </c>
      <c r="BL130" s="194">
        <v>7068</v>
      </c>
      <c r="BM130" s="194">
        <v>5727</v>
      </c>
      <c r="BN130" s="194">
        <v>3036</v>
      </c>
      <c r="BO130" s="195">
        <v>22110</v>
      </c>
      <c r="BP130" s="193">
        <v>23046</v>
      </c>
      <c r="BQ130" s="194">
        <v>21252</v>
      </c>
      <c r="BR130" s="194">
        <v>26595</v>
      </c>
      <c r="BS130" s="194">
        <v>24663</v>
      </c>
      <c r="BT130" s="195">
        <v>95556</v>
      </c>
      <c r="BU130" s="193">
        <v>32706</v>
      </c>
      <c r="BV130" s="194">
        <v>26289</v>
      </c>
      <c r="BW130" s="194">
        <v>20247</v>
      </c>
      <c r="BX130" s="194">
        <v>28635</v>
      </c>
      <c r="BY130" s="195">
        <v>107877</v>
      </c>
      <c r="BZ130" s="193">
        <v>4515</v>
      </c>
      <c r="CA130" s="194">
        <v>4140</v>
      </c>
      <c r="CB130" s="194">
        <v>2277</v>
      </c>
      <c r="CC130" s="194">
        <v>1449</v>
      </c>
      <c r="CD130" s="195">
        <v>12381</v>
      </c>
      <c r="CE130" s="193">
        <v>990</v>
      </c>
      <c r="CF130" s="194">
        <v>1287</v>
      </c>
      <c r="CG130" s="194">
        <v>198</v>
      </c>
      <c r="CH130" s="194">
        <v>396</v>
      </c>
      <c r="CI130" s="195">
        <v>2871</v>
      </c>
    </row>
    <row r="131" spans="1:87">
      <c r="A131" s="186" t="s">
        <v>115</v>
      </c>
      <c r="B131" s="187" t="s">
        <v>26</v>
      </c>
      <c r="C131" s="188">
        <f t="shared" si="27"/>
        <v>197478</v>
      </c>
      <c r="D131" s="189">
        <f t="shared" ref="D131:D194" si="30">I131+BG131</f>
        <v>189681</v>
      </c>
      <c r="E131" s="189">
        <f t="shared" ref="E131:E194" si="31">J131+BH131</f>
        <v>161253</v>
      </c>
      <c r="F131" s="189">
        <f t="shared" ref="F131:F194" si="32">K131+BI131</f>
        <v>185873</v>
      </c>
      <c r="G131" s="190">
        <f t="shared" ref="G131:G194" si="33">L131+BJ131</f>
        <v>734285</v>
      </c>
      <c r="H131" s="188">
        <f t="shared" si="28"/>
        <v>176433</v>
      </c>
      <c r="I131" s="189">
        <f t="shared" ref="I131:I194" si="34">N131+S131+X131+AC131+AH131+AM131+AR131+AW131+BB131</f>
        <v>171534</v>
      </c>
      <c r="J131" s="189">
        <f t="shared" ref="J131:J194" si="35">O131+T131+Y131+AD131+AI131+AN131+AS131+AX131+BC131</f>
        <v>145107</v>
      </c>
      <c r="K131" s="189">
        <f t="shared" ref="K131:K194" si="36">P131+U131+Z131+AE131+AJ131+AO131+AT131+AY131+BD131</f>
        <v>176627</v>
      </c>
      <c r="L131" s="190">
        <f t="shared" ref="L131:L194" si="37">Q131+V131+AA131+AF131+AK131+AP131+AU131+AZ131+BE131</f>
        <v>669701</v>
      </c>
      <c r="M131" s="188">
        <v>36777</v>
      </c>
      <c r="N131" s="189">
        <v>27945</v>
      </c>
      <c r="O131" s="189">
        <v>24633</v>
      </c>
      <c r="P131" s="189">
        <v>33562</v>
      </c>
      <c r="Q131" s="190">
        <v>122917</v>
      </c>
      <c r="R131" s="188">
        <v>8073</v>
      </c>
      <c r="S131" s="189">
        <v>6417</v>
      </c>
      <c r="T131" s="189">
        <v>6693</v>
      </c>
      <c r="U131" s="189">
        <v>7499</v>
      </c>
      <c r="V131" s="190">
        <v>28682</v>
      </c>
      <c r="W131" s="188">
        <v>9729</v>
      </c>
      <c r="X131" s="189">
        <v>7521</v>
      </c>
      <c r="Y131" s="189">
        <v>5244</v>
      </c>
      <c r="Z131" s="189">
        <v>10419</v>
      </c>
      <c r="AA131" s="190">
        <v>32913</v>
      </c>
      <c r="AB131" s="188">
        <v>19320</v>
      </c>
      <c r="AC131" s="189">
        <v>33396</v>
      </c>
      <c r="AD131" s="189">
        <v>29808</v>
      </c>
      <c r="AE131" s="189">
        <v>19113</v>
      </c>
      <c r="AF131" s="190">
        <v>101637</v>
      </c>
      <c r="AG131" s="188">
        <v>74796</v>
      </c>
      <c r="AH131" s="189">
        <v>67551</v>
      </c>
      <c r="AI131" s="189">
        <v>51819</v>
      </c>
      <c r="AJ131" s="189">
        <v>76190</v>
      </c>
      <c r="AK131" s="190">
        <v>270356</v>
      </c>
      <c r="AL131" s="188">
        <v>2760</v>
      </c>
      <c r="AM131" s="189">
        <v>4002</v>
      </c>
      <c r="AN131" s="189">
        <v>4278</v>
      </c>
      <c r="AO131" s="189">
        <v>4071</v>
      </c>
      <c r="AP131" s="190">
        <v>15111</v>
      </c>
      <c r="AQ131" s="188">
        <v>7590</v>
      </c>
      <c r="AR131" s="189">
        <v>16698</v>
      </c>
      <c r="AS131" s="189">
        <v>12144</v>
      </c>
      <c r="AT131" s="189">
        <v>16389</v>
      </c>
      <c r="AU131" s="190">
        <v>52821</v>
      </c>
      <c r="AV131" s="188"/>
      <c r="AW131" s="189"/>
      <c r="AX131" s="189"/>
      <c r="AY131" s="189"/>
      <c r="AZ131" s="190"/>
      <c r="BA131" s="188">
        <v>17388</v>
      </c>
      <c r="BB131" s="189">
        <v>8004</v>
      </c>
      <c r="BC131" s="189">
        <v>10488</v>
      </c>
      <c r="BD131" s="189">
        <v>9384</v>
      </c>
      <c r="BE131" s="190">
        <v>45264</v>
      </c>
      <c r="BF131" s="188">
        <f t="shared" si="29"/>
        <v>21045</v>
      </c>
      <c r="BG131" s="189">
        <f t="shared" ref="BG131:BG194" si="38">BL131+BQ131+BV131+CA131+CF131</f>
        <v>18147</v>
      </c>
      <c r="BH131" s="189">
        <f t="shared" ref="BH131:BH194" si="39">BM131+BR131+BW131+CB131+CG131</f>
        <v>16146</v>
      </c>
      <c r="BI131" s="189">
        <f t="shared" ref="BI131:BI194" si="40">BN131+BS131+BX131+CC131+CH131</f>
        <v>9246</v>
      </c>
      <c r="BJ131" s="190">
        <f t="shared" ref="BJ131:BJ194" si="41">BO131+BT131+BY131+CD131+CI131</f>
        <v>64584</v>
      </c>
      <c r="BK131" s="188">
        <v>2277</v>
      </c>
      <c r="BL131" s="189">
        <v>966</v>
      </c>
      <c r="BM131" s="189">
        <v>276</v>
      </c>
      <c r="BN131" s="189">
        <v>207</v>
      </c>
      <c r="BO131" s="190">
        <v>3726</v>
      </c>
      <c r="BP131" s="188">
        <v>7521</v>
      </c>
      <c r="BQ131" s="189">
        <v>6969</v>
      </c>
      <c r="BR131" s="189">
        <v>8142</v>
      </c>
      <c r="BS131" s="189">
        <v>3657</v>
      </c>
      <c r="BT131" s="190">
        <v>26289</v>
      </c>
      <c r="BU131" s="188">
        <v>8487</v>
      </c>
      <c r="BV131" s="189">
        <v>6900</v>
      </c>
      <c r="BW131" s="189">
        <v>4002</v>
      </c>
      <c r="BX131" s="189">
        <v>3795</v>
      </c>
      <c r="BY131" s="190">
        <v>23184</v>
      </c>
      <c r="BZ131" s="188">
        <v>414</v>
      </c>
      <c r="CA131" s="189">
        <v>3312</v>
      </c>
      <c r="CB131" s="189">
        <v>2139</v>
      </c>
      <c r="CC131" s="189">
        <v>1518</v>
      </c>
      <c r="CD131" s="190">
        <v>7383</v>
      </c>
      <c r="CE131" s="188">
        <v>2346</v>
      </c>
      <c r="CF131" s="189"/>
      <c r="CG131" s="189">
        <v>1587</v>
      </c>
      <c r="CH131" s="189">
        <v>69</v>
      </c>
      <c r="CI131" s="190">
        <v>4002</v>
      </c>
    </row>
    <row r="132" s="163" customFormat="1" ht="14.6" spans="1:87">
      <c r="A132" s="191" t="s">
        <v>116</v>
      </c>
      <c r="B132" s="192"/>
      <c r="C132" s="193">
        <f t="shared" ref="C132:C195" si="42">H132+BF132</f>
        <v>197478</v>
      </c>
      <c r="D132" s="194">
        <f t="shared" si="30"/>
        <v>189681</v>
      </c>
      <c r="E132" s="194">
        <f t="shared" si="31"/>
        <v>161253</v>
      </c>
      <c r="F132" s="194">
        <f t="shared" si="32"/>
        <v>185873</v>
      </c>
      <c r="G132" s="195">
        <f t="shared" si="33"/>
        <v>734285</v>
      </c>
      <c r="H132" s="193">
        <f t="shared" ref="H132:H195" si="43">M132+R132+W132+AB132+AG132+AL132+AQ132+AV132+BA132</f>
        <v>176433</v>
      </c>
      <c r="I132" s="194">
        <f t="shared" si="34"/>
        <v>171534</v>
      </c>
      <c r="J132" s="194">
        <f t="shared" si="35"/>
        <v>145107</v>
      </c>
      <c r="K132" s="194">
        <f t="shared" si="36"/>
        <v>176627</v>
      </c>
      <c r="L132" s="195">
        <f t="shared" si="37"/>
        <v>669701</v>
      </c>
      <c r="M132" s="193">
        <v>36777</v>
      </c>
      <c r="N132" s="194">
        <v>27945</v>
      </c>
      <c r="O132" s="194">
        <v>24633</v>
      </c>
      <c r="P132" s="194">
        <v>33562</v>
      </c>
      <c r="Q132" s="195">
        <v>122917</v>
      </c>
      <c r="R132" s="193">
        <v>8073</v>
      </c>
      <c r="S132" s="194">
        <v>6417</v>
      </c>
      <c r="T132" s="194">
        <v>6693</v>
      </c>
      <c r="U132" s="194">
        <v>7499</v>
      </c>
      <c r="V132" s="195">
        <v>28682</v>
      </c>
      <c r="W132" s="193">
        <v>9729</v>
      </c>
      <c r="X132" s="194">
        <v>7521</v>
      </c>
      <c r="Y132" s="194">
        <v>5244</v>
      </c>
      <c r="Z132" s="194">
        <v>10419</v>
      </c>
      <c r="AA132" s="195">
        <v>32913</v>
      </c>
      <c r="AB132" s="193">
        <v>19320</v>
      </c>
      <c r="AC132" s="194">
        <v>33396</v>
      </c>
      <c r="AD132" s="194">
        <v>29808</v>
      </c>
      <c r="AE132" s="194">
        <v>19113</v>
      </c>
      <c r="AF132" s="195">
        <v>101637</v>
      </c>
      <c r="AG132" s="193">
        <v>74796</v>
      </c>
      <c r="AH132" s="194">
        <v>67551</v>
      </c>
      <c r="AI132" s="194">
        <v>51819</v>
      </c>
      <c r="AJ132" s="194">
        <v>76190</v>
      </c>
      <c r="AK132" s="195">
        <v>270356</v>
      </c>
      <c r="AL132" s="193">
        <v>2760</v>
      </c>
      <c r="AM132" s="194">
        <v>4002</v>
      </c>
      <c r="AN132" s="194">
        <v>4278</v>
      </c>
      <c r="AO132" s="194">
        <v>4071</v>
      </c>
      <c r="AP132" s="195">
        <v>15111</v>
      </c>
      <c r="AQ132" s="193">
        <v>7590</v>
      </c>
      <c r="AR132" s="194">
        <v>16698</v>
      </c>
      <c r="AS132" s="194">
        <v>12144</v>
      </c>
      <c r="AT132" s="194">
        <v>16389</v>
      </c>
      <c r="AU132" s="195">
        <v>52821</v>
      </c>
      <c r="AV132" s="193"/>
      <c r="AW132" s="194"/>
      <c r="AX132" s="194"/>
      <c r="AY132" s="194"/>
      <c r="AZ132" s="195"/>
      <c r="BA132" s="193">
        <v>17388</v>
      </c>
      <c r="BB132" s="194">
        <v>8004</v>
      </c>
      <c r="BC132" s="194">
        <v>10488</v>
      </c>
      <c r="BD132" s="194">
        <v>9384</v>
      </c>
      <c r="BE132" s="195">
        <v>45264</v>
      </c>
      <c r="BF132" s="193">
        <f t="shared" ref="BF132:BF195" si="44">BK132+BP132+BU132+BZ132+CE132</f>
        <v>21045</v>
      </c>
      <c r="BG132" s="194">
        <f t="shared" si="38"/>
        <v>18147</v>
      </c>
      <c r="BH132" s="194">
        <f t="shared" si="39"/>
        <v>16146</v>
      </c>
      <c r="BI132" s="194">
        <f t="shared" si="40"/>
        <v>9246</v>
      </c>
      <c r="BJ132" s="195">
        <f t="shared" si="41"/>
        <v>64584</v>
      </c>
      <c r="BK132" s="193">
        <v>2277</v>
      </c>
      <c r="BL132" s="194">
        <v>966</v>
      </c>
      <c r="BM132" s="194">
        <v>276</v>
      </c>
      <c r="BN132" s="194">
        <v>207</v>
      </c>
      <c r="BO132" s="195">
        <v>3726</v>
      </c>
      <c r="BP132" s="193">
        <v>7521</v>
      </c>
      <c r="BQ132" s="194">
        <v>6969</v>
      </c>
      <c r="BR132" s="194">
        <v>8142</v>
      </c>
      <c r="BS132" s="194">
        <v>3657</v>
      </c>
      <c r="BT132" s="195">
        <v>26289</v>
      </c>
      <c r="BU132" s="193">
        <v>8487</v>
      </c>
      <c r="BV132" s="194">
        <v>6900</v>
      </c>
      <c r="BW132" s="194">
        <v>4002</v>
      </c>
      <c r="BX132" s="194">
        <v>3795</v>
      </c>
      <c r="BY132" s="195">
        <v>23184</v>
      </c>
      <c r="BZ132" s="193">
        <v>414</v>
      </c>
      <c r="CA132" s="194">
        <v>3312</v>
      </c>
      <c r="CB132" s="194">
        <v>2139</v>
      </c>
      <c r="CC132" s="194">
        <v>1518</v>
      </c>
      <c r="CD132" s="195">
        <v>7383</v>
      </c>
      <c r="CE132" s="193">
        <v>2346</v>
      </c>
      <c r="CF132" s="194"/>
      <c r="CG132" s="194">
        <v>1587</v>
      </c>
      <c r="CH132" s="194">
        <v>69</v>
      </c>
      <c r="CI132" s="195">
        <v>4002</v>
      </c>
    </row>
    <row r="133" spans="1:87">
      <c r="A133" s="186" t="s">
        <v>117</v>
      </c>
      <c r="B133" s="187" t="s">
        <v>26</v>
      </c>
      <c r="C133" s="188">
        <f t="shared" si="42"/>
        <v>197296</v>
      </c>
      <c r="D133" s="189">
        <f t="shared" si="30"/>
        <v>166852</v>
      </c>
      <c r="E133" s="189">
        <f t="shared" si="31"/>
        <v>156586</v>
      </c>
      <c r="F133" s="189">
        <f t="shared" si="32"/>
        <v>131983</v>
      </c>
      <c r="G133" s="190">
        <f t="shared" si="33"/>
        <v>652717</v>
      </c>
      <c r="H133" s="188">
        <f t="shared" si="43"/>
        <v>185378</v>
      </c>
      <c r="I133" s="189">
        <f t="shared" si="34"/>
        <v>155170</v>
      </c>
      <c r="J133" s="189">
        <f t="shared" si="35"/>
        <v>146674</v>
      </c>
      <c r="K133" s="189">
        <f t="shared" si="36"/>
        <v>118767</v>
      </c>
      <c r="L133" s="190">
        <f t="shared" si="37"/>
        <v>605989</v>
      </c>
      <c r="M133" s="188">
        <v>3068</v>
      </c>
      <c r="N133" s="189">
        <v>7198</v>
      </c>
      <c r="O133" s="189">
        <v>6844</v>
      </c>
      <c r="P133" s="189">
        <v>10148</v>
      </c>
      <c r="Q133" s="190">
        <v>27258</v>
      </c>
      <c r="R133" s="188">
        <v>15871</v>
      </c>
      <c r="S133" s="189">
        <v>9145</v>
      </c>
      <c r="T133" s="189">
        <v>9027</v>
      </c>
      <c r="U133" s="189">
        <v>4484</v>
      </c>
      <c r="V133" s="190">
        <v>38527</v>
      </c>
      <c r="W133" s="188">
        <v>2419</v>
      </c>
      <c r="X133" s="189">
        <v>2891</v>
      </c>
      <c r="Y133" s="189">
        <v>5428</v>
      </c>
      <c r="Z133" s="189">
        <v>2065</v>
      </c>
      <c r="AA133" s="190">
        <v>12803</v>
      </c>
      <c r="AB133" s="188">
        <v>26432</v>
      </c>
      <c r="AC133" s="189">
        <v>57643</v>
      </c>
      <c r="AD133" s="189">
        <v>51507</v>
      </c>
      <c r="AE133" s="189">
        <v>28910</v>
      </c>
      <c r="AF133" s="190">
        <v>164492</v>
      </c>
      <c r="AG133" s="188">
        <v>42775</v>
      </c>
      <c r="AH133" s="189">
        <v>34810</v>
      </c>
      <c r="AI133" s="189">
        <v>28851</v>
      </c>
      <c r="AJ133" s="189">
        <v>20355</v>
      </c>
      <c r="AK133" s="190">
        <v>126791</v>
      </c>
      <c r="AL133" s="188">
        <v>5841</v>
      </c>
      <c r="AM133" s="189">
        <v>3776</v>
      </c>
      <c r="AN133" s="189">
        <v>2655</v>
      </c>
      <c r="AO133" s="189">
        <v>8909</v>
      </c>
      <c r="AP133" s="190">
        <v>21181</v>
      </c>
      <c r="AQ133" s="188">
        <v>11564</v>
      </c>
      <c r="AR133" s="189">
        <v>8614</v>
      </c>
      <c r="AS133" s="189">
        <v>7729</v>
      </c>
      <c r="AT133" s="189">
        <v>5664</v>
      </c>
      <c r="AU133" s="190">
        <v>33571</v>
      </c>
      <c r="AV133" s="188">
        <v>5664</v>
      </c>
      <c r="AW133" s="189">
        <v>3953</v>
      </c>
      <c r="AX133" s="189">
        <v>4425</v>
      </c>
      <c r="AY133" s="189">
        <v>5723</v>
      </c>
      <c r="AZ133" s="190">
        <v>19765</v>
      </c>
      <c r="BA133" s="188">
        <v>71744</v>
      </c>
      <c r="BB133" s="189">
        <v>27140</v>
      </c>
      <c r="BC133" s="189">
        <v>30208</v>
      </c>
      <c r="BD133" s="189">
        <v>32509</v>
      </c>
      <c r="BE133" s="190">
        <v>161601</v>
      </c>
      <c r="BF133" s="188">
        <f t="shared" si="44"/>
        <v>11918</v>
      </c>
      <c r="BG133" s="189">
        <f t="shared" si="38"/>
        <v>11682</v>
      </c>
      <c r="BH133" s="189">
        <f t="shared" si="39"/>
        <v>9912</v>
      </c>
      <c r="BI133" s="189">
        <f t="shared" si="40"/>
        <v>13216</v>
      </c>
      <c r="BJ133" s="190">
        <f t="shared" si="41"/>
        <v>46728</v>
      </c>
      <c r="BK133" s="188"/>
      <c r="BL133" s="189"/>
      <c r="BM133" s="189"/>
      <c r="BN133" s="189"/>
      <c r="BO133" s="190"/>
      <c r="BP133" s="188">
        <v>5428</v>
      </c>
      <c r="BQ133" s="189">
        <v>5310</v>
      </c>
      <c r="BR133" s="189">
        <v>4897</v>
      </c>
      <c r="BS133" s="189">
        <v>6254</v>
      </c>
      <c r="BT133" s="190">
        <v>21889</v>
      </c>
      <c r="BU133" s="188">
        <v>6490</v>
      </c>
      <c r="BV133" s="189">
        <v>6372</v>
      </c>
      <c r="BW133" s="189">
        <v>5015</v>
      </c>
      <c r="BX133" s="189">
        <v>6962</v>
      </c>
      <c r="BY133" s="190">
        <v>24839</v>
      </c>
      <c r="BZ133" s="188"/>
      <c r="CA133" s="189"/>
      <c r="CB133" s="189"/>
      <c r="CC133" s="189"/>
      <c r="CD133" s="190"/>
      <c r="CE133" s="188"/>
      <c r="CF133" s="189"/>
      <c r="CG133" s="189"/>
      <c r="CH133" s="189"/>
      <c r="CI133" s="190"/>
    </row>
    <row r="134" s="163" customFormat="1" ht="14.6" spans="1:87">
      <c r="A134" s="191" t="s">
        <v>118</v>
      </c>
      <c r="B134" s="192"/>
      <c r="C134" s="193">
        <f t="shared" si="42"/>
        <v>197296</v>
      </c>
      <c r="D134" s="194">
        <f t="shared" si="30"/>
        <v>166852</v>
      </c>
      <c r="E134" s="194">
        <f t="shared" si="31"/>
        <v>156586</v>
      </c>
      <c r="F134" s="194">
        <f t="shared" si="32"/>
        <v>131983</v>
      </c>
      <c r="G134" s="195">
        <f t="shared" si="33"/>
        <v>652717</v>
      </c>
      <c r="H134" s="193">
        <f t="shared" si="43"/>
        <v>185378</v>
      </c>
      <c r="I134" s="194">
        <f t="shared" si="34"/>
        <v>155170</v>
      </c>
      <c r="J134" s="194">
        <f t="shared" si="35"/>
        <v>146674</v>
      </c>
      <c r="K134" s="194">
        <f t="shared" si="36"/>
        <v>118767</v>
      </c>
      <c r="L134" s="195">
        <f t="shared" si="37"/>
        <v>605989</v>
      </c>
      <c r="M134" s="193">
        <v>3068</v>
      </c>
      <c r="N134" s="194">
        <v>7198</v>
      </c>
      <c r="O134" s="194">
        <v>6844</v>
      </c>
      <c r="P134" s="194">
        <v>10148</v>
      </c>
      <c r="Q134" s="195">
        <v>27258</v>
      </c>
      <c r="R134" s="193">
        <v>15871</v>
      </c>
      <c r="S134" s="194">
        <v>9145</v>
      </c>
      <c r="T134" s="194">
        <v>9027</v>
      </c>
      <c r="U134" s="194">
        <v>4484</v>
      </c>
      <c r="V134" s="195">
        <v>38527</v>
      </c>
      <c r="W134" s="193">
        <v>2419</v>
      </c>
      <c r="X134" s="194">
        <v>2891</v>
      </c>
      <c r="Y134" s="194">
        <v>5428</v>
      </c>
      <c r="Z134" s="194">
        <v>2065</v>
      </c>
      <c r="AA134" s="195">
        <v>12803</v>
      </c>
      <c r="AB134" s="193">
        <v>26432</v>
      </c>
      <c r="AC134" s="194">
        <v>57643</v>
      </c>
      <c r="AD134" s="194">
        <v>51507</v>
      </c>
      <c r="AE134" s="194">
        <v>28910</v>
      </c>
      <c r="AF134" s="195">
        <v>164492</v>
      </c>
      <c r="AG134" s="193">
        <v>42775</v>
      </c>
      <c r="AH134" s="194">
        <v>34810</v>
      </c>
      <c r="AI134" s="194">
        <v>28851</v>
      </c>
      <c r="AJ134" s="194">
        <v>20355</v>
      </c>
      <c r="AK134" s="195">
        <v>126791</v>
      </c>
      <c r="AL134" s="193">
        <v>5841</v>
      </c>
      <c r="AM134" s="194">
        <v>3776</v>
      </c>
      <c r="AN134" s="194">
        <v>2655</v>
      </c>
      <c r="AO134" s="194">
        <v>8909</v>
      </c>
      <c r="AP134" s="195">
        <v>21181</v>
      </c>
      <c r="AQ134" s="193">
        <v>11564</v>
      </c>
      <c r="AR134" s="194">
        <v>8614</v>
      </c>
      <c r="AS134" s="194">
        <v>7729</v>
      </c>
      <c r="AT134" s="194">
        <v>5664</v>
      </c>
      <c r="AU134" s="195">
        <v>33571</v>
      </c>
      <c r="AV134" s="193">
        <v>5664</v>
      </c>
      <c r="AW134" s="194">
        <v>3953</v>
      </c>
      <c r="AX134" s="194">
        <v>4425</v>
      </c>
      <c r="AY134" s="194">
        <v>5723</v>
      </c>
      <c r="AZ134" s="195">
        <v>19765</v>
      </c>
      <c r="BA134" s="193">
        <v>71744</v>
      </c>
      <c r="BB134" s="194">
        <v>27140</v>
      </c>
      <c r="BC134" s="194">
        <v>30208</v>
      </c>
      <c r="BD134" s="194">
        <v>32509</v>
      </c>
      <c r="BE134" s="195">
        <v>161601</v>
      </c>
      <c r="BF134" s="193">
        <f t="shared" si="44"/>
        <v>11918</v>
      </c>
      <c r="BG134" s="194">
        <f t="shared" si="38"/>
        <v>11682</v>
      </c>
      <c r="BH134" s="194">
        <f t="shared" si="39"/>
        <v>9912</v>
      </c>
      <c r="BI134" s="194">
        <f t="shared" si="40"/>
        <v>13216</v>
      </c>
      <c r="BJ134" s="195">
        <f t="shared" si="41"/>
        <v>46728</v>
      </c>
      <c r="BK134" s="193"/>
      <c r="BL134" s="194"/>
      <c r="BM134" s="194"/>
      <c r="BN134" s="194"/>
      <c r="BO134" s="195"/>
      <c r="BP134" s="193">
        <v>5428</v>
      </c>
      <c r="BQ134" s="194">
        <v>5310</v>
      </c>
      <c r="BR134" s="194">
        <v>4897</v>
      </c>
      <c r="BS134" s="194">
        <v>6254</v>
      </c>
      <c r="BT134" s="195">
        <v>21889</v>
      </c>
      <c r="BU134" s="193">
        <v>6490</v>
      </c>
      <c r="BV134" s="194">
        <v>6372</v>
      </c>
      <c r="BW134" s="194">
        <v>5015</v>
      </c>
      <c r="BX134" s="194">
        <v>6962</v>
      </c>
      <c r="BY134" s="195">
        <v>24839</v>
      </c>
      <c r="BZ134" s="193"/>
      <c r="CA134" s="194"/>
      <c r="CB134" s="194"/>
      <c r="CC134" s="194"/>
      <c r="CD134" s="195"/>
      <c r="CE134" s="193"/>
      <c r="CF134" s="194"/>
      <c r="CG134" s="194"/>
      <c r="CH134" s="194"/>
      <c r="CI134" s="195"/>
    </row>
    <row r="135" spans="1:87">
      <c r="A135" s="186" t="s">
        <v>119</v>
      </c>
      <c r="B135" s="187" t="s">
        <v>26</v>
      </c>
      <c r="C135" s="188">
        <f t="shared" si="42"/>
        <v>149873</v>
      </c>
      <c r="D135" s="189">
        <f t="shared" si="30"/>
        <v>131851</v>
      </c>
      <c r="E135" s="189">
        <f t="shared" si="31"/>
        <v>129133</v>
      </c>
      <c r="F135" s="189">
        <f t="shared" si="32"/>
        <v>110113</v>
      </c>
      <c r="G135" s="190">
        <f t="shared" si="33"/>
        <v>520970</v>
      </c>
      <c r="H135" s="188">
        <f t="shared" si="43"/>
        <v>123378</v>
      </c>
      <c r="I135" s="189">
        <f t="shared" si="34"/>
        <v>115852</v>
      </c>
      <c r="J135" s="189">
        <f t="shared" si="35"/>
        <v>111097</v>
      </c>
      <c r="K135" s="189">
        <f t="shared" si="36"/>
        <v>86564</v>
      </c>
      <c r="L135" s="190">
        <f t="shared" si="37"/>
        <v>436891</v>
      </c>
      <c r="M135" s="188"/>
      <c r="N135" s="189"/>
      <c r="O135" s="189"/>
      <c r="P135" s="189"/>
      <c r="Q135" s="190"/>
      <c r="R135" s="188">
        <v>21321</v>
      </c>
      <c r="S135" s="189">
        <v>19803</v>
      </c>
      <c r="T135" s="189">
        <v>24081</v>
      </c>
      <c r="U135" s="189">
        <v>12282</v>
      </c>
      <c r="V135" s="190">
        <v>77487</v>
      </c>
      <c r="W135" s="188"/>
      <c r="X135" s="189"/>
      <c r="Y135" s="189"/>
      <c r="Z135" s="189"/>
      <c r="AA135" s="190"/>
      <c r="AB135" s="188">
        <v>59</v>
      </c>
      <c r="AC135" s="189">
        <v>2338</v>
      </c>
      <c r="AD135" s="189"/>
      <c r="AE135" s="189">
        <v>79</v>
      </c>
      <c r="AF135" s="190">
        <v>2476</v>
      </c>
      <c r="AG135" s="188">
        <v>79080</v>
      </c>
      <c r="AH135" s="189">
        <v>67000</v>
      </c>
      <c r="AI135" s="189">
        <v>65581</v>
      </c>
      <c r="AJ135" s="189">
        <v>50722</v>
      </c>
      <c r="AK135" s="190">
        <v>262383</v>
      </c>
      <c r="AL135" s="188">
        <v>6887</v>
      </c>
      <c r="AM135" s="189">
        <v>10692</v>
      </c>
      <c r="AN135" s="189">
        <v>4242</v>
      </c>
      <c r="AO135" s="189">
        <v>5878</v>
      </c>
      <c r="AP135" s="190">
        <v>27699</v>
      </c>
      <c r="AQ135" s="188"/>
      <c r="AR135" s="189"/>
      <c r="AS135" s="189"/>
      <c r="AT135" s="189"/>
      <c r="AU135" s="190"/>
      <c r="AV135" s="188">
        <v>3950</v>
      </c>
      <c r="AW135" s="189">
        <v>1105</v>
      </c>
      <c r="AX135" s="189">
        <v>2524</v>
      </c>
      <c r="AY135" s="189">
        <v>2091</v>
      </c>
      <c r="AZ135" s="190">
        <v>9670</v>
      </c>
      <c r="BA135" s="188">
        <v>12081</v>
      </c>
      <c r="BB135" s="189">
        <v>14914</v>
      </c>
      <c r="BC135" s="189">
        <v>14669</v>
      </c>
      <c r="BD135" s="189">
        <v>15512</v>
      </c>
      <c r="BE135" s="190">
        <v>57176</v>
      </c>
      <c r="BF135" s="188">
        <f t="shared" si="44"/>
        <v>26495</v>
      </c>
      <c r="BG135" s="189">
        <f t="shared" si="38"/>
        <v>15999</v>
      </c>
      <c r="BH135" s="189">
        <f t="shared" si="39"/>
        <v>18036</v>
      </c>
      <c r="BI135" s="189">
        <f t="shared" si="40"/>
        <v>23549</v>
      </c>
      <c r="BJ135" s="190">
        <f t="shared" si="41"/>
        <v>84079</v>
      </c>
      <c r="BK135" s="188">
        <v>2618</v>
      </c>
      <c r="BL135" s="189">
        <v>3346</v>
      </c>
      <c r="BM135" s="189">
        <v>2461</v>
      </c>
      <c r="BN135" s="189">
        <v>3358</v>
      </c>
      <c r="BO135" s="190">
        <v>11783</v>
      </c>
      <c r="BP135" s="188">
        <v>12082</v>
      </c>
      <c r="BQ135" s="189">
        <v>1801</v>
      </c>
      <c r="BR135" s="189">
        <v>6255</v>
      </c>
      <c r="BS135" s="189">
        <v>3782</v>
      </c>
      <c r="BT135" s="190">
        <v>23920</v>
      </c>
      <c r="BU135" s="188">
        <v>11795</v>
      </c>
      <c r="BV135" s="189">
        <v>10852</v>
      </c>
      <c r="BW135" s="189">
        <v>9320</v>
      </c>
      <c r="BX135" s="189">
        <v>16409</v>
      </c>
      <c r="BY135" s="190">
        <v>48376</v>
      </c>
      <c r="BZ135" s="188"/>
      <c r="CA135" s="189"/>
      <c r="CB135" s="189"/>
      <c r="CC135" s="189"/>
      <c r="CD135" s="190"/>
      <c r="CE135" s="188"/>
      <c r="CF135" s="189"/>
      <c r="CG135" s="189"/>
      <c r="CH135" s="189"/>
      <c r="CI135" s="190"/>
    </row>
    <row r="136" s="163" customFormat="1" ht="14.6" spans="1:87">
      <c r="A136" s="191" t="s">
        <v>120</v>
      </c>
      <c r="B136" s="192"/>
      <c r="C136" s="193">
        <f t="shared" si="42"/>
        <v>149873</v>
      </c>
      <c r="D136" s="194">
        <f t="shared" si="30"/>
        <v>131851</v>
      </c>
      <c r="E136" s="194">
        <f t="shared" si="31"/>
        <v>129133</v>
      </c>
      <c r="F136" s="194">
        <f t="shared" si="32"/>
        <v>110113</v>
      </c>
      <c r="G136" s="195">
        <f t="shared" si="33"/>
        <v>520970</v>
      </c>
      <c r="H136" s="193">
        <f t="shared" si="43"/>
        <v>123378</v>
      </c>
      <c r="I136" s="194">
        <f t="shared" si="34"/>
        <v>115852</v>
      </c>
      <c r="J136" s="194">
        <f t="shared" si="35"/>
        <v>111097</v>
      </c>
      <c r="K136" s="194">
        <f t="shared" si="36"/>
        <v>86564</v>
      </c>
      <c r="L136" s="195">
        <f t="shared" si="37"/>
        <v>436891</v>
      </c>
      <c r="M136" s="193"/>
      <c r="N136" s="194"/>
      <c r="O136" s="194"/>
      <c r="P136" s="194"/>
      <c r="Q136" s="195"/>
      <c r="R136" s="193">
        <v>21321</v>
      </c>
      <c r="S136" s="194">
        <v>19803</v>
      </c>
      <c r="T136" s="194">
        <v>24081</v>
      </c>
      <c r="U136" s="194">
        <v>12282</v>
      </c>
      <c r="V136" s="195">
        <v>77487</v>
      </c>
      <c r="W136" s="193"/>
      <c r="X136" s="194"/>
      <c r="Y136" s="194"/>
      <c r="Z136" s="194"/>
      <c r="AA136" s="195"/>
      <c r="AB136" s="193">
        <v>59</v>
      </c>
      <c r="AC136" s="194">
        <v>2338</v>
      </c>
      <c r="AD136" s="194"/>
      <c r="AE136" s="194">
        <v>79</v>
      </c>
      <c r="AF136" s="195">
        <v>2476</v>
      </c>
      <c r="AG136" s="193">
        <v>79080</v>
      </c>
      <c r="AH136" s="194">
        <v>67000</v>
      </c>
      <c r="AI136" s="194">
        <v>65581</v>
      </c>
      <c r="AJ136" s="194">
        <v>50722</v>
      </c>
      <c r="AK136" s="195">
        <v>262383</v>
      </c>
      <c r="AL136" s="193">
        <v>6887</v>
      </c>
      <c r="AM136" s="194">
        <v>10692</v>
      </c>
      <c r="AN136" s="194">
        <v>4242</v>
      </c>
      <c r="AO136" s="194">
        <v>5878</v>
      </c>
      <c r="AP136" s="195">
        <v>27699</v>
      </c>
      <c r="AQ136" s="193"/>
      <c r="AR136" s="194"/>
      <c r="AS136" s="194"/>
      <c r="AT136" s="194"/>
      <c r="AU136" s="195"/>
      <c r="AV136" s="193">
        <v>3950</v>
      </c>
      <c r="AW136" s="194">
        <v>1105</v>
      </c>
      <c r="AX136" s="194">
        <v>2524</v>
      </c>
      <c r="AY136" s="194">
        <v>2091</v>
      </c>
      <c r="AZ136" s="195">
        <v>9670</v>
      </c>
      <c r="BA136" s="193">
        <v>12081</v>
      </c>
      <c r="BB136" s="194">
        <v>14914</v>
      </c>
      <c r="BC136" s="194">
        <v>14669</v>
      </c>
      <c r="BD136" s="194">
        <v>15512</v>
      </c>
      <c r="BE136" s="195">
        <v>57176</v>
      </c>
      <c r="BF136" s="193">
        <f t="shared" si="44"/>
        <v>26495</v>
      </c>
      <c r="BG136" s="194">
        <f t="shared" si="38"/>
        <v>15999</v>
      </c>
      <c r="BH136" s="194">
        <f t="shared" si="39"/>
        <v>18036</v>
      </c>
      <c r="BI136" s="194">
        <f t="shared" si="40"/>
        <v>23549</v>
      </c>
      <c r="BJ136" s="195">
        <f t="shared" si="41"/>
        <v>84079</v>
      </c>
      <c r="BK136" s="193">
        <v>2618</v>
      </c>
      <c r="BL136" s="194">
        <v>3346</v>
      </c>
      <c r="BM136" s="194">
        <v>2461</v>
      </c>
      <c r="BN136" s="194">
        <v>3358</v>
      </c>
      <c r="BO136" s="195">
        <v>11783</v>
      </c>
      <c r="BP136" s="193">
        <v>12082</v>
      </c>
      <c r="BQ136" s="194">
        <v>1801</v>
      </c>
      <c r="BR136" s="194">
        <v>6255</v>
      </c>
      <c r="BS136" s="194">
        <v>3782</v>
      </c>
      <c r="BT136" s="195">
        <v>23920</v>
      </c>
      <c r="BU136" s="193">
        <v>11795</v>
      </c>
      <c r="BV136" s="194">
        <v>10852</v>
      </c>
      <c r="BW136" s="194">
        <v>9320</v>
      </c>
      <c r="BX136" s="194">
        <v>16409</v>
      </c>
      <c r="BY136" s="195">
        <v>48376</v>
      </c>
      <c r="BZ136" s="193"/>
      <c r="CA136" s="194"/>
      <c r="CB136" s="194"/>
      <c r="CC136" s="194"/>
      <c r="CD136" s="195"/>
      <c r="CE136" s="193"/>
      <c r="CF136" s="194"/>
      <c r="CG136" s="194"/>
      <c r="CH136" s="194"/>
      <c r="CI136" s="195"/>
    </row>
    <row r="137" spans="1:87">
      <c r="A137" s="186" t="s">
        <v>121</v>
      </c>
      <c r="B137" s="187" t="s">
        <v>26</v>
      </c>
      <c r="C137" s="188">
        <f t="shared" si="42"/>
        <v>179745</v>
      </c>
      <c r="D137" s="189">
        <f t="shared" si="30"/>
        <v>149523</v>
      </c>
      <c r="E137" s="189">
        <f t="shared" si="31"/>
        <v>96600</v>
      </c>
      <c r="F137" s="189">
        <f t="shared" si="32"/>
        <v>68103</v>
      </c>
      <c r="G137" s="190">
        <f t="shared" si="33"/>
        <v>493971</v>
      </c>
      <c r="H137" s="188">
        <f t="shared" si="43"/>
        <v>136137</v>
      </c>
      <c r="I137" s="189">
        <f t="shared" si="34"/>
        <v>110538</v>
      </c>
      <c r="J137" s="189">
        <f t="shared" si="35"/>
        <v>61341</v>
      </c>
      <c r="K137" s="189">
        <f t="shared" si="36"/>
        <v>41124</v>
      </c>
      <c r="L137" s="190">
        <f t="shared" si="37"/>
        <v>349140</v>
      </c>
      <c r="M137" s="188">
        <v>42573</v>
      </c>
      <c r="N137" s="189">
        <v>18216</v>
      </c>
      <c r="O137" s="189">
        <v>690</v>
      </c>
      <c r="P137" s="189">
        <v>414</v>
      </c>
      <c r="Q137" s="190">
        <v>61893</v>
      </c>
      <c r="R137" s="188">
        <v>5934</v>
      </c>
      <c r="S137" s="189">
        <v>3381</v>
      </c>
      <c r="T137" s="189"/>
      <c r="U137" s="189"/>
      <c r="V137" s="190">
        <v>9315</v>
      </c>
      <c r="W137" s="188">
        <v>6693</v>
      </c>
      <c r="X137" s="189">
        <v>8004</v>
      </c>
      <c r="Y137" s="189">
        <v>9660</v>
      </c>
      <c r="Z137" s="189">
        <v>7728</v>
      </c>
      <c r="AA137" s="190">
        <v>32085</v>
      </c>
      <c r="AB137" s="188">
        <v>34845</v>
      </c>
      <c r="AC137" s="189">
        <v>18906</v>
      </c>
      <c r="AD137" s="189">
        <v>1794</v>
      </c>
      <c r="AE137" s="189"/>
      <c r="AF137" s="190">
        <v>55545</v>
      </c>
      <c r="AG137" s="188">
        <v>6141</v>
      </c>
      <c r="AH137" s="189">
        <v>27393</v>
      </c>
      <c r="AI137" s="189">
        <v>9522</v>
      </c>
      <c r="AJ137" s="189">
        <v>4140</v>
      </c>
      <c r="AK137" s="190">
        <v>47196</v>
      </c>
      <c r="AL137" s="188">
        <v>1587</v>
      </c>
      <c r="AM137" s="189">
        <v>2829</v>
      </c>
      <c r="AN137" s="189">
        <v>2484</v>
      </c>
      <c r="AO137" s="189">
        <v>4140</v>
      </c>
      <c r="AP137" s="190">
        <v>11040</v>
      </c>
      <c r="AQ137" s="188">
        <v>1449</v>
      </c>
      <c r="AR137" s="189">
        <v>3450</v>
      </c>
      <c r="AS137" s="189">
        <v>276</v>
      </c>
      <c r="AT137" s="189">
        <v>552</v>
      </c>
      <c r="AU137" s="190">
        <v>5727</v>
      </c>
      <c r="AV137" s="188"/>
      <c r="AW137" s="189">
        <v>69</v>
      </c>
      <c r="AX137" s="189">
        <v>138</v>
      </c>
      <c r="AY137" s="189"/>
      <c r="AZ137" s="190">
        <v>207</v>
      </c>
      <c r="BA137" s="188">
        <v>36915</v>
      </c>
      <c r="BB137" s="189">
        <v>28290</v>
      </c>
      <c r="BC137" s="189">
        <v>36777</v>
      </c>
      <c r="BD137" s="189">
        <v>24150</v>
      </c>
      <c r="BE137" s="190">
        <v>126132</v>
      </c>
      <c r="BF137" s="188">
        <f t="shared" si="44"/>
        <v>43608</v>
      </c>
      <c r="BG137" s="189">
        <f t="shared" si="38"/>
        <v>38985</v>
      </c>
      <c r="BH137" s="189">
        <f t="shared" si="39"/>
        <v>35259</v>
      </c>
      <c r="BI137" s="189">
        <f t="shared" si="40"/>
        <v>26979</v>
      </c>
      <c r="BJ137" s="190">
        <f t="shared" si="41"/>
        <v>144831</v>
      </c>
      <c r="BK137" s="188">
        <v>6003</v>
      </c>
      <c r="BL137" s="189"/>
      <c r="BM137" s="189"/>
      <c r="BN137" s="189"/>
      <c r="BO137" s="190">
        <v>6003</v>
      </c>
      <c r="BP137" s="188">
        <v>14007</v>
      </c>
      <c r="BQ137" s="189">
        <v>15939</v>
      </c>
      <c r="BR137" s="189">
        <v>13800</v>
      </c>
      <c r="BS137" s="189">
        <v>14145</v>
      </c>
      <c r="BT137" s="190">
        <v>57891</v>
      </c>
      <c r="BU137" s="188">
        <v>22563</v>
      </c>
      <c r="BV137" s="189">
        <v>16215</v>
      </c>
      <c r="BW137" s="189">
        <v>18216</v>
      </c>
      <c r="BX137" s="189">
        <v>12834</v>
      </c>
      <c r="BY137" s="190">
        <v>69828</v>
      </c>
      <c r="BZ137" s="188">
        <v>1035</v>
      </c>
      <c r="CA137" s="189">
        <v>6831</v>
      </c>
      <c r="CB137" s="189">
        <v>3243</v>
      </c>
      <c r="CC137" s="189"/>
      <c r="CD137" s="190">
        <v>11109</v>
      </c>
      <c r="CE137" s="188"/>
      <c r="CF137" s="189"/>
      <c r="CG137" s="189"/>
      <c r="CH137" s="189"/>
      <c r="CI137" s="190"/>
    </row>
    <row r="138" s="163" customFormat="1" ht="14.6" spans="1:87">
      <c r="A138" s="191" t="s">
        <v>122</v>
      </c>
      <c r="B138" s="192"/>
      <c r="C138" s="193">
        <f t="shared" si="42"/>
        <v>179745</v>
      </c>
      <c r="D138" s="194">
        <f t="shared" si="30"/>
        <v>149523</v>
      </c>
      <c r="E138" s="194">
        <f t="shared" si="31"/>
        <v>96600</v>
      </c>
      <c r="F138" s="194">
        <f t="shared" si="32"/>
        <v>68103</v>
      </c>
      <c r="G138" s="195">
        <f t="shared" si="33"/>
        <v>493971</v>
      </c>
      <c r="H138" s="193">
        <f t="shared" si="43"/>
        <v>136137</v>
      </c>
      <c r="I138" s="194">
        <f t="shared" si="34"/>
        <v>110538</v>
      </c>
      <c r="J138" s="194">
        <f t="shared" si="35"/>
        <v>61341</v>
      </c>
      <c r="K138" s="194">
        <f t="shared" si="36"/>
        <v>41124</v>
      </c>
      <c r="L138" s="195">
        <f t="shared" si="37"/>
        <v>349140</v>
      </c>
      <c r="M138" s="193">
        <v>42573</v>
      </c>
      <c r="N138" s="194">
        <v>18216</v>
      </c>
      <c r="O138" s="194">
        <v>690</v>
      </c>
      <c r="P138" s="194">
        <v>414</v>
      </c>
      <c r="Q138" s="195">
        <v>61893</v>
      </c>
      <c r="R138" s="193">
        <v>5934</v>
      </c>
      <c r="S138" s="194">
        <v>3381</v>
      </c>
      <c r="T138" s="194"/>
      <c r="U138" s="194"/>
      <c r="V138" s="195">
        <v>9315</v>
      </c>
      <c r="W138" s="193">
        <v>6693</v>
      </c>
      <c r="X138" s="194">
        <v>8004</v>
      </c>
      <c r="Y138" s="194">
        <v>9660</v>
      </c>
      <c r="Z138" s="194">
        <v>7728</v>
      </c>
      <c r="AA138" s="195">
        <v>32085</v>
      </c>
      <c r="AB138" s="193">
        <v>34845</v>
      </c>
      <c r="AC138" s="194">
        <v>18906</v>
      </c>
      <c r="AD138" s="194">
        <v>1794</v>
      </c>
      <c r="AE138" s="194"/>
      <c r="AF138" s="195">
        <v>55545</v>
      </c>
      <c r="AG138" s="193">
        <v>6141</v>
      </c>
      <c r="AH138" s="194">
        <v>27393</v>
      </c>
      <c r="AI138" s="194">
        <v>9522</v>
      </c>
      <c r="AJ138" s="194">
        <v>4140</v>
      </c>
      <c r="AK138" s="195">
        <v>47196</v>
      </c>
      <c r="AL138" s="193">
        <v>1587</v>
      </c>
      <c r="AM138" s="194">
        <v>2829</v>
      </c>
      <c r="AN138" s="194">
        <v>2484</v>
      </c>
      <c r="AO138" s="194">
        <v>4140</v>
      </c>
      <c r="AP138" s="195">
        <v>11040</v>
      </c>
      <c r="AQ138" s="193">
        <v>1449</v>
      </c>
      <c r="AR138" s="194">
        <v>3450</v>
      </c>
      <c r="AS138" s="194">
        <v>276</v>
      </c>
      <c r="AT138" s="194">
        <v>552</v>
      </c>
      <c r="AU138" s="195">
        <v>5727</v>
      </c>
      <c r="AV138" s="193"/>
      <c r="AW138" s="194">
        <v>69</v>
      </c>
      <c r="AX138" s="194">
        <v>138</v>
      </c>
      <c r="AY138" s="194"/>
      <c r="AZ138" s="195">
        <v>207</v>
      </c>
      <c r="BA138" s="193">
        <v>36915</v>
      </c>
      <c r="BB138" s="194">
        <v>28290</v>
      </c>
      <c r="BC138" s="194">
        <v>36777</v>
      </c>
      <c r="BD138" s="194">
        <v>24150</v>
      </c>
      <c r="BE138" s="195">
        <v>126132</v>
      </c>
      <c r="BF138" s="193">
        <f t="shared" si="44"/>
        <v>43608</v>
      </c>
      <c r="BG138" s="194">
        <f t="shared" si="38"/>
        <v>38985</v>
      </c>
      <c r="BH138" s="194">
        <f t="shared" si="39"/>
        <v>35259</v>
      </c>
      <c r="BI138" s="194">
        <f t="shared" si="40"/>
        <v>26979</v>
      </c>
      <c r="BJ138" s="195">
        <f t="shared" si="41"/>
        <v>144831</v>
      </c>
      <c r="BK138" s="193">
        <v>6003</v>
      </c>
      <c r="BL138" s="194"/>
      <c r="BM138" s="194"/>
      <c r="BN138" s="194"/>
      <c r="BO138" s="195">
        <v>6003</v>
      </c>
      <c r="BP138" s="193">
        <v>14007</v>
      </c>
      <c r="BQ138" s="194">
        <v>15939</v>
      </c>
      <c r="BR138" s="194">
        <v>13800</v>
      </c>
      <c r="BS138" s="194">
        <v>14145</v>
      </c>
      <c r="BT138" s="195">
        <v>57891</v>
      </c>
      <c r="BU138" s="193">
        <v>22563</v>
      </c>
      <c r="BV138" s="194">
        <v>16215</v>
      </c>
      <c r="BW138" s="194">
        <v>18216</v>
      </c>
      <c r="BX138" s="194">
        <v>12834</v>
      </c>
      <c r="BY138" s="195">
        <v>69828</v>
      </c>
      <c r="BZ138" s="193">
        <v>1035</v>
      </c>
      <c r="CA138" s="194">
        <v>6831</v>
      </c>
      <c r="CB138" s="194">
        <v>3243</v>
      </c>
      <c r="CC138" s="194"/>
      <c r="CD138" s="195">
        <v>11109</v>
      </c>
      <c r="CE138" s="193"/>
      <c r="CF138" s="194"/>
      <c r="CG138" s="194"/>
      <c r="CH138" s="194"/>
      <c r="CI138" s="195"/>
    </row>
    <row r="139" spans="1:87">
      <c r="A139" s="186" t="s">
        <v>123</v>
      </c>
      <c r="B139" s="187" t="s">
        <v>27</v>
      </c>
      <c r="C139" s="188">
        <f t="shared" si="42"/>
        <v>54910</v>
      </c>
      <c r="D139" s="189">
        <f t="shared" si="30"/>
        <v>34394</v>
      </c>
      <c r="E139" s="189">
        <f t="shared" si="31"/>
        <v>33600</v>
      </c>
      <c r="F139" s="189">
        <f t="shared" si="32"/>
        <v>354706</v>
      </c>
      <c r="G139" s="190">
        <f t="shared" si="33"/>
        <v>477610</v>
      </c>
      <c r="H139" s="188">
        <f t="shared" si="43"/>
        <v>45738</v>
      </c>
      <c r="I139" s="189">
        <f t="shared" si="34"/>
        <v>29219</v>
      </c>
      <c r="J139" s="189">
        <f t="shared" si="35"/>
        <v>28398</v>
      </c>
      <c r="K139" s="189">
        <f t="shared" si="36"/>
        <v>350948</v>
      </c>
      <c r="L139" s="190">
        <f t="shared" si="37"/>
        <v>454303</v>
      </c>
      <c r="M139" s="188">
        <v>7959</v>
      </c>
      <c r="N139" s="189">
        <v>2308</v>
      </c>
      <c r="O139" s="189">
        <v>2722</v>
      </c>
      <c r="P139" s="189">
        <v>2327</v>
      </c>
      <c r="Q139" s="190">
        <v>15316</v>
      </c>
      <c r="R139" s="188">
        <v>37779</v>
      </c>
      <c r="S139" s="189">
        <v>26911</v>
      </c>
      <c r="T139" s="189">
        <v>25676</v>
      </c>
      <c r="U139" s="189">
        <v>10197</v>
      </c>
      <c r="V139" s="190">
        <v>100563</v>
      </c>
      <c r="W139" s="188"/>
      <c r="X139" s="189"/>
      <c r="Y139" s="189"/>
      <c r="Z139" s="189"/>
      <c r="AA139" s="190"/>
      <c r="AB139" s="188"/>
      <c r="AC139" s="189"/>
      <c r="AD139" s="189"/>
      <c r="AE139" s="189"/>
      <c r="AF139" s="190"/>
      <c r="AG139" s="188"/>
      <c r="AH139" s="189"/>
      <c r="AI139" s="189"/>
      <c r="AJ139" s="189"/>
      <c r="AK139" s="190"/>
      <c r="AL139" s="188"/>
      <c r="AM139" s="189"/>
      <c r="AN139" s="189"/>
      <c r="AO139" s="189"/>
      <c r="AP139" s="190"/>
      <c r="AQ139" s="188"/>
      <c r="AR139" s="189"/>
      <c r="AS139" s="189"/>
      <c r="AT139" s="189"/>
      <c r="AU139" s="190"/>
      <c r="AV139" s="188"/>
      <c r="AW139" s="189"/>
      <c r="AX139" s="189"/>
      <c r="AY139" s="189"/>
      <c r="AZ139" s="190"/>
      <c r="BA139" s="188"/>
      <c r="BB139" s="189"/>
      <c r="BC139" s="189"/>
      <c r="BD139" s="189">
        <v>338424</v>
      </c>
      <c r="BE139" s="190">
        <v>338424</v>
      </c>
      <c r="BF139" s="188">
        <f t="shared" si="44"/>
        <v>9172</v>
      </c>
      <c r="BG139" s="189">
        <f t="shared" si="38"/>
        <v>5175</v>
      </c>
      <c r="BH139" s="189">
        <f t="shared" si="39"/>
        <v>5202</v>
      </c>
      <c r="BI139" s="189">
        <f t="shared" si="40"/>
        <v>3758</v>
      </c>
      <c r="BJ139" s="190">
        <f t="shared" si="41"/>
        <v>23307</v>
      </c>
      <c r="BK139" s="188"/>
      <c r="BL139" s="189"/>
      <c r="BM139" s="189"/>
      <c r="BN139" s="189"/>
      <c r="BO139" s="190"/>
      <c r="BP139" s="188">
        <v>2829</v>
      </c>
      <c r="BQ139" s="189">
        <v>1311</v>
      </c>
      <c r="BR139" s="189">
        <v>1380</v>
      </c>
      <c r="BS139" s="189">
        <v>1173</v>
      </c>
      <c r="BT139" s="190">
        <v>6693</v>
      </c>
      <c r="BU139" s="188">
        <v>6343</v>
      </c>
      <c r="BV139" s="189">
        <v>3864</v>
      </c>
      <c r="BW139" s="189">
        <v>3822</v>
      </c>
      <c r="BX139" s="189">
        <v>2585</v>
      </c>
      <c r="BY139" s="190">
        <v>16614</v>
      </c>
      <c r="BZ139" s="188"/>
      <c r="CA139" s="189"/>
      <c r="CB139" s="189"/>
      <c r="CC139" s="189"/>
      <c r="CD139" s="190"/>
      <c r="CE139" s="188"/>
      <c r="CF139" s="189"/>
      <c r="CG139" s="189"/>
      <c r="CH139" s="189"/>
      <c r="CI139" s="190"/>
    </row>
    <row r="140" s="163" customFormat="1" ht="14.6" spans="1:87">
      <c r="A140" s="191" t="s">
        <v>124</v>
      </c>
      <c r="B140" s="192"/>
      <c r="C140" s="193">
        <f t="shared" si="42"/>
        <v>54910</v>
      </c>
      <c r="D140" s="194">
        <f t="shared" si="30"/>
        <v>34394</v>
      </c>
      <c r="E140" s="194">
        <f t="shared" si="31"/>
        <v>33600</v>
      </c>
      <c r="F140" s="194">
        <f t="shared" si="32"/>
        <v>354706</v>
      </c>
      <c r="G140" s="195">
        <f t="shared" si="33"/>
        <v>477610</v>
      </c>
      <c r="H140" s="193">
        <f t="shared" si="43"/>
        <v>45738</v>
      </c>
      <c r="I140" s="194">
        <f t="shared" si="34"/>
        <v>29219</v>
      </c>
      <c r="J140" s="194">
        <f t="shared" si="35"/>
        <v>28398</v>
      </c>
      <c r="K140" s="194">
        <f t="shared" si="36"/>
        <v>350948</v>
      </c>
      <c r="L140" s="195">
        <f t="shared" si="37"/>
        <v>454303</v>
      </c>
      <c r="M140" s="193">
        <v>7959</v>
      </c>
      <c r="N140" s="194">
        <v>2308</v>
      </c>
      <c r="O140" s="194">
        <v>2722</v>
      </c>
      <c r="P140" s="194">
        <v>2327</v>
      </c>
      <c r="Q140" s="195">
        <v>15316</v>
      </c>
      <c r="R140" s="193">
        <v>37779</v>
      </c>
      <c r="S140" s="194">
        <v>26911</v>
      </c>
      <c r="T140" s="194">
        <v>25676</v>
      </c>
      <c r="U140" s="194">
        <v>10197</v>
      </c>
      <c r="V140" s="195">
        <v>100563</v>
      </c>
      <c r="W140" s="193"/>
      <c r="X140" s="194"/>
      <c r="Y140" s="194"/>
      <c r="Z140" s="194"/>
      <c r="AA140" s="195"/>
      <c r="AB140" s="193"/>
      <c r="AC140" s="194"/>
      <c r="AD140" s="194"/>
      <c r="AE140" s="194"/>
      <c r="AF140" s="195"/>
      <c r="AG140" s="193"/>
      <c r="AH140" s="194"/>
      <c r="AI140" s="194"/>
      <c r="AJ140" s="194"/>
      <c r="AK140" s="195"/>
      <c r="AL140" s="193"/>
      <c r="AM140" s="194"/>
      <c r="AN140" s="194"/>
      <c r="AO140" s="194"/>
      <c r="AP140" s="195"/>
      <c r="AQ140" s="193"/>
      <c r="AR140" s="194"/>
      <c r="AS140" s="194"/>
      <c r="AT140" s="194"/>
      <c r="AU140" s="195"/>
      <c r="AV140" s="193"/>
      <c r="AW140" s="194"/>
      <c r="AX140" s="194"/>
      <c r="AY140" s="194"/>
      <c r="AZ140" s="195"/>
      <c r="BA140" s="193"/>
      <c r="BB140" s="194"/>
      <c r="BC140" s="194"/>
      <c r="BD140" s="194">
        <v>338424</v>
      </c>
      <c r="BE140" s="195">
        <v>338424</v>
      </c>
      <c r="BF140" s="193">
        <f t="shared" si="44"/>
        <v>9172</v>
      </c>
      <c r="BG140" s="194">
        <f t="shared" si="38"/>
        <v>5175</v>
      </c>
      <c r="BH140" s="194">
        <f t="shared" si="39"/>
        <v>5202</v>
      </c>
      <c r="BI140" s="194">
        <f t="shared" si="40"/>
        <v>3758</v>
      </c>
      <c r="BJ140" s="195">
        <f t="shared" si="41"/>
        <v>23307</v>
      </c>
      <c r="BK140" s="193"/>
      <c r="BL140" s="194"/>
      <c r="BM140" s="194"/>
      <c r="BN140" s="194"/>
      <c r="BO140" s="195"/>
      <c r="BP140" s="193">
        <v>2829</v>
      </c>
      <c r="BQ140" s="194">
        <v>1311</v>
      </c>
      <c r="BR140" s="194">
        <v>1380</v>
      </c>
      <c r="BS140" s="194">
        <v>1173</v>
      </c>
      <c r="BT140" s="195">
        <v>6693</v>
      </c>
      <c r="BU140" s="193">
        <v>6343</v>
      </c>
      <c r="BV140" s="194">
        <v>3864</v>
      </c>
      <c r="BW140" s="194">
        <v>3822</v>
      </c>
      <c r="BX140" s="194">
        <v>2585</v>
      </c>
      <c r="BY140" s="195">
        <v>16614</v>
      </c>
      <c r="BZ140" s="193"/>
      <c r="CA140" s="194"/>
      <c r="CB140" s="194"/>
      <c r="CC140" s="194"/>
      <c r="CD140" s="195"/>
      <c r="CE140" s="193"/>
      <c r="CF140" s="194"/>
      <c r="CG140" s="194"/>
      <c r="CH140" s="194"/>
      <c r="CI140" s="195"/>
    </row>
    <row r="141" spans="1:87">
      <c r="A141" s="186" t="s">
        <v>125</v>
      </c>
      <c r="B141" s="187" t="s">
        <v>26</v>
      </c>
      <c r="C141" s="188">
        <f t="shared" si="42"/>
        <v>59961</v>
      </c>
      <c r="D141" s="189">
        <f t="shared" si="30"/>
        <v>93357</v>
      </c>
      <c r="E141" s="189">
        <f t="shared" si="31"/>
        <v>89424</v>
      </c>
      <c r="F141" s="189">
        <f t="shared" si="32"/>
        <v>82041</v>
      </c>
      <c r="G141" s="190">
        <f t="shared" si="33"/>
        <v>324783</v>
      </c>
      <c r="H141" s="188">
        <f t="shared" si="43"/>
        <v>45540</v>
      </c>
      <c r="I141" s="189">
        <f t="shared" si="34"/>
        <v>79626</v>
      </c>
      <c r="J141" s="189">
        <f t="shared" si="35"/>
        <v>69000</v>
      </c>
      <c r="K141" s="189">
        <f t="shared" si="36"/>
        <v>67137</v>
      </c>
      <c r="L141" s="190">
        <f t="shared" si="37"/>
        <v>261303</v>
      </c>
      <c r="M141" s="188">
        <v>14835</v>
      </c>
      <c r="N141" s="189">
        <v>13593</v>
      </c>
      <c r="O141" s="189">
        <v>12075</v>
      </c>
      <c r="P141" s="189">
        <v>14973</v>
      </c>
      <c r="Q141" s="190">
        <v>55476</v>
      </c>
      <c r="R141" s="188">
        <v>483</v>
      </c>
      <c r="S141" s="189"/>
      <c r="T141" s="189"/>
      <c r="U141" s="189"/>
      <c r="V141" s="190">
        <v>483</v>
      </c>
      <c r="W141" s="188"/>
      <c r="X141" s="189"/>
      <c r="Y141" s="189"/>
      <c r="Z141" s="189"/>
      <c r="AA141" s="190"/>
      <c r="AB141" s="188">
        <v>1242</v>
      </c>
      <c r="AC141" s="189">
        <v>4485</v>
      </c>
      <c r="AD141" s="189">
        <v>3864</v>
      </c>
      <c r="AE141" s="189">
        <v>1794</v>
      </c>
      <c r="AF141" s="190">
        <v>11385</v>
      </c>
      <c r="AG141" s="188">
        <v>4830</v>
      </c>
      <c r="AH141" s="189">
        <v>35259</v>
      </c>
      <c r="AI141" s="189">
        <v>26772</v>
      </c>
      <c r="AJ141" s="189">
        <v>25185</v>
      </c>
      <c r="AK141" s="190">
        <v>92046</v>
      </c>
      <c r="AL141" s="188">
        <v>6141</v>
      </c>
      <c r="AM141" s="189">
        <v>3381</v>
      </c>
      <c r="AN141" s="189">
        <v>4830</v>
      </c>
      <c r="AO141" s="189">
        <v>6555</v>
      </c>
      <c r="AP141" s="190">
        <v>20907</v>
      </c>
      <c r="AQ141" s="188">
        <v>18009</v>
      </c>
      <c r="AR141" s="189">
        <v>22908</v>
      </c>
      <c r="AS141" s="189">
        <v>21459</v>
      </c>
      <c r="AT141" s="189">
        <v>18630</v>
      </c>
      <c r="AU141" s="190">
        <v>81006</v>
      </c>
      <c r="AV141" s="188"/>
      <c r="AW141" s="189"/>
      <c r="AX141" s="189"/>
      <c r="AY141" s="189"/>
      <c r="AZ141" s="190"/>
      <c r="BA141" s="188"/>
      <c r="BB141" s="189"/>
      <c r="BC141" s="189"/>
      <c r="BD141" s="189"/>
      <c r="BE141" s="190"/>
      <c r="BF141" s="188">
        <f t="shared" si="44"/>
        <v>14421</v>
      </c>
      <c r="BG141" s="189">
        <f t="shared" si="38"/>
        <v>13731</v>
      </c>
      <c r="BH141" s="189">
        <f t="shared" si="39"/>
        <v>20424</v>
      </c>
      <c r="BI141" s="189">
        <f t="shared" si="40"/>
        <v>14904</v>
      </c>
      <c r="BJ141" s="190">
        <f t="shared" si="41"/>
        <v>63480</v>
      </c>
      <c r="BK141" s="188">
        <v>2553</v>
      </c>
      <c r="BL141" s="189">
        <v>2622</v>
      </c>
      <c r="BM141" s="189">
        <v>5934</v>
      </c>
      <c r="BN141" s="189">
        <v>4278</v>
      </c>
      <c r="BO141" s="190">
        <v>15387</v>
      </c>
      <c r="BP141" s="188">
        <v>9315</v>
      </c>
      <c r="BQ141" s="189">
        <v>6969</v>
      </c>
      <c r="BR141" s="189">
        <v>9453</v>
      </c>
      <c r="BS141" s="189">
        <v>8418</v>
      </c>
      <c r="BT141" s="190">
        <v>34155</v>
      </c>
      <c r="BU141" s="188">
        <v>1725</v>
      </c>
      <c r="BV141" s="189">
        <v>1587</v>
      </c>
      <c r="BW141" s="189">
        <v>4002</v>
      </c>
      <c r="BX141" s="189">
        <v>1035</v>
      </c>
      <c r="BY141" s="190">
        <v>8349</v>
      </c>
      <c r="BZ141" s="188">
        <v>828</v>
      </c>
      <c r="CA141" s="189">
        <v>2553</v>
      </c>
      <c r="CB141" s="189">
        <v>1035</v>
      </c>
      <c r="CC141" s="189">
        <v>1173</v>
      </c>
      <c r="CD141" s="190">
        <v>5589</v>
      </c>
      <c r="CE141" s="188"/>
      <c r="CF141" s="189"/>
      <c r="CG141" s="189"/>
      <c r="CH141" s="189"/>
      <c r="CI141" s="190"/>
    </row>
    <row r="142" s="163" customFormat="1" ht="14.6" spans="1:87">
      <c r="A142" s="191" t="s">
        <v>126</v>
      </c>
      <c r="B142" s="192"/>
      <c r="C142" s="193">
        <f t="shared" si="42"/>
        <v>59961</v>
      </c>
      <c r="D142" s="194">
        <f t="shared" si="30"/>
        <v>93357</v>
      </c>
      <c r="E142" s="194">
        <f t="shared" si="31"/>
        <v>89424</v>
      </c>
      <c r="F142" s="194">
        <f t="shared" si="32"/>
        <v>82041</v>
      </c>
      <c r="G142" s="195">
        <f t="shared" si="33"/>
        <v>324783</v>
      </c>
      <c r="H142" s="193">
        <f t="shared" si="43"/>
        <v>45540</v>
      </c>
      <c r="I142" s="194">
        <f t="shared" si="34"/>
        <v>79626</v>
      </c>
      <c r="J142" s="194">
        <f t="shared" si="35"/>
        <v>69000</v>
      </c>
      <c r="K142" s="194">
        <f t="shared" si="36"/>
        <v>67137</v>
      </c>
      <c r="L142" s="195">
        <f t="shared" si="37"/>
        <v>261303</v>
      </c>
      <c r="M142" s="193">
        <v>14835</v>
      </c>
      <c r="N142" s="194">
        <v>13593</v>
      </c>
      <c r="O142" s="194">
        <v>12075</v>
      </c>
      <c r="P142" s="194">
        <v>14973</v>
      </c>
      <c r="Q142" s="195">
        <v>55476</v>
      </c>
      <c r="R142" s="193">
        <v>483</v>
      </c>
      <c r="S142" s="194"/>
      <c r="T142" s="194"/>
      <c r="U142" s="194"/>
      <c r="V142" s="195">
        <v>483</v>
      </c>
      <c r="W142" s="193"/>
      <c r="X142" s="194"/>
      <c r="Y142" s="194"/>
      <c r="Z142" s="194"/>
      <c r="AA142" s="195"/>
      <c r="AB142" s="193">
        <v>1242</v>
      </c>
      <c r="AC142" s="194">
        <v>4485</v>
      </c>
      <c r="AD142" s="194">
        <v>3864</v>
      </c>
      <c r="AE142" s="194">
        <v>1794</v>
      </c>
      <c r="AF142" s="195">
        <v>11385</v>
      </c>
      <c r="AG142" s="193">
        <v>4830</v>
      </c>
      <c r="AH142" s="194">
        <v>35259</v>
      </c>
      <c r="AI142" s="194">
        <v>26772</v>
      </c>
      <c r="AJ142" s="194">
        <v>25185</v>
      </c>
      <c r="AK142" s="195">
        <v>92046</v>
      </c>
      <c r="AL142" s="193">
        <v>6141</v>
      </c>
      <c r="AM142" s="194">
        <v>3381</v>
      </c>
      <c r="AN142" s="194">
        <v>4830</v>
      </c>
      <c r="AO142" s="194">
        <v>6555</v>
      </c>
      <c r="AP142" s="195">
        <v>20907</v>
      </c>
      <c r="AQ142" s="193">
        <v>18009</v>
      </c>
      <c r="AR142" s="194">
        <v>22908</v>
      </c>
      <c r="AS142" s="194">
        <v>21459</v>
      </c>
      <c r="AT142" s="194">
        <v>18630</v>
      </c>
      <c r="AU142" s="195">
        <v>81006</v>
      </c>
      <c r="AV142" s="193"/>
      <c r="AW142" s="194"/>
      <c r="AX142" s="194"/>
      <c r="AY142" s="194"/>
      <c r="AZ142" s="195"/>
      <c r="BA142" s="193"/>
      <c r="BB142" s="194"/>
      <c r="BC142" s="194"/>
      <c r="BD142" s="194"/>
      <c r="BE142" s="195"/>
      <c r="BF142" s="193">
        <f t="shared" si="44"/>
        <v>14421</v>
      </c>
      <c r="BG142" s="194">
        <f t="shared" si="38"/>
        <v>13731</v>
      </c>
      <c r="BH142" s="194">
        <f t="shared" si="39"/>
        <v>20424</v>
      </c>
      <c r="BI142" s="194">
        <f t="shared" si="40"/>
        <v>14904</v>
      </c>
      <c r="BJ142" s="195">
        <f t="shared" si="41"/>
        <v>63480</v>
      </c>
      <c r="BK142" s="193">
        <v>2553</v>
      </c>
      <c r="BL142" s="194">
        <v>2622</v>
      </c>
      <c r="BM142" s="194">
        <v>5934</v>
      </c>
      <c r="BN142" s="194">
        <v>4278</v>
      </c>
      <c r="BO142" s="195">
        <v>15387</v>
      </c>
      <c r="BP142" s="193">
        <v>9315</v>
      </c>
      <c r="BQ142" s="194">
        <v>6969</v>
      </c>
      <c r="BR142" s="194">
        <v>9453</v>
      </c>
      <c r="BS142" s="194">
        <v>8418</v>
      </c>
      <c r="BT142" s="195">
        <v>34155</v>
      </c>
      <c r="BU142" s="193">
        <v>1725</v>
      </c>
      <c r="BV142" s="194">
        <v>1587</v>
      </c>
      <c r="BW142" s="194">
        <v>4002</v>
      </c>
      <c r="BX142" s="194">
        <v>1035</v>
      </c>
      <c r="BY142" s="195">
        <v>8349</v>
      </c>
      <c r="BZ142" s="193">
        <v>828</v>
      </c>
      <c r="CA142" s="194">
        <v>2553</v>
      </c>
      <c r="CB142" s="194">
        <v>1035</v>
      </c>
      <c r="CC142" s="194">
        <v>1173</v>
      </c>
      <c r="CD142" s="195">
        <v>5589</v>
      </c>
      <c r="CE142" s="193"/>
      <c r="CF142" s="194"/>
      <c r="CG142" s="194"/>
      <c r="CH142" s="194"/>
      <c r="CI142" s="195"/>
    </row>
    <row r="143" spans="1:87">
      <c r="A143" s="186" t="s">
        <v>127</v>
      </c>
      <c r="B143" s="187" t="s">
        <v>26</v>
      </c>
      <c r="C143" s="188">
        <f t="shared" si="42"/>
        <v>88182</v>
      </c>
      <c r="D143" s="189">
        <f t="shared" si="30"/>
        <v>70932</v>
      </c>
      <c r="E143" s="189">
        <f t="shared" si="31"/>
        <v>82800</v>
      </c>
      <c r="F143" s="189">
        <f t="shared" si="32"/>
        <v>69207</v>
      </c>
      <c r="G143" s="190">
        <f t="shared" si="33"/>
        <v>311121</v>
      </c>
      <c r="H143" s="188">
        <f t="shared" si="43"/>
        <v>64998</v>
      </c>
      <c r="I143" s="189">
        <f t="shared" si="34"/>
        <v>54579</v>
      </c>
      <c r="J143" s="189">
        <f t="shared" si="35"/>
        <v>59961</v>
      </c>
      <c r="K143" s="189">
        <f t="shared" si="36"/>
        <v>50301</v>
      </c>
      <c r="L143" s="190">
        <f t="shared" si="37"/>
        <v>229839</v>
      </c>
      <c r="M143" s="188">
        <v>759</v>
      </c>
      <c r="N143" s="189">
        <v>4761</v>
      </c>
      <c r="O143" s="189">
        <v>5865</v>
      </c>
      <c r="P143" s="189">
        <v>3243</v>
      </c>
      <c r="Q143" s="190">
        <v>14628</v>
      </c>
      <c r="R143" s="188">
        <v>20631</v>
      </c>
      <c r="S143" s="189">
        <v>17664</v>
      </c>
      <c r="T143" s="189">
        <v>21873</v>
      </c>
      <c r="U143" s="189">
        <v>13386</v>
      </c>
      <c r="V143" s="190">
        <v>73554</v>
      </c>
      <c r="W143" s="188"/>
      <c r="X143" s="189"/>
      <c r="Y143" s="189">
        <v>69</v>
      </c>
      <c r="Z143" s="189"/>
      <c r="AA143" s="190">
        <v>69</v>
      </c>
      <c r="AB143" s="188">
        <v>38226</v>
      </c>
      <c r="AC143" s="189">
        <v>28014</v>
      </c>
      <c r="AD143" s="189">
        <v>24771</v>
      </c>
      <c r="AE143" s="189">
        <v>24150</v>
      </c>
      <c r="AF143" s="190">
        <v>115161</v>
      </c>
      <c r="AG143" s="188"/>
      <c r="AH143" s="189"/>
      <c r="AI143" s="189"/>
      <c r="AJ143" s="189"/>
      <c r="AK143" s="190"/>
      <c r="AL143" s="188">
        <v>4416</v>
      </c>
      <c r="AM143" s="189">
        <v>3795</v>
      </c>
      <c r="AN143" s="189">
        <v>5727</v>
      </c>
      <c r="AO143" s="189">
        <v>9384</v>
      </c>
      <c r="AP143" s="190">
        <v>23322</v>
      </c>
      <c r="AQ143" s="188"/>
      <c r="AR143" s="189"/>
      <c r="AS143" s="189"/>
      <c r="AT143" s="189"/>
      <c r="AU143" s="190"/>
      <c r="AV143" s="188">
        <v>138</v>
      </c>
      <c r="AW143" s="189">
        <v>345</v>
      </c>
      <c r="AX143" s="189"/>
      <c r="AY143" s="189">
        <v>138</v>
      </c>
      <c r="AZ143" s="190">
        <v>621</v>
      </c>
      <c r="BA143" s="188">
        <v>828</v>
      </c>
      <c r="BB143" s="189"/>
      <c r="BC143" s="189">
        <v>1656</v>
      </c>
      <c r="BD143" s="189"/>
      <c r="BE143" s="190">
        <v>2484</v>
      </c>
      <c r="BF143" s="188">
        <f t="shared" si="44"/>
        <v>23184</v>
      </c>
      <c r="BG143" s="189">
        <f t="shared" si="38"/>
        <v>16353</v>
      </c>
      <c r="BH143" s="189">
        <f t="shared" si="39"/>
        <v>22839</v>
      </c>
      <c r="BI143" s="189">
        <f t="shared" si="40"/>
        <v>18906</v>
      </c>
      <c r="BJ143" s="190">
        <f t="shared" si="41"/>
        <v>81282</v>
      </c>
      <c r="BK143" s="188">
        <v>5244</v>
      </c>
      <c r="BL143" s="189"/>
      <c r="BM143" s="189"/>
      <c r="BN143" s="189"/>
      <c r="BO143" s="190">
        <v>5244</v>
      </c>
      <c r="BP143" s="188">
        <v>4071</v>
      </c>
      <c r="BQ143" s="189">
        <v>897</v>
      </c>
      <c r="BR143" s="189"/>
      <c r="BS143" s="189"/>
      <c r="BT143" s="190">
        <v>4968</v>
      </c>
      <c r="BU143" s="188">
        <v>13869</v>
      </c>
      <c r="BV143" s="189">
        <v>15456</v>
      </c>
      <c r="BW143" s="189">
        <v>22839</v>
      </c>
      <c r="BX143" s="189">
        <v>18906</v>
      </c>
      <c r="BY143" s="190">
        <v>71070</v>
      </c>
      <c r="BZ143" s="188"/>
      <c r="CA143" s="189"/>
      <c r="CB143" s="189"/>
      <c r="CC143" s="189"/>
      <c r="CD143" s="190"/>
      <c r="CE143" s="188"/>
      <c r="CF143" s="189"/>
      <c r="CG143" s="189"/>
      <c r="CH143" s="189"/>
      <c r="CI143" s="190"/>
    </row>
    <row r="144" s="163" customFormat="1" ht="14.6" spans="1:87">
      <c r="A144" s="191" t="s">
        <v>128</v>
      </c>
      <c r="B144" s="192"/>
      <c r="C144" s="193">
        <f t="shared" si="42"/>
        <v>88182</v>
      </c>
      <c r="D144" s="194">
        <f t="shared" si="30"/>
        <v>70932</v>
      </c>
      <c r="E144" s="194">
        <f t="shared" si="31"/>
        <v>82800</v>
      </c>
      <c r="F144" s="194">
        <f t="shared" si="32"/>
        <v>69207</v>
      </c>
      <c r="G144" s="195">
        <f t="shared" si="33"/>
        <v>311121</v>
      </c>
      <c r="H144" s="193">
        <f t="shared" si="43"/>
        <v>64998</v>
      </c>
      <c r="I144" s="194">
        <f t="shared" si="34"/>
        <v>54579</v>
      </c>
      <c r="J144" s="194">
        <f t="shared" si="35"/>
        <v>59961</v>
      </c>
      <c r="K144" s="194">
        <f t="shared" si="36"/>
        <v>50301</v>
      </c>
      <c r="L144" s="195">
        <f t="shared" si="37"/>
        <v>229839</v>
      </c>
      <c r="M144" s="193">
        <v>759</v>
      </c>
      <c r="N144" s="194">
        <v>4761</v>
      </c>
      <c r="O144" s="194">
        <v>5865</v>
      </c>
      <c r="P144" s="194">
        <v>3243</v>
      </c>
      <c r="Q144" s="195">
        <v>14628</v>
      </c>
      <c r="R144" s="193">
        <v>20631</v>
      </c>
      <c r="S144" s="194">
        <v>17664</v>
      </c>
      <c r="T144" s="194">
        <v>21873</v>
      </c>
      <c r="U144" s="194">
        <v>13386</v>
      </c>
      <c r="V144" s="195">
        <v>73554</v>
      </c>
      <c r="W144" s="193"/>
      <c r="X144" s="194"/>
      <c r="Y144" s="194">
        <v>69</v>
      </c>
      <c r="Z144" s="194"/>
      <c r="AA144" s="195">
        <v>69</v>
      </c>
      <c r="AB144" s="193">
        <v>38226</v>
      </c>
      <c r="AC144" s="194">
        <v>28014</v>
      </c>
      <c r="AD144" s="194">
        <v>24771</v>
      </c>
      <c r="AE144" s="194">
        <v>24150</v>
      </c>
      <c r="AF144" s="195">
        <v>115161</v>
      </c>
      <c r="AG144" s="193"/>
      <c r="AH144" s="194"/>
      <c r="AI144" s="194"/>
      <c r="AJ144" s="194"/>
      <c r="AK144" s="195"/>
      <c r="AL144" s="193">
        <v>4416</v>
      </c>
      <c r="AM144" s="194">
        <v>3795</v>
      </c>
      <c r="AN144" s="194">
        <v>5727</v>
      </c>
      <c r="AO144" s="194">
        <v>9384</v>
      </c>
      <c r="AP144" s="195">
        <v>23322</v>
      </c>
      <c r="AQ144" s="193"/>
      <c r="AR144" s="194"/>
      <c r="AS144" s="194"/>
      <c r="AT144" s="194"/>
      <c r="AU144" s="195"/>
      <c r="AV144" s="193">
        <v>138</v>
      </c>
      <c r="AW144" s="194">
        <v>345</v>
      </c>
      <c r="AX144" s="194"/>
      <c r="AY144" s="194">
        <v>138</v>
      </c>
      <c r="AZ144" s="195">
        <v>621</v>
      </c>
      <c r="BA144" s="193">
        <v>828</v>
      </c>
      <c r="BB144" s="194"/>
      <c r="BC144" s="194">
        <v>1656</v>
      </c>
      <c r="BD144" s="194"/>
      <c r="BE144" s="195">
        <v>2484</v>
      </c>
      <c r="BF144" s="193">
        <f t="shared" si="44"/>
        <v>23184</v>
      </c>
      <c r="BG144" s="194">
        <f t="shared" si="38"/>
        <v>16353</v>
      </c>
      <c r="BH144" s="194">
        <f t="shared" si="39"/>
        <v>22839</v>
      </c>
      <c r="BI144" s="194">
        <f t="shared" si="40"/>
        <v>18906</v>
      </c>
      <c r="BJ144" s="195">
        <f t="shared" si="41"/>
        <v>81282</v>
      </c>
      <c r="BK144" s="193">
        <v>5244</v>
      </c>
      <c r="BL144" s="194"/>
      <c r="BM144" s="194"/>
      <c r="BN144" s="194"/>
      <c r="BO144" s="195">
        <v>5244</v>
      </c>
      <c r="BP144" s="193">
        <v>4071</v>
      </c>
      <c r="BQ144" s="194">
        <v>897</v>
      </c>
      <c r="BR144" s="194"/>
      <c r="BS144" s="194"/>
      <c r="BT144" s="195">
        <v>4968</v>
      </c>
      <c r="BU144" s="193">
        <v>13869</v>
      </c>
      <c r="BV144" s="194">
        <v>15456</v>
      </c>
      <c r="BW144" s="194">
        <v>22839</v>
      </c>
      <c r="BX144" s="194">
        <v>18906</v>
      </c>
      <c r="BY144" s="195">
        <v>71070</v>
      </c>
      <c r="BZ144" s="193"/>
      <c r="CA144" s="194"/>
      <c r="CB144" s="194"/>
      <c r="CC144" s="194"/>
      <c r="CD144" s="195"/>
      <c r="CE144" s="193"/>
      <c r="CF144" s="194"/>
      <c r="CG144" s="194"/>
      <c r="CH144" s="194"/>
      <c r="CI144" s="195"/>
    </row>
    <row r="145" spans="1:87">
      <c r="A145" s="186" t="s">
        <v>129</v>
      </c>
      <c r="B145" s="187" t="s">
        <v>26</v>
      </c>
      <c r="C145" s="188">
        <f t="shared" si="42"/>
        <v>128547</v>
      </c>
      <c r="D145" s="189">
        <f t="shared" si="30"/>
        <v>82248</v>
      </c>
      <c r="E145" s="189">
        <f t="shared" si="31"/>
        <v>61134</v>
      </c>
      <c r="F145" s="189">
        <f t="shared" si="32"/>
        <v>22701</v>
      </c>
      <c r="G145" s="190">
        <f t="shared" si="33"/>
        <v>294630</v>
      </c>
      <c r="H145" s="188">
        <f t="shared" si="43"/>
        <v>86457</v>
      </c>
      <c r="I145" s="189">
        <f t="shared" si="34"/>
        <v>61824</v>
      </c>
      <c r="J145" s="189">
        <f t="shared" si="35"/>
        <v>33189</v>
      </c>
      <c r="K145" s="189">
        <f t="shared" si="36"/>
        <v>4899</v>
      </c>
      <c r="L145" s="190">
        <f t="shared" si="37"/>
        <v>186369</v>
      </c>
      <c r="M145" s="188"/>
      <c r="N145" s="189"/>
      <c r="O145" s="189"/>
      <c r="P145" s="189"/>
      <c r="Q145" s="190"/>
      <c r="R145" s="188"/>
      <c r="S145" s="189"/>
      <c r="T145" s="189"/>
      <c r="U145" s="189"/>
      <c r="V145" s="190"/>
      <c r="W145" s="188"/>
      <c r="X145" s="189"/>
      <c r="Y145" s="189"/>
      <c r="Z145" s="189"/>
      <c r="AA145" s="190"/>
      <c r="AB145" s="188">
        <v>85836</v>
      </c>
      <c r="AC145" s="189">
        <v>59685</v>
      </c>
      <c r="AD145" s="189">
        <v>31533</v>
      </c>
      <c r="AE145" s="189">
        <v>4899</v>
      </c>
      <c r="AF145" s="190">
        <v>181953</v>
      </c>
      <c r="AG145" s="188">
        <v>276</v>
      </c>
      <c r="AH145" s="189">
        <v>483</v>
      </c>
      <c r="AI145" s="189"/>
      <c r="AJ145" s="189"/>
      <c r="AK145" s="190">
        <v>759</v>
      </c>
      <c r="AL145" s="188"/>
      <c r="AM145" s="189"/>
      <c r="AN145" s="189"/>
      <c r="AO145" s="189"/>
      <c r="AP145" s="190"/>
      <c r="AQ145" s="188"/>
      <c r="AR145" s="189">
        <v>1656</v>
      </c>
      <c r="AS145" s="189"/>
      <c r="AT145" s="189"/>
      <c r="AU145" s="190">
        <v>1656</v>
      </c>
      <c r="AV145" s="188"/>
      <c r="AW145" s="189"/>
      <c r="AX145" s="189"/>
      <c r="AY145" s="189"/>
      <c r="AZ145" s="190"/>
      <c r="BA145" s="188">
        <v>345</v>
      </c>
      <c r="BB145" s="189"/>
      <c r="BC145" s="189">
        <v>1656</v>
      </c>
      <c r="BD145" s="189"/>
      <c r="BE145" s="190">
        <v>2001</v>
      </c>
      <c r="BF145" s="188">
        <f t="shared" si="44"/>
        <v>42090</v>
      </c>
      <c r="BG145" s="189">
        <f t="shared" si="38"/>
        <v>20424</v>
      </c>
      <c r="BH145" s="189">
        <f t="shared" si="39"/>
        <v>27945</v>
      </c>
      <c r="BI145" s="189">
        <f t="shared" si="40"/>
        <v>17802</v>
      </c>
      <c r="BJ145" s="190">
        <f t="shared" si="41"/>
        <v>108261</v>
      </c>
      <c r="BK145" s="188">
        <v>1932</v>
      </c>
      <c r="BL145" s="189">
        <v>3657</v>
      </c>
      <c r="BM145" s="189">
        <v>2691</v>
      </c>
      <c r="BN145" s="189">
        <v>3864</v>
      </c>
      <c r="BO145" s="190">
        <v>12144</v>
      </c>
      <c r="BP145" s="188">
        <v>8073</v>
      </c>
      <c r="BQ145" s="189">
        <v>8418</v>
      </c>
      <c r="BR145" s="189">
        <v>12489</v>
      </c>
      <c r="BS145" s="189">
        <v>12006</v>
      </c>
      <c r="BT145" s="190">
        <v>40986</v>
      </c>
      <c r="BU145" s="188">
        <v>28152</v>
      </c>
      <c r="BV145" s="189">
        <v>8349</v>
      </c>
      <c r="BW145" s="189">
        <v>12765</v>
      </c>
      <c r="BX145" s="189">
        <v>1932</v>
      </c>
      <c r="BY145" s="190">
        <v>51198</v>
      </c>
      <c r="BZ145" s="188">
        <v>3933</v>
      </c>
      <c r="CA145" s="189"/>
      <c r="CB145" s="189"/>
      <c r="CC145" s="189"/>
      <c r="CD145" s="190">
        <v>3933</v>
      </c>
      <c r="CE145" s="188"/>
      <c r="CF145" s="189"/>
      <c r="CG145" s="189"/>
      <c r="CH145" s="189"/>
      <c r="CI145" s="190"/>
    </row>
    <row r="146" s="163" customFormat="1" ht="14.6" spans="1:87">
      <c r="A146" s="191" t="s">
        <v>130</v>
      </c>
      <c r="B146" s="192"/>
      <c r="C146" s="193">
        <f t="shared" si="42"/>
        <v>128547</v>
      </c>
      <c r="D146" s="194">
        <f t="shared" si="30"/>
        <v>82248</v>
      </c>
      <c r="E146" s="194">
        <f t="shared" si="31"/>
        <v>61134</v>
      </c>
      <c r="F146" s="194">
        <f t="shared" si="32"/>
        <v>22701</v>
      </c>
      <c r="G146" s="195">
        <f t="shared" si="33"/>
        <v>294630</v>
      </c>
      <c r="H146" s="193">
        <f t="shared" si="43"/>
        <v>86457</v>
      </c>
      <c r="I146" s="194">
        <f t="shared" si="34"/>
        <v>61824</v>
      </c>
      <c r="J146" s="194">
        <f t="shared" si="35"/>
        <v>33189</v>
      </c>
      <c r="K146" s="194">
        <f t="shared" si="36"/>
        <v>4899</v>
      </c>
      <c r="L146" s="195">
        <f t="shared" si="37"/>
        <v>186369</v>
      </c>
      <c r="M146" s="193"/>
      <c r="N146" s="194"/>
      <c r="O146" s="194"/>
      <c r="P146" s="194"/>
      <c r="Q146" s="195"/>
      <c r="R146" s="193"/>
      <c r="S146" s="194"/>
      <c r="T146" s="194"/>
      <c r="U146" s="194"/>
      <c r="V146" s="195"/>
      <c r="W146" s="193"/>
      <c r="X146" s="194"/>
      <c r="Y146" s="194"/>
      <c r="Z146" s="194"/>
      <c r="AA146" s="195"/>
      <c r="AB146" s="193">
        <v>85836</v>
      </c>
      <c r="AC146" s="194">
        <v>59685</v>
      </c>
      <c r="AD146" s="194">
        <v>31533</v>
      </c>
      <c r="AE146" s="194">
        <v>4899</v>
      </c>
      <c r="AF146" s="195">
        <v>181953</v>
      </c>
      <c r="AG146" s="193">
        <v>276</v>
      </c>
      <c r="AH146" s="194">
        <v>483</v>
      </c>
      <c r="AI146" s="194"/>
      <c r="AJ146" s="194"/>
      <c r="AK146" s="195">
        <v>759</v>
      </c>
      <c r="AL146" s="193"/>
      <c r="AM146" s="194"/>
      <c r="AN146" s="194"/>
      <c r="AO146" s="194"/>
      <c r="AP146" s="195"/>
      <c r="AQ146" s="193"/>
      <c r="AR146" s="194">
        <v>1656</v>
      </c>
      <c r="AS146" s="194"/>
      <c r="AT146" s="194"/>
      <c r="AU146" s="195">
        <v>1656</v>
      </c>
      <c r="AV146" s="193"/>
      <c r="AW146" s="194"/>
      <c r="AX146" s="194"/>
      <c r="AY146" s="194"/>
      <c r="AZ146" s="195"/>
      <c r="BA146" s="193">
        <v>345</v>
      </c>
      <c r="BB146" s="194"/>
      <c r="BC146" s="194">
        <v>1656</v>
      </c>
      <c r="BD146" s="194"/>
      <c r="BE146" s="195">
        <v>2001</v>
      </c>
      <c r="BF146" s="193">
        <f t="shared" si="44"/>
        <v>42090</v>
      </c>
      <c r="BG146" s="194">
        <f t="shared" si="38"/>
        <v>20424</v>
      </c>
      <c r="BH146" s="194">
        <f t="shared" si="39"/>
        <v>27945</v>
      </c>
      <c r="BI146" s="194">
        <f t="shared" si="40"/>
        <v>17802</v>
      </c>
      <c r="BJ146" s="195">
        <f t="shared" si="41"/>
        <v>108261</v>
      </c>
      <c r="BK146" s="193">
        <v>1932</v>
      </c>
      <c r="BL146" s="194">
        <v>3657</v>
      </c>
      <c r="BM146" s="194">
        <v>2691</v>
      </c>
      <c r="BN146" s="194">
        <v>3864</v>
      </c>
      <c r="BO146" s="195">
        <v>12144</v>
      </c>
      <c r="BP146" s="193">
        <v>8073</v>
      </c>
      <c r="BQ146" s="194">
        <v>8418</v>
      </c>
      <c r="BR146" s="194">
        <v>12489</v>
      </c>
      <c r="BS146" s="194">
        <v>12006</v>
      </c>
      <c r="BT146" s="195">
        <v>40986</v>
      </c>
      <c r="BU146" s="193">
        <v>28152</v>
      </c>
      <c r="BV146" s="194">
        <v>8349</v>
      </c>
      <c r="BW146" s="194">
        <v>12765</v>
      </c>
      <c r="BX146" s="194">
        <v>1932</v>
      </c>
      <c r="BY146" s="195">
        <v>51198</v>
      </c>
      <c r="BZ146" s="193">
        <v>3933</v>
      </c>
      <c r="CA146" s="194"/>
      <c r="CB146" s="194"/>
      <c r="CC146" s="194"/>
      <c r="CD146" s="195">
        <v>3933</v>
      </c>
      <c r="CE146" s="193"/>
      <c r="CF146" s="194"/>
      <c r="CG146" s="194"/>
      <c r="CH146" s="194"/>
      <c r="CI146" s="195"/>
    </row>
    <row r="147" spans="1:87">
      <c r="A147" s="186" t="s">
        <v>131</v>
      </c>
      <c r="B147" s="187" t="s">
        <v>26</v>
      </c>
      <c r="C147" s="188">
        <f t="shared" si="42"/>
        <v>81489</v>
      </c>
      <c r="D147" s="189">
        <f t="shared" si="30"/>
        <v>64101</v>
      </c>
      <c r="E147" s="189">
        <f t="shared" si="31"/>
        <v>72312</v>
      </c>
      <c r="F147" s="189">
        <f t="shared" si="32"/>
        <v>69552</v>
      </c>
      <c r="G147" s="190">
        <f t="shared" si="33"/>
        <v>287454</v>
      </c>
      <c r="H147" s="188">
        <f t="shared" si="43"/>
        <v>64377</v>
      </c>
      <c r="I147" s="189">
        <f t="shared" si="34"/>
        <v>56028</v>
      </c>
      <c r="J147" s="189">
        <f t="shared" si="35"/>
        <v>53751</v>
      </c>
      <c r="K147" s="189">
        <f t="shared" si="36"/>
        <v>59409</v>
      </c>
      <c r="L147" s="190">
        <f t="shared" si="37"/>
        <v>233565</v>
      </c>
      <c r="M147" s="188">
        <v>3726</v>
      </c>
      <c r="N147" s="189">
        <v>1656</v>
      </c>
      <c r="O147" s="189">
        <v>1104</v>
      </c>
      <c r="P147" s="189">
        <v>2691</v>
      </c>
      <c r="Q147" s="190">
        <v>9177</v>
      </c>
      <c r="R147" s="188"/>
      <c r="S147" s="189"/>
      <c r="T147" s="189"/>
      <c r="U147" s="189"/>
      <c r="V147" s="190"/>
      <c r="W147" s="188">
        <v>1587</v>
      </c>
      <c r="X147" s="189">
        <v>1311</v>
      </c>
      <c r="Y147" s="189">
        <v>2691</v>
      </c>
      <c r="Z147" s="189">
        <v>4416</v>
      </c>
      <c r="AA147" s="190">
        <v>10005</v>
      </c>
      <c r="AB147" s="188">
        <v>13593</v>
      </c>
      <c r="AC147" s="189">
        <v>13110</v>
      </c>
      <c r="AD147" s="189">
        <v>11937</v>
      </c>
      <c r="AE147" s="189">
        <v>6417</v>
      </c>
      <c r="AF147" s="190">
        <v>45057</v>
      </c>
      <c r="AG147" s="188">
        <v>27462</v>
      </c>
      <c r="AH147" s="189">
        <v>22977</v>
      </c>
      <c r="AI147" s="189">
        <v>18975</v>
      </c>
      <c r="AJ147" s="189">
        <v>22770</v>
      </c>
      <c r="AK147" s="190">
        <v>92184</v>
      </c>
      <c r="AL147" s="188">
        <v>1035</v>
      </c>
      <c r="AM147" s="189">
        <v>1518</v>
      </c>
      <c r="AN147" s="189">
        <v>1794</v>
      </c>
      <c r="AO147" s="189">
        <v>1794</v>
      </c>
      <c r="AP147" s="190">
        <v>6141</v>
      </c>
      <c r="AQ147" s="188">
        <v>9936</v>
      </c>
      <c r="AR147" s="189">
        <v>8280</v>
      </c>
      <c r="AS147" s="189">
        <v>8487</v>
      </c>
      <c r="AT147" s="189">
        <v>7590</v>
      </c>
      <c r="AU147" s="190">
        <v>34293</v>
      </c>
      <c r="AV147" s="188">
        <v>1242</v>
      </c>
      <c r="AW147" s="189">
        <v>897</v>
      </c>
      <c r="AX147" s="189">
        <v>1725</v>
      </c>
      <c r="AY147" s="189">
        <v>1863</v>
      </c>
      <c r="AZ147" s="190">
        <v>5727</v>
      </c>
      <c r="BA147" s="188">
        <v>5796</v>
      </c>
      <c r="BB147" s="189">
        <v>6279</v>
      </c>
      <c r="BC147" s="189">
        <v>7038</v>
      </c>
      <c r="BD147" s="189">
        <v>11868</v>
      </c>
      <c r="BE147" s="190">
        <v>30981</v>
      </c>
      <c r="BF147" s="188">
        <f t="shared" si="44"/>
        <v>17112</v>
      </c>
      <c r="BG147" s="189">
        <f t="shared" si="38"/>
        <v>8073</v>
      </c>
      <c r="BH147" s="189">
        <f t="shared" si="39"/>
        <v>18561</v>
      </c>
      <c r="BI147" s="189">
        <f t="shared" si="40"/>
        <v>10143</v>
      </c>
      <c r="BJ147" s="190">
        <f t="shared" si="41"/>
        <v>53889</v>
      </c>
      <c r="BK147" s="188">
        <v>4968</v>
      </c>
      <c r="BL147" s="189">
        <v>1794</v>
      </c>
      <c r="BM147" s="189">
        <v>3519</v>
      </c>
      <c r="BN147" s="189">
        <v>3519</v>
      </c>
      <c r="BO147" s="190">
        <v>13800</v>
      </c>
      <c r="BP147" s="188">
        <v>4623</v>
      </c>
      <c r="BQ147" s="189">
        <v>3795</v>
      </c>
      <c r="BR147" s="189">
        <v>11040</v>
      </c>
      <c r="BS147" s="189">
        <v>5382</v>
      </c>
      <c r="BT147" s="190">
        <v>24840</v>
      </c>
      <c r="BU147" s="188">
        <v>7176</v>
      </c>
      <c r="BV147" s="189">
        <v>2277</v>
      </c>
      <c r="BW147" s="189">
        <v>1311</v>
      </c>
      <c r="BX147" s="189">
        <v>1242</v>
      </c>
      <c r="BY147" s="190">
        <v>12006</v>
      </c>
      <c r="BZ147" s="188">
        <v>345</v>
      </c>
      <c r="CA147" s="189">
        <v>207</v>
      </c>
      <c r="CB147" s="189">
        <v>2691</v>
      </c>
      <c r="CC147" s="189"/>
      <c r="CD147" s="190">
        <v>3243</v>
      </c>
      <c r="CE147" s="188"/>
      <c r="CF147" s="189"/>
      <c r="CG147" s="189"/>
      <c r="CH147" s="189"/>
      <c r="CI147" s="190"/>
    </row>
    <row r="148" s="163" customFormat="1" ht="14.6" spans="1:87">
      <c r="A148" s="191" t="s">
        <v>132</v>
      </c>
      <c r="B148" s="192"/>
      <c r="C148" s="193">
        <f t="shared" si="42"/>
        <v>81489</v>
      </c>
      <c r="D148" s="194">
        <f t="shared" si="30"/>
        <v>64101</v>
      </c>
      <c r="E148" s="194">
        <f t="shared" si="31"/>
        <v>72312</v>
      </c>
      <c r="F148" s="194">
        <f t="shared" si="32"/>
        <v>69552</v>
      </c>
      <c r="G148" s="195">
        <f t="shared" si="33"/>
        <v>287454</v>
      </c>
      <c r="H148" s="193">
        <f t="shared" si="43"/>
        <v>64377</v>
      </c>
      <c r="I148" s="194">
        <f t="shared" si="34"/>
        <v>56028</v>
      </c>
      <c r="J148" s="194">
        <f t="shared" si="35"/>
        <v>53751</v>
      </c>
      <c r="K148" s="194">
        <f t="shared" si="36"/>
        <v>59409</v>
      </c>
      <c r="L148" s="195">
        <f t="shared" si="37"/>
        <v>233565</v>
      </c>
      <c r="M148" s="193">
        <v>3726</v>
      </c>
      <c r="N148" s="194">
        <v>1656</v>
      </c>
      <c r="O148" s="194">
        <v>1104</v>
      </c>
      <c r="P148" s="194">
        <v>2691</v>
      </c>
      <c r="Q148" s="195">
        <v>9177</v>
      </c>
      <c r="R148" s="193"/>
      <c r="S148" s="194"/>
      <c r="T148" s="194"/>
      <c r="U148" s="194"/>
      <c r="V148" s="195"/>
      <c r="W148" s="193">
        <v>1587</v>
      </c>
      <c r="X148" s="194">
        <v>1311</v>
      </c>
      <c r="Y148" s="194">
        <v>2691</v>
      </c>
      <c r="Z148" s="194">
        <v>4416</v>
      </c>
      <c r="AA148" s="195">
        <v>10005</v>
      </c>
      <c r="AB148" s="193">
        <v>13593</v>
      </c>
      <c r="AC148" s="194">
        <v>13110</v>
      </c>
      <c r="AD148" s="194">
        <v>11937</v>
      </c>
      <c r="AE148" s="194">
        <v>6417</v>
      </c>
      <c r="AF148" s="195">
        <v>45057</v>
      </c>
      <c r="AG148" s="193">
        <v>27462</v>
      </c>
      <c r="AH148" s="194">
        <v>22977</v>
      </c>
      <c r="AI148" s="194">
        <v>18975</v>
      </c>
      <c r="AJ148" s="194">
        <v>22770</v>
      </c>
      <c r="AK148" s="195">
        <v>92184</v>
      </c>
      <c r="AL148" s="193">
        <v>1035</v>
      </c>
      <c r="AM148" s="194">
        <v>1518</v>
      </c>
      <c r="AN148" s="194">
        <v>1794</v>
      </c>
      <c r="AO148" s="194">
        <v>1794</v>
      </c>
      <c r="AP148" s="195">
        <v>6141</v>
      </c>
      <c r="AQ148" s="193">
        <v>9936</v>
      </c>
      <c r="AR148" s="194">
        <v>8280</v>
      </c>
      <c r="AS148" s="194">
        <v>8487</v>
      </c>
      <c r="AT148" s="194">
        <v>7590</v>
      </c>
      <c r="AU148" s="195">
        <v>34293</v>
      </c>
      <c r="AV148" s="193">
        <v>1242</v>
      </c>
      <c r="AW148" s="194">
        <v>897</v>
      </c>
      <c r="AX148" s="194">
        <v>1725</v>
      </c>
      <c r="AY148" s="194">
        <v>1863</v>
      </c>
      <c r="AZ148" s="195">
        <v>5727</v>
      </c>
      <c r="BA148" s="193">
        <v>5796</v>
      </c>
      <c r="BB148" s="194">
        <v>6279</v>
      </c>
      <c r="BC148" s="194">
        <v>7038</v>
      </c>
      <c r="BD148" s="194">
        <v>11868</v>
      </c>
      <c r="BE148" s="195">
        <v>30981</v>
      </c>
      <c r="BF148" s="193">
        <f t="shared" si="44"/>
        <v>17112</v>
      </c>
      <c r="BG148" s="194">
        <f t="shared" si="38"/>
        <v>8073</v>
      </c>
      <c r="BH148" s="194">
        <f t="shared" si="39"/>
        <v>18561</v>
      </c>
      <c r="BI148" s="194">
        <f t="shared" si="40"/>
        <v>10143</v>
      </c>
      <c r="BJ148" s="195">
        <f t="shared" si="41"/>
        <v>53889</v>
      </c>
      <c r="BK148" s="193">
        <v>4968</v>
      </c>
      <c r="BL148" s="194">
        <v>1794</v>
      </c>
      <c r="BM148" s="194">
        <v>3519</v>
      </c>
      <c r="BN148" s="194">
        <v>3519</v>
      </c>
      <c r="BO148" s="195">
        <v>13800</v>
      </c>
      <c r="BP148" s="193">
        <v>4623</v>
      </c>
      <c r="BQ148" s="194">
        <v>3795</v>
      </c>
      <c r="BR148" s="194">
        <v>11040</v>
      </c>
      <c r="BS148" s="194">
        <v>5382</v>
      </c>
      <c r="BT148" s="195">
        <v>24840</v>
      </c>
      <c r="BU148" s="193">
        <v>7176</v>
      </c>
      <c r="BV148" s="194">
        <v>2277</v>
      </c>
      <c r="BW148" s="194">
        <v>1311</v>
      </c>
      <c r="BX148" s="194">
        <v>1242</v>
      </c>
      <c r="BY148" s="195">
        <v>12006</v>
      </c>
      <c r="BZ148" s="193">
        <v>345</v>
      </c>
      <c r="CA148" s="194">
        <v>207</v>
      </c>
      <c r="CB148" s="194">
        <v>2691</v>
      </c>
      <c r="CC148" s="194"/>
      <c r="CD148" s="195">
        <v>3243</v>
      </c>
      <c r="CE148" s="193"/>
      <c r="CF148" s="194"/>
      <c r="CG148" s="194"/>
      <c r="CH148" s="194"/>
      <c r="CI148" s="195"/>
    </row>
    <row r="149" spans="1:87">
      <c r="A149" s="186" t="s">
        <v>133</v>
      </c>
      <c r="B149" s="187" t="s">
        <v>26</v>
      </c>
      <c r="C149" s="188">
        <f t="shared" si="42"/>
        <v>99429</v>
      </c>
      <c r="D149" s="189">
        <f t="shared" si="30"/>
        <v>81627</v>
      </c>
      <c r="E149" s="189">
        <f t="shared" si="31"/>
        <v>45195</v>
      </c>
      <c r="F149" s="189">
        <f t="shared" si="32"/>
        <v>34983</v>
      </c>
      <c r="G149" s="190">
        <f t="shared" si="33"/>
        <v>261234</v>
      </c>
      <c r="H149" s="188">
        <f t="shared" si="43"/>
        <v>68655</v>
      </c>
      <c r="I149" s="189">
        <f t="shared" si="34"/>
        <v>58995</v>
      </c>
      <c r="J149" s="189">
        <f t="shared" si="35"/>
        <v>19389</v>
      </c>
      <c r="K149" s="189">
        <f t="shared" si="36"/>
        <v>10488</v>
      </c>
      <c r="L149" s="190">
        <f t="shared" si="37"/>
        <v>157527</v>
      </c>
      <c r="M149" s="188"/>
      <c r="N149" s="189"/>
      <c r="O149" s="189"/>
      <c r="P149" s="189"/>
      <c r="Q149" s="190"/>
      <c r="R149" s="188">
        <v>7659</v>
      </c>
      <c r="S149" s="189">
        <v>24564</v>
      </c>
      <c r="T149" s="189">
        <v>13110</v>
      </c>
      <c r="U149" s="189">
        <v>2484</v>
      </c>
      <c r="V149" s="190">
        <v>47817</v>
      </c>
      <c r="W149" s="188">
        <v>7245</v>
      </c>
      <c r="X149" s="189">
        <v>3864</v>
      </c>
      <c r="Y149" s="189"/>
      <c r="Z149" s="189"/>
      <c r="AA149" s="190">
        <v>11109</v>
      </c>
      <c r="AB149" s="188">
        <v>1932</v>
      </c>
      <c r="AC149" s="189">
        <v>5244</v>
      </c>
      <c r="AD149" s="189">
        <v>1173</v>
      </c>
      <c r="AE149" s="189">
        <v>828</v>
      </c>
      <c r="AF149" s="190">
        <v>9177</v>
      </c>
      <c r="AG149" s="188"/>
      <c r="AH149" s="189"/>
      <c r="AI149" s="189"/>
      <c r="AJ149" s="189"/>
      <c r="AK149" s="190"/>
      <c r="AL149" s="188">
        <v>9177</v>
      </c>
      <c r="AM149" s="189">
        <v>7176</v>
      </c>
      <c r="AN149" s="189">
        <v>5106</v>
      </c>
      <c r="AO149" s="189">
        <v>7176</v>
      </c>
      <c r="AP149" s="190">
        <v>28635</v>
      </c>
      <c r="AQ149" s="188">
        <v>17526</v>
      </c>
      <c r="AR149" s="189">
        <v>8832</v>
      </c>
      <c r="AS149" s="189"/>
      <c r="AT149" s="189"/>
      <c r="AU149" s="190">
        <v>26358</v>
      </c>
      <c r="AV149" s="188">
        <v>4692</v>
      </c>
      <c r="AW149" s="189">
        <v>2208</v>
      </c>
      <c r="AX149" s="189"/>
      <c r="AY149" s="189"/>
      <c r="AZ149" s="190">
        <v>6900</v>
      </c>
      <c r="BA149" s="188">
        <v>20424</v>
      </c>
      <c r="BB149" s="189">
        <v>7107</v>
      </c>
      <c r="BC149" s="189"/>
      <c r="BD149" s="189"/>
      <c r="BE149" s="190">
        <v>27531</v>
      </c>
      <c r="BF149" s="188">
        <f t="shared" si="44"/>
        <v>30774</v>
      </c>
      <c r="BG149" s="189">
        <f t="shared" si="38"/>
        <v>22632</v>
      </c>
      <c r="BH149" s="189">
        <f t="shared" si="39"/>
        <v>25806</v>
      </c>
      <c r="BI149" s="189">
        <f t="shared" si="40"/>
        <v>24495</v>
      </c>
      <c r="BJ149" s="190">
        <f t="shared" si="41"/>
        <v>103707</v>
      </c>
      <c r="BK149" s="188">
        <v>2415</v>
      </c>
      <c r="BL149" s="189">
        <v>2967</v>
      </c>
      <c r="BM149" s="189">
        <v>3450</v>
      </c>
      <c r="BN149" s="189"/>
      <c r="BO149" s="190">
        <v>8832</v>
      </c>
      <c r="BP149" s="188">
        <v>13731</v>
      </c>
      <c r="BQ149" s="189">
        <v>11040</v>
      </c>
      <c r="BR149" s="189">
        <v>13179</v>
      </c>
      <c r="BS149" s="189">
        <v>13179</v>
      </c>
      <c r="BT149" s="190">
        <v>51129</v>
      </c>
      <c r="BU149" s="188">
        <v>5865</v>
      </c>
      <c r="BV149" s="189">
        <v>2001</v>
      </c>
      <c r="BW149" s="189">
        <v>5589</v>
      </c>
      <c r="BX149" s="189">
        <v>8073</v>
      </c>
      <c r="BY149" s="190">
        <v>21528</v>
      </c>
      <c r="BZ149" s="188">
        <v>2622</v>
      </c>
      <c r="CA149" s="189">
        <v>2898</v>
      </c>
      <c r="CB149" s="189">
        <v>3588</v>
      </c>
      <c r="CC149" s="189">
        <v>3243</v>
      </c>
      <c r="CD149" s="190">
        <v>12351</v>
      </c>
      <c r="CE149" s="188">
        <v>6141</v>
      </c>
      <c r="CF149" s="189">
        <v>3726</v>
      </c>
      <c r="CG149" s="189"/>
      <c r="CH149" s="189"/>
      <c r="CI149" s="190">
        <v>9867</v>
      </c>
    </row>
    <row r="150" s="163" customFormat="1" ht="14.6" spans="1:87">
      <c r="A150" s="191" t="s">
        <v>134</v>
      </c>
      <c r="B150" s="192"/>
      <c r="C150" s="193">
        <f t="shared" si="42"/>
        <v>99429</v>
      </c>
      <c r="D150" s="194">
        <f t="shared" si="30"/>
        <v>81627</v>
      </c>
      <c r="E150" s="194">
        <f t="shared" si="31"/>
        <v>45195</v>
      </c>
      <c r="F150" s="194">
        <f t="shared" si="32"/>
        <v>34983</v>
      </c>
      <c r="G150" s="195">
        <f t="shared" si="33"/>
        <v>261234</v>
      </c>
      <c r="H150" s="193">
        <f t="shared" si="43"/>
        <v>68655</v>
      </c>
      <c r="I150" s="194">
        <f t="shared" si="34"/>
        <v>58995</v>
      </c>
      <c r="J150" s="194">
        <f t="shared" si="35"/>
        <v>19389</v>
      </c>
      <c r="K150" s="194">
        <f t="shared" si="36"/>
        <v>10488</v>
      </c>
      <c r="L150" s="195">
        <f t="shared" si="37"/>
        <v>157527</v>
      </c>
      <c r="M150" s="193"/>
      <c r="N150" s="194"/>
      <c r="O150" s="194"/>
      <c r="P150" s="194"/>
      <c r="Q150" s="195"/>
      <c r="R150" s="193">
        <v>7659</v>
      </c>
      <c r="S150" s="194">
        <v>24564</v>
      </c>
      <c r="T150" s="194">
        <v>13110</v>
      </c>
      <c r="U150" s="194">
        <v>2484</v>
      </c>
      <c r="V150" s="195">
        <v>47817</v>
      </c>
      <c r="W150" s="193">
        <v>7245</v>
      </c>
      <c r="X150" s="194">
        <v>3864</v>
      </c>
      <c r="Y150" s="194"/>
      <c r="Z150" s="194"/>
      <c r="AA150" s="195">
        <v>11109</v>
      </c>
      <c r="AB150" s="193">
        <v>1932</v>
      </c>
      <c r="AC150" s="194">
        <v>5244</v>
      </c>
      <c r="AD150" s="194">
        <v>1173</v>
      </c>
      <c r="AE150" s="194">
        <v>828</v>
      </c>
      <c r="AF150" s="195">
        <v>9177</v>
      </c>
      <c r="AG150" s="193"/>
      <c r="AH150" s="194"/>
      <c r="AI150" s="194"/>
      <c r="AJ150" s="194"/>
      <c r="AK150" s="195"/>
      <c r="AL150" s="193">
        <v>9177</v>
      </c>
      <c r="AM150" s="194">
        <v>7176</v>
      </c>
      <c r="AN150" s="194">
        <v>5106</v>
      </c>
      <c r="AO150" s="194">
        <v>7176</v>
      </c>
      <c r="AP150" s="195">
        <v>28635</v>
      </c>
      <c r="AQ150" s="193">
        <v>17526</v>
      </c>
      <c r="AR150" s="194">
        <v>8832</v>
      </c>
      <c r="AS150" s="194"/>
      <c r="AT150" s="194"/>
      <c r="AU150" s="195">
        <v>26358</v>
      </c>
      <c r="AV150" s="193">
        <v>4692</v>
      </c>
      <c r="AW150" s="194">
        <v>2208</v>
      </c>
      <c r="AX150" s="194"/>
      <c r="AY150" s="194"/>
      <c r="AZ150" s="195">
        <v>6900</v>
      </c>
      <c r="BA150" s="193">
        <v>20424</v>
      </c>
      <c r="BB150" s="194">
        <v>7107</v>
      </c>
      <c r="BC150" s="194"/>
      <c r="BD150" s="194"/>
      <c r="BE150" s="195">
        <v>27531</v>
      </c>
      <c r="BF150" s="193">
        <f t="shared" si="44"/>
        <v>30774</v>
      </c>
      <c r="BG150" s="194">
        <f t="shared" si="38"/>
        <v>22632</v>
      </c>
      <c r="BH150" s="194">
        <f t="shared" si="39"/>
        <v>25806</v>
      </c>
      <c r="BI150" s="194">
        <f t="shared" si="40"/>
        <v>24495</v>
      </c>
      <c r="BJ150" s="195">
        <f t="shared" si="41"/>
        <v>103707</v>
      </c>
      <c r="BK150" s="193">
        <v>2415</v>
      </c>
      <c r="BL150" s="194">
        <v>2967</v>
      </c>
      <c r="BM150" s="194">
        <v>3450</v>
      </c>
      <c r="BN150" s="194"/>
      <c r="BO150" s="195">
        <v>8832</v>
      </c>
      <c r="BP150" s="193">
        <v>13731</v>
      </c>
      <c r="BQ150" s="194">
        <v>11040</v>
      </c>
      <c r="BR150" s="194">
        <v>13179</v>
      </c>
      <c r="BS150" s="194">
        <v>13179</v>
      </c>
      <c r="BT150" s="195">
        <v>51129</v>
      </c>
      <c r="BU150" s="193">
        <v>5865</v>
      </c>
      <c r="BV150" s="194">
        <v>2001</v>
      </c>
      <c r="BW150" s="194">
        <v>5589</v>
      </c>
      <c r="BX150" s="194">
        <v>8073</v>
      </c>
      <c r="BY150" s="195">
        <v>21528</v>
      </c>
      <c r="BZ150" s="193">
        <v>2622</v>
      </c>
      <c r="CA150" s="194">
        <v>2898</v>
      </c>
      <c r="CB150" s="194">
        <v>3588</v>
      </c>
      <c r="CC150" s="194">
        <v>3243</v>
      </c>
      <c r="CD150" s="195">
        <v>12351</v>
      </c>
      <c r="CE150" s="193">
        <v>6141</v>
      </c>
      <c r="CF150" s="194">
        <v>3726</v>
      </c>
      <c r="CG150" s="194"/>
      <c r="CH150" s="194"/>
      <c r="CI150" s="195">
        <v>9867</v>
      </c>
    </row>
    <row r="151" spans="1:87">
      <c r="A151" s="186" t="s">
        <v>135</v>
      </c>
      <c r="B151" s="187" t="s">
        <v>26</v>
      </c>
      <c r="C151" s="188">
        <f t="shared" si="42"/>
        <v>113091</v>
      </c>
      <c r="D151" s="189">
        <f t="shared" si="30"/>
        <v>63411</v>
      </c>
      <c r="E151" s="189">
        <f t="shared" si="31"/>
        <v>40710</v>
      </c>
      <c r="F151" s="189">
        <f t="shared" si="32"/>
        <v>30774</v>
      </c>
      <c r="G151" s="190">
        <f t="shared" si="33"/>
        <v>247986</v>
      </c>
      <c r="H151" s="188">
        <f t="shared" si="43"/>
        <v>87837</v>
      </c>
      <c r="I151" s="189">
        <f t="shared" si="34"/>
        <v>53268</v>
      </c>
      <c r="J151" s="189">
        <f t="shared" si="35"/>
        <v>39675</v>
      </c>
      <c r="K151" s="189">
        <f t="shared" si="36"/>
        <v>30774</v>
      </c>
      <c r="L151" s="190">
        <f t="shared" si="37"/>
        <v>211554</v>
      </c>
      <c r="M151" s="188"/>
      <c r="N151" s="189"/>
      <c r="O151" s="189"/>
      <c r="P151" s="189"/>
      <c r="Q151" s="190"/>
      <c r="R151" s="188"/>
      <c r="S151" s="189"/>
      <c r="T151" s="189"/>
      <c r="U151" s="189"/>
      <c r="V151" s="190"/>
      <c r="W151" s="188"/>
      <c r="X151" s="189"/>
      <c r="Y151" s="189"/>
      <c r="Z151" s="189"/>
      <c r="AA151" s="190"/>
      <c r="AB151" s="188">
        <v>60789</v>
      </c>
      <c r="AC151" s="189">
        <v>34362</v>
      </c>
      <c r="AD151" s="189">
        <v>33120</v>
      </c>
      <c r="AE151" s="189">
        <v>25116</v>
      </c>
      <c r="AF151" s="190">
        <v>153387</v>
      </c>
      <c r="AG151" s="188">
        <v>24633</v>
      </c>
      <c r="AH151" s="189">
        <v>16905</v>
      </c>
      <c r="AI151" s="189">
        <v>5589</v>
      </c>
      <c r="AJ151" s="189">
        <v>5175</v>
      </c>
      <c r="AK151" s="190">
        <v>52302</v>
      </c>
      <c r="AL151" s="188"/>
      <c r="AM151" s="189"/>
      <c r="AN151" s="189"/>
      <c r="AO151" s="189"/>
      <c r="AP151" s="190"/>
      <c r="AQ151" s="188">
        <v>2415</v>
      </c>
      <c r="AR151" s="189">
        <v>2001</v>
      </c>
      <c r="AS151" s="189">
        <v>966</v>
      </c>
      <c r="AT151" s="189">
        <v>483</v>
      </c>
      <c r="AU151" s="190">
        <v>5865</v>
      </c>
      <c r="AV151" s="188"/>
      <c r="AW151" s="189"/>
      <c r="AX151" s="189"/>
      <c r="AY151" s="189"/>
      <c r="AZ151" s="190"/>
      <c r="BA151" s="188"/>
      <c r="BB151" s="189"/>
      <c r="BC151" s="189"/>
      <c r="BD151" s="189"/>
      <c r="BE151" s="190"/>
      <c r="BF151" s="188">
        <f t="shared" si="44"/>
        <v>25254</v>
      </c>
      <c r="BG151" s="189">
        <f t="shared" si="38"/>
        <v>10143</v>
      </c>
      <c r="BH151" s="189">
        <f t="shared" si="39"/>
        <v>1035</v>
      </c>
      <c r="BI151" s="189">
        <f t="shared" si="40"/>
        <v>0</v>
      </c>
      <c r="BJ151" s="190">
        <f t="shared" si="41"/>
        <v>36432</v>
      </c>
      <c r="BK151" s="188"/>
      <c r="BL151" s="189"/>
      <c r="BM151" s="189"/>
      <c r="BN151" s="189"/>
      <c r="BO151" s="190"/>
      <c r="BP151" s="188">
        <v>25254</v>
      </c>
      <c r="BQ151" s="189">
        <v>10143</v>
      </c>
      <c r="BR151" s="189">
        <v>1035</v>
      </c>
      <c r="BS151" s="189"/>
      <c r="BT151" s="190">
        <v>36432</v>
      </c>
      <c r="BU151" s="188"/>
      <c r="BV151" s="189"/>
      <c r="BW151" s="189"/>
      <c r="BX151" s="189"/>
      <c r="BY151" s="190"/>
      <c r="BZ151" s="188"/>
      <c r="CA151" s="189"/>
      <c r="CB151" s="189"/>
      <c r="CC151" s="189"/>
      <c r="CD151" s="190"/>
      <c r="CE151" s="188"/>
      <c r="CF151" s="189"/>
      <c r="CG151" s="189"/>
      <c r="CH151" s="189"/>
      <c r="CI151" s="190"/>
    </row>
    <row r="152" s="163" customFormat="1" ht="14.6" spans="1:87">
      <c r="A152" s="191" t="s">
        <v>136</v>
      </c>
      <c r="B152" s="192"/>
      <c r="C152" s="193">
        <f t="shared" si="42"/>
        <v>113091</v>
      </c>
      <c r="D152" s="194">
        <f t="shared" si="30"/>
        <v>63411</v>
      </c>
      <c r="E152" s="194">
        <f t="shared" si="31"/>
        <v>40710</v>
      </c>
      <c r="F152" s="194">
        <f t="shared" si="32"/>
        <v>30774</v>
      </c>
      <c r="G152" s="195">
        <f t="shared" si="33"/>
        <v>247986</v>
      </c>
      <c r="H152" s="193">
        <f t="shared" si="43"/>
        <v>87837</v>
      </c>
      <c r="I152" s="194">
        <f t="shared" si="34"/>
        <v>53268</v>
      </c>
      <c r="J152" s="194">
        <f t="shared" si="35"/>
        <v>39675</v>
      </c>
      <c r="K152" s="194">
        <f t="shared" si="36"/>
        <v>30774</v>
      </c>
      <c r="L152" s="195">
        <f t="shared" si="37"/>
        <v>211554</v>
      </c>
      <c r="M152" s="193"/>
      <c r="N152" s="194"/>
      <c r="O152" s="194"/>
      <c r="P152" s="194"/>
      <c r="Q152" s="195"/>
      <c r="R152" s="193"/>
      <c r="S152" s="194"/>
      <c r="T152" s="194"/>
      <c r="U152" s="194"/>
      <c r="V152" s="195"/>
      <c r="W152" s="193"/>
      <c r="X152" s="194"/>
      <c r="Y152" s="194"/>
      <c r="Z152" s="194"/>
      <c r="AA152" s="195"/>
      <c r="AB152" s="193">
        <v>60789</v>
      </c>
      <c r="AC152" s="194">
        <v>34362</v>
      </c>
      <c r="AD152" s="194">
        <v>33120</v>
      </c>
      <c r="AE152" s="194">
        <v>25116</v>
      </c>
      <c r="AF152" s="195">
        <v>153387</v>
      </c>
      <c r="AG152" s="193">
        <v>24633</v>
      </c>
      <c r="AH152" s="194">
        <v>16905</v>
      </c>
      <c r="AI152" s="194">
        <v>5589</v>
      </c>
      <c r="AJ152" s="194">
        <v>5175</v>
      </c>
      <c r="AK152" s="195">
        <v>52302</v>
      </c>
      <c r="AL152" s="193"/>
      <c r="AM152" s="194"/>
      <c r="AN152" s="194"/>
      <c r="AO152" s="194"/>
      <c r="AP152" s="195"/>
      <c r="AQ152" s="193">
        <v>2415</v>
      </c>
      <c r="AR152" s="194">
        <v>2001</v>
      </c>
      <c r="AS152" s="194">
        <v>966</v>
      </c>
      <c r="AT152" s="194">
        <v>483</v>
      </c>
      <c r="AU152" s="195">
        <v>5865</v>
      </c>
      <c r="AV152" s="193"/>
      <c r="AW152" s="194"/>
      <c r="AX152" s="194"/>
      <c r="AY152" s="194"/>
      <c r="AZ152" s="195"/>
      <c r="BA152" s="193"/>
      <c r="BB152" s="194"/>
      <c r="BC152" s="194"/>
      <c r="BD152" s="194"/>
      <c r="BE152" s="195"/>
      <c r="BF152" s="193">
        <f t="shared" si="44"/>
        <v>25254</v>
      </c>
      <c r="BG152" s="194">
        <f t="shared" si="38"/>
        <v>10143</v>
      </c>
      <c r="BH152" s="194">
        <f t="shared" si="39"/>
        <v>1035</v>
      </c>
      <c r="BI152" s="194">
        <f t="shared" si="40"/>
        <v>0</v>
      </c>
      <c r="BJ152" s="195">
        <f t="shared" si="41"/>
        <v>36432</v>
      </c>
      <c r="BK152" s="193"/>
      <c r="BL152" s="194"/>
      <c r="BM152" s="194"/>
      <c r="BN152" s="194"/>
      <c r="BO152" s="195"/>
      <c r="BP152" s="193">
        <v>25254</v>
      </c>
      <c r="BQ152" s="194">
        <v>10143</v>
      </c>
      <c r="BR152" s="194">
        <v>1035</v>
      </c>
      <c r="BS152" s="194"/>
      <c r="BT152" s="195">
        <v>36432</v>
      </c>
      <c r="BU152" s="193"/>
      <c r="BV152" s="194"/>
      <c r="BW152" s="194"/>
      <c r="BX152" s="194"/>
      <c r="BY152" s="195"/>
      <c r="BZ152" s="193"/>
      <c r="CA152" s="194"/>
      <c r="CB152" s="194"/>
      <c r="CC152" s="194"/>
      <c r="CD152" s="195"/>
      <c r="CE152" s="193"/>
      <c r="CF152" s="194"/>
      <c r="CG152" s="194"/>
      <c r="CH152" s="194"/>
      <c r="CI152" s="195"/>
    </row>
    <row r="153" spans="1:87">
      <c r="A153" s="186" t="s">
        <v>137</v>
      </c>
      <c r="B153" s="187" t="s">
        <v>26</v>
      </c>
      <c r="C153" s="188">
        <f t="shared" si="42"/>
        <v>69759</v>
      </c>
      <c r="D153" s="189">
        <f t="shared" si="30"/>
        <v>60996</v>
      </c>
      <c r="E153" s="189">
        <f t="shared" si="31"/>
        <v>65757</v>
      </c>
      <c r="F153" s="189">
        <f t="shared" si="32"/>
        <v>50646</v>
      </c>
      <c r="G153" s="190">
        <f t="shared" si="33"/>
        <v>247158</v>
      </c>
      <c r="H153" s="188">
        <f t="shared" si="43"/>
        <v>69759</v>
      </c>
      <c r="I153" s="189">
        <f t="shared" si="34"/>
        <v>60996</v>
      </c>
      <c r="J153" s="189">
        <f t="shared" si="35"/>
        <v>65757</v>
      </c>
      <c r="K153" s="189">
        <f t="shared" si="36"/>
        <v>50646</v>
      </c>
      <c r="L153" s="190">
        <f t="shared" si="37"/>
        <v>247158</v>
      </c>
      <c r="M153" s="188"/>
      <c r="N153" s="189"/>
      <c r="O153" s="189"/>
      <c r="P153" s="189"/>
      <c r="Q153" s="190"/>
      <c r="R153" s="188"/>
      <c r="S153" s="189"/>
      <c r="T153" s="189"/>
      <c r="U153" s="189"/>
      <c r="V153" s="190"/>
      <c r="W153" s="188"/>
      <c r="X153" s="189"/>
      <c r="Y153" s="189"/>
      <c r="Z153" s="189"/>
      <c r="AA153" s="190"/>
      <c r="AB153" s="188">
        <v>49887</v>
      </c>
      <c r="AC153" s="189">
        <v>40296</v>
      </c>
      <c r="AD153" s="189">
        <v>38157</v>
      </c>
      <c r="AE153" s="189">
        <v>28152</v>
      </c>
      <c r="AF153" s="190">
        <v>156492</v>
      </c>
      <c r="AG153" s="188"/>
      <c r="AH153" s="189"/>
      <c r="AI153" s="189"/>
      <c r="AJ153" s="189"/>
      <c r="AK153" s="190"/>
      <c r="AL153" s="188"/>
      <c r="AM153" s="189"/>
      <c r="AN153" s="189"/>
      <c r="AO153" s="189"/>
      <c r="AP153" s="190"/>
      <c r="AQ153" s="188">
        <v>4140</v>
      </c>
      <c r="AR153" s="189">
        <v>4554</v>
      </c>
      <c r="AS153" s="189">
        <v>10419</v>
      </c>
      <c r="AT153" s="189">
        <v>4761</v>
      </c>
      <c r="AU153" s="190">
        <v>23874</v>
      </c>
      <c r="AV153" s="188"/>
      <c r="AW153" s="189"/>
      <c r="AX153" s="189"/>
      <c r="AY153" s="189"/>
      <c r="AZ153" s="190"/>
      <c r="BA153" s="188">
        <v>15732</v>
      </c>
      <c r="BB153" s="189">
        <v>16146</v>
      </c>
      <c r="BC153" s="189">
        <v>17181</v>
      </c>
      <c r="BD153" s="189">
        <v>17733</v>
      </c>
      <c r="BE153" s="190">
        <v>66792</v>
      </c>
      <c r="BF153" s="188">
        <f t="shared" si="44"/>
        <v>0</v>
      </c>
      <c r="BG153" s="189">
        <f t="shared" si="38"/>
        <v>0</v>
      </c>
      <c r="BH153" s="189">
        <f t="shared" si="39"/>
        <v>0</v>
      </c>
      <c r="BI153" s="189">
        <f t="shared" si="40"/>
        <v>0</v>
      </c>
      <c r="BJ153" s="190">
        <f t="shared" si="41"/>
        <v>0</v>
      </c>
      <c r="BK153" s="188"/>
      <c r="BL153" s="189"/>
      <c r="BM153" s="189"/>
      <c r="BN153" s="189"/>
      <c r="BO153" s="190"/>
      <c r="BP153" s="188"/>
      <c r="BQ153" s="189"/>
      <c r="BR153" s="189"/>
      <c r="BS153" s="189"/>
      <c r="BT153" s="190"/>
      <c r="BU153" s="188"/>
      <c r="BV153" s="189"/>
      <c r="BW153" s="189"/>
      <c r="BX153" s="189"/>
      <c r="BY153" s="190"/>
      <c r="BZ153" s="188"/>
      <c r="CA153" s="189"/>
      <c r="CB153" s="189"/>
      <c r="CC153" s="189"/>
      <c r="CD153" s="190"/>
      <c r="CE153" s="188"/>
      <c r="CF153" s="189"/>
      <c r="CG153" s="189"/>
      <c r="CH153" s="189"/>
      <c r="CI153" s="190"/>
    </row>
    <row r="154" s="163" customFormat="1" ht="14.6" spans="1:87">
      <c r="A154" s="191" t="s">
        <v>138</v>
      </c>
      <c r="B154" s="192"/>
      <c r="C154" s="193">
        <f t="shared" si="42"/>
        <v>69759</v>
      </c>
      <c r="D154" s="194">
        <f t="shared" si="30"/>
        <v>60996</v>
      </c>
      <c r="E154" s="194">
        <f t="shared" si="31"/>
        <v>65757</v>
      </c>
      <c r="F154" s="194">
        <f t="shared" si="32"/>
        <v>50646</v>
      </c>
      <c r="G154" s="195">
        <f t="shared" si="33"/>
        <v>247158</v>
      </c>
      <c r="H154" s="193">
        <f t="shared" si="43"/>
        <v>69759</v>
      </c>
      <c r="I154" s="194">
        <f t="shared" si="34"/>
        <v>60996</v>
      </c>
      <c r="J154" s="194">
        <f t="shared" si="35"/>
        <v>65757</v>
      </c>
      <c r="K154" s="194">
        <f t="shared" si="36"/>
        <v>50646</v>
      </c>
      <c r="L154" s="195">
        <f t="shared" si="37"/>
        <v>247158</v>
      </c>
      <c r="M154" s="193"/>
      <c r="N154" s="194"/>
      <c r="O154" s="194"/>
      <c r="P154" s="194"/>
      <c r="Q154" s="195"/>
      <c r="R154" s="193"/>
      <c r="S154" s="194"/>
      <c r="T154" s="194"/>
      <c r="U154" s="194"/>
      <c r="V154" s="195"/>
      <c r="W154" s="193"/>
      <c r="X154" s="194"/>
      <c r="Y154" s="194"/>
      <c r="Z154" s="194"/>
      <c r="AA154" s="195"/>
      <c r="AB154" s="193">
        <v>49887</v>
      </c>
      <c r="AC154" s="194">
        <v>40296</v>
      </c>
      <c r="AD154" s="194">
        <v>38157</v>
      </c>
      <c r="AE154" s="194">
        <v>28152</v>
      </c>
      <c r="AF154" s="195">
        <v>156492</v>
      </c>
      <c r="AG154" s="193"/>
      <c r="AH154" s="194"/>
      <c r="AI154" s="194"/>
      <c r="AJ154" s="194"/>
      <c r="AK154" s="195"/>
      <c r="AL154" s="193"/>
      <c r="AM154" s="194"/>
      <c r="AN154" s="194"/>
      <c r="AO154" s="194"/>
      <c r="AP154" s="195"/>
      <c r="AQ154" s="193">
        <v>4140</v>
      </c>
      <c r="AR154" s="194">
        <v>4554</v>
      </c>
      <c r="AS154" s="194">
        <v>10419</v>
      </c>
      <c r="AT154" s="194">
        <v>4761</v>
      </c>
      <c r="AU154" s="195">
        <v>23874</v>
      </c>
      <c r="AV154" s="193"/>
      <c r="AW154" s="194"/>
      <c r="AX154" s="194"/>
      <c r="AY154" s="194"/>
      <c r="AZ154" s="195"/>
      <c r="BA154" s="193">
        <v>15732</v>
      </c>
      <c r="BB154" s="194">
        <v>16146</v>
      </c>
      <c r="BC154" s="194">
        <v>17181</v>
      </c>
      <c r="BD154" s="194">
        <v>17733</v>
      </c>
      <c r="BE154" s="195">
        <v>66792</v>
      </c>
      <c r="BF154" s="193">
        <f t="shared" si="44"/>
        <v>0</v>
      </c>
      <c r="BG154" s="194">
        <f t="shared" si="38"/>
        <v>0</v>
      </c>
      <c r="BH154" s="194">
        <f t="shared" si="39"/>
        <v>0</v>
      </c>
      <c r="BI154" s="194">
        <f t="shared" si="40"/>
        <v>0</v>
      </c>
      <c r="BJ154" s="195">
        <f t="shared" si="41"/>
        <v>0</v>
      </c>
      <c r="BK154" s="193"/>
      <c r="BL154" s="194"/>
      <c r="BM154" s="194"/>
      <c r="BN154" s="194"/>
      <c r="BO154" s="195"/>
      <c r="BP154" s="193"/>
      <c r="BQ154" s="194"/>
      <c r="BR154" s="194"/>
      <c r="BS154" s="194"/>
      <c r="BT154" s="195"/>
      <c r="BU154" s="193"/>
      <c r="BV154" s="194"/>
      <c r="BW154" s="194"/>
      <c r="BX154" s="194"/>
      <c r="BY154" s="195"/>
      <c r="BZ154" s="193"/>
      <c r="CA154" s="194"/>
      <c r="CB154" s="194"/>
      <c r="CC154" s="194"/>
      <c r="CD154" s="195"/>
      <c r="CE154" s="193"/>
      <c r="CF154" s="194"/>
      <c r="CG154" s="194"/>
      <c r="CH154" s="194"/>
      <c r="CI154" s="195"/>
    </row>
    <row r="155" spans="1:87">
      <c r="A155" s="186" t="s">
        <v>139</v>
      </c>
      <c r="B155" s="187" t="s">
        <v>26</v>
      </c>
      <c r="C155" s="188">
        <f t="shared" si="42"/>
        <v>61203</v>
      </c>
      <c r="D155" s="189">
        <f t="shared" si="30"/>
        <v>54855</v>
      </c>
      <c r="E155" s="189">
        <f t="shared" si="31"/>
        <v>53958</v>
      </c>
      <c r="F155" s="189">
        <f t="shared" si="32"/>
        <v>66516</v>
      </c>
      <c r="G155" s="190">
        <f t="shared" si="33"/>
        <v>236532</v>
      </c>
      <c r="H155" s="188">
        <f t="shared" si="43"/>
        <v>32016</v>
      </c>
      <c r="I155" s="189">
        <f t="shared" si="34"/>
        <v>27945</v>
      </c>
      <c r="J155" s="189">
        <f t="shared" si="35"/>
        <v>29946</v>
      </c>
      <c r="K155" s="189">
        <f t="shared" si="36"/>
        <v>36363</v>
      </c>
      <c r="L155" s="190">
        <f t="shared" si="37"/>
        <v>126270</v>
      </c>
      <c r="M155" s="188">
        <v>345</v>
      </c>
      <c r="N155" s="189"/>
      <c r="O155" s="189">
        <v>138</v>
      </c>
      <c r="P155" s="189">
        <v>207</v>
      </c>
      <c r="Q155" s="190">
        <v>690</v>
      </c>
      <c r="R155" s="188"/>
      <c r="S155" s="189"/>
      <c r="T155" s="189"/>
      <c r="U155" s="189"/>
      <c r="V155" s="190"/>
      <c r="W155" s="188"/>
      <c r="X155" s="189"/>
      <c r="Y155" s="189"/>
      <c r="Z155" s="189"/>
      <c r="AA155" s="190"/>
      <c r="AB155" s="188">
        <v>207</v>
      </c>
      <c r="AC155" s="189"/>
      <c r="AD155" s="189"/>
      <c r="AE155" s="189"/>
      <c r="AF155" s="190">
        <v>207</v>
      </c>
      <c r="AG155" s="188"/>
      <c r="AH155" s="189"/>
      <c r="AI155" s="189"/>
      <c r="AJ155" s="189"/>
      <c r="AK155" s="190"/>
      <c r="AL155" s="188">
        <v>3243</v>
      </c>
      <c r="AM155" s="189">
        <v>2277</v>
      </c>
      <c r="AN155" s="189">
        <v>3381</v>
      </c>
      <c r="AO155" s="189">
        <v>3036</v>
      </c>
      <c r="AP155" s="190">
        <v>11937</v>
      </c>
      <c r="AQ155" s="188">
        <v>10281</v>
      </c>
      <c r="AR155" s="189">
        <v>6693</v>
      </c>
      <c r="AS155" s="189">
        <v>6003</v>
      </c>
      <c r="AT155" s="189">
        <v>4761</v>
      </c>
      <c r="AU155" s="190">
        <v>27738</v>
      </c>
      <c r="AV155" s="188">
        <v>69</v>
      </c>
      <c r="AW155" s="189">
        <v>207</v>
      </c>
      <c r="AX155" s="189"/>
      <c r="AY155" s="189"/>
      <c r="AZ155" s="190">
        <v>276</v>
      </c>
      <c r="BA155" s="188">
        <v>17871</v>
      </c>
      <c r="BB155" s="189">
        <v>18768</v>
      </c>
      <c r="BC155" s="189">
        <v>20424</v>
      </c>
      <c r="BD155" s="189">
        <v>28359</v>
      </c>
      <c r="BE155" s="190">
        <v>85422</v>
      </c>
      <c r="BF155" s="188">
        <f t="shared" si="44"/>
        <v>29187</v>
      </c>
      <c r="BG155" s="189">
        <f t="shared" si="38"/>
        <v>26910</v>
      </c>
      <c r="BH155" s="189">
        <f t="shared" si="39"/>
        <v>24012</v>
      </c>
      <c r="BI155" s="189">
        <f t="shared" si="40"/>
        <v>30153</v>
      </c>
      <c r="BJ155" s="190">
        <f t="shared" si="41"/>
        <v>110262</v>
      </c>
      <c r="BK155" s="188">
        <v>1725</v>
      </c>
      <c r="BL155" s="189">
        <v>1380</v>
      </c>
      <c r="BM155" s="189">
        <v>4071</v>
      </c>
      <c r="BN155" s="189">
        <v>3450</v>
      </c>
      <c r="BO155" s="190">
        <v>10626</v>
      </c>
      <c r="BP155" s="188">
        <v>7452</v>
      </c>
      <c r="BQ155" s="189">
        <v>6831</v>
      </c>
      <c r="BR155" s="189">
        <v>6486</v>
      </c>
      <c r="BS155" s="189">
        <v>2760</v>
      </c>
      <c r="BT155" s="190">
        <v>23529</v>
      </c>
      <c r="BU155" s="188">
        <v>17871</v>
      </c>
      <c r="BV155" s="189">
        <v>16353</v>
      </c>
      <c r="BW155" s="189">
        <v>11868</v>
      </c>
      <c r="BX155" s="189">
        <v>19251</v>
      </c>
      <c r="BY155" s="190">
        <v>65343</v>
      </c>
      <c r="BZ155" s="188">
        <v>2139</v>
      </c>
      <c r="CA155" s="189">
        <v>2346</v>
      </c>
      <c r="CB155" s="189">
        <v>1587</v>
      </c>
      <c r="CC155" s="189">
        <v>4692</v>
      </c>
      <c r="CD155" s="190">
        <v>10764</v>
      </c>
      <c r="CE155" s="188"/>
      <c r="CF155" s="189"/>
      <c r="CG155" s="189"/>
      <c r="CH155" s="189"/>
      <c r="CI155" s="190"/>
    </row>
    <row r="156" s="163" customFormat="1" ht="14.6" spans="1:87">
      <c r="A156" s="191" t="s">
        <v>140</v>
      </c>
      <c r="B156" s="192"/>
      <c r="C156" s="193">
        <f t="shared" si="42"/>
        <v>61203</v>
      </c>
      <c r="D156" s="194">
        <f t="shared" si="30"/>
        <v>54855</v>
      </c>
      <c r="E156" s="194">
        <f t="shared" si="31"/>
        <v>53958</v>
      </c>
      <c r="F156" s="194">
        <f t="shared" si="32"/>
        <v>66516</v>
      </c>
      <c r="G156" s="195">
        <f t="shared" si="33"/>
        <v>236532</v>
      </c>
      <c r="H156" s="193">
        <f t="shared" si="43"/>
        <v>32016</v>
      </c>
      <c r="I156" s="194">
        <f t="shared" si="34"/>
        <v>27945</v>
      </c>
      <c r="J156" s="194">
        <f t="shared" si="35"/>
        <v>29946</v>
      </c>
      <c r="K156" s="194">
        <f t="shared" si="36"/>
        <v>36363</v>
      </c>
      <c r="L156" s="195">
        <f t="shared" si="37"/>
        <v>126270</v>
      </c>
      <c r="M156" s="193">
        <v>345</v>
      </c>
      <c r="N156" s="194"/>
      <c r="O156" s="194">
        <v>138</v>
      </c>
      <c r="P156" s="194">
        <v>207</v>
      </c>
      <c r="Q156" s="195">
        <v>690</v>
      </c>
      <c r="R156" s="193"/>
      <c r="S156" s="194"/>
      <c r="T156" s="194"/>
      <c r="U156" s="194"/>
      <c r="V156" s="195"/>
      <c r="W156" s="193"/>
      <c r="X156" s="194"/>
      <c r="Y156" s="194"/>
      <c r="Z156" s="194"/>
      <c r="AA156" s="195"/>
      <c r="AB156" s="193">
        <v>207</v>
      </c>
      <c r="AC156" s="194"/>
      <c r="AD156" s="194"/>
      <c r="AE156" s="194"/>
      <c r="AF156" s="195">
        <v>207</v>
      </c>
      <c r="AG156" s="193"/>
      <c r="AH156" s="194"/>
      <c r="AI156" s="194"/>
      <c r="AJ156" s="194"/>
      <c r="AK156" s="195"/>
      <c r="AL156" s="193">
        <v>3243</v>
      </c>
      <c r="AM156" s="194">
        <v>2277</v>
      </c>
      <c r="AN156" s="194">
        <v>3381</v>
      </c>
      <c r="AO156" s="194">
        <v>3036</v>
      </c>
      <c r="AP156" s="195">
        <v>11937</v>
      </c>
      <c r="AQ156" s="193">
        <v>10281</v>
      </c>
      <c r="AR156" s="194">
        <v>6693</v>
      </c>
      <c r="AS156" s="194">
        <v>6003</v>
      </c>
      <c r="AT156" s="194">
        <v>4761</v>
      </c>
      <c r="AU156" s="195">
        <v>27738</v>
      </c>
      <c r="AV156" s="193">
        <v>69</v>
      </c>
      <c r="AW156" s="194">
        <v>207</v>
      </c>
      <c r="AX156" s="194"/>
      <c r="AY156" s="194"/>
      <c r="AZ156" s="195">
        <v>276</v>
      </c>
      <c r="BA156" s="193">
        <v>17871</v>
      </c>
      <c r="BB156" s="194">
        <v>18768</v>
      </c>
      <c r="BC156" s="194">
        <v>20424</v>
      </c>
      <c r="BD156" s="194">
        <v>28359</v>
      </c>
      <c r="BE156" s="195">
        <v>85422</v>
      </c>
      <c r="BF156" s="193">
        <f t="shared" si="44"/>
        <v>29187</v>
      </c>
      <c r="BG156" s="194">
        <f t="shared" si="38"/>
        <v>26910</v>
      </c>
      <c r="BH156" s="194">
        <f t="shared" si="39"/>
        <v>24012</v>
      </c>
      <c r="BI156" s="194">
        <f t="shared" si="40"/>
        <v>30153</v>
      </c>
      <c r="BJ156" s="195">
        <f t="shared" si="41"/>
        <v>110262</v>
      </c>
      <c r="BK156" s="193">
        <v>1725</v>
      </c>
      <c r="BL156" s="194">
        <v>1380</v>
      </c>
      <c r="BM156" s="194">
        <v>4071</v>
      </c>
      <c r="BN156" s="194">
        <v>3450</v>
      </c>
      <c r="BO156" s="195">
        <v>10626</v>
      </c>
      <c r="BP156" s="193">
        <v>7452</v>
      </c>
      <c r="BQ156" s="194">
        <v>6831</v>
      </c>
      <c r="BR156" s="194">
        <v>6486</v>
      </c>
      <c r="BS156" s="194">
        <v>2760</v>
      </c>
      <c r="BT156" s="195">
        <v>23529</v>
      </c>
      <c r="BU156" s="193">
        <v>17871</v>
      </c>
      <c r="BV156" s="194">
        <v>16353</v>
      </c>
      <c r="BW156" s="194">
        <v>11868</v>
      </c>
      <c r="BX156" s="194">
        <v>19251</v>
      </c>
      <c r="BY156" s="195">
        <v>65343</v>
      </c>
      <c r="BZ156" s="193">
        <v>2139</v>
      </c>
      <c r="CA156" s="194">
        <v>2346</v>
      </c>
      <c r="CB156" s="194">
        <v>1587</v>
      </c>
      <c r="CC156" s="194">
        <v>4692</v>
      </c>
      <c r="CD156" s="195">
        <v>10764</v>
      </c>
      <c r="CE156" s="193"/>
      <c r="CF156" s="194"/>
      <c r="CG156" s="194"/>
      <c r="CH156" s="194"/>
      <c r="CI156" s="195"/>
    </row>
    <row r="157" spans="1:87">
      <c r="A157" s="186" t="s">
        <v>141</v>
      </c>
      <c r="B157" s="187" t="s">
        <v>26</v>
      </c>
      <c r="C157" s="188">
        <f t="shared" si="42"/>
        <v>6579</v>
      </c>
      <c r="D157" s="189">
        <f t="shared" si="30"/>
        <v>0</v>
      </c>
      <c r="E157" s="189">
        <f t="shared" si="31"/>
        <v>27606</v>
      </c>
      <c r="F157" s="189">
        <f t="shared" si="32"/>
        <v>199821</v>
      </c>
      <c r="G157" s="190">
        <f t="shared" si="33"/>
        <v>234006</v>
      </c>
      <c r="H157" s="188">
        <f t="shared" si="43"/>
        <v>6450</v>
      </c>
      <c r="I157" s="189">
        <f t="shared" si="34"/>
        <v>0</v>
      </c>
      <c r="J157" s="189">
        <f t="shared" si="35"/>
        <v>27606</v>
      </c>
      <c r="K157" s="189">
        <f t="shared" si="36"/>
        <v>199821</v>
      </c>
      <c r="L157" s="190">
        <f t="shared" si="37"/>
        <v>233877</v>
      </c>
      <c r="M157" s="188">
        <v>129</v>
      </c>
      <c r="N157" s="189"/>
      <c r="O157" s="189"/>
      <c r="P157" s="189">
        <v>41667</v>
      </c>
      <c r="Q157" s="190">
        <v>41796</v>
      </c>
      <c r="R157" s="188">
        <v>6063</v>
      </c>
      <c r="S157" s="189"/>
      <c r="T157" s="189">
        <v>26832</v>
      </c>
      <c r="U157" s="189">
        <v>114939</v>
      </c>
      <c r="V157" s="190">
        <v>147834</v>
      </c>
      <c r="W157" s="188"/>
      <c r="X157" s="189"/>
      <c r="Y157" s="189"/>
      <c r="Z157" s="189"/>
      <c r="AA157" s="190"/>
      <c r="AB157" s="188">
        <v>258</v>
      </c>
      <c r="AC157" s="189"/>
      <c r="AD157" s="189"/>
      <c r="AE157" s="189">
        <v>43215</v>
      </c>
      <c r="AF157" s="190">
        <v>43473</v>
      </c>
      <c r="AG157" s="188"/>
      <c r="AH157" s="189"/>
      <c r="AI157" s="189"/>
      <c r="AJ157" s="189"/>
      <c r="AK157" s="190"/>
      <c r="AL157" s="188"/>
      <c r="AM157" s="189"/>
      <c r="AN157" s="189"/>
      <c r="AO157" s="189"/>
      <c r="AP157" s="190"/>
      <c r="AQ157" s="188"/>
      <c r="AR157" s="189"/>
      <c r="AS157" s="189">
        <v>774</v>
      </c>
      <c r="AT157" s="189"/>
      <c r="AU157" s="190">
        <v>774</v>
      </c>
      <c r="AV157" s="188"/>
      <c r="AW157" s="189"/>
      <c r="AX157" s="189"/>
      <c r="AY157" s="189"/>
      <c r="AZ157" s="190"/>
      <c r="BA157" s="188"/>
      <c r="BB157" s="189"/>
      <c r="BC157" s="189"/>
      <c r="BD157" s="189"/>
      <c r="BE157" s="190"/>
      <c r="BF157" s="188">
        <f t="shared" si="44"/>
        <v>129</v>
      </c>
      <c r="BG157" s="189">
        <f t="shared" si="38"/>
        <v>0</v>
      </c>
      <c r="BH157" s="189">
        <f t="shared" si="39"/>
        <v>0</v>
      </c>
      <c r="BI157" s="189">
        <f t="shared" si="40"/>
        <v>0</v>
      </c>
      <c r="BJ157" s="190">
        <f t="shared" si="41"/>
        <v>129</v>
      </c>
      <c r="BK157" s="188"/>
      <c r="BL157" s="189"/>
      <c r="BM157" s="189"/>
      <c r="BN157" s="189"/>
      <c r="BO157" s="190"/>
      <c r="BP157" s="188"/>
      <c r="BQ157" s="189"/>
      <c r="BR157" s="189"/>
      <c r="BS157" s="189"/>
      <c r="BT157" s="190"/>
      <c r="BU157" s="188">
        <v>129</v>
      </c>
      <c r="BV157" s="189"/>
      <c r="BW157" s="189"/>
      <c r="BX157" s="189"/>
      <c r="BY157" s="190">
        <v>129</v>
      </c>
      <c r="BZ157" s="188"/>
      <c r="CA157" s="189"/>
      <c r="CB157" s="189"/>
      <c r="CC157" s="189"/>
      <c r="CD157" s="190"/>
      <c r="CE157" s="188"/>
      <c r="CF157" s="189"/>
      <c r="CG157" s="189"/>
      <c r="CH157" s="189"/>
      <c r="CI157" s="190"/>
    </row>
    <row r="158" s="163" customFormat="1" ht="14.6" spans="1:87">
      <c r="A158" s="191" t="s">
        <v>142</v>
      </c>
      <c r="B158" s="192"/>
      <c r="C158" s="193">
        <f t="shared" si="42"/>
        <v>6579</v>
      </c>
      <c r="D158" s="194">
        <f t="shared" si="30"/>
        <v>0</v>
      </c>
      <c r="E158" s="194">
        <f t="shared" si="31"/>
        <v>27606</v>
      </c>
      <c r="F158" s="194">
        <f t="shared" si="32"/>
        <v>199821</v>
      </c>
      <c r="G158" s="195">
        <f t="shared" si="33"/>
        <v>234006</v>
      </c>
      <c r="H158" s="193">
        <f t="shared" si="43"/>
        <v>6450</v>
      </c>
      <c r="I158" s="194">
        <f t="shared" si="34"/>
        <v>0</v>
      </c>
      <c r="J158" s="194">
        <f t="shared" si="35"/>
        <v>27606</v>
      </c>
      <c r="K158" s="194">
        <f t="shared" si="36"/>
        <v>199821</v>
      </c>
      <c r="L158" s="195">
        <f t="shared" si="37"/>
        <v>233877</v>
      </c>
      <c r="M158" s="193">
        <v>129</v>
      </c>
      <c r="N158" s="194"/>
      <c r="O158" s="194"/>
      <c r="P158" s="194">
        <v>41667</v>
      </c>
      <c r="Q158" s="195">
        <v>41796</v>
      </c>
      <c r="R158" s="193">
        <v>6063</v>
      </c>
      <c r="S158" s="194"/>
      <c r="T158" s="194">
        <v>26832</v>
      </c>
      <c r="U158" s="194">
        <v>114939</v>
      </c>
      <c r="V158" s="195">
        <v>147834</v>
      </c>
      <c r="W158" s="193"/>
      <c r="X158" s="194"/>
      <c r="Y158" s="194"/>
      <c r="Z158" s="194"/>
      <c r="AA158" s="195"/>
      <c r="AB158" s="193">
        <v>258</v>
      </c>
      <c r="AC158" s="194"/>
      <c r="AD158" s="194"/>
      <c r="AE158" s="194">
        <v>43215</v>
      </c>
      <c r="AF158" s="195">
        <v>43473</v>
      </c>
      <c r="AG158" s="193"/>
      <c r="AH158" s="194"/>
      <c r="AI158" s="194"/>
      <c r="AJ158" s="194"/>
      <c r="AK158" s="195"/>
      <c r="AL158" s="193"/>
      <c r="AM158" s="194"/>
      <c r="AN158" s="194"/>
      <c r="AO158" s="194"/>
      <c r="AP158" s="195"/>
      <c r="AQ158" s="193"/>
      <c r="AR158" s="194"/>
      <c r="AS158" s="194">
        <v>774</v>
      </c>
      <c r="AT158" s="194"/>
      <c r="AU158" s="195">
        <v>774</v>
      </c>
      <c r="AV158" s="193"/>
      <c r="AW158" s="194"/>
      <c r="AX158" s="194"/>
      <c r="AY158" s="194"/>
      <c r="AZ158" s="195"/>
      <c r="BA158" s="193"/>
      <c r="BB158" s="194"/>
      <c r="BC158" s="194"/>
      <c r="BD158" s="194"/>
      <c r="BE158" s="195"/>
      <c r="BF158" s="193">
        <f t="shared" si="44"/>
        <v>129</v>
      </c>
      <c r="BG158" s="194">
        <f t="shared" si="38"/>
        <v>0</v>
      </c>
      <c r="BH158" s="194">
        <f t="shared" si="39"/>
        <v>0</v>
      </c>
      <c r="BI158" s="194">
        <f t="shared" si="40"/>
        <v>0</v>
      </c>
      <c r="BJ158" s="195">
        <f t="shared" si="41"/>
        <v>129</v>
      </c>
      <c r="BK158" s="193"/>
      <c r="BL158" s="194"/>
      <c r="BM158" s="194"/>
      <c r="BN158" s="194"/>
      <c r="BO158" s="195"/>
      <c r="BP158" s="193"/>
      <c r="BQ158" s="194"/>
      <c r="BR158" s="194"/>
      <c r="BS158" s="194"/>
      <c r="BT158" s="195"/>
      <c r="BU158" s="193">
        <v>129</v>
      </c>
      <c r="BV158" s="194"/>
      <c r="BW158" s="194"/>
      <c r="BX158" s="194"/>
      <c r="BY158" s="195">
        <v>129</v>
      </c>
      <c r="BZ158" s="193"/>
      <c r="CA158" s="194"/>
      <c r="CB158" s="194"/>
      <c r="CC158" s="194"/>
      <c r="CD158" s="195"/>
      <c r="CE158" s="193"/>
      <c r="CF158" s="194"/>
      <c r="CG158" s="194"/>
      <c r="CH158" s="194"/>
      <c r="CI158" s="195"/>
    </row>
    <row r="159" spans="1:87">
      <c r="A159" s="186" t="s">
        <v>143</v>
      </c>
      <c r="B159" s="187" t="s">
        <v>26</v>
      </c>
      <c r="C159" s="188">
        <f t="shared" si="42"/>
        <v>44643</v>
      </c>
      <c r="D159" s="189">
        <f t="shared" si="30"/>
        <v>73761</v>
      </c>
      <c r="E159" s="189">
        <f t="shared" si="31"/>
        <v>44436</v>
      </c>
      <c r="F159" s="189">
        <f t="shared" si="32"/>
        <v>41814</v>
      </c>
      <c r="G159" s="190">
        <f t="shared" si="33"/>
        <v>204654</v>
      </c>
      <c r="H159" s="188">
        <f t="shared" si="43"/>
        <v>44643</v>
      </c>
      <c r="I159" s="189">
        <f t="shared" si="34"/>
        <v>73761</v>
      </c>
      <c r="J159" s="189">
        <f t="shared" si="35"/>
        <v>43263</v>
      </c>
      <c r="K159" s="189">
        <f t="shared" si="36"/>
        <v>33741</v>
      </c>
      <c r="L159" s="190">
        <f t="shared" si="37"/>
        <v>195408</v>
      </c>
      <c r="M159" s="188">
        <v>2553</v>
      </c>
      <c r="N159" s="189">
        <v>24357</v>
      </c>
      <c r="O159" s="189">
        <v>12489</v>
      </c>
      <c r="P159" s="189">
        <v>6693</v>
      </c>
      <c r="Q159" s="190">
        <v>46092</v>
      </c>
      <c r="R159" s="188"/>
      <c r="S159" s="189"/>
      <c r="T159" s="189"/>
      <c r="U159" s="189"/>
      <c r="V159" s="190"/>
      <c r="W159" s="188">
        <v>3795</v>
      </c>
      <c r="X159" s="189">
        <v>2967</v>
      </c>
      <c r="Y159" s="189">
        <v>4071</v>
      </c>
      <c r="Z159" s="189">
        <v>2967</v>
      </c>
      <c r="AA159" s="190">
        <v>13800</v>
      </c>
      <c r="AB159" s="188">
        <v>21252</v>
      </c>
      <c r="AC159" s="189">
        <v>30498</v>
      </c>
      <c r="AD159" s="189">
        <v>17664</v>
      </c>
      <c r="AE159" s="189">
        <v>13524</v>
      </c>
      <c r="AF159" s="190">
        <v>82938</v>
      </c>
      <c r="AG159" s="188"/>
      <c r="AH159" s="189"/>
      <c r="AI159" s="189"/>
      <c r="AJ159" s="189"/>
      <c r="AK159" s="190"/>
      <c r="AL159" s="188">
        <v>1587</v>
      </c>
      <c r="AM159" s="189">
        <v>1173</v>
      </c>
      <c r="AN159" s="189">
        <v>2139</v>
      </c>
      <c r="AO159" s="189">
        <v>2553</v>
      </c>
      <c r="AP159" s="190">
        <v>7452</v>
      </c>
      <c r="AQ159" s="188">
        <v>15456</v>
      </c>
      <c r="AR159" s="189">
        <v>14766</v>
      </c>
      <c r="AS159" s="189">
        <v>6900</v>
      </c>
      <c r="AT159" s="189">
        <v>8004</v>
      </c>
      <c r="AU159" s="190">
        <v>45126</v>
      </c>
      <c r="AV159" s="188"/>
      <c r="AW159" s="189"/>
      <c r="AX159" s="189"/>
      <c r="AY159" s="189"/>
      <c r="AZ159" s="190"/>
      <c r="BA159" s="188"/>
      <c r="BB159" s="189"/>
      <c r="BC159" s="189"/>
      <c r="BD159" s="189"/>
      <c r="BE159" s="190"/>
      <c r="BF159" s="188">
        <f t="shared" si="44"/>
        <v>0</v>
      </c>
      <c r="BG159" s="189">
        <f t="shared" si="38"/>
        <v>0</v>
      </c>
      <c r="BH159" s="189">
        <f t="shared" si="39"/>
        <v>1173</v>
      </c>
      <c r="BI159" s="189">
        <f t="shared" si="40"/>
        <v>8073</v>
      </c>
      <c r="BJ159" s="190">
        <f t="shared" si="41"/>
        <v>9246</v>
      </c>
      <c r="BK159" s="188"/>
      <c r="BL159" s="189"/>
      <c r="BM159" s="189"/>
      <c r="BN159" s="189"/>
      <c r="BO159" s="190"/>
      <c r="BP159" s="188"/>
      <c r="BQ159" s="189"/>
      <c r="BR159" s="189"/>
      <c r="BS159" s="189">
        <v>4761</v>
      </c>
      <c r="BT159" s="190">
        <v>4761</v>
      </c>
      <c r="BU159" s="188"/>
      <c r="BV159" s="189"/>
      <c r="BW159" s="189">
        <v>1173</v>
      </c>
      <c r="BX159" s="189">
        <v>3312</v>
      </c>
      <c r="BY159" s="190">
        <v>4485</v>
      </c>
      <c r="BZ159" s="188"/>
      <c r="CA159" s="189"/>
      <c r="CB159" s="189"/>
      <c r="CC159" s="189"/>
      <c r="CD159" s="190"/>
      <c r="CE159" s="188"/>
      <c r="CF159" s="189"/>
      <c r="CG159" s="189"/>
      <c r="CH159" s="189"/>
      <c r="CI159" s="190"/>
    </row>
    <row r="160" s="163" customFormat="1" ht="14.6" spans="1:87">
      <c r="A160" s="191" t="s">
        <v>144</v>
      </c>
      <c r="B160" s="192"/>
      <c r="C160" s="193">
        <f t="shared" si="42"/>
        <v>44643</v>
      </c>
      <c r="D160" s="194">
        <f t="shared" si="30"/>
        <v>73761</v>
      </c>
      <c r="E160" s="194">
        <f t="shared" si="31"/>
        <v>44436</v>
      </c>
      <c r="F160" s="194">
        <f t="shared" si="32"/>
        <v>41814</v>
      </c>
      <c r="G160" s="195">
        <f t="shared" si="33"/>
        <v>204654</v>
      </c>
      <c r="H160" s="193">
        <f t="shared" si="43"/>
        <v>44643</v>
      </c>
      <c r="I160" s="194">
        <f t="shared" si="34"/>
        <v>73761</v>
      </c>
      <c r="J160" s="194">
        <f t="shared" si="35"/>
        <v>43263</v>
      </c>
      <c r="K160" s="194">
        <f t="shared" si="36"/>
        <v>33741</v>
      </c>
      <c r="L160" s="195">
        <f t="shared" si="37"/>
        <v>195408</v>
      </c>
      <c r="M160" s="193">
        <v>2553</v>
      </c>
      <c r="N160" s="194">
        <v>24357</v>
      </c>
      <c r="O160" s="194">
        <v>12489</v>
      </c>
      <c r="P160" s="194">
        <v>6693</v>
      </c>
      <c r="Q160" s="195">
        <v>46092</v>
      </c>
      <c r="R160" s="193"/>
      <c r="S160" s="194"/>
      <c r="T160" s="194"/>
      <c r="U160" s="194"/>
      <c r="V160" s="195"/>
      <c r="W160" s="193">
        <v>3795</v>
      </c>
      <c r="X160" s="194">
        <v>2967</v>
      </c>
      <c r="Y160" s="194">
        <v>4071</v>
      </c>
      <c r="Z160" s="194">
        <v>2967</v>
      </c>
      <c r="AA160" s="195">
        <v>13800</v>
      </c>
      <c r="AB160" s="193">
        <v>21252</v>
      </c>
      <c r="AC160" s="194">
        <v>30498</v>
      </c>
      <c r="AD160" s="194">
        <v>17664</v>
      </c>
      <c r="AE160" s="194">
        <v>13524</v>
      </c>
      <c r="AF160" s="195">
        <v>82938</v>
      </c>
      <c r="AG160" s="193"/>
      <c r="AH160" s="194"/>
      <c r="AI160" s="194"/>
      <c r="AJ160" s="194"/>
      <c r="AK160" s="195"/>
      <c r="AL160" s="193">
        <v>1587</v>
      </c>
      <c r="AM160" s="194">
        <v>1173</v>
      </c>
      <c r="AN160" s="194">
        <v>2139</v>
      </c>
      <c r="AO160" s="194">
        <v>2553</v>
      </c>
      <c r="AP160" s="195">
        <v>7452</v>
      </c>
      <c r="AQ160" s="193">
        <v>15456</v>
      </c>
      <c r="AR160" s="194">
        <v>14766</v>
      </c>
      <c r="AS160" s="194">
        <v>6900</v>
      </c>
      <c r="AT160" s="194">
        <v>8004</v>
      </c>
      <c r="AU160" s="195">
        <v>45126</v>
      </c>
      <c r="AV160" s="193"/>
      <c r="AW160" s="194"/>
      <c r="AX160" s="194"/>
      <c r="AY160" s="194"/>
      <c r="AZ160" s="195"/>
      <c r="BA160" s="193"/>
      <c r="BB160" s="194"/>
      <c r="BC160" s="194"/>
      <c r="BD160" s="194"/>
      <c r="BE160" s="195"/>
      <c r="BF160" s="193">
        <f t="shared" si="44"/>
        <v>0</v>
      </c>
      <c r="BG160" s="194">
        <f t="shared" si="38"/>
        <v>0</v>
      </c>
      <c r="BH160" s="194">
        <f t="shared" si="39"/>
        <v>1173</v>
      </c>
      <c r="BI160" s="194">
        <f t="shared" si="40"/>
        <v>8073</v>
      </c>
      <c r="BJ160" s="195">
        <f t="shared" si="41"/>
        <v>9246</v>
      </c>
      <c r="BK160" s="193"/>
      <c r="BL160" s="194"/>
      <c r="BM160" s="194"/>
      <c r="BN160" s="194"/>
      <c r="BO160" s="195"/>
      <c r="BP160" s="193"/>
      <c r="BQ160" s="194"/>
      <c r="BR160" s="194"/>
      <c r="BS160" s="194">
        <v>4761</v>
      </c>
      <c r="BT160" s="195">
        <v>4761</v>
      </c>
      <c r="BU160" s="193"/>
      <c r="BV160" s="194"/>
      <c r="BW160" s="194">
        <v>1173</v>
      </c>
      <c r="BX160" s="194">
        <v>3312</v>
      </c>
      <c r="BY160" s="195">
        <v>4485</v>
      </c>
      <c r="BZ160" s="193"/>
      <c r="CA160" s="194"/>
      <c r="CB160" s="194"/>
      <c r="CC160" s="194"/>
      <c r="CD160" s="195"/>
      <c r="CE160" s="193"/>
      <c r="CF160" s="194"/>
      <c r="CG160" s="194"/>
      <c r="CH160" s="194"/>
      <c r="CI160" s="195"/>
    </row>
    <row r="161" spans="1:87">
      <c r="A161" s="186" t="s">
        <v>145</v>
      </c>
      <c r="B161" s="187" t="s">
        <v>26</v>
      </c>
      <c r="C161" s="188">
        <f t="shared" si="42"/>
        <v>56028</v>
      </c>
      <c r="D161" s="189">
        <f t="shared" si="30"/>
        <v>48093</v>
      </c>
      <c r="E161" s="189">
        <f t="shared" si="31"/>
        <v>42642</v>
      </c>
      <c r="F161" s="189">
        <f t="shared" si="32"/>
        <v>47610</v>
      </c>
      <c r="G161" s="190">
        <f t="shared" si="33"/>
        <v>194373</v>
      </c>
      <c r="H161" s="188">
        <f t="shared" si="43"/>
        <v>53268</v>
      </c>
      <c r="I161" s="189">
        <f t="shared" si="34"/>
        <v>45540</v>
      </c>
      <c r="J161" s="189">
        <f t="shared" si="35"/>
        <v>42159</v>
      </c>
      <c r="K161" s="189">
        <f t="shared" si="36"/>
        <v>46368</v>
      </c>
      <c r="L161" s="190">
        <f t="shared" si="37"/>
        <v>187335</v>
      </c>
      <c r="M161" s="188"/>
      <c r="N161" s="189">
        <v>1656</v>
      </c>
      <c r="O161" s="189"/>
      <c r="P161" s="189"/>
      <c r="Q161" s="190">
        <v>1656</v>
      </c>
      <c r="R161" s="188"/>
      <c r="S161" s="189"/>
      <c r="T161" s="189"/>
      <c r="U161" s="189"/>
      <c r="V161" s="190"/>
      <c r="W161" s="188"/>
      <c r="X161" s="189"/>
      <c r="Y161" s="189"/>
      <c r="Z161" s="189"/>
      <c r="AA161" s="190"/>
      <c r="AB161" s="188">
        <v>15939</v>
      </c>
      <c r="AC161" s="189">
        <v>14766</v>
      </c>
      <c r="AD161" s="189">
        <v>14214</v>
      </c>
      <c r="AE161" s="189">
        <v>10074</v>
      </c>
      <c r="AF161" s="190">
        <v>54993</v>
      </c>
      <c r="AG161" s="188"/>
      <c r="AH161" s="189"/>
      <c r="AI161" s="189"/>
      <c r="AJ161" s="189"/>
      <c r="AK161" s="190"/>
      <c r="AL161" s="188"/>
      <c r="AM161" s="189"/>
      <c r="AN161" s="189"/>
      <c r="AO161" s="189"/>
      <c r="AP161" s="190"/>
      <c r="AQ161" s="188"/>
      <c r="AR161" s="189"/>
      <c r="AS161" s="189"/>
      <c r="AT161" s="189"/>
      <c r="AU161" s="190"/>
      <c r="AV161" s="188">
        <v>1863</v>
      </c>
      <c r="AW161" s="189">
        <v>1104</v>
      </c>
      <c r="AX161" s="189">
        <v>690</v>
      </c>
      <c r="AY161" s="189">
        <v>621</v>
      </c>
      <c r="AZ161" s="190">
        <v>4278</v>
      </c>
      <c r="BA161" s="188">
        <v>35466</v>
      </c>
      <c r="BB161" s="189">
        <v>28014</v>
      </c>
      <c r="BC161" s="189">
        <v>27255</v>
      </c>
      <c r="BD161" s="189">
        <v>35673</v>
      </c>
      <c r="BE161" s="190">
        <v>126408</v>
      </c>
      <c r="BF161" s="188">
        <f t="shared" si="44"/>
        <v>2760</v>
      </c>
      <c r="BG161" s="189">
        <f t="shared" si="38"/>
        <v>2553</v>
      </c>
      <c r="BH161" s="189">
        <f t="shared" si="39"/>
        <v>483</v>
      </c>
      <c r="BI161" s="189">
        <f t="shared" si="40"/>
        <v>1242</v>
      </c>
      <c r="BJ161" s="190">
        <f t="shared" si="41"/>
        <v>7038</v>
      </c>
      <c r="BK161" s="188"/>
      <c r="BL161" s="189"/>
      <c r="BM161" s="189"/>
      <c r="BN161" s="189"/>
      <c r="BO161" s="190"/>
      <c r="BP161" s="188"/>
      <c r="BQ161" s="189"/>
      <c r="BR161" s="189"/>
      <c r="BS161" s="189"/>
      <c r="BT161" s="190"/>
      <c r="BU161" s="188">
        <v>2760</v>
      </c>
      <c r="BV161" s="189">
        <v>2553</v>
      </c>
      <c r="BW161" s="189">
        <v>483</v>
      </c>
      <c r="BX161" s="189">
        <v>1242</v>
      </c>
      <c r="BY161" s="190">
        <v>7038</v>
      </c>
      <c r="BZ161" s="188"/>
      <c r="CA161" s="189"/>
      <c r="CB161" s="189"/>
      <c r="CC161" s="189"/>
      <c r="CD161" s="190"/>
      <c r="CE161" s="188"/>
      <c r="CF161" s="189"/>
      <c r="CG161" s="189"/>
      <c r="CH161" s="189"/>
      <c r="CI161" s="190"/>
    </row>
    <row r="162" s="163" customFormat="1" ht="14.6" spans="1:87">
      <c r="A162" s="191" t="s">
        <v>146</v>
      </c>
      <c r="B162" s="192"/>
      <c r="C162" s="193">
        <f t="shared" si="42"/>
        <v>56028</v>
      </c>
      <c r="D162" s="194">
        <f t="shared" si="30"/>
        <v>48093</v>
      </c>
      <c r="E162" s="194">
        <f t="shared" si="31"/>
        <v>42642</v>
      </c>
      <c r="F162" s="194">
        <f t="shared" si="32"/>
        <v>47610</v>
      </c>
      <c r="G162" s="195">
        <f t="shared" si="33"/>
        <v>194373</v>
      </c>
      <c r="H162" s="193">
        <f t="shared" si="43"/>
        <v>53268</v>
      </c>
      <c r="I162" s="194">
        <f t="shared" si="34"/>
        <v>45540</v>
      </c>
      <c r="J162" s="194">
        <f t="shared" si="35"/>
        <v>42159</v>
      </c>
      <c r="K162" s="194">
        <f t="shared" si="36"/>
        <v>46368</v>
      </c>
      <c r="L162" s="195">
        <f t="shared" si="37"/>
        <v>187335</v>
      </c>
      <c r="M162" s="193"/>
      <c r="N162" s="194">
        <v>1656</v>
      </c>
      <c r="O162" s="194"/>
      <c r="P162" s="194"/>
      <c r="Q162" s="195">
        <v>1656</v>
      </c>
      <c r="R162" s="193"/>
      <c r="S162" s="194"/>
      <c r="T162" s="194"/>
      <c r="U162" s="194"/>
      <c r="V162" s="195"/>
      <c r="W162" s="193"/>
      <c r="X162" s="194"/>
      <c r="Y162" s="194"/>
      <c r="Z162" s="194"/>
      <c r="AA162" s="195"/>
      <c r="AB162" s="193">
        <v>15939</v>
      </c>
      <c r="AC162" s="194">
        <v>14766</v>
      </c>
      <c r="AD162" s="194">
        <v>14214</v>
      </c>
      <c r="AE162" s="194">
        <v>10074</v>
      </c>
      <c r="AF162" s="195">
        <v>54993</v>
      </c>
      <c r="AG162" s="193"/>
      <c r="AH162" s="194"/>
      <c r="AI162" s="194"/>
      <c r="AJ162" s="194"/>
      <c r="AK162" s="195"/>
      <c r="AL162" s="193"/>
      <c r="AM162" s="194"/>
      <c r="AN162" s="194"/>
      <c r="AO162" s="194"/>
      <c r="AP162" s="195"/>
      <c r="AQ162" s="193"/>
      <c r="AR162" s="194"/>
      <c r="AS162" s="194"/>
      <c r="AT162" s="194"/>
      <c r="AU162" s="195"/>
      <c r="AV162" s="193">
        <v>1863</v>
      </c>
      <c r="AW162" s="194">
        <v>1104</v>
      </c>
      <c r="AX162" s="194">
        <v>690</v>
      </c>
      <c r="AY162" s="194">
        <v>621</v>
      </c>
      <c r="AZ162" s="195">
        <v>4278</v>
      </c>
      <c r="BA162" s="193">
        <v>35466</v>
      </c>
      <c r="BB162" s="194">
        <v>28014</v>
      </c>
      <c r="BC162" s="194">
        <v>27255</v>
      </c>
      <c r="BD162" s="194">
        <v>35673</v>
      </c>
      <c r="BE162" s="195">
        <v>126408</v>
      </c>
      <c r="BF162" s="193">
        <f t="shared" si="44"/>
        <v>2760</v>
      </c>
      <c r="BG162" s="194">
        <f t="shared" si="38"/>
        <v>2553</v>
      </c>
      <c r="BH162" s="194">
        <f t="shared" si="39"/>
        <v>483</v>
      </c>
      <c r="BI162" s="194">
        <f t="shared" si="40"/>
        <v>1242</v>
      </c>
      <c r="BJ162" s="195">
        <f t="shared" si="41"/>
        <v>7038</v>
      </c>
      <c r="BK162" s="193"/>
      <c r="BL162" s="194"/>
      <c r="BM162" s="194"/>
      <c r="BN162" s="194"/>
      <c r="BO162" s="195"/>
      <c r="BP162" s="193"/>
      <c r="BQ162" s="194"/>
      <c r="BR162" s="194"/>
      <c r="BS162" s="194"/>
      <c r="BT162" s="195"/>
      <c r="BU162" s="193">
        <v>2760</v>
      </c>
      <c r="BV162" s="194">
        <v>2553</v>
      </c>
      <c r="BW162" s="194">
        <v>483</v>
      </c>
      <c r="BX162" s="194">
        <v>1242</v>
      </c>
      <c r="BY162" s="195">
        <v>7038</v>
      </c>
      <c r="BZ162" s="193"/>
      <c r="CA162" s="194"/>
      <c r="CB162" s="194"/>
      <c r="CC162" s="194"/>
      <c r="CD162" s="195"/>
      <c r="CE162" s="193"/>
      <c r="CF162" s="194"/>
      <c r="CG162" s="194"/>
      <c r="CH162" s="194"/>
      <c r="CI162" s="195"/>
    </row>
    <row r="163" spans="1:87">
      <c r="A163" s="186" t="s">
        <v>147</v>
      </c>
      <c r="B163" s="187" t="s">
        <v>26</v>
      </c>
      <c r="C163" s="188">
        <f t="shared" si="42"/>
        <v>61065</v>
      </c>
      <c r="D163" s="189">
        <f t="shared" si="30"/>
        <v>56994</v>
      </c>
      <c r="E163" s="189">
        <f t="shared" si="31"/>
        <v>43746</v>
      </c>
      <c r="F163" s="189">
        <f t="shared" si="32"/>
        <v>18216</v>
      </c>
      <c r="G163" s="190">
        <f t="shared" si="33"/>
        <v>180021</v>
      </c>
      <c r="H163" s="188">
        <f t="shared" si="43"/>
        <v>61065</v>
      </c>
      <c r="I163" s="189">
        <f t="shared" si="34"/>
        <v>56994</v>
      </c>
      <c r="J163" s="189">
        <f t="shared" si="35"/>
        <v>43746</v>
      </c>
      <c r="K163" s="189">
        <f t="shared" si="36"/>
        <v>18216</v>
      </c>
      <c r="L163" s="190">
        <f t="shared" si="37"/>
        <v>180021</v>
      </c>
      <c r="M163" s="188"/>
      <c r="N163" s="189"/>
      <c r="O163" s="189"/>
      <c r="P163" s="189"/>
      <c r="Q163" s="190"/>
      <c r="R163" s="188">
        <v>34776</v>
      </c>
      <c r="S163" s="189">
        <v>44988</v>
      </c>
      <c r="T163" s="189">
        <v>27462</v>
      </c>
      <c r="U163" s="189">
        <v>9936</v>
      </c>
      <c r="V163" s="190">
        <v>117162</v>
      </c>
      <c r="W163" s="188"/>
      <c r="X163" s="189"/>
      <c r="Y163" s="189"/>
      <c r="Z163" s="189"/>
      <c r="AA163" s="190"/>
      <c r="AB163" s="188"/>
      <c r="AC163" s="189"/>
      <c r="AD163" s="189"/>
      <c r="AE163" s="189"/>
      <c r="AF163" s="190"/>
      <c r="AG163" s="188">
        <v>26289</v>
      </c>
      <c r="AH163" s="189">
        <v>12006</v>
      </c>
      <c r="AI163" s="189">
        <v>16284</v>
      </c>
      <c r="AJ163" s="189">
        <v>8280</v>
      </c>
      <c r="AK163" s="190">
        <v>62859</v>
      </c>
      <c r="AL163" s="188"/>
      <c r="AM163" s="189"/>
      <c r="AN163" s="189"/>
      <c r="AO163" s="189"/>
      <c r="AP163" s="190"/>
      <c r="AQ163" s="188"/>
      <c r="AR163" s="189"/>
      <c r="AS163" s="189"/>
      <c r="AT163" s="189"/>
      <c r="AU163" s="190"/>
      <c r="AV163" s="188"/>
      <c r="AW163" s="189"/>
      <c r="AX163" s="189"/>
      <c r="AY163" s="189"/>
      <c r="AZ163" s="190"/>
      <c r="BA163" s="188"/>
      <c r="BB163" s="189"/>
      <c r="BC163" s="189"/>
      <c r="BD163" s="189"/>
      <c r="BE163" s="190"/>
      <c r="BF163" s="188">
        <f t="shared" si="44"/>
        <v>0</v>
      </c>
      <c r="BG163" s="189">
        <f t="shared" si="38"/>
        <v>0</v>
      </c>
      <c r="BH163" s="189">
        <f t="shared" si="39"/>
        <v>0</v>
      </c>
      <c r="BI163" s="189">
        <f t="shared" si="40"/>
        <v>0</v>
      </c>
      <c r="BJ163" s="190">
        <f t="shared" si="41"/>
        <v>0</v>
      </c>
      <c r="BK163" s="188"/>
      <c r="BL163" s="189"/>
      <c r="BM163" s="189"/>
      <c r="BN163" s="189"/>
      <c r="BO163" s="190"/>
      <c r="BP163" s="188"/>
      <c r="BQ163" s="189"/>
      <c r="BR163" s="189"/>
      <c r="BS163" s="189"/>
      <c r="BT163" s="190"/>
      <c r="BU163" s="188"/>
      <c r="BV163" s="189"/>
      <c r="BW163" s="189"/>
      <c r="BX163" s="189"/>
      <c r="BY163" s="190"/>
      <c r="BZ163" s="188"/>
      <c r="CA163" s="189"/>
      <c r="CB163" s="189"/>
      <c r="CC163" s="189"/>
      <c r="CD163" s="190"/>
      <c r="CE163" s="188"/>
      <c r="CF163" s="189"/>
      <c r="CG163" s="189"/>
      <c r="CH163" s="189"/>
      <c r="CI163" s="190"/>
    </row>
    <row r="164" s="163" customFormat="1" ht="14.6" spans="1:87">
      <c r="A164" s="191" t="s">
        <v>148</v>
      </c>
      <c r="B164" s="192"/>
      <c r="C164" s="193">
        <f t="shared" si="42"/>
        <v>61065</v>
      </c>
      <c r="D164" s="194">
        <f t="shared" si="30"/>
        <v>56994</v>
      </c>
      <c r="E164" s="194">
        <f t="shared" si="31"/>
        <v>43746</v>
      </c>
      <c r="F164" s="194">
        <f t="shared" si="32"/>
        <v>18216</v>
      </c>
      <c r="G164" s="195">
        <f t="shared" si="33"/>
        <v>180021</v>
      </c>
      <c r="H164" s="193">
        <f t="shared" si="43"/>
        <v>61065</v>
      </c>
      <c r="I164" s="194">
        <f t="shared" si="34"/>
        <v>56994</v>
      </c>
      <c r="J164" s="194">
        <f t="shared" si="35"/>
        <v>43746</v>
      </c>
      <c r="K164" s="194">
        <f t="shared" si="36"/>
        <v>18216</v>
      </c>
      <c r="L164" s="195">
        <f t="shared" si="37"/>
        <v>180021</v>
      </c>
      <c r="M164" s="193"/>
      <c r="N164" s="194"/>
      <c r="O164" s="194"/>
      <c r="P164" s="194"/>
      <c r="Q164" s="195"/>
      <c r="R164" s="193">
        <v>34776</v>
      </c>
      <c r="S164" s="194">
        <v>44988</v>
      </c>
      <c r="T164" s="194">
        <v>27462</v>
      </c>
      <c r="U164" s="194">
        <v>9936</v>
      </c>
      <c r="V164" s="195">
        <v>117162</v>
      </c>
      <c r="W164" s="193"/>
      <c r="X164" s="194"/>
      <c r="Y164" s="194"/>
      <c r="Z164" s="194"/>
      <c r="AA164" s="195"/>
      <c r="AB164" s="193"/>
      <c r="AC164" s="194"/>
      <c r="AD164" s="194"/>
      <c r="AE164" s="194"/>
      <c r="AF164" s="195"/>
      <c r="AG164" s="193">
        <v>26289</v>
      </c>
      <c r="AH164" s="194">
        <v>12006</v>
      </c>
      <c r="AI164" s="194">
        <v>16284</v>
      </c>
      <c r="AJ164" s="194">
        <v>8280</v>
      </c>
      <c r="AK164" s="195">
        <v>62859</v>
      </c>
      <c r="AL164" s="193"/>
      <c r="AM164" s="194"/>
      <c r="AN164" s="194"/>
      <c r="AO164" s="194"/>
      <c r="AP164" s="195"/>
      <c r="AQ164" s="193"/>
      <c r="AR164" s="194"/>
      <c r="AS164" s="194"/>
      <c r="AT164" s="194"/>
      <c r="AU164" s="195"/>
      <c r="AV164" s="193"/>
      <c r="AW164" s="194"/>
      <c r="AX164" s="194"/>
      <c r="AY164" s="194"/>
      <c r="AZ164" s="195"/>
      <c r="BA164" s="193"/>
      <c r="BB164" s="194"/>
      <c r="BC164" s="194"/>
      <c r="BD164" s="194"/>
      <c r="BE164" s="195"/>
      <c r="BF164" s="193">
        <f t="shared" si="44"/>
        <v>0</v>
      </c>
      <c r="BG164" s="194">
        <f t="shared" si="38"/>
        <v>0</v>
      </c>
      <c r="BH164" s="194">
        <f t="shared" si="39"/>
        <v>0</v>
      </c>
      <c r="BI164" s="194">
        <f t="shared" si="40"/>
        <v>0</v>
      </c>
      <c r="BJ164" s="195">
        <f t="shared" si="41"/>
        <v>0</v>
      </c>
      <c r="BK164" s="193"/>
      <c r="BL164" s="194"/>
      <c r="BM164" s="194"/>
      <c r="BN164" s="194"/>
      <c r="BO164" s="195"/>
      <c r="BP164" s="193"/>
      <c r="BQ164" s="194"/>
      <c r="BR164" s="194"/>
      <c r="BS164" s="194"/>
      <c r="BT164" s="195"/>
      <c r="BU164" s="193"/>
      <c r="BV164" s="194"/>
      <c r="BW164" s="194"/>
      <c r="BX164" s="194"/>
      <c r="BY164" s="195"/>
      <c r="BZ164" s="193"/>
      <c r="CA164" s="194"/>
      <c r="CB164" s="194"/>
      <c r="CC164" s="194"/>
      <c r="CD164" s="195"/>
      <c r="CE164" s="193"/>
      <c r="CF164" s="194"/>
      <c r="CG164" s="194"/>
      <c r="CH164" s="194"/>
      <c r="CI164" s="195"/>
    </row>
    <row r="165" spans="1:87">
      <c r="A165" s="186" t="s">
        <v>149</v>
      </c>
      <c r="B165" s="187" t="s">
        <v>28</v>
      </c>
      <c r="C165" s="188">
        <f t="shared" si="42"/>
        <v>67909</v>
      </c>
      <c r="D165" s="189">
        <f t="shared" si="30"/>
        <v>41890</v>
      </c>
      <c r="E165" s="189">
        <f t="shared" si="31"/>
        <v>28320</v>
      </c>
      <c r="F165" s="189">
        <f t="shared" si="32"/>
        <v>34987</v>
      </c>
      <c r="G165" s="190">
        <f t="shared" si="33"/>
        <v>173106</v>
      </c>
      <c r="H165" s="188">
        <f t="shared" si="43"/>
        <v>66906</v>
      </c>
      <c r="I165" s="189">
        <f t="shared" si="34"/>
        <v>41831</v>
      </c>
      <c r="J165" s="189">
        <f t="shared" si="35"/>
        <v>28025</v>
      </c>
      <c r="K165" s="189">
        <f t="shared" si="36"/>
        <v>27081</v>
      </c>
      <c r="L165" s="190">
        <f t="shared" si="37"/>
        <v>163843</v>
      </c>
      <c r="M165" s="188">
        <v>5723</v>
      </c>
      <c r="N165" s="189">
        <v>1003</v>
      </c>
      <c r="O165" s="189">
        <v>236</v>
      </c>
      <c r="P165" s="189"/>
      <c r="Q165" s="190">
        <v>6962</v>
      </c>
      <c r="R165" s="188">
        <v>32804</v>
      </c>
      <c r="S165" s="189">
        <v>16520</v>
      </c>
      <c r="T165" s="189">
        <v>8260</v>
      </c>
      <c r="U165" s="189">
        <v>7434</v>
      </c>
      <c r="V165" s="190">
        <v>65018</v>
      </c>
      <c r="W165" s="188">
        <v>26078</v>
      </c>
      <c r="X165" s="189">
        <v>22361</v>
      </c>
      <c r="Y165" s="189">
        <v>17582</v>
      </c>
      <c r="Z165" s="189">
        <v>18054</v>
      </c>
      <c r="AA165" s="190">
        <v>84075</v>
      </c>
      <c r="AB165" s="188"/>
      <c r="AC165" s="189"/>
      <c r="AD165" s="189"/>
      <c r="AE165" s="189"/>
      <c r="AF165" s="190"/>
      <c r="AG165" s="188"/>
      <c r="AH165" s="189"/>
      <c r="AI165" s="189"/>
      <c r="AJ165" s="189"/>
      <c r="AK165" s="190"/>
      <c r="AL165" s="188">
        <v>2301</v>
      </c>
      <c r="AM165" s="189">
        <v>1947</v>
      </c>
      <c r="AN165" s="189">
        <v>1947</v>
      </c>
      <c r="AO165" s="189">
        <v>1593</v>
      </c>
      <c r="AP165" s="190">
        <v>7788</v>
      </c>
      <c r="AQ165" s="188"/>
      <c r="AR165" s="189"/>
      <c r="AS165" s="189"/>
      <c r="AT165" s="189"/>
      <c r="AU165" s="190"/>
      <c r="AV165" s="188"/>
      <c r="AW165" s="189"/>
      <c r="AX165" s="189"/>
      <c r="AY165" s="189"/>
      <c r="AZ165" s="190"/>
      <c r="BA165" s="188"/>
      <c r="BB165" s="189"/>
      <c r="BC165" s="189"/>
      <c r="BD165" s="189"/>
      <c r="BE165" s="190"/>
      <c r="BF165" s="188">
        <f t="shared" si="44"/>
        <v>1003</v>
      </c>
      <c r="BG165" s="189">
        <f t="shared" si="38"/>
        <v>59</v>
      </c>
      <c r="BH165" s="189">
        <f t="shared" si="39"/>
        <v>295</v>
      </c>
      <c r="BI165" s="189">
        <f t="shared" si="40"/>
        <v>7906</v>
      </c>
      <c r="BJ165" s="190">
        <f t="shared" si="41"/>
        <v>9263</v>
      </c>
      <c r="BK165" s="188"/>
      <c r="BL165" s="189"/>
      <c r="BM165" s="189"/>
      <c r="BN165" s="189"/>
      <c r="BO165" s="190"/>
      <c r="BP165" s="188"/>
      <c r="BQ165" s="189"/>
      <c r="BR165" s="189"/>
      <c r="BS165" s="189"/>
      <c r="BT165" s="190"/>
      <c r="BU165" s="188">
        <v>1003</v>
      </c>
      <c r="BV165" s="189">
        <v>59</v>
      </c>
      <c r="BW165" s="189">
        <v>295</v>
      </c>
      <c r="BX165" s="189">
        <v>7906</v>
      </c>
      <c r="BY165" s="190">
        <v>9263</v>
      </c>
      <c r="BZ165" s="188"/>
      <c r="CA165" s="189"/>
      <c r="CB165" s="189"/>
      <c r="CC165" s="189"/>
      <c r="CD165" s="190"/>
      <c r="CE165" s="188"/>
      <c r="CF165" s="189"/>
      <c r="CG165" s="189"/>
      <c r="CH165" s="189"/>
      <c r="CI165" s="190"/>
    </row>
    <row r="166" s="163" customFormat="1" ht="14.6" spans="1:87">
      <c r="A166" s="191" t="s">
        <v>150</v>
      </c>
      <c r="B166" s="192"/>
      <c r="C166" s="193">
        <f t="shared" si="42"/>
        <v>67909</v>
      </c>
      <c r="D166" s="194">
        <f t="shared" si="30"/>
        <v>41890</v>
      </c>
      <c r="E166" s="194">
        <f t="shared" si="31"/>
        <v>28320</v>
      </c>
      <c r="F166" s="194">
        <f t="shared" si="32"/>
        <v>34987</v>
      </c>
      <c r="G166" s="195">
        <f t="shared" si="33"/>
        <v>173106</v>
      </c>
      <c r="H166" s="193">
        <f t="shared" si="43"/>
        <v>66906</v>
      </c>
      <c r="I166" s="194">
        <f t="shared" si="34"/>
        <v>41831</v>
      </c>
      <c r="J166" s="194">
        <f t="shared" si="35"/>
        <v>28025</v>
      </c>
      <c r="K166" s="194">
        <f t="shared" si="36"/>
        <v>27081</v>
      </c>
      <c r="L166" s="195">
        <f t="shared" si="37"/>
        <v>163843</v>
      </c>
      <c r="M166" s="193">
        <v>5723</v>
      </c>
      <c r="N166" s="194">
        <v>1003</v>
      </c>
      <c r="O166" s="194">
        <v>236</v>
      </c>
      <c r="P166" s="194"/>
      <c r="Q166" s="195">
        <v>6962</v>
      </c>
      <c r="R166" s="193">
        <v>32804</v>
      </c>
      <c r="S166" s="194">
        <v>16520</v>
      </c>
      <c r="T166" s="194">
        <v>8260</v>
      </c>
      <c r="U166" s="194">
        <v>7434</v>
      </c>
      <c r="V166" s="195">
        <v>65018</v>
      </c>
      <c r="W166" s="193">
        <v>26078</v>
      </c>
      <c r="X166" s="194">
        <v>22361</v>
      </c>
      <c r="Y166" s="194">
        <v>17582</v>
      </c>
      <c r="Z166" s="194">
        <v>18054</v>
      </c>
      <c r="AA166" s="195">
        <v>84075</v>
      </c>
      <c r="AB166" s="193"/>
      <c r="AC166" s="194"/>
      <c r="AD166" s="194"/>
      <c r="AE166" s="194"/>
      <c r="AF166" s="195"/>
      <c r="AG166" s="193"/>
      <c r="AH166" s="194"/>
      <c r="AI166" s="194"/>
      <c r="AJ166" s="194"/>
      <c r="AK166" s="195"/>
      <c r="AL166" s="193">
        <v>2301</v>
      </c>
      <c r="AM166" s="194">
        <v>1947</v>
      </c>
      <c r="AN166" s="194">
        <v>1947</v>
      </c>
      <c r="AO166" s="194">
        <v>1593</v>
      </c>
      <c r="AP166" s="195">
        <v>7788</v>
      </c>
      <c r="AQ166" s="193"/>
      <c r="AR166" s="194"/>
      <c r="AS166" s="194"/>
      <c r="AT166" s="194"/>
      <c r="AU166" s="195"/>
      <c r="AV166" s="193"/>
      <c r="AW166" s="194"/>
      <c r="AX166" s="194"/>
      <c r="AY166" s="194"/>
      <c r="AZ166" s="195"/>
      <c r="BA166" s="193"/>
      <c r="BB166" s="194"/>
      <c r="BC166" s="194"/>
      <c r="BD166" s="194"/>
      <c r="BE166" s="195"/>
      <c r="BF166" s="193">
        <f t="shared" si="44"/>
        <v>1003</v>
      </c>
      <c r="BG166" s="194">
        <f t="shared" si="38"/>
        <v>59</v>
      </c>
      <c r="BH166" s="194">
        <f t="shared" si="39"/>
        <v>295</v>
      </c>
      <c r="BI166" s="194">
        <f t="shared" si="40"/>
        <v>7906</v>
      </c>
      <c r="BJ166" s="195">
        <f t="shared" si="41"/>
        <v>9263</v>
      </c>
      <c r="BK166" s="193"/>
      <c r="BL166" s="194"/>
      <c r="BM166" s="194"/>
      <c r="BN166" s="194"/>
      <c r="BO166" s="195"/>
      <c r="BP166" s="193"/>
      <c r="BQ166" s="194"/>
      <c r="BR166" s="194"/>
      <c r="BS166" s="194"/>
      <c r="BT166" s="195"/>
      <c r="BU166" s="193">
        <v>1003</v>
      </c>
      <c r="BV166" s="194">
        <v>59</v>
      </c>
      <c r="BW166" s="194">
        <v>295</v>
      </c>
      <c r="BX166" s="194">
        <v>7906</v>
      </c>
      <c r="BY166" s="195">
        <v>9263</v>
      </c>
      <c r="BZ166" s="193"/>
      <c r="CA166" s="194"/>
      <c r="CB166" s="194"/>
      <c r="CC166" s="194"/>
      <c r="CD166" s="195"/>
      <c r="CE166" s="193"/>
      <c r="CF166" s="194"/>
      <c r="CG166" s="194"/>
      <c r="CH166" s="194"/>
      <c r="CI166" s="195"/>
    </row>
    <row r="167" spans="1:87">
      <c r="A167" s="186" t="s">
        <v>151</v>
      </c>
      <c r="B167" s="187" t="s">
        <v>26</v>
      </c>
      <c r="C167" s="188">
        <f t="shared" si="42"/>
        <v>62629</v>
      </c>
      <c r="D167" s="189">
        <f t="shared" si="30"/>
        <v>44827</v>
      </c>
      <c r="E167" s="189">
        <f t="shared" si="31"/>
        <v>27600</v>
      </c>
      <c r="F167" s="189">
        <f t="shared" si="32"/>
        <v>9936</v>
      </c>
      <c r="G167" s="190">
        <f t="shared" si="33"/>
        <v>144992</v>
      </c>
      <c r="H167" s="188">
        <f t="shared" si="43"/>
        <v>59938</v>
      </c>
      <c r="I167" s="189">
        <f t="shared" si="34"/>
        <v>44827</v>
      </c>
      <c r="J167" s="189">
        <f t="shared" si="35"/>
        <v>27600</v>
      </c>
      <c r="K167" s="189">
        <f t="shared" si="36"/>
        <v>9936</v>
      </c>
      <c r="L167" s="190">
        <f t="shared" si="37"/>
        <v>142301</v>
      </c>
      <c r="M167" s="188">
        <v>31694</v>
      </c>
      <c r="N167" s="189">
        <v>19734</v>
      </c>
      <c r="O167" s="189">
        <v>7176</v>
      </c>
      <c r="P167" s="189">
        <v>2691</v>
      </c>
      <c r="Q167" s="190">
        <v>61295</v>
      </c>
      <c r="R167" s="188">
        <v>13754</v>
      </c>
      <c r="S167" s="189">
        <v>16744</v>
      </c>
      <c r="T167" s="189">
        <v>16146</v>
      </c>
      <c r="U167" s="189">
        <v>3588</v>
      </c>
      <c r="V167" s="190">
        <v>50232</v>
      </c>
      <c r="W167" s="188">
        <v>9568</v>
      </c>
      <c r="X167" s="189">
        <v>4784</v>
      </c>
      <c r="Y167" s="189"/>
      <c r="Z167" s="189"/>
      <c r="AA167" s="190">
        <v>14352</v>
      </c>
      <c r="AB167" s="188">
        <v>1242</v>
      </c>
      <c r="AC167" s="189">
        <v>690</v>
      </c>
      <c r="AD167" s="189">
        <v>966</v>
      </c>
      <c r="AE167" s="189"/>
      <c r="AF167" s="190">
        <v>2898</v>
      </c>
      <c r="AG167" s="188"/>
      <c r="AH167" s="189"/>
      <c r="AI167" s="189"/>
      <c r="AJ167" s="189"/>
      <c r="AK167" s="190"/>
      <c r="AL167" s="188">
        <v>1196</v>
      </c>
      <c r="AM167" s="189">
        <v>1196</v>
      </c>
      <c r="AN167" s="189">
        <v>1196</v>
      </c>
      <c r="AO167" s="189">
        <v>1495</v>
      </c>
      <c r="AP167" s="190">
        <v>5083</v>
      </c>
      <c r="AQ167" s="188">
        <v>1794</v>
      </c>
      <c r="AR167" s="189">
        <v>1196</v>
      </c>
      <c r="AS167" s="189">
        <v>1495</v>
      </c>
      <c r="AT167" s="189">
        <v>2093</v>
      </c>
      <c r="AU167" s="190">
        <v>6578</v>
      </c>
      <c r="AV167" s="188">
        <v>690</v>
      </c>
      <c r="AW167" s="189">
        <v>483</v>
      </c>
      <c r="AX167" s="189">
        <v>621</v>
      </c>
      <c r="AY167" s="189">
        <v>69</v>
      </c>
      <c r="AZ167" s="190">
        <v>1863</v>
      </c>
      <c r="BA167" s="188"/>
      <c r="BB167" s="189"/>
      <c r="BC167" s="189"/>
      <c r="BD167" s="189"/>
      <c r="BE167" s="190"/>
      <c r="BF167" s="188">
        <f t="shared" si="44"/>
        <v>2691</v>
      </c>
      <c r="BG167" s="189">
        <f t="shared" si="38"/>
        <v>0</v>
      </c>
      <c r="BH167" s="189">
        <f t="shared" si="39"/>
        <v>0</v>
      </c>
      <c r="BI167" s="189">
        <f t="shared" si="40"/>
        <v>0</v>
      </c>
      <c r="BJ167" s="190">
        <f t="shared" si="41"/>
        <v>2691</v>
      </c>
      <c r="BK167" s="188"/>
      <c r="BL167" s="189"/>
      <c r="BM167" s="189"/>
      <c r="BN167" s="189"/>
      <c r="BO167" s="190"/>
      <c r="BP167" s="188">
        <v>2691</v>
      </c>
      <c r="BQ167" s="189"/>
      <c r="BR167" s="189"/>
      <c r="BS167" s="189"/>
      <c r="BT167" s="190">
        <v>2691</v>
      </c>
      <c r="BU167" s="188"/>
      <c r="BV167" s="189"/>
      <c r="BW167" s="189"/>
      <c r="BX167" s="189"/>
      <c r="BY167" s="190"/>
      <c r="BZ167" s="188"/>
      <c r="CA167" s="189"/>
      <c r="CB167" s="189"/>
      <c r="CC167" s="189"/>
      <c r="CD167" s="190"/>
      <c r="CE167" s="188"/>
      <c r="CF167" s="189"/>
      <c r="CG167" s="189"/>
      <c r="CH167" s="189"/>
      <c r="CI167" s="190"/>
    </row>
    <row r="168" s="163" customFormat="1" ht="14.6" spans="1:87">
      <c r="A168" s="191" t="s">
        <v>152</v>
      </c>
      <c r="B168" s="192"/>
      <c r="C168" s="193">
        <f t="shared" si="42"/>
        <v>62629</v>
      </c>
      <c r="D168" s="194">
        <f t="shared" si="30"/>
        <v>44827</v>
      </c>
      <c r="E168" s="194">
        <f t="shared" si="31"/>
        <v>27600</v>
      </c>
      <c r="F168" s="194">
        <f t="shared" si="32"/>
        <v>9936</v>
      </c>
      <c r="G168" s="195">
        <f t="shared" si="33"/>
        <v>144992</v>
      </c>
      <c r="H168" s="193">
        <f t="shared" si="43"/>
        <v>59938</v>
      </c>
      <c r="I168" s="194">
        <f t="shared" si="34"/>
        <v>44827</v>
      </c>
      <c r="J168" s="194">
        <f t="shared" si="35"/>
        <v>27600</v>
      </c>
      <c r="K168" s="194">
        <f t="shared" si="36"/>
        <v>9936</v>
      </c>
      <c r="L168" s="195">
        <f t="shared" si="37"/>
        <v>142301</v>
      </c>
      <c r="M168" s="193">
        <v>31694</v>
      </c>
      <c r="N168" s="194">
        <v>19734</v>
      </c>
      <c r="O168" s="194">
        <v>7176</v>
      </c>
      <c r="P168" s="194">
        <v>2691</v>
      </c>
      <c r="Q168" s="195">
        <v>61295</v>
      </c>
      <c r="R168" s="193">
        <v>13754</v>
      </c>
      <c r="S168" s="194">
        <v>16744</v>
      </c>
      <c r="T168" s="194">
        <v>16146</v>
      </c>
      <c r="U168" s="194">
        <v>3588</v>
      </c>
      <c r="V168" s="195">
        <v>50232</v>
      </c>
      <c r="W168" s="193">
        <v>9568</v>
      </c>
      <c r="X168" s="194">
        <v>4784</v>
      </c>
      <c r="Y168" s="194"/>
      <c r="Z168" s="194"/>
      <c r="AA168" s="195">
        <v>14352</v>
      </c>
      <c r="AB168" s="193">
        <v>1242</v>
      </c>
      <c r="AC168" s="194">
        <v>690</v>
      </c>
      <c r="AD168" s="194">
        <v>966</v>
      </c>
      <c r="AE168" s="194"/>
      <c r="AF168" s="195">
        <v>2898</v>
      </c>
      <c r="AG168" s="193"/>
      <c r="AH168" s="194"/>
      <c r="AI168" s="194"/>
      <c r="AJ168" s="194"/>
      <c r="AK168" s="195"/>
      <c r="AL168" s="193">
        <v>1196</v>
      </c>
      <c r="AM168" s="194">
        <v>1196</v>
      </c>
      <c r="AN168" s="194">
        <v>1196</v>
      </c>
      <c r="AO168" s="194">
        <v>1495</v>
      </c>
      <c r="AP168" s="195">
        <v>5083</v>
      </c>
      <c r="AQ168" s="193">
        <v>1794</v>
      </c>
      <c r="AR168" s="194">
        <v>1196</v>
      </c>
      <c r="AS168" s="194">
        <v>1495</v>
      </c>
      <c r="AT168" s="194">
        <v>2093</v>
      </c>
      <c r="AU168" s="195">
        <v>6578</v>
      </c>
      <c r="AV168" s="193">
        <v>690</v>
      </c>
      <c r="AW168" s="194">
        <v>483</v>
      </c>
      <c r="AX168" s="194">
        <v>621</v>
      </c>
      <c r="AY168" s="194">
        <v>69</v>
      </c>
      <c r="AZ168" s="195">
        <v>1863</v>
      </c>
      <c r="BA168" s="193"/>
      <c r="BB168" s="194"/>
      <c r="BC168" s="194"/>
      <c r="BD168" s="194"/>
      <c r="BE168" s="195"/>
      <c r="BF168" s="193">
        <f t="shared" si="44"/>
        <v>2691</v>
      </c>
      <c r="BG168" s="194">
        <f t="shared" si="38"/>
        <v>0</v>
      </c>
      <c r="BH168" s="194">
        <f t="shared" si="39"/>
        <v>0</v>
      </c>
      <c r="BI168" s="194">
        <f t="shared" si="40"/>
        <v>0</v>
      </c>
      <c r="BJ168" s="195">
        <f t="shared" si="41"/>
        <v>2691</v>
      </c>
      <c r="BK168" s="193"/>
      <c r="BL168" s="194"/>
      <c r="BM168" s="194"/>
      <c r="BN168" s="194"/>
      <c r="BO168" s="195"/>
      <c r="BP168" s="193">
        <v>2691</v>
      </c>
      <c r="BQ168" s="194"/>
      <c r="BR168" s="194"/>
      <c r="BS168" s="194"/>
      <c r="BT168" s="195">
        <v>2691</v>
      </c>
      <c r="BU168" s="193"/>
      <c r="BV168" s="194"/>
      <c r="BW168" s="194"/>
      <c r="BX168" s="194"/>
      <c r="BY168" s="195"/>
      <c r="BZ168" s="193"/>
      <c r="CA168" s="194"/>
      <c r="CB168" s="194"/>
      <c r="CC168" s="194"/>
      <c r="CD168" s="195"/>
      <c r="CE168" s="193"/>
      <c r="CF168" s="194"/>
      <c r="CG168" s="194"/>
      <c r="CH168" s="194"/>
      <c r="CI168" s="195"/>
    </row>
    <row r="169" spans="1:87">
      <c r="A169" s="186" t="s">
        <v>153</v>
      </c>
      <c r="B169" s="187" t="s">
        <v>26</v>
      </c>
      <c r="C169" s="188">
        <f t="shared" si="42"/>
        <v>41745</v>
      </c>
      <c r="D169" s="189">
        <f t="shared" si="30"/>
        <v>37605</v>
      </c>
      <c r="E169" s="189">
        <f t="shared" si="31"/>
        <v>39339</v>
      </c>
      <c r="F169" s="189">
        <f t="shared" si="32"/>
        <v>25056</v>
      </c>
      <c r="G169" s="190">
        <f t="shared" si="33"/>
        <v>143745</v>
      </c>
      <c r="H169" s="188">
        <f t="shared" si="43"/>
        <v>38778</v>
      </c>
      <c r="I169" s="189">
        <f t="shared" si="34"/>
        <v>34914</v>
      </c>
      <c r="J169" s="189">
        <f t="shared" si="35"/>
        <v>36234</v>
      </c>
      <c r="K169" s="189">
        <f t="shared" si="36"/>
        <v>22158</v>
      </c>
      <c r="L169" s="190">
        <f t="shared" si="37"/>
        <v>132084</v>
      </c>
      <c r="M169" s="188">
        <v>10488</v>
      </c>
      <c r="N169" s="189">
        <v>11178</v>
      </c>
      <c r="O169" s="189">
        <v>9522</v>
      </c>
      <c r="P169" s="189">
        <v>7797</v>
      </c>
      <c r="Q169" s="190">
        <v>38985</v>
      </c>
      <c r="R169" s="188">
        <v>690</v>
      </c>
      <c r="S169" s="189">
        <v>138</v>
      </c>
      <c r="T169" s="189"/>
      <c r="U169" s="189"/>
      <c r="V169" s="190">
        <v>828</v>
      </c>
      <c r="W169" s="188">
        <v>1380</v>
      </c>
      <c r="X169" s="189">
        <v>1311</v>
      </c>
      <c r="Y169" s="189">
        <v>1311</v>
      </c>
      <c r="Z169" s="189">
        <v>414</v>
      </c>
      <c r="AA169" s="190">
        <v>4416</v>
      </c>
      <c r="AB169" s="188">
        <v>15042</v>
      </c>
      <c r="AC169" s="189">
        <v>14352</v>
      </c>
      <c r="AD169" s="189">
        <v>11868</v>
      </c>
      <c r="AE169" s="189">
        <v>5934</v>
      </c>
      <c r="AF169" s="190">
        <v>47196</v>
      </c>
      <c r="AG169" s="188">
        <v>2829</v>
      </c>
      <c r="AH169" s="189">
        <v>2001</v>
      </c>
      <c r="AI169" s="189">
        <v>1518</v>
      </c>
      <c r="AJ169" s="189"/>
      <c r="AK169" s="190">
        <v>6348</v>
      </c>
      <c r="AL169" s="188">
        <v>207</v>
      </c>
      <c r="AM169" s="189">
        <v>414</v>
      </c>
      <c r="AN169" s="189">
        <v>966</v>
      </c>
      <c r="AO169" s="189">
        <v>1380</v>
      </c>
      <c r="AP169" s="190">
        <v>2967</v>
      </c>
      <c r="AQ169" s="188">
        <v>4347</v>
      </c>
      <c r="AR169" s="189">
        <v>3036</v>
      </c>
      <c r="AS169" s="189">
        <v>4761</v>
      </c>
      <c r="AT169" s="189">
        <v>3864</v>
      </c>
      <c r="AU169" s="190">
        <v>16008</v>
      </c>
      <c r="AV169" s="188">
        <v>1242</v>
      </c>
      <c r="AW169" s="189">
        <v>483</v>
      </c>
      <c r="AX169" s="189">
        <v>759</v>
      </c>
      <c r="AY169" s="189">
        <v>621</v>
      </c>
      <c r="AZ169" s="190">
        <v>3105</v>
      </c>
      <c r="BA169" s="188">
        <v>2553</v>
      </c>
      <c r="BB169" s="189">
        <v>2001</v>
      </c>
      <c r="BC169" s="189">
        <v>5529</v>
      </c>
      <c r="BD169" s="189">
        <v>2148</v>
      </c>
      <c r="BE169" s="190">
        <v>12231</v>
      </c>
      <c r="BF169" s="188">
        <f t="shared" si="44"/>
        <v>2967</v>
      </c>
      <c r="BG169" s="189">
        <f t="shared" si="38"/>
        <v>2691</v>
      </c>
      <c r="BH169" s="189">
        <f t="shared" si="39"/>
        <v>3105</v>
      </c>
      <c r="BI169" s="189">
        <f t="shared" si="40"/>
        <v>2898</v>
      </c>
      <c r="BJ169" s="190">
        <f t="shared" si="41"/>
        <v>11661</v>
      </c>
      <c r="BK169" s="188"/>
      <c r="BL169" s="189"/>
      <c r="BM169" s="189"/>
      <c r="BN169" s="189"/>
      <c r="BO169" s="190"/>
      <c r="BP169" s="188">
        <v>690</v>
      </c>
      <c r="BQ169" s="189">
        <v>1380</v>
      </c>
      <c r="BR169" s="189">
        <v>1311</v>
      </c>
      <c r="BS169" s="189">
        <v>414</v>
      </c>
      <c r="BT169" s="190">
        <v>3795</v>
      </c>
      <c r="BU169" s="188">
        <v>2277</v>
      </c>
      <c r="BV169" s="189">
        <v>1311</v>
      </c>
      <c r="BW169" s="189">
        <v>1587</v>
      </c>
      <c r="BX169" s="189">
        <v>2415</v>
      </c>
      <c r="BY169" s="190">
        <v>7590</v>
      </c>
      <c r="BZ169" s="188"/>
      <c r="CA169" s="189"/>
      <c r="CB169" s="189">
        <v>207</v>
      </c>
      <c r="CC169" s="189">
        <v>69</v>
      </c>
      <c r="CD169" s="190">
        <v>276</v>
      </c>
      <c r="CE169" s="188"/>
      <c r="CF169" s="189"/>
      <c r="CG169" s="189"/>
      <c r="CH169" s="189"/>
      <c r="CI169" s="190"/>
    </row>
    <row r="170" s="163" customFormat="1" ht="14.6" spans="1:87">
      <c r="A170" s="191" t="s">
        <v>154</v>
      </c>
      <c r="B170" s="192"/>
      <c r="C170" s="193">
        <f t="shared" si="42"/>
        <v>41745</v>
      </c>
      <c r="D170" s="194">
        <f t="shared" si="30"/>
        <v>37605</v>
      </c>
      <c r="E170" s="194">
        <f t="shared" si="31"/>
        <v>39339</v>
      </c>
      <c r="F170" s="194">
        <f t="shared" si="32"/>
        <v>25056</v>
      </c>
      <c r="G170" s="195">
        <f t="shared" si="33"/>
        <v>143745</v>
      </c>
      <c r="H170" s="193">
        <f t="shared" si="43"/>
        <v>38778</v>
      </c>
      <c r="I170" s="194">
        <f t="shared" si="34"/>
        <v>34914</v>
      </c>
      <c r="J170" s="194">
        <f t="shared" si="35"/>
        <v>36234</v>
      </c>
      <c r="K170" s="194">
        <f t="shared" si="36"/>
        <v>22158</v>
      </c>
      <c r="L170" s="195">
        <f t="shared" si="37"/>
        <v>132084</v>
      </c>
      <c r="M170" s="193">
        <v>10488</v>
      </c>
      <c r="N170" s="194">
        <v>11178</v>
      </c>
      <c r="O170" s="194">
        <v>9522</v>
      </c>
      <c r="P170" s="194">
        <v>7797</v>
      </c>
      <c r="Q170" s="195">
        <v>38985</v>
      </c>
      <c r="R170" s="193">
        <v>690</v>
      </c>
      <c r="S170" s="194">
        <v>138</v>
      </c>
      <c r="T170" s="194"/>
      <c r="U170" s="194"/>
      <c r="V170" s="195">
        <v>828</v>
      </c>
      <c r="W170" s="193">
        <v>1380</v>
      </c>
      <c r="X170" s="194">
        <v>1311</v>
      </c>
      <c r="Y170" s="194">
        <v>1311</v>
      </c>
      <c r="Z170" s="194">
        <v>414</v>
      </c>
      <c r="AA170" s="195">
        <v>4416</v>
      </c>
      <c r="AB170" s="193">
        <v>15042</v>
      </c>
      <c r="AC170" s="194">
        <v>14352</v>
      </c>
      <c r="AD170" s="194">
        <v>11868</v>
      </c>
      <c r="AE170" s="194">
        <v>5934</v>
      </c>
      <c r="AF170" s="195">
        <v>47196</v>
      </c>
      <c r="AG170" s="193">
        <v>2829</v>
      </c>
      <c r="AH170" s="194">
        <v>2001</v>
      </c>
      <c r="AI170" s="194">
        <v>1518</v>
      </c>
      <c r="AJ170" s="194"/>
      <c r="AK170" s="195">
        <v>6348</v>
      </c>
      <c r="AL170" s="193">
        <v>207</v>
      </c>
      <c r="AM170" s="194">
        <v>414</v>
      </c>
      <c r="AN170" s="194">
        <v>966</v>
      </c>
      <c r="AO170" s="194">
        <v>1380</v>
      </c>
      <c r="AP170" s="195">
        <v>2967</v>
      </c>
      <c r="AQ170" s="193">
        <v>4347</v>
      </c>
      <c r="AR170" s="194">
        <v>3036</v>
      </c>
      <c r="AS170" s="194">
        <v>4761</v>
      </c>
      <c r="AT170" s="194">
        <v>3864</v>
      </c>
      <c r="AU170" s="195">
        <v>16008</v>
      </c>
      <c r="AV170" s="193">
        <v>1242</v>
      </c>
      <c r="AW170" s="194">
        <v>483</v>
      </c>
      <c r="AX170" s="194">
        <v>759</v>
      </c>
      <c r="AY170" s="194">
        <v>621</v>
      </c>
      <c r="AZ170" s="195">
        <v>3105</v>
      </c>
      <c r="BA170" s="193">
        <v>2553</v>
      </c>
      <c r="BB170" s="194">
        <v>2001</v>
      </c>
      <c r="BC170" s="194">
        <v>5529</v>
      </c>
      <c r="BD170" s="194">
        <v>2148</v>
      </c>
      <c r="BE170" s="195">
        <v>12231</v>
      </c>
      <c r="BF170" s="193">
        <f t="shared" si="44"/>
        <v>2967</v>
      </c>
      <c r="BG170" s="194">
        <f t="shared" si="38"/>
        <v>2691</v>
      </c>
      <c r="BH170" s="194">
        <f t="shared" si="39"/>
        <v>3105</v>
      </c>
      <c r="BI170" s="194">
        <f t="shared" si="40"/>
        <v>2898</v>
      </c>
      <c r="BJ170" s="195">
        <f t="shared" si="41"/>
        <v>11661</v>
      </c>
      <c r="BK170" s="193"/>
      <c r="BL170" s="194"/>
      <c r="BM170" s="194"/>
      <c r="BN170" s="194"/>
      <c r="BO170" s="195"/>
      <c r="BP170" s="193">
        <v>690</v>
      </c>
      <c r="BQ170" s="194">
        <v>1380</v>
      </c>
      <c r="BR170" s="194">
        <v>1311</v>
      </c>
      <c r="BS170" s="194">
        <v>414</v>
      </c>
      <c r="BT170" s="195">
        <v>3795</v>
      </c>
      <c r="BU170" s="193">
        <v>2277</v>
      </c>
      <c r="BV170" s="194">
        <v>1311</v>
      </c>
      <c r="BW170" s="194">
        <v>1587</v>
      </c>
      <c r="BX170" s="194">
        <v>2415</v>
      </c>
      <c r="BY170" s="195">
        <v>7590</v>
      </c>
      <c r="BZ170" s="193"/>
      <c r="CA170" s="194"/>
      <c r="CB170" s="194">
        <v>207</v>
      </c>
      <c r="CC170" s="194">
        <v>69</v>
      </c>
      <c r="CD170" s="195">
        <v>276</v>
      </c>
      <c r="CE170" s="193"/>
      <c r="CF170" s="194"/>
      <c r="CG170" s="194"/>
      <c r="CH170" s="194"/>
      <c r="CI170" s="195"/>
    </row>
    <row r="171" spans="1:87">
      <c r="A171" s="186" t="s">
        <v>155</v>
      </c>
      <c r="B171" s="187" t="s">
        <v>26</v>
      </c>
      <c r="C171" s="188">
        <f t="shared" si="42"/>
        <v>45609</v>
      </c>
      <c r="D171" s="189">
        <f t="shared" si="30"/>
        <v>29118</v>
      </c>
      <c r="E171" s="189">
        <f t="shared" si="31"/>
        <v>36639</v>
      </c>
      <c r="F171" s="189">
        <f t="shared" si="32"/>
        <v>29187</v>
      </c>
      <c r="G171" s="190">
        <f t="shared" si="33"/>
        <v>140553</v>
      </c>
      <c r="H171" s="188">
        <f t="shared" si="43"/>
        <v>45609</v>
      </c>
      <c r="I171" s="189">
        <f t="shared" si="34"/>
        <v>29118</v>
      </c>
      <c r="J171" s="189">
        <f t="shared" si="35"/>
        <v>36639</v>
      </c>
      <c r="K171" s="189">
        <f t="shared" si="36"/>
        <v>29187</v>
      </c>
      <c r="L171" s="190">
        <f t="shared" si="37"/>
        <v>140553</v>
      </c>
      <c r="M171" s="188"/>
      <c r="N171" s="189"/>
      <c r="O171" s="189"/>
      <c r="P171" s="189"/>
      <c r="Q171" s="190"/>
      <c r="R171" s="188"/>
      <c r="S171" s="189"/>
      <c r="T171" s="189"/>
      <c r="U171" s="189"/>
      <c r="V171" s="190"/>
      <c r="W171" s="188"/>
      <c r="X171" s="189"/>
      <c r="Y171" s="189"/>
      <c r="Z171" s="189"/>
      <c r="AA171" s="190"/>
      <c r="AB171" s="188">
        <v>10971</v>
      </c>
      <c r="AC171" s="189">
        <v>2139</v>
      </c>
      <c r="AD171" s="189">
        <v>8556</v>
      </c>
      <c r="AE171" s="189">
        <v>8487</v>
      </c>
      <c r="AF171" s="190">
        <v>30153</v>
      </c>
      <c r="AG171" s="188">
        <v>32361</v>
      </c>
      <c r="AH171" s="189">
        <v>25737</v>
      </c>
      <c r="AI171" s="189">
        <v>26082</v>
      </c>
      <c r="AJ171" s="189">
        <v>19734</v>
      </c>
      <c r="AK171" s="190">
        <v>103914</v>
      </c>
      <c r="AL171" s="188"/>
      <c r="AM171" s="189"/>
      <c r="AN171" s="189"/>
      <c r="AO171" s="189"/>
      <c r="AP171" s="190"/>
      <c r="AQ171" s="188">
        <v>2277</v>
      </c>
      <c r="AR171" s="189">
        <v>1242</v>
      </c>
      <c r="AS171" s="189">
        <v>2001</v>
      </c>
      <c r="AT171" s="189">
        <v>966</v>
      </c>
      <c r="AU171" s="190">
        <v>6486</v>
      </c>
      <c r="AV171" s="188"/>
      <c r="AW171" s="189"/>
      <c r="AX171" s="189"/>
      <c r="AY171" s="189"/>
      <c r="AZ171" s="190"/>
      <c r="BA171" s="188"/>
      <c r="BB171" s="189"/>
      <c r="BC171" s="189"/>
      <c r="BD171" s="189"/>
      <c r="BE171" s="190"/>
      <c r="BF171" s="188">
        <f t="shared" si="44"/>
        <v>0</v>
      </c>
      <c r="BG171" s="189">
        <f t="shared" si="38"/>
        <v>0</v>
      </c>
      <c r="BH171" s="189">
        <f t="shared" si="39"/>
        <v>0</v>
      </c>
      <c r="BI171" s="189">
        <f t="shared" si="40"/>
        <v>0</v>
      </c>
      <c r="BJ171" s="190">
        <f t="shared" si="41"/>
        <v>0</v>
      </c>
      <c r="BK171" s="188"/>
      <c r="BL171" s="189"/>
      <c r="BM171" s="189"/>
      <c r="BN171" s="189"/>
      <c r="BO171" s="190"/>
      <c r="BP171" s="188"/>
      <c r="BQ171" s="189"/>
      <c r="BR171" s="189"/>
      <c r="BS171" s="189"/>
      <c r="BT171" s="190"/>
      <c r="BU171" s="188"/>
      <c r="BV171" s="189"/>
      <c r="BW171" s="189"/>
      <c r="BX171" s="189"/>
      <c r="BY171" s="190"/>
      <c r="BZ171" s="188"/>
      <c r="CA171" s="189"/>
      <c r="CB171" s="189"/>
      <c r="CC171" s="189"/>
      <c r="CD171" s="190"/>
      <c r="CE171" s="188"/>
      <c r="CF171" s="189"/>
      <c r="CG171" s="189"/>
      <c r="CH171" s="189"/>
      <c r="CI171" s="190"/>
    </row>
    <row r="172" s="163" customFormat="1" ht="14.6" spans="1:87">
      <c r="A172" s="191" t="s">
        <v>156</v>
      </c>
      <c r="B172" s="192"/>
      <c r="C172" s="193">
        <f t="shared" si="42"/>
        <v>45609</v>
      </c>
      <c r="D172" s="194">
        <f t="shared" si="30"/>
        <v>29118</v>
      </c>
      <c r="E172" s="194">
        <f t="shared" si="31"/>
        <v>36639</v>
      </c>
      <c r="F172" s="194">
        <f t="shared" si="32"/>
        <v>29187</v>
      </c>
      <c r="G172" s="195">
        <f t="shared" si="33"/>
        <v>140553</v>
      </c>
      <c r="H172" s="193">
        <f t="shared" si="43"/>
        <v>45609</v>
      </c>
      <c r="I172" s="194">
        <f t="shared" si="34"/>
        <v>29118</v>
      </c>
      <c r="J172" s="194">
        <f t="shared" si="35"/>
        <v>36639</v>
      </c>
      <c r="K172" s="194">
        <f t="shared" si="36"/>
        <v>29187</v>
      </c>
      <c r="L172" s="195">
        <f t="shared" si="37"/>
        <v>140553</v>
      </c>
      <c r="M172" s="193"/>
      <c r="N172" s="194"/>
      <c r="O172" s="194"/>
      <c r="P172" s="194"/>
      <c r="Q172" s="195"/>
      <c r="R172" s="193"/>
      <c r="S172" s="194"/>
      <c r="T172" s="194"/>
      <c r="U172" s="194"/>
      <c r="V172" s="195"/>
      <c r="W172" s="193"/>
      <c r="X172" s="194"/>
      <c r="Y172" s="194"/>
      <c r="Z172" s="194"/>
      <c r="AA172" s="195"/>
      <c r="AB172" s="193">
        <v>10971</v>
      </c>
      <c r="AC172" s="194">
        <v>2139</v>
      </c>
      <c r="AD172" s="194">
        <v>8556</v>
      </c>
      <c r="AE172" s="194">
        <v>8487</v>
      </c>
      <c r="AF172" s="195">
        <v>30153</v>
      </c>
      <c r="AG172" s="193">
        <v>32361</v>
      </c>
      <c r="AH172" s="194">
        <v>25737</v>
      </c>
      <c r="AI172" s="194">
        <v>26082</v>
      </c>
      <c r="AJ172" s="194">
        <v>19734</v>
      </c>
      <c r="AK172" s="195">
        <v>103914</v>
      </c>
      <c r="AL172" s="193"/>
      <c r="AM172" s="194"/>
      <c r="AN172" s="194"/>
      <c r="AO172" s="194"/>
      <c r="AP172" s="195"/>
      <c r="AQ172" s="193">
        <v>2277</v>
      </c>
      <c r="AR172" s="194">
        <v>1242</v>
      </c>
      <c r="AS172" s="194">
        <v>2001</v>
      </c>
      <c r="AT172" s="194">
        <v>966</v>
      </c>
      <c r="AU172" s="195">
        <v>6486</v>
      </c>
      <c r="AV172" s="193"/>
      <c r="AW172" s="194"/>
      <c r="AX172" s="194"/>
      <c r="AY172" s="194"/>
      <c r="AZ172" s="195"/>
      <c r="BA172" s="193"/>
      <c r="BB172" s="194"/>
      <c r="BC172" s="194"/>
      <c r="BD172" s="194"/>
      <c r="BE172" s="195"/>
      <c r="BF172" s="193">
        <f t="shared" si="44"/>
        <v>0</v>
      </c>
      <c r="BG172" s="194">
        <f t="shared" si="38"/>
        <v>0</v>
      </c>
      <c r="BH172" s="194">
        <f t="shared" si="39"/>
        <v>0</v>
      </c>
      <c r="BI172" s="194">
        <f t="shared" si="40"/>
        <v>0</v>
      </c>
      <c r="BJ172" s="195">
        <f t="shared" si="41"/>
        <v>0</v>
      </c>
      <c r="BK172" s="193"/>
      <c r="BL172" s="194"/>
      <c r="BM172" s="194"/>
      <c r="BN172" s="194"/>
      <c r="BO172" s="195"/>
      <c r="BP172" s="193"/>
      <c r="BQ172" s="194"/>
      <c r="BR172" s="194"/>
      <c r="BS172" s="194"/>
      <c r="BT172" s="195"/>
      <c r="BU172" s="193"/>
      <c r="BV172" s="194"/>
      <c r="BW172" s="194"/>
      <c r="BX172" s="194"/>
      <c r="BY172" s="195"/>
      <c r="BZ172" s="193"/>
      <c r="CA172" s="194"/>
      <c r="CB172" s="194"/>
      <c r="CC172" s="194"/>
      <c r="CD172" s="195"/>
      <c r="CE172" s="193"/>
      <c r="CF172" s="194"/>
      <c r="CG172" s="194"/>
      <c r="CH172" s="194"/>
      <c r="CI172" s="195"/>
    </row>
    <row r="173" spans="1:87">
      <c r="A173" s="186" t="s">
        <v>157</v>
      </c>
      <c r="B173" s="187" t="s">
        <v>26</v>
      </c>
      <c r="C173" s="188">
        <f t="shared" si="42"/>
        <v>50784</v>
      </c>
      <c r="D173" s="189">
        <f t="shared" si="30"/>
        <v>35880</v>
      </c>
      <c r="E173" s="189">
        <f t="shared" si="31"/>
        <v>27807</v>
      </c>
      <c r="F173" s="189">
        <f t="shared" si="32"/>
        <v>20838</v>
      </c>
      <c r="G173" s="190">
        <f t="shared" si="33"/>
        <v>135309</v>
      </c>
      <c r="H173" s="188">
        <f t="shared" si="43"/>
        <v>47817</v>
      </c>
      <c r="I173" s="189">
        <f t="shared" si="34"/>
        <v>31119</v>
      </c>
      <c r="J173" s="189">
        <f t="shared" si="35"/>
        <v>23322</v>
      </c>
      <c r="K173" s="189">
        <f t="shared" si="36"/>
        <v>16629</v>
      </c>
      <c r="L173" s="190">
        <f t="shared" si="37"/>
        <v>118887</v>
      </c>
      <c r="M173" s="188">
        <v>9867</v>
      </c>
      <c r="N173" s="189">
        <v>6900</v>
      </c>
      <c r="O173" s="189">
        <v>4968</v>
      </c>
      <c r="P173" s="189">
        <v>1242</v>
      </c>
      <c r="Q173" s="190">
        <v>22977</v>
      </c>
      <c r="R173" s="188"/>
      <c r="S173" s="189"/>
      <c r="T173" s="189"/>
      <c r="U173" s="189"/>
      <c r="V173" s="190"/>
      <c r="W173" s="188"/>
      <c r="X173" s="189"/>
      <c r="Y173" s="189"/>
      <c r="Z173" s="189"/>
      <c r="AA173" s="190"/>
      <c r="AB173" s="188">
        <v>23460</v>
      </c>
      <c r="AC173" s="189">
        <v>17595</v>
      </c>
      <c r="AD173" s="189">
        <v>9315</v>
      </c>
      <c r="AE173" s="189">
        <v>7314</v>
      </c>
      <c r="AF173" s="190">
        <v>57684</v>
      </c>
      <c r="AG173" s="188"/>
      <c r="AH173" s="189"/>
      <c r="AI173" s="189"/>
      <c r="AJ173" s="189"/>
      <c r="AK173" s="190"/>
      <c r="AL173" s="188"/>
      <c r="AM173" s="189"/>
      <c r="AN173" s="189"/>
      <c r="AO173" s="189"/>
      <c r="AP173" s="190"/>
      <c r="AQ173" s="188">
        <v>1104</v>
      </c>
      <c r="AR173" s="189">
        <v>1104</v>
      </c>
      <c r="AS173" s="189">
        <v>552</v>
      </c>
      <c r="AT173" s="189"/>
      <c r="AU173" s="190">
        <v>2760</v>
      </c>
      <c r="AV173" s="188">
        <v>5106</v>
      </c>
      <c r="AW173" s="189">
        <v>2760</v>
      </c>
      <c r="AX173" s="189">
        <v>3519</v>
      </c>
      <c r="AY173" s="189">
        <v>2346</v>
      </c>
      <c r="AZ173" s="190">
        <v>13731</v>
      </c>
      <c r="BA173" s="188">
        <v>8280</v>
      </c>
      <c r="BB173" s="189">
        <v>2760</v>
      </c>
      <c r="BC173" s="189">
        <v>4968</v>
      </c>
      <c r="BD173" s="189">
        <v>5727</v>
      </c>
      <c r="BE173" s="190">
        <v>21735</v>
      </c>
      <c r="BF173" s="188">
        <f t="shared" si="44"/>
        <v>2967</v>
      </c>
      <c r="BG173" s="189">
        <f t="shared" si="38"/>
        <v>4761</v>
      </c>
      <c r="BH173" s="189">
        <f t="shared" si="39"/>
        <v>4485</v>
      </c>
      <c r="BI173" s="189">
        <f t="shared" si="40"/>
        <v>4209</v>
      </c>
      <c r="BJ173" s="190">
        <f t="shared" si="41"/>
        <v>16422</v>
      </c>
      <c r="BK173" s="188"/>
      <c r="BL173" s="189"/>
      <c r="BM173" s="189"/>
      <c r="BN173" s="189"/>
      <c r="BO173" s="190"/>
      <c r="BP173" s="188">
        <v>1311</v>
      </c>
      <c r="BQ173" s="189">
        <v>4002</v>
      </c>
      <c r="BR173" s="189">
        <v>4209</v>
      </c>
      <c r="BS173" s="189">
        <v>3105</v>
      </c>
      <c r="BT173" s="190">
        <v>12627</v>
      </c>
      <c r="BU173" s="188">
        <v>1656</v>
      </c>
      <c r="BV173" s="189">
        <v>759</v>
      </c>
      <c r="BW173" s="189">
        <v>276</v>
      </c>
      <c r="BX173" s="189">
        <v>1104</v>
      </c>
      <c r="BY173" s="190">
        <v>3795</v>
      </c>
      <c r="BZ173" s="188"/>
      <c r="CA173" s="189"/>
      <c r="CB173" s="189"/>
      <c r="CC173" s="189"/>
      <c r="CD173" s="190"/>
      <c r="CE173" s="188"/>
      <c r="CF173" s="189"/>
      <c r="CG173" s="189"/>
      <c r="CH173" s="189"/>
      <c r="CI173" s="190"/>
    </row>
    <row r="174" spans="1:87">
      <c r="A174" s="186"/>
      <c r="B174" s="187" t="s">
        <v>27</v>
      </c>
      <c r="C174" s="188">
        <f t="shared" si="42"/>
        <v>1125</v>
      </c>
      <c r="D174" s="189">
        <f t="shared" si="30"/>
        <v>1288</v>
      </c>
      <c r="E174" s="189">
        <f t="shared" si="31"/>
        <v>1549</v>
      </c>
      <c r="F174" s="189">
        <f t="shared" si="32"/>
        <v>575</v>
      </c>
      <c r="G174" s="190">
        <f t="shared" si="33"/>
        <v>4537</v>
      </c>
      <c r="H174" s="188">
        <f t="shared" si="43"/>
        <v>1125</v>
      </c>
      <c r="I174" s="189">
        <f t="shared" si="34"/>
        <v>1288</v>
      </c>
      <c r="J174" s="189">
        <f t="shared" si="35"/>
        <v>1549</v>
      </c>
      <c r="K174" s="189">
        <f t="shared" si="36"/>
        <v>575</v>
      </c>
      <c r="L174" s="190">
        <f t="shared" si="37"/>
        <v>4537</v>
      </c>
      <c r="M174" s="188"/>
      <c r="N174" s="189"/>
      <c r="O174" s="189"/>
      <c r="P174" s="189"/>
      <c r="Q174" s="190"/>
      <c r="R174" s="188"/>
      <c r="S174" s="189"/>
      <c r="T174" s="189"/>
      <c r="U174" s="189"/>
      <c r="V174" s="190"/>
      <c r="W174" s="188"/>
      <c r="X174" s="189"/>
      <c r="Y174" s="189"/>
      <c r="Z174" s="189"/>
      <c r="AA174" s="190"/>
      <c r="AB174" s="188"/>
      <c r="AC174" s="189"/>
      <c r="AD174" s="189"/>
      <c r="AE174" s="189"/>
      <c r="AF174" s="190"/>
      <c r="AG174" s="188"/>
      <c r="AH174" s="189"/>
      <c r="AI174" s="189"/>
      <c r="AJ174" s="189"/>
      <c r="AK174" s="190"/>
      <c r="AL174" s="188"/>
      <c r="AM174" s="189"/>
      <c r="AN174" s="189"/>
      <c r="AO174" s="189"/>
      <c r="AP174" s="190"/>
      <c r="AQ174" s="188"/>
      <c r="AR174" s="189"/>
      <c r="AS174" s="189"/>
      <c r="AT174" s="189"/>
      <c r="AU174" s="190"/>
      <c r="AV174" s="188">
        <v>318</v>
      </c>
      <c r="AW174" s="189">
        <v>795</v>
      </c>
      <c r="AX174" s="189">
        <v>1113</v>
      </c>
      <c r="AY174" s="189">
        <v>159</v>
      </c>
      <c r="AZ174" s="190">
        <v>2385</v>
      </c>
      <c r="BA174" s="188">
        <v>807</v>
      </c>
      <c r="BB174" s="189">
        <v>493</v>
      </c>
      <c r="BC174" s="189">
        <v>436</v>
      </c>
      <c r="BD174" s="189">
        <v>416</v>
      </c>
      <c r="BE174" s="190">
        <v>2152</v>
      </c>
      <c r="BF174" s="188">
        <f t="shared" si="44"/>
        <v>0</v>
      </c>
      <c r="BG174" s="189">
        <f t="shared" si="38"/>
        <v>0</v>
      </c>
      <c r="BH174" s="189">
        <f t="shared" si="39"/>
        <v>0</v>
      </c>
      <c r="BI174" s="189">
        <f t="shared" si="40"/>
        <v>0</v>
      </c>
      <c r="BJ174" s="190">
        <f t="shared" si="41"/>
        <v>0</v>
      </c>
      <c r="BK174" s="188"/>
      <c r="BL174" s="189"/>
      <c r="BM174" s="189"/>
      <c r="BN174" s="189"/>
      <c r="BO174" s="190"/>
      <c r="BP174" s="188"/>
      <c r="BQ174" s="189"/>
      <c r="BR174" s="189"/>
      <c r="BS174" s="189"/>
      <c r="BT174" s="190"/>
      <c r="BU174" s="188"/>
      <c r="BV174" s="189"/>
      <c r="BW174" s="189"/>
      <c r="BX174" s="189"/>
      <c r="BY174" s="190"/>
      <c r="BZ174" s="188"/>
      <c r="CA174" s="189"/>
      <c r="CB174" s="189"/>
      <c r="CC174" s="189"/>
      <c r="CD174" s="190"/>
      <c r="CE174" s="188"/>
      <c r="CF174" s="189"/>
      <c r="CG174" s="189"/>
      <c r="CH174" s="189"/>
      <c r="CI174" s="190"/>
    </row>
    <row r="175" s="163" customFormat="1" ht="14.6" spans="1:87">
      <c r="A175" s="191" t="s">
        <v>158</v>
      </c>
      <c r="B175" s="192"/>
      <c r="C175" s="193">
        <f t="shared" si="42"/>
        <v>51909</v>
      </c>
      <c r="D175" s="194">
        <f t="shared" si="30"/>
        <v>37168</v>
      </c>
      <c r="E175" s="194">
        <f t="shared" si="31"/>
        <v>29356</v>
      </c>
      <c r="F175" s="194">
        <f t="shared" si="32"/>
        <v>21413</v>
      </c>
      <c r="G175" s="195">
        <f t="shared" si="33"/>
        <v>139846</v>
      </c>
      <c r="H175" s="193">
        <f t="shared" si="43"/>
        <v>48942</v>
      </c>
      <c r="I175" s="194">
        <f t="shared" si="34"/>
        <v>32407</v>
      </c>
      <c r="J175" s="194">
        <f t="shared" si="35"/>
        <v>24871</v>
      </c>
      <c r="K175" s="194">
        <f t="shared" si="36"/>
        <v>17204</v>
      </c>
      <c r="L175" s="195">
        <f t="shared" si="37"/>
        <v>123424</v>
      </c>
      <c r="M175" s="193">
        <v>9867</v>
      </c>
      <c r="N175" s="194">
        <v>6900</v>
      </c>
      <c r="O175" s="194">
        <v>4968</v>
      </c>
      <c r="P175" s="194">
        <v>1242</v>
      </c>
      <c r="Q175" s="195">
        <v>22977</v>
      </c>
      <c r="R175" s="193"/>
      <c r="S175" s="194"/>
      <c r="T175" s="194"/>
      <c r="U175" s="194"/>
      <c r="V175" s="195"/>
      <c r="W175" s="193"/>
      <c r="X175" s="194"/>
      <c r="Y175" s="194"/>
      <c r="Z175" s="194"/>
      <c r="AA175" s="195"/>
      <c r="AB175" s="193">
        <v>23460</v>
      </c>
      <c r="AC175" s="194">
        <v>17595</v>
      </c>
      <c r="AD175" s="194">
        <v>9315</v>
      </c>
      <c r="AE175" s="194">
        <v>7314</v>
      </c>
      <c r="AF175" s="195">
        <v>57684</v>
      </c>
      <c r="AG175" s="193"/>
      <c r="AH175" s="194"/>
      <c r="AI175" s="194"/>
      <c r="AJ175" s="194"/>
      <c r="AK175" s="195"/>
      <c r="AL175" s="193"/>
      <c r="AM175" s="194"/>
      <c r="AN175" s="194"/>
      <c r="AO175" s="194"/>
      <c r="AP175" s="195"/>
      <c r="AQ175" s="193">
        <v>1104</v>
      </c>
      <c r="AR175" s="194">
        <v>1104</v>
      </c>
      <c r="AS175" s="194">
        <v>552</v>
      </c>
      <c r="AT175" s="194"/>
      <c r="AU175" s="195">
        <v>2760</v>
      </c>
      <c r="AV175" s="193">
        <v>5424</v>
      </c>
      <c r="AW175" s="194">
        <v>3555</v>
      </c>
      <c r="AX175" s="194">
        <v>4632</v>
      </c>
      <c r="AY175" s="194">
        <v>2505</v>
      </c>
      <c r="AZ175" s="195">
        <v>16116</v>
      </c>
      <c r="BA175" s="193">
        <v>9087</v>
      </c>
      <c r="BB175" s="194">
        <v>3253</v>
      </c>
      <c r="BC175" s="194">
        <v>5404</v>
      </c>
      <c r="BD175" s="194">
        <v>6143</v>
      </c>
      <c r="BE175" s="195">
        <v>23887</v>
      </c>
      <c r="BF175" s="193">
        <f t="shared" si="44"/>
        <v>2967</v>
      </c>
      <c r="BG175" s="194">
        <f t="shared" si="38"/>
        <v>4761</v>
      </c>
      <c r="BH175" s="194">
        <f t="shared" si="39"/>
        <v>4485</v>
      </c>
      <c r="BI175" s="194">
        <f t="shared" si="40"/>
        <v>4209</v>
      </c>
      <c r="BJ175" s="195">
        <f t="shared" si="41"/>
        <v>16422</v>
      </c>
      <c r="BK175" s="193"/>
      <c r="BL175" s="194"/>
      <c r="BM175" s="194"/>
      <c r="BN175" s="194"/>
      <c r="BO175" s="195"/>
      <c r="BP175" s="193">
        <v>1311</v>
      </c>
      <c r="BQ175" s="194">
        <v>4002</v>
      </c>
      <c r="BR175" s="194">
        <v>4209</v>
      </c>
      <c r="BS175" s="194">
        <v>3105</v>
      </c>
      <c r="BT175" s="195">
        <v>12627</v>
      </c>
      <c r="BU175" s="193">
        <v>1656</v>
      </c>
      <c r="BV175" s="194">
        <v>759</v>
      </c>
      <c r="BW175" s="194">
        <v>276</v>
      </c>
      <c r="BX175" s="194">
        <v>1104</v>
      </c>
      <c r="BY175" s="195">
        <v>3795</v>
      </c>
      <c r="BZ175" s="193"/>
      <c r="CA175" s="194"/>
      <c r="CB175" s="194"/>
      <c r="CC175" s="194"/>
      <c r="CD175" s="195"/>
      <c r="CE175" s="193"/>
      <c r="CF175" s="194"/>
      <c r="CG175" s="194"/>
      <c r="CH175" s="194"/>
      <c r="CI175" s="195"/>
    </row>
    <row r="176" spans="1:87">
      <c r="A176" s="186" t="s">
        <v>159</v>
      </c>
      <c r="B176" s="187" t="s">
        <v>26</v>
      </c>
      <c r="C176" s="188">
        <f t="shared" si="42"/>
        <v>42383</v>
      </c>
      <c r="D176" s="189">
        <f t="shared" si="30"/>
        <v>28990</v>
      </c>
      <c r="E176" s="189">
        <f t="shared" si="31"/>
        <v>23149</v>
      </c>
      <c r="F176" s="189">
        <f t="shared" si="32"/>
        <v>20040</v>
      </c>
      <c r="G176" s="190">
        <f t="shared" si="33"/>
        <v>114562</v>
      </c>
      <c r="H176" s="188">
        <f t="shared" si="43"/>
        <v>29934</v>
      </c>
      <c r="I176" s="189">
        <f t="shared" si="34"/>
        <v>28518</v>
      </c>
      <c r="J176" s="189">
        <f t="shared" si="35"/>
        <v>22736</v>
      </c>
      <c r="K176" s="189">
        <f t="shared" si="36"/>
        <v>16972</v>
      </c>
      <c r="L176" s="190">
        <f t="shared" si="37"/>
        <v>98160</v>
      </c>
      <c r="M176" s="188">
        <v>5428</v>
      </c>
      <c r="N176" s="189">
        <v>3068</v>
      </c>
      <c r="O176" s="189">
        <v>3245</v>
      </c>
      <c r="P176" s="189">
        <v>4897</v>
      </c>
      <c r="Q176" s="190">
        <v>16638</v>
      </c>
      <c r="R176" s="188">
        <v>3865</v>
      </c>
      <c r="S176" s="189">
        <v>2411</v>
      </c>
      <c r="T176" s="189">
        <v>2274</v>
      </c>
      <c r="U176" s="189">
        <v>2463</v>
      </c>
      <c r="V176" s="190">
        <v>11013</v>
      </c>
      <c r="W176" s="188"/>
      <c r="X176" s="189"/>
      <c r="Y176" s="189"/>
      <c r="Z176" s="189"/>
      <c r="AA176" s="190"/>
      <c r="AB176" s="188">
        <v>16025</v>
      </c>
      <c r="AC176" s="189">
        <v>11379</v>
      </c>
      <c r="AD176" s="189">
        <v>11126</v>
      </c>
      <c r="AE176" s="189">
        <v>5749</v>
      </c>
      <c r="AF176" s="190">
        <v>44279</v>
      </c>
      <c r="AG176" s="188"/>
      <c r="AH176" s="189"/>
      <c r="AI176" s="189"/>
      <c r="AJ176" s="189"/>
      <c r="AK176" s="190"/>
      <c r="AL176" s="188"/>
      <c r="AM176" s="189"/>
      <c r="AN176" s="189"/>
      <c r="AO176" s="189"/>
      <c r="AP176" s="190"/>
      <c r="AQ176" s="188">
        <v>2020</v>
      </c>
      <c r="AR176" s="189">
        <v>5402</v>
      </c>
      <c r="AS176" s="189">
        <v>1672</v>
      </c>
      <c r="AT176" s="189">
        <v>1789</v>
      </c>
      <c r="AU176" s="190">
        <v>10883</v>
      </c>
      <c r="AV176" s="188">
        <v>1003</v>
      </c>
      <c r="AW176" s="189">
        <v>3417</v>
      </c>
      <c r="AX176" s="189">
        <v>1742</v>
      </c>
      <c r="AY176" s="189">
        <v>649</v>
      </c>
      <c r="AZ176" s="190">
        <v>6811</v>
      </c>
      <c r="BA176" s="188">
        <v>1593</v>
      </c>
      <c r="BB176" s="189">
        <v>2841</v>
      </c>
      <c r="BC176" s="189">
        <v>2677</v>
      </c>
      <c r="BD176" s="189">
        <v>1425</v>
      </c>
      <c r="BE176" s="190">
        <v>8536</v>
      </c>
      <c r="BF176" s="188">
        <f t="shared" si="44"/>
        <v>12449</v>
      </c>
      <c r="BG176" s="189">
        <f t="shared" si="38"/>
        <v>472</v>
      </c>
      <c r="BH176" s="189">
        <f t="shared" si="39"/>
        <v>413</v>
      </c>
      <c r="BI176" s="189">
        <f t="shared" si="40"/>
        <v>3068</v>
      </c>
      <c r="BJ176" s="190">
        <f t="shared" si="41"/>
        <v>16402</v>
      </c>
      <c r="BK176" s="188"/>
      <c r="BL176" s="189"/>
      <c r="BM176" s="189"/>
      <c r="BN176" s="189"/>
      <c r="BO176" s="190"/>
      <c r="BP176" s="188">
        <v>11859</v>
      </c>
      <c r="BQ176" s="189">
        <v>236</v>
      </c>
      <c r="BR176" s="189">
        <v>118</v>
      </c>
      <c r="BS176" s="189">
        <v>177</v>
      </c>
      <c r="BT176" s="190">
        <v>12390</v>
      </c>
      <c r="BU176" s="188">
        <v>590</v>
      </c>
      <c r="BV176" s="189">
        <v>236</v>
      </c>
      <c r="BW176" s="189">
        <v>295</v>
      </c>
      <c r="BX176" s="189">
        <v>2891</v>
      </c>
      <c r="BY176" s="190">
        <v>4012</v>
      </c>
      <c r="BZ176" s="188"/>
      <c r="CA176" s="189"/>
      <c r="CB176" s="189"/>
      <c r="CC176" s="189"/>
      <c r="CD176" s="190"/>
      <c r="CE176" s="188"/>
      <c r="CF176" s="189"/>
      <c r="CG176" s="189"/>
      <c r="CH176" s="189"/>
      <c r="CI176" s="190"/>
    </row>
    <row r="177" spans="1:87">
      <c r="A177" s="186"/>
      <c r="B177" s="187" t="s">
        <v>27</v>
      </c>
      <c r="C177" s="188">
        <f t="shared" si="42"/>
        <v>499</v>
      </c>
      <c r="D177" s="189">
        <f t="shared" si="30"/>
        <v>499</v>
      </c>
      <c r="E177" s="189">
        <f t="shared" si="31"/>
        <v>0</v>
      </c>
      <c r="F177" s="189">
        <f t="shared" si="32"/>
        <v>0</v>
      </c>
      <c r="G177" s="190">
        <f t="shared" si="33"/>
        <v>998</v>
      </c>
      <c r="H177" s="188">
        <f t="shared" si="43"/>
        <v>0</v>
      </c>
      <c r="I177" s="189">
        <f t="shared" si="34"/>
        <v>0</v>
      </c>
      <c r="J177" s="189">
        <f t="shared" si="35"/>
        <v>0</v>
      </c>
      <c r="K177" s="189">
        <f t="shared" si="36"/>
        <v>0</v>
      </c>
      <c r="L177" s="190">
        <f t="shared" si="37"/>
        <v>0</v>
      </c>
      <c r="M177" s="188"/>
      <c r="N177" s="189"/>
      <c r="O177" s="189"/>
      <c r="P177" s="189"/>
      <c r="Q177" s="190"/>
      <c r="R177" s="188"/>
      <c r="S177" s="189"/>
      <c r="T177" s="189"/>
      <c r="U177" s="189"/>
      <c r="V177" s="190"/>
      <c r="W177" s="188"/>
      <c r="X177" s="189"/>
      <c r="Y177" s="189"/>
      <c r="Z177" s="189"/>
      <c r="AA177" s="190"/>
      <c r="AB177" s="188"/>
      <c r="AC177" s="189"/>
      <c r="AD177" s="189"/>
      <c r="AE177" s="189"/>
      <c r="AF177" s="190"/>
      <c r="AG177" s="188"/>
      <c r="AH177" s="189"/>
      <c r="AI177" s="189"/>
      <c r="AJ177" s="189"/>
      <c r="AK177" s="190"/>
      <c r="AL177" s="188"/>
      <c r="AM177" s="189"/>
      <c r="AN177" s="189"/>
      <c r="AO177" s="189"/>
      <c r="AP177" s="190"/>
      <c r="AQ177" s="188"/>
      <c r="AR177" s="189"/>
      <c r="AS177" s="189"/>
      <c r="AT177" s="189"/>
      <c r="AU177" s="190"/>
      <c r="AV177" s="188"/>
      <c r="AW177" s="189"/>
      <c r="AX177" s="189"/>
      <c r="AY177" s="189"/>
      <c r="AZ177" s="190"/>
      <c r="BA177" s="188"/>
      <c r="BB177" s="189"/>
      <c r="BC177" s="189"/>
      <c r="BD177" s="189"/>
      <c r="BE177" s="190"/>
      <c r="BF177" s="188">
        <f t="shared" si="44"/>
        <v>499</v>
      </c>
      <c r="BG177" s="189">
        <f t="shared" si="38"/>
        <v>499</v>
      </c>
      <c r="BH177" s="189">
        <f t="shared" si="39"/>
        <v>0</v>
      </c>
      <c r="BI177" s="189">
        <f t="shared" si="40"/>
        <v>0</v>
      </c>
      <c r="BJ177" s="190">
        <f t="shared" si="41"/>
        <v>998</v>
      </c>
      <c r="BK177" s="188"/>
      <c r="BL177" s="189"/>
      <c r="BM177" s="189"/>
      <c r="BN177" s="189"/>
      <c r="BO177" s="190"/>
      <c r="BP177" s="188"/>
      <c r="BQ177" s="189"/>
      <c r="BR177" s="189"/>
      <c r="BS177" s="189"/>
      <c r="BT177" s="190"/>
      <c r="BU177" s="188"/>
      <c r="BV177" s="189"/>
      <c r="BW177" s="189"/>
      <c r="BX177" s="189"/>
      <c r="BY177" s="190"/>
      <c r="BZ177" s="188">
        <v>499</v>
      </c>
      <c r="CA177" s="189">
        <v>499</v>
      </c>
      <c r="CB177" s="189"/>
      <c r="CC177" s="189"/>
      <c r="CD177" s="190">
        <v>998</v>
      </c>
      <c r="CE177" s="188"/>
      <c r="CF177" s="189"/>
      <c r="CG177" s="189"/>
      <c r="CH177" s="189"/>
      <c r="CI177" s="190"/>
    </row>
    <row r="178" s="163" customFormat="1" ht="14.6" spans="1:87">
      <c r="A178" s="191" t="s">
        <v>160</v>
      </c>
      <c r="B178" s="192"/>
      <c r="C178" s="193">
        <f t="shared" si="42"/>
        <v>42882</v>
      </c>
      <c r="D178" s="194">
        <f t="shared" si="30"/>
        <v>29489</v>
      </c>
      <c r="E178" s="194">
        <f t="shared" si="31"/>
        <v>23149</v>
      </c>
      <c r="F178" s="194">
        <f t="shared" si="32"/>
        <v>20040</v>
      </c>
      <c r="G178" s="195">
        <f t="shared" si="33"/>
        <v>115560</v>
      </c>
      <c r="H178" s="193">
        <f t="shared" si="43"/>
        <v>29934</v>
      </c>
      <c r="I178" s="194">
        <f t="shared" si="34"/>
        <v>28518</v>
      </c>
      <c r="J178" s="194">
        <f t="shared" si="35"/>
        <v>22736</v>
      </c>
      <c r="K178" s="194">
        <f t="shared" si="36"/>
        <v>16972</v>
      </c>
      <c r="L178" s="195">
        <f t="shared" si="37"/>
        <v>98160</v>
      </c>
      <c r="M178" s="193">
        <v>5428</v>
      </c>
      <c r="N178" s="194">
        <v>3068</v>
      </c>
      <c r="O178" s="194">
        <v>3245</v>
      </c>
      <c r="P178" s="194">
        <v>4897</v>
      </c>
      <c r="Q178" s="195">
        <v>16638</v>
      </c>
      <c r="R178" s="193">
        <v>3865</v>
      </c>
      <c r="S178" s="194">
        <v>2411</v>
      </c>
      <c r="T178" s="194">
        <v>2274</v>
      </c>
      <c r="U178" s="194">
        <v>2463</v>
      </c>
      <c r="V178" s="195">
        <v>11013</v>
      </c>
      <c r="W178" s="193"/>
      <c r="X178" s="194"/>
      <c r="Y178" s="194"/>
      <c r="Z178" s="194"/>
      <c r="AA178" s="195"/>
      <c r="AB178" s="193">
        <v>16025</v>
      </c>
      <c r="AC178" s="194">
        <v>11379</v>
      </c>
      <c r="AD178" s="194">
        <v>11126</v>
      </c>
      <c r="AE178" s="194">
        <v>5749</v>
      </c>
      <c r="AF178" s="195">
        <v>44279</v>
      </c>
      <c r="AG178" s="193"/>
      <c r="AH178" s="194"/>
      <c r="AI178" s="194"/>
      <c r="AJ178" s="194"/>
      <c r="AK178" s="195"/>
      <c r="AL178" s="193"/>
      <c r="AM178" s="194"/>
      <c r="AN178" s="194"/>
      <c r="AO178" s="194"/>
      <c r="AP178" s="195"/>
      <c r="AQ178" s="193">
        <v>2020</v>
      </c>
      <c r="AR178" s="194">
        <v>5402</v>
      </c>
      <c r="AS178" s="194">
        <v>1672</v>
      </c>
      <c r="AT178" s="194">
        <v>1789</v>
      </c>
      <c r="AU178" s="195">
        <v>10883</v>
      </c>
      <c r="AV178" s="193">
        <v>1003</v>
      </c>
      <c r="AW178" s="194">
        <v>3417</v>
      </c>
      <c r="AX178" s="194">
        <v>1742</v>
      </c>
      <c r="AY178" s="194">
        <v>649</v>
      </c>
      <c r="AZ178" s="195">
        <v>6811</v>
      </c>
      <c r="BA178" s="193">
        <v>1593</v>
      </c>
      <c r="BB178" s="194">
        <v>2841</v>
      </c>
      <c r="BC178" s="194">
        <v>2677</v>
      </c>
      <c r="BD178" s="194">
        <v>1425</v>
      </c>
      <c r="BE178" s="195">
        <v>8536</v>
      </c>
      <c r="BF178" s="193">
        <f t="shared" si="44"/>
        <v>12948</v>
      </c>
      <c r="BG178" s="194">
        <f t="shared" si="38"/>
        <v>971</v>
      </c>
      <c r="BH178" s="194">
        <f t="shared" si="39"/>
        <v>413</v>
      </c>
      <c r="BI178" s="194">
        <f t="shared" si="40"/>
        <v>3068</v>
      </c>
      <c r="BJ178" s="195">
        <f t="shared" si="41"/>
        <v>17400</v>
      </c>
      <c r="BK178" s="193"/>
      <c r="BL178" s="194"/>
      <c r="BM178" s="194"/>
      <c r="BN178" s="194"/>
      <c r="BO178" s="195"/>
      <c r="BP178" s="193">
        <v>11859</v>
      </c>
      <c r="BQ178" s="194">
        <v>236</v>
      </c>
      <c r="BR178" s="194">
        <v>118</v>
      </c>
      <c r="BS178" s="194">
        <v>177</v>
      </c>
      <c r="BT178" s="195">
        <v>12390</v>
      </c>
      <c r="BU178" s="193">
        <v>590</v>
      </c>
      <c r="BV178" s="194">
        <v>236</v>
      </c>
      <c r="BW178" s="194">
        <v>295</v>
      </c>
      <c r="BX178" s="194">
        <v>2891</v>
      </c>
      <c r="BY178" s="195">
        <v>4012</v>
      </c>
      <c r="BZ178" s="193">
        <v>499</v>
      </c>
      <c r="CA178" s="194">
        <v>499</v>
      </c>
      <c r="CB178" s="194"/>
      <c r="CC178" s="194"/>
      <c r="CD178" s="195">
        <v>998</v>
      </c>
      <c r="CE178" s="193"/>
      <c r="CF178" s="194"/>
      <c r="CG178" s="194"/>
      <c r="CH178" s="194"/>
      <c r="CI178" s="195"/>
    </row>
    <row r="179" spans="1:87">
      <c r="A179" s="186" t="s">
        <v>161</v>
      </c>
      <c r="B179" s="187" t="s">
        <v>26</v>
      </c>
      <c r="C179" s="188">
        <f t="shared" si="42"/>
        <v>31236</v>
      </c>
      <c r="D179" s="189">
        <f t="shared" si="30"/>
        <v>25771</v>
      </c>
      <c r="E179" s="189">
        <f t="shared" si="31"/>
        <v>20895</v>
      </c>
      <c r="F179" s="189">
        <f t="shared" si="32"/>
        <v>18154</v>
      </c>
      <c r="G179" s="190">
        <f t="shared" si="33"/>
        <v>96056</v>
      </c>
      <c r="H179" s="188">
        <f t="shared" si="43"/>
        <v>23301</v>
      </c>
      <c r="I179" s="189">
        <f t="shared" si="34"/>
        <v>25771</v>
      </c>
      <c r="J179" s="189">
        <f t="shared" si="35"/>
        <v>20895</v>
      </c>
      <c r="K179" s="189">
        <f t="shared" si="36"/>
        <v>17947</v>
      </c>
      <c r="L179" s="190">
        <f t="shared" si="37"/>
        <v>87914</v>
      </c>
      <c r="M179" s="188">
        <v>414</v>
      </c>
      <c r="N179" s="189">
        <v>621</v>
      </c>
      <c r="O179" s="189">
        <v>345</v>
      </c>
      <c r="P179" s="189">
        <v>759</v>
      </c>
      <c r="Q179" s="190">
        <v>2139</v>
      </c>
      <c r="R179" s="188">
        <v>2164</v>
      </c>
      <c r="S179" s="189">
        <v>1121</v>
      </c>
      <c r="T179" s="189">
        <v>2743</v>
      </c>
      <c r="U179" s="189">
        <v>1224</v>
      </c>
      <c r="V179" s="190">
        <v>7252</v>
      </c>
      <c r="W179" s="188"/>
      <c r="X179" s="189"/>
      <c r="Y179" s="189"/>
      <c r="Z179" s="189"/>
      <c r="AA179" s="190"/>
      <c r="AB179" s="188">
        <v>13471</v>
      </c>
      <c r="AC179" s="189">
        <v>15318</v>
      </c>
      <c r="AD179" s="189">
        <v>10257</v>
      </c>
      <c r="AE179" s="189">
        <v>8227</v>
      </c>
      <c r="AF179" s="190">
        <v>47273</v>
      </c>
      <c r="AG179" s="188"/>
      <c r="AH179" s="189"/>
      <c r="AI179" s="189"/>
      <c r="AJ179" s="189"/>
      <c r="AK179" s="190"/>
      <c r="AL179" s="188">
        <v>2001</v>
      </c>
      <c r="AM179" s="189">
        <v>1311</v>
      </c>
      <c r="AN179" s="189">
        <v>1311</v>
      </c>
      <c r="AO179" s="189">
        <v>1656</v>
      </c>
      <c r="AP179" s="190">
        <v>6279</v>
      </c>
      <c r="AQ179" s="188">
        <v>3871</v>
      </c>
      <c r="AR179" s="189">
        <v>4433</v>
      </c>
      <c r="AS179" s="189">
        <v>2168</v>
      </c>
      <c r="AT179" s="189">
        <v>3045</v>
      </c>
      <c r="AU179" s="190">
        <v>13517</v>
      </c>
      <c r="AV179" s="188">
        <v>345</v>
      </c>
      <c r="AW179" s="189">
        <v>2277</v>
      </c>
      <c r="AX179" s="189">
        <v>3105</v>
      </c>
      <c r="AY179" s="189">
        <v>2484</v>
      </c>
      <c r="AZ179" s="190">
        <v>8211</v>
      </c>
      <c r="BA179" s="188">
        <v>1035</v>
      </c>
      <c r="BB179" s="189">
        <v>690</v>
      </c>
      <c r="BC179" s="189">
        <v>966</v>
      </c>
      <c r="BD179" s="189">
        <v>552</v>
      </c>
      <c r="BE179" s="190">
        <v>3243</v>
      </c>
      <c r="BF179" s="188">
        <f t="shared" si="44"/>
        <v>7935</v>
      </c>
      <c r="BG179" s="189">
        <f t="shared" si="38"/>
        <v>0</v>
      </c>
      <c r="BH179" s="189">
        <f t="shared" si="39"/>
        <v>0</v>
      </c>
      <c r="BI179" s="189">
        <f t="shared" si="40"/>
        <v>207</v>
      </c>
      <c r="BJ179" s="190">
        <f t="shared" si="41"/>
        <v>8142</v>
      </c>
      <c r="BK179" s="188">
        <v>4968</v>
      </c>
      <c r="BL179" s="189"/>
      <c r="BM179" s="189"/>
      <c r="BN179" s="189"/>
      <c r="BO179" s="190">
        <v>4968</v>
      </c>
      <c r="BP179" s="188">
        <v>2967</v>
      </c>
      <c r="BQ179" s="189"/>
      <c r="BR179" s="189"/>
      <c r="BS179" s="189"/>
      <c r="BT179" s="190">
        <v>2967</v>
      </c>
      <c r="BU179" s="188"/>
      <c r="BV179" s="189"/>
      <c r="BW179" s="189"/>
      <c r="BX179" s="189">
        <v>207</v>
      </c>
      <c r="BY179" s="190">
        <v>207</v>
      </c>
      <c r="BZ179" s="188"/>
      <c r="CA179" s="189"/>
      <c r="CB179" s="189"/>
      <c r="CC179" s="189"/>
      <c r="CD179" s="190"/>
      <c r="CE179" s="188"/>
      <c r="CF179" s="189"/>
      <c r="CG179" s="189"/>
      <c r="CH179" s="189"/>
      <c r="CI179" s="190"/>
    </row>
    <row r="180" spans="1:87">
      <c r="A180" s="186"/>
      <c r="B180" s="187" t="s">
        <v>27</v>
      </c>
      <c r="C180" s="188">
        <f t="shared" si="42"/>
        <v>79</v>
      </c>
      <c r="D180" s="189">
        <f t="shared" si="30"/>
        <v>0</v>
      </c>
      <c r="E180" s="189">
        <f t="shared" si="31"/>
        <v>158</v>
      </c>
      <c r="F180" s="189">
        <f t="shared" si="32"/>
        <v>0</v>
      </c>
      <c r="G180" s="190">
        <f t="shared" si="33"/>
        <v>237</v>
      </c>
      <c r="H180" s="188">
        <f t="shared" si="43"/>
        <v>79</v>
      </c>
      <c r="I180" s="189">
        <f t="shared" si="34"/>
        <v>0</v>
      </c>
      <c r="J180" s="189">
        <f t="shared" si="35"/>
        <v>158</v>
      </c>
      <c r="K180" s="189">
        <f t="shared" si="36"/>
        <v>0</v>
      </c>
      <c r="L180" s="190">
        <f t="shared" si="37"/>
        <v>237</v>
      </c>
      <c r="M180" s="188"/>
      <c r="N180" s="189"/>
      <c r="O180" s="189"/>
      <c r="P180" s="189"/>
      <c r="Q180" s="190"/>
      <c r="R180" s="188"/>
      <c r="S180" s="189"/>
      <c r="T180" s="189"/>
      <c r="U180" s="189"/>
      <c r="V180" s="190"/>
      <c r="W180" s="188"/>
      <c r="X180" s="189"/>
      <c r="Y180" s="189"/>
      <c r="Z180" s="189"/>
      <c r="AA180" s="190"/>
      <c r="AB180" s="188">
        <v>79</v>
      </c>
      <c r="AC180" s="189"/>
      <c r="AD180" s="189">
        <v>158</v>
      </c>
      <c r="AE180" s="189"/>
      <c r="AF180" s="190">
        <v>237</v>
      </c>
      <c r="AG180" s="188"/>
      <c r="AH180" s="189"/>
      <c r="AI180" s="189"/>
      <c r="AJ180" s="189"/>
      <c r="AK180" s="190"/>
      <c r="AL180" s="188"/>
      <c r="AM180" s="189"/>
      <c r="AN180" s="189"/>
      <c r="AO180" s="189"/>
      <c r="AP180" s="190"/>
      <c r="AQ180" s="188"/>
      <c r="AR180" s="189"/>
      <c r="AS180" s="189"/>
      <c r="AT180" s="189"/>
      <c r="AU180" s="190"/>
      <c r="AV180" s="188"/>
      <c r="AW180" s="189"/>
      <c r="AX180" s="189"/>
      <c r="AY180" s="189"/>
      <c r="AZ180" s="190"/>
      <c r="BA180" s="188"/>
      <c r="BB180" s="189"/>
      <c r="BC180" s="189"/>
      <c r="BD180" s="189"/>
      <c r="BE180" s="190"/>
      <c r="BF180" s="188">
        <f t="shared" si="44"/>
        <v>0</v>
      </c>
      <c r="BG180" s="189">
        <f t="shared" si="38"/>
        <v>0</v>
      </c>
      <c r="BH180" s="189">
        <f t="shared" si="39"/>
        <v>0</v>
      </c>
      <c r="BI180" s="189">
        <f t="shared" si="40"/>
        <v>0</v>
      </c>
      <c r="BJ180" s="190">
        <f t="shared" si="41"/>
        <v>0</v>
      </c>
      <c r="BK180" s="188"/>
      <c r="BL180" s="189"/>
      <c r="BM180" s="189"/>
      <c r="BN180" s="189"/>
      <c r="BO180" s="190"/>
      <c r="BP180" s="188"/>
      <c r="BQ180" s="189"/>
      <c r="BR180" s="189"/>
      <c r="BS180" s="189"/>
      <c r="BT180" s="190"/>
      <c r="BU180" s="188"/>
      <c r="BV180" s="189"/>
      <c r="BW180" s="189"/>
      <c r="BX180" s="189"/>
      <c r="BY180" s="190"/>
      <c r="BZ180" s="188"/>
      <c r="CA180" s="189"/>
      <c r="CB180" s="189"/>
      <c r="CC180" s="189"/>
      <c r="CD180" s="190"/>
      <c r="CE180" s="188"/>
      <c r="CF180" s="189"/>
      <c r="CG180" s="189"/>
      <c r="CH180" s="189"/>
      <c r="CI180" s="190"/>
    </row>
    <row r="181" spans="1:87">
      <c r="A181" s="186"/>
      <c r="B181" s="187" t="s">
        <v>28</v>
      </c>
      <c r="C181" s="188">
        <f t="shared" si="42"/>
        <v>2181</v>
      </c>
      <c r="D181" s="189">
        <f t="shared" si="30"/>
        <v>1447</v>
      </c>
      <c r="E181" s="189">
        <f t="shared" si="31"/>
        <v>654</v>
      </c>
      <c r="F181" s="189">
        <f t="shared" si="32"/>
        <v>790</v>
      </c>
      <c r="G181" s="190">
        <f t="shared" si="33"/>
        <v>5072</v>
      </c>
      <c r="H181" s="188">
        <f t="shared" si="43"/>
        <v>2181</v>
      </c>
      <c r="I181" s="189">
        <f t="shared" si="34"/>
        <v>1447</v>
      </c>
      <c r="J181" s="189">
        <f t="shared" si="35"/>
        <v>654</v>
      </c>
      <c r="K181" s="189">
        <f t="shared" si="36"/>
        <v>631</v>
      </c>
      <c r="L181" s="190">
        <f t="shared" si="37"/>
        <v>4913</v>
      </c>
      <c r="M181" s="188"/>
      <c r="N181" s="189">
        <v>199</v>
      </c>
      <c r="O181" s="189"/>
      <c r="P181" s="189"/>
      <c r="Q181" s="190">
        <v>199</v>
      </c>
      <c r="R181" s="188"/>
      <c r="S181" s="189"/>
      <c r="T181" s="189"/>
      <c r="U181" s="189"/>
      <c r="V181" s="190"/>
      <c r="W181" s="188"/>
      <c r="X181" s="189"/>
      <c r="Y181" s="189"/>
      <c r="Z181" s="189"/>
      <c r="AA181" s="190"/>
      <c r="AB181" s="188">
        <v>935</v>
      </c>
      <c r="AC181" s="189">
        <v>835</v>
      </c>
      <c r="AD181" s="189">
        <v>477</v>
      </c>
      <c r="AE181" s="189">
        <v>159</v>
      </c>
      <c r="AF181" s="190">
        <v>2406</v>
      </c>
      <c r="AG181" s="188"/>
      <c r="AH181" s="189"/>
      <c r="AI181" s="189"/>
      <c r="AJ181" s="189"/>
      <c r="AK181" s="190"/>
      <c r="AL181" s="188"/>
      <c r="AM181" s="189"/>
      <c r="AN181" s="189"/>
      <c r="AO181" s="189"/>
      <c r="AP181" s="190"/>
      <c r="AQ181" s="188">
        <v>299</v>
      </c>
      <c r="AR181" s="189"/>
      <c r="AS181" s="189"/>
      <c r="AT181" s="189"/>
      <c r="AU181" s="190">
        <v>299</v>
      </c>
      <c r="AV181" s="188">
        <v>947</v>
      </c>
      <c r="AW181" s="189">
        <v>413</v>
      </c>
      <c r="AX181" s="189">
        <v>177</v>
      </c>
      <c r="AY181" s="189">
        <v>472</v>
      </c>
      <c r="AZ181" s="190">
        <v>2009</v>
      </c>
      <c r="BA181" s="188"/>
      <c r="BB181" s="189"/>
      <c r="BC181" s="189"/>
      <c r="BD181" s="189"/>
      <c r="BE181" s="190"/>
      <c r="BF181" s="188">
        <f t="shared" si="44"/>
        <v>0</v>
      </c>
      <c r="BG181" s="189">
        <f t="shared" si="38"/>
        <v>0</v>
      </c>
      <c r="BH181" s="189">
        <f t="shared" si="39"/>
        <v>0</v>
      </c>
      <c r="BI181" s="189">
        <f t="shared" si="40"/>
        <v>159</v>
      </c>
      <c r="BJ181" s="190">
        <f t="shared" si="41"/>
        <v>159</v>
      </c>
      <c r="BK181" s="188"/>
      <c r="BL181" s="189"/>
      <c r="BM181" s="189"/>
      <c r="BN181" s="189"/>
      <c r="BO181" s="190"/>
      <c r="BP181" s="188"/>
      <c r="BQ181" s="189"/>
      <c r="BR181" s="189"/>
      <c r="BS181" s="189"/>
      <c r="BT181" s="190"/>
      <c r="BU181" s="188"/>
      <c r="BV181" s="189"/>
      <c r="BW181" s="189"/>
      <c r="BX181" s="189">
        <v>159</v>
      </c>
      <c r="BY181" s="190">
        <v>159</v>
      </c>
      <c r="BZ181" s="188"/>
      <c r="CA181" s="189"/>
      <c r="CB181" s="189"/>
      <c r="CC181" s="189"/>
      <c r="CD181" s="190"/>
      <c r="CE181" s="188"/>
      <c r="CF181" s="189"/>
      <c r="CG181" s="189"/>
      <c r="CH181" s="189"/>
      <c r="CI181" s="190"/>
    </row>
    <row r="182" s="163" customFormat="1" ht="14.6" spans="1:87">
      <c r="A182" s="191" t="s">
        <v>162</v>
      </c>
      <c r="B182" s="192"/>
      <c r="C182" s="193">
        <f t="shared" si="42"/>
        <v>33496</v>
      </c>
      <c r="D182" s="194">
        <f t="shared" si="30"/>
        <v>27218</v>
      </c>
      <c r="E182" s="194">
        <f t="shared" si="31"/>
        <v>21707</v>
      </c>
      <c r="F182" s="194">
        <f t="shared" si="32"/>
        <v>18944</v>
      </c>
      <c r="G182" s="195">
        <f t="shared" si="33"/>
        <v>101365</v>
      </c>
      <c r="H182" s="193">
        <f t="shared" si="43"/>
        <v>25561</v>
      </c>
      <c r="I182" s="194">
        <f t="shared" si="34"/>
        <v>27218</v>
      </c>
      <c r="J182" s="194">
        <f t="shared" si="35"/>
        <v>21707</v>
      </c>
      <c r="K182" s="194">
        <f t="shared" si="36"/>
        <v>18578</v>
      </c>
      <c r="L182" s="195">
        <f t="shared" si="37"/>
        <v>93064</v>
      </c>
      <c r="M182" s="193">
        <v>414</v>
      </c>
      <c r="N182" s="194">
        <v>820</v>
      </c>
      <c r="O182" s="194">
        <v>345</v>
      </c>
      <c r="P182" s="194">
        <v>759</v>
      </c>
      <c r="Q182" s="195">
        <v>2338</v>
      </c>
      <c r="R182" s="193">
        <v>2164</v>
      </c>
      <c r="S182" s="194">
        <v>1121</v>
      </c>
      <c r="T182" s="194">
        <v>2743</v>
      </c>
      <c r="U182" s="194">
        <v>1224</v>
      </c>
      <c r="V182" s="195">
        <v>7252</v>
      </c>
      <c r="W182" s="193"/>
      <c r="X182" s="194"/>
      <c r="Y182" s="194"/>
      <c r="Z182" s="194"/>
      <c r="AA182" s="195"/>
      <c r="AB182" s="193">
        <v>14485</v>
      </c>
      <c r="AC182" s="194">
        <v>16153</v>
      </c>
      <c r="AD182" s="194">
        <v>10892</v>
      </c>
      <c r="AE182" s="194">
        <v>8386</v>
      </c>
      <c r="AF182" s="195">
        <v>49916</v>
      </c>
      <c r="AG182" s="193"/>
      <c r="AH182" s="194"/>
      <c r="AI182" s="194"/>
      <c r="AJ182" s="194"/>
      <c r="AK182" s="195"/>
      <c r="AL182" s="193">
        <v>2001</v>
      </c>
      <c r="AM182" s="194">
        <v>1311</v>
      </c>
      <c r="AN182" s="194">
        <v>1311</v>
      </c>
      <c r="AO182" s="194">
        <v>1656</v>
      </c>
      <c r="AP182" s="195">
        <v>6279</v>
      </c>
      <c r="AQ182" s="193">
        <v>4170</v>
      </c>
      <c r="AR182" s="194">
        <v>4433</v>
      </c>
      <c r="AS182" s="194">
        <v>2168</v>
      </c>
      <c r="AT182" s="194">
        <v>3045</v>
      </c>
      <c r="AU182" s="195">
        <v>13816</v>
      </c>
      <c r="AV182" s="193">
        <v>1292</v>
      </c>
      <c r="AW182" s="194">
        <v>2690</v>
      </c>
      <c r="AX182" s="194">
        <v>3282</v>
      </c>
      <c r="AY182" s="194">
        <v>2956</v>
      </c>
      <c r="AZ182" s="195">
        <v>10220</v>
      </c>
      <c r="BA182" s="193">
        <v>1035</v>
      </c>
      <c r="BB182" s="194">
        <v>690</v>
      </c>
      <c r="BC182" s="194">
        <v>966</v>
      </c>
      <c r="BD182" s="194">
        <v>552</v>
      </c>
      <c r="BE182" s="195">
        <v>3243</v>
      </c>
      <c r="BF182" s="193">
        <f t="shared" si="44"/>
        <v>7935</v>
      </c>
      <c r="BG182" s="194">
        <f t="shared" si="38"/>
        <v>0</v>
      </c>
      <c r="BH182" s="194">
        <f t="shared" si="39"/>
        <v>0</v>
      </c>
      <c r="BI182" s="194">
        <f t="shared" si="40"/>
        <v>366</v>
      </c>
      <c r="BJ182" s="195">
        <f t="shared" si="41"/>
        <v>8301</v>
      </c>
      <c r="BK182" s="193">
        <v>4968</v>
      </c>
      <c r="BL182" s="194"/>
      <c r="BM182" s="194"/>
      <c r="BN182" s="194"/>
      <c r="BO182" s="195">
        <v>4968</v>
      </c>
      <c r="BP182" s="193">
        <v>2967</v>
      </c>
      <c r="BQ182" s="194"/>
      <c r="BR182" s="194"/>
      <c r="BS182" s="194"/>
      <c r="BT182" s="195">
        <v>2967</v>
      </c>
      <c r="BU182" s="193"/>
      <c r="BV182" s="194"/>
      <c r="BW182" s="194"/>
      <c r="BX182" s="194">
        <v>366</v>
      </c>
      <c r="BY182" s="195">
        <v>366</v>
      </c>
      <c r="BZ182" s="193"/>
      <c r="CA182" s="194"/>
      <c r="CB182" s="194"/>
      <c r="CC182" s="194"/>
      <c r="CD182" s="195"/>
      <c r="CE182" s="193"/>
      <c r="CF182" s="194"/>
      <c r="CG182" s="194"/>
      <c r="CH182" s="194"/>
      <c r="CI182" s="195"/>
    </row>
    <row r="183" spans="1:87">
      <c r="A183" s="186" t="s">
        <v>163</v>
      </c>
      <c r="B183" s="187" t="s">
        <v>26</v>
      </c>
      <c r="C183" s="188">
        <f t="shared" si="42"/>
        <v>39399</v>
      </c>
      <c r="D183" s="189">
        <f t="shared" si="30"/>
        <v>18699</v>
      </c>
      <c r="E183" s="189">
        <f t="shared" si="31"/>
        <v>21114</v>
      </c>
      <c r="F183" s="189">
        <f t="shared" si="32"/>
        <v>20838</v>
      </c>
      <c r="G183" s="190">
        <f t="shared" si="33"/>
        <v>100050</v>
      </c>
      <c r="H183" s="188">
        <f t="shared" si="43"/>
        <v>34638</v>
      </c>
      <c r="I183" s="189">
        <f t="shared" si="34"/>
        <v>18354</v>
      </c>
      <c r="J183" s="189">
        <f t="shared" si="35"/>
        <v>19734</v>
      </c>
      <c r="K183" s="189">
        <f t="shared" si="36"/>
        <v>19044</v>
      </c>
      <c r="L183" s="190">
        <f t="shared" si="37"/>
        <v>91770</v>
      </c>
      <c r="M183" s="188">
        <v>4347</v>
      </c>
      <c r="N183" s="189">
        <v>1380</v>
      </c>
      <c r="O183" s="189">
        <v>414</v>
      </c>
      <c r="P183" s="189">
        <v>69</v>
      </c>
      <c r="Q183" s="190">
        <v>6210</v>
      </c>
      <c r="R183" s="188">
        <v>11316</v>
      </c>
      <c r="S183" s="189">
        <v>9039</v>
      </c>
      <c r="T183" s="189">
        <v>13593</v>
      </c>
      <c r="U183" s="189">
        <v>12144</v>
      </c>
      <c r="V183" s="190">
        <v>46092</v>
      </c>
      <c r="W183" s="188"/>
      <c r="X183" s="189"/>
      <c r="Y183" s="189"/>
      <c r="Z183" s="189"/>
      <c r="AA183" s="190"/>
      <c r="AB183" s="188">
        <v>5865</v>
      </c>
      <c r="AC183" s="189">
        <v>4485</v>
      </c>
      <c r="AD183" s="189">
        <v>414</v>
      </c>
      <c r="AE183" s="189">
        <v>138</v>
      </c>
      <c r="AF183" s="190">
        <v>10902</v>
      </c>
      <c r="AG183" s="188"/>
      <c r="AH183" s="189"/>
      <c r="AI183" s="189"/>
      <c r="AJ183" s="189"/>
      <c r="AK183" s="190"/>
      <c r="AL183" s="188">
        <v>1656</v>
      </c>
      <c r="AM183" s="189">
        <v>1311</v>
      </c>
      <c r="AN183" s="189">
        <v>2553</v>
      </c>
      <c r="AO183" s="189">
        <v>1449</v>
      </c>
      <c r="AP183" s="190">
        <v>6969</v>
      </c>
      <c r="AQ183" s="188"/>
      <c r="AR183" s="189"/>
      <c r="AS183" s="189">
        <v>621</v>
      </c>
      <c r="AT183" s="189">
        <v>207</v>
      </c>
      <c r="AU183" s="190">
        <v>828</v>
      </c>
      <c r="AV183" s="188">
        <v>1035</v>
      </c>
      <c r="AW183" s="189">
        <v>1173</v>
      </c>
      <c r="AX183" s="189"/>
      <c r="AY183" s="189"/>
      <c r="AZ183" s="190">
        <v>2208</v>
      </c>
      <c r="BA183" s="188">
        <v>10419</v>
      </c>
      <c r="BB183" s="189">
        <v>966</v>
      </c>
      <c r="BC183" s="189">
        <v>2139</v>
      </c>
      <c r="BD183" s="189">
        <v>5037</v>
      </c>
      <c r="BE183" s="190">
        <v>18561</v>
      </c>
      <c r="BF183" s="188">
        <f t="shared" si="44"/>
        <v>4761</v>
      </c>
      <c r="BG183" s="189">
        <f t="shared" si="38"/>
        <v>345</v>
      </c>
      <c r="BH183" s="189">
        <f t="shared" si="39"/>
        <v>1380</v>
      </c>
      <c r="BI183" s="189">
        <f t="shared" si="40"/>
        <v>1794</v>
      </c>
      <c r="BJ183" s="190">
        <f t="shared" si="41"/>
        <v>8280</v>
      </c>
      <c r="BK183" s="188">
        <v>828</v>
      </c>
      <c r="BL183" s="189"/>
      <c r="BM183" s="189"/>
      <c r="BN183" s="189"/>
      <c r="BO183" s="190">
        <v>828</v>
      </c>
      <c r="BP183" s="188">
        <v>3864</v>
      </c>
      <c r="BQ183" s="189">
        <v>138</v>
      </c>
      <c r="BR183" s="189">
        <v>1242</v>
      </c>
      <c r="BS183" s="189">
        <v>1104</v>
      </c>
      <c r="BT183" s="190">
        <v>6348</v>
      </c>
      <c r="BU183" s="188">
        <v>69</v>
      </c>
      <c r="BV183" s="189">
        <v>207</v>
      </c>
      <c r="BW183" s="189">
        <v>138</v>
      </c>
      <c r="BX183" s="189">
        <v>690</v>
      </c>
      <c r="BY183" s="190">
        <v>1104</v>
      </c>
      <c r="BZ183" s="188"/>
      <c r="CA183" s="189"/>
      <c r="CB183" s="189"/>
      <c r="CC183" s="189"/>
      <c r="CD183" s="190"/>
      <c r="CE183" s="188"/>
      <c r="CF183" s="189"/>
      <c r="CG183" s="189"/>
      <c r="CH183" s="189"/>
      <c r="CI183" s="190"/>
    </row>
    <row r="184" s="163" customFormat="1" ht="14.6" spans="1:87">
      <c r="A184" s="191" t="s">
        <v>164</v>
      </c>
      <c r="B184" s="192"/>
      <c r="C184" s="193">
        <f t="shared" si="42"/>
        <v>39399</v>
      </c>
      <c r="D184" s="194">
        <f t="shared" si="30"/>
        <v>18699</v>
      </c>
      <c r="E184" s="194">
        <f t="shared" si="31"/>
        <v>21114</v>
      </c>
      <c r="F184" s="194">
        <f t="shared" si="32"/>
        <v>20838</v>
      </c>
      <c r="G184" s="195">
        <f t="shared" si="33"/>
        <v>100050</v>
      </c>
      <c r="H184" s="193">
        <f t="shared" si="43"/>
        <v>34638</v>
      </c>
      <c r="I184" s="194">
        <f t="shared" si="34"/>
        <v>18354</v>
      </c>
      <c r="J184" s="194">
        <f t="shared" si="35"/>
        <v>19734</v>
      </c>
      <c r="K184" s="194">
        <f t="shared" si="36"/>
        <v>19044</v>
      </c>
      <c r="L184" s="195">
        <f t="shared" si="37"/>
        <v>91770</v>
      </c>
      <c r="M184" s="193">
        <v>4347</v>
      </c>
      <c r="N184" s="194">
        <v>1380</v>
      </c>
      <c r="O184" s="194">
        <v>414</v>
      </c>
      <c r="P184" s="194">
        <v>69</v>
      </c>
      <c r="Q184" s="195">
        <v>6210</v>
      </c>
      <c r="R184" s="193">
        <v>11316</v>
      </c>
      <c r="S184" s="194">
        <v>9039</v>
      </c>
      <c r="T184" s="194">
        <v>13593</v>
      </c>
      <c r="U184" s="194">
        <v>12144</v>
      </c>
      <c r="V184" s="195">
        <v>46092</v>
      </c>
      <c r="W184" s="193"/>
      <c r="X184" s="194"/>
      <c r="Y184" s="194"/>
      <c r="Z184" s="194"/>
      <c r="AA184" s="195"/>
      <c r="AB184" s="193">
        <v>5865</v>
      </c>
      <c r="AC184" s="194">
        <v>4485</v>
      </c>
      <c r="AD184" s="194">
        <v>414</v>
      </c>
      <c r="AE184" s="194">
        <v>138</v>
      </c>
      <c r="AF184" s="195">
        <v>10902</v>
      </c>
      <c r="AG184" s="193"/>
      <c r="AH184" s="194"/>
      <c r="AI184" s="194"/>
      <c r="AJ184" s="194"/>
      <c r="AK184" s="195"/>
      <c r="AL184" s="193">
        <v>1656</v>
      </c>
      <c r="AM184" s="194">
        <v>1311</v>
      </c>
      <c r="AN184" s="194">
        <v>2553</v>
      </c>
      <c r="AO184" s="194">
        <v>1449</v>
      </c>
      <c r="AP184" s="195">
        <v>6969</v>
      </c>
      <c r="AQ184" s="193"/>
      <c r="AR184" s="194"/>
      <c r="AS184" s="194">
        <v>621</v>
      </c>
      <c r="AT184" s="194">
        <v>207</v>
      </c>
      <c r="AU184" s="195">
        <v>828</v>
      </c>
      <c r="AV184" s="193">
        <v>1035</v>
      </c>
      <c r="AW184" s="194">
        <v>1173</v>
      </c>
      <c r="AX184" s="194"/>
      <c r="AY184" s="194"/>
      <c r="AZ184" s="195">
        <v>2208</v>
      </c>
      <c r="BA184" s="193">
        <v>10419</v>
      </c>
      <c r="BB184" s="194">
        <v>966</v>
      </c>
      <c r="BC184" s="194">
        <v>2139</v>
      </c>
      <c r="BD184" s="194">
        <v>5037</v>
      </c>
      <c r="BE184" s="195">
        <v>18561</v>
      </c>
      <c r="BF184" s="193">
        <f t="shared" si="44"/>
        <v>4761</v>
      </c>
      <c r="BG184" s="194">
        <f t="shared" si="38"/>
        <v>345</v>
      </c>
      <c r="BH184" s="194">
        <f t="shared" si="39"/>
        <v>1380</v>
      </c>
      <c r="BI184" s="194">
        <f t="shared" si="40"/>
        <v>1794</v>
      </c>
      <c r="BJ184" s="195">
        <f t="shared" si="41"/>
        <v>8280</v>
      </c>
      <c r="BK184" s="193">
        <v>828</v>
      </c>
      <c r="BL184" s="194"/>
      <c r="BM184" s="194"/>
      <c r="BN184" s="194"/>
      <c r="BO184" s="195">
        <v>828</v>
      </c>
      <c r="BP184" s="193">
        <v>3864</v>
      </c>
      <c r="BQ184" s="194">
        <v>138</v>
      </c>
      <c r="BR184" s="194">
        <v>1242</v>
      </c>
      <c r="BS184" s="194">
        <v>1104</v>
      </c>
      <c r="BT184" s="195">
        <v>6348</v>
      </c>
      <c r="BU184" s="193">
        <v>69</v>
      </c>
      <c r="BV184" s="194">
        <v>207</v>
      </c>
      <c r="BW184" s="194">
        <v>138</v>
      </c>
      <c r="BX184" s="194">
        <v>690</v>
      </c>
      <c r="BY184" s="195">
        <v>1104</v>
      </c>
      <c r="BZ184" s="193"/>
      <c r="CA184" s="194"/>
      <c r="CB184" s="194"/>
      <c r="CC184" s="194"/>
      <c r="CD184" s="195"/>
      <c r="CE184" s="193"/>
      <c r="CF184" s="194"/>
      <c r="CG184" s="194"/>
      <c r="CH184" s="194"/>
      <c r="CI184" s="195"/>
    </row>
    <row r="185" spans="1:87">
      <c r="A185" s="186" t="s">
        <v>165</v>
      </c>
      <c r="B185" s="187" t="s">
        <v>26</v>
      </c>
      <c r="C185" s="188">
        <f t="shared" si="42"/>
        <v>68379</v>
      </c>
      <c r="D185" s="189">
        <f t="shared" si="30"/>
        <v>25599</v>
      </c>
      <c r="E185" s="189">
        <f t="shared" si="31"/>
        <v>3795</v>
      </c>
      <c r="F185" s="189">
        <f t="shared" si="32"/>
        <v>0</v>
      </c>
      <c r="G185" s="190">
        <f t="shared" si="33"/>
        <v>97773</v>
      </c>
      <c r="H185" s="188">
        <f t="shared" si="43"/>
        <v>68379</v>
      </c>
      <c r="I185" s="189">
        <f t="shared" si="34"/>
        <v>25599</v>
      </c>
      <c r="J185" s="189">
        <f t="shared" si="35"/>
        <v>3795</v>
      </c>
      <c r="K185" s="189">
        <f t="shared" si="36"/>
        <v>0</v>
      </c>
      <c r="L185" s="190">
        <f t="shared" si="37"/>
        <v>97773</v>
      </c>
      <c r="M185" s="188"/>
      <c r="N185" s="189"/>
      <c r="O185" s="189"/>
      <c r="P185" s="189"/>
      <c r="Q185" s="190"/>
      <c r="R185" s="188">
        <v>52509</v>
      </c>
      <c r="S185" s="189">
        <v>12972</v>
      </c>
      <c r="T185" s="189">
        <v>966</v>
      </c>
      <c r="U185" s="189"/>
      <c r="V185" s="190">
        <v>66447</v>
      </c>
      <c r="W185" s="188"/>
      <c r="X185" s="189"/>
      <c r="Y185" s="189"/>
      <c r="Z185" s="189"/>
      <c r="AA185" s="190"/>
      <c r="AB185" s="188"/>
      <c r="AC185" s="189"/>
      <c r="AD185" s="189"/>
      <c r="AE185" s="189"/>
      <c r="AF185" s="190"/>
      <c r="AG185" s="188"/>
      <c r="AH185" s="189"/>
      <c r="AI185" s="189"/>
      <c r="AJ185" s="189"/>
      <c r="AK185" s="190"/>
      <c r="AL185" s="188">
        <v>6279</v>
      </c>
      <c r="AM185" s="189">
        <v>5313</v>
      </c>
      <c r="AN185" s="189">
        <v>2415</v>
      </c>
      <c r="AO185" s="189"/>
      <c r="AP185" s="190">
        <v>14007</v>
      </c>
      <c r="AQ185" s="188">
        <v>9591</v>
      </c>
      <c r="AR185" s="189">
        <v>7314</v>
      </c>
      <c r="AS185" s="189">
        <v>414</v>
      </c>
      <c r="AT185" s="189"/>
      <c r="AU185" s="190">
        <v>17319</v>
      </c>
      <c r="AV185" s="188"/>
      <c r="AW185" s="189"/>
      <c r="AX185" s="189"/>
      <c r="AY185" s="189"/>
      <c r="AZ185" s="190"/>
      <c r="BA185" s="188"/>
      <c r="BB185" s="189"/>
      <c r="BC185" s="189"/>
      <c r="BD185" s="189"/>
      <c r="BE185" s="190"/>
      <c r="BF185" s="188">
        <f t="shared" si="44"/>
        <v>0</v>
      </c>
      <c r="BG185" s="189">
        <f t="shared" si="38"/>
        <v>0</v>
      </c>
      <c r="BH185" s="189">
        <f t="shared" si="39"/>
        <v>0</v>
      </c>
      <c r="BI185" s="189">
        <f t="shared" si="40"/>
        <v>0</v>
      </c>
      <c r="BJ185" s="190">
        <f t="shared" si="41"/>
        <v>0</v>
      </c>
      <c r="BK185" s="188"/>
      <c r="BL185" s="189"/>
      <c r="BM185" s="189"/>
      <c r="BN185" s="189"/>
      <c r="BO185" s="190"/>
      <c r="BP185" s="188"/>
      <c r="BQ185" s="189"/>
      <c r="BR185" s="189"/>
      <c r="BS185" s="189"/>
      <c r="BT185" s="190"/>
      <c r="BU185" s="188"/>
      <c r="BV185" s="189"/>
      <c r="BW185" s="189"/>
      <c r="BX185" s="189"/>
      <c r="BY185" s="190"/>
      <c r="BZ185" s="188"/>
      <c r="CA185" s="189"/>
      <c r="CB185" s="189"/>
      <c r="CC185" s="189"/>
      <c r="CD185" s="190"/>
      <c r="CE185" s="188"/>
      <c r="CF185" s="189"/>
      <c r="CG185" s="189"/>
      <c r="CH185" s="189"/>
      <c r="CI185" s="190"/>
    </row>
    <row r="186" s="163" customFormat="1" ht="14.6" spans="1:87">
      <c r="A186" s="191" t="s">
        <v>166</v>
      </c>
      <c r="B186" s="192"/>
      <c r="C186" s="193">
        <f t="shared" si="42"/>
        <v>68379</v>
      </c>
      <c r="D186" s="194">
        <f t="shared" si="30"/>
        <v>25599</v>
      </c>
      <c r="E186" s="194">
        <f t="shared" si="31"/>
        <v>3795</v>
      </c>
      <c r="F186" s="194">
        <f t="shared" si="32"/>
        <v>0</v>
      </c>
      <c r="G186" s="195">
        <f t="shared" si="33"/>
        <v>97773</v>
      </c>
      <c r="H186" s="193">
        <f t="shared" si="43"/>
        <v>68379</v>
      </c>
      <c r="I186" s="194">
        <f t="shared" si="34"/>
        <v>25599</v>
      </c>
      <c r="J186" s="194">
        <f t="shared" si="35"/>
        <v>3795</v>
      </c>
      <c r="K186" s="194">
        <f t="shared" si="36"/>
        <v>0</v>
      </c>
      <c r="L186" s="195">
        <f t="shared" si="37"/>
        <v>97773</v>
      </c>
      <c r="M186" s="193"/>
      <c r="N186" s="194"/>
      <c r="O186" s="194"/>
      <c r="P186" s="194"/>
      <c r="Q186" s="195"/>
      <c r="R186" s="193">
        <v>52509</v>
      </c>
      <c r="S186" s="194">
        <v>12972</v>
      </c>
      <c r="T186" s="194">
        <v>966</v>
      </c>
      <c r="U186" s="194"/>
      <c r="V186" s="195">
        <v>66447</v>
      </c>
      <c r="W186" s="193"/>
      <c r="X186" s="194"/>
      <c r="Y186" s="194"/>
      <c r="Z186" s="194"/>
      <c r="AA186" s="195"/>
      <c r="AB186" s="193"/>
      <c r="AC186" s="194"/>
      <c r="AD186" s="194"/>
      <c r="AE186" s="194"/>
      <c r="AF186" s="195"/>
      <c r="AG186" s="193"/>
      <c r="AH186" s="194"/>
      <c r="AI186" s="194"/>
      <c r="AJ186" s="194"/>
      <c r="AK186" s="195"/>
      <c r="AL186" s="193">
        <v>6279</v>
      </c>
      <c r="AM186" s="194">
        <v>5313</v>
      </c>
      <c r="AN186" s="194">
        <v>2415</v>
      </c>
      <c r="AO186" s="194"/>
      <c r="AP186" s="195">
        <v>14007</v>
      </c>
      <c r="AQ186" s="193">
        <v>9591</v>
      </c>
      <c r="AR186" s="194">
        <v>7314</v>
      </c>
      <c r="AS186" s="194">
        <v>414</v>
      </c>
      <c r="AT186" s="194"/>
      <c r="AU186" s="195">
        <v>17319</v>
      </c>
      <c r="AV186" s="193"/>
      <c r="AW186" s="194"/>
      <c r="AX186" s="194"/>
      <c r="AY186" s="194"/>
      <c r="AZ186" s="195"/>
      <c r="BA186" s="193"/>
      <c r="BB186" s="194"/>
      <c r="BC186" s="194"/>
      <c r="BD186" s="194"/>
      <c r="BE186" s="195"/>
      <c r="BF186" s="193">
        <f t="shared" si="44"/>
        <v>0</v>
      </c>
      <c r="BG186" s="194">
        <f t="shared" si="38"/>
        <v>0</v>
      </c>
      <c r="BH186" s="194">
        <f t="shared" si="39"/>
        <v>0</v>
      </c>
      <c r="BI186" s="194">
        <f t="shared" si="40"/>
        <v>0</v>
      </c>
      <c r="BJ186" s="195">
        <f t="shared" si="41"/>
        <v>0</v>
      </c>
      <c r="BK186" s="193"/>
      <c r="BL186" s="194"/>
      <c r="BM186" s="194"/>
      <c r="BN186" s="194"/>
      <c r="BO186" s="195"/>
      <c r="BP186" s="193"/>
      <c r="BQ186" s="194"/>
      <c r="BR186" s="194"/>
      <c r="BS186" s="194"/>
      <c r="BT186" s="195"/>
      <c r="BU186" s="193"/>
      <c r="BV186" s="194"/>
      <c r="BW186" s="194"/>
      <c r="BX186" s="194"/>
      <c r="BY186" s="195"/>
      <c r="BZ186" s="193"/>
      <c r="CA186" s="194"/>
      <c r="CB186" s="194"/>
      <c r="CC186" s="194"/>
      <c r="CD186" s="195"/>
      <c r="CE186" s="193"/>
      <c r="CF186" s="194"/>
      <c r="CG186" s="194"/>
      <c r="CH186" s="194"/>
      <c r="CI186" s="195"/>
    </row>
    <row r="187" spans="1:87">
      <c r="A187" s="186" t="s">
        <v>167</v>
      </c>
      <c r="B187" s="187" t="s">
        <v>26</v>
      </c>
      <c r="C187" s="188">
        <f t="shared" si="42"/>
        <v>29537</v>
      </c>
      <c r="D187" s="189">
        <f t="shared" si="30"/>
        <v>27170</v>
      </c>
      <c r="E187" s="189">
        <f t="shared" si="31"/>
        <v>22734</v>
      </c>
      <c r="F187" s="189">
        <f t="shared" si="32"/>
        <v>17351</v>
      </c>
      <c r="G187" s="190">
        <f t="shared" si="33"/>
        <v>96792</v>
      </c>
      <c r="H187" s="188">
        <f t="shared" si="43"/>
        <v>28000</v>
      </c>
      <c r="I187" s="189">
        <f t="shared" si="34"/>
        <v>25465</v>
      </c>
      <c r="J187" s="189">
        <f t="shared" si="35"/>
        <v>21787</v>
      </c>
      <c r="K187" s="189">
        <f t="shared" si="36"/>
        <v>16738</v>
      </c>
      <c r="L187" s="190">
        <f t="shared" si="37"/>
        <v>91990</v>
      </c>
      <c r="M187" s="188"/>
      <c r="N187" s="189"/>
      <c r="O187" s="189"/>
      <c r="P187" s="189"/>
      <c r="Q187" s="190"/>
      <c r="R187" s="188">
        <v>354</v>
      </c>
      <c r="S187" s="189"/>
      <c r="T187" s="189">
        <v>398</v>
      </c>
      <c r="U187" s="189">
        <v>1592</v>
      </c>
      <c r="V187" s="190">
        <v>2344</v>
      </c>
      <c r="W187" s="188"/>
      <c r="X187" s="189"/>
      <c r="Y187" s="189"/>
      <c r="Z187" s="189"/>
      <c r="AA187" s="190"/>
      <c r="AB187" s="188">
        <v>21584</v>
      </c>
      <c r="AC187" s="189">
        <v>22207</v>
      </c>
      <c r="AD187" s="189">
        <v>18314</v>
      </c>
      <c r="AE187" s="189">
        <v>11631</v>
      </c>
      <c r="AF187" s="190">
        <v>73736</v>
      </c>
      <c r="AG187" s="188"/>
      <c r="AH187" s="189"/>
      <c r="AI187" s="189"/>
      <c r="AJ187" s="189"/>
      <c r="AK187" s="190"/>
      <c r="AL187" s="188"/>
      <c r="AM187" s="189"/>
      <c r="AN187" s="189"/>
      <c r="AO187" s="189"/>
      <c r="AP187" s="190"/>
      <c r="AQ187" s="188">
        <v>413</v>
      </c>
      <c r="AR187" s="189"/>
      <c r="AS187" s="189">
        <v>499</v>
      </c>
      <c r="AT187" s="189"/>
      <c r="AU187" s="190">
        <v>912</v>
      </c>
      <c r="AV187" s="188">
        <v>1329</v>
      </c>
      <c r="AW187" s="189">
        <v>1574</v>
      </c>
      <c r="AX187" s="189">
        <v>1404</v>
      </c>
      <c r="AY187" s="189">
        <v>1791</v>
      </c>
      <c r="AZ187" s="190">
        <v>6098</v>
      </c>
      <c r="BA187" s="188">
        <v>4320</v>
      </c>
      <c r="BB187" s="189">
        <v>1684</v>
      </c>
      <c r="BC187" s="189">
        <v>1172</v>
      </c>
      <c r="BD187" s="189">
        <v>1724</v>
      </c>
      <c r="BE187" s="190">
        <v>8900</v>
      </c>
      <c r="BF187" s="188">
        <f t="shared" si="44"/>
        <v>1537</v>
      </c>
      <c r="BG187" s="189">
        <f t="shared" si="38"/>
        <v>1705</v>
      </c>
      <c r="BH187" s="189">
        <f t="shared" si="39"/>
        <v>947</v>
      </c>
      <c r="BI187" s="189">
        <f t="shared" si="40"/>
        <v>613</v>
      </c>
      <c r="BJ187" s="190">
        <f t="shared" si="41"/>
        <v>4802</v>
      </c>
      <c r="BK187" s="188"/>
      <c r="BL187" s="189"/>
      <c r="BM187" s="189"/>
      <c r="BN187" s="189"/>
      <c r="BO187" s="190"/>
      <c r="BP187" s="188">
        <v>1537</v>
      </c>
      <c r="BQ187" s="189">
        <v>1240</v>
      </c>
      <c r="BR187" s="189">
        <v>947</v>
      </c>
      <c r="BS187" s="189">
        <v>544</v>
      </c>
      <c r="BT187" s="190">
        <v>4268</v>
      </c>
      <c r="BU187" s="188"/>
      <c r="BV187" s="189">
        <v>199</v>
      </c>
      <c r="BW187" s="189"/>
      <c r="BX187" s="189">
        <v>69</v>
      </c>
      <c r="BY187" s="190">
        <v>268</v>
      </c>
      <c r="BZ187" s="188"/>
      <c r="CA187" s="189">
        <v>266</v>
      </c>
      <c r="CB187" s="189"/>
      <c r="CC187" s="189"/>
      <c r="CD187" s="190">
        <v>266</v>
      </c>
      <c r="CE187" s="188"/>
      <c r="CF187" s="189"/>
      <c r="CG187" s="189"/>
      <c r="CH187" s="189"/>
      <c r="CI187" s="190"/>
    </row>
    <row r="188" s="163" customFormat="1" ht="14.6" spans="1:87">
      <c r="A188" s="191" t="s">
        <v>168</v>
      </c>
      <c r="B188" s="192"/>
      <c r="C188" s="193">
        <f t="shared" si="42"/>
        <v>29537</v>
      </c>
      <c r="D188" s="194">
        <f t="shared" si="30"/>
        <v>27170</v>
      </c>
      <c r="E188" s="194">
        <f t="shared" si="31"/>
        <v>22734</v>
      </c>
      <c r="F188" s="194">
        <f t="shared" si="32"/>
        <v>17351</v>
      </c>
      <c r="G188" s="195">
        <f t="shared" si="33"/>
        <v>96792</v>
      </c>
      <c r="H188" s="193">
        <f t="shared" si="43"/>
        <v>28000</v>
      </c>
      <c r="I188" s="194">
        <f t="shared" si="34"/>
        <v>25465</v>
      </c>
      <c r="J188" s="194">
        <f t="shared" si="35"/>
        <v>21787</v>
      </c>
      <c r="K188" s="194">
        <f t="shared" si="36"/>
        <v>16738</v>
      </c>
      <c r="L188" s="195">
        <f t="shared" si="37"/>
        <v>91990</v>
      </c>
      <c r="M188" s="193"/>
      <c r="N188" s="194"/>
      <c r="O188" s="194"/>
      <c r="P188" s="194"/>
      <c r="Q188" s="195"/>
      <c r="R188" s="193">
        <v>354</v>
      </c>
      <c r="S188" s="194"/>
      <c r="T188" s="194">
        <v>398</v>
      </c>
      <c r="U188" s="194">
        <v>1592</v>
      </c>
      <c r="V188" s="195">
        <v>2344</v>
      </c>
      <c r="W188" s="193"/>
      <c r="X188" s="194"/>
      <c r="Y188" s="194"/>
      <c r="Z188" s="194"/>
      <c r="AA188" s="195"/>
      <c r="AB188" s="193">
        <v>21584</v>
      </c>
      <c r="AC188" s="194">
        <v>22207</v>
      </c>
      <c r="AD188" s="194">
        <v>18314</v>
      </c>
      <c r="AE188" s="194">
        <v>11631</v>
      </c>
      <c r="AF188" s="195">
        <v>73736</v>
      </c>
      <c r="AG188" s="193"/>
      <c r="AH188" s="194"/>
      <c r="AI188" s="194"/>
      <c r="AJ188" s="194"/>
      <c r="AK188" s="195"/>
      <c r="AL188" s="193"/>
      <c r="AM188" s="194"/>
      <c r="AN188" s="194"/>
      <c r="AO188" s="194"/>
      <c r="AP188" s="195"/>
      <c r="AQ188" s="193">
        <v>413</v>
      </c>
      <c r="AR188" s="194"/>
      <c r="AS188" s="194">
        <v>499</v>
      </c>
      <c r="AT188" s="194"/>
      <c r="AU188" s="195">
        <v>912</v>
      </c>
      <c r="AV188" s="193">
        <v>1329</v>
      </c>
      <c r="AW188" s="194">
        <v>1574</v>
      </c>
      <c r="AX188" s="194">
        <v>1404</v>
      </c>
      <c r="AY188" s="194">
        <v>1791</v>
      </c>
      <c r="AZ188" s="195">
        <v>6098</v>
      </c>
      <c r="BA188" s="193">
        <v>4320</v>
      </c>
      <c r="BB188" s="194">
        <v>1684</v>
      </c>
      <c r="BC188" s="194">
        <v>1172</v>
      </c>
      <c r="BD188" s="194">
        <v>1724</v>
      </c>
      <c r="BE188" s="195">
        <v>8900</v>
      </c>
      <c r="BF188" s="193">
        <f t="shared" si="44"/>
        <v>1537</v>
      </c>
      <c r="BG188" s="194">
        <f t="shared" si="38"/>
        <v>1705</v>
      </c>
      <c r="BH188" s="194">
        <f t="shared" si="39"/>
        <v>947</v>
      </c>
      <c r="BI188" s="194">
        <f t="shared" si="40"/>
        <v>613</v>
      </c>
      <c r="BJ188" s="195">
        <f t="shared" si="41"/>
        <v>4802</v>
      </c>
      <c r="BK188" s="193"/>
      <c r="BL188" s="194"/>
      <c r="BM188" s="194"/>
      <c r="BN188" s="194"/>
      <c r="BO188" s="195"/>
      <c r="BP188" s="193">
        <v>1537</v>
      </c>
      <c r="BQ188" s="194">
        <v>1240</v>
      </c>
      <c r="BR188" s="194">
        <v>947</v>
      </c>
      <c r="BS188" s="194">
        <v>544</v>
      </c>
      <c r="BT188" s="195">
        <v>4268</v>
      </c>
      <c r="BU188" s="193"/>
      <c r="BV188" s="194">
        <v>199</v>
      </c>
      <c r="BW188" s="194"/>
      <c r="BX188" s="194">
        <v>69</v>
      </c>
      <c r="BY188" s="195">
        <v>268</v>
      </c>
      <c r="BZ188" s="193"/>
      <c r="CA188" s="194">
        <v>266</v>
      </c>
      <c r="CB188" s="194"/>
      <c r="CC188" s="194"/>
      <c r="CD188" s="195">
        <v>266</v>
      </c>
      <c r="CE188" s="193"/>
      <c r="CF188" s="194"/>
      <c r="CG188" s="194"/>
      <c r="CH188" s="194"/>
      <c r="CI188" s="195"/>
    </row>
    <row r="189" spans="1:87">
      <c r="A189" s="186" t="s">
        <v>169</v>
      </c>
      <c r="B189" s="187" t="s">
        <v>26</v>
      </c>
      <c r="C189" s="188">
        <f t="shared" si="42"/>
        <v>25488</v>
      </c>
      <c r="D189" s="189">
        <f t="shared" si="30"/>
        <v>22361</v>
      </c>
      <c r="E189" s="189">
        <f t="shared" si="31"/>
        <v>25016</v>
      </c>
      <c r="F189" s="189">
        <f t="shared" si="32"/>
        <v>19411</v>
      </c>
      <c r="G189" s="190">
        <f t="shared" si="33"/>
        <v>92276</v>
      </c>
      <c r="H189" s="188">
        <f t="shared" si="43"/>
        <v>25488</v>
      </c>
      <c r="I189" s="189">
        <f t="shared" si="34"/>
        <v>22361</v>
      </c>
      <c r="J189" s="189">
        <f t="shared" si="35"/>
        <v>25016</v>
      </c>
      <c r="K189" s="189">
        <f t="shared" si="36"/>
        <v>19411</v>
      </c>
      <c r="L189" s="190">
        <f t="shared" si="37"/>
        <v>92276</v>
      </c>
      <c r="M189" s="188"/>
      <c r="N189" s="189"/>
      <c r="O189" s="189"/>
      <c r="P189" s="189"/>
      <c r="Q189" s="190"/>
      <c r="R189" s="188"/>
      <c r="S189" s="189"/>
      <c r="T189" s="189"/>
      <c r="U189" s="189"/>
      <c r="V189" s="190"/>
      <c r="W189" s="188"/>
      <c r="X189" s="189"/>
      <c r="Y189" s="189"/>
      <c r="Z189" s="189"/>
      <c r="AA189" s="190"/>
      <c r="AB189" s="188">
        <v>25488</v>
      </c>
      <c r="AC189" s="189">
        <v>22361</v>
      </c>
      <c r="AD189" s="189">
        <v>25016</v>
      </c>
      <c r="AE189" s="189">
        <v>19411</v>
      </c>
      <c r="AF189" s="190">
        <v>92276</v>
      </c>
      <c r="AG189" s="188"/>
      <c r="AH189" s="189"/>
      <c r="AI189" s="189"/>
      <c r="AJ189" s="189"/>
      <c r="AK189" s="190"/>
      <c r="AL189" s="188"/>
      <c r="AM189" s="189"/>
      <c r="AN189" s="189"/>
      <c r="AO189" s="189"/>
      <c r="AP189" s="190"/>
      <c r="AQ189" s="188"/>
      <c r="AR189" s="189"/>
      <c r="AS189" s="189"/>
      <c r="AT189" s="189"/>
      <c r="AU189" s="190"/>
      <c r="AV189" s="188"/>
      <c r="AW189" s="189"/>
      <c r="AX189" s="189"/>
      <c r="AY189" s="189"/>
      <c r="AZ189" s="190"/>
      <c r="BA189" s="188"/>
      <c r="BB189" s="189"/>
      <c r="BC189" s="189"/>
      <c r="BD189" s="189"/>
      <c r="BE189" s="190"/>
      <c r="BF189" s="188">
        <f t="shared" si="44"/>
        <v>0</v>
      </c>
      <c r="BG189" s="189">
        <f t="shared" si="38"/>
        <v>0</v>
      </c>
      <c r="BH189" s="189">
        <f t="shared" si="39"/>
        <v>0</v>
      </c>
      <c r="BI189" s="189">
        <f t="shared" si="40"/>
        <v>0</v>
      </c>
      <c r="BJ189" s="190">
        <f t="shared" si="41"/>
        <v>0</v>
      </c>
      <c r="BK189" s="188"/>
      <c r="BL189" s="189"/>
      <c r="BM189" s="189"/>
      <c r="BN189" s="189"/>
      <c r="BO189" s="190"/>
      <c r="BP189" s="188"/>
      <c r="BQ189" s="189"/>
      <c r="BR189" s="189"/>
      <c r="BS189" s="189"/>
      <c r="BT189" s="190"/>
      <c r="BU189" s="188"/>
      <c r="BV189" s="189"/>
      <c r="BW189" s="189"/>
      <c r="BX189" s="189"/>
      <c r="BY189" s="190"/>
      <c r="BZ189" s="188"/>
      <c r="CA189" s="189"/>
      <c r="CB189" s="189"/>
      <c r="CC189" s="189"/>
      <c r="CD189" s="190"/>
      <c r="CE189" s="188"/>
      <c r="CF189" s="189"/>
      <c r="CG189" s="189"/>
      <c r="CH189" s="189"/>
      <c r="CI189" s="190"/>
    </row>
    <row r="190" s="163" customFormat="1" ht="14.6" spans="1:87">
      <c r="A190" s="191" t="s">
        <v>170</v>
      </c>
      <c r="B190" s="192"/>
      <c r="C190" s="193">
        <f t="shared" si="42"/>
        <v>25488</v>
      </c>
      <c r="D190" s="194">
        <f t="shared" si="30"/>
        <v>22361</v>
      </c>
      <c r="E190" s="194">
        <f t="shared" si="31"/>
        <v>25016</v>
      </c>
      <c r="F190" s="194">
        <f t="shared" si="32"/>
        <v>19411</v>
      </c>
      <c r="G190" s="195">
        <f t="shared" si="33"/>
        <v>92276</v>
      </c>
      <c r="H190" s="193">
        <f t="shared" si="43"/>
        <v>25488</v>
      </c>
      <c r="I190" s="194">
        <f t="shared" si="34"/>
        <v>22361</v>
      </c>
      <c r="J190" s="194">
        <f t="shared" si="35"/>
        <v>25016</v>
      </c>
      <c r="K190" s="194">
        <f t="shared" si="36"/>
        <v>19411</v>
      </c>
      <c r="L190" s="195">
        <f t="shared" si="37"/>
        <v>92276</v>
      </c>
      <c r="M190" s="193"/>
      <c r="N190" s="194"/>
      <c r="O190" s="194"/>
      <c r="P190" s="194"/>
      <c r="Q190" s="195"/>
      <c r="R190" s="193"/>
      <c r="S190" s="194"/>
      <c r="T190" s="194"/>
      <c r="U190" s="194"/>
      <c r="V190" s="195"/>
      <c r="W190" s="193"/>
      <c r="X190" s="194"/>
      <c r="Y190" s="194"/>
      <c r="Z190" s="194"/>
      <c r="AA190" s="195"/>
      <c r="AB190" s="193">
        <v>25488</v>
      </c>
      <c r="AC190" s="194">
        <v>22361</v>
      </c>
      <c r="AD190" s="194">
        <v>25016</v>
      </c>
      <c r="AE190" s="194">
        <v>19411</v>
      </c>
      <c r="AF190" s="195">
        <v>92276</v>
      </c>
      <c r="AG190" s="193"/>
      <c r="AH190" s="194"/>
      <c r="AI190" s="194"/>
      <c r="AJ190" s="194"/>
      <c r="AK190" s="195"/>
      <c r="AL190" s="193"/>
      <c r="AM190" s="194"/>
      <c r="AN190" s="194"/>
      <c r="AO190" s="194"/>
      <c r="AP190" s="195"/>
      <c r="AQ190" s="193"/>
      <c r="AR190" s="194"/>
      <c r="AS190" s="194"/>
      <c r="AT190" s="194"/>
      <c r="AU190" s="195"/>
      <c r="AV190" s="193"/>
      <c r="AW190" s="194"/>
      <c r="AX190" s="194"/>
      <c r="AY190" s="194"/>
      <c r="AZ190" s="195"/>
      <c r="BA190" s="193"/>
      <c r="BB190" s="194"/>
      <c r="BC190" s="194"/>
      <c r="BD190" s="194"/>
      <c r="BE190" s="195"/>
      <c r="BF190" s="193">
        <f t="shared" si="44"/>
        <v>0</v>
      </c>
      <c r="BG190" s="194">
        <f t="shared" si="38"/>
        <v>0</v>
      </c>
      <c r="BH190" s="194">
        <f t="shared" si="39"/>
        <v>0</v>
      </c>
      <c r="BI190" s="194">
        <f t="shared" si="40"/>
        <v>0</v>
      </c>
      <c r="BJ190" s="195">
        <f t="shared" si="41"/>
        <v>0</v>
      </c>
      <c r="BK190" s="193"/>
      <c r="BL190" s="194"/>
      <c r="BM190" s="194"/>
      <c r="BN190" s="194"/>
      <c r="BO190" s="195"/>
      <c r="BP190" s="193"/>
      <c r="BQ190" s="194"/>
      <c r="BR190" s="194"/>
      <c r="BS190" s="194"/>
      <c r="BT190" s="195"/>
      <c r="BU190" s="193"/>
      <c r="BV190" s="194"/>
      <c r="BW190" s="194"/>
      <c r="BX190" s="194"/>
      <c r="BY190" s="195"/>
      <c r="BZ190" s="193"/>
      <c r="CA190" s="194"/>
      <c r="CB190" s="194"/>
      <c r="CC190" s="194"/>
      <c r="CD190" s="195"/>
      <c r="CE190" s="193"/>
      <c r="CF190" s="194"/>
      <c r="CG190" s="194"/>
      <c r="CH190" s="194"/>
      <c r="CI190" s="195"/>
    </row>
    <row r="191" spans="1:87">
      <c r="A191" s="186" t="s">
        <v>171</v>
      </c>
      <c r="B191" s="187" t="s">
        <v>26</v>
      </c>
      <c r="C191" s="188">
        <f t="shared" si="42"/>
        <v>21666</v>
      </c>
      <c r="D191" s="189">
        <f t="shared" si="30"/>
        <v>21666</v>
      </c>
      <c r="E191" s="189">
        <f t="shared" si="31"/>
        <v>19389</v>
      </c>
      <c r="F191" s="189">
        <f t="shared" si="32"/>
        <v>22908</v>
      </c>
      <c r="G191" s="190">
        <f t="shared" si="33"/>
        <v>85629</v>
      </c>
      <c r="H191" s="188">
        <f t="shared" si="43"/>
        <v>17940</v>
      </c>
      <c r="I191" s="189">
        <f t="shared" si="34"/>
        <v>16698</v>
      </c>
      <c r="J191" s="189">
        <f t="shared" si="35"/>
        <v>18630</v>
      </c>
      <c r="K191" s="189">
        <f t="shared" si="36"/>
        <v>22770</v>
      </c>
      <c r="L191" s="190">
        <f t="shared" si="37"/>
        <v>76038</v>
      </c>
      <c r="M191" s="188">
        <v>1173</v>
      </c>
      <c r="N191" s="189">
        <v>483</v>
      </c>
      <c r="O191" s="189">
        <v>276</v>
      </c>
      <c r="P191" s="189">
        <v>345</v>
      </c>
      <c r="Q191" s="190">
        <v>2277</v>
      </c>
      <c r="R191" s="188"/>
      <c r="S191" s="189"/>
      <c r="T191" s="189"/>
      <c r="U191" s="189"/>
      <c r="V191" s="190"/>
      <c r="W191" s="188"/>
      <c r="X191" s="189"/>
      <c r="Y191" s="189"/>
      <c r="Z191" s="189"/>
      <c r="AA191" s="190"/>
      <c r="AB191" s="188">
        <v>13041</v>
      </c>
      <c r="AC191" s="189">
        <v>8142</v>
      </c>
      <c r="AD191" s="189">
        <v>3243</v>
      </c>
      <c r="AE191" s="189">
        <v>828</v>
      </c>
      <c r="AF191" s="190">
        <v>25254</v>
      </c>
      <c r="AG191" s="188"/>
      <c r="AH191" s="189"/>
      <c r="AI191" s="189"/>
      <c r="AJ191" s="189"/>
      <c r="AK191" s="190"/>
      <c r="AL191" s="188">
        <v>621</v>
      </c>
      <c r="AM191" s="189">
        <v>207</v>
      </c>
      <c r="AN191" s="189">
        <v>552</v>
      </c>
      <c r="AO191" s="189">
        <v>759</v>
      </c>
      <c r="AP191" s="190">
        <v>2139</v>
      </c>
      <c r="AQ191" s="188"/>
      <c r="AR191" s="189"/>
      <c r="AS191" s="189"/>
      <c r="AT191" s="189"/>
      <c r="AU191" s="190"/>
      <c r="AV191" s="188">
        <v>828</v>
      </c>
      <c r="AW191" s="189">
        <v>759</v>
      </c>
      <c r="AX191" s="189">
        <v>897</v>
      </c>
      <c r="AY191" s="189">
        <v>69</v>
      </c>
      <c r="AZ191" s="190">
        <v>2553</v>
      </c>
      <c r="BA191" s="188">
        <v>2277</v>
      </c>
      <c r="BB191" s="189">
        <v>7107</v>
      </c>
      <c r="BC191" s="189">
        <v>13662</v>
      </c>
      <c r="BD191" s="189">
        <v>20769</v>
      </c>
      <c r="BE191" s="190">
        <v>43815</v>
      </c>
      <c r="BF191" s="188">
        <f t="shared" si="44"/>
        <v>3726</v>
      </c>
      <c r="BG191" s="189">
        <f t="shared" si="38"/>
        <v>4968</v>
      </c>
      <c r="BH191" s="189">
        <f t="shared" si="39"/>
        <v>759</v>
      </c>
      <c r="BI191" s="189">
        <f t="shared" si="40"/>
        <v>138</v>
      </c>
      <c r="BJ191" s="190">
        <f t="shared" si="41"/>
        <v>9591</v>
      </c>
      <c r="BK191" s="188"/>
      <c r="BL191" s="189"/>
      <c r="BM191" s="189"/>
      <c r="BN191" s="189"/>
      <c r="BO191" s="190"/>
      <c r="BP191" s="188"/>
      <c r="BQ191" s="189"/>
      <c r="BR191" s="189"/>
      <c r="BS191" s="189"/>
      <c r="BT191" s="190"/>
      <c r="BU191" s="188">
        <v>69</v>
      </c>
      <c r="BV191" s="189">
        <v>138</v>
      </c>
      <c r="BW191" s="189">
        <v>759</v>
      </c>
      <c r="BX191" s="189">
        <v>138</v>
      </c>
      <c r="BY191" s="190">
        <v>1104</v>
      </c>
      <c r="BZ191" s="188">
        <v>3657</v>
      </c>
      <c r="CA191" s="189">
        <v>4830</v>
      </c>
      <c r="CB191" s="189"/>
      <c r="CC191" s="189"/>
      <c r="CD191" s="190">
        <v>8487</v>
      </c>
      <c r="CE191" s="188"/>
      <c r="CF191" s="189"/>
      <c r="CG191" s="189"/>
      <c r="CH191" s="189"/>
      <c r="CI191" s="190"/>
    </row>
    <row r="192" s="163" customFormat="1" ht="14.6" spans="1:87">
      <c r="A192" s="191" t="s">
        <v>172</v>
      </c>
      <c r="B192" s="192"/>
      <c r="C192" s="193">
        <f t="shared" si="42"/>
        <v>21666</v>
      </c>
      <c r="D192" s="194">
        <f t="shared" si="30"/>
        <v>21666</v>
      </c>
      <c r="E192" s="194">
        <f t="shared" si="31"/>
        <v>19389</v>
      </c>
      <c r="F192" s="194">
        <f t="shared" si="32"/>
        <v>22908</v>
      </c>
      <c r="G192" s="195">
        <f t="shared" si="33"/>
        <v>85629</v>
      </c>
      <c r="H192" s="193">
        <f t="shared" si="43"/>
        <v>17940</v>
      </c>
      <c r="I192" s="194">
        <f t="shared" si="34"/>
        <v>16698</v>
      </c>
      <c r="J192" s="194">
        <f t="shared" si="35"/>
        <v>18630</v>
      </c>
      <c r="K192" s="194">
        <f t="shared" si="36"/>
        <v>22770</v>
      </c>
      <c r="L192" s="195">
        <f t="shared" si="37"/>
        <v>76038</v>
      </c>
      <c r="M192" s="193">
        <v>1173</v>
      </c>
      <c r="N192" s="194">
        <v>483</v>
      </c>
      <c r="O192" s="194">
        <v>276</v>
      </c>
      <c r="P192" s="194">
        <v>345</v>
      </c>
      <c r="Q192" s="195">
        <v>2277</v>
      </c>
      <c r="R192" s="193"/>
      <c r="S192" s="194"/>
      <c r="T192" s="194"/>
      <c r="U192" s="194"/>
      <c r="V192" s="195"/>
      <c r="W192" s="193"/>
      <c r="X192" s="194"/>
      <c r="Y192" s="194"/>
      <c r="Z192" s="194"/>
      <c r="AA192" s="195"/>
      <c r="AB192" s="193">
        <v>13041</v>
      </c>
      <c r="AC192" s="194">
        <v>8142</v>
      </c>
      <c r="AD192" s="194">
        <v>3243</v>
      </c>
      <c r="AE192" s="194">
        <v>828</v>
      </c>
      <c r="AF192" s="195">
        <v>25254</v>
      </c>
      <c r="AG192" s="193"/>
      <c r="AH192" s="194"/>
      <c r="AI192" s="194"/>
      <c r="AJ192" s="194"/>
      <c r="AK192" s="195"/>
      <c r="AL192" s="193">
        <v>621</v>
      </c>
      <c r="AM192" s="194">
        <v>207</v>
      </c>
      <c r="AN192" s="194">
        <v>552</v>
      </c>
      <c r="AO192" s="194">
        <v>759</v>
      </c>
      <c r="AP192" s="195">
        <v>2139</v>
      </c>
      <c r="AQ192" s="193"/>
      <c r="AR192" s="194"/>
      <c r="AS192" s="194"/>
      <c r="AT192" s="194"/>
      <c r="AU192" s="195"/>
      <c r="AV192" s="193">
        <v>828</v>
      </c>
      <c r="AW192" s="194">
        <v>759</v>
      </c>
      <c r="AX192" s="194">
        <v>897</v>
      </c>
      <c r="AY192" s="194">
        <v>69</v>
      </c>
      <c r="AZ192" s="195">
        <v>2553</v>
      </c>
      <c r="BA192" s="193">
        <v>2277</v>
      </c>
      <c r="BB192" s="194">
        <v>7107</v>
      </c>
      <c r="BC192" s="194">
        <v>13662</v>
      </c>
      <c r="BD192" s="194">
        <v>20769</v>
      </c>
      <c r="BE192" s="195">
        <v>43815</v>
      </c>
      <c r="BF192" s="193">
        <f t="shared" si="44"/>
        <v>3726</v>
      </c>
      <c r="BG192" s="194">
        <f t="shared" si="38"/>
        <v>4968</v>
      </c>
      <c r="BH192" s="194">
        <f t="shared" si="39"/>
        <v>759</v>
      </c>
      <c r="BI192" s="194">
        <f t="shared" si="40"/>
        <v>138</v>
      </c>
      <c r="BJ192" s="195">
        <f t="shared" si="41"/>
        <v>9591</v>
      </c>
      <c r="BK192" s="193"/>
      <c r="BL192" s="194"/>
      <c r="BM192" s="194"/>
      <c r="BN192" s="194"/>
      <c r="BO192" s="195"/>
      <c r="BP192" s="193"/>
      <c r="BQ192" s="194"/>
      <c r="BR192" s="194"/>
      <c r="BS192" s="194"/>
      <c r="BT192" s="195"/>
      <c r="BU192" s="193">
        <v>69</v>
      </c>
      <c r="BV192" s="194">
        <v>138</v>
      </c>
      <c r="BW192" s="194">
        <v>759</v>
      </c>
      <c r="BX192" s="194">
        <v>138</v>
      </c>
      <c r="BY192" s="195">
        <v>1104</v>
      </c>
      <c r="BZ192" s="193">
        <v>3657</v>
      </c>
      <c r="CA192" s="194">
        <v>4830</v>
      </c>
      <c r="CB192" s="194"/>
      <c r="CC192" s="194"/>
      <c r="CD192" s="195">
        <v>8487</v>
      </c>
      <c r="CE192" s="193"/>
      <c r="CF192" s="194"/>
      <c r="CG192" s="194"/>
      <c r="CH192" s="194"/>
      <c r="CI192" s="195"/>
    </row>
    <row r="193" spans="1:87">
      <c r="A193" s="186" t="s">
        <v>173</v>
      </c>
      <c r="B193" s="187" t="s">
        <v>26</v>
      </c>
      <c r="C193" s="188">
        <f t="shared" si="42"/>
        <v>28839</v>
      </c>
      <c r="D193" s="189">
        <f t="shared" si="30"/>
        <v>15592</v>
      </c>
      <c r="E193" s="189">
        <f t="shared" si="31"/>
        <v>19772</v>
      </c>
      <c r="F193" s="189">
        <f t="shared" si="32"/>
        <v>15850</v>
      </c>
      <c r="G193" s="190">
        <f t="shared" si="33"/>
        <v>80053</v>
      </c>
      <c r="H193" s="188">
        <f t="shared" si="43"/>
        <v>23181</v>
      </c>
      <c r="I193" s="189">
        <f t="shared" si="34"/>
        <v>13177</v>
      </c>
      <c r="J193" s="189">
        <f t="shared" si="35"/>
        <v>14252</v>
      </c>
      <c r="K193" s="189">
        <f t="shared" si="36"/>
        <v>10951</v>
      </c>
      <c r="L193" s="190">
        <f t="shared" si="37"/>
        <v>61561</v>
      </c>
      <c r="M193" s="188">
        <v>1368</v>
      </c>
      <c r="N193" s="189">
        <v>532</v>
      </c>
      <c r="O193" s="189">
        <v>719</v>
      </c>
      <c r="P193" s="189">
        <v>532</v>
      </c>
      <c r="Q193" s="190">
        <v>3151</v>
      </c>
      <c r="R193" s="188">
        <v>138</v>
      </c>
      <c r="S193" s="189">
        <v>1251</v>
      </c>
      <c r="T193" s="189">
        <v>276</v>
      </c>
      <c r="U193" s="189">
        <v>483</v>
      </c>
      <c r="V193" s="190">
        <v>2148</v>
      </c>
      <c r="W193" s="188"/>
      <c r="X193" s="189"/>
      <c r="Y193" s="189"/>
      <c r="Z193" s="189"/>
      <c r="AA193" s="190"/>
      <c r="AB193" s="188">
        <v>17595</v>
      </c>
      <c r="AC193" s="189">
        <v>9186</v>
      </c>
      <c r="AD193" s="189">
        <v>10419</v>
      </c>
      <c r="AE193" s="189">
        <v>7935</v>
      </c>
      <c r="AF193" s="190">
        <v>45135</v>
      </c>
      <c r="AG193" s="188"/>
      <c r="AH193" s="189"/>
      <c r="AI193" s="189"/>
      <c r="AJ193" s="189"/>
      <c r="AK193" s="190"/>
      <c r="AL193" s="188"/>
      <c r="AM193" s="189"/>
      <c r="AN193" s="189"/>
      <c r="AO193" s="189"/>
      <c r="AP193" s="190"/>
      <c r="AQ193" s="188">
        <v>1311</v>
      </c>
      <c r="AR193" s="189">
        <v>1311</v>
      </c>
      <c r="AS193" s="189">
        <v>1725</v>
      </c>
      <c r="AT193" s="189">
        <v>1173</v>
      </c>
      <c r="AU193" s="190">
        <v>5520</v>
      </c>
      <c r="AV193" s="188"/>
      <c r="AW193" s="189">
        <v>69</v>
      </c>
      <c r="AX193" s="189"/>
      <c r="AY193" s="189">
        <v>138</v>
      </c>
      <c r="AZ193" s="190">
        <v>207</v>
      </c>
      <c r="BA193" s="188">
        <v>2769</v>
      </c>
      <c r="BB193" s="189">
        <v>828</v>
      </c>
      <c r="BC193" s="189">
        <v>1113</v>
      </c>
      <c r="BD193" s="189">
        <v>690</v>
      </c>
      <c r="BE193" s="190">
        <v>5400</v>
      </c>
      <c r="BF193" s="188">
        <f t="shared" si="44"/>
        <v>5658</v>
      </c>
      <c r="BG193" s="189">
        <f t="shared" si="38"/>
        <v>2415</v>
      </c>
      <c r="BH193" s="189">
        <f t="shared" si="39"/>
        <v>5520</v>
      </c>
      <c r="BI193" s="189">
        <f t="shared" si="40"/>
        <v>4899</v>
      </c>
      <c r="BJ193" s="190">
        <f t="shared" si="41"/>
        <v>18492</v>
      </c>
      <c r="BK193" s="188"/>
      <c r="BL193" s="189"/>
      <c r="BM193" s="189"/>
      <c r="BN193" s="189"/>
      <c r="BO193" s="190"/>
      <c r="BP193" s="188">
        <v>4071</v>
      </c>
      <c r="BQ193" s="189">
        <v>345</v>
      </c>
      <c r="BR193" s="189">
        <v>207</v>
      </c>
      <c r="BS193" s="189">
        <v>276</v>
      </c>
      <c r="BT193" s="190">
        <v>4899</v>
      </c>
      <c r="BU193" s="188">
        <v>1587</v>
      </c>
      <c r="BV193" s="189">
        <v>2070</v>
      </c>
      <c r="BW193" s="189">
        <v>5313</v>
      </c>
      <c r="BX193" s="189">
        <v>4623</v>
      </c>
      <c r="BY193" s="190">
        <v>13593</v>
      </c>
      <c r="BZ193" s="188"/>
      <c r="CA193" s="189"/>
      <c r="CB193" s="189"/>
      <c r="CC193" s="189"/>
      <c r="CD193" s="190"/>
      <c r="CE193" s="188"/>
      <c r="CF193" s="189"/>
      <c r="CG193" s="189"/>
      <c r="CH193" s="189"/>
      <c r="CI193" s="190"/>
    </row>
    <row r="194" s="163" customFormat="1" ht="14.6" spans="1:87">
      <c r="A194" s="191" t="s">
        <v>174</v>
      </c>
      <c r="B194" s="192"/>
      <c r="C194" s="193">
        <f t="shared" si="42"/>
        <v>28839</v>
      </c>
      <c r="D194" s="194">
        <f t="shared" si="30"/>
        <v>15592</v>
      </c>
      <c r="E194" s="194">
        <f t="shared" si="31"/>
        <v>19772</v>
      </c>
      <c r="F194" s="194">
        <f t="shared" si="32"/>
        <v>15850</v>
      </c>
      <c r="G194" s="195">
        <f t="shared" si="33"/>
        <v>80053</v>
      </c>
      <c r="H194" s="193">
        <f t="shared" si="43"/>
        <v>23181</v>
      </c>
      <c r="I194" s="194">
        <f t="shared" si="34"/>
        <v>13177</v>
      </c>
      <c r="J194" s="194">
        <f t="shared" si="35"/>
        <v>14252</v>
      </c>
      <c r="K194" s="194">
        <f t="shared" si="36"/>
        <v>10951</v>
      </c>
      <c r="L194" s="195">
        <f t="shared" si="37"/>
        <v>61561</v>
      </c>
      <c r="M194" s="193">
        <v>1368</v>
      </c>
      <c r="N194" s="194">
        <v>532</v>
      </c>
      <c r="O194" s="194">
        <v>719</v>
      </c>
      <c r="P194" s="194">
        <v>532</v>
      </c>
      <c r="Q194" s="195">
        <v>3151</v>
      </c>
      <c r="R194" s="193">
        <v>138</v>
      </c>
      <c r="S194" s="194">
        <v>1251</v>
      </c>
      <c r="T194" s="194">
        <v>276</v>
      </c>
      <c r="U194" s="194">
        <v>483</v>
      </c>
      <c r="V194" s="195">
        <v>2148</v>
      </c>
      <c r="W194" s="193"/>
      <c r="X194" s="194"/>
      <c r="Y194" s="194"/>
      <c r="Z194" s="194"/>
      <c r="AA194" s="195"/>
      <c r="AB194" s="193">
        <v>17595</v>
      </c>
      <c r="AC194" s="194">
        <v>9186</v>
      </c>
      <c r="AD194" s="194">
        <v>10419</v>
      </c>
      <c r="AE194" s="194">
        <v>7935</v>
      </c>
      <c r="AF194" s="195">
        <v>45135</v>
      </c>
      <c r="AG194" s="193"/>
      <c r="AH194" s="194"/>
      <c r="AI194" s="194"/>
      <c r="AJ194" s="194"/>
      <c r="AK194" s="195"/>
      <c r="AL194" s="193"/>
      <c r="AM194" s="194"/>
      <c r="AN194" s="194"/>
      <c r="AO194" s="194"/>
      <c r="AP194" s="195"/>
      <c r="AQ194" s="193">
        <v>1311</v>
      </c>
      <c r="AR194" s="194">
        <v>1311</v>
      </c>
      <c r="AS194" s="194">
        <v>1725</v>
      </c>
      <c r="AT194" s="194">
        <v>1173</v>
      </c>
      <c r="AU194" s="195">
        <v>5520</v>
      </c>
      <c r="AV194" s="193"/>
      <c r="AW194" s="194">
        <v>69</v>
      </c>
      <c r="AX194" s="194"/>
      <c r="AY194" s="194">
        <v>138</v>
      </c>
      <c r="AZ194" s="195">
        <v>207</v>
      </c>
      <c r="BA194" s="193">
        <v>2769</v>
      </c>
      <c r="BB194" s="194">
        <v>828</v>
      </c>
      <c r="BC194" s="194">
        <v>1113</v>
      </c>
      <c r="BD194" s="194">
        <v>690</v>
      </c>
      <c r="BE194" s="195">
        <v>5400</v>
      </c>
      <c r="BF194" s="193">
        <f t="shared" si="44"/>
        <v>5658</v>
      </c>
      <c r="BG194" s="194">
        <f t="shared" si="38"/>
        <v>2415</v>
      </c>
      <c r="BH194" s="194">
        <f t="shared" si="39"/>
        <v>5520</v>
      </c>
      <c r="BI194" s="194">
        <f t="shared" si="40"/>
        <v>4899</v>
      </c>
      <c r="BJ194" s="195">
        <f t="shared" si="41"/>
        <v>18492</v>
      </c>
      <c r="BK194" s="193"/>
      <c r="BL194" s="194"/>
      <c r="BM194" s="194"/>
      <c r="BN194" s="194"/>
      <c r="BO194" s="195"/>
      <c r="BP194" s="193">
        <v>4071</v>
      </c>
      <c r="BQ194" s="194">
        <v>345</v>
      </c>
      <c r="BR194" s="194">
        <v>207</v>
      </c>
      <c r="BS194" s="194">
        <v>276</v>
      </c>
      <c r="BT194" s="195">
        <v>4899</v>
      </c>
      <c r="BU194" s="193">
        <v>1587</v>
      </c>
      <c r="BV194" s="194">
        <v>2070</v>
      </c>
      <c r="BW194" s="194">
        <v>5313</v>
      </c>
      <c r="BX194" s="194">
        <v>4623</v>
      </c>
      <c r="BY194" s="195">
        <v>13593</v>
      </c>
      <c r="BZ194" s="193"/>
      <c r="CA194" s="194"/>
      <c r="CB194" s="194"/>
      <c r="CC194" s="194"/>
      <c r="CD194" s="195"/>
      <c r="CE194" s="193"/>
      <c r="CF194" s="194"/>
      <c r="CG194" s="194"/>
      <c r="CH194" s="194"/>
      <c r="CI194" s="195"/>
    </row>
    <row r="195" spans="1:87">
      <c r="A195" s="186" t="s">
        <v>175</v>
      </c>
      <c r="B195" s="187" t="s">
        <v>26</v>
      </c>
      <c r="C195" s="188">
        <f t="shared" si="42"/>
        <v>22356</v>
      </c>
      <c r="D195" s="189">
        <f t="shared" ref="D195:D258" si="45">I195+BG195</f>
        <v>17388</v>
      </c>
      <c r="E195" s="189">
        <f t="shared" ref="E195:E258" si="46">J195+BH195</f>
        <v>23529</v>
      </c>
      <c r="F195" s="189">
        <f t="shared" ref="F195:F258" si="47">K195+BI195</f>
        <v>16284</v>
      </c>
      <c r="G195" s="190">
        <f t="shared" ref="G195:G258" si="48">L195+BJ195</f>
        <v>79557</v>
      </c>
      <c r="H195" s="188">
        <f t="shared" si="43"/>
        <v>17319</v>
      </c>
      <c r="I195" s="189">
        <f t="shared" ref="I195:I258" si="49">N195+S195+X195+AC195+AH195+AM195+AR195+AW195+BB195</f>
        <v>15456</v>
      </c>
      <c r="J195" s="189">
        <f t="shared" ref="J195:J258" si="50">O195+T195+Y195+AD195+AI195+AN195+AS195+AX195+BC195</f>
        <v>16629</v>
      </c>
      <c r="K195" s="189">
        <f t="shared" ref="K195:K258" si="51">P195+U195+Z195+AE195+AJ195+AO195+AT195+AY195+BD195</f>
        <v>12834</v>
      </c>
      <c r="L195" s="190">
        <f t="shared" ref="L195:L258" si="52">Q195+V195+AA195+AF195+AK195+AP195+AU195+AZ195+BE195</f>
        <v>62238</v>
      </c>
      <c r="M195" s="188">
        <v>69</v>
      </c>
      <c r="N195" s="189">
        <v>276</v>
      </c>
      <c r="O195" s="189"/>
      <c r="P195" s="189"/>
      <c r="Q195" s="190">
        <v>345</v>
      </c>
      <c r="R195" s="188">
        <v>3588</v>
      </c>
      <c r="S195" s="189">
        <v>4140</v>
      </c>
      <c r="T195" s="189">
        <v>6003</v>
      </c>
      <c r="U195" s="189">
        <v>5451</v>
      </c>
      <c r="V195" s="190">
        <v>19182</v>
      </c>
      <c r="W195" s="188"/>
      <c r="X195" s="189"/>
      <c r="Y195" s="189"/>
      <c r="Z195" s="189"/>
      <c r="AA195" s="190"/>
      <c r="AB195" s="188">
        <v>9315</v>
      </c>
      <c r="AC195" s="189">
        <v>6486</v>
      </c>
      <c r="AD195" s="189">
        <v>3726</v>
      </c>
      <c r="AE195" s="189">
        <v>4140</v>
      </c>
      <c r="AF195" s="190">
        <v>23667</v>
      </c>
      <c r="AG195" s="188"/>
      <c r="AH195" s="189">
        <v>1518</v>
      </c>
      <c r="AI195" s="189">
        <v>2277</v>
      </c>
      <c r="AJ195" s="189">
        <v>345</v>
      </c>
      <c r="AK195" s="190">
        <v>4140</v>
      </c>
      <c r="AL195" s="188">
        <v>621</v>
      </c>
      <c r="AM195" s="189">
        <v>552</v>
      </c>
      <c r="AN195" s="189">
        <v>1035</v>
      </c>
      <c r="AO195" s="189">
        <v>552</v>
      </c>
      <c r="AP195" s="190">
        <v>2760</v>
      </c>
      <c r="AQ195" s="188">
        <v>2760</v>
      </c>
      <c r="AR195" s="189">
        <v>1380</v>
      </c>
      <c r="AS195" s="189">
        <v>1725</v>
      </c>
      <c r="AT195" s="189">
        <v>2070</v>
      </c>
      <c r="AU195" s="190">
        <v>7935</v>
      </c>
      <c r="AV195" s="188">
        <v>276</v>
      </c>
      <c r="AW195" s="189">
        <v>207</v>
      </c>
      <c r="AX195" s="189">
        <v>69</v>
      </c>
      <c r="AY195" s="189">
        <v>138</v>
      </c>
      <c r="AZ195" s="190">
        <v>690</v>
      </c>
      <c r="BA195" s="188">
        <v>690</v>
      </c>
      <c r="BB195" s="189">
        <v>897</v>
      </c>
      <c r="BC195" s="189">
        <v>1794</v>
      </c>
      <c r="BD195" s="189">
        <v>138</v>
      </c>
      <c r="BE195" s="190">
        <v>3519</v>
      </c>
      <c r="BF195" s="188">
        <f t="shared" si="44"/>
        <v>5037</v>
      </c>
      <c r="BG195" s="189">
        <f t="shared" ref="BG195:BG258" si="53">BL195+BQ195+BV195+CA195+CF195</f>
        <v>1932</v>
      </c>
      <c r="BH195" s="189">
        <f t="shared" ref="BH195:BH258" si="54">BM195+BR195+BW195+CB195+CG195</f>
        <v>6900</v>
      </c>
      <c r="BI195" s="189">
        <f t="shared" ref="BI195:BI258" si="55">BN195+BS195+BX195+CC195+CH195</f>
        <v>3450</v>
      </c>
      <c r="BJ195" s="190">
        <f t="shared" ref="BJ195:BJ258" si="56">BO195+BT195+BY195+CD195+CI195</f>
        <v>17319</v>
      </c>
      <c r="BK195" s="188"/>
      <c r="BL195" s="189"/>
      <c r="BM195" s="189"/>
      <c r="BN195" s="189"/>
      <c r="BO195" s="190"/>
      <c r="BP195" s="188">
        <v>3312</v>
      </c>
      <c r="BQ195" s="189">
        <v>207</v>
      </c>
      <c r="BR195" s="189">
        <v>138</v>
      </c>
      <c r="BS195" s="189"/>
      <c r="BT195" s="190">
        <v>3657</v>
      </c>
      <c r="BU195" s="188">
        <v>1725</v>
      </c>
      <c r="BV195" s="189">
        <v>1725</v>
      </c>
      <c r="BW195" s="189">
        <v>6762</v>
      </c>
      <c r="BX195" s="189">
        <v>3450</v>
      </c>
      <c r="BY195" s="190">
        <v>13662</v>
      </c>
      <c r="BZ195" s="188"/>
      <c r="CA195" s="189"/>
      <c r="CB195" s="189"/>
      <c r="CC195" s="189"/>
      <c r="CD195" s="190"/>
      <c r="CE195" s="188"/>
      <c r="CF195" s="189"/>
      <c r="CG195" s="189"/>
      <c r="CH195" s="189"/>
      <c r="CI195" s="190"/>
    </row>
    <row r="196" s="163" customFormat="1" ht="14.6" spans="1:87">
      <c r="A196" s="191" t="s">
        <v>176</v>
      </c>
      <c r="B196" s="192"/>
      <c r="C196" s="193">
        <f t="shared" ref="C196:C259" si="57">H196+BF196</f>
        <v>22356</v>
      </c>
      <c r="D196" s="194">
        <f t="shared" si="45"/>
        <v>17388</v>
      </c>
      <c r="E196" s="194">
        <f t="shared" si="46"/>
        <v>23529</v>
      </c>
      <c r="F196" s="194">
        <f t="shared" si="47"/>
        <v>16284</v>
      </c>
      <c r="G196" s="195">
        <f t="shared" si="48"/>
        <v>79557</v>
      </c>
      <c r="H196" s="193">
        <f t="shared" ref="H196:H259" si="58">M196+R196+W196+AB196+AG196+AL196+AQ196+AV196+BA196</f>
        <v>17319</v>
      </c>
      <c r="I196" s="194">
        <f t="shared" si="49"/>
        <v>15456</v>
      </c>
      <c r="J196" s="194">
        <f t="shared" si="50"/>
        <v>16629</v>
      </c>
      <c r="K196" s="194">
        <f t="shared" si="51"/>
        <v>12834</v>
      </c>
      <c r="L196" s="195">
        <f t="shared" si="52"/>
        <v>62238</v>
      </c>
      <c r="M196" s="193">
        <v>69</v>
      </c>
      <c r="N196" s="194">
        <v>276</v>
      </c>
      <c r="O196" s="194"/>
      <c r="P196" s="194"/>
      <c r="Q196" s="195">
        <v>345</v>
      </c>
      <c r="R196" s="193">
        <v>3588</v>
      </c>
      <c r="S196" s="194">
        <v>4140</v>
      </c>
      <c r="T196" s="194">
        <v>6003</v>
      </c>
      <c r="U196" s="194">
        <v>5451</v>
      </c>
      <c r="V196" s="195">
        <v>19182</v>
      </c>
      <c r="W196" s="193"/>
      <c r="X196" s="194"/>
      <c r="Y196" s="194"/>
      <c r="Z196" s="194"/>
      <c r="AA196" s="195"/>
      <c r="AB196" s="193">
        <v>9315</v>
      </c>
      <c r="AC196" s="194">
        <v>6486</v>
      </c>
      <c r="AD196" s="194">
        <v>3726</v>
      </c>
      <c r="AE196" s="194">
        <v>4140</v>
      </c>
      <c r="AF196" s="195">
        <v>23667</v>
      </c>
      <c r="AG196" s="193"/>
      <c r="AH196" s="194">
        <v>1518</v>
      </c>
      <c r="AI196" s="194">
        <v>2277</v>
      </c>
      <c r="AJ196" s="194">
        <v>345</v>
      </c>
      <c r="AK196" s="195">
        <v>4140</v>
      </c>
      <c r="AL196" s="193">
        <v>621</v>
      </c>
      <c r="AM196" s="194">
        <v>552</v>
      </c>
      <c r="AN196" s="194">
        <v>1035</v>
      </c>
      <c r="AO196" s="194">
        <v>552</v>
      </c>
      <c r="AP196" s="195">
        <v>2760</v>
      </c>
      <c r="AQ196" s="193">
        <v>2760</v>
      </c>
      <c r="AR196" s="194">
        <v>1380</v>
      </c>
      <c r="AS196" s="194">
        <v>1725</v>
      </c>
      <c r="AT196" s="194">
        <v>2070</v>
      </c>
      <c r="AU196" s="195">
        <v>7935</v>
      </c>
      <c r="AV196" s="193">
        <v>276</v>
      </c>
      <c r="AW196" s="194">
        <v>207</v>
      </c>
      <c r="AX196" s="194">
        <v>69</v>
      </c>
      <c r="AY196" s="194">
        <v>138</v>
      </c>
      <c r="AZ196" s="195">
        <v>690</v>
      </c>
      <c r="BA196" s="193">
        <v>690</v>
      </c>
      <c r="BB196" s="194">
        <v>897</v>
      </c>
      <c r="BC196" s="194">
        <v>1794</v>
      </c>
      <c r="BD196" s="194">
        <v>138</v>
      </c>
      <c r="BE196" s="195">
        <v>3519</v>
      </c>
      <c r="BF196" s="193">
        <f t="shared" ref="BF196:BF259" si="59">BK196+BP196+BU196+BZ196+CE196</f>
        <v>5037</v>
      </c>
      <c r="BG196" s="194">
        <f t="shared" si="53"/>
        <v>1932</v>
      </c>
      <c r="BH196" s="194">
        <f t="shared" si="54"/>
        <v>6900</v>
      </c>
      <c r="BI196" s="194">
        <f t="shared" si="55"/>
        <v>3450</v>
      </c>
      <c r="BJ196" s="195">
        <f t="shared" si="56"/>
        <v>17319</v>
      </c>
      <c r="BK196" s="193"/>
      <c r="BL196" s="194"/>
      <c r="BM196" s="194"/>
      <c r="BN196" s="194"/>
      <c r="BO196" s="195"/>
      <c r="BP196" s="193">
        <v>3312</v>
      </c>
      <c r="BQ196" s="194">
        <v>207</v>
      </c>
      <c r="BR196" s="194">
        <v>138</v>
      </c>
      <c r="BS196" s="194"/>
      <c r="BT196" s="195">
        <v>3657</v>
      </c>
      <c r="BU196" s="193">
        <v>1725</v>
      </c>
      <c r="BV196" s="194">
        <v>1725</v>
      </c>
      <c r="BW196" s="194">
        <v>6762</v>
      </c>
      <c r="BX196" s="194">
        <v>3450</v>
      </c>
      <c r="BY196" s="195">
        <v>13662</v>
      </c>
      <c r="BZ196" s="193"/>
      <c r="CA196" s="194"/>
      <c r="CB196" s="194"/>
      <c r="CC196" s="194"/>
      <c r="CD196" s="195"/>
      <c r="CE196" s="193"/>
      <c r="CF196" s="194"/>
      <c r="CG196" s="194"/>
      <c r="CH196" s="194"/>
      <c r="CI196" s="195"/>
    </row>
    <row r="197" spans="1:87">
      <c r="A197" s="186" t="s">
        <v>177</v>
      </c>
      <c r="B197" s="187" t="s">
        <v>26</v>
      </c>
      <c r="C197" s="188">
        <f t="shared" si="57"/>
        <v>37674</v>
      </c>
      <c r="D197" s="189">
        <f t="shared" si="45"/>
        <v>13455</v>
      </c>
      <c r="E197" s="189">
        <f t="shared" si="46"/>
        <v>16629</v>
      </c>
      <c r="F197" s="189">
        <f t="shared" si="47"/>
        <v>8901</v>
      </c>
      <c r="G197" s="190">
        <f t="shared" si="48"/>
        <v>76659</v>
      </c>
      <c r="H197" s="188">
        <f t="shared" si="58"/>
        <v>35949</v>
      </c>
      <c r="I197" s="189">
        <f t="shared" si="49"/>
        <v>13455</v>
      </c>
      <c r="J197" s="189">
        <f t="shared" si="50"/>
        <v>16629</v>
      </c>
      <c r="K197" s="189">
        <f t="shared" si="51"/>
        <v>8901</v>
      </c>
      <c r="L197" s="190">
        <f t="shared" si="52"/>
        <v>74934</v>
      </c>
      <c r="M197" s="188">
        <v>3933</v>
      </c>
      <c r="N197" s="189">
        <v>1656</v>
      </c>
      <c r="O197" s="189">
        <v>345</v>
      </c>
      <c r="P197" s="189">
        <v>1242</v>
      </c>
      <c r="Q197" s="190">
        <v>7176</v>
      </c>
      <c r="R197" s="188">
        <v>1863</v>
      </c>
      <c r="S197" s="189">
        <v>207</v>
      </c>
      <c r="T197" s="189"/>
      <c r="U197" s="189"/>
      <c r="V197" s="190">
        <v>2070</v>
      </c>
      <c r="W197" s="188"/>
      <c r="X197" s="189"/>
      <c r="Y197" s="189"/>
      <c r="Z197" s="189"/>
      <c r="AA197" s="190"/>
      <c r="AB197" s="188">
        <v>5244</v>
      </c>
      <c r="AC197" s="189">
        <v>2070</v>
      </c>
      <c r="AD197" s="189">
        <v>1794</v>
      </c>
      <c r="AE197" s="189">
        <v>552</v>
      </c>
      <c r="AF197" s="190">
        <v>9660</v>
      </c>
      <c r="AG197" s="188"/>
      <c r="AH197" s="189"/>
      <c r="AI197" s="189"/>
      <c r="AJ197" s="189"/>
      <c r="AK197" s="190"/>
      <c r="AL197" s="188">
        <v>6693</v>
      </c>
      <c r="AM197" s="189">
        <v>4968</v>
      </c>
      <c r="AN197" s="189">
        <v>7038</v>
      </c>
      <c r="AO197" s="189">
        <v>5175</v>
      </c>
      <c r="AP197" s="190">
        <v>23874</v>
      </c>
      <c r="AQ197" s="188">
        <v>3588</v>
      </c>
      <c r="AR197" s="189">
        <v>1104</v>
      </c>
      <c r="AS197" s="189">
        <v>552</v>
      </c>
      <c r="AT197" s="189">
        <v>69</v>
      </c>
      <c r="AU197" s="190">
        <v>5313</v>
      </c>
      <c r="AV197" s="188">
        <v>3243</v>
      </c>
      <c r="AW197" s="189">
        <v>1449</v>
      </c>
      <c r="AX197" s="189">
        <v>276</v>
      </c>
      <c r="AY197" s="189">
        <v>828</v>
      </c>
      <c r="AZ197" s="190">
        <v>5796</v>
      </c>
      <c r="BA197" s="188">
        <v>11385</v>
      </c>
      <c r="BB197" s="189">
        <v>2001</v>
      </c>
      <c r="BC197" s="189">
        <v>6624</v>
      </c>
      <c r="BD197" s="189">
        <v>1035</v>
      </c>
      <c r="BE197" s="190">
        <v>21045</v>
      </c>
      <c r="BF197" s="188">
        <f t="shared" si="59"/>
        <v>1725</v>
      </c>
      <c r="BG197" s="189">
        <f t="shared" si="53"/>
        <v>0</v>
      </c>
      <c r="BH197" s="189">
        <f t="shared" si="54"/>
        <v>0</v>
      </c>
      <c r="BI197" s="189">
        <f t="shared" si="55"/>
        <v>0</v>
      </c>
      <c r="BJ197" s="190">
        <f t="shared" si="56"/>
        <v>1725</v>
      </c>
      <c r="BK197" s="188">
        <v>1656</v>
      </c>
      <c r="BL197" s="189"/>
      <c r="BM197" s="189"/>
      <c r="BN197" s="189"/>
      <c r="BO197" s="190">
        <v>1656</v>
      </c>
      <c r="BP197" s="188"/>
      <c r="BQ197" s="189"/>
      <c r="BR197" s="189"/>
      <c r="BS197" s="189"/>
      <c r="BT197" s="190"/>
      <c r="BU197" s="188">
        <v>69</v>
      </c>
      <c r="BV197" s="189"/>
      <c r="BW197" s="189"/>
      <c r="BX197" s="189"/>
      <c r="BY197" s="190">
        <v>69</v>
      </c>
      <c r="BZ197" s="188"/>
      <c r="CA197" s="189"/>
      <c r="CB197" s="189"/>
      <c r="CC197" s="189"/>
      <c r="CD197" s="190"/>
      <c r="CE197" s="188"/>
      <c r="CF197" s="189"/>
      <c r="CG197" s="189"/>
      <c r="CH197" s="189"/>
      <c r="CI197" s="190"/>
    </row>
    <row r="198" s="163" customFormat="1" ht="14.6" spans="1:87">
      <c r="A198" s="191" t="s">
        <v>178</v>
      </c>
      <c r="B198" s="192"/>
      <c r="C198" s="193">
        <f t="shared" si="57"/>
        <v>37674</v>
      </c>
      <c r="D198" s="194">
        <f t="shared" si="45"/>
        <v>13455</v>
      </c>
      <c r="E198" s="194">
        <f t="shared" si="46"/>
        <v>16629</v>
      </c>
      <c r="F198" s="194">
        <f t="shared" si="47"/>
        <v>8901</v>
      </c>
      <c r="G198" s="195">
        <f t="shared" si="48"/>
        <v>76659</v>
      </c>
      <c r="H198" s="193">
        <f t="shared" si="58"/>
        <v>35949</v>
      </c>
      <c r="I198" s="194">
        <f t="shared" si="49"/>
        <v>13455</v>
      </c>
      <c r="J198" s="194">
        <f t="shared" si="50"/>
        <v>16629</v>
      </c>
      <c r="K198" s="194">
        <f t="shared" si="51"/>
        <v>8901</v>
      </c>
      <c r="L198" s="195">
        <f t="shared" si="52"/>
        <v>74934</v>
      </c>
      <c r="M198" s="193">
        <v>3933</v>
      </c>
      <c r="N198" s="194">
        <v>1656</v>
      </c>
      <c r="O198" s="194">
        <v>345</v>
      </c>
      <c r="P198" s="194">
        <v>1242</v>
      </c>
      <c r="Q198" s="195">
        <v>7176</v>
      </c>
      <c r="R198" s="193">
        <v>1863</v>
      </c>
      <c r="S198" s="194">
        <v>207</v>
      </c>
      <c r="T198" s="194"/>
      <c r="U198" s="194"/>
      <c r="V198" s="195">
        <v>2070</v>
      </c>
      <c r="W198" s="193"/>
      <c r="X198" s="194"/>
      <c r="Y198" s="194"/>
      <c r="Z198" s="194"/>
      <c r="AA198" s="195"/>
      <c r="AB198" s="193">
        <v>5244</v>
      </c>
      <c r="AC198" s="194">
        <v>2070</v>
      </c>
      <c r="AD198" s="194">
        <v>1794</v>
      </c>
      <c r="AE198" s="194">
        <v>552</v>
      </c>
      <c r="AF198" s="195">
        <v>9660</v>
      </c>
      <c r="AG198" s="193"/>
      <c r="AH198" s="194"/>
      <c r="AI198" s="194"/>
      <c r="AJ198" s="194"/>
      <c r="AK198" s="195"/>
      <c r="AL198" s="193">
        <v>6693</v>
      </c>
      <c r="AM198" s="194">
        <v>4968</v>
      </c>
      <c r="AN198" s="194">
        <v>7038</v>
      </c>
      <c r="AO198" s="194">
        <v>5175</v>
      </c>
      <c r="AP198" s="195">
        <v>23874</v>
      </c>
      <c r="AQ198" s="193">
        <v>3588</v>
      </c>
      <c r="AR198" s="194">
        <v>1104</v>
      </c>
      <c r="AS198" s="194">
        <v>552</v>
      </c>
      <c r="AT198" s="194">
        <v>69</v>
      </c>
      <c r="AU198" s="195">
        <v>5313</v>
      </c>
      <c r="AV198" s="193">
        <v>3243</v>
      </c>
      <c r="AW198" s="194">
        <v>1449</v>
      </c>
      <c r="AX198" s="194">
        <v>276</v>
      </c>
      <c r="AY198" s="194">
        <v>828</v>
      </c>
      <c r="AZ198" s="195">
        <v>5796</v>
      </c>
      <c r="BA198" s="193">
        <v>11385</v>
      </c>
      <c r="BB198" s="194">
        <v>2001</v>
      </c>
      <c r="BC198" s="194">
        <v>6624</v>
      </c>
      <c r="BD198" s="194">
        <v>1035</v>
      </c>
      <c r="BE198" s="195">
        <v>21045</v>
      </c>
      <c r="BF198" s="193">
        <f t="shared" si="59"/>
        <v>1725</v>
      </c>
      <c r="BG198" s="194">
        <f t="shared" si="53"/>
        <v>0</v>
      </c>
      <c r="BH198" s="194">
        <f t="shared" si="54"/>
        <v>0</v>
      </c>
      <c r="BI198" s="194">
        <f t="shared" si="55"/>
        <v>0</v>
      </c>
      <c r="BJ198" s="195">
        <f t="shared" si="56"/>
        <v>1725</v>
      </c>
      <c r="BK198" s="193">
        <v>1656</v>
      </c>
      <c r="BL198" s="194"/>
      <c r="BM198" s="194"/>
      <c r="BN198" s="194"/>
      <c r="BO198" s="195">
        <v>1656</v>
      </c>
      <c r="BP198" s="193"/>
      <c r="BQ198" s="194"/>
      <c r="BR198" s="194"/>
      <c r="BS198" s="194"/>
      <c r="BT198" s="195"/>
      <c r="BU198" s="193">
        <v>69</v>
      </c>
      <c r="BV198" s="194"/>
      <c r="BW198" s="194"/>
      <c r="BX198" s="194"/>
      <c r="BY198" s="195">
        <v>69</v>
      </c>
      <c r="BZ198" s="193"/>
      <c r="CA198" s="194"/>
      <c r="CB198" s="194"/>
      <c r="CC198" s="194"/>
      <c r="CD198" s="195"/>
      <c r="CE198" s="193"/>
      <c r="CF198" s="194"/>
      <c r="CG198" s="194"/>
      <c r="CH198" s="194"/>
      <c r="CI198" s="195"/>
    </row>
    <row r="199" spans="1:87">
      <c r="A199" s="186" t="s">
        <v>179</v>
      </c>
      <c r="B199" s="187" t="s">
        <v>26</v>
      </c>
      <c r="C199" s="188">
        <f t="shared" si="57"/>
        <v>39124</v>
      </c>
      <c r="D199" s="189">
        <f t="shared" si="45"/>
        <v>6230</v>
      </c>
      <c r="E199" s="189">
        <f t="shared" si="46"/>
        <v>12227</v>
      </c>
      <c r="F199" s="189">
        <f t="shared" si="47"/>
        <v>6781</v>
      </c>
      <c r="G199" s="190">
        <f t="shared" si="48"/>
        <v>64362</v>
      </c>
      <c r="H199" s="188">
        <f t="shared" si="58"/>
        <v>13047</v>
      </c>
      <c r="I199" s="189">
        <f t="shared" si="49"/>
        <v>6141</v>
      </c>
      <c r="J199" s="189">
        <f t="shared" si="50"/>
        <v>12049</v>
      </c>
      <c r="K199" s="189">
        <f t="shared" si="51"/>
        <v>6336</v>
      </c>
      <c r="L199" s="190">
        <f t="shared" si="52"/>
        <v>37573</v>
      </c>
      <c r="M199" s="188">
        <v>1833</v>
      </c>
      <c r="N199" s="189">
        <v>890</v>
      </c>
      <c r="O199" s="189">
        <v>356</v>
      </c>
      <c r="P199" s="189">
        <v>1335</v>
      </c>
      <c r="Q199" s="190">
        <v>4414</v>
      </c>
      <c r="R199" s="188">
        <v>712</v>
      </c>
      <c r="S199" s="189">
        <v>445</v>
      </c>
      <c r="T199" s="189">
        <v>712</v>
      </c>
      <c r="U199" s="189">
        <v>1655</v>
      </c>
      <c r="V199" s="190">
        <v>3524</v>
      </c>
      <c r="W199" s="188"/>
      <c r="X199" s="189"/>
      <c r="Y199" s="189"/>
      <c r="Z199" s="189"/>
      <c r="AA199" s="190"/>
      <c r="AB199" s="188">
        <v>7387</v>
      </c>
      <c r="AC199" s="189">
        <v>2403</v>
      </c>
      <c r="AD199" s="189">
        <v>3969</v>
      </c>
      <c r="AE199" s="189">
        <v>1157</v>
      </c>
      <c r="AF199" s="190">
        <v>14916</v>
      </c>
      <c r="AG199" s="188">
        <v>1513</v>
      </c>
      <c r="AH199" s="189">
        <v>979</v>
      </c>
      <c r="AI199" s="189">
        <v>1602</v>
      </c>
      <c r="AJ199" s="189">
        <v>356</v>
      </c>
      <c r="AK199" s="190">
        <v>4450</v>
      </c>
      <c r="AL199" s="188"/>
      <c r="AM199" s="189"/>
      <c r="AN199" s="189"/>
      <c r="AO199" s="189"/>
      <c r="AP199" s="190"/>
      <c r="AQ199" s="188">
        <v>445</v>
      </c>
      <c r="AR199" s="189">
        <v>534</v>
      </c>
      <c r="AS199" s="189">
        <v>445</v>
      </c>
      <c r="AT199" s="189"/>
      <c r="AU199" s="190">
        <v>1424</v>
      </c>
      <c r="AV199" s="188">
        <v>534</v>
      </c>
      <c r="AW199" s="189">
        <v>623</v>
      </c>
      <c r="AX199" s="189">
        <v>712</v>
      </c>
      <c r="AY199" s="189">
        <v>178</v>
      </c>
      <c r="AZ199" s="190">
        <v>2047</v>
      </c>
      <c r="BA199" s="188">
        <v>623</v>
      </c>
      <c r="BB199" s="189">
        <v>267</v>
      </c>
      <c r="BC199" s="189">
        <v>4253</v>
      </c>
      <c r="BD199" s="189">
        <v>1655</v>
      </c>
      <c r="BE199" s="190">
        <v>6798</v>
      </c>
      <c r="BF199" s="188">
        <f t="shared" si="59"/>
        <v>26077</v>
      </c>
      <c r="BG199" s="189">
        <f t="shared" si="53"/>
        <v>89</v>
      </c>
      <c r="BH199" s="189">
        <f t="shared" si="54"/>
        <v>178</v>
      </c>
      <c r="BI199" s="189">
        <f t="shared" si="55"/>
        <v>445</v>
      </c>
      <c r="BJ199" s="190">
        <f t="shared" si="56"/>
        <v>26789</v>
      </c>
      <c r="BK199" s="188"/>
      <c r="BL199" s="189"/>
      <c r="BM199" s="189"/>
      <c r="BN199" s="189"/>
      <c r="BO199" s="190"/>
      <c r="BP199" s="188">
        <v>25899</v>
      </c>
      <c r="BQ199" s="189">
        <v>89</v>
      </c>
      <c r="BR199" s="189">
        <v>178</v>
      </c>
      <c r="BS199" s="189">
        <v>445</v>
      </c>
      <c r="BT199" s="190">
        <v>26611</v>
      </c>
      <c r="BU199" s="188">
        <v>178</v>
      </c>
      <c r="BV199" s="189"/>
      <c r="BW199" s="189"/>
      <c r="BX199" s="189"/>
      <c r="BY199" s="190">
        <v>178</v>
      </c>
      <c r="BZ199" s="188"/>
      <c r="CA199" s="189"/>
      <c r="CB199" s="189"/>
      <c r="CC199" s="189"/>
      <c r="CD199" s="190"/>
      <c r="CE199" s="188"/>
      <c r="CF199" s="189"/>
      <c r="CG199" s="189"/>
      <c r="CH199" s="189"/>
      <c r="CI199" s="190"/>
    </row>
    <row r="200" s="163" customFormat="1" ht="14.6" spans="1:87">
      <c r="A200" s="191" t="s">
        <v>180</v>
      </c>
      <c r="B200" s="192"/>
      <c r="C200" s="193">
        <f t="shared" si="57"/>
        <v>39124</v>
      </c>
      <c r="D200" s="194">
        <f t="shared" si="45"/>
        <v>6230</v>
      </c>
      <c r="E200" s="194">
        <f t="shared" si="46"/>
        <v>12227</v>
      </c>
      <c r="F200" s="194">
        <f t="shared" si="47"/>
        <v>6781</v>
      </c>
      <c r="G200" s="195">
        <f t="shared" si="48"/>
        <v>64362</v>
      </c>
      <c r="H200" s="193">
        <f t="shared" si="58"/>
        <v>13047</v>
      </c>
      <c r="I200" s="194">
        <f t="shared" si="49"/>
        <v>6141</v>
      </c>
      <c r="J200" s="194">
        <f t="shared" si="50"/>
        <v>12049</v>
      </c>
      <c r="K200" s="194">
        <f t="shared" si="51"/>
        <v>6336</v>
      </c>
      <c r="L200" s="195">
        <f t="shared" si="52"/>
        <v>37573</v>
      </c>
      <c r="M200" s="193">
        <v>1833</v>
      </c>
      <c r="N200" s="194">
        <v>890</v>
      </c>
      <c r="O200" s="194">
        <v>356</v>
      </c>
      <c r="P200" s="194">
        <v>1335</v>
      </c>
      <c r="Q200" s="195">
        <v>4414</v>
      </c>
      <c r="R200" s="193">
        <v>712</v>
      </c>
      <c r="S200" s="194">
        <v>445</v>
      </c>
      <c r="T200" s="194">
        <v>712</v>
      </c>
      <c r="U200" s="194">
        <v>1655</v>
      </c>
      <c r="V200" s="195">
        <v>3524</v>
      </c>
      <c r="W200" s="193"/>
      <c r="X200" s="194"/>
      <c r="Y200" s="194"/>
      <c r="Z200" s="194"/>
      <c r="AA200" s="195"/>
      <c r="AB200" s="193">
        <v>7387</v>
      </c>
      <c r="AC200" s="194">
        <v>2403</v>
      </c>
      <c r="AD200" s="194">
        <v>3969</v>
      </c>
      <c r="AE200" s="194">
        <v>1157</v>
      </c>
      <c r="AF200" s="195">
        <v>14916</v>
      </c>
      <c r="AG200" s="193">
        <v>1513</v>
      </c>
      <c r="AH200" s="194">
        <v>979</v>
      </c>
      <c r="AI200" s="194">
        <v>1602</v>
      </c>
      <c r="AJ200" s="194">
        <v>356</v>
      </c>
      <c r="AK200" s="195">
        <v>4450</v>
      </c>
      <c r="AL200" s="193"/>
      <c r="AM200" s="194"/>
      <c r="AN200" s="194"/>
      <c r="AO200" s="194"/>
      <c r="AP200" s="195"/>
      <c r="AQ200" s="193">
        <v>445</v>
      </c>
      <c r="AR200" s="194">
        <v>534</v>
      </c>
      <c r="AS200" s="194">
        <v>445</v>
      </c>
      <c r="AT200" s="194"/>
      <c r="AU200" s="195">
        <v>1424</v>
      </c>
      <c r="AV200" s="193">
        <v>534</v>
      </c>
      <c r="AW200" s="194">
        <v>623</v>
      </c>
      <c r="AX200" s="194">
        <v>712</v>
      </c>
      <c r="AY200" s="194">
        <v>178</v>
      </c>
      <c r="AZ200" s="195">
        <v>2047</v>
      </c>
      <c r="BA200" s="193">
        <v>623</v>
      </c>
      <c r="BB200" s="194">
        <v>267</v>
      </c>
      <c r="BC200" s="194">
        <v>4253</v>
      </c>
      <c r="BD200" s="194">
        <v>1655</v>
      </c>
      <c r="BE200" s="195">
        <v>6798</v>
      </c>
      <c r="BF200" s="193">
        <f t="shared" si="59"/>
        <v>26077</v>
      </c>
      <c r="BG200" s="194">
        <f t="shared" si="53"/>
        <v>89</v>
      </c>
      <c r="BH200" s="194">
        <f t="shared" si="54"/>
        <v>178</v>
      </c>
      <c r="BI200" s="194">
        <f t="shared" si="55"/>
        <v>445</v>
      </c>
      <c r="BJ200" s="195">
        <f t="shared" si="56"/>
        <v>26789</v>
      </c>
      <c r="BK200" s="193"/>
      <c r="BL200" s="194"/>
      <c r="BM200" s="194"/>
      <c r="BN200" s="194"/>
      <c r="BO200" s="195"/>
      <c r="BP200" s="193">
        <v>25899</v>
      </c>
      <c r="BQ200" s="194">
        <v>89</v>
      </c>
      <c r="BR200" s="194">
        <v>178</v>
      </c>
      <c r="BS200" s="194">
        <v>445</v>
      </c>
      <c r="BT200" s="195">
        <v>26611</v>
      </c>
      <c r="BU200" s="193">
        <v>178</v>
      </c>
      <c r="BV200" s="194"/>
      <c r="BW200" s="194"/>
      <c r="BX200" s="194"/>
      <c r="BY200" s="195">
        <v>178</v>
      </c>
      <c r="BZ200" s="193"/>
      <c r="CA200" s="194"/>
      <c r="CB200" s="194"/>
      <c r="CC200" s="194"/>
      <c r="CD200" s="195"/>
      <c r="CE200" s="193"/>
      <c r="CF200" s="194"/>
      <c r="CG200" s="194"/>
      <c r="CH200" s="194"/>
      <c r="CI200" s="195"/>
    </row>
    <row r="201" spans="1:87">
      <c r="A201" s="186" t="s">
        <v>181</v>
      </c>
      <c r="B201" s="187" t="s">
        <v>26</v>
      </c>
      <c r="C201" s="188">
        <f t="shared" si="57"/>
        <v>15503</v>
      </c>
      <c r="D201" s="189">
        <f t="shared" si="45"/>
        <v>9674</v>
      </c>
      <c r="E201" s="189">
        <f t="shared" si="46"/>
        <v>7365</v>
      </c>
      <c r="F201" s="189">
        <f t="shared" si="47"/>
        <v>8264</v>
      </c>
      <c r="G201" s="190">
        <f t="shared" si="48"/>
        <v>40806</v>
      </c>
      <c r="H201" s="188">
        <f t="shared" si="58"/>
        <v>15227</v>
      </c>
      <c r="I201" s="189">
        <f t="shared" si="49"/>
        <v>9556</v>
      </c>
      <c r="J201" s="189">
        <f t="shared" si="50"/>
        <v>7188</v>
      </c>
      <c r="K201" s="189">
        <f t="shared" si="51"/>
        <v>8205</v>
      </c>
      <c r="L201" s="190">
        <f t="shared" si="52"/>
        <v>40176</v>
      </c>
      <c r="M201" s="188">
        <v>325</v>
      </c>
      <c r="N201" s="189">
        <v>453</v>
      </c>
      <c r="O201" s="189">
        <v>0</v>
      </c>
      <c r="P201" s="189">
        <v>59</v>
      </c>
      <c r="Q201" s="190">
        <v>837</v>
      </c>
      <c r="R201" s="188"/>
      <c r="S201" s="189"/>
      <c r="T201" s="189"/>
      <c r="U201" s="189"/>
      <c r="V201" s="190"/>
      <c r="W201" s="188"/>
      <c r="X201" s="189"/>
      <c r="Y201" s="189"/>
      <c r="Z201" s="189"/>
      <c r="AA201" s="190"/>
      <c r="AB201" s="188">
        <v>11986</v>
      </c>
      <c r="AC201" s="189">
        <v>8482</v>
      </c>
      <c r="AD201" s="189">
        <v>5948</v>
      </c>
      <c r="AE201" s="189">
        <v>8146</v>
      </c>
      <c r="AF201" s="190">
        <v>34562</v>
      </c>
      <c r="AG201" s="188"/>
      <c r="AH201" s="189"/>
      <c r="AI201" s="189"/>
      <c r="AJ201" s="189"/>
      <c r="AK201" s="190"/>
      <c r="AL201" s="188"/>
      <c r="AM201" s="189"/>
      <c r="AN201" s="189"/>
      <c r="AO201" s="189"/>
      <c r="AP201" s="190"/>
      <c r="AQ201" s="188"/>
      <c r="AR201" s="189"/>
      <c r="AS201" s="189"/>
      <c r="AT201" s="189"/>
      <c r="AU201" s="190"/>
      <c r="AV201" s="188">
        <v>2335</v>
      </c>
      <c r="AW201" s="189">
        <v>138</v>
      </c>
      <c r="AX201" s="189">
        <v>256</v>
      </c>
      <c r="AY201" s="189"/>
      <c r="AZ201" s="190">
        <v>2729</v>
      </c>
      <c r="BA201" s="188">
        <v>581</v>
      </c>
      <c r="BB201" s="189">
        <v>483</v>
      </c>
      <c r="BC201" s="189">
        <v>984</v>
      </c>
      <c r="BD201" s="189"/>
      <c r="BE201" s="190">
        <v>2048</v>
      </c>
      <c r="BF201" s="188">
        <f t="shared" si="59"/>
        <v>276</v>
      </c>
      <c r="BG201" s="189">
        <f t="shared" si="53"/>
        <v>118</v>
      </c>
      <c r="BH201" s="189">
        <f t="shared" si="54"/>
        <v>177</v>
      </c>
      <c r="BI201" s="189">
        <f t="shared" si="55"/>
        <v>59</v>
      </c>
      <c r="BJ201" s="190">
        <f t="shared" si="56"/>
        <v>630</v>
      </c>
      <c r="BK201" s="188"/>
      <c r="BL201" s="189"/>
      <c r="BM201" s="189"/>
      <c r="BN201" s="189"/>
      <c r="BO201" s="190"/>
      <c r="BP201" s="188"/>
      <c r="BQ201" s="189"/>
      <c r="BR201" s="189"/>
      <c r="BS201" s="189"/>
      <c r="BT201" s="190"/>
      <c r="BU201" s="188">
        <v>276</v>
      </c>
      <c r="BV201" s="189">
        <v>59</v>
      </c>
      <c r="BW201" s="189">
        <v>59</v>
      </c>
      <c r="BX201" s="189">
        <v>59</v>
      </c>
      <c r="BY201" s="190">
        <v>453</v>
      </c>
      <c r="BZ201" s="188"/>
      <c r="CA201" s="189">
        <v>59</v>
      </c>
      <c r="CB201" s="189">
        <v>118</v>
      </c>
      <c r="CC201" s="189"/>
      <c r="CD201" s="190">
        <v>177</v>
      </c>
      <c r="CE201" s="188"/>
      <c r="CF201" s="189"/>
      <c r="CG201" s="189"/>
      <c r="CH201" s="189"/>
      <c r="CI201" s="190"/>
    </row>
    <row r="202" s="163" customFormat="1" ht="14.6" spans="1:87">
      <c r="A202" s="191" t="s">
        <v>182</v>
      </c>
      <c r="B202" s="192"/>
      <c r="C202" s="193">
        <f t="shared" si="57"/>
        <v>15503</v>
      </c>
      <c r="D202" s="194">
        <f t="shared" si="45"/>
        <v>9674</v>
      </c>
      <c r="E202" s="194">
        <f t="shared" si="46"/>
        <v>7365</v>
      </c>
      <c r="F202" s="194">
        <f t="shared" si="47"/>
        <v>8264</v>
      </c>
      <c r="G202" s="195">
        <f t="shared" si="48"/>
        <v>40806</v>
      </c>
      <c r="H202" s="193">
        <f t="shared" si="58"/>
        <v>15227</v>
      </c>
      <c r="I202" s="194">
        <f t="shared" si="49"/>
        <v>9556</v>
      </c>
      <c r="J202" s="194">
        <f t="shared" si="50"/>
        <v>7188</v>
      </c>
      <c r="K202" s="194">
        <f t="shared" si="51"/>
        <v>8205</v>
      </c>
      <c r="L202" s="195">
        <f t="shared" si="52"/>
        <v>40176</v>
      </c>
      <c r="M202" s="193">
        <v>325</v>
      </c>
      <c r="N202" s="194">
        <v>453</v>
      </c>
      <c r="O202" s="194">
        <v>0</v>
      </c>
      <c r="P202" s="194">
        <v>59</v>
      </c>
      <c r="Q202" s="195">
        <v>837</v>
      </c>
      <c r="R202" s="193"/>
      <c r="S202" s="194"/>
      <c r="T202" s="194"/>
      <c r="U202" s="194"/>
      <c r="V202" s="195"/>
      <c r="W202" s="193"/>
      <c r="X202" s="194"/>
      <c r="Y202" s="194"/>
      <c r="Z202" s="194"/>
      <c r="AA202" s="195"/>
      <c r="AB202" s="193">
        <v>11986</v>
      </c>
      <c r="AC202" s="194">
        <v>8482</v>
      </c>
      <c r="AD202" s="194">
        <v>5948</v>
      </c>
      <c r="AE202" s="194">
        <v>8146</v>
      </c>
      <c r="AF202" s="195">
        <v>34562</v>
      </c>
      <c r="AG202" s="193"/>
      <c r="AH202" s="194"/>
      <c r="AI202" s="194"/>
      <c r="AJ202" s="194"/>
      <c r="AK202" s="195"/>
      <c r="AL202" s="193"/>
      <c r="AM202" s="194"/>
      <c r="AN202" s="194"/>
      <c r="AO202" s="194"/>
      <c r="AP202" s="195"/>
      <c r="AQ202" s="193"/>
      <c r="AR202" s="194"/>
      <c r="AS202" s="194"/>
      <c r="AT202" s="194"/>
      <c r="AU202" s="195"/>
      <c r="AV202" s="193">
        <v>2335</v>
      </c>
      <c r="AW202" s="194">
        <v>138</v>
      </c>
      <c r="AX202" s="194">
        <v>256</v>
      </c>
      <c r="AY202" s="194"/>
      <c r="AZ202" s="195">
        <v>2729</v>
      </c>
      <c r="BA202" s="193">
        <v>581</v>
      </c>
      <c r="BB202" s="194">
        <v>483</v>
      </c>
      <c r="BC202" s="194">
        <v>984</v>
      </c>
      <c r="BD202" s="194"/>
      <c r="BE202" s="195">
        <v>2048</v>
      </c>
      <c r="BF202" s="193">
        <f t="shared" si="59"/>
        <v>276</v>
      </c>
      <c r="BG202" s="194">
        <f t="shared" si="53"/>
        <v>118</v>
      </c>
      <c r="BH202" s="194">
        <f t="shared" si="54"/>
        <v>177</v>
      </c>
      <c r="BI202" s="194">
        <f t="shared" si="55"/>
        <v>59</v>
      </c>
      <c r="BJ202" s="195">
        <f t="shared" si="56"/>
        <v>630</v>
      </c>
      <c r="BK202" s="193"/>
      <c r="BL202" s="194"/>
      <c r="BM202" s="194"/>
      <c r="BN202" s="194"/>
      <c r="BO202" s="195"/>
      <c r="BP202" s="193"/>
      <c r="BQ202" s="194"/>
      <c r="BR202" s="194"/>
      <c r="BS202" s="194"/>
      <c r="BT202" s="195"/>
      <c r="BU202" s="193">
        <v>276</v>
      </c>
      <c r="BV202" s="194">
        <v>59</v>
      </c>
      <c r="BW202" s="194">
        <v>59</v>
      </c>
      <c r="BX202" s="194">
        <v>59</v>
      </c>
      <c r="BY202" s="195">
        <v>453</v>
      </c>
      <c r="BZ202" s="193"/>
      <c r="CA202" s="194">
        <v>59</v>
      </c>
      <c r="CB202" s="194">
        <v>118</v>
      </c>
      <c r="CC202" s="194"/>
      <c r="CD202" s="195">
        <v>177</v>
      </c>
      <c r="CE202" s="193"/>
      <c r="CF202" s="194"/>
      <c r="CG202" s="194"/>
      <c r="CH202" s="194"/>
      <c r="CI202" s="195"/>
    </row>
    <row r="203" spans="1:87">
      <c r="A203" s="186" t="s">
        <v>183</v>
      </c>
      <c r="B203" s="187" t="s">
        <v>26</v>
      </c>
      <c r="C203" s="188">
        <f t="shared" si="57"/>
        <v>17725</v>
      </c>
      <c r="D203" s="189">
        <f t="shared" si="45"/>
        <v>9715</v>
      </c>
      <c r="E203" s="189">
        <f t="shared" si="46"/>
        <v>7742</v>
      </c>
      <c r="F203" s="189">
        <f t="shared" si="47"/>
        <v>3044</v>
      </c>
      <c r="G203" s="190">
        <f t="shared" si="48"/>
        <v>38226</v>
      </c>
      <c r="H203" s="188">
        <f t="shared" si="58"/>
        <v>16398</v>
      </c>
      <c r="I203" s="189">
        <f t="shared" si="49"/>
        <v>9162</v>
      </c>
      <c r="J203" s="189">
        <f t="shared" si="50"/>
        <v>7027</v>
      </c>
      <c r="K203" s="189">
        <f t="shared" si="51"/>
        <v>2985</v>
      </c>
      <c r="L203" s="190">
        <f t="shared" si="52"/>
        <v>35572</v>
      </c>
      <c r="M203" s="188">
        <v>3184</v>
      </c>
      <c r="N203" s="189">
        <v>995</v>
      </c>
      <c r="O203" s="189">
        <v>597</v>
      </c>
      <c r="P203" s="189">
        <v>597</v>
      </c>
      <c r="Q203" s="190">
        <v>5373</v>
      </c>
      <c r="R203" s="188">
        <v>3383</v>
      </c>
      <c r="S203" s="189">
        <v>2786</v>
      </c>
      <c r="T203" s="189">
        <v>2388</v>
      </c>
      <c r="U203" s="189">
        <v>597</v>
      </c>
      <c r="V203" s="190">
        <v>9154</v>
      </c>
      <c r="W203" s="188">
        <v>597</v>
      </c>
      <c r="X203" s="189">
        <v>199</v>
      </c>
      <c r="Y203" s="189"/>
      <c r="Z203" s="189">
        <v>398</v>
      </c>
      <c r="AA203" s="190">
        <v>1194</v>
      </c>
      <c r="AB203" s="188">
        <v>2070</v>
      </c>
      <c r="AC203" s="189"/>
      <c r="AD203" s="189"/>
      <c r="AE203" s="189"/>
      <c r="AF203" s="190">
        <v>2070</v>
      </c>
      <c r="AG203" s="188">
        <v>4975</v>
      </c>
      <c r="AH203" s="189">
        <v>4378</v>
      </c>
      <c r="AI203" s="189">
        <v>2985</v>
      </c>
      <c r="AJ203" s="189">
        <v>1194</v>
      </c>
      <c r="AK203" s="190">
        <v>13532</v>
      </c>
      <c r="AL203" s="188">
        <v>597</v>
      </c>
      <c r="AM203" s="189">
        <v>199</v>
      </c>
      <c r="AN203" s="189">
        <v>199</v>
      </c>
      <c r="AO203" s="189">
        <v>199</v>
      </c>
      <c r="AP203" s="190">
        <v>1194</v>
      </c>
      <c r="AQ203" s="188"/>
      <c r="AR203" s="189"/>
      <c r="AS203" s="189"/>
      <c r="AT203" s="189"/>
      <c r="AU203" s="190"/>
      <c r="AV203" s="188"/>
      <c r="AW203" s="189">
        <v>207</v>
      </c>
      <c r="AX203" s="189">
        <v>69</v>
      </c>
      <c r="AY203" s="189"/>
      <c r="AZ203" s="190">
        <v>276</v>
      </c>
      <c r="BA203" s="188">
        <v>1592</v>
      </c>
      <c r="BB203" s="189">
        <v>398</v>
      </c>
      <c r="BC203" s="189">
        <v>789</v>
      </c>
      <c r="BD203" s="189"/>
      <c r="BE203" s="190">
        <v>2779</v>
      </c>
      <c r="BF203" s="188">
        <f t="shared" si="59"/>
        <v>1327</v>
      </c>
      <c r="BG203" s="189">
        <f t="shared" si="53"/>
        <v>553</v>
      </c>
      <c r="BH203" s="189">
        <f t="shared" si="54"/>
        <v>715</v>
      </c>
      <c r="BI203" s="189">
        <f t="shared" si="55"/>
        <v>59</v>
      </c>
      <c r="BJ203" s="190">
        <f t="shared" si="56"/>
        <v>2654</v>
      </c>
      <c r="BK203" s="188"/>
      <c r="BL203" s="189"/>
      <c r="BM203" s="189"/>
      <c r="BN203" s="189"/>
      <c r="BO203" s="190"/>
      <c r="BP203" s="188">
        <v>531</v>
      </c>
      <c r="BQ203" s="189">
        <v>354</v>
      </c>
      <c r="BR203" s="189">
        <v>317</v>
      </c>
      <c r="BS203" s="189">
        <v>59</v>
      </c>
      <c r="BT203" s="190">
        <v>1261</v>
      </c>
      <c r="BU203" s="188">
        <v>796</v>
      </c>
      <c r="BV203" s="189">
        <v>199</v>
      </c>
      <c r="BW203" s="189">
        <v>398</v>
      </c>
      <c r="BX203" s="189"/>
      <c r="BY203" s="190">
        <v>1393</v>
      </c>
      <c r="BZ203" s="188"/>
      <c r="CA203" s="189"/>
      <c r="CB203" s="189"/>
      <c r="CC203" s="189"/>
      <c r="CD203" s="190"/>
      <c r="CE203" s="188"/>
      <c r="CF203" s="189"/>
      <c r="CG203" s="189"/>
      <c r="CH203" s="189"/>
      <c r="CI203" s="190"/>
    </row>
    <row r="204" s="163" customFormat="1" ht="14.6" spans="1:87">
      <c r="A204" s="191" t="s">
        <v>184</v>
      </c>
      <c r="B204" s="192"/>
      <c r="C204" s="193">
        <f t="shared" si="57"/>
        <v>17725</v>
      </c>
      <c r="D204" s="194">
        <f t="shared" si="45"/>
        <v>9715</v>
      </c>
      <c r="E204" s="194">
        <f t="shared" si="46"/>
        <v>7742</v>
      </c>
      <c r="F204" s="194">
        <f t="shared" si="47"/>
        <v>3044</v>
      </c>
      <c r="G204" s="195">
        <f t="shared" si="48"/>
        <v>38226</v>
      </c>
      <c r="H204" s="193">
        <f t="shared" si="58"/>
        <v>16398</v>
      </c>
      <c r="I204" s="194">
        <f t="shared" si="49"/>
        <v>9162</v>
      </c>
      <c r="J204" s="194">
        <f t="shared" si="50"/>
        <v>7027</v>
      </c>
      <c r="K204" s="194">
        <f t="shared" si="51"/>
        <v>2985</v>
      </c>
      <c r="L204" s="195">
        <f t="shared" si="52"/>
        <v>35572</v>
      </c>
      <c r="M204" s="193">
        <v>3184</v>
      </c>
      <c r="N204" s="194">
        <v>995</v>
      </c>
      <c r="O204" s="194">
        <v>597</v>
      </c>
      <c r="P204" s="194">
        <v>597</v>
      </c>
      <c r="Q204" s="195">
        <v>5373</v>
      </c>
      <c r="R204" s="193">
        <v>3383</v>
      </c>
      <c r="S204" s="194">
        <v>2786</v>
      </c>
      <c r="T204" s="194">
        <v>2388</v>
      </c>
      <c r="U204" s="194">
        <v>597</v>
      </c>
      <c r="V204" s="195">
        <v>9154</v>
      </c>
      <c r="W204" s="193">
        <v>597</v>
      </c>
      <c r="X204" s="194">
        <v>199</v>
      </c>
      <c r="Y204" s="194"/>
      <c r="Z204" s="194">
        <v>398</v>
      </c>
      <c r="AA204" s="195">
        <v>1194</v>
      </c>
      <c r="AB204" s="193">
        <v>2070</v>
      </c>
      <c r="AC204" s="194"/>
      <c r="AD204" s="194"/>
      <c r="AE204" s="194"/>
      <c r="AF204" s="195">
        <v>2070</v>
      </c>
      <c r="AG204" s="193">
        <v>4975</v>
      </c>
      <c r="AH204" s="194">
        <v>4378</v>
      </c>
      <c r="AI204" s="194">
        <v>2985</v>
      </c>
      <c r="AJ204" s="194">
        <v>1194</v>
      </c>
      <c r="AK204" s="195">
        <v>13532</v>
      </c>
      <c r="AL204" s="193">
        <v>597</v>
      </c>
      <c r="AM204" s="194">
        <v>199</v>
      </c>
      <c r="AN204" s="194">
        <v>199</v>
      </c>
      <c r="AO204" s="194">
        <v>199</v>
      </c>
      <c r="AP204" s="195">
        <v>1194</v>
      </c>
      <c r="AQ204" s="193"/>
      <c r="AR204" s="194"/>
      <c r="AS204" s="194"/>
      <c r="AT204" s="194"/>
      <c r="AU204" s="195"/>
      <c r="AV204" s="193"/>
      <c r="AW204" s="194">
        <v>207</v>
      </c>
      <c r="AX204" s="194">
        <v>69</v>
      </c>
      <c r="AY204" s="194"/>
      <c r="AZ204" s="195">
        <v>276</v>
      </c>
      <c r="BA204" s="193">
        <v>1592</v>
      </c>
      <c r="BB204" s="194">
        <v>398</v>
      </c>
      <c r="BC204" s="194">
        <v>789</v>
      </c>
      <c r="BD204" s="194"/>
      <c r="BE204" s="195">
        <v>2779</v>
      </c>
      <c r="BF204" s="193">
        <f t="shared" si="59"/>
        <v>1327</v>
      </c>
      <c r="BG204" s="194">
        <f t="shared" si="53"/>
        <v>553</v>
      </c>
      <c r="BH204" s="194">
        <f t="shared" si="54"/>
        <v>715</v>
      </c>
      <c r="BI204" s="194">
        <f t="shared" si="55"/>
        <v>59</v>
      </c>
      <c r="BJ204" s="195">
        <f t="shared" si="56"/>
        <v>2654</v>
      </c>
      <c r="BK204" s="193"/>
      <c r="BL204" s="194"/>
      <c r="BM204" s="194"/>
      <c r="BN204" s="194"/>
      <c r="BO204" s="195"/>
      <c r="BP204" s="193">
        <v>531</v>
      </c>
      <c r="BQ204" s="194">
        <v>354</v>
      </c>
      <c r="BR204" s="194">
        <v>317</v>
      </c>
      <c r="BS204" s="194">
        <v>59</v>
      </c>
      <c r="BT204" s="195">
        <v>1261</v>
      </c>
      <c r="BU204" s="193">
        <v>796</v>
      </c>
      <c r="BV204" s="194">
        <v>199</v>
      </c>
      <c r="BW204" s="194">
        <v>398</v>
      </c>
      <c r="BX204" s="194"/>
      <c r="BY204" s="195">
        <v>1393</v>
      </c>
      <c r="BZ204" s="193"/>
      <c r="CA204" s="194"/>
      <c r="CB204" s="194"/>
      <c r="CC204" s="194"/>
      <c r="CD204" s="195"/>
      <c r="CE204" s="193"/>
      <c r="CF204" s="194"/>
      <c r="CG204" s="194"/>
      <c r="CH204" s="194"/>
      <c r="CI204" s="195"/>
    </row>
    <row r="205" spans="1:87">
      <c r="A205" s="186" t="s">
        <v>185</v>
      </c>
      <c r="B205" s="187" t="s">
        <v>26</v>
      </c>
      <c r="C205" s="188">
        <f t="shared" si="57"/>
        <v>0</v>
      </c>
      <c r="D205" s="189">
        <f t="shared" si="45"/>
        <v>27040</v>
      </c>
      <c r="E205" s="189">
        <f t="shared" si="46"/>
        <v>9880</v>
      </c>
      <c r="F205" s="189">
        <f t="shared" si="47"/>
        <v>1040</v>
      </c>
      <c r="G205" s="190">
        <f t="shared" si="48"/>
        <v>37960</v>
      </c>
      <c r="H205" s="188">
        <f t="shared" si="58"/>
        <v>0</v>
      </c>
      <c r="I205" s="189">
        <f t="shared" si="49"/>
        <v>27040</v>
      </c>
      <c r="J205" s="189">
        <f t="shared" si="50"/>
        <v>5720</v>
      </c>
      <c r="K205" s="189">
        <f t="shared" si="51"/>
        <v>1040</v>
      </c>
      <c r="L205" s="190">
        <f t="shared" si="52"/>
        <v>33800</v>
      </c>
      <c r="M205" s="188"/>
      <c r="N205" s="189"/>
      <c r="O205" s="189"/>
      <c r="P205" s="189"/>
      <c r="Q205" s="190"/>
      <c r="R205" s="188"/>
      <c r="S205" s="189"/>
      <c r="T205" s="189"/>
      <c r="U205" s="189"/>
      <c r="V205" s="190"/>
      <c r="W205" s="188"/>
      <c r="X205" s="189"/>
      <c r="Y205" s="189"/>
      <c r="Z205" s="189"/>
      <c r="AA205" s="190"/>
      <c r="AB205" s="188"/>
      <c r="AC205" s="189">
        <v>26000</v>
      </c>
      <c r="AD205" s="189">
        <v>1560</v>
      </c>
      <c r="AE205" s="189">
        <v>1040</v>
      </c>
      <c r="AF205" s="190">
        <v>28600</v>
      </c>
      <c r="AG205" s="188"/>
      <c r="AH205" s="189"/>
      <c r="AI205" s="189"/>
      <c r="AJ205" s="189"/>
      <c r="AK205" s="190"/>
      <c r="AL205" s="188"/>
      <c r="AM205" s="189"/>
      <c r="AN205" s="189"/>
      <c r="AO205" s="189"/>
      <c r="AP205" s="190"/>
      <c r="AQ205" s="188"/>
      <c r="AR205" s="189">
        <v>1040</v>
      </c>
      <c r="AS205" s="189">
        <v>4160</v>
      </c>
      <c r="AT205" s="189"/>
      <c r="AU205" s="190">
        <v>5200</v>
      </c>
      <c r="AV205" s="188"/>
      <c r="AW205" s="189"/>
      <c r="AX205" s="189"/>
      <c r="AY205" s="189"/>
      <c r="AZ205" s="190"/>
      <c r="BA205" s="188"/>
      <c r="BB205" s="189"/>
      <c r="BC205" s="189"/>
      <c r="BD205" s="189"/>
      <c r="BE205" s="190"/>
      <c r="BF205" s="188">
        <f t="shared" si="59"/>
        <v>0</v>
      </c>
      <c r="BG205" s="189">
        <f t="shared" si="53"/>
        <v>0</v>
      </c>
      <c r="BH205" s="189">
        <f t="shared" si="54"/>
        <v>4160</v>
      </c>
      <c r="BI205" s="189">
        <f t="shared" si="55"/>
        <v>0</v>
      </c>
      <c r="BJ205" s="190">
        <f t="shared" si="56"/>
        <v>4160</v>
      </c>
      <c r="BK205" s="188"/>
      <c r="BL205" s="189"/>
      <c r="BM205" s="189"/>
      <c r="BN205" s="189"/>
      <c r="BO205" s="190"/>
      <c r="BP205" s="188"/>
      <c r="BQ205" s="189"/>
      <c r="BR205" s="189"/>
      <c r="BS205" s="189"/>
      <c r="BT205" s="190"/>
      <c r="BU205" s="188"/>
      <c r="BV205" s="189"/>
      <c r="BW205" s="189">
        <v>4160</v>
      </c>
      <c r="BX205" s="189"/>
      <c r="BY205" s="190">
        <v>4160</v>
      </c>
      <c r="BZ205" s="188"/>
      <c r="CA205" s="189"/>
      <c r="CB205" s="189"/>
      <c r="CC205" s="189"/>
      <c r="CD205" s="190"/>
      <c r="CE205" s="188"/>
      <c r="CF205" s="189"/>
      <c r="CG205" s="189"/>
      <c r="CH205" s="189"/>
      <c r="CI205" s="190"/>
    </row>
    <row r="206" s="163" customFormat="1" ht="14.6" spans="1:87">
      <c r="A206" s="191" t="s">
        <v>186</v>
      </c>
      <c r="B206" s="192"/>
      <c r="C206" s="193">
        <f t="shared" si="57"/>
        <v>0</v>
      </c>
      <c r="D206" s="194">
        <f t="shared" si="45"/>
        <v>27040</v>
      </c>
      <c r="E206" s="194">
        <f t="shared" si="46"/>
        <v>9880</v>
      </c>
      <c r="F206" s="194">
        <f t="shared" si="47"/>
        <v>1040</v>
      </c>
      <c r="G206" s="195">
        <f t="shared" si="48"/>
        <v>37960</v>
      </c>
      <c r="H206" s="193">
        <f t="shared" si="58"/>
        <v>0</v>
      </c>
      <c r="I206" s="194">
        <f t="shared" si="49"/>
        <v>27040</v>
      </c>
      <c r="J206" s="194">
        <f t="shared" si="50"/>
        <v>5720</v>
      </c>
      <c r="K206" s="194">
        <f t="shared" si="51"/>
        <v>1040</v>
      </c>
      <c r="L206" s="195">
        <f t="shared" si="52"/>
        <v>33800</v>
      </c>
      <c r="M206" s="193"/>
      <c r="N206" s="194"/>
      <c r="O206" s="194"/>
      <c r="P206" s="194"/>
      <c r="Q206" s="195"/>
      <c r="R206" s="193"/>
      <c r="S206" s="194"/>
      <c r="T206" s="194"/>
      <c r="U206" s="194"/>
      <c r="V206" s="195"/>
      <c r="W206" s="193"/>
      <c r="X206" s="194"/>
      <c r="Y206" s="194"/>
      <c r="Z206" s="194"/>
      <c r="AA206" s="195"/>
      <c r="AB206" s="193"/>
      <c r="AC206" s="194">
        <v>26000</v>
      </c>
      <c r="AD206" s="194">
        <v>1560</v>
      </c>
      <c r="AE206" s="194">
        <v>1040</v>
      </c>
      <c r="AF206" s="195">
        <v>28600</v>
      </c>
      <c r="AG206" s="193"/>
      <c r="AH206" s="194"/>
      <c r="AI206" s="194"/>
      <c r="AJ206" s="194"/>
      <c r="AK206" s="195"/>
      <c r="AL206" s="193"/>
      <c r="AM206" s="194"/>
      <c r="AN206" s="194"/>
      <c r="AO206" s="194"/>
      <c r="AP206" s="195"/>
      <c r="AQ206" s="193"/>
      <c r="AR206" s="194">
        <v>1040</v>
      </c>
      <c r="AS206" s="194">
        <v>4160</v>
      </c>
      <c r="AT206" s="194"/>
      <c r="AU206" s="195">
        <v>5200</v>
      </c>
      <c r="AV206" s="193"/>
      <c r="AW206" s="194"/>
      <c r="AX206" s="194"/>
      <c r="AY206" s="194"/>
      <c r="AZ206" s="195"/>
      <c r="BA206" s="193"/>
      <c r="BB206" s="194"/>
      <c r="BC206" s="194"/>
      <c r="BD206" s="194"/>
      <c r="BE206" s="195"/>
      <c r="BF206" s="193">
        <f t="shared" si="59"/>
        <v>0</v>
      </c>
      <c r="BG206" s="194">
        <f t="shared" si="53"/>
        <v>0</v>
      </c>
      <c r="BH206" s="194">
        <f t="shared" si="54"/>
        <v>4160</v>
      </c>
      <c r="BI206" s="194">
        <f t="shared" si="55"/>
        <v>0</v>
      </c>
      <c r="BJ206" s="195">
        <f t="shared" si="56"/>
        <v>4160</v>
      </c>
      <c r="BK206" s="193"/>
      <c r="BL206" s="194"/>
      <c r="BM206" s="194"/>
      <c r="BN206" s="194"/>
      <c r="BO206" s="195"/>
      <c r="BP206" s="193"/>
      <c r="BQ206" s="194"/>
      <c r="BR206" s="194"/>
      <c r="BS206" s="194"/>
      <c r="BT206" s="195"/>
      <c r="BU206" s="193"/>
      <c r="BV206" s="194"/>
      <c r="BW206" s="194">
        <v>4160</v>
      </c>
      <c r="BX206" s="194"/>
      <c r="BY206" s="195">
        <v>4160</v>
      </c>
      <c r="BZ206" s="193"/>
      <c r="CA206" s="194"/>
      <c r="CB206" s="194"/>
      <c r="CC206" s="194"/>
      <c r="CD206" s="195"/>
      <c r="CE206" s="193"/>
      <c r="CF206" s="194"/>
      <c r="CG206" s="194"/>
      <c r="CH206" s="194"/>
      <c r="CI206" s="195"/>
    </row>
    <row r="207" spans="1:87">
      <c r="A207" s="186" t="s">
        <v>187</v>
      </c>
      <c r="B207" s="187" t="s">
        <v>26</v>
      </c>
      <c r="C207" s="188">
        <f t="shared" si="57"/>
        <v>18519</v>
      </c>
      <c r="D207" s="189">
        <f t="shared" si="45"/>
        <v>3333</v>
      </c>
      <c r="E207" s="189">
        <f t="shared" si="46"/>
        <v>7392</v>
      </c>
      <c r="F207" s="189">
        <f t="shared" si="47"/>
        <v>8464</v>
      </c>
      <c r="G207" s="190">
        <f t="shared" si="48"/>
        <v>37708</v>
      </c>
      <c r="H207" s="188">
        <f t="shared" si="58"/>
        <v>6306</v>
      </c>
      <c r="I207" s="189">
        <f t="shared" si="49"/>
        <v>3077</v>
      </c>
      <c r="J207" s="189">
        <f t="shared" si="50"/>
        <v>2355</v>
      </c>
      <c r="K207" s="189">
        <f t="shared" si="51"/>
        <v>4551</v>
      </c>
      <c r="L207" s="190">
        <f t="shared" si="52"/>
        <v>16289</v>
      </c>
      <c r="M207" s="188">
        <v>3400</v>
      </c>
      <c r="N207" s="189">
        <v>680</v>
      </c>
      <c r="O207" s="189">
        <v>1498</v>
      </c>
      <c r="P207" s="189">
        <v>1035</v>
      </c>
      <c r="Q207" s="190">
        <v>6613</v>
      </c>
      <c r="R207" s="188">
        <v>59</v>
      </c>
      <c r="S207" s="189">
        <v>617</v>
      </c>
      <c r="T207" s="189"/>
      <c r="U207" s="189"/>
      <c r="V207" s="190">
        <v>676</v>
      </c>
      <c r="W207" s="188"/>
      <c r="X207" s="189"/>
      <c r="Y207" s="189"/>
      <c r="Z207" s="189"/>
      <c r="AA207" s="190"/>
      <c r="AB207" s="188">
        <v>2473</v>
      </c>
      <c r="AC207" s="189">
        <v>1281</v>
      </c>
      <c r="AD207" s="189">
        <v>650</v>
      </c>
      <c r="AE207" s="189">
        <v>2974</v>
      </c>
      <c r="AF207" s="190">
        <v>7378</v>
      </c>
      <c r="AG207" s="188">
        <v>69</v>
      </c>
      <c r="AH207" s="189"/>
      <c r="AI207" s="189">
        <v>207</v>
      </c>
      <c r="AJ207" s="189">
        <v>414</v>
      </c>
      <c r="AK207" s="190">
        <v>690</v>
      </c>
      <c r="AL207" s="188"/>
      <c r="AM207" s="189"/>
      <c r="AN207" s="189"/>
      <c r="AO207" s="189"/>
      <c r="AP207" s="190"/>
      <c r="AQ207" s="188"/>
      <c r="AR207" s="189"/>
      <c r="AS207" s="189"/>
      <c r="AT207" s="189"/>
      <c r="AU207" s="190"/>
      <c r="AV207" s="188">
        <v>187</v>
      </c>
      <c r="AW207" s="189"/>
      <c r="AX207" s="189"/>
      <c r="AY207" s="189">
        <v>69</v>
      </c>
      <c r="AZ207" s="190">
        <v>256</v>
      </c>
      <c r="BA207" s="188">
        <v>118</v>
      </c>
      <c r="BB207" s="189">
        <v>499</v>
      </c>
      <c r="BC207" s="189"/>
      <c r="BD207" s="189">
        <v>59</v>
      </c>
      <c r="BE207" s="190">
        <v>676</v>
      </c>
      <c r="BF207" s="188">
        <f t="shared" si="59"/>
        <v>12213</v>
      </c>
      <c r="BG207" s="189">
        <f t="shared" si="53"/>
        <v>256</v>
      </c>
      <c r="BH207" s="189">
        <f t="shared" si="54"/>
        <v>5037</v>
      </c>
      <c r="BI207" s="189">
        <f t="shared" si="55"/>
        <v>3913</v>
      </c>
      <c r="BJ207" s="190">
        <f t="shared" si="56"/>
        <v>21419</v>
      </c>
      <c r="BK207" s="188"/>
      <c r="BL207" s="189"/>
      <c r="BM207" s="189"/>
      <c r="BN207" s="189"/>
      <c r="BO207" s="190"/>
      <c r="BP207" s="188">
        <v>12213</v>
      </c>
      <c r="BQ207" s="189">
        <v>256</v>
      </c>
      <c r="BR207" s="189"/>
      <c r="BS207" s="189">
        <v>187</v>
      </c>
      <c r="BT207" s="190">
        <v>12656</v>
      </c>
      <c r="BU207" s="188"/>
      <c r="BV207" s="189"/>
      <c r="BW207" s="189">
        <v>5037</v>
      </c>
      <c r="BX207" s="189">
        <v>3726</v>
      </c>
      <c r="BY207" s="190">
        <v>8763</v>
      </c>
      <c r="BZ207" s="188"/>
      <c r="CA207" s="189"/>
      <c r="CB207" s="189"/>
      <c r="CC207" s="189"/>
      <c r="CD207" s="190"/>
      <c r="CE207" s="188"/>
      <c r="CF207" s="189"/>
      <c r="CG207" s="189"/>
      <c r="CH207" s="189"/>
      <c r="CI207" s="190"/>
    </row>
    <row r="208" s="163" customFormat="1" ht="14.6" spans="1:87">
      <c r="A208" s="191" t="s">
        <v>188</v>
      </c>
      <c r="B208" s="192"/>
      <c r="C208" s="193">
        <f t="shared" si="57"/>
        <v>18519</v>
      </c>
      <c r="D208" s="194">
        <f t="shared" si="45"/>
        <v>3333</v>
      </c>
      <c r="E208" s="194">
        <f t="shared" si="46"/>
        <v>7392</v>
      </c>
      <c r="F208" s="194">
        <f t="shared" si="47"/>
        <v>8464</v>
      </c>
      <c r="G208" s="195">
        <f t="shared" si="48"/>
        <v>37708</v>
      </c>
      <c r="H208" s="193">
        <f t="shared" si="58"/>
        <v>6306</v>
      </c>
      <c r="I208" s="194">
        <f t="shared" si="49"/>
        <v>3077</v>
      </c>
      <c r="J208" s="194">
        <f t="shared" si="50"/>
        <v>2355</v>
      </c>
      <c r="K208" s="194">
        <f t="shared" si="51"/>
        <v>4551</v>
      </c>
      <c r="L208" s="195">
        <f t="shared" si="52"/>
        <v>16289</v>
      </c>
      <c r="M208" s="193">
        <v>3400</v>
      </c>
      <c r="N208" s="194">
        <v>680</v>
      </c>
      <c r="O208" s="194">
        <v>1498</v>
      </c>
      <c r="P208" s="194">
        <v>1035</v>
      </c>
      <c r="Q208" s="195">
        <v>6613</v>
      </c>
      <c r="R208" s="193">
        <v>59</v>
      </c>
      <c r="S208" s="194">
        <v>617</v>
      </c>
      <c r="T208" s="194"/>
      <c r="U208" s="194"/>
      <c r="V208" s="195">
        <v>676</v>
      </c>
      <c r="W208" s="193"/>
      <c r="X208" s="194"/>
      <c r="Y208" s="194"/>
      <c r="Z208" s="194"/>
      <c r="AA208" s="195"/>
      <c r="AB208" s="193">
        <v>2473</v>
      </c>
      <c r="AC208" s="194">
        <v>1281</v>
      </c>
      <c r="AD208" s="194">
        <v>650</v>
      </c>
      <c r="AE208" s="194">
        <v>2974</v>
      </c>
      <c r="AF208" s="195">
        <v>7378</v>
      </c>
      <c r="AG208" s="193">
        <v>69</v>
      </c>
      <c r="AH208" s="194"/>
      <c r="AI208" s="194">
        <v>207</v>
      </c>
      <c r="AJ208" s="194">
        <v>414</v>
      </c>
      <c r="AK208" s="195">
        <v>690</v>
      </c>
      <c r="AL208" s="193"/>
      <c r="AM208" s="194"/>
      <c r="AN208" s="194"/>
      <c r="AO208" s="194"/>
      <c r="AP208" s="195"/>
      <c r="AQ208" s="193"/>
      <c r="AR208" s="194"/>
      <c r="AS208" s="194"/>
      <c r="AT208" s="194"/>
      <c r="AU208" s="195"/>
      <c r="AV208" s="193">
        <v>187</v>
      </c>
      <c r="AW208" s="194"/>
      <c r="AX208" s="194"/>
      <c r="AY208" s="194">
        <v>69</v>
      </c>
      <c r="AZ208" s="195">
        <v>256</v>
      </c>
      <c r="BA208" s="193">
        <v>118</v>
      </c>
      <c r="BB208" s="194">
        <v>499</v>
      </c>
      <c r="BC208" s="194"/>
      <c r="BD208" s="194">
        <v>59</v>
      </c>
      <c r="BE208" s="195">
        <v>676</v>
      </c>
      <c r="BF208" s="193">
        <f t="shared" si="59"/>
        <v>12213</v>
      </c>
      <c r="BG208" s="194">
        <f t="shared" si="53"/>
        <v>256</v>
      </c>
      <c r="BH208" s="194">
        <f t="shared" si="54"/>
        <v>5037</v>
      </c>
      <c r="BI208" s="194">
        <f t="shared" si="55"/>
        <v>3913</v>
      </c>
      <c r="BJ208" s="195">
        <f t="shared" si="56"/>
        <v>21419</v>
      </c>
      <c r="BK208" s="193"/>
      <c r="BL208" s="194"/>
      <c r="BM208" s="194"/>
      <c r="BN208" s="194"/>
      <c r="BO208" s="195"/>
      <c r="BP208" s="193">
        <v>12213</v>
      </c>
      <c r="BQ208" s="194">
        <v>256</v>
      </c>
      <c r="BR208" s="194"/>
      <c r="BS208" s="194">
        <v>187</v>
      </c>
      <c r="BT208" s="195">
        <v>12656</v>
      </c>
      <c r="BU208" s="193"/>
      <c r="BV208" s="194"/>
      <c r="BW208" s="194">
        <v>5037</v>
      </c>
      <c r="BX208" s="194">
        <v>3726</v>
      </c>
      <c r="BY208" s="195">
        <v>8763</v>
      </c>
      <c r="BZ208" s="193"/>
      <c r="CA208" s="194"/>
      <c r="CB208" s="194"/>
      <c r="CC208" s="194"/>
      <c r="CD208" s="195"/>
      <c r="CE208" s="193"/>
      <c r="CF208" s="194"/>
      <c r="CG208" s="194"/>
      <c r="CH208" s="194"/>
      <c r="CI208" s="195"/>
    </row>
    <row r="209" spans="1:87">
      <c r="A209" s="186" t="s">
        <v>189</v>
      </c>
      <c r="B209" s="187" t="s">
        <v>26</v>
      </c>
      <c r="C209" s="188">
        <f t="shared" si="57"/>
        <v>11269</v>
      </c>
      <c r="D209" s="189">
        <f t="shared" si="45"/>
        <v>8850</v>
      </c>
      <c r="E209" s="189">
        <f t="shared" si="46"/>
        <v>7552</v>
      </c>
      <c r="F209" s="189">
        <f t="shared" si="47"/>
        <v>7139</v>
      </c>
      <c r="G209" s="190">
        <f t="shared" si="48"/>
        <v>34810</v>
      </c>
      <c r="H209" s="188">
        <f t="shared" si="58"/>
        <v>11210</v>
      </c>
      <c r="I209" s="189">
        <f t="shared" si="49"/>
        <v>8850</v>
      </c>
      <c r="J209" s="189">
        <f t="shared" si="50"/>
        <v>7552</v>
      </c>
      <c r="K209" s="189">
        <f t="shared" si="51"/>
        <v>7139</v>
      </c>
      <c r="L209" s="190">
        <f t="shared" si="52"/>
        <v>34751</v>
      </c>
      <c r="M209" s="188">
        <v>354</v>
      </c>
      <c r="N209" s="189">
        <v>295</v>
      </c>
      <c r="O209" s="189">
        <v>413</v>
      </c>
      <c r="P209" s="189">
        <v>708</v>
      </c>
      <c r="Q209" s="190">
        <v>1770</v>
      </c>
      <c r="R209" s="188">
        <v>1239</v>
      </c>
      <c r="S209" s="189">
        <v>1770</v>
      </c>
      <c r="T209" s="189">
        <v>1062</v>
      </c>
      <c r="U209" s="189">
        <v>590</v>
      </c>
      <c r="V209" s="190">
        <v>4661</v>
      </c>
      <c r="W209" s="188"/>
      <c r="X209" s="189"/>
      <c r="Y209" s="189"/>
      <c r="Z209" s="189"/>
      <c r="AA209" s="190"/>
      <c r="AB209" s="188">
        <v>5015</v>
      </c>
      <c r="AC209" s="189">
        <v>3894</v>
      </c>
      <c r="AD209" s="189">
        <v>3422</v>
      </c>
      <c r="AE209" s="189">
        <v>3422</v>
      </c>
      <c r="AF209" s="190">
        <v>15753</v>
      </c>
      <c r="AG209" s="188">
        <v>354</v>
      </c>
      <c r="AH209" s="189">
        <v>59</v>
      </c>
      <c r="AI209" s="189">
        <v>59</v>
      </c>
      <c r="AJ209" s="189">
        <v>177</v>
      </c>
      <c r="AK209" s="190">
        <v>649</v>
      </c>
      <c r="AL209" s="188"/>
      <c r="AM209" s="189"/>
      <c r="AN209" s="189"/>
      <c r="AO209" s="189"/>
      <c r="AP209" s="190"/>
      <c r="AQ209" s="188">
        <v>2950</v>
      </c>
      <c r="AR209" s="189">
        <v>1829</v>
      </c>
      <c r="AS209" s="189">
        <v>1298</v>
      </c>
      <c r="AT209" s="189">
        <v>472</v>
      </c>
      <c r="AU209" s="190">
        <v>6549</v>
      </c>
      <c r="AV209" s="188">
        <v>767</v>
      </c>
      <c r="AW209" s="189">
        <v>295</v>
      </c>
      <c r="AX209" s="189">
        <v>590</v>
      </c>
      <c r="AY209" s="189">
        <v>1062</v>
      </c>
      <c r="AZ209" s="190">
        <v>2714</v>
      </c>
      <c r="BA209" s="188">
        <v>531</v>
      </c>
      <c r="BB209" s="189">
        <v>708</v>
      </c>
      <c r="BC209" s="189">
        <v>708</v>
      </c>
      <c r="BD209" s="189">
        <v>708</v>
      </c>
      <c r="BE209" s="190">
        <v>2655</v>
      </c>
      <c r="BF209" s="188">
        <f t="shared" si="59"/>
        <v>59</v>
      </c>
      <c r="BG209" s="189">
        <f t="shared" si="53"/>
        <v>0</v>
      </c>
      <c r="BH209" s="189">
        <f t="shared" si="54"/>
        <v>0</v>
      </c>
      <c r="BI209" s="189">
        <f t="shared" si="55"/>
        <v>0</v>
      </c>
      <c r="BJ209" s="190">
        <f t="shared" si="56"/>
        <v>59</v>
      </c>
      <c r="BK209" s="188"/>
      <c r="BL209" s="189"/>
      <c r="BM209" s="189"/>
      <c r="BN209" s="189"/>
      <c r="BO209" s="190"/>
      <c r="BP209" s="188">
        <v>59</v>
      </c>
      <c r="BQ209" s="189"/>
      <c r="BR209" s="189"/>
      <c r="BS209" s="189"/>
      <c r="BT209" s="190">
        <v>59</v>
      </c>
      <c r="BU209" s="188"/>
      <c r="BV209" s="189"/>
      <c r="BW209" s="189"/>
      <c r="BX209" s="189"/>
      <c r="BY209" s="190"/>
      <c r="BZ209" s="188"/>
      <c r="CA209" s="189"/>
      <c r="CB209" s="189"/>
      <c r="CC209" s="189"/>
      <c r="CD209" s="190"/>
      <c r="CE209" s="188"/>
      <c r="CF209" s="189"/>
      <c r="CG209" s="189"/>
      <c r="CH209" s="189"/>
      <c r="CI209" s="190"/>
    </row>
    <row r="210" s="163" customFormat="1" ht="14.6" spans="1:87">
      <c r="A210" s="191" t="s">
        <v>190</v>
      </c>
      <c r="B210" s="192"/>
      <c r="C210" s="193">
        <f t="shared" si="57"/>
        <v>11269</v>
      </c>
      <c r="D210" s="194">
        <f t="shared" si="45"/>
        <v>8850</v>
      </c>
      <c r="E210" s="194">
        <f t="shared" si="46"/>
        <v>7552</v>
      </c>
      <c r="F210" s="194">
        <f t="shared" si="47"/>
        <v>7139</v>
      </c>
      <c r="G210" s="195">
        <f t="shared" si="48"/>
        <v>34810</v>
      </c>
      <c r="H210" s="193">
        <f t="shared" si="58"/>
        <v>11210</v>
      </c>
      <c r="I210" s="194">
        <f t="shared" si="49"/>
        <v>8850</v>
      </c>
      <c r="J210" s="194">
        <f t="shared" si="50"/>
        <v>7552</v>
      </c>
      <c r="K210" s="194">
        <f t="shared" si="51"/>
        <v>7139</v>
      </c>
      <c r="L210" s="195">
        <f t="shared" si="52"/>
        <v>34751</v>
      </c>
      <c r="M210" s="193">
        <v>354</v>
      </c>
      <c r="N210" s="194">
        <v>295</v>
      </c>
      <c r="O210" s="194">
        <v>413</v>
      </c>
      <c r="P210" s="194">
        <v>708</v>
      </c>
      <c r="Q210" s="195">
        <v>1770</v>
      </c>
      <c r="R210" s="193">
        <v>1239</v>
      </c>
      <c r="S210" s="194">
        <v>1770</v>
      </c>
      <c r="T210" s="194">
        <v>1062</v>
      </c>
      <c r="U210" s="194">
        <v>590</v>
      </c>
      <c r="V210" s="195">
        <v>4661</v>
      </c>
      <c r="W210" s="193"/>
      <c r="X210" s="194"/>
      <c r="Y210" s="194"/>
      <c r="Z210" s="194"/>
      <c r="AA210" s="195"/>
      <c r="AB210" s="193">
        <v>5015</v>
      </c>
      <c r="AC210" s="194">
        <v>3894</v>
      </c>
      <c r="AD210" s="194">
        <v>3422</v>
      </c>
      <c r="AE210" s="194">
        <v>3422</v>
      </c>
      <c r="AF210" s="195">
        <v>15753</v>
      </c>
      <c r="AG210" s="193">
        <v>354</v>
      </c>
      <c r="AH210" s="194">
        <v>59</v>
      </c>
      <c r="AI210" s="194">
        <v>59</v>
      </c>
      <c r="AJ210" s="194">
        <v>177</v>
      </c>
      <c r="AK210" s="195">
        <v>649</v>
      </c>
      <c r="AL210" s="193"/>
      <c r="AM210" s="194"/>
      <c r="AN210" s="194"/>
      <c r="AO210" s="194"/>
      <c r="AP210" s="195"/>
      <c r="AQ210" s="193">
        <v>2950</v>
      </c>
      <c r="AR210" s="194">
        <v>1829</v>
      </c>
      <c r="AS210" s="194">
        <v>1298</v>
      </c>
      <c r="AT210" s="194">
        <v>472</v>
      </c>
      <c r="AU210" s="195">
        <v>6549</v>
      </c>
      <c r="AV210" s="193">
        <v>767</v>
      </c>
      <c r="AW210" s="194">
        <v>295</v>
      </c>
      <c r="AX210" s="194">
        <v>590</v>
      </c>
      <c r="AY210" s="194">
        <v>1062</v>
      </c>
      <c r="AZ210" s="195">
        <v>2714</v>
      </c>
      <c r="BA210" s="193">
        <v>531</v>
      </c>
      <c r="BB210" s="194">
        <v>708</v>
      </c>
      <c r="BC210" s="194">
        <v>708</v>
      </c>
      <c r="BD210" s="194">
        <v>708</v>
      </c>
      <c r="BE210" s="195">
        <v>2655</v>
      </c>
      <c r="BF210" s="193">
        <f t="shared" si="59"/>
        <v>59</v>
      </c>
      <c r="BG210" s="194">
        <f t="shared" si="53"/>
        <v>0</v>
      </c>
      <c r="BH210" s="194">
        <f t="shared" si="54"/>
        <v>0</v>
      </c>
      <c r="BI210" s="194">
        <f t="shared" si="55"/>
        <v>0</v>
      </c>
      <c r="BJ210" s="195">
        <f t="shared" si="56"/>
        <v>59</v>
      </c>
      <c r="BK210" s="193"/>
      <c r="BL210" s="194"/>
      <c r="BM210" s="194"/>
      <c r="BN210" s="194"/>
      <c r="BO210" s="195"/>
      <c r="BP210" s="193">
        <v>59</v>
      </c>
      <c r="BQ210" s="194"/>
      <c r="BR210" s="194"/>
      <c r="BS210" s="194"/>
      <c r="BT210" s="195">
        <v>59</v>
      </c>
      <c r="BU210" s="193"/>
      <c r="BV210" s="194"/>
      <c r="BW210" s="194"/>
      <c r="BX210" s="194"/>
      <c r="BY210" s="195"/>
      <c r="BZ210" s="193"/>
      <c r="CA210" s="194"/>
      <c r="CB210" s="194"/>
      <c r="CC210" s="194"/>
      <c r="CD210" s="195"/>
      <c r="CE210" s="193"/>
      <c r="CF210" s="194"/>
      <c r="CG210" s="194"/>
      <c r="CH210" s="194"/>
      <c r="CI210" s="195"/>
    </row>
    <row r="211" spans="1:87">
      <c r="A211" s="186" t="s">
        <v>191</v>
      </c>
      <c r="B211" s="187" t="s">
        <v>26</v>
      </c>
      <c r="C211" s="188">
        <f t="shared" si="57"/>
        <v>11592</v>
      </c>
      <c r="D211" s="189">
        <f t="shared" si="45"/>
        <v>7383</v>
      </c>
      <c r="E211" s="189">
        <f t="shared" si="46"/>
        <v>7383</v>
      </c>
      <c r="F211" s="189">
        <f t="shared" si="47"/>
        <v>6969</v>
      </c>
      <c r="G211" s="190">
        <f t="shared" si="48"/>
        <v>33327</v>
      </c>
      <c r="H211" s="188">
        <f t="shared" si="58"/>
        <v>11385</v>
      </c>
      <c r="I211" s="189">
        <f t="shared" si="49"/>
        <v>6762</v>
      </c>
      <c r="J211" s="189">
        <f t="shared" si="50"/>
        <v>6969</v>
      </c>
      <c r="K211" s="189">
        <f t="shared" si="51"/>
        <v>6693</v>
      </c>
      <c r="L211" s="190">
        <f t="shared" si="52"/>
        <v>31809</v>
      </c>
      <c r="M211" s="188">
        <v>414</v>
      </c>
      <c r="N211" s="189"/>
      <c r="O211" s="189"/>
      <c r="P211" s="189">
        <v>138</v>
      </c>
      <c r="Q211" s="190">
        <v>552</v>
      </c>
      <c r="R211" s="188">
        <v>2208</v>
      </c>
      <c r="S211" s="189">
        <v>2070</v>
      </c>
      <c r="T211" s="189">
        <v>2001</v>
      </c>
      <c r="U211" s="189">
        <v>3312</v>
      </c>
      <c r="V211" s="190">
        <v>9591</v>
      </c>
      <c r="W211" s="188"/>
      <c r="X211" s="189"/>
      <c r="Y211" s="189"/>
      <c r="Z211" s="189"/>
      <c r="AA211" s="190"/>
      <c r="AB211" s="188">
        <v>5796</v>
      </c>
      <c r="AC211" s="189">
        <v>3519</v>
      </c>
      <c r="AD211" s="189">
        <v>3726</v>
      </c>
      <c r="AE211" s="189">
        <v>1932</v>
      </c>
      <c r="AF211" s="190">
        <v>14973</v>
      </c>
      <c r="AG211" s="188"/>
      <c r="AH211" s="189"/>
      <c r="AI211" s="189"/>
      <c r="AJ211" s="189"/>
      <c r="AK211" s="190"/>
      <c r="AL211" s="188">
        <v>759</v>
      </c>
      <c r="AM211" s="189">
        <v>483</v>
      </c>
      <c r="AN211" s="189">
        <v>207</v>
      </c>
      <c r="AO211" s="189">
        <v>1035</v>
      </c>
      <c r="AP211" s="190">
        <v>2484</v>
      </c>
      <c r="AQ211" s="188">
        <v>1380</v>
      </c>
      <c r="AR211" s="189">
        <v>621</v>
      </c>
      <c r="AS211" s="189">
        <v>414</v>
      </c>
      <c r="AT211" s="189">
        <v>69</v>
      </c>
      <c r="AU211" s="190">
        <v>2484</v>
      </c>
      <c r="AV211" s="188">
        <v>69</v>
      </c>
      <c r="AW211" s="189"/>
      <c r="AX211" s="189">
        <v>138</v>
      </c>
      <c r="AY211" s="189"/>
      <c r="AZ211" s="190">
        <v>207</v>
      </c>
      <c r="BA211" s="188">
        <v>759</v>
      </c>
      <c r="BB211" s="189">
        <v>69</v>
      </c>
      <c r="BC211" s="189">
        <v>483</v>
      </c>
      <c r="BD211" s="189">
        <v>207</v>
      </c>
      <c r="BE211" s="190">
        <v>1518</v>
      </c>
      <c r="BF211" s="188">
        <f t="shared" si="59"/>
        <v>207</v>
      </c>
      <c r="BG211" s="189">
        <f t="shared" si="53"/>
        <v>621</v>
      </c>
      <c r="BH211" s="189">
        <f t="shared" si="54"/>
        <v>414</v>
      </c>
      <c r="BI211" s="189">
        <f t="shared" si="55"/>
        <v>276</v>
      </c>
      <c r="BJ211" s="190">
        <f t="shared" si="56"/>
        <v>1518</v>
      </c>
      <c r="BK211" s="188"/>
      <c r="BL211" s="189"/>
      <c r="BM211" s="189"/>
      <c r="BN211" s="189"/>
      <c r="BO211" s="190"/>
      <c r="BP211" s="188"/>
      <c r="BQ211" s="189"/>
      <c r="BR211" s="189">
        <v>69</v>
      </c>
      <c r="BS211" s="189">
        <v>69</v>
      </c>
      <c r="BT211" s="190">
        <v>138</v>
      </c>
      <c r="BU211" s="188">
        <v>207</v>
      </c>
      <c r="BV211" s="189">
        <v>621</v>
      </c>
      <c r="BW211" s="189">
        <v>345</v>
      </c>
      <c r="BX211" s="189">
        <v>207</v>
      </c>
      <c r="BY211" s="190">
        <v>1380</v>
      </c>
      <c r="BZ211" s="188"/>
      <c r="CA211" s="189"/>
      <c r="CB211" s="189"/>
      <c r="CC211" s="189"/>
      <c r="CD211" s="190"/>
      <c r="CE211" s="188"/>
      <c r="CF211" s="189"/>
      <c r="CG211" s="189"/>
      <c r="CH211" s="189"/>
      <c r="CI211" s="190"/>
    </row>
    <row r="212" s="163" customFormat="1" ht="14.6" spans="1:87">
      <c r="A212" s="191" t="s">
        <v>192</v>
      </c>
      <c r="B212" s="192"/>
      <c r="C212" s="193">
        <f t="shared" si="57"/>
        <v>11592</v>
      </c>
      <c r="D212" s="194">
        <f t="shared" si="45"/>
        <v>7383</v>
      </c>
      <c r="E212" s="194">
        <f t="shared" si="46"/>
        <v>7383</v>
      </c>
      <c r="F212" s="194">
        <f t="shared" si="47"/>
        <v>6969</v>
      </c>
      <c r="G212" s="195">
        <f t="shared" si="48"/>
        <v>33327</v>
      </c>
      <c r="H212" s="193">
        <f t="shared" si="58"/>
        <v>11385</v>
      </c>
      <c r="I212" s="194">
        <f t="shared" si="49"/>
        <v>6762</v>
      </c>
      <c r="J212" s="194">
        <f t="shared" si="50"/>
        <v>6969</v>
      </c>
      <c r="K212" s="194">
        <f t="shared" si="51"/>
        <v>6693</v>
      </c>
      <c r="L212" s="195">
        <f t="shared" si="52"/>
        <v>31809</v>
      </c>
      <c r="M212" s="193">
        <v>414</v>
      </c>
      <c r="N212" s="194"/>
      <c r="O212" s="194"/>
      <c r="P212" s="194">
        <v>138</v>
      </c>
      <c r="Q212" s="195">
        <v>552</v>
      </c>
      <c r="R212" s="193">
        <v>2208</v>
      </c>
      <c r="S212" s="194">
        <v>2070</v>
      </c>
      <c r="T212" s="194">
        <v>2001</v>
      </c>
      <c r="U212" s="194">
        <v>3312</v>
      </c>
      <c r="V212" s="195">
        <v>9591</v>
      </c>
      <c r="W212" s="193"/>
      <c r="X212" s="194"/>
      <c r="Y212" s="194"/>
      <c r="Z212" s="194"/>
      <c r="AA212" s="195"/>
      <c r="AB212" s="193">
        <v>5796</v>
      </c>
      <c r="AC212" s="194">
        <v>3519</v>
      </c>
      <c r="AD212" s="194">
        <v>3726</v>
      </c>
      <c r="AE212" s="194">
        <v>1932</v>
      </c>
      <c r="AF212" s="195">
        <v>14973</v>
      </c>
      <c r="AG212" s="193"/>
      <c r="AH212" s="194"/>
      <c r="AI212" s="194"/>
      <c r="AJ212" s="194"/>
      <c r="AK212" s="195"/>
      <c r="AL212" s="193">
        <v>759</v>
      </c>
      <c r="AM212" s="194">
        <v>483</v>
      </c>
      <c r="AN212" s="194">
        <v>207</v>
      </c>
      <c r="AO212" s="194">
        <v>1035</v>
      </c>
      <c r="AP212" s="195">
        <v>2484</v>
      </c>
      <c r="AQ212" s="193">
        <v>1380</v>
      </c>
      <c r="AR212" s="194">
        <v>621</v>
      </c>
      <c r="AS212" s="194">
        <v>414</v>
      </c>
      <c r="AT212" s="194">
        <v>69</v>
      </c>
      <c r="AU212" s="195">
        <v>2484</v>
      </c>
      <c r="AV212" s="193">
        <v>69</v>
      </c>
      <c r="AW212" s="194"/>
      <c r="AX212" s="194">
        <v>138</v>
      </c>
      <c r="AY212" s="194"/>
      <c r="AZ212" s="195">
        <v>207</v>
      </c>
      <c r="BA212" s="193">
        <v>759</v>
      </c>
      <c r="BB212" s="194">
        <v>69</v>
      </c>
      <c r="BC212" s="194">
        <v>483</v>
      </c>
      <c r="BD212" s="194">
        <v>207</v>
      </c>
      <c r="BE212" s="195">
        <v>1518</v>
      </c>
      <c r="BF212" s="193">
        <f t="shared" si="59"/>
        <v>207</v>
      </c>
      <c r="BG212" s="194">
        <f t="shared" si="53"/>
        <v>621</v>
      </c>
      <c r="BH212" s="194">
        <f t="shared" si="54"/>
        <v>414</v>
      </c>
      <c r="BI212" s="194">
        <f t="shared" si="55"/>
        <v>276</v>
      </c>
      <c r="BJ212" s="195">
        <f t="shared" si="56"/>
        <v>1518</v>
      </c>
      <c r="BK212" s="193"/>
      <c r="BL212" s="194"/>
      <c r="BM212" s="194"/>
      <c r="BN212" s="194"/>
      <c r="BO212" s="195"/>
      <c r="BP212" s="193"/>
      <c r="BQ212" s="194"/>
      <c r="BR212" s="194">
        <v>69</v>
      </c>
      <c r="BS212" s="194">
        <v>69</v>
      </c>
      <c r="BT212" s="195">
        <v>138</v>
      </c>
      <c r="BU212" s="193">
        <v>207</v>
      </c>
      <c r="BV212" s="194">
        <v>621</v>
      </c>
      <c r="BW212" s="194">
        <v>345</v>
      </c>
      <c r="BX212" s="194">
        <v>207</v>
      </c>
      <c r="BY212" s="195">
        <v>1380</v>
      </c>
      <c r="BZ212" s="193"/>
      <c r="CA212" s="194"/>
      <c r="CB212" s="194"/>
      <c r="CC212" s="194"/>
      <c r="CD212" s="195"/>
      <c r="CE212" s="193"/>
      <c r="CF212" s="194"/>
      <c r="CG212" s="194"/>
      <c r="CH212" s="194"/>
      <c r="CI212" s="195"/>
    </row>
    <row r="213" spans="1:87">
      <c r="A213" s="186" t="s">
        <v>193</v>
      </c>
      <c r="B213" s="187" t="s">
        <v>26</v>
      </c>
      <c r="C213" s="188">
        <f t="shared" si="57"/>
        <v>15172</v>
      </c>
      <c r="D213" s="189">
        <f t="shared" si="45"/>
        <v>7866</v>
      </c>
      <c r="E213" s="189">
        <f t="shared" si="46"/>
        <v>4899</v>
      </c>
      <c r="F213" s="189">
        <f t="shared" si="47"/>
        <v>5175</v>
      </c>
      <c r="G213" s="190">
        <f t="shared" si="48"/>
        <v>33112</v>
      </c>
      <c r="H213" s="188">
        <f t="shared" si="58"/>
        <v>9169</v>
      </c>
      <c r="I213" s="189">
        <f t="shared" si="49"/>
        <v>7866</v>
      </c>
      <c r="J213" s="189">
        <f t="shared" si="50"/>
        <v>4899</v>
      </c>
      <c r="K213" s="189">
        <f t="shared" si="51"/>
        <v>5175</v>
      </c>
      <c r="L213" s="190">
        <f t="shared" si="52"/>
        <v>27109</v>
      </c>
      <c r="M213" s="188"/>
      <c r="N213" s="189"/>
      <c r="O213" s="189"/>
      <c r="P213" s="189"/>
      <c r="Q213" s="190"/>
      <c r="R213" s="188"/>
      <c r="S213" s="189"/>
      <c r="T213" s="189"/>
      <c r="U213" s="189"/>
      <c r="V213" s="190"/>
      <c r="W213" s="188"/>
      <c r="X213" s="189"/>
      <c r="Y213" s="189"/>
      <c r="Z213" s="189"/>
      <c r="AA213" s="190"/>
      <c r="AB213" s="188">
        <v>8824</v>
      </c>
      <c r="AC213" s="189">
        <v>6417</v>
      </c>
      <c r="AD213" s="189">
        <v>4278</v>
      </c>
      <c r="AE213" s="189">
        <v>4899</v>
      </c>
      <c r="AF213" s="190">
        <v>24418</v>
      </c>
      <c r="AG213" s="188"/>
      <c r="AH213" s="189"/>
      <c r="AI213" s="189"/>
      <c r="AJ213" s="189"/>
      <c r="AK213" s="190"/>
      <c r="AL213" s="188">
        <v>138</v>
      </c>
      <c r="AM213" s="189">
        <v>1035</v>
      </c>
      <c r="AN213" s="189">
        <v>483</v>
      </c>
      <c r="AO213" s="189">
        <v>138</v>
      </c>
      <c r="AP213" s="190">
        <v>1794</v>
      </c>
      <c r="AQ213" s="188"/>
      <c r="AR213" s="189"/>
      <c r="AS213" s="189"/>
      <c r="AT213" s="189"/>
      <c r="AU213" s="190"/>
      <c r="AV213" s="188">
        <v>138</v>
      </c>
      <c r="AW213" s="189">
        <v>345</v>
      </c>
      <c r="AX213" s="189">
        <v>138</v>
      </c>
      <c r="AY213" s="189">
        <v>138</v>
      </c>
      <c r="AZ213" s="190">
        <v>759</v>
      </c>
      <c r="BA213" s="188">
        <v>69</v>
      </c>
      <c r="BB213" s="189">
        <v>69</v>
      </c>
      <c r="BC213" s="189"/>
      <c r="BD213" s="189"/>
      <c r="BE213" s="190">
        <v>138</v>
      </c>
      <c r="BF213" s="188">
        <f t="shared" si="59"/>
        <v>6003</v>
      </c>
      <c r="BG213" s="189">
        <f t="shared" si="53"/>
        <v>0</v>
      </c>
      <c r="BH213" s="189">
        <f t="shared" si="54"/>
        <v>0</v>
      </c>
      <c r="BI213" s="189">
        <f t="shared" si="55"/>
        <v>0</v>
      </c>
      <c r="BJ213" s="190">
        <f t="shared" si="56"/>
        <v>6003</v>
      </c>
      <c r="BK213" s="188"/>
      <c r="BL213" s="189"/>
      <c r="BM213" s="189"/>
      <c r="BN213" s="189"/>
      <c r="BO213" s="190"/>
      <c r="BP213" s="188">
        <v>6003</v>
      </c>
      <c r="BQ213" s="189"/>
      <c r="BR213" s="189"/>
      <c r="BS213" s="189"/>
      <c r="BT213" s="190">
        <v>6003</v>
      </c>
      <c r="BU213" s="188"/>
      <c r="BV213" s="189"/>
      <c r="BW213" s="189"/>
      <c r="BX213" s="189"/>
      <c r="BY213" s="190"/>
      <c r="BZ213" s="188"/>
      <c r="CA213" s="189"/>
      <c r="CB213" s="189"/>
      <c r="CC213" s="189"/>
      <c r="CD213" s="190"/>
      <c r="CE213" s="188"/>
      <c r="CF213" s="189"/>
      <c r="CG213" s="189"/>
      <c r="CH213" s="189"/>
      <c r="CI213" s="190"/>
    </row>
    <row r="214" s="163" customFormat="1" ht="14.6" spans="1:87">
      <c r="A214" s="191" t="s">
        <v>194</v>
      </c>
      <c r="B214" s="192"/>
      <c r="C214" s="193">
        <f t="shared" si="57"/>
        <v>15172</v>
      </c>
      <c r="D214" s="194">
        <f t="shared" si="45"/>
        <v>7866</v>
      </c>
      <c r="E214" s="194">
        <f t="shared" si="46"/>
        <v>4899</v>
      </c>
      <c r="F214" s="194">
        <f t="shared" si="47"/>
        <v>5175</v>
      </c>
      <c r="G214" s="195">
        <f t="shared" si="48"/>
        <v>33112</v>
      </c>
      <c r="H214" s="193">
        <f t="shared" si="58"/>
        <v>9169</v>
      </c>
      <c r="I214" s="194">
        <f t="shared" si="49"/>
        <v>7866</v>
      </c>
      <c r="J214" s="194">
        <f t="shared" si="50"/>
        <v>4899</v>
      </c>
      <c r="K214" s="194">
        <f t="shared" si="51"/>
        <v>5175</v>
      </c>
      <c r="L214" s="195">
        <f t="shared" si="52"/>
        <v>27109</v>
      </c>
      <c r="M214" s="193"/>
      <c r="N214" s="194"/>
      <c r="O214" s="194"/>
      <c r="P214" s="194"/>
      <c r="Q214" s="195"/>
      <c r="R214" s="193"/>
      <c r="S214" s="194"/>
      <c r="T214" s="194"/>
      <c r="U214" s="194"/>
      <c r="V214" s="195"/>
      <c r="W214" s="193"/>
      <c r="X214" s="194"/>
      <c r="Y214" s="194"/>
      <c r="Z214" s="194"/>
      <c r="AA214" s="195"/>
      <c r="AB214" s="193">
        <v>8824</v>
      </c>
      <c r="AC214" s="194">
        <v>6417</v>
      </c>
      <c r="AD214" s="194">
        <v>4278</v>
      </c>
      <c r="AE214" s="194">
        <v>4899</v>
      </c>
      <c r="AF214" s="195">
        <v>24418</v>
      </c>
      <c r="AG214" s="193"/>
      <c r="AH214" s="194"/>
      <c r="AI214" s="194"/>
      <c r="AJ214" s="194"/>
      <c r="AK214" s="195"/>
      <c r="AL214" s="193">
        <v>138</v>
      </c>
      <c r="AM214" s="194">
        <v>1035</v>
      </c>
      <c r="AN214" s="194">
        <v>483</v>
      </c>
      <c r="AO214" s="194">
        <v>138</v>
      </c>
      <c r="AP214" s="195">
        <v>1794</v>
      </c>
      <c r="AQ214" s="193"/>
      <c r="AR214" s="194"/>
      <c r="AS214" s="194"/>
      <c r="AT214" s="194"/>
      <c r="AU214" s="195"/>
      <c r="AV214" s="193">
        <v>138</v>
      </c>
      <c r="AW214" s="194">
        <v>345</v>
      </c>
      <c r="AX214" s="194">
        <v>138</v>
      </c>
      <c r="AY214" s="194">
        <v>138</v>
      </c>
      <c r="AZ214" s="195">
        <v>759</v>
      </c>
      <c r="BA214" s="193">
        <v>69</v>
      </c>
      <c r="BB214" s="194">
        <v>69</v>
      </c>
      <c r="BC214" s="194"/>
      <c r="BD214" s="194"/>
      <c r="BE214" s="195">
        <v>138</v>
      </c>
      <c r="BF214" s="193">
        <f t="shared" si="59"/>
        <v>6003</v>
      </c>
      <c r="BG214" s="194">
        <f t="shared" si="53"/>
        <v>0</v>
      </c>
      <c r="BH214" s="194">
        <f t="shared" si="54"/>
        <v>0</v>
      </c>
      <c r="BI214" s="194">
        <f t="shared" si="55"/>
        <v>0</v>
      </c>
      <c r="BJ214" s="195">
        <f t="shared" si="56"/>
        <v>6003</v>
      </c>
      <c r="BK214" s="193"/>
      <c r="BL214" s="194"/>
      <c r="BM214" s="194"/>
      <c r="BN214" s="194"/>
      <c r="BO214" s="195"/>
      <c r="BP214" s="193">
        <v>6003</v>
      </c>
      <c r="BQ214" s="194"/>
      <c r="BR214" s="194"/>
      <c r="BS214" s="194"/>
      <c r="BT214" s="195">
        <v>6003</v>
      </c>
      <c r="BU214" s="193"/>
      <c r="BV214" s="194"/>
      <c r="BW214" s="194"/>
      <c r="BX214" s="194"/>
      <c r="BY214" s="195"/>
      <c r="BZ214" s="193"/>
      <c r="CA214" s="194"/>
      <c r="CB214" s="194"/>
      <c r="CC214" s="194"/>
      <c r="CD214" s="195"/>
      <c r="CE214" s="193"/>
      <c r="CF214" s="194"/>
      <c r="CG214" s="194"/>
      <c r="CH214" s="194"/>
      <c r="CI214" s="195"/>
    </row>
    <row r="215" spans="1:87">
      <c r="A215" s="186" t="s">
        <v>195</v>
      </c>
      <c r="B215" s="187" t="s">
        <v>26</v>
      </c>
      <c r="C215" s="188">
        <f t="shared" si="57"/>
        <v>11109</v>
      </c>
      <c r="D215" s="189">
        <f t="shared" si="45"/>
        <v>4554</v>
      </c>
      <c r="E215" s="189">
        <f t="shared" si="46"/>
        <v>6072</v>
      </c>
      <c r="F215" s="189">
        <f t="shared" si="47"/>
        <v>6417</v>
      </c>
      <c r="G215" s="190">
        <f t="shared" si="48"/>
        <v>28152</v>
      </c>
      <c r="H215" s="188">
        <f t="shared" si="58"/>
        <v>10833</v>
      </c>
      <c r="I215" s="189">
        <f t="shared" si="49"/>
        <v>4278</v>
      </c>
      <c r="J215" s="189">
        <f t="shared" si="50"/>
        <v>6072</v>
      </c>
      <c r="K215" s="189">
        <f t="shared" si="51"/>
        <v>6417</v>
      </c>
      <c r="L215" s="190">
        <f t="shared" si="52"/>
        <v>27600</v>
      </c>
      <c r="M215" s="188"/>
      <c r="N215" s="189"/>
      <c r="O215" s="189"/>
      <c r="P215" s="189"/>
      <c r="Q215" s="190"/>
      <c r="R215" s="188"/>
      <c r="S215" s="189"/>
      <c r="T215" s="189"/>
      <c r="U215" s="189"/>
      <c r="V215" s="190"/>
      <c r="W215" s="188"/>
      <c r="X215" s="189"/>
      <c r="Y215" s="189"/>
      <c r="Z215" s="189"/>
      <c r="AA215" s="190"/>
      <c r="AB215" s="188">
        <v>7452</v>
      </c>
      <c r="AC215" s="189">
        <v>3105</v>
      </c>
      <c r="AD215" s="189">
        <v>6003</v>
      </c>
      <c r="AE215" s="189">
        <v>6417</v>
      </c>
      <c r="AF215" s="190">
        <v>22977</v>
      </c>
      <c r="AG215" s="188"/>
      <c r="AH215" s="189"/>
      <c r="AI215" s="189"/>
      <c r="AJ215" s="189"/>
      <c r="AK215" s="190"/>
      <c r="AL215" s="188"/>
      <c r="AM215" s="189"/>
      <c r="AN215" s="189"/>
      <c r="AO215" s="189"/>
      <c r="AP215" s="190"/>
      <c r="AQ215" s="188">
        <v>276</v>
      </c>
      <c r="AR215" s="189"/>
      <c r="AS215" s="189"/>
      <c r="AT215" s="189"/>
      <c r="AU215" s="190">
        <v>276</v>
      </c>
      <c r="AV215" s="188">
        <v>3036</v>
      </c>
      <c r="AW215" s="189">
        <v>1173</v>
      </c>
      <c r="AX215" s="189">
        <v>69</v>
      </c>
      <c r="AY215" s="189"/>
      <c r="AZ215" s="190">
        <v>4278</v>
      </c>
      <c r="BA215" s="188">
        <v>69</v>
      </c>
      <c r="BB215" s="189"/>
      <c r="BC215" s="189"/>
      <c r="BD215" s="189"/>
      <c r="BE215" s="190">
        <v>69</v>
      </c>
      <c r="BF215" s="188">
        <f t="shared" si="59"/>
        <v>276</v>
      </c>
      <c r="BG215" s="189">
        <f t="shared" si="53"/>
        <v>276</v>
      </c>
      <c r="BH215" s="189">
        <f t="shared" si="54"/>
        <v>0</v>
      </c>
      <c r="BI215" s="189">
        <f t="shared" si="55"/>
        <v>0</v>
      </c>
      <c r="BJ215" s="190">
        <f t="shared" si="56"/>
        <v>552</v>
      </c>
      <c r="BK215" s="188"/>
      <c r="BL215" s="189"/>
      <c r="BM215" s="189"/>
      <c r="BN215" s="189"/>
      <c r="BO215" s="190"/>
      <c r="BP215" s="188"/>
      <c r="BQ215" s="189"/>
      <c r="BR215" s="189"/>
      <c r="BS215" s="189"/>
      <c r="BT215" s="190"/>
      <c r="BU215" s="188">
        <v>276</v>
      </c>
      <c r="BV215" s="189">
        <v>276</v>
      </c>
      <c r="BW215" s="189"/>
      <c r="BX215" s="189"/>
      <c r="BY215" s="190">
        <v>552</v>
      </c>
      <c r="BZ215" s="188"/>
      <c r="CA215" s="189"/>
      <c r="CB215" s="189"/>
      <c r="CC215" s="189"/>
      <c r="CD215" s="190"/>
      <c r="CE215" s="188"/>
      <c r="CF215" s="189"/>
      <c r="CG215" s="189"/>
      <c r="CH215" s="189"/>
      <c r="CI215" s="190"/>
    </row>
    <row r="216" s="163" customFormat="1" ht="14.6" spans="1:87">
      <c r="A216" s="191" t="s">
        <v>196</v>
      </c>
      <c r="B216" s="192"/>
      <c r="C216" s="193">
        <f t="shared" si="57"/>
        <v>11109</v>
      </c>
      <c r="D216" s="194">
        <f t="shared" si="45"/>
        <v>4554</v>
      </c>
      <c r="E216" s="194">
        <f t="shared" si="46"/>
        <v>6072</v>
      </c>
      <c r="F216" s="194">
        <f t="shared" si="47"/>
        <v>6417</v>
      </c>
      <c r="G216" s="195">
        <f t="shared" si="48"/>
        <v>28152</v>
      </c>
      <c r="H216" s="193">
        <f t="shared" si="58"/>
        <v>10833</v>
      </c>
      <c r="I216" s="194">
        <f t="shared" si="49"/>
        <v>4278</v>
      </c>
      <c r="J216" s="194">
        <f t="shared" si="50"/>
        <v>6072</v>
      </c>
      <c r="K216" s="194">
        <f t="shared" si="51"/>
        <v>6417</v>
      </c>
      <c r="L216" s="195">
        <f t="shared" si="52"/>
        <v>27600</v>
      </c>
      <c r="M216" s="193"/>
      <c r="N216" s="194"/>
      <c r="O216" s="194"/>
      <c r="P216" s="194"/>
      <c r="Q216" s="195"/>
      <c r="R216" s="193"/>
      <c r="S216" s="194"/>
      <c r="T216" s="194"/>
      <c r="U216" s="194"/>
      <c r="V216" s="195"/>
      <c r="W216" s="193"/>
      <c r="X216" s="194"/>
      <c r="Y216" s="194"/>
      <c r="Z216" s="194"/>
      <c r="AA216" s="195"/>
      <c r="AB216" s="193">
        <v>7452</v>
      </c>
      <c r="AC216" s="194">
        <v>3105</v>
      </c>
      <c r="AD216" s="194">
        <v>6003</v>
      </c>
      <c r="AE216" s="194">
        <v>6417</v>
      </c>
      <c r="AF216" s="195">
        <v>22977</v>
      </c>
      <c r="AG216" s="193"/>
      <c r="AH216" s="194"/>
      <c r="AI216" s="194"/>
      <c r="AJ216" s="194"/>
      <c r="AK216" s="195"/>
      <c r="AL216" s="193"/>
      <c r="AM216" s="194"/>
      <c r="AN216" s="194"/>
      <c r="AO216" s="194"/>
      <c r="AP216" s="195"/>
      <c r="AQ216" s="193">
        <v>276</v>
      </c>
      <c r="AR216" s="194"/>
      <c r="AS216" s="194"/>
      <c r="AT216" s="194"/>
      <c r="AU216" s="195">
        <v>276</v>
      </c>
      <c r="AV216" s="193">
        <v>3036</v>
      </c>
      <c r="AW216" s="194">
        <v>1173</v>
      </c>
      <c r="AX216" s="194">
        <v>69</v>
      </c>
      <c r="AY216" s="194"/>
      <c r="AZ216" s="195">
        <v>4278</v>
      </c>
      <c r="BA216" s="193">
        <v>69</v>
      </c>
      <c r="BB216" s="194"/>
      <c r="BC216" s="194"/>
      <c r="BD216" s="194"/>
      <c r="BE216" s="195">
        <v>69</v>
      </c>
      <c r="BF216" s="193">
        <f t="shared" si="59"/>
        <v>276</v>
      </c>
      <c r="BG216" s="194">
        <f t="shared" si="53"/>
        <v>276</v>
      </c>
      <c r="BH216" s="194">
        <f t="shared" si="54"/>
        <v>0</v>
      </c>
      <c r="BI216" s="194">
        <f t="shared" si="55"/>
        <v>0</v>
      </c>
      <c r="BJ216" s="195">
        <f t="shared" si="56"/>
        <v>552</v>
      </c>
      <c r="BK216" s="193"/>
      <c r="BL216" s="194"/>
      <c r="BM216" s="194"/>
      <c r="BN216" s="194"/>
      <c r="BO216" s="195"/>
      <c r="BP216" s="193"/>
      <c r="BQ216" s="194"/>
      <c r="BR216" s="194"/>
      <c r="BS216" s="194"/>
      <c r="BT216" s="195"/>
      <c r="BU216" s="193">
        <v>276</v>
      </c>
      <c r="BV216" s="194">
        <v>276</v>
      </c>
      <c r="BW216" s="194"/>
      <c r="BX216" s="194"/>
      <c r="BY216" s="195">
        <v>552</v>
      </c>
      <c r="BZ216" s="193"/>
      <c r="CA216" s="194"/>
      <c r="CB216" s="194"/>
      <c r="CC216" s="194"/>
      <c r="CD216" s="195"/>
      <c r="CE216" s="193"/>
      <c r="CF216" s="194"/>
      <c r="CG216" s="194"/>
      <c r="CH216" s="194"/>
      <c r="CI216" s="195"/>
    </row>
    <row r="217" spans="1:87">
      <c r="A217" s="186" t="s">
        <v>197</v>
      </c>
      <c r="B217" s="187" t="s">
        <v>26</v>
      </c>
      <c r="C217" s="188">
        <f t="shared" si="57"/>
        <v>15694</v>
      </c>
      <c r="D217" s="189">
        <f t="shared" si="45"/>
        <v>4425</v>
      </c>
      <c r="E217" s="189">
        <f t="shared" si="46"/>
        <v>7729</v>
      </c>
      <c r="F217" s="189">
        <f t="shared" si="47"/>
        <v>0</v>
      </c>
      <c r="G217" s="190">
        <f t="shared" si="48"/>
        <v>27848</v>
      </c>
      <c r="H217" s="188">
        <f t="shared" si="58"/>
        <v>2006</v>
      </c>
      <c r="I217" s="189">
        <f t="shared" si="49"/>
        <v>1416</v>
      </c>
      <c r="J217" s="189">
        <f t="shared" si="50"/>
        <v>1062</v>
      </c>
      <c r="K217" s="189">
        <f t="shared" si="51"/>
        <v>0</v>
      </c>
      <c r="L217" s="190">
        <f t="shared" si="52"/>
        <v>4484</v>
      </c>
      <c r="M217" s="188"/>
      <c r="N217" s="189"/>
      <c r="O217" s="189"/>
      <c r="P217" s="189"/>
      <c r="Q217" s="190"/>
      <c r="R217" s="188">
        <v>1888</v>
      </c>
      <c r="S217" s="189">
        <v>1416</v>
      </c>
      <c r="T217" s="189"/>
      <c r="U217" s="189"/>
      <c r="V217" s="190">
        <v>3304</v>
      </c>
      <c r="W217" s="188"/>
      <c r="X217" s="189"/>
      <c r="Y217" s="189"/>
      <c r="Z217" s="189"/>
      <c r="AA217" s="190"/>
      <c r="AB217" s="188">
        <v>118</v>
      </c>
      <c r="AC217" s="189"/>
      <c r="AD217" s="189"/>
      <c r="AE217" s="189"/>
      <c r="AF217" s="190">
        <v>118</v>
      </c>
      <c r="AG217" s="188"/>
      <c r="AH217" s="189"/>
      <c r="AI217" s="189"/>
      <c r="AJ217" s="189"/>
      <c r="AK217" s="190"/>
      <c r="AL217" s="188"/>
      <c r="AM217" s="189"/>
      <c r="AN217" s="189"/>
      <c r="AO217" s="189"/>
      <c r="AP217" s="190"/>
      <c r="AQ217" s="188"/>
      <c r="AR217" s="189"/>
      <c r="AS217" s="189"/>
      <c r="AT217" s="189"/>
      <c r="AU217" s="190"/>
      <c r="AV217" s="188"/>
      <c r="AW217" s="189"/>
      <c r="AX217" s="189"/>
      <c r="AY217" s="189"/>
      <c r="AZ217" s="190"/>
      <c r="BA217" s="188"/>
      <c r="BB217" s="189"/>
      <c r="BC217" s="189">
        <v>1062</v>
      </c>
      <c r="BD217" s="189"/>
      <c r="BE217" s="190">
        <v>1062</v>
      </c>
      <c r="BF217" s="188">
        <f t="shared" si="59"/>
        <v>13688</v>
      </c>
      <c r="BG217" s="189">
        <f t="shared" si="53"/>
        <v>3009</v>
      </c>
      <c r="BH217" s="189">
        <f t="shared" si="54"/>
        <v>6667</v>
      </c>
      <c r="BI217" s="189">
        <f t="shared" si="55"/>
        <v>0</v>
      </c>
      <c r="BJ217" s="190">
        <f t="shared" si="56"/>
        <v>23364</v>
      </c>
      <c r="BK217" s="188"/>
      <c r="BL217" s="189"/>
      <c r="BM217" s="189"/>
      <c r="BN217" s="189"/>
      <c r="BO217" s="190"/>
      <c r="BP217" s="188"/>
      <c r="BQ217" s="189"/>
      <c r="BR217" s="189"/>
      <c r="BS217" s="189"/>
      <c r="BT217" s="190"/>
      <c r="BU217" s="188">
        <v>13688</v>
      </c>
      <c r="BV217" s="189">
        <v>3009</v>
      </c>
      <c r="BW217" s="189">
        <v>6667</v>
      </c>
      <c r="BX217" s="189"/>
      <c r="BY217" s="190">
        <v>23364</v>
      </c>
      <c r="BZ217" s="188"/>
      <c r="CA217" s="189"/>
      <c r="CB217" s="189"/>
      <c r="CC217" s="189"/>
      <c r="CD217" s="190"/>
      <c r="CE217" s="188"/>
      <c r="CF217" s="189"/>
      <c r="CG217" s="189"/>
      <c r="CH217" s="189"/>
      <c r="CI217" s="190"/>
    </row>
    <row r="218" s="163" customFormat="1" ht="14.6" spans="1:87">
      <c r="A218" s="191" t="s">
        <v>198</v>
      </c>
      <c r="B218" s="192"/>
      <c r="C218" s="193">
        <f t="shared" si="57"/>
        <v>15694</v>
      </c>
      <c r="D218" s="194">
        <f t="shared" si="45"/>
        <v>4425</v>
      </c>
      <c r="E218" s="194">
        <f t="shared" si="46"/>
        <v>7729</v>
      </c>
      <c r="F218" s="194">
        <f t="shared" si="47"/>
        <v>0</v>
      </c>
      <c r="G218" s="195">
        <f t="shared" si="48"/>
        <v>27848</v>
      </c>
      <c r="H218" s="193">
        <f t="shared" si="58"/>
        <v>2006</v>
      </c>
      <c r="I218" s="194">
        <f t="shared" si="49"/>
        <v>1416</v>
      </c>
      <c r="J218" s="194">
        <f t="shared" si="50"/>
        <v>1062</v>
      </c>
      <c r="K218" s="194">
        <f t="shared" si="51"/>
        <v>0</v>
      </c>
      <c r="L218" s="195">
        <f t="shared" si="52"/>
        <v>4484</v>
      </c>
      <c r="M218" s="193"/>
      <c r="N218" s="194"/>
      <c r="O218" s="194"/>
      <c r="P218" s="194"/>
      <c r="Q218" s="195"/>
      <c r="R218" s="193">
        <v>1888</v>
      </c>
      <c r="S218" s="194">
        <v>1416</v>
      </c>
      <c r="T218" s="194"/>
      <c r="U218" s="194"/>
      <c r="V218" s="195">
        <v>3304</v>
      </c>
      <c r="W218" s="193"/>
      <c r="X218" s="194"/>
      <c r="Y218" s="194"/>
      <c r="Z218" s="194"/>
      <c r="AA218" s="195"/>
      <c r="AB218" s="193">
        <v>118</v>
      </c>
      <c r="AC218" s="194"/>
      <c r="AD218" s="194"/>
      <c r="AE218" s="194"/>
      <c r="AF218" s="195">
        <v>118</v>
      </c>
      <c r="AG218" s="193"/>
      <c r="AH218" s="194"/>
      <c r="AI218" s="194"/>
      <c r="AJ218" s="194"/>
      <c r="AK218" s="195"/>
      <c r="AL218" s="193"/>
      <c r="AM218" s="194"/>
      <c r="AN218" s="194"/>
      <c r="AO218" s="194"/>
      <c r="AP218" s="195"/>
      <c r="AQ218" s="193"/>
      <c r="AR218" s="194"/>
      <c r="AS218" s="194"/>
      <c r="AT218" s="194"/>
      <c r="AU218" s="195"/>
      <c r="AV218" s="193"/>
      <c r="AW218" s="194"/>
      <c r="AX218" s="194"/>
      <c r="AY218" s="194"/>
      <c r="AZ218" s="195"/>
      <c r="BA218" s="193"/>
      <c r="BB218" s="194"/>
      <c r="BC218" s="194">
        <v>1062</v>
      </c>
      <c r="BD218" s="194"/>
      <c r="BE218" s="195">
        <v>1062</v>
      </c>
      <c r="BF218" s="193">
        <f t="shared" si="59"/>
        <v>13688</v>
      </c>
      <c r="BG218" s="194">
        <f t="shared" si="53"/>
        <v>3009</v>
      </c>
      <c r="BH218" s="194">
        <f t="shared" si="54"/>
        <v>6667</v>
      </c>
      <c r="BI218" s="194">
        <f t="shared" si="55"/>
        <v>0</v>
      </c>
      <c r="BJ218" s="195">
        <f t="shared" si="56"/>
        <v>23364</v>
      </c>
      <c r="BK218" s="193"/>
      <c r="BL218" s="194"/>
      <c r="BM218" s="194"/>
      <c r="BN218" s="194"/>
      <c r="BO218" s="195"/>
      <c r="BP218" s="193"/>
      <c r="BQ218" s="194"/>
      <c r="BR218" s="194"/>
      <c r="BS218" s="194"/>
      <c r="BT218" s="195"/>
      <c r="BU218" s="193">
        <v>13688</v>
      </c>
      <c r="BV218" s="194">
        <v>3009</v>
      </c>
      <c r="BW218" s="194">
        <v>6667</v>
      </c>
      <c r="BX218" s="194"/>
      <c r="BY218" s="195">
        <v>23364</v>
      </c>
      <c r="BZ218" s="193"/>
      <c r="CA218" s="194"/>
      <c r="CB218" s="194"/>
      <c r="CC218" s="194"/>
      <c r="CD218" s="195"/>
      <c r="CE218" s="193"/>
      <c r="CF218" s="194"/>
      <c r="CG218" s="194"/>
      <c r="CH218" s="194"/>
      <c r="CI218" s="195"/>
    </row>
    <row r="219" spans="1:87">
      <c r="A219" s="186" t="s">
        <v>199</v>
      </c>
      <c r="B219" s="187" t="s">
        <v>26</v>
      </c>
      <c r="C219" s="188">
        <f t="shared" si="57"/>
        <v>5082</v>
      </c>
      <c r="D219" s="189">
        <f t="shared" si="45"/>
        <v>5277</v>
      </c>
      <c r="E219" s="189">
        <f t="shared" si="46"/>
        <v>8268</v>
      </c>
      <c r="F219" s="189">
        <f t="shared" si="47"/>
        <v>6479</v>
      </c>
      <c r="G219" s="190">
        <f t="shared" si="48"/>
        <v>25106</v>
      </c>
      <c r="H219" s="188">
        <f t="shared" si="58"/>
        <v>4084</v>
      </c>
      <c r="I219" s="189">
        <f t="shared" si="49"/>
        <v>5078</v>
      </c>
      <c r="J219" s="189">
        <f t="shared" si="50"/>
        <v>7372</v>
      </c>
      <c r="K219" s="189">
        <f t="shared" si="51"/>
        <v>6081</v>
      </c>
      <c r="L219" s="190">
        <f t="shared" si="52"/>
        <v>22615</v>
      </c>
      <c r="M219" s="188"/>
      <c r="N219" s="189"/>
      <c r="O219" s="189"/>
      <c r="P219" s="189"/>
      <c r="Q219" s="190"/>
      <c r="R219" s="188">
        <v>998</v>
      </c>
      <c r="S219" s="189">
        <v>699</v>
      </c>
      <c r="T219" s="189">
        <v>699</v>
      </c>
      <c r="U219" s="189">
        <v>2396</v>
      </c>
      <c r="V219" s="190">
        <v>4792</v>
      </c>
      <c r="W219" s="188">
        <v>2090</v>
      </c>
      <c r="X219" s="189">
        <v>1592</v>
      </c>
      <c r="Y219" s="189">
        <v>199</v>
      </c>
      <c r="Z219" s="189">
        <v>398</v>
      </c>
      <c r="AA219" s="190">
        <v>4279</v>
      </c>
      <c r="AB219" s="188">
        <v>299</v>
      </c>
      <c r="AC219" s="189">
        <v>299</v>
      </c>
      <c r="AD219" s="189">
        <v>1697</v>
      </c>
      <c r="AE219" s="189">
        <v>1297</v>
      </c>
      <c r="AF219" s="190">
        <v>3592</v>
      </c>
      <c r="AG219" s="188"/>
      <c r="AH219" s="189">
        <v>1791</v>
      </c>
      <c r="AI219" s="189">
        <v>3582</v>
      </c>
      <c r="AJ219" s="189">
        <v>1791</v>
      </c>
      <c r="AK219" s="190">
        <v>7164</v>
      </c>
      <c r="AL219" s="188"/>
      <c r="AM219" s="189"/>
      <c r="AN219" s="189">
        <v>598</v>
      </c>
      <c r="AO219" s="189"/>
      <c r="AP219" s="190">
        <v>598</v>
      </c>
      <c r="AQ219" s="188">
        <v>498</v>
      </c>
      <c r="AR219" s="189">
        <v>697</v>
      </c>
      <c r="AS219" s="189">
        <v>199</v>
      </c>
      <c r="AT219" s="189">
        <v>199</v>
      </c>
      <c r="AU219" s="190">
        <v>1593</v>
      </c>
      <c r="AV219" s="188">
        <v>199</v>
      </c>
      <c r="AW219" s="189"/>
      <c r="AX219" s="189">
        <v>199</v>
      </c>
      <c r="AY219" s="189"/>
      <c r="AZ219" s="190">
        <v>398</v>
      </c>
      <c r="BA219" s="188"/>
      <c r="BB219" s="189"/>
      <c r="BC219" s="189">
        <v>199</v>
      </c>
      <c r="BD219" s="189"/>
      <c r="BE219" s="190">
        <v>199</v>
      </c>
      <c r="BF219" s="188">
        <f t="shared" si="59"/>
        <v>998</v>
      </c>
      <c r="BG219" s="189">
        <f t="shared" si="53"/>
        <v>199</v>
      </c>
      <c r="BH219" s="189">
        <f t="shared" si="54"/>
        <v>896</v>
      </c>
      <c r="BI219" s="189">
        <f t="shared" si="55"/>
        <v>398</v>
      </c>
      <c r="BJ219" s="190">
        <f t="shared" si="56"/>
        <v>2491</v>
      </c>
      <c r="BK219" s="188"/>
      <c r="BL219" s="189"/>
      <c r="BM219" s="189"/>
      <c r="BN219" s="189"/>
      <c r="BO219" s="190"/>
      <c r="BP219" s="188">
        <v>299</v>
      </c>
      <c r="BQ219" s="189"/>
      <c r="BR219" s="189">
        <v>299</v>
      </c>
      <c r="BS219" s="189"/>
      <c r="BT219" s="190">
        <v>598</v>
      </c>
      <c r="BU219" s="188">
        <v>699</v>
      </c>
      <c r="BV219" s="189">
        <v>199</v>
      </c>
      <c r="BW219" s="189">
        <v>597</v>
      </c>
      <c r="BX219" s="189">
        <v>398</v>
      </c>
      <c r="BY219" s="190">
        <v>1893</v>
      </c>
      <c r="BZ219" s="188"/>
      <c r="CA219" s="189"/>
      <c r="CB219" s="189"/>
      <c r="CC219" s="189"/>
      <c r="CD219" s="190"/>
      <c r="CE219" s="188"/>
      <c r="CF219" s="189"/>
      <c r="CG219" s="189"/>
      <c r="CH219" s="189"/>
      <c r="CI219" s="190"/>
    </row>
    <row r="220" spans="1:87">
      <c r="A220" s="186"/>
      <c r="B220" s="187" t="s">
        <v>27</v>
      </c>
      <c r="C220" s="188">
        <f t="shared" si="57"/>
        <v>399</v>
      </c>
      <c r="D220" s="189">
        <f t="shared" si="45"/>
        <v>399</v>
      </c>
      <c r="E220" s="189">
        <f t="shared" si="46"/>
        <v>1596</v>
      </c>
      <c r="F220" s="189">
        <f t="shared" si="47"/>
        <v>0</v>
      </c>
      <c r="G220" s="190">
        <f t="shared" si="48"/>
        <v>2394</v>
      </c>
      <c r="H220" s="188">
        <f t="shared" si="58"/>
        <v>399</v>
      </c>
      <c r="I220" s="189">
        <f t="shared" si="49"/>
        <v>0</v>
      </c>
      <c r="J220" s="189">
        <f t="shared" si="50"/>
        <v>1596</v>
      </c>
      <c r="K220" s="189">
        <f t="shared" si="51"/>
        <v>0</v>
      </c>
      <c r="L220" s="190">
        <f t="shared" si="52"/>
        <v>1995</v>
      </c>
      <c r="M220" s="188"/>
      <c r="N220" s="189"/>
      <c r="O220" s="189"/>
      <c r="P220" s="189"/>
      <c r="Q220" s="190"/>
      <c r="R220" s="188"/>
      <c r="S220" s="189"/>
      <c r="T220" s="189"/>
      <c r="U220" s="189"/>
      <c r="V220" s="190"/>
      <c r="W220" s="188"/>
      <c r="X220" s="189"/>
      <c r="Y220" s="189"/>
      <c r="Z220" s="189"/>
      <c r="AA220" s="190"/>
      <c r="AB220" s="188"/>
      <c r="AC220" s="189"/>
      <c r="AD220" s="189"/>
      <c r="AE220" s="189"/>
      <c r="AF220" s="190"/>
      <c r="AG220" s="188"/>
      <c r="AH220" s="189"/>
      <c r="AI220" s="189"/>
      <c r="AJ220" s="189"/>
      <c r="AK220" s="190"/>
      <c r="AL220" s="188"/>
      <c r="AM220" s="189"/>
      <c r="AN220" s="189"/>
      <c r="AO220" s="189"/>
      <c r="AP220" s="190"/>
      <c r="AQ220" s="188"/>
      <c r="AR220" s="189"/>
      <c r="AS220" s="189"/>
      <c r="AT220" s="189"/>
      <c r="AU220" s="190"/>
      <c r="AV220" s="188">
        <v>399</v>
      </c>
      <c r="AW220" s="189"/>
      <c r="AX220" s="189">
        <v>798</v>
      </c>
      <c r="AY220" s="189"/>
      <c r="AZ220" s="190">
        <v>1197</v>
      </c>
      <c r="BA220" s="188"/>
      <c r="BB220" s="189"/>
      <c r="BC220" s="189">
        <v>798</v>
      </c>
      <c r="BD220" s="189"/>
      <c r="BE220" s="190">
        <v>798</v>
      </c>
      <c r="BF220" s="188">
        <f t="shared" si="59"/>
        <v>0</v>
      </c>
      <c r="BG220" s="189">
        <f t="shared" si="53"/>
        <v>399</v>
      </c>
      <c r="BH220" s="189">
        <f t="shared" si="54"/>
        <v>0</v>
      </c>
      <c r="BI220" s="189">
        <f t="shared" si="55"/>
        <v>0</v>
      </c>
      <c r="BJ220" s="190">
        <f t="shared" si="56"/>
        <v>399</v>
      </c>
      <c r="BK220" s="188"/>
      <c r="BL220" s="189"/>
      <c r="BM220" s="189"/>
      <c r="BN220" s="189"/>
      <c r="BO220" s="190"/>
      <c r="BP220" s="188"/>
      <c r="BQ220" s="189"/>
      <c r="BR220" s="189"/>
      <c r="BS220" s="189"/>
      <c r="BT220" s="190"/>
      <c r="BU220" s="188"/>
      <c r="BV220" s="189">
        <v>399</v>
      </c>
      <c r="BW220" s="189"/>
      <c r="BX220" s="189"/>
      <c r="BY220" s="190">
        <v>399</v>
      </c>
      <c r="BZ220" s="188"/>
      <c r="CA220" s="189"/>
      <c r="CB220" s="189"/>
      <c r="CC220" s="189"/>
      <c r="CD220" s="190"/>
      <c r="CE220" s="188"/>
      <c r="CF220" s="189"/>
      <c r="CG220" s="189"/>
      <c r="CH220" s="189"/>
      <c r="CI220" s="190"/>
    </row>
    <row r="221" s="163" customFormat="1" ht="14.6" spans="1:87">
      <c r="A221" s="191" t="s">
        <v>200</v>
      </c>
      <c r="B221" s="192"/>
      <c r="C221" s="193">
        <f t="shared" si="57"/>
        <v>5481</v>
      </c>
      <c r="D221" s="194">
        <f t="shared" si="45"/>
        <v>5676</v>
      </c>
      <c r="E221" s="194">
        <f t="shared" si="46"/>
        <v>9864</v>
      </c>
      <c r="F221" s="194">
        <f t="shared" si="47"/>
        <v>6479</v>
      </c>
      <c r="G221" s="195">
        <f t="shared" si="48"/>
        <v>27500</v>
      </c>
      <c r="H221" s="193">
        <f t="shared" si="58"/>
        <v>4483</v>
      </c>
      <c r="I221" s="194">
        <f t="shared" si="49"/>
        <v>5078</v>
      </c>
      <c r="J221" s="194">
        <f t="shared" si="50"/>
        <v>8968</v>
      </c>
      <c r="K221" s="194">
        <f t="shared" si="51"/>
        <v>6081</v>
      </c>
      <c r="L221" s="195">
        <f t="shared" si="52"/>
        <v>24610</v>
      </c>
      <c r="M221" s="193"/>
      <c r="N221" s="194"/>
      <c r="O221" s="194"/>
      <c r="P221" s="194"/>
      <c r="Q221" s="195"/>
      <c r="R221" s="193">
        <v>998</v>
      </c>
      <c r="S221" s="194">
        <v>699</v>
      </c>
      <c r="T221" s="194">
        <v>699</v>
      </c>
      <c r="U221" s="194">
        <v>2396</v>
      </c>
      <c r="V221" s="195">
        <v>4792</v>
      </c>
      <c r="W221" s="193">
        <v>2090</v>
      </c>
      <c r="X221" s="194">
        <v>1592</v>
      </c>
      <c r="Y221" s="194">
        <v>199</v>
      </c>
      <c r="Z221" s="194">
        <v>398</v>
      </c>
      <c r="AA221" s="195">
        <v>4279</v>
      </c>
      <c r="AB221" s="193">
        <v>299</v>
      </c>
      <c r="AC221" s="194">
        <v>299</v>
      </c>
      <c r="AD221" s="194">
        <v>1697</v>
      </c>
      <c r="AE221" s="194">
        <v>1297</v>
      </c>
      <c r="AF221" s="195">
        <v>3592</v>
      </c>
      <c r="AG221" s="193"/>
      <c r="AH221" s="194">
        <v>1791</v>
      </c>
      <c r="AI221" s="194">
        <v>3582</v>
      </c>
      <c r="AJ221" s="194">
        <v>1791</v>
      </c>
      <c r="AK221" s="195">
        <v>7164</v>
      </c>
      <c r="AL221" s="193"/>
      <c r="AM221" s="194"/>
      <c r="AN221" s="194">
        <v>598</v>
      </c>
      <c r="AO221" s="194"/>
      <c r="AP221" s="195">
        <v>598</v>
      </c>
      <c r="AQ221" s="193">
        <v>498</v>
      </c>
      <c r="AR221" s="194">
        <v>697</v>
      </c>
      <c r="AS221" s="194">
        <v>199</v>
      </c>
      <c r="AT221" s="194">
        <v>199</v>
      </c>
      <c r="AU221" s="195">
        <v>1593</v>
      </c>
      <c r="AV221" s="193">
        <v>598</v>
      </c>
      <c r="AW221" s="194"/>
      <c r="AX221" s="194">
        <v>997</v>
      </c>
      <c r="AY221" s="194"/>
      <c r="AZ221" s="195">
        <v>1595</v>
      </c>
      <c r="BA221" s="193"/>
      <c r="BB221" s="194"/>
      <c r="BC221" s="194">
        <v>997</v>
      </c>
      <c r="BD221" s="194"/>
      <c r="BE221" s="195">
        <v>997</v>
      </c>
      <c r="BF221" s="193">
        <f t="shared" si="59"/>
        <v>998</v>
      </c>
      <c r="BG221" s="194">
        <f t="shared" si="53"/>
        <v>598</v>
      </c>
      <c r="BH221" s="194">
        <f t="shared" si="54"/>
        <v>896</v>
      </c>
      <c r="BI221" s="194">
        <f t="shared" si="55"/>
        <v>398</v>
      </c>
      <c r="BJ221" s="195">
        <f t="shared" si="56"/>
        <v>2890</v>
      </c>
      <c r="BK221" s="193"/>
      <c r="BL221" s="194"/>
      <c r="BM221" s="194"/>
      <c r="BN221" s="194"/>
      <c r="BO221" s="195"/>
      <c r="BP221" s="193">
        <v>299</v>
      </c>
      <c r="BQ221" s="194"/>
      <c r="BR221" s="194">
        <v>299</v>
      </c>
      <c r="BS221" s="194"/>
      <c r="BT221" s="195">
        <v>598</v>
      </c>
      <c r="BU221" s="193">
        <v>699</v>
      </c>
      <c r="BV221" s="194">
        <v>598</v>
      </c>
      <c r="BW221" s="194">
        <v>597</v>
      </c>
      <c r="BX221" s="194">
        <v>398</v>
      </c>
      <c r="BY221" s="195">
        <v>2292</v>
      </c>
      <c r="BZ221" s="193"/>
      <c r="CA221" s="194"/>
      <c r="CB221" s="194"/>
      <c r="CC221" s="194"/>
      <c r="CD221" s="195"/>
      <c r="CE221" s="193"/>
      <c r="CF221" s="194"/>
      <c r="CG221" s="194"/>
      <c r="CH221" s="194"/>
      <c r="CI221" s="195"/>
    </row>
    <row r="222" spans="1:87">
      <c r="A222" s="186" t="s">
        <v>201</v>
      </c>
      <c r="B222" s="187" t="s">
        <v>26</v>
      </c>
      <c r="C222" s="188">
        <f t="shared" si="57"/>
        <v>8051</v>
      </c>
      <c r="D222" s="189">
        <f t="shared" si="45"/>
        <v>8014</v>
      </c>
      <c r="E222" s="189">
        <f t="shared" si="46"/>
        <v>8041</v>
      </c>
      <c r="F222" s="189">
        <f t="shared" si="47"/>
        <v>2414</v>
      </c>
      <c r="G222" s="190">
        <f t="shared" si="48"/>
        <v>26520</v>
      </c>
      <c r="H222" s="188">
        <f t="shared" si="58"/>
        <v>7552</v>
      </c>
      <c r="I222" s="189">
        <f t="shared" si="49"/>
        <v>7247</v>
      </c>
      <c r="J222" s="189">
        <f t="shared" si="50"/>
        <v>7687</v>
      </c>
      <c r="K222" s="189">
        <f t="shared" si="51"/>
        <v>1561</v>
      </c>
      <c r="L222" s="190">
        <f t="shared" si="52"/>
        <v>24047</v>
      </c>
      <c r="M222" s="188"/>
      <c r="N222" s="189"/>
      <c r="O222" s="189"/>
      <c r="P222" s="189"/>
      <c r="Q222" s="190"/>
      <c r="R222" s="188"/>
      <c r="S222" s="189"/>
      <c r="T222" s="189"/>
      <c r="U222" s="189"/>
      <c r="V222" s="190"/>
      <c r="W222" s="188"/>
      <c r="X222" s="189"/>
      <c r="Y222" s="189"/>
      <c r="Z222" s="189"/>
      <c r="AA222" s="190"/>
      <c r="AB222" s="188">
        <v>4012</v>
      </c>
      <c r="AC222" s="189">
        <v>4828</v>
      </c>
      <c r="AD222" s="189">
        <v>3589</v>
      </c>
      <c r="AE222" s="189">
        <v>1561</v>
      </c>
      <c r="AF222" s="190">
        <v>13990</v>
      </c>
      <c r="AG222" s="188"/>
      <c r="AH222" s="189"/>
      <c r="AI222" s="189"/>
      <c r="AJ222" s="189"/>
      <c r="AK222" s="190"/>
      <c r="AL222" s="188">
        <v>3540</v>
      </c>
      <c r="AM222" s="189">
        <v>2419</v>
      </c>
      <c r="AN222" s="189">
        <v>3599</v>
      </c>
      <c r="AO222" s="189"/>
      <c r="AP222" s="190">
        <v>9558</v>
      </c>
      <c r="AQ222" s="188"/>
      <c r="AR222" s="189"/>
      <c r="AS222" s="189"/>
      <c r="AT222" s="189"/>
      <c r="AU222" s="190"/>
      <c r="AV222" s="188"/>
      <c r="AW222" s="189"/>
      <c r="AX222" s="189"/>
      <c r="AY222" s="189"/>
      <c r="AZ222" s="190"/>
      <c r="BA222" s="188"/>
      <c r="BB222" s="189"/>
      <c r="BC222" s="189">
        <v>499</v>
      </c>
      <c r="BD222" s="189"/>
      <c r="BE222" s="190">
        <v>499</v>
      </c>
      <c r="BF222" s="188">
        <f t="shared" si="59"/>
        <v>499</v>
      </c>
      <c r="BG222" s="189">
        <f t="shared" si="53"/>
        <v>767</v>
      </c>
      <c r="BH222" s="189">
        <f t="shared" si="54"/>
        <v>354</v>
      </c>
      <c r="BI222" s="189">
        <f t="shared" si="55"/>
        <v>853</v>
      </c>
      <c r="BJ222" s="190">
        <f t="shared" si="56"/>
        <v>2473</v>
      </c>
      <c r="BK222" s="188"/>
      <c r="BL222" s="189"/>
      <c r="BM222" s="189"/>
      <c r="BN222" s="189"/>
      <c r="BO222" s="190"/>
      <c r="BP222" s="188">
        <v>499</v>
      </c>
      <c r="BQ222" s="189"/>
      <c r="BR222" s="189"/>
      <c r="BS222" s="189"/>
      <c r="BT222" s="190">
        <v>499</v>
      </c>
      <c r="BU222" s="188"/>
      <c r="BV222" s="189">
        <v>767</v>
      </c>
      <c r="BW222" s="189">
        <v>354</v>
      </c>
      <c r="BX222" s="189">
        <v>853</v>
      </c>
      <c r="BY222" s="190">
        <v>1974</v>
      </c>
      <c r="BZ222" s="188"/>
      <c r="CA222" s="189"/>
      <c r="CB222" s="189"/>
      <c r="CC222" s="189"/>
      <c r="CD222" s="190"/>
      <c r="CE222" s="188"/>
      <c r="CF222" s="189"/>
      <c r="CG222" s="189"/>
      <c r="CH222" s="189"/>
      <c r="CI222" s="190"/>
    </row>
    <row r="223" s="163" customFormat="1" ht="14.6" spans="1:87">
      <c r="A223" s="191" t="s">
        <v>202</v>
      </c>
      <c r="B223" s="192"/>
      <c r="C223" s="193">
        <f t="shared" si="57"/>
        <v>8051</v>
      </c>
      <c r="D223" s="194">
        <f t="shared" si="45"/>
        <v>8014</v>
      </c>
      <c r="E223" s="194">
        <f t="shared" si="46"/>
        <v>8041</v>
      </c>
      <c r="F223" s="194">
        <f t="shared" si="47"/>
        <v>2414</v>
      </c>
      <c r="G223" s="195">
        <f t="shared" si="48"/>
        <v>26520</v>
      </c>
      <c r="H223" s="193">
        <f t="shared" si="58"/>
        <v>7552</v>
      </c>
      <c r="I223" s="194">
        <f t="shared" si="49"/>
        <v>7247</v>
      </c>
      <c r="J223" s="194">
        <f t="shared" si="50"/>
        <v>7687</v>
      </c>
      <c r="K223" s="194">
        <f t="shared" si="51"/>
        <v>1561</v>
      </c>
      <c r="L223" s="195">
        <f t="shared" si="52"/>
        <v>24047</v>
      </c>
      <c r="M223" s="193"/>
      <c r="N223" s="194"/>
      <c r="O223" s="194"/>
      <c r="P223" s="194"/>
      <c r="Q223" s="195"/>
      <c r="R223" s="193"/>
      <c r="S223" s="194"/>
      <c r="T223" s="194"/>
      <c r="U223" s="194"/>
      <c r="V223" s="195"/>
      <c r="W223" s="193"/>
      <c r="X223" s="194"/>
      <c r="Y223" s="194"/>
      <c r="Z223" s="194"/>
      <c r="AA223" s="195"/>
      <c r="AB223" s="193">
        <v>4012</v>
      </c>
      <c r="AC223" s="194">
        <v>4828</v>
      </c>
      <c r="AD223" s="194">
        <v>3589</v>
      </c>
      <c r="AE223" s="194">
        <v>1561</v>
      </c>
      <c r="AF223" s="195">
        <v>13990</v>
      </c>
      <c r="AG223" s="193"/>
      <c r="AH223" s="194"/>
      <c r="AI223" s="194"/>
      <c r="AJ223" s="194"/>
      <c r="AK223" s="195"/>
      <c r="AL223" s="193">
        <v>3540</v>
      </c>
      <c r="AM223" s="194">
        <v>2419</v>
      </c>
      <c r="AN223" s="194">
        <v>3599</v>
      </c>
      <c r="AO223" s="194"/>
      <c r="AP223" s="195">
        <v>9558</v>
      </c>
      <c r="AQ223" s="193"/>
      <c r="AR223" s="194"/>
      <c r="AS223" s="194"/>
      <c r="AT223" s="194"/>
      <c r="AU223" s="195"/>
      <c r="AV223" s="193"/>
      <c r="AW223" s="194"/>
      <c r="AX223" s="194"/>
      <c r="AY223" s="194"/>
      <c r="AZ223" s="195"/>
      <c r="BA223" s="193"/>
      <c r="BB223" s="194"/>
      <c r="BC223" s="194">
        <v>499</v>
      </c>
      <c r="BD223" s="194"/>
      <c r="BE223" s="195">
        <v>499</v>
      </c>
      <c r="BF223" s="193">
        <f t="shared" si="59"/>
        <v>499</v>
      </c>
      <c r="BG223" s="194">
        <f t="shared" si="53"/>
        <v>767</v>
      </c>
      <c r="BH223" s="194">
        <f t="shared" si="54"/>
        <v>354</v>
      </c>
      <c r="BI223" s="194">
        <f t="shared" si="55"/>
        <v>853</v>
      </c>
      <c r="BJ223" s="195">
        <f t="shared" si="56"/>
        <v>2473</v>
      </c>
      <c r="BK223" s="193"/>
      <c r="BL223" s="194"/>
      <c r="BM223" s="194"/>
      <c r="BN223" s="194"/>
      <c r="BO223" s="195"/>
      <c r="BP223" s="193">
        <v>499</v>
      </c>
      <c r="BQ223" s="194"/>
      <c r="BR223" s="194"/>
      <c r="BS223" s="194"/>
      <c r="BT223" s="195">
        <v>499</v>
      </c>
      <c r="BU223" s="193"/>
      <c r="BV223" s="194">
        <v>767</v>
      </c>
      <c r="BW223" s="194">
        <v>354</v>
      </c>
      <c r="BX223" s="194">
        <v>853</v>
      </c>
      <c r="BY223" s="195">
        <v>1974</v>
      </c>
      <c r="BZ223" s="193"/>
      <c r="CA223" s="194"/>
      <c r="CB223" s="194"/>
      <c r="CC223" s="194"/>
      <c r="CD223" s="195"/>
      <c r="CE223" s="193"/>
      <c r="CF223" s="194"/>
      <c r="CG223" s="194"/>
      <c r="CH223" s="194"/>
      <c r="CI223" s="195"/>
    </row>
    <row r="224" spans="1:87">
      <c r="A224" s="186" t="s">
        <v>203</v>
      </c>
      <c r="B224" s="187" t="s">
        <v>26</v>
      </c>
      <c r="C224" s="188">
        <f t="shared" si="57"/>
        <v>13963</v>
      </c>
      <c r="D224" s="189">
        <f t="shared" si="45"/>
        <v>5082</v>
      </c>
      <c r="E224" s="189">
        <f t="shared" si="46"/>
        <v>2278</v>
      </c>
      <c r="F224" s="189">
        <f t="shared" si="47"/>
        <v>2687</v>
      </c>
      <c r="G224" s="190">
        <f t="shared" si="48"/>
        <v>24010</v>
      </c>
      <c r="H224" s="188">
        <f t="shared" si="58"/>
        <v>13064</v>
      </c>
      <c r="I224" s="189">
        <f t="shared" si="49"/>
        <v>4183</v>
      </c>
      <c r="J224" s="189">
        <f t="shared" si="50"/>
        <v>2278</v>
      </c>
      <c r="K224" s="189">
        <f t="shared" si="51"/>
        <v>2687</v>
      </c>
      <c r="L224" s="190">
        <f t="shared" si="52"/>
        <v>22212</v>
      </c>
      <c r="M224" s="188"/>
      <c r="N224" s="189"/>
      <c r="O224" s="189"/>
      <c r="P224" s="189"/>
      <c r="Q224" s="190"/>
      <c r="R224" s="188">
        <v>10519</v>
      </c>
      <c r="S224" s="189">
        <v>3471</v>
      </c>
      <c r="T224" s="189">
        <v>1299</v>
      </c>
      <c r="U224" s="189">
        <v>2598</v>
      </c>
      <c r="V224" s="190">
        <v>17887</v>
      </c>
      <c r="W224" s="188"/>
      <c r="X224" s="189"/>
      <c r="Y224" s="189"/>
      <c r="Z224" s="189"/>
      <c r="AA224" s="190"/>
      <c r="AB224" s="188">
        <v>2367</v>
      </c>
      <c r="AC224" s="189"/>
      <c r="AD224" s="189"/>
      <c r="AE224" s="189"/>
      <c r="AF224" s="190">
        <v>2367</v>
      </c>
      <c r="AG224" s="188"/>
      <c r="AH224" s="189"/>
      <c r="AI224" s="189"/>
      <c r="AJ224" s="189"/>
      <c r="AK224" s="190"/>
      <c r="AL224" s="188"/>
      <c r="AM224" s="189"/>
      <c r="AN224" s="189"/>
      <c r="AO224" s="189"/>
      <c r="AP224" s="190"/>
      <c r="AQ224" s="188"/>
      <c r="AR224" s="189"/>
      <c r="AS224" s="189"/>
      <c r="AT224" s="189"/>
      <c r="AU224" s="190"/>
      <c r="AV224" s="188">
        <v>178</v>
      </c>
      <c r="AW224" s="189">
        <v>712</v>
      </c>
      <c r="AX224" s="189">
        <v>979</v>
      </c>
      <c r="AY224" s="189">
        <v>89</v>
      </c>
      <c r="AZ224" s="190">
        <v>1958</v>
      </c>
      <c r="BA224" s="188"/>
      <c r="BB224" s="189"/>
      <c r="BC224" s="189"/>
      <c r="BD224" s="189"/>
      <c r="BE224" s="190"/>
      <c r="BF224" s="188">
        <f t="shared" si="59"/>
        <v>899</v>
      </c>
      <c r="BG224" s="189">
        <f t="shared" si="53"/>
        <v>899</v>
      </c>
      <c r="BH224" s="189">
        <f t="shared" si="54"/>
        <v>0</v>
      </c>
      <c r="BI224" s="189">
        <f t="shared" si="55"/>
        <v>0</v>
      </c>
      <c r="BJ224" s="190">
        <f t="shared" si="56"/>
        <v>1798</v>
      </c>
      <c r="BK224" s="188"/>
      <c r="BL224" s="189"/>
      <c r="BM224" s="189"/>
      <c r="BN224" s="189"/>
      <c r="BO224" s="190"/>
      <c r="BP224" s="188"/>
      <c r="BQ224" s="189"/>
      <c r="BR224" s="189"/>
      <c r="BS224" s="189"/>
      <c r="BT224" s="190"/>
      <c r="BU224" s="188">
        <v>899</v>
      </c>
      <c r="BV224" s="189">
        <v>899</v>
      </c>
      <c r="BW224" s="189"/>
      <c r="BX224" s="189"/>
      <c r="BY224" s="190">
        <v>1798</v>
      </c>
      <c r="BZ224" s="188"/>
      <c r="CA224" s="189"/>
      <c r="CB224" s="189"/>
      <c r="CC224" s="189"/>
      <c r="CD224" s="190"/>
      <c r="CE224" s="188"/>
      <c r="CF224" s="189"/>
      <c r="CG224" s="189"/>
      <c r="CH224" s="189"/>
      <c r="CI224" s="190"/>
    </row>
    <row r="225" s="163" customFormat="1" ht="14.6" spans="1:87">
      <c r="A225" s="191" t="s">
        <v>204</v>
      </c>
      <c r="B225" s="192"/>
      <c r="C225" s="193">
        <f t="shared" si="57"/>
        <v>13963</v>
      </c>
      <c r="D225" s="194">
        <f t="shared" si="45"/>
        <v>5082</v>
      </c>
      <c r="E225" s="194">
        <f t="shared" si="46"/>
        <v>2278</v>
      </c>
      <c r="F225" s="194">
        <f t="shared" si="47"/>
        <v>2687</v>
      </c>
      <c r="G225" s="195">
        <f t="shared" si="48"/>
        <v>24010</v>
      </c>
      <c r="H225" s="193">
        <f t="shared" si="58"/>
        <v>13064</v>
      </c>
      <c r="I225" s="194">
        <f t="shared" si="49"/>
        <v>4183</v>
      </c>
      <c r="J225" s="194">
        <f t="shared" si="50"/>
        <v>2278</v>
      </c>
      <c r="K225" s="194">
        <f t="shared" si="51"/>
        <v>2687</v>
      </c>
      <c r="L225" s="195">
        <f t="shared" si="52"/>
        <v>22212</v>
      </c>
      <c r="M225" s="193"/>
      <c r="N225" s="194"/>
      <c r="O225" s="194"/>
      <c r="P225" s="194"/>
      <c r="Q225" s="195"/>
      <c r="R225" s="193">
        <v>10519</v>
      </c>
      <c r="S225" s="194">
        <v>3471</v>
      </c>
      <c r="T225" s="194">
        <v>1299</v>
      </c>
      <c r="U225" s="194">
        <v>2598</v>
      </c>
      <c r="V225" s="195">
        <v>17887</v>
      </c>
      <c r="W225" s="193"/>
      <c r="X225" s="194"/>
      <c r="Y225" s="194"/>
      <c r="Z225" s="194"/>
      <c r="AA225" s="195"/>
      <c r="AB225" s="193">
        <v>2367</v>
      </c>
      <c r="AC225" s="194"/>
      <c r="AD225" s="194"/>
      <c r="AE225" s="194"/>
      <c r="AF225" s="195">
        <v>2367</v>
      </c>
      <c r="AG225" s="193"/>
      <c r="AH225" s="194"/>
      <c r="AI225" s="194"/>
      <c r="AJ225" s="194"/>
      <c r="AK225" s="195"/>
      <c r="AL225" s="193"/>
      <c r="AM225" s="194"/>
      <c r="AN225" s="194"/>
      <c r="AO225" s="194"/>
      <c r="AP225" s="195"/>
      <c r="AQ225" s="193"/>
      <c r="AR225" s="194"/>
      <c r="AS225" s="194"/>
      <c r="AT225" s="194"/>
      <c r="AU225" s="195"/>
      <c r="AV225" s="193">
        <v>178</v>
      </c>
      <c r="AW225" s="194">
        <v>712</v>
      </c>
      <c r="AX225" s="194">
        <v>979</v>
      </c>
      <c r="AY225" s="194">
        <v>89</v>
      </c>
      <c r="AZ225" s="195">
        <v>1958</v>
      </c>
      <c r="BA225" s="193"/>
      <c r="BB225" s="194"/>
      <c r="BC225" s="194"/>
      <c r="BD225" s="194"/>
      <c r="BE225" s="195"/>
      <c r="BF225" s="193">
        <f t="shared" si="59"/>
        <v>899</v>
      </c>
      <c r="BG225" s="194">
        <f t="shared" si="53"/>
        <v>899</v>
      </c>
      <c r="BH225" s="194">
        <f t="shared" si="54"/>
        <v>0</v>
      </c>
      <c r="BI225" s="194">
        <f t="shared" si="55"/>
        <v>0</v>
      </c>
      <c r="BJ225" s="195">
        <f t="shared" si="56"/>
        <v>1798</v>
      </c>
      <c r="BK225" s="193"/>
      <c r="BL225" s="194"/>
      <c r="BM225" s="194"/>
      <c r="BN225" s="194"/>
      <c r="BO225" s="195"/>
      <c r="BP225" s="193"/>
      <c r="BQ225" s="194"/>
      <c r="BR225" s="194"/>
      <c r="BS225" s="194"/>
      <c r="BT225" s="195"/>
      <c r="BU225" s="193">
        <v>899</v>
      </c>
      <c r="BV225" s="194">
        <v>899</v>
      </c>
      <c r="BW225" s="194"/>
      <c r="BX225" s="194"/>
      <c r="BY225" s="195">
        <v>1798</v>
      </c>
      <c r="BZ225" s="193"/>
      <c r="CA225" s="194"/>
      <c r="CB225" s="194"/>
      <c r="CC225" s="194"/>
      <c r="CD225" s="195"/>
      <c r="CE225" s="193"/>
      <c r="CF225" s="194"/>
      <c r="CG225" s="194"/>
      <c r="CH225" s="194"/>
      <c r="CI225" s="195"/>
    </row>
    <row r="226" spans="1:87">
      <c r="A226" s="186" t="s">
        <v>205</v>
      </c>
      <c r="B226" s="187" t="s">
        <v>26</v>
      </c>
      <c r="C226" s="188">
        <f t="shared" si="57"/>
        <v>5727</v>
      </c>
      <c r="D226" s="189">
        <f t="shared" si="45"/>
        <v>6279</v>
      </c>
      <c r="E226" s="189">
        <f t="shared" si="46"/>
        <v>6348</v>
      </c>
      <c r="F226" s="189">
        <f t="shared" si="47"/>
        <v>4002</v>
      </c>
      <c r="G226" s="190">
        <f t="shared" si="48"/>
        <v>22356</v>
      </c>
      <c r="H226" s="188">
        <f t="shared" si="58"/>
        <v>5313</v>
      </c>
      <c r="I226" s="189">
        <f t="shared" si="49"/>
        <v>5520</v>
      </c>
      <c r="J226" s="189">
        <f t="shared" si="50"/>
        <v>5796</v>
      </c>
      <c r="K226" s="189">
        <f t="shared" si="51"/>
        <v>4002</v>
      </c>
      <c r="L226" s="190">
        <f t="shared" si="52"/>
        <v>20631</v>
      </c>
      <c r="M226" s="188">
        <v>1104</v>
      </c>
      <c r="N226" s="189">
        <v>759</v>
      </c>
      <c r="O226" s="189">
        <v>1311</v>
      </c>
      <c r="P226" s="189">
        <v>483</v>
      </c>
      <c r="Q226" s="190">
        <v>3657</v>
      </c>
      <c r="R226" s="188"/>
      <c r="S226" s="189"/>
      <c r="T226" s="189"/>
      <c r="U226" s="189"/>
      <c r="V226" s="190"/>
      <c r="W226" s="188"/>
      <c r="X226" s="189"/>
      <c r="Y226" s="189"/>
      <c r="Z226" s="189"/>
      <c r="AA226" s="190"/>
      <c r="AB226" s="188">
        <v>3933</v>
      </c>
      <c r="AC226" s="189">
        <v>4692</v>
      </c>
      <c r="AD226" s="189">
        <v>4209</v>
      </c>
      <c r="AE226" s="189">
        <v>3312</v>
      </c>
      <c r="AF226" s="190">
        <v>16146</v>
      </c>
      <c r="AG226" s="188"/>
      <c r="AH226" s="189"/>
      <c r="AI226" s="189"/>
      <c r="AJ226" s="189"/>
      <c r="AK226" s="190"/>
      <c r="AL226" s="188"/>
      <c r="AM226" s="189"/>
      <c r="AN226" s="189"/>
      <c r="AO226" s="189"/>
      <c r="AP226" s="190"/>
      <c r="AQ226" s="188"/>
      <c r="AR226" s="189"/>
      <c r="AS226" s="189"/>
      <c r="AT226" s="189"/>
      <c r="AU226" s="190"/>
      <c r="AV226" s="188">
        <v>207</v>
      </c>
      <c r="AW226" s="189">
        <v>69</v>
      </c>
      <c r="AX226" s="189">
        <v>276</v>
      </c>
      <c r="AY226" s="189">
        <v>207</v>
      </c>
      <c r="AZ226" s="190">
        <v>759</v>
      </c>
      <c r="BA226" s="188">
        <v>69</v>
      </c>
      <c r="BB226" s="189"/>
      <c r="BC226" s="189"/>
      <c r="BD226" s="189"/>
      <c r="BE226" s="190">
        <v>69</v>
      </c>
      <c r="BF226" s="188">
        <f t="shared" si="59"/>
        <v>414</v>
      </c>
      <c r="BG226" s="189">
        <f t="shared" si="53"/>
        <v>759</v>
      </c>
      <c r="BH226" s="189">
        <f t="shared" si="54"/>
        <v>552</v>
      </c>
      <c r="BI226" s="189">
        <f t="shared" si="55"/>
        <v>0</v>
      </c>
      <c r="BJ226" s="190">
        <f t="shared" si="56"/>
        <v>1725</v>
      </c>
      <c r="BK226" s="188"/>
      <c r="BL226" s="189"/>
      <c r="BM226" s="189"/>
      <c r="BN226" s="189"/>
      <c r="BO226" s="190"/>
      <c r="BP226" s="188">
        <v>414</v>
      </c>
      <c r="BQ226" s="189">
        <v>759</v>
      </c>
      <c r="BR226" s="189">
        <v>552</v>
      </c>
      <c r="BS226" s="189"/>
      <c r="BT226" s="190">
        <v>1725</v>
      </c>
      <c r="BU226" s="188"/>
      <c r="BV226" s="189"/>
      <c r="BW226" s="189"/>
      <c r="BX226" s="189"/>
      <c r="BY226" s="190"/>
      <c r="BZ226" s="188"/>
      <c r="CA226" s="189"/>
      <c r="CB226" s="189"/>
      <c r="CC226" s="189"/>
      <c r="CD226" s="190"/>
      <c r="CE226" s="188"/>
      <c r="CF226" s="189"/>
      <c r="CG226" s="189"/>
      <c r="CH226" s="189"/>
      <c r="CI226" s="190"/>
    </row>
    <row r="227" s="163" customFormat="1" ht="14.6" spans="1:87">
      <c r="A227" s="191" t="s">
        <v>206</v>
      </c>
      <c r="B227" s="192"/>
      <c r="C227" s="193">
        <f t="shared" si="57"/>
        <v>5727</v>
      </c>
      <c r="D227" s="194">
        <f t="shared" si="45"/>
        <v>6279</v>
      </c>
      <c r="E227" s="194">
        <f t="shared" si="46"/>
        <v>6348</v>
      </c>
      <c r="F227" s="194">
        <f t="shared" si="47"/>
        <v>4002</v>
      </c>
      <c r="G227" s="195">
        <f t="shared" si="48"/>
        <v>22356</v>
      </c>
      <c r="H227" s="193">
        <f t="shared" si="58"/>
        <v>5313</v>
      </c>
      <c r="I227" s="194">
        <f t="shared" si="49"/>
        <v>5520</v>
      </c>
      <c r="J227" s="194">
        <f t="shared" si="50"/>
        <v>5796</v>
      </c>
      <c r="K227" s="194">
        <f t="shared" si="51"/>
        <v>4002</v>
      </c>
      <c r="L227" s="195">
        <f t="shared" si="52"/>
        <v>20631</v>
      </c>
      <c r="M227" s="193">
        <v>1104</v>
      </c>
      <c r="N227" s="194">
        <v>759</v>
      </c>
      <c r="O227" s="194">
        <v>1311</v>
      </c>
      <c r="P227" s="194">
        <v>483</v>
      </c>
      <c r="Q227" s="195">
        <v>3657</v>
      </c>
      <c r="R227" s="193"/>
      <c r="S227" s="194"/>
      <c r="T227" s="194"/>
      <c r="U227" s="194"/>
      <c r="V227" s="195"/>
      <c r="W227" s="193"/>
      <c r="X227" s="194"/>
      <c r="Y227" s="194"/>
      <c r="Z227" s="194"/>
      <c r="AA227" s="195"/>
      <c r="AB227" s="193">
        <v>3933</v>
      </c>
      <c r="AC227" s="194">
        <v>4692</v>
      </c>
      <c r="AD227" s="194">
        <v>4209</v>
      </c>
      <c r="AE227" s="194">
        <v>3312</v>
      </c>
      <c r="AF227" s="195">
        <v>16146</v>
      </c>
      <c r="AG227" s="193"/>
      <c r="AH227" s="194"/>
      <c r="AI227" s="194"/>
      <c r="AJ227" s="194"/>
      <c r="AK227" s="195"/>
      <c r="AL227" s="193"/>
      <c r="AM227" s="194"/>
      <c r="AN227" s="194"/>
      <c r="AO227" s="194"/>
      <c r="AP227" s="195"/>
      <c r="AQ227" s="193"/>
      <c r="AR227" s="194"/>
      <c r="AS227" s="194"/>
      <c r="AT227" s="194"/>
      <c r="AU227" s="195"/>
      <c r="AV227" s="193">
        <v>207</v>
      </c>
      <c r="AW227" s="194">
        <v>69</v>
      </c>
      <c r="AX227" s="194">
        <v>276</v>
      </c>
      <c r="AY227" s="194">
        <v>207</v>
      </c>
      <c r="AZ227" s="195">
        <v>759</v>
      </c>
      <c r="BA227" s="193">
        <v>69</v>
      </c>
      <c r="BB227" s="194"/>
      <c r="BC227" s="194"/>
      <c r="BD227" s="194"/>
      <c r="BE227" s="195">
        <v>69</v>
      </c>
      <c r="BF227" s="193">
        <f t="shared" si="59"/>
        <v>414</v>
      </c>
      <c r="BG227" s="194">
        <f t="shared" si="53"/>
        <v>759</v>
      </c>
      <c r="BH227" s="194">
        <f t="shared" si="54"/>
        <v>552</v>
      </c>
      <c r="BI227" s="194">
        <f t="shared" si="55"/>
        <v>0</v>
      </c>
      <c r="BJ227" s="195">
        <f t="shared" si="56"/>
        <v>1725</v>
      </c>
      <c r="BK227" s="193"/>
      <c r="BL227" s="194"/>
      <c r="BM227" s="194"/>
      <c r="BN227" s="194"/>
      <c r="BO227" s="195"/>
      <c r="BP227" s="193">
        <v>414</v>
      </c>
      <c r="BQ227" s="194">
        <v>759</v>
      </c>
      <c r="BR227" s="194">
        <v>552</v>
      </c>
      <c r="BS227" s="194"/>
      <c r="BT227" s="195">
        <v>1725</v>
      </c>
      <c r="BU227" s="193"/>
      <c r="BV227" s="194"/>
      <c r="BW227" s="194"/>
      <c r="BX227" s="194"/>
      <c r="BY227" s="195"/>
      <c r="BZ227" s="193"/>
      <c r="CA227" s="194"/>
      <c r="CB227" s="194"/>
      <c r="CC227" s="194"/>
      <c r="CD227" s="195"/>
      <c r="CE227" s="193"/>
      <c r="CF227" s="194"/>
      <c r="CG227" s="194"/>
      <c r="CH227" s="194"/>
      <c r="CI227" s="195"/>
    </row>
    <row r="228" spans="1:87">
      <c r="A228" s="186" t="s">
        <v>207</v>
      </c>
      <c r="B228" s="187" t="s">
        <v>26</v>
      </c>
      <c r="C228" s="188">
        <f t="shared" si="57"/>
        <v>11868</v>
      </c>
      <c r="D228" s="189">
        <f t="shared" si="45"/>
        <v>3381</v>
      </c>
      <c r="E228" s="189">
        <f t="shared" si="46"/>
        <v>276</v>
      </c>
      <c r="F228" s="189">
        <f t="shared" si="47"/>
        <v>1104</v>
      </c>
      <c r="G228" s="190">
        <f t="shared" si="48"/>
        <v>16629</v>
      </c>
      <c r="H228" s="188">
        <f t="shared" si="58"/>
        <v>5451</v>
      </c>
      <c r="I228" s="189">
        <f t="shared" si="49"/>
        <v>345</v>
      </c>
      <c r="J228" s="189">
        <f t="shared" si="50"/>
        <v>0</v>
      </c>
      <c r="K228" s="189">
        <f t="shared" si="51"/>
        <v>345</v>
      </c>
      <c r="L228" s="190">
        <f t="shared" si="52"/>
        <v>6141</v>
      </c>
      <c r="M228" s="188"/>
      <c r="N228" s="189"/>
      <c r="O228" s="189"/>
      <c r="P228" s="189"/>
      <c r="Q228" s="190"/>
      <c r="R228" s="188">
        <v>5451</v>
      </c>
      <c r="S228" s="189">
        <v>345</v>
      </c>
      <c r="T228" s="189"/>
      <c r="U228" s="189">
        <v>345</v>
      </c>
      <c r="V228" s="190">
        <v>6141</v>
      </c>
      <c r="W228" s="188"/>
      <c r="X228" s="189"/>
      <c r="Y228" s="189"/>
      <c r="Z228" s="189"/>
      <c r="AA228" s="190"/>
      <c r="AB228" s="188"/>
      <c r="AC228" s="189"/>
      <c r="AD228" s="189"/>
      <c r="AE228" s="189"/>
      <c r="AF228" s="190"/>
      <c r="AG228" s="188"/>
      <c r="AH228" s="189"/>
      <c r="AI228" s="189"/>
      <c r="AJ228" s="189"/>
      <c r="AK228" s="190"/>
      <c r="AL228" s="188"/>
      <c r="AM228" s="189"/>
      <c r="AN228" s="189"/>
      <c r="AO228" s="189"/>
      <c r="AP228" s="190"/>
      <c r="AQ228" s="188"/>
      <c r="AR228" s="189"/>
      <c r="AS228" s="189"/>
      <c r="AT228" s="189"/>
      <c r="AU228" s="190"/>
      <c r="AV228" s="188"/>
      <c r="AW228" s="189"/>
      <c r="AX228" s="189"/>
      <c r="AY228" s="189"/>
      <c r="AZ228" s="190"/>
      <c r="BA228" s="188"/>
      <c r="BB228" s="189"/>
      <c r="BC228" s="189"/>
      <c r="BD228" s="189"/>
      <c r="BE228" s="190"/>
      <c r="BF228" s="188">
        <f t="shared" si="59"/>
        <v>6417</v>
      </c>
      <c r="BG228" s="189">
        <f t="shared" si="53"/>
        <v>3036</v>
      </c>
      <c r="BH228" s="189">
        <f t="shared" si="54"/>
        <v>276</v>
      </c>
      <c r="BI228" s="189">
        <f t="shared" si="55"/>
        <v>759</v>
      </c>
      <c r="BJ228" s="190">
        <f t="shared" si="56"/>
        <v>10488</v>
      </c>
      <c r="BK228" s="188"/>
      <c r="BL228" s="189"/>
      <c r="BM228" s="189"/>
      <c r="BN228" s="189"/>
      <c r="BO228" s="190"/>
      <c r="BP228" s="188">
        <v>207</v>
      </c>
      <c r="BQ228" s="189"/>
      <c r="BR228" s="189"/>
      <c r="BS228" s="189"/>
      <c r="BT228" s="190">
        <v>207</v>
      </c>
      <c r="BU228" s="188">
        <v>5520</v>
      </c>
      <c r="BV228" s="189">
        <v>3036</v>
      </c>
      <c r="BW228" s="189">
        <v>276</v>
      </c>
      <c r="BX228" s="189">
        <v>759</v>
      </c>
      <c r="BY228" s="190">
        <v>9591</v>
      </c>
      <c r="BZ228" s="188">
        <v>690</v>
      </c>
      <c r="CA228" s="189"/>
      <c r="CB228" s="189"/>
      <c r="CC228" s="189"/>
      <c r="CD228" s="190">
        <v>690</v>
      </c>
      <c r="CE228" s="188"/>
      <c r="CF228" s="189"/>
      <c r="CG228" s="189"/>
      <c r="CH228" s="189"/>
      <c r="CI228" s="190"/>
    </row>
    <row r="229" s="163" customFormat="1" ht="14.6" spans="1:87">
      <c r="A229" s="191" t="s">
        <v>208</v>
      </c>
      <c r="B229" s="192"/>
      <c r="C229" s="193">
        <f t="shared" si="57"/>
        <v>11868</v>
      </c>
      <c r="D229" s="194">
        <f t="shared" si="45"/>
        <v>3381</v>
      </c>
      <c r="E229" s="194">
        <f t="shared" si="46"/>
        <v>276</v>
      </c>
      <c r="F229" s="194">
        <f t="shared" si="47"/>
        <v>1104</v>
      </c>
      <c r="G229" s="195">
        <f t="shared" si="48"/>
        <v>16629</v>
      </c>
      <c r="H229" s="193">
        <f t="shared" si="58"/>
        <v>5451</v>
      </c>
      <c r="I229" s="194">
        <f t="shared" si="49"/>
        <v>345</v>
      </c>
      <c r="J229" s="194">
        <f t="shared" si="50"/>
        <v>0</v>
      </c>
      <c r="K229" s="194">
        <f t="shared" si="51"/>
        <v>345</v>
      </c>
      <c r="L229" s="195">
        <f t="shared" si="52"/>
        <v>6141</v>
      </c>
      <c r="M229" s="193"/>
      <c r="N229" s="194"/>
      <c r="O229" s="194"/>
      <c r="P229" s="194"/>
      <c r="Q229" s="195"/>
      <c r="R229" s="193">
        <v>5451</v>
      </c>
      <c r="S229" s="194">
        <v>345</v>
      </c>
      <c r="T229" s="194"/>
      <c r="U229" s="194">
        <v>345</v>
      </c>
      <c r="V229" s="195">
        <v>6141</v>
      </c>
      <c r="W229" s="193"/>
      <c r="X229" s="194"/>
      <c r="Y229" s="194"/>
      <c r="Z229" s="194"/>
      <c r="AA229" s="195"/>
      <c r="AB229" s="193"/>
      <c r="AC229" s="194"/>
      <c r="AD229" s="194"/>
      <c r="AE229" s="194"/>
      <c r="AF229" s="195"/>
      <c r="AG229" s="193"/>
      <c r="AH229" s="194"/>
      <c r="AI229" s="194"/>
      <c r="AJ229" s="194"/>
      <c r="AK229" s="195"/>
      <c r="AL229" s="193"/>
      <c r="AM229" s="194"/>
      <c r="AN229" s="194"/>
      <c r="AO229" s="194"/>
      <c r="AP229" s="195"/>
      <c r="AQ229" s="193"/>
      <c r="AR229" s="194"/>
      <c r="AS229" s="194"/>
      <c r="AT229" s="194"/>
      <c r="AU229" s="195"/>
      <c r="AV229" s="193"/>
      <c r="AW229" s="194"/>
      <c r="AX229" s="194"/>
      <c r="AY229" s="194"/>
      <c r="AZ229" s="195"/>
      <c r="BA229" s="193"/>
      <c r="BB229" s="194"/>
      <c r="BC229" s="194"/>
      <c r="BD229" s="194"/>
      <c r="BE229" s="195"/>
      <c r="BF229" s="193">
        <f t="shared" si="59"/>
        <v>6417</v>
      </c>
      <c r="BG229" s="194">
        <f t="shared" si="53"/>
        <v>3036</v>
      </c>
      <c r="BH229" s="194">
        <f t="shared" si="54"/>
        <v>276</v>
      </c>
      <c r="BI229" s="194">
        <f t="shared" si="55"/>
        <v>759</v>
      </c>
      <c r="BJ229" s="195">
        <f t="shared" si="56"/>
        <v>10488</v>
      </c>
      <c r="BK229" s="193"/>
      <c r="BL229" s="194"/>
      <c r="BM229" s="194"/>
      <c r="BN229" s="194"/>
      <c r="BO229" s="195"/>
      <c r="BP229" s="193">
        <v>207</v>
      </c>
      <c r="BQ229" s="194"/>
      <c r="BR229" s="194"/>
      <c r="BS229" s="194"/>
      <c r="BT229" s="195">
        <v>207</v>
      </c>
      <c r="BU229" s="193">
        <v>5520</v>
      </c>
      <c r="BV229" s="194">
        <v>3036</v>
      </c>
      <c r="BW229" s="194">
        <v>276</v>
      </c>
      <c r="BX229" s="194">
        <v>759</v>
      </c>
      <c r="BY229" s="195">
        <v>9591</v>
      </c>
      <c r="BZ229" s="193">
        <v>690</v>
      </c>
      <c r="CA229" s="194"/>
      <c r="CB229" s="194"/>
      <c r="CC229" s="194"/>
      <c r="CD229" s="195">
        <v>690</v>
      </c>
      <c r="CE229" s="193"/>
      <c r="CF229" s="194"/>
      <c r="CG229" s="194"/>
      <c r="CH229" s="194"/>
      <c r="CI229" s="195"/>
    </row>
    <row r="230" spans="1:87">
      <c r="A230" s="186" t="s">
        <v>209</v>
      </c>
      <c r="B230" s="187" t="s">
        <v>26</v>
      </c>
      <c r="C230" s="188">
        <f t="shared" si="57"/>
        <v>3174</v>
      </c>
      <c r="D230" s="189">
        <f t="shared" si="45"/>
        <v>3795</v>
      </c>
      <c r="E230" s="189">
        <f t="shared" si="46"/>
        <v>4209</v>
      </c>
      <c r="F230" s="189">
        <f t="shared" si="47"/>
        <v>3174</v>
      </c>
      <c r="G230" s="190">
        <f t="shared" si="48"/>
        <v>14352</v>
      </c>
      <c r="H230" s="188">
        <f t="shared" si="58"/>
        <v>3174</v>
      </c>
      <c r="I230" s="189">
        <f t="shared" si="49"/>
        <v>3795</v>
      </c>
      <c r="J230" s="189">
        <f t="shared" si="50"/>
        <v>4140</v>
      </c>
      <c r="K230" s="189">
        <f t="shared" si="51"/>
        <v>3174</v>
      </c>
      <c r="L230" s="190">
        <f t="shared" si="52"/>
        <v>14283</v>
      </c>
      <c r="M230" s="188"/>
      <c r="N230" s="189"/>
      <c r="O230" s="189"/>
      <c r="P230" s="189"/>
      <c r="Q230" s="190"/>
      <c r="R230" s="188"/>
      <c r="S230" s="189"/>
      <c r="T230" s="189"/>
      <c r="U230" s="189"/>
      <c r="V230" s="190"/>
      <c r="W230" s="188"/>
      <c r="X230" s="189"/>
      <c r="Y230" s="189"/>
      <c r="Z230" s="189"/>
      <c r="AA230" s="190"/>
      <c r="AB230" s="188">
        <v>2553</v>
      </c>
      <c r="AC230" s="189">
        <v>2829</v>
      </c>
      <c r="AD230" s="189">
        <v>2898</v>
      </c>
      <c r="AE230" s="189">
        <v>1863</v>
      </c>
      <c r="AF230" s="190">
        <v>10143</v>
      </c>
      <c r="AG230" s="188"/>
      <c r="AH230" s="189"/>
      <c r="AI230" s="189"/>
      <c r="AJ230" s="189"/>
      <c r="AK230" s="190"/>
      <c r="AL230" s="188"/>
      <c r="AM230" s="189"/>
      <c r="AN230" s="189"/>
      <c r="AO230" s="189"/>
      <c r="AP230" s="190"/>
      <c r="AQ230" s="188">
        <v>621</v>
      </c>
      <c r="AR230" s="189">
        <v>966</v>
      </c>
      <c r="AS230" s="189">
        <v>1242</v>
      </c>
      <c r="AT230" s="189">
        <v>1311</v>
      </c>
      <c r="AU230" s="190">
        <v>4140</v>
      </c>
      <c r="AV230" s="188"/>
      <c r="AW230" s="189"/>
      <c r="AX230" s="189"/>
      <c r="AY230" s="189"/>
      <c r="AZ230" s="190"/>
      <c r="BA230" s="188"/>
      <c r="BB230" s="189"/>
      <c r="BC230" s="189"/>
      <c r="BD230" s="189"/>
      <c r="BE230" s="190"/>
      <c r="BF230" s="188">
        <f t="shared" si="59"/>
        <v>0</v>
      </c>
      <c r="BG230" s="189">
        <f t="shared" si="53"/>
        <v>0</v>
      </c>
      <c r="BH230" s="189">
        <f t="shared" si="54"/>
        <v>69</v>
      </c>
      <c r="BI230" s="189">
        <f t="shared" si="55"/>
        <v>0</v>
      </c>
      <c r="BJ230" s="190">
        <f t="shared" si="56"/>
        <v>69</v>
      </c>
      <c r="BK230" s="188"/>
      <c r="BL230" s="189"/>
      <c r="BM230" s="189"/>
      <c r="BN230" s="189"/>
      <c r="BO230" s="190"/>
      <c r="BP230" s="188"/>
      <c r="BQ230" s="189"/>
      <c r="BR230" s="189">
        <v>69</v>
      </c>
      <c r="BS230" s="189"/>
      <c r="BT230" s="190">
        <v>69</v>
      </c>
      <c r="BU230" s="188"/>
      <c r="BV230" s="189"/>
      <c r="BW230" s="189"/>
      <c r="BX230" s="189"/>
      <c r="BY230" s="190"/>
      <c r="BZ230" s="188"/>
      <c r="CA230" s="189"/>
      <c r="CB230" s="189"/>
      <c r="CC230" s="189"/>
      <c r="CD230" s="190"/>
      <c r="CE230" s="188"/>
      <c r="CF230" s="189"/>
      <c r="CG230" s="189"/>
      <c r="CH230" s="189"/>
      <c r="CI230" s="190"/>
    </row>
    <row r="231" s="163" customFormat="1" ht="14.6" spans="1:87">
      <c r="A231" s="191" t="s">
        <v>210</v>
      </c>
      <c r="B231" s="192"/>
      <c r="C231" s="193">
        <f t="shared" si="57"/>
        <v>3174</v>
      </c>
      <c r="D231" s="194">
        <f t="shared" si="45"/>
        <v>3795</v>
      </c>
      <c r="E231" s="194">
        <f t="shared" si="46"/>
        <v>4209</v>
      </c>
      <c r="F231" s="194">
        <f t="shared" si="47"/>
        <v>3174</v>
      </c>
      <c r="G231" s="195">
        <f t="shared" si="48"/>
        <v>14352</v>
      </c>
      <c r="H231" s="193">
        <f t="shared" si="58"/>
        <v>3174</v>
      </c>
      <c r="I231" s="194">
        <f t="shared" si="49"/>
        <v>3795</v>
      </c>
      <c r="J231" s="194">
        <f t="shared" si="50"/>
        <v>4140</v>
      </c>
      <c r="K231" s="194">
        <f t="shared" si="51"/>
        <v>3174</v>
      </c>
      <c r="L231" s="195">
        <f t="shared" si="52"/>
        <v>14283</v>
      </c>
      <c r="M231" s="193"/>
      <c r="N231" s="194"/>
      <c r="O231" s="194"/>
      <c r="P231" s="194"/>
      <c r="Q231" s="195"/>
      <c r="R231" s="193"/>
      <c r="S231" s="194"/>
      <c r="T231" s="194"/>
      <c r="U231" s="194"/>
      <c r="V231" s="195"/>
      <c r="W231" s="193"/>
      <c r="X231" s="194"/>
      <c r="Y231" s="194"/>
      <c r="Z231" s="194"/>
      <c r="AA231" s="195"/>
      <c r="AB231" s="193">
        <v>2553</v>
      </c>
      <c r="AC231" s="194">
        <v>2829</v>
      </c>
      <c r="AD231" s="194">
        <v>2898</v>
      </c>
      <c r="AE231" s="194">
        <v>1863</v>
      </c>
      <c r="AF231" s="195">
        <v>10143</v>
      </c>
      <c r="AG231" s="193"/>
      <c r="AH231" s="194"/>
      <c r="AI231" s="194"/>
      <c r="AJ231" s="194"/>
      <c r="AK231" s="195"/>
      <c r="AL231" s="193"/>
      <c r="AM231" s="194"/>
      <c r="AN231" s="194"/>
      <c r="AO231" s="194"/>
      <c r="AP231" s="195"/>
      <c r="AQ231" s="193">
        <v>621</v>
      </c>
      <c r="AR231" s="194">
        <v>966</v>
      </c>
      <c r="AS231" s="194">
        <v>1242</v>
      </c>
      <c r="AT231" s="194">
        <v>1311</v>
      </c>
      <c r="AU231" s="195">
        <v>4140</v>
      </c>
      <c r="AV231" s="193"/>
      <c r="AW231" s="194"/>
      <c r="AX231" s="194"/>
      <c r="AY231" s="194"/>
      <c r="AZ231" s="195"/>
      <c r="BA231" s="193"/>
      <c r="BB231" s="194"/>
      <c r="BC231" s="194"/>
      <c r="BD231" s="194"/>
      <c r="BE231" s="195"/>
      <c r="BF231" s="193">
        <f t="shared" si="59"/>
        <v>0</v>
      </c>
      <c r="BG231" s="194">
        <f t="shared" si="53"/>
        <v>0</v>
      </c>
      <c r="BH231" s="194">
        <f t="shared" si="54"/>
        <v>69</v>
      </c>
      <c r="BI231" s="194">
        <f t="shared" si="55"/>
        <v>0</v>
      </c>
      <c r="BJ231" s="195">
        <f t="shared" si="56"/>
        <v>69</v>
      </c>
      <c r="BK231" s="193"/>
      <c r="BL231" s="194"/>
      <c r="BM231" s="194"/>
      <c r="BN231" s="194"/>
      <c r="BO231" s="195"/>
      <c r="BP231" s="193"/>
      <c r="BQ231" s="194"/>
      <c r="BR231" s="194">
        <v>69</v>
      </c>
      <c r="BS231" s="194"/>
      <c r="BT231" s="195">
        <v>69</v>
      </c>
      <c r="BU231" s="193"/>
      <c r="BV231" s="194"/>
      <c r="BW231" s="194"/>
      <c r="BX231" s="194"/>
      <c r="BY231" s="195"/>
      <c r="BZ231" s="193"/>
      <c r="CA231" s="194"/>
      <c r="CB231" s="194"/>
      <c r="CC231" s="194"/>
      <c r="CD231" s="195"/>
      <c r="CE231" s="193"/>
      <c r="CF231" s="194"/>
      <c r="CG231" s="194"/>
      <c r="CH231" s="194"/>
      <c r="CI231" s="195"/>
    </row>
    <row r="232" spans="1:87">
      <c r="A232" s="186" t="s">
        <v>211</v>
      </c>
      <c r="B232" s="187" t="s">
        <v>26</v>
      </c>
      <c r="C232" s="188">
        <f t="shared" si="57"/>
        <v>4893</v>
      </c>
      <c r="D232" s="189">
        <f t="shared" si="45"/>
        <v>2097</v>
      </c>
      <c r="E232" s="189">
        <f t="shared" si="46"/>
        <v>1398</v>
      </c>
      <c r="F232" s="189">
        <f t="shared" si="47"/>
        <v>2796</v>
      </c>
      <c r="G232" s="190">
        <f t="shared" si="48"/>
        <v>11184</v>
      </c>
      <c r="H232" s="188">
        <f t="shared" si="58"/>
        <v>4893</v>
      </c>
      <c r="I232" s="189">
        <f t="shared" si="49"/>
        <v>2097</v>
      </c>
      <c r="J232" s="189">
        <f t="shared" si="50"/>
        <v>1398</v>
      </c>
      <c r="K232" s="189">
        <f t="shared" si="51"/>
        <v>1398</v>
      </c>
      <c r="L232" s="190">
        <f t="shared" si="52"/>
        <v>9786</v>
      </c>
      <c r="M232" s="188">
        <v>2796</v>
      </c>
      <c r="N232" s="189"/>
      <c r="O232" s="189"/>
      <c r="P232" s="189"/>
      <c r="Q232" s="190">
        <v>2796</v>
      </c>
      <c r="R232" s="188"/>
      <c r="S232" s="189"/>
      <c r="T232" s="189"/>
      <c r="U232" s="189"/>
      <c r="V232" s="190"/>
      <c r="W232" s="188"/>
      <c r="X232" s="189"/>
      <c r="Y232" s="189"/>
      <c r="Z232" s="189"/>
      <c r="AA232" s="190"/>
      <c r="AB232" s="188"/>
      <c r="AC232" s="189"/>
      <c r="AD232" s="189">
        <v>699</v>
      </c>
      <c r="AE232" s="189"/>
      <c r="AF232" s="190">
        <v>699</v>
      </c>
      <c r="AG232" s="188"/>
      <c r="AH232" s="189"/>
      <c r="AI232" s="189"/>
      <c r="AJ232" s="189"/>
      <c r="AK232" s="190"/>
      <c r="AL232" s="188">
        <v>1398</v>
      </c>
      <c r="AM232" s="189">
        <v>2097</v>
      </c>
      <c r="AN232" s="189">
        <v>699</v>
      </c>
      <c r="AO232" s="189">
        <v>699</v>
      </c>
      <c r="AP232" s="190">
        <v>4893</v>
      </c>
      <c r="AQ232" s="188">
        <v>699</v>
      </c>
      <c r="AR232" s="189"/>
      <c r="AS232" s="189"/>
      <c r="AT232" s="189"/>
      <c r="AU232" s="190">
        <v>699</v>
      </c>
      <c r="AV232" s="188"/>
      <c r="AW232" s="189"/>
      <c r="AX232" s="189"/>
      <c r="AY232" s="189"/>
      <c r="AZ232" s="190"/>
      <c r="BA232" s="188"/>
      <c r="BB232" s="189"/>
      <c r="BC232" s="189"/>
      <c r="BD232" s="189">
        <v>699</v>
      </c>
      <c r="BE232" s="190">
        <v>699</v>
      </c>
      <c r="BF232" s="188">
        <f t="shared" si="59"/>
        <v>0</v>
      </c>
      <c r="BG232" s="189">
        <f t="shared" si="53"/>
        <v>0</v>
      </c>
      <c r="BH232" s="189">
        <f t="shared" si="54"/>
        <v>0</v>
      </c>
      <c r="BI232" s="189">
        <f t="shared" si="55"/>
        <v>1398</v>
      </c>
      <c r="BJ232" s="190">
        <f t="shared" si="56"/>
        <v>1398</v>
      </c>
      <c r="BK232" s="188"/>
      <c r="BL232" s="189"/>
      <c r="BM232" s="189"/>
      <c r="BN232" s="189"/>
      <c r="BO232" s="190"/>
      <c r="BP232" s="188"/>
      <c r="BQ232" s="189"/>
      <c r="BR232" s="189"/>
      <c r="BS232" s="189"/>
      <c r="BT232" s="190"/>
      <c r="BU232" s="188"/>
      <c r="BV232" s="189"/>
      <c r="BW232" s="189"/>
      <c r="BX232" s="189">
        <v>1398</v>
      </c>
      <c r="BY232" s="190">
        <v>1398</v>
      </c>
      <c r="BZ232" s="188"/>
      <c r="CA232" s="189"/>
      <c r="CB232" s="189"/>
      <c r="CC232" s="189"/>
      <c r="CD232" s="190"/>
      <c r="CE232" s="188"/>
      <c r="CF232" s="189"/>
      <c r="CG232" s="189"/>
      <c r="CH232" s="189"/>
      <c r="CI232" s="190"/>
    </row>
    <row r="233" s="163" customFormat="1" ht="14.6" spans="1:87">
      <c r="A233" s="191" t="s">
        <v>212</v>
      </c>
      <c r="B233" s="192"/>
      <c r="C233" s="193">
        <f t="shared" si="57"/>
        <v>4893</v>
      </c>
      <c r="D233" s="194">
        <f t="shared" si="45"/>
        <v>2097</v>
      </c>
      <c r="E233" s="194">
        <f t="shared" si="46"/>
        <v>1398</v>
      </c>
      <c r="F233" s="194">
        <f t="shared" si="47"/>
        <v>2796</v>
      </c>
      <c r="G233" s="195">
        <f t="shared" si="48"/>
        <v>11184</v>
      </c>
      <c r="H233" s="193">
        <f t="shared" si="58"/>
        <v>4893</v>
      </c>
      <c r="I233" s="194">
        <f t="shared" si="49"/>
        <v>2097</v>
      </c>
      <c r="J233" s="194">
        <f t="shared" si="50"/>
        <v>1398</v>
      </c>
      <c r="K233" s="194">
        <f t="shared" si="51"/>
        <v>1398</v>
      </c>
      <c r="L233" s="195">
        <f t="shared" si="52"/>
        <v>9786</v>
      </c>
      <c r="M233" s="193">
        <v>2796</v>
      </c>
      <c r="N233" s="194"/>
      <c r="O233" s="194"/>
      <c r="P233" s="194"/>
      <c r="Q233" s="195">
        <v>2796</v>
      </c>
      <c r="R233" s="193"/>
      <c r="S233" s="194"/>
      <c r="T233" s="194"/>
      <c r="U233" s="194"/>
      <c r="V233" s="195"/>
      <c r="W233" s="193"/>
      <c r="X233" s="194"/>
      <c r="Y233" s="194"/>
      <c r="Z233" s="194"/>
      <c r="AA233" s="195"/>
      <c r="AB233" s="193"/>
      <c r="AC233" s="194"/>
      <c r="AD233" s="194">
        <v>699</v>
      </c>
      <c r="AE233" s="194"/>
      <c r="AF233" s="195">
        <v>699</v>
      </c>
      <c r="AG233" s="193"/>
      <c r="AH233" s="194"/>
      <c r="AI233" s="194"/>
      <c r="AJ233" s="194"/>
      <c r="AK233" s="195"/>
      <c r="AL233" s="193">
        <v>1398</v>
      </c>
      <c r="AM233" s="194">
        <v>2097</v>
      </c>
      <c r="AN233" s="194">
        <v>699</v>
      </c>
      <c r="AO233" s="194">
        <v>699</v>
      </c>
      <c r="AP233" s="195">
        <v>4893</v>
      </c>
      <c r="AQ233" s="193">
        <v>699</v>
      </c>
      <c r="AR233" s="194"/>
      <c r="AS233" s="194"/>
      <c r="AT233" s="194"/>
      <c r="AU233" s="195">
        <v>699</v>
      </c>
      <c r="AV233" s="193"/>
      <c r="AW233" s="194"/>
      <c r="AX233" s="194"/>
      <c r="AY233" s="194"/>
      <c r="AZ233" s="195"/>
      <c r="BA233" s="193"/>
      <c r="BB233" s="194"/>
      <c r="BC233" s="194"/>
      <c r="BD233" s="194">
        <v>699</v>
      </c>
      <c r="BE233" s="195">
        <v>699</v>
      </c>
      <c r="BF233" s="193">
        <f t="shared" si="59"/>
        <v>0</v>
      </c>
      <c r="BG233" s="194">
        <f t="shared" si="53"/>
        <v>0</v>
      </c>
      <c r="BH233" s="194">
        <f t="shared" si="54"/>
        <v>0</v>
      </c>
      <c r="BI233" s="194">
        <f t="shared" si="55"/>
        <v>1398</v>
      </c>
      <c r="BJ233" s="195">
        <f t="shared" si="56"/>
        <v>1398</v>
      </c>
      <c r="BK233" s="193"/>
      <c r="BL233" s="194"/>
      <c r="BM233" s="194"/>
      <c r="BN233" s="194"/>
      <c r="BO233" s="195"/>
      <c r="BP233" s="193"/>
      <c r="BQ233" s="194"/>
      <c r="BR233" s="194"/>
      <c r="BS233" s="194"/>
      <c r="BT233" s="195"/>
      <c r="BU233" s="193"/>
      <c r="BV233" s="194"/>
      <c r="BW233" s="194"/>
      <c r="BX233" s="194">
        <v>1398</v>
      </c>
      <c r="BY233" s="195">
        <v>1398</v>
      </c>
      <c r="BZ233" s="193"/>
      <c r="CA233" s="194"/>
      <c r="CB233" s="194"/>
      <c r="CC233" s="194"/>
      <c r="CD233" s="195"/>
      <c r="CE233" s="193"/>
      <c r="CF233" s="194"/>
      <c r="CG233" s="194"/>
      <c r="CH233" s="194"/>
      <c r="CI233" s="195"/>
    </row>
    <row r="234" spans="1:87">
      <c r="A234" s="186" t="s">
        <v>213</v>
      </c>
      <c r="B234" s="187" t="s">
        <v>26</v>
      </c>
      <c r="C234" s="188">
        <f t="shared" si="57"/>
        <v>5019</v>
      </c>
      <c r="D234" s="189">
        <f t="shared" si="45"/>
        <v>1534</v>
      </c>
      <c r="E234" s="189">
        <f t="shared" si="46"/>
        <v>2305</v>
      </c>
      <c r="F234" s="189">
        <f t="shared" si="47"/>
        <v>1770</v>
      </c>
      <c r="G234" s="190">
        <f t="shared" si="48"/>
        <v>10628</v>
      </c>
      <c r="H234" s="188">
        <f t="shared" si="58"/>
        <v>5019</v>
      </c>
      <c r="I234" s="189">
        <f t="shared" si="49"/>
        <v>1534</v>
      </c>
      <c r="J234" s="189">
        <f t="shared" si="50"/>
        <v>2305</v>
      </c>
      <c r="K234" s="189">
        <f t="shared" si="51"/>
        <v>1770</v>
      </c>
      <c r="L234" s="190">
        <f t="shared" si="52"/>
        <v>10628</v>
      </c>
      <c r="M234" s="188">
        <v>2124</v>
      </c>
      <c r="N234" s="189">
        <v>354</v>
      </c>
      <c r="O234" s="189">
        <v>1062</v>
      </c>
      <c r="P234" s="189">
        <v>472</v>
      </c>
      <c r="Q234" s="190">
        <v>4012</v>
      </c>
      <c r="R234" s="188"/>
      <c r="S234" s="189"/>
      <c r="T234" s="189"/>
      <c r="U234" s="189"/>
      <c r="V234" s="190"/>
      <c r="W234" s="188"/>
      <c r="X234" s="189"/>
      <c r="Y234" s="189"/>
      <c r="Z234" s="189"/>
      <c r="AA234" s="190"/>
      <c r="AB234" s="188">
        <v>1538</v>
      </c>
      <c r="AC234" s="189">
        <v>944</v>
      </c>
      <c r="AD234" s="189">
        <v>1125</v>
      </c>
      <c r="AE234" s="189">
        <v>826</v>
      </c>
      <c r="AF234" s="190">
        <v>4433</v>
      </c>
      <c r="AG234" s="188"/>
      <c r="AH234" s="189"/>
      <c r="AI234" s="189"/>
      <c r="AJ234" s="189"/>
      <c r="AK234" s="190"/>
      <c r="AL234" s="188">
        <v>708</v>
      </c>
      <c r="AM234" s="189">
        <v>236</v>
      </c>
      <c r="AN234" s="189">
        <v>118</v>
      </c>
      <c r="AO234" s="189">
        <v>354</v>
      </c>
      <c r="AP234" s="190">
        <v>1416</v>
      </c>
      <c r="AQ234" s="188">
        <v>354</v>
      </c>
      <c r="AR234" s="189"/>
      <c r="AS234" s="189"/>
      <c r="AT234" s="189"/>
      <c r="AU234" s="190">
        <v>354</v>
      </c>
      <c r="AV234" s="188">
        <v>177</v>
      </c>
      <c r="AW234" s="189"/>
      <c r="AX234" s="189"/>
      <c r="AY234" s="189"/>
      <c r="AZ234" s="190">
        <v>177</v>
      </c>
      <c r="BA234" s="188">
        <v>118</v>
      </c>
      <c r="BB234" s="189"/>
      <c r="BC234" s="189"/>
      <c r="BD234" s="189">
        <v>118</v>
      </c>
      <c r="BE234" s="190">
        <v>236</v>
      </c>
      <c r="BF234" s="188">
        <f t="shared" si="59"/>
        <v>0</v>
      </c>
      <c r="BG234" s="189">
        <f t="shared" si="53"/>
        <v>0</v>
      </c>
      <c r="BH234" s="189">
        <f t="shared" si="54"/>
        <v>0</v>
      </c>
      <c r="BI234" s="189">
        <f t="shared" si="55"/>
        <v>0</v>
      </c>
      <c r="BJ234" s="190">
        <f t="shared" si="56"/>
        <v>0</v>
      </c>
      <c r="BK234" s="188"/>
      <c r="BL234" s="189"/>
      <c r="BM234" s="189"/>
      <c r="BN234" s="189"/>
      <c r="BO234" s="190"/>
      <c r="BP234" s="188"/>
      <c r="BQ234" s="189"/>
      <c r="BR234" s="189"/>
      <c r="BS234" s="189"/>
      <c r="BT234" s="190"/>
      <c r="BU234" s="188"/>
      <c r="BV234" s="189"/>
      <c r="BW234" s="189"/>
      <c r="BX234" s="189"/>
      <c r="BY234" s="190"/>
      <c r="BZ234" s="188"/>
      <c r="CA234" s="189"/>
      <c r="CB234" s="189"/>
      <c r="CC234" s="189"/>
      <c r="CD234" s="190"/>
      <c r="CE234" s="188"/>
      <c r="CF234" s="189"/>
      <c r="CG234" s="189"/>
      <c r="CH234" s="189"/>
      <c r="CI234" s="190"/>
    </row>
    <row r="235" s="163" customFormat="1" ht="14.6" spans="1:87">
      <c r="A235" s="191" t="s">
        <v>214</v>
      </c>
      <c r="B235" s="192"/>
      <c r="C235" s="193">
        <f t="shared" si="57"/>
        <v>5019</v>
      </c>
      <c r="D235" s="194">
        <f t="shared" si="45"/>
        <v>1534</v>
      </c>
      <c r="E235" s="194">
        <f t="shared" si="46"/>
        <v>2305</v>
      </c>
      <c r="F235" s="194">
        <f t="shared" si="47"/>
        <v>1770</v>
      </c>
      <c r="G235" s="195">
        <f t="shared" si="48"/>
        <v>10628</v>
      </c>
      <c r="H235" s="193">
        <f t="shared" si="58"/>
        <v>5019</v>
      </c>
      <c r="I235" s="194">
        <f t="shared" si="49"/>
        <v>1534</v>
      </c>
      <c r="J235" s="194">
        <f t="shared" si="50"/>
        <v>2305</v>
      </c>
      <c r="K235" s="194">
        <f t="shared" si="51"/>
        <v>1770</v>
      </c>
      <c r="L235" s="195">
        <f t="shared" si="52"/>
        <v>10628</v>
      </c>
      <c r="M235" s="193">
        <v>2124</v>
      </c>
      <c r="N235" s="194">
        <v>354</v>
      </c>
      <c r="O235" s="194">
        <v>1062</v>
      </c>
      <c r="P235" s="194">
        <v>472</v>
      </c>
      <c r="Q235" s="195">
        <v>4012</v>
      </c>
      <c r="R235" s="193"/>
      <c r="S235" s="194"/>
      <c r="T235" s="194"/>
      <c r="U235" s="194"/>
      <c r="V235" s="195"/>
      <c r="W235" s="193"/>
      <c r="X235" s="194"/>
      <c r="Y235" s="194"/>
      <c r="Z235" s="194"/>
      <c r="AA235" s="195"/>
      <c r="AB235" s="193">
        <v>1538</v>
      </c>
      <c r="AC235" s="194">
        <v>944</v>
      </c>
      <c r="AD235" s="194">
        <v>1125</v>
      </c>
      <c r="AE235" s="194">
        <v>826</v>
      </c>
      <c r="AF235" s="195">
        <v>4433</v>
      </c>
      <c r="AG235" s="193"/>
      <c r="AH235" s="194"/>
      <c r="AI235" s="194"/>
      <c r="AJ235" s="194"/>
      <c r="AK235" s="195"/>
      <c r="AL235" s="193">
        <v>708</v>
      </c>
      <c r="AM235" s="194">
        <v>236</v>
      </c>
      <c r="AN235" s="194">
        <v>118</v>
      </c>
      <c r="AO235" s="194">
        <v>354</v>
      </c>
      <c r="AP235" s="195">
        <v>1416</v>
      </c>
      <c r="AQ235" s="193">
        <v>354</v>
      </c>
      <c r="AR235" s="194"/>
      <c r="AS235" s="194"/>
      <c r="AT235" s="194"/>
      <c r="AU235" s="195">
        <v>354</v>
      </c>
      <c r="AV235" s="193">
        <v>177</v>
      </c>
      <c r="AW235" s="194"/>
      <c r="AX235" s="194"/>
      <c r="AY235" s="194"/>
      <c r="AZ235" s="195">
        <v>177</v>
      </c>
      <c r="BA235" s="193">
        <v>118</v>
      </c>
      <c r="BB235" s="194"/>
      <c r="BC235" s="194"/>
      <c r="BD235" s="194">
        <v>118</v>
      </c>
      <c r="BE235" s="195">
        <v>236</v>
      </c>
      <c r="BF235" s="193">
        <f t="shared" si="59"/>
        <v>0</v>
      </c>
      <c r="BG235" s="194">
        <f t="shared" si="53"/>
        <v>0</v>
      </c>
      <c r="BH235" s="194">
        <f t="shared" si="54"/>
        <v>0</v>
      </c>
      <c r="BI235" s="194">
        <f t="shared" si="55"/>
        <v>0</v>
      </c>
      <c r="BJ235" s="195">
        <f t="shared" si="56"/>
        <v>0</v>
      </c>
      <c r="BK235" s="193"/>
      <c r="BL235" s="194"/>
      <c r="BM235" s="194"/>
      <c r="BN235" s="194"/>
      <c r="BO235" s="195"/>
      <c r="BP235" s="193"/>
      <c r="BQ235" s="194"/>
      <c r="BR235" s="194"/>
      <c r="BS235" s="194"/>
      <c r="BT235" s="195"/>
      <c r="BU235" s="193"/>
      <c r="BV235" s="194"/>
      <c r="BW235" s="194"/>
      <c r="BX235" s="194"/>
      <c r="BY235" s="195"/>
      <c r="BZ235" s="193"/>
      <c r="CA235" s="194"/>
      <c r="CB235" s="194"/>
      <c r="CC235" s="194"/>
      <c r="CD235" s="195"/>
      <c r="CE235" s="193"/>
      <c r="CF235" s="194"/>
      <c r="CG235" s="194"/>
      <c r="CH235" s="194"/>
      <c r="CI235" s="195"/>
    </row>
    <row r="236" spans="1:87">
      <c r="A236" s="186" t="s">
        <v>215</v>
      </c>
      <c r="B236" s="187" t="s">
        <v>26</v>
      </c>
      <c r="C236" s="188">
        <f t="shared" si="57"/>
        <v>3572</v>
      </c>
      <c r="D236" s="189">
        <f t="shared" si="45"/>
        <v>1725</v>
      </c>
      <c r="E236" s="189">
        <f t="shared" si="46"/>
        <v>1372</v>
      </c>
      <c r="F236" s="189">
        <f t="shared" si="47"/>
        <v>3856</v>
      </c>
      <c r="G236" s="190">
        <f t="shared" si="48"/>
        <v>10525</v>
      </c>
      <c r="H236" s="188">
        <f t="shared" si="58"/>
        <v>3572</v>
      </c>
      <c r="I236" s="189">
        <f t="shared" si="49"/>
        <v>1725</v>
      </c>
      <c r="J236" s="189">
        <f t="shared" si="50"/>
        <v>1372</v>
      </c>
      <c r="K236" s="189">
        <f t="shared" si="51"/>
        <v>3856</v>
      </c>
      <c r="L236" s="190">
        <f t="shared" si="52"/>
        <v>10525</v>
      </c>
      <c r="M236" s="188"/>
      <c r="N236" s="189"/>
      <c r="O236" s="189"/>
      <c r="P236" s="189"/>
      <c r="Q236" s="190"/>
      <c r="R236" s="188">
        <v>1656</v>
      </c>
      <c r="S236" s="189">
        <v>897</v>
      </c>
      <c r="T236" s="189">
        <v>207</v>
      </c>
      <c r="U236" s="189">
        <v>1932</v>
      </c>
      <c r="V236" s="190">
        <v>4692</v>
      </c>
      <c r="W236" s="188"/>
      <c r="X236" s="189"/>
      <c r="Y236" s="189"/>
      <c r="Z236" s="189"/>
      <c r="AA236" s="190"/>
      <c r="AB236" s="188">
        <v>1035</v>
      </c>
      <c r="AC236" s="189">
        <v>690</v>
      </c>
      <c r="AD236" s="189">
        <v>759</v>
      </c>
      <c r="AE236" s="189">
        <v>1035</v>
      </c>
      <c r="AF236" s="190">
        <v>3519</v>
      </c>
      <c r="AG236" s="188"/>
      <c r="AH236" s="189">
        <v>0</v>
      </c>
      <c r="AI236" s="189"/>
      <c r="AJ236" s="189"/>
      <c r="AK236" s="190">
        <v>0</v>
      </c>
      <c r="AL236" s="188"/>
      <c r="AM236" s="189"/>
      <c r="AN236" s="189"/>
      <c r="AO236" s="189"/>
      <c r="AP236" s="190"/>
      <c r="AQ236" s="188">
        <v>743</v>
      </c>
      <c r="AR236" s="189">
        <v>69</v>
      </c>
      <c r="AS236" s="189">
        <v>337</v>
      </c>
      <c r="AT236" s="189">
        <v>889</v>
      </c>
      <c r="AU236" s="190">
        <v>2038</v>
      </c>
      <c r="AV236" s="188">
        <v>138</v>
      </c>
      <c r="AW236" s="189">
        <v>69</v>
      </c>
      <c r="AX236" s="189">
        <v>69</v>
      </c>
      <c r="AY236" s="189"/>
      <c r="AZ236" s="190">
        <v>276</v>
      </c>
      <c r="BA236" s="188"/>
      <c r="BB236" s="189"/>
      <c r="BC236" s="189"/>
      <c r="BD236" s="189"/>
      <c r="BE236" s="190"/>
      <c r="BF236" s="188">
        <f t="shared" si="59"/>
        <v>0</v>
      </c>
      <c r="BG236" s="189">
        <f t="shared" si="53"/>
        <v>0</v>
      </c>
      <c r="BH236" s="189">
        <f t="shared" si="54"/>
        <v>0</v>
      </c>
      <c r="BI236" s="189">
        <f t="shared" si="55"/>
        <v>0</v>
      </c>
      <c r="BJ236" s="190">
        <f t="shared" si="56"/>
        <v>0</v>
      </c>
      <c r="BK236" s="188"/>
      <c r="BL236" s="189"/>
      <c r="BM236" s="189"/>
      <c r="BN236" s="189"/>
      <c r="BO236" s="190"/>
      <c r="BP236" s="188"/>
      <c r="BQ236" s="189"/>
      <c r="BR236" s="189"/>
      <c r="BS236" s="189"/>
      <c r="BT236" s="190"/>
      <c r="BU236" s="188"/>
      <c r="BV236" s="189"/>
      <c r="BW236" s="189"/>
      <c r="BX236" s="189"/>
      <c r="BY236" s="190"/>
      <c r="BZ236" s="188"/>
      <c r="CA236" s="189"/>
      <c r="CB236" s="189"/>
      <c r="CC236" s="189"/>
      <c r="CD236" s="190"/>
      <c r="CE236" s="188"/>
      <c r="CF236" s="189"/>
      <c r="CG236" s="189"/>
      <c r="CH236" s="189"/>
      <c r="CI236" s="190"/>
    </row>
    <row r="237" s="163" customFormat="1" ht="14.6" spans="1:87">
      <c r="A237" s="191" t="s">
        <v>216</v>
      </c>
      <c r="B237" s="192"/>
      <c r="C237" s="193">
        <f t="shared" si="57"/>
        <v>3572</v>
      </c>
      <c r="D237" s="194">
        <f t="shared" si="45"/>
        <v>1725</v>
      </c>
      <c r="E237" s="194">
        <f t="shared" si="46"/>
        <v>1372</v>
      </c>
      <c r="F237" s="194">
        <f t="shared" si="47"/>
        <v>3856</v>
      </c>
      <c r="G237" s="195">
        <f t="shared" si="48"/>
        <v>10525</v>
      </c>
      <c r="H237" s="193">
        <f t="shared" si="58"/>
        <v>3572</v>
      </c>
      <c r="I237" s="194">
        <f t="shared" si="49"/>
        <v>1725</v>
      </c>
      <c r="J237" s="194">
        <f t="shared" si="50"/>
        <v>1372</v>
      </c>
      <c r="K237" s="194">
        <f t="shared" si="51"/>
        <v>3856</v>
      </c>
      <c r="L237" s="195">
        <f t="shared" si="52"/>
        <v>10525</v>
      </c>
      <c r="M237" s="193"/>
      <c r="N237" s="194"/>
      <c r="O237" s="194"/>
      <c r="P237" s="194"/>
      <c r="Q237" s="195"/>
      <c r="R237" s="193">
        <v>1656</v>
      </c>
      <c r="S237" s="194">
        <v>897</v>
      </c>
      <c r="T237" s="194">
        <v>207</v>
      </c>
      <c r="U237" s="194">
        <v>1932</v>
      </c>
      <c r="V237" s="195">
        <v>4692</v>
      </c>
      <c r="W237" s="193"/>
      <c r="X237" s="194"/>
      <c r="Y237" s="194"/>
      <c r="Z237" s="194"/>
      <c r="AA237" s="195"/>
      <c r="AB237" s="193">
        <v>1035</v>
      </c>
      <c r="AC237" s="194">
        <v>690</v>
      </c>
      <c r="AD237" s="194">
        <v>759</v>
      </c>
      <c r="AE237" s="194">
        <v>1035</v>
      </c>
      <c r="AF237" s="195">
        <v>3519</v>
      </c>
      <c r="AG237" s="193"/>
      <c r="AH237" s="194">
        <v>0</v>
      </c>
      <c r="AI237" s="194"/>
      <c r="AJ237" s="194"/>
      <c r="AK237" s="195">
        <v>0</v>
      </c>
      <c r="AL237" s="193"/>
      <c r="AM237" s="194"/>
      <c r="AN237" s="194"/>
      <c r="AO237" s="194"/>
      <c r="AP237" s="195"/>
      <c r="AQ237" s="193">
        <v>743</v>
      </c>
      <c r="AR237" s="194">
        <v>69</v>
      </c>
      <c r="AS237" s="194">
        <v>337</v>
      </c>
      <c r="AT237" s="194">
        <v>889</v>
      </c>
      <c r="AU237" s="195">
        <v>2038</v>
      </c>
      <c r="AV237" s="193">
        <v>138</v>
      </c>
      <c r="AW237" s="194">
        <v>69</v>
      </c>
      <c r="AX237" s="194">
        <v>69</v>
      </c>
      <c r="AY237" s="194"/>
      <c r="AZ237" s="195">
        <v>276</v>
      </c>
      <c r="BA237" s="193"/>
      <c r="BB237" s="194"/>
      <c r="BC237" s="194"/>
      <c r="BD237" s="194"/>
      <c r="BE237" s="195"/>
      <c r="BF237" s="193">
        <f t="shared" si="59"/>
        <v>0</v>
      </c>
      <c r="BG237" s="194">
        <f t="shared" si="53"/>
        <v>0</v>
      </c>
      <c r="BH237" s="194">
        <f t="shared" si="54"/>
        <v>0</v>
      </c>
      <c r="BI237" s="194">
        <f t="shared" si="55"/>
        <v>0</v>
      </c>
      <c r="BJ237" s="195">
        <f t="shared" si="56"/>
        <v>0</v>
      </c>
      <c r="BK237" s="193"/>
      <c r="BL237" s="194"/>
      <c r="BM237" s="194"/>
      <c r="BN237" s="194"/>
      <c r="BO237" s="195"/>
      <c r="BP237" s="193"/>
      <c r="BQ237" s="194"/>
      <c r="BR237" s="194"/>
      <c r="BS237" s="194"/>
      <c r="BT237" s="195"/>
      <c r="BU237" s="193"/>
      <c r="BV237" s="194"/>
      <c r="BW237" s="194"/>
      <c r="BX237" s="194"/>
      <c r="BY237" s="195"/>
      <c r="BZ237" s="193"/>
      <c r="CA237" s="194"/>
      <c r="CB237" s="194"/>
      <c r="CC237" s="194"/>
      <c r="CD237" s="195"/>
      <c r="CE237" s="193"/>
      <c r="CF237" s="194"/>
      <c r="CG237" s="194"/>
      <c r="CH237" s="194"/>
      <c r="CI237" s="195"/>
    </row>
    <row r="238" spans="1:87">
      <c r="A238" s="186" t="s">
        <v>217</v>
      </c>
      <c r="B238" s="187" t="s">
        <v>27</v>
      </c>
      <c r="C238" s="188">
        <f t="shared" si="57"/>
        <v>1251</v>
      </c>
      <c r="D238" s="189">
        <f t="shared" si="45"/>
        <v>1636</v>
      </c>
      <c r="E238" s="189">
        <f t="shared" si="46"/>
        <v>1872</v>
      </c>
      <c r="F238" s="189">
        <f t="shared" si="47"/>
        <v>1410</v>
      </c>
      <c r="G238" s="190">
        <f t="shared" si="48"/>
        <v>6169</v>
      </c>
      <c r="H238" s="188">
        <f t="shared" si="58"/>
        <v>471</v>
      </c>
      <c r="I238" s="189">
        <f t="shared" si="49"/>
        <v>1168</v>
      </c>
      <c r="J238" s="189">
        <f t="shared" si="50"/>
        <v>968</v>
      </c>
      <c r="K238" s="189">
        <f t="shared" si="51"/>
        <v>825</v>
      </c>
      <c r="L238" s="190">
        <f t="shared" si="52"/>
        <v>3432</v>
      </c>
      <c r="M238" s="188"/>
      <c r="N238" s="189"/>
      <c r="O238" s="189"/>
      <c r="P238" s="189"/>
      <c r="Q238" s="190"/>
      <c r="R238" s="188">
        <v>237</v>
      </c>
      <c r="S238" s="189">
        <v>198</v>
      </c>
      <c r="T238" s="189">
        <v>396</v>
      </c>
      <c r="U238" s="189">
        <v>513</v>
      </c>
      <c r="V238" s="190">
        <v>1344</v>
      </c>
      <c r="W238" s="188"/>
      <c r="X238" s="189"/>
      <c r="Y238" s="189"/>
      <c r="Z238" s="189"/>
      <c r="AA238" s="190"/>
      <c r="AB238" s="188"/>
      <c r="AC238" s="189"/>
      <c r="AD238" s="189"/>
      <c r="AE238" s="189"/>
      <c r="AF238" s="190"/>
      <c r="AG238" s="188"/>
      <c r="AH238" s="189"/>
      <c r="AI238" s="189"/>
      <c r="AJ238" s="189"/>
      <c r="AK238" s="190"/>
      <c r="AL238" s="188"/>
      <c r="AM238" s="189"/>
      <c r="AN238" s="189"/>
      <c r="AO238" s="189"/>
      <c r="AP238" s="190"/>
      <c r="AQ238" s="188"/>
      <c r="AR238" s="189"/>
      <c r="AS238" s="189"/>
      <c r="AT238" s="189"/>
      <c r="AU238" s="190"/>
      <c r="AV238" s="188"/>
      <c r="AW238" s="189">
        <v>78</v>
      </c>
      <c r="AX238" s="189">
        <v>156</v>
      </c>
      <c r="AY238" s="189">
        <v>156</v>
      </c>
      <c r="AZ238" s="190">
        <v>390</v>
      </c>
      <c r="BA238" s="188">
        <v>234</v>
      </c>
      <c r="BB238" s="189">
        <v>892</v>
      </c>
      <c r="BC238" s="189">
        <v>416</v>
      </c>
      <c r="BD238" s="189">
        <v>156</v>
      </c>
      <c r="BE238" s="190">
        <v>1698</v>
      </c>
      <c r="BF238" s="188">
        <f t="shared" si="59"/>
        <v>780</v>
      </c>
      <c r="BG238" s="189">
        <f t="shared" si="53"/>
        <v>468</v>
      </c>
      <c r="BH238" s="189">
        <f t="shared" si="54"/>
        <v>904</v>
      </c>
      <c r="BI238" s="189">
        <f t="shared" si="55"/>
        <v>585</v>
      </c>
      <c r="BJ238" s="190">
        <f t="shared" si="56"/>
        <v>2737</v>
      </c>
      <c r="BK238" s="188"/>
      <c r="BL238" s="189"/>
      <c r="BM238" s="189"/>
      <c r="BN238" s="189"/>
      <c r="BO238" s="190"/>
      <c r="BP238" s="188"/>
      <c r="BQ238" s="189"/>
      <c r="BR238" s="189">
        <v>99</v>
      </c>
      <c r="BS238" s="189"/>
      <c r="BT238" s="190">
        <v>99</v>
      </c>
      <c r="BU238" s="188">
        <v>546</v>
      </c>
      <c r="BV238" s="189">
        <v>273</v>
      </c>
      <c r="BW238" s="189">
        <v>766</v>
      </c>
      <c r="BX238" s="189">
        <v>585</v>
      </c>
      <c r="BY238" s="190">
        <v>2170</v>
      </c>
      <c r="BZ238" s="188">
        <v>234</v>
      </c>
      <c r="CA238" s="189">
        <v>195</v>
      </c>
      <c r="CB238" s="189">
        <v>39</v>
      </c>
      <c r="CC238" s="189"/>
      <c r="CD238" s="190">
        <v>468</v>
      </c>
      <c r="CE238" s="188"/>
      <c r="CF238" s="189"/>
      <c r="CG238" s="189"/>
      <c r="CH238" s="189"/>
      <c r="CI238" s="190"/>
    </row>
    <row r="239" spans="1:87">
      <c r="A239" s="186"/>
      <c r="B239" s="187" t="s">
        <v>28</v>
      </c>
      <c r="C239" s="188">
        <f t="shared" si="57"/>
        <v>605</v>
      </c>
      <c r="D239" s="189">
        <f t="shared" si="45"/>
        <v>873</v>
      </c>
      <c r="E239" s="189">
        <f t="shared" si="46"/>
        <v>934</v>
      </c>
      <c r="F239" s="189">
        <f t="shared" si="47"/>
        <v>1202</v>
      </c>
      <c r="G239" s="190">
        <f t="shared" si="48"/>
        <v>3614</v>
      </c>
      <c r="H239" s="188">
        <f t="shared" si="58"/>
        <v>605</v>
      </c>
      <c r="I239" s="189">
        <f t="shared" si="49"/>
        <v>873</v>
      </c>
      <c r="J239" s="189">
        <f t="shared" si="50"/>
        <v>934</v>
      </c>
      <c r="K239" s="189">
        <f t="shared" si="51"/>
        <v>1202</v>
      </c>
      <c r="L239" s="190">
        <f t="shared" si="52"/>
        <v>3614</v>
      </c>
      <c r="M239" s="188"/>
      <c r="N239" s="189"/>
      <c r="O239" s="189"/>
      <c r="P239" s="189"/>
      <c r="Q239" s="190"/>
      <c r="R239" s="188">
        <v>605</v>
      </c>
      <c r="S239" s="189">
        <v>873</v>
      </c>
      <c r="T239" s="189">
        <v>934</v>
      </c>
      <c r="U239" s="189">
        <v>1202</v>
      </c>
      <c r="V239" s="190">
        <v>3614</v>
      </c>
      <c r="W239" s="188"/>
      <c r="X239" s="189"/>
      <c r="Y239" s="189"/>
      <c r="Z239" s="189"/>
      <c r="AA239" s="190"/>
      <c r="AB239" s="188"/>
      <c r="AC239" s="189"/>
      <c r="AD239" s="189"/>
      <c r="AE239" s="189"/>
      <c r="AF239" s="190"/>
      <c r="AG239" s="188"/>
      <c r="AH239" s="189"/>
      <c r="AI239" s="189"/>
      <c r="AJ239" s="189"/>
      <c r="AK239" s="190"/>
      <c r="AL239" s="188"/>
      <c r="AM239" s="189"/>
      <c r="AN239" s="189"/>
      <c r="AO239" s="189"/>
      <c r="AP239" s="190"/>
      <c r="AQ239" s="188"/>
      <c r="AR239" s="189"/>
      <c r="AS239" s="189"/>
      <c r="AT239" s="189"/>
      <c r="AU239" s="190"/>
      <c r="AV239" s="188"/>
      <c r="AW239" s="189"/>
      <c r="AX239" s="189"/>
      <c r="AY239" s="189"/>
      <c r="AZ239" s="190"/>
      <c r="BA239" s="188"/>
      <c r="BB239" s="189"/>
      <c r="BC239" s="189"/>
      <c r="BD239" s="189"/>
      <c r="BE239" s="190"/>
      <c r="BF239" s="188">
        <f t="shared" si="59"/>
        <v>0</v>
      </c>
      <c r="BG239" s="189">
        <f t="shared" si="53"/>
        <v>0</v>
      </c>
      <c r="BH239" s="189">
        <f t="shared" si="54"/>
        <v>0</v>
      </c>
      <c r="BI239" s="189">
        <f t="shared" si="55"/>
        <v>0</v>
      </c>
      <c r="BJ239" s="190">
        <f t="shared" si="56"/>
        <v>0</v>
      </c>
      <c r="BK239" s="188"/>
      <c r="BL239" s="189"/>
      <c r="BM239" s="189"/>
      <c r="BN239" s="189"/>
      <c r="BO239" s="190"/>
      <c r="BP239" s="188"/>
      <c r="BQ239" s="189"/>
      <c r="BR239" s="189"/>
      <c r="BS239" s="189"/>
      <c r="BT239" s="190"/>
      <c r="BU239" s="188"/>
      <c r="BV239" s="189"/>
      <c r="BW239" s="189"/>
      <c r="BX239" s="189"/>
      <c r="BY239" s="190"/>
      <c r="BZ239" s="188"/>
      <c r="CA239" s="189"/>
      <c r="CB239" s="189"/>
      <c r="CC239" s="189"/>
      <c r="CD239" s="190"/>
      <c r="CE239" s="188"/>
      <c r="CF239" s="189"/>
      <c r="CG239" s="189"/>
      <c r="CH239" s="189"/>
      <c r="CI239" s="190"/>
    </row>
    <row r="240" s="163" customFormat="1" ht="14.6" spans="1:87">
      <c r="A240" s="191" t="s">
        <v>218</v>
      </c>
      <c r="B240" s="192"/>
      <c r="C240" s="193">
        <f t="shared" si="57"/>
        <v>1856</v>
      </c>
      <c r="D240" s="194">
        <f t="shared" si="45"/>
        <v>2509</v>
      </c>
      <c r="E240" s="194">
        <f t="shared" si="46"/>
        <v>2806</v>
      </c>
      <c r="F240" s="194">
        <f t="shared" si="47"/>
        <v>2612</v>
      </c>
      <c r="G240" s="195">
        <f t="shared" si="48"/>
        <v>9783</v>
      </c>
      <c r="H240" s="193">
        <f t="shared" si="58"/>
        <v>1076</v>
      </c>
      <c r="I240" s="194">
        <f t="shared" si="49"/>
        <v>2041</v>
      </c>
      <c r="J240" s="194">
        <f t="shared" si="50"/>
        <v>1902</v>
      </c>
      <c r="K240" s="194">
        <f t="shared" si="51"/>
        <v>2027</v>
      </c>
      <c r="L240" s="195">
        <f t="shared" si="52"/>
        <v>7046</v>
      </c>
      <c r="M240" s="193"/>
      <c r="N240" s="194"/>
      <c r="O240" s="194"/>
      <c r="P240" s="194"/>
      <c r="Q240" s="195"/>
      <c r="R240" s="193">
        <v>842</v>
      </c>
      <c r="S240" s="194">
        <v>1071</v>
      </c>
      <c r="T240" s="194">
        <v>1330</v>
      </c>
      <c r="U240" s="194">
        <v>1715</v>
      </c>
      <c r="V240" s="195">
        <v>4958</v>
      </c>
      <c r="W240" s="193"/>
      <c r="X240" s="194"/>
      <c r="Y240" s="194"/>
      <c r="Z240" s="194"/>
      <c r="AA240" s="195"/>
      <c r="AB240" s="193"/>
      <c r="AC240" s="194"/>
      <c r="AD240" s="194"/>
      <c r="AE240" s="194"/>
      <c r="AF240" s="195"/>
      <c r="AG240" s="193"/>
      <c r="AH240" s="194"/>
      <c r="AI240" s="194"/>
      <c r="AJ240" s="194"/>
      <c r="AK240" s="195"/>
      <c r="AL240" s="193"/>
      <c r="AM240" s="194"/>
      <c r="AN240" s="194"/>
      <c r="AO240" s="194"/>
      <c r="AP240" s="195"/>
      <c r="AQ240" s="193"/>
      <c r="AR240" s="194"/>
      <c r="AS240" s="194"/>
      <c r="AT240" s="194"/>
      <c r="AU240" s="195"/>
      <c r="AV240" s="193"/>
      <c r="AW240" s="194">
        <v>78</v>
      </c>
      <c r="AX240" s="194">
        <v>156</v>
      </c>
      <c r="AY240" s="194">
        <v>156</v>
      </c>
      <c r="AZ240" s="195">
        <v>390</v>
      </c>
      <c r="BA240" s="193">
        <v>234</v>
      </c>
      <c r="BB240" s="194">
        <v>892</v>
      </c>
      <c r="BC240" s="194">
        <v>416</v>
      </c>
      <c r="BD240" s="194">
        <v>156</v>
      </c>
      <c r="BE240" s="195">
        <v>1698</v>
      </c>
      <c r="BF240" s="193">
        <f t="shared" si="59"/>
        <v>780</v>
      </c>
      <c r="BG240" s="194">
        <f t="shared" si="53"/>
        <v>468</v>
      </c>
      <c r="BH240" s="194">
        <f t="shared" si="54"/>
        <v>904</v>
      </c>
      <c r="BI240" s="194">
        <f t="shared" si="55"/>
        <v>585</v>
      </c>
      <c r="BJ240" s="195">
        <f t="shared" si="56"/>
        <v>2737</v>
      </c>
      <c r="BK240" s="193"/>
      <c r="BL240" s="194"/>
      <c r="BM240" s="194"/>
      <c r="BN240" s="194"/>
      <c r="BO240" s="195"/>
      <c r="BP240" s="193"/>
      <c r="BQ240" s="194"/>
      <c r="BR240" s="194">
        <v>99</v>
      </c>
      <c r="BS240" s="194"/>
      <c r="BT240" s="195">
        <v>99</v>
      </c>
      <c r="BU240" s="193">
        <v>546</v>
      </c>
      <c r="BV240" s="194">
        <v>273</v>
      </c>
      <c r="BW240" s="194">
        <v>766</v>
      </c>
      <c r="BX240" s="194">
        <v>585</v>
      </c>
      <c r="BY240" s="195">
        <v>2170</v>
      </c>
      <c r="BZ240" s="193">
        <v>234</v>
      </c>
      <c r="CA240" s="194">
        <v>195</v>
      </c>
      <c r="CB240" s="194">
        <v>39</v>
      </c>
      <c r="CC240" s="194"/>
      <c r="CD240" s="195">
        <v>468</v>
      </c>
      <c r="CE240" s="193"/>
      <c r="CF240" s="194"/>
      <c r="CG240" s="194"/>
      <c r="CH240" s="194"/>
      <c r="CI240" s="195"/>
    </row>
    <row r="241" spans="1:87">
      <c r="A241" s="186" t="s">
        <v>219</v>
      </c>
      <c r="B241" s="187" t="s">
        <v>26</v>
      </c>
      <c r="C241" s="188">
        <f t="shared" si="57"/>
        <v>1829</v>
      </c>
      <c r="D241" s="189">
        <f t="shared" si="45"/>
        <v>2183</v>
      </c>
      <c r="E241" s="189">
        <f t="shared" si="46"/>
        <v>3363</v>
      </c>
      <c r="F241" s="189">
        <f t="shared" si="47"/>
        <v>2065</v>
      </c>
      <c r="G241" s="190">
        <f t="shared" si="48"/>
        <v>9440</v>
      </c>
      <c r="H241" s="188">
        <f t="shared" si="58"/>
        <v>1829</v>
      </c>
      <c r="I241" s="189">
        <f t="shared" si="49"/>
        <v>2183</v>
      </c>
      <c r="J241" s="189">
        <f t="shared" si="50"/>
        <v>3363</v>
      </c>
      <c r="K241" s="189">
        <f t="shared" si="51"/>
        <v>2065</v>
      </c>
      <c r="L241" s="190">
        <f t="shared" si="52"/>
        <v>9440</v>
      </c>
      <c r="M241" s="188"/>
      <c r="N241" s="189"/>
      <c r="O241" s="189"/>
      <c r="P241" s="189"/>
      <c r="Q241" s="190"/>
      <c r="R241" s="188"/>
      <c r="S241" s="189"/>
      <c r="T241" s="189"/>
      <c r="U241" s="189"/>
      <c r="V241" s="190"/>
      <c r="W241" s="188"/>
      <c r="X241" s="189"/>
      <c r="Y241" s="189"/>
      <c r="Z241" s="189"/>
      <c r="AA241" s="190"/>
      <c r="AB241" s="188"/>
      <c r="AC241" s="189">
        <v>118</v>
      </c>
      <c r="AD241" s="189"/>
      <c r="AE241" s="189">
        <v>59</v>
      </c>
      <c r="AF241" s="190">
        <v>177</v>
      </c>
      <c r="AG241" s="188"/>
      <c r="AH241" s="189"/>
      <c r="AI241" s="189"/>
      <c r="AJ241" s="189"/>
      <c r="AK241" s="190"/>
      <c r="AL241" s="188"/>
      <c r="AM241" s="189"/>
      <c r="AN241" s="189"/>
      <c r="AO241" s="189"/>
      <c r="AP241" s="190"/>
      <c r="AQ241" s="188"/>
      <c r="AR241" s="189"/>
      <c r="AS241" s="189"/>
      <c r="AT241" s="189"/>
      <c r="AU241" s="190"/>
      <c r="AV241" s="188">
        <v>1829</v>
      </c>
      <c r="AW241" s="189">
        <v>2065</v>
      </c>
      <c r="AX241" s="189">
        <v>3363</v>
      </c>
      <c r="AY241" s="189">
        <v>2006</v>
      </c>
      <c r="AZ241" s="190">
        <v>9263</v>
      </c>
      <c r="BA241" s="188"/>
      <c r="BB241" s="189"/>
      <c r="BC241" s="189"/>
      <c r="BD241" s="189"/>
      <c r="BE241" s="190"/>
      <c r="BF241" s="188">
        <f t="shared" si="59"/>
        <v>0</v>
      </c>
      <c r="BG241" s="189">
        <f t="shared" si="53"/>
        <v>0</v>
      </c>
      <c r="BH241" s="189">
        <f t="shared" si="54"/>
        <v>0</v>
      </c>
      <c r="BI241" s="189">
        <f t="shared" si="55"/>
        <v>0</v>
      </c>
      <c r="BJ241" s="190">
        <f t="shared" si="56"/>
        <v>0</v>
      </c>
      <c r="BK241" s="188"/>
      <c r="BL241" s="189"/>
      <c r="BM241" s="189"/>
      <c r="BN241" s="189"/>
      <c r="BO241" s="190"/>
      <c r="BP241" s="188"/>
      <c r="BQ241" s="189"/>
      <c r="BR241" s="189"/>
      <c r="BS241" s="189"/>
      <c r="BT241" s="190"/>
      <c r="BU241" s="188"/>
      <c r="BV241" s="189"/>
      <c r="BW241" s="189"/>
      <c r="BX241" s="189"/>
      <c r="BY241" s="190"/>
      <c r="BZ241" s="188"/>
      <c r="CA241" s="189"/>
      <c r="CB241" s="189"/>
      <c r="CC241" s="189"/>
      <c r="CD241" s="190"/>
      <c r="CE241" s="188"/>
      <c r="CF241" s="189"/>
      <c r="CG241" s="189"/>
      <c r="CH241" s="189"/>
      <c r="CI241" s="190"/>
    </row>
    <row r="242" s="163" customFormat="1" ht="14.6" spans="1:87">
      <c r="A242" s="191" t="s">
        <v>220</v>
      </c>
      <c r="B242" s="192"/>
      <c r="C242" s="193">
        <f t="shared" si="57"/>
        <v>1829</v>
      </c>
      <c r="D242" s="194">
        <f t="shared" si="45"/>
        <v>2183</v>
      </c>
      <c r="E242" s="194">
        <f t="shared" si="46"/>
        <v>3363</v>
      </c>
      <c r="F242" s="194">
        <f t="shared" si="47"/>
        <v>2065</v>
      </c>
      <c r="G242" s="195">
        <f t="shared" si="48"/>
        <v>9440</v>
      </c>
      <c r="H242" s="193">
        <f t="shared" si="58"/>
        <v>1829</v>
      </c>
      <c r="I242" s="194">
        <f t="shared" si="49"/>
        <v>2183</v>
      </c>
      <c r="J242" s="194">
        <f t="shared" si="50"/>
        <v>3363</v>
      </c>
      <c r="K242" s="194">
        <f t="shared" si="51"/>
        <v>2065</v>
      </c>
      <c r="L242" s="195">
        <f t="shared" si="52"/>
        <v>9440</v>
      </c>
      <c r="M242" s="193"/>
      <c r="N242" s="194"/>
      <c r="O242" s="194"/>
      <c r="P242" s="194"/>
      <c r="Q242" s="195"/>
      <c r="R242" s="193"/>
      <c r="S242" s="194"/>
      <c r="T242" s="194"/>
      <c r="U242" s="194"/>
      <c r="V242" s="195"/>
      <c r="W242" s="193"/>
      <c r="X242" s="194"/>
      <c r="Y242" s="194"/>
      <c r="Z242" s="194"/>
      <c r="AA242" s="195"/>
      <c r="AB242" s="193"/>
      <c r="AC242" s="194">
        <v>118</v>
      </c>
      <c r="AD242" s="194"/>
      <c r="AE242" s="194">
        <v>59</v>
      </c>
      <c r="AF242" s="195">
        <v>177</v>
      </c>
      <c r="AG242" s="193"/>
      <c r="AH242" s="194"/>
      <c r="AI242" s="194"/>
      <c r="AJ242" s="194"/>
      <c r="AK242" s="195"/>
      <c r="AL242" s="193"/>
      <c r="AM242" s="194"/>
      <c r="AN242" s="194"/>
      <c r="AO242" s="194"/>
      <c r="AP242" s="195"/>
      <c r="AQ242" s="193"/>
      <c r="AR242" s="194"/>
      <c r="AS242" s="194"/>
      <c r="AT242" s="194"/>
      <c r="AU242" s="195"/>
      <c r="AV242" s="193">
        <v>1829</v>
      </c>
      <c r="AW242" s="194">
        <v>2065</v>
      </c>
      <c r="AX242" s="194">
        <v>3363</v>
      </c>
      <c r="AY242" s="194">
        <v>2006</v>
      </c>
      <c r="AZ242" s="195">
        <v>9263</v>
      </c>
      <c r="BA242" s="193"/>
      <c r="BB242" s="194"/>
      <c r="BC242" s="194"/>
      <c r="BD242" s="194"/>
      <c r="BE242" s="195"/>
      <c r="BF242" s="193">
        <f t="shared" si="59"/>
        <v>0</v>
      </c>
      <c r="BG242" s="194">
        <f t="shared" si="53"/>
        <v>0</v>
      </c>
      <c r="BH242" s="194">
        <f t="shared" si="54"/>
        <v>0</v>
      </c>
      <c r="BI242" s="194">
        <f t="shared" si="55"/>
        <v>0</v>
      </c>
      <c r="BJ242" s="195">
        <f t="shared" si="56"/>
        <v>0</v>
      </c>
      <c r="BK242" s="193"/>
      <c r="BL242" s="194"/>
      <c r="BM242" s="194"/>
      <c r="BN242" s="194"/>
      <c r="BO242" s="195"/>
      <c r="BP242" s="193"/>
      <c r="BQ242" s="194"/>
      <c r="BR242" s="194"/>
      <c r="BS242" s="194"/>
      <c r="BT242" s="195"/>
      <c r="BU242" s="193"/>
      <c r="BV242" s="194"/>
      <c r="BW242" s="194"/>
      <c r="BX242" s="194"/>
      <c r="BY242" s="195"/>
      <c r="BZ242" s="193"/>
      <c r="CA242" s="194"/>
      <c r="CB242" s="194"/>
      <c r="CC242" s="194"/>
      <c r="CD242" s="195"/>
      <c r="CE242" s="193"/>
      <c r="CF242" s="194"/>
      <c r="CG242" s="194"/>
      <c r="CH242" s="194"/>
      <c r="CI242" s="195"/>
    </row>
    <row r="243" spans="1:87">
      <c r="A243" s="186" t="s">
        <v>221</v>
      </c>
      <c r="B243" s="187" t="s">
        <v>26</v>
      </c>
      <c r="C243" s="188">
        <f t="shared" si="57"/>
        <v>2346</v>
      </c>
      <c r="D243" s="189">
        <f t="shared" si="45"/>
        <v>3083</v>
      </c>
      <c r="E243" s="189">
        <f t="shared" si="46"/>
        <v>1725</v>
      </c>
      <c r="F243" s="189">
        <f t="shared" si="47"/>
        <v>2070</v>
      </c>
      <c r="G243" s="190">
        <f t="shared" si="48"/>
        <v>9224</v>
      </c>
      <c r="H243" s="188">
        <f t="shared" si="58"/>
        <v>2346</v>
      </c>
      <c r="I243" s="189">
        <f t="shared" si="49"/>
        <v>3083</v>
      </c>
      <c r="J243" s="189">
        <f t="shared" si="50"/>
        <v>1725</v>
      </c>
      <c r="K243" s="189">
        <f t="shared" si="51"/>
        <v>2070</v>
      </c>
      <c r="L243" s="190">
        <f t="shared" si="52"/>
        <v>9224</v>
      </c>
      <c r="M243" s="188"/>
      <c r="N243" s="189"/>
      <c r="O243" s="189"/>
      <c r="P243" s="189"/>
      <c r="Q243" s="190"/>
      <c r="R243" s="188"/>
      <c r="S243" s="189"/>
      <c r="T243" s="189"/>
      <c r="U243" s="189">
        <v>345</v>
      </c>
      <c r="V243" s="190">
        <v>345</v>
      </c>
      <c r="W243" s="188"/>
      <c r="X243" s="189"/>
      <c r="Y243" s="189"/>
      <c r="Z243" s="189"/>
      <c r="AA243" s="190"/>
      <c r="AB243" s="188">
        <v>621</v>
      </c>
      <c r="AC243" s="189">
        <v>1289</v>
      </c>
      <c r="AD243" s="189">
        <v>414</v>
      </c>
      <c r="AE243" s="189"/>
      <c r="AF243" s="190">
        <v>2324</v>
      </c>
      <c r="AG243" s="188"/>
      <c r="AH243" s="189"/>
      <c r="AI243" s="189"/>
      <c r="AJ243" s="189"/>
      <c r="AK243" s="190"/>
      <c r="AL243" s="188"/>
      <c r="AM243" s="189"/>
      <c r="AN243" s="189"/>
      <c r="AO243" s="189"/>
      <c r="AP243" s="190"/>
      <c r="AQ243" s="188">
        <v>1725</v>
      </c>
      <c r="AR243" s="189">
        <v>1794</v>
      </c>
      <c r="AS243" s="189">
        <v>1311</v>
      </c>
      <c r="AT243" s="189">
        <v>1725</v>
      </c>
      <c r="AU243" s="190">
        <v>6555</v>
      </c>
      <c r="AV243" s="188"/>
      <c r="AW243" s="189"/>
      <c r="AX243" s="189"/>
      <c r="AY243" s="189"/>
      <c r="AZ243" s="190"/>
      <c r="BA243" s="188"/>
      <c r="BB243" s="189"/>
      <c r="BC243" s="189"/>
      <c r="BD243" s="189"/>
      <c r="BE243" s="190"/>
      <c r="BF243" s="188">
        <f t="shared" si="59"/>
        <v>0</v>
      </c>
      <c r="BG243" s="189">
        <f t="shared" si="53"/>
        <v>0</v>
      </c>
      <c r="BH243" s="189">
        <f t="shared" si="54"/>
        <v>0</v>
      </c>
      <c r="BI243" s="189">
        <f t="shared" si="55"/>
        <v>0</v>
      </c>
      <c r="BJ243" s="190">
        <f t="shared" si="56"/>
        <v>0</v>
      </c>
      <c r="BK243" s="188"/>
      <c r="BL243" s="189"/>
      <c r="BM243" s="189"/>
      <c r="BN243" s="189"/>
      <c r="BO243" s="190"/>
      <c r="BP243" s="188"/>
      <c r="BQ243" s="189"/>
      <c r="BR243" s="189"/>
      <c r="BS243" s="189"/>
      <c r="BT243" s="190"/>
      <c r="BU243" s="188"/>
      <c r="BV243" s="189"/>
      <c r="BW243" s="189"/>
      <c r="BX243" s="189"/>
      <c r="BY243" s="190"/>
      <c r="BZ243" s="188"/>
      <c r="CA243" s="189"/>
      <c r="CB243" s="189"/>
      <c r="CC243" s="189"/>
      <c r="CD243" s="190"/>
      <c r="CE243" s="188"/>
      <c r="CF243" s="189"/>
      <c r="CG243" s="189"/>
      <c r="CH243" s="189"/>
      <c r="CI243" s="190"/>
    </row>
    <row r="244" s="163" customFormat="1" ht="14.6" spans="1:87">
      <c r="A244" s="191" t="s">
        <v>222</v>
      </c>
      <c r="B244" s="192"/>
      <c r="C244" s="193">
        <f t="shared" si="57"/>
        <v>2346</v>
      </c>
      <c r="D244" s="194">
        <f t="shared" si="45"/>
        <v>3083</v>
      </c>
      <c r="E244" s="194">
        <f t="shared" si="46"/>
        <v>1725</v>
      </c>
      <c r="F244" s="194">
        <f t="shared" si="47"/>
        <v>2070</v>
      </c>
      <c r="G244" s="195">
        <f t="shared" si="48"/>
        <v>9224</v>
      </c>
      <c r="H244" s="193">
        <f t="shared" si="58"/>
        <v>2346</v>
      </c>
      <c r="I244" s="194">
        <f t="shared" si="49"/>
        <v>3083</v>
      </c>
      <c r="J244" s="194">
        <f t="shared" si="50"/>
        <v>1725</v>
      </c>
      <c r="K244" s="194">
        <f t="shared" si="51"/>
        <v>2070</v>
      </c>
      <c r="L244" s="195">
        <f t="shared" si="52"/>
        <v>9224</v>
      </c>
      <c r="M244" s="193"/>
      <c r="N244" s="194"/>
      <c r="O244" s="194"/>
      <c r="P244" s="194"/>
      <c r="Q244" s="195"/>
      <c r="R244" s="193"/>
      <c r="S244" s="194"/>
      <c r="T244" s="194"/>
      <c r="U244" s="194">
        <v>345</v>
      </c>
      <c r="V244" s="195">
        <v>345</v>
      </c>
      <c r="W244" s="193"/>
      <c r="X244" s="194"/>
      <c r="Y244" s="194"/>
      <c r="Z244" s="194"/>
      <c r="AA244" s="195"/>
      <c r="AB244" s="193">
        <v>621</v>
      </c>
      <c r="AC244" s="194">
        <v>1289</v>
      </c>
      <c r="AD244" s="194">
        <v>414</v>
      </c>
      <c r="AE244" s="194"/>
      <c r="AF244" s="195">
        <v>2324</v>
      </c>
      <c r="AG244" s="193"/>
      <c r="AH244" s="194"/>
      <c r="AI244" s="194"/>
      <c r="AJ244" s="194"/>
      <c r="AK244" s="195"/>
      <c r="AL244" s="193"/>
      <c r="AM244" s="194"/>
      <c r="AN244" s="194"/>
      <c r="AO244" s="194"/>
      <c r="AP244" s="195"/>
      <c r="AQ244" s="193">
        <v>1725</v>
      </c>
      <c r="AR244" s="194">
        <v>1794</v>
      </c>
      <c r="AS244" s="194">
        <v>1311</v>
      </c>
      <c r="AT244" s="194">
        <v>1725</v>
      </c>
      <c r="AU244" s="195">
        <v>6555</v>
      </c>
      <c r="AV244" s="193"/>
      <c r="AW244" s="194"/>
      <c r="AX244" s="194"/>
      <c r="AY244" s="194"/>
      <c r="AZ244" s="195"/>
      <c r="BA244" s="193"/>
      <c r="BB244" s="194"/>
      <c r="BC244" s="194"/>
      <c r="BD244" s="194"/>
      <c r="BE244" s="195"/>
      <c r="BF244" s="193">
        <f t="shared" si="59"/>
        <v>0</v>
      </c>
      <c r="BG244" s="194">
        <f t="shared" si="53"/>
        <v>0</v>
      </c>
      <c r="BH244" s="194">
        <f t="shared" si="54"/>
        <v>0</v>
      </c>
      <c r="BI244" s="194">
        <f t="shared" si="55"/>
        <v>0</v>
      </c>
      <c r="BJ244" s="195">
        <f t="shared" si="56"/>
        <v>0</v>
      </c>
      <c r="BK244" s="193"/>
      <c r="BL244" s="194"/>
      <c r="BM244" s="194"/>
      <c r="BN244" s="194"/>
      <c r="BO244" s="195"/>
      <c r="BP244" s="193"/>
      <c r="BQ244" s="194"/>
      <c r="BR244" s="194"/>
      <c r="BS244" s="194"/>
      <c r="BT244" s="195"/>
      <c r="BU244" s="193"/>
      <c r="BV244" s="194"/>
      <c r="BW244" s="194"/>
      <c r="BX244" s="194"/>
      <c r="BY244" s="195"/>
      <c r="BZ244" s="193"/>
      <c r="CA244" s="194"/>
      <c r="CB244" s="194"/>
      <c r="CC244" s="194"/>
      <c r="CD244" s="195"/>
      <c r="CE244" s="193"/>
      <c r="CF244" s="194"/>
      <c r="CG244" s="194"/>
      <c r="CH244" s="194"/>
      <c r="CI244" s="195"/>
    </row>
    <row r="245" spans="1:87">
      <c r="A245" s="186" t="s">
        <v>223</v>
      </c>
      <c r="B245" s="187" t="s">
        <v>26</v>
      </c>
      <c r="C245" s="188">
        <f t="shared" si="57"/>
        <v>4266</v>
      </c>
      <c r="D245" s="189">
        <f t="shared" si="45"/>
        <v>1896</v>
      </c>
      <c r="E245" s="189">
        <f t="shared" si="46"/>
        <v>2291</v>
      </c>
      <c r="F245" s="189">
        <f t="shared" si="47"/>
        <v>316</v>
      </c>
      <c r="G245" s="190">
        <f t="shared" si="48"/>
        <v>8769</v>
      </c>
      <c r="H245" s="188">
        <f t="shared" si="58"/>
        <v>3713</v>
      </c>
      <c r="I245" s="189">
        <f t="shared" si="49"/>
        <v>1501</v>
      </c>
      <c r="J245" s="189">
        <f t="shared" si="50"/>
        <v>1975</v>
      </c>
      <c r="K245" s="189">
        <f t="shared" si="51"/>
        <v>316</v>
      </c>
      <c r="L245" s="190">
        <f t="shared" si="52"/>
        <v>7505</v>
      </c>
      <c r="M245" s="188">
        <v>1975</v>
      </c>
      <c r="N245" s="189">
        <v>1422</v>
      </c>
      <c r="O245" s="189">
        <v>1817</v>
      </c>
      <c r="P245" s="189"/>
      <c r="Q245" s="190">
        <v>5214</v>
      </c>
      <c r="R245" s="188"/>
      <c r="S245" s="189"/>
      <c r="T245" s="189"/>
      <c r="U245" s="189"/>
      <c r="V245" s="190"/>
      <c r="W245" s="188"/>
      <c r="X245" s="189"/>
      <c r="Y245" s="189"/>
      <c r="Z245" s="189"/>
      <c r="AA245" s="190"/>
      <c r="AB245" s="188">
        <v>1264</v>
      </c>
      <c r="AC245" s="189"/>
      <c r="AD245" s="189"/>
      <c r="AE245" s="189"/>
      <c r="AF245" s="190">
        <v>1264</v>
      </c>
      <c r="AG245" s="188"/>
      <c r="AH245" s="189"/>
      <c r="AI245" s="189"/>
      <c r="AJ245" s="189"/>
      <c r="AK245" s="190"/>
      <c r="AL245" s="188"/>
      <c r="AM245" s="189"/>
      <c r="AN245" s="189"/>
      <c r="AO245" s="189"/>
      <c r="AP245" s="190"/>
      <c r="AQ245" s="188"/>
      <c r="AR245" s="189"/>
      <c r="AS245" s="189"/>
      <c r="AT245" s="189"/>
      <c r="AU245" s="190"/>
      <c r="AV245" s="188">
        <v>237</v>
      </c>
      <c r="AW245" s="189">
        <v>79</v>
      </c>
      <c r="AX245" s="189">
        <v>158</v>
      </c>
      <c r="AY245" s="189">
        <v>316</v>
      </c>
      <c r="AZ245" s="190">
        <v>790</v>
      </c>
      <c r="BA245" s="188">
        <v>237</v>
      </c>
      <c r="BB245" s="189"/>
      <c r="BC245" s="189"/>
      <c r="BD245" s="189"/>
      <c r="BE245" s="190">
        <v>237</v>
      </c>
      <c r="BF245" s="188">
        <f t="shared" si="59"/>
        <v>553</v>
      </c>
      <c r="BG245" s="189">
        <f t="shared" si="53"/>
        <v>395</v>
      </c>
      <c r="BH245" s="189">
        <f t="shared" si="54"/>
        <v>316</v>
      </c>
      <c r="BI245" s="189">
        <f t="shared" si="55"/>
        <v>0</v>
      </c>
      <c r="BJ245" s="190">
        <f t="shared" si="56"/>
        <v>1264</v>
      </c>
      <c r="BK245" s="188"/>
      <c r="BL245" s="189"/>
      <c r="BM245" s="189"/>
      <c r="BN245" s="189"/>
      <c r="BO245" s="190"/>
      <c r="BP245" s="188">
        <v>553</v>
      </c>
      <c r="BQ245" s="189">
        <v>395</v>
      </c>
      <c r="BR245" s="189">
        <v>316</v>
      </c>
      <c r="BS245" s="189"/>
      <c r="BT245" s="190">
        <v>1264</v>
      </c>
      <c r="BU245" s="188"/>
      <c r="BV245" s="189"/>
      <c r="BW245" s="189"/>
      <c r="BX245" s="189"/>
      <c r="BY245" s="190"/>
      <c r="BZ245" s="188"/>
      <c r="CA245" s="189"/>
      <c r="CB245" s="189"/>
      <c r="CC245" s="189"/>
      <c r="CD245" s="190"/>
      <c r="CE245" s="188"/>
      <c r="CF245" s="189"/>
      <c r="CG245" s="189"/>
      <c r="CH245" s="189"/>
      <c r="CI245" s="190"/>
    </row>
    <row r="246" s="163" customFormat="1" ht="14.6" spans="1:87">
      <c r="A246" s="191" t="s">
        <v>224</v>
      </c>
      <c r="B246" s="192"/>
      <c r="C246" s="193">
        <f t="shared" si="57"/>
        <v>4266</v>
      </c>
      <c r="D246" s="194">
        <f t="shared" si="45"/>
        <v>1896</v>
      </c>
      <c r="E246" s="194">
        <f t="shared" si="46"/>
        <v>2291</v>
      </c>
      <c r="F246" s="194">
        <f t="shared" si="47"/>
        <v>316</v>
      </c>
      <c r="G246" s="195">
        <f t="shared" si="48"/>
        <v>8769</v>
      </c>
      <c r="H246" s="193">
        <f t="shared" si="58"/>
        <v>3713</v>
      </c>
      <c r="I246" s="194">
        <f t="shared" si="49"/>
        <v>1501</v>
      </c>
      <c r="J246" s="194">
        <f t="shared" si="50"/>
        <v>1975</v>
      </c>
      <c r="K246" s="194">
        <f t="shared" si="51"/>
        <v>316</v>
      </c>
      <c r="L246" s="195">
        <f t="shared" si="52"/>
        <v>7505</v>
      </c>
      <c r="M246" s="193">
        <v>1975</v>
      </c>
      <c r="N246" s="194">
        <v>1422</v>
      </c>
      <c r="O246" s="194">
        <v>1817</v>
      </c>
      <c r="P246" s="194"/>
      <c r="Q246" s="195">
        <v>5214</v>
      </c>
      <c r="R246" s="193"/>
      <c r="S246" s="194"/>
      <c r="T246" s="194"/>
      <c r="U246" s="194"/>
      <c r="V246" s="195"/>
      <c r="W246" s="193"/>
      <c r="X246" s="194"/>
      <c r="Y246" s="194"/>
      <c r="Z246" s="194"/>
      <c r="AA246" s="195"/>
      <c r="AB246" s="193">
        <v>1264</v>
      </c>
      <c r="AC246" s="194"/>
      <c r="AD246" s="194"/>
      <c r="AE246" s="194"/>
      <c r="AF246" s="195">
        <v>1264</v>
      </c>
      <c r="AG246" s="193"/>
      <c r="AH246" s="194"/>
      <c r="AI246" s="194"/>
      <c r="AJ246" s="194"/>
      <c r="AK246" s="195"/>
      <c r="AL246" s="193"/>
      <c r="AM246" s="194"/>
      <c r="AN246" s="194"/>
      <c r="AO246" s="194"/>
      <c r="AP246" s="195"/>
      <c r="AQ246" s="193"/>
      <c r="AR246" s="194"/>
      <c r="AS246" s="194"/>
      <c r="AT246" s="194"/>
      <c r="AU246" s="195"/>
      <c r="AV246" s="193">
        <v>237</v>
      </c>
      <c r="AW246" s="194">
        <v>79</v>
      </c>
      <c r="AX246" s="194">
        <v>158</v>
      </c>
      <c r="AY246" s="194">
        <v>316</v>
      </c>
      <c r="AZ246" s="195">
        <v>790</v>
      </c>
      <c r="BA246" s="193">
        <v>237</v>
      </c>
      <c r="BB246" s="194"/>
      <c r="BC246" s="194"/>
      <c r="BD246" s="194"/>
      <c r="BE246" s="195">
        <v>237</v>
      </c>
      <c r="BF246" s="193">
        <f t="shared" si="59"/>
        <v>553</v>
      </c>
      <c r="BG246" s="194">
        <f t="shared" si="53"/>
        <v>395</v>
      </c>
      <c r="BH246" s="194">
        <f t="shared" si="54"/>
        <v>316</v>
      </c>
      <c r="BI246" s="194">
        <f t="shared" si="55"/>
        <v>0</v>
      </c>
      <c r="BJ246" s="195">
        <f t="shared" si="56"/>
        <v>1264</v>
      </c>
      <c r="BK246" s="193"/>
      <c r="BL246" s="194"/>
      <c r="BM246" s="194"/>
      <c r="BN246" s="194"/>
      <c r="BO246" s="195"/>
      <c r="BP246" s="193">
        <v>553</v>
      </c>
      <c r="BQ246" s="194">
        <v>395</v>
      </c>
      <c r="BR246" s="194">
        <v>316</v>
      </c>
      <c r="BS246" s="194"/>
      <c r="BT246" s="195">
        <v>1264</v>
      </c>
      <c r="BU246" s="193"/>
      <c r="BV246" s="194"/>
      <c r="BW246" s="194"/>
      <c r="BX246" s="194"/>
      <c r="BY246" s="195"/>
      <c r="BZ246" s="193"/>
      <c r="CA246" s="194"/>
      <c r="CB246" s="194"/>
      <c r="CC246" s="194"/>
      <c r="CD246" s="195"/>
      <c r="CE246" s="193"/>
      <c r="CF246" s="194"/>
      <c r="CG246" s="194"/>
      <c r="CH246" s="194"/>
      <c r="CI246" s="195"/>
    </row>
    <row r="247" spans="1:87">
      <c r="A247" s="186" t="s">
        <v>225</v>
      </c>
      <c r="B247" s="187" t="s">
        <v>26</v>
      </c>
      <c r="C247" s="188">
        <f t="shared" si="57"/>
        <v>3657</v>
      </c>
      <c r="D247" s="189">
        <f t="shared" si="45"/>
        <v>1449</v>
      </c>
      <c r="E247" s="189">
        <f t="shared" si="46"/>
        <v>2200</v>
      </c>
      <c r="F247" s="189">
        <f t="shared" si="47"/>
        <v>1035</v>
      </c>
      <c r="G247" s="190">
        <f t="shared" si="48"/>
        <v>8341</v>
      </c>
      <c r="H247" s="188">
        <f t="shared" si="58"/>
        <v>3657</v>
      </c>
      <c r="I247" s="189">
        <f t="shared" si="49"/>
        <v>1380</v>
      </c>
      <c r="J247" s="189">
        <f t="shared" si="50"/>
        <v>2131</v>
      </c>
      <c r="K247" s="189">
        <f t="shared" si="51"/>
        <v>1035</v>
      </c>
      <c r="L247" s="190">
        <f t="shared" si="52"/>
        <v>8203</v>
      </c>
      <c r="M247" s="188">
        <v>138</v>
      </c>
      <c r="N247" s="189"/>
      <c r="O247" s="189">
        <v>207</v>
      </c>
      <c r="P247" s="189">
        <v>345</v>
      </c>
      <c r="Q247" s="190">
        <v>690</v>
      </c>
      <c r="R247" s="188"/>
      <c r="S247" s="189"/>
      <c r="T247" s="189"/>
      <c r="U247" s="189"/>
      <c r="V247" s="190"/>
      <c r="W247" s="188"/>
      <c r="X247" s="189"/>
      <c r="Y247" s="189"/>
      <c r="Z247" s="189"/>
      <c r="AA247" s="190"/>
      <c r="AB247" s="188"/>
      <c r="AC247" s="189"/>
      <c r="AD247" s="189"/>
      <c r="AE247" s="189"/>
      <c r="AF247" s="190"/>
      <c r="AG247" s="188"/>
      <c r="AH247" s="189"/>
      <c r="AI247" s="189">
        <v>199</v>
      </c>
      <c r="AJ247" s="189"/>
      <c r="AK247" s="190">
        <v>199</v>
      </c>
      <c r="AL247" s="188"/>
      <c r="AM247" s="189"/>
      <c r="AN247" s="189"/>
      <c r="AO247" s="189"/>
      <c r="AP247" s="190"/>
      <c r="AQ247" s="188">
        <v>2346</v>
      </c>
      <c r="AR247" s="189">
        <v>276</v>
      </c>
      <c r="AS247" s="189">
        <v>207</v>
      </c>
      <c r="AT247" s="189">
        <v>138</v>
      </c>
      <c r="AU247" s="190">
        <v>2967</v>
      </c>
      <c r="AV247" s="188">
        <v>897</v>
      </c>
      <c r="AW247" s="189">
        <v>897</v>
      </c>
      <c r="AX247" s="189">
        <v>1380</v>
      </c>
      <c r="AY247" s="189">
        <v>552</v>
      </c>
      <c r="AZ247" s="190">
        <v>3726</v>
      </c>
      <c r="BA247" s="188">
        <v>276</v>
      </c>
      <c r="BB247" s="189">
        <v>207</v>
      </c>
      <c r="BC247" s="189">
        <v>138</v>
      </c>
      <c r="BD247" s="189"/>
      <c r="BE247" s="190">
        <v>621</v>
      </c>
      <c r="BF247" s="188">
        <f t="shared" si="59"/>
        <v>0</v>
      </c>
      <c r="BG247" s="189">
        <f t="shared" si="53"/>
        <v>69</v>
      </c>
      <c r="BH247" s="189">
        <f t="shared" si="54"/>
        <v>69</v>
      </c>
      <c r="BI247" s="189">
        <f t="shared" si="55"/>
        <v>0</v>
      </c>
      <c r="BJ247" s="190">
        <f t="shared" si="56"/>
        <v>138</v>
      </c>
      <c r="BK247" s="188"/>
      <c r="BL247" s="189"/>
      <c r="BM247" s="189"/>
      <c r="BN247" s="189"/>
      <c r="BO247" s="190"/>
      <c r="BP247" s="188"/>
      <c r="BQ247" s="189"/>
      <c r="BR247" s="189"/>
      <c r="BS247" s="189"/>
      <c r="BT247" s="190"/>
      <c r="BU247" s="188"/>
      <c r="BV247" s="189">
        <v>69</v>
      </c>
      <c r="BW247" s="189">
        <v>69</v>
      </c>
      <c r="BX247" s="189"/>
      <c r="BY247" s="190">
        <v>138</v>
      </c>
      <c r="BZ247" s="188"/>
      <c r="CA247" s="189"/>
      <c r="CB247" s="189"/>
      <c r="CC247" s="189"/>
      <c r="CD247" s="190"/>
      <c r="CE247" s="188"/>
      <c r="CF247" s="189"/>
      <c r="CG247" s="189"/>
      <c r="CH247" s="189"/>
      <c r="CI247" s="190"/>
    </row>
    <row r="248" s="163" customFormat="1" ht="14.6" spans="1:87">
      <c r="A248" s="191" t="s">
        <v>226</v>
      </c>
      <c r="B248" s="192"/>
      <c r="C248" s="193">
        <f t="shared" si="57"/>
        <v>3657</v>
      </c>
      <c r="D248" s="194">
        <f t="shared" si="45"/>
        <v>1449</v>
      </c>
      <c r="E248" s="194">
        <f t="shared" si="46"/>
        <v>2200</v>
      </c>
      <c r="F248" s="194">
        <f t="shared" si="47"/>
        <v>1035</v>
      </c>
      <c r="G248" s="195">
        <f t="shared" si="48"/>
        <v>8341</v>
      </c>
      <c r="H248" s="193">
        <f t="shared" si="58"/>
        <v>3657</v>
      </c>
      <c r="I248" s="194">
        <f t="shared" si="49"/>
        <v>1380</v>
      </c>
      <c r="J248" s="194">
        <f t="shared" si="50"/>
        <v>2131</v>
      </c>
      <c r="K248" s="194">
        <f t="shared" si="51"/>
        <v>1035</v>
      </c>
      <c r="L248" s="195">
        <f t="shared" si="52"/>
        <v>8203</v>
      </c>
      <c r="M248" s="193">
        <v>138</v>
      </c>
      <c r="N248" s="194"/>
      <c r="O248" s="194">
        <v>207</v>
      </c>
      <c r="P248" s="194">
        <v>345</v>
      </c>
      <c r="Q248" s="195">
        <v>690</v>
      </c>
      <c r="R248" s="193"/>
      <c r="S248" s="194"/>
      <c r="T248" s="194"/>
      <c r="U248" s="194"/>
      <c r="V248" s="195"/>
      <c r="W248" s="193"/>
      <c r="X248" s="194"/>
      <c r="Y248" s="194"/>
      <c r="Z248" s="194"/>
      <c r="AA248" s="195"/>
      <c r="AB248" s="193"/>
      <c r="AC248" s="194"/>
      <c r="AD248" s="194"/>
      <c r="AE248" s="194"/>
      <c r="AF248" s="195"/>
      <c r="AG248" s="193"/>
      <c r="AH248" s="194"/>
      <c r="AI248" s="194">
        <v>199</v>
      </c>
      <c r="AJ248" s="194"/>
      <c r="AK248" s="195">
        <v>199</v>
      </c>
      <c r="AL248" s="193"/>
      <c r="AM248" s="194"/>
      <c r="AN248" s="194"/>
      <c r="AO248" s="194"/>
      <c r="AP248" s="195"/>
      <c r="AQ248" s="193">
        <v>2346</v>
      </c>
      <c r="AR248" s="194">
        <v>276</v>
      </c>
      <c r="AS248" s="194">
        <v>207</v>
      </c>
      <c r="AT248" s="194">
        <v>138</v>
      </c>
      <c r="AU248" s="195">
        <v>2967</v>
      </c>
      <c r="AV248" s="193">
        <v>897</v>
      </c>
      <c r="AW248" s="194">
        <v>897</v>
      </c>
      <c r="AX248" s="194">
        <v>1380</v>
      </c>
      <c r="AY248" s="194">
        <v>552</v>
      </c>
      <c r="AZ248" s="195">
        <v>3726</v>
      </c>
      <c r="BA248" s="193">
        <v>276</v>
      </c>
      <c r="BB248" s="194">
        <v>207</v>
      </c>
      <c r="BC248" s="194">
        <v>138</v>
      </c>
      <c r="BD248" s="194"/>
      <c r="BE248" s="195">
        <v>621</v>
      </c>
      <c r="BF248" s="193">
        <f t="shared" si="59"/>
        <v>0</v>
      </c>
      <c r="BG248" s="194">
        <f t="shared" si="53"/>
        <v>69</v>
      </c>
      <c r="BH248" s="194">
        <f t="shared" si="54"/>
        <v>69</v>
      </c>
      <c r="BI248" s="194">
        <f t="shared" si="55"/>
        <v>0</v>
      </c>
      <c r="BJ248" s="195">
        <f t="shared" si="56"/>
        <v>138</v>
      </c>
      <c r="BK248" s="193"/>
      <c r="BL248" s="194"/>
      <c r="BM248" s="194"/>
      <c r="BN248" s="194"/>
      <c r="BO248" s="195"/>
      <c r="BP248" s="193"/>
      <c r="BQ248" s="194"/>
      <c r="BR248" s="194"/>
      <c r="BS248" s="194"/>
      <c r="BT248" s="195"/>
      <c r="BU248" s="193"/>
      <c r="BV248" s="194">
        <v>69</v>
      </c>
      <c r="BW248" s="194">
        <v>69</v>
      </c>
      <c r="BX248" s="194"/>
      <c r="BY248" s="195">
        <v>138</v>
      </c>
      <c r="BZ248" s="193"/>
      <c r="CA248" s="194"/>
      <c r="CB248" s="194"/>
      <c r="CC248" s="194"/>
      <c r="CD248" s="195"/>
      <c r="CE248" s="193"/>
      <c r="CF248" s="194"/>
      <c r="CG248" s="194"/>
      <c r="CH248" s="194"/>
      <c r="CI248" s="195"/>
    </row>
    <row r="249" spans="1:87">
      <c r="A249" s="186" t="s">
        <v>227</v>
      </c>
      <c r="B249" s="187" t="s">
        <v>26</v>
      </c>
      <c r="C249" s="188">
        <f t="shared" si="57"/>
        <v>2559</v>
      </c>
      <c r="D249" s="189">
        <f t="shared" si="45"/>
        <v>2559</v>
      </c>
      <c r="E249" s="189">
        <f t="shared" si="46"/>
        <v>1652</v>
      </c>
      <c r="F249" s="189">
        <f t="shared" si="47"/>
        <v>1497</v>
      </c>
      <c r="G249" s="190">
        <f t="shared" si="48"/>
        <v>8267</v>
      </c>
      <c r="H249" s="188">
        <f t="shared" si="58"/>
        <v>2264</v>
      </c>
      <c r="I249" s="189">
        <f t="shared" si="49"/>
        <v>2559</v>
      </c>
      <c r="J249" s="189">
        <f t="shared" si="50"/>
        <v>1652</v>
      </c>
      <c r="K249" s="189">
        <f t="shared" si="51"/>
        <v>1497</v>
      </c>
      <c r="L249" s="190">
        <f t="shared" si="52"/>
        <v>7972</v>
      </c>
      <c r="M249" s="188"/>
      <c r="N249" s="189"/>
      <c r="O249" s="189"/>
      <c r="P249" s="189"/>
      <c r="Q249" s="190"/>
      <c r="R249" s="188">
        <v>118</v>
      </c>
      <c r="S249" s="189"/>
      <c r="T249" s="189"/>
      <c r="U249" s="189"/>
      <c r="V249" s="190">
        <v>118</v>
      </c>
      <c r="W249" s="188"/>
      <c r="X249" s="189"/>
      <c r="Y249" s="189"/>
      <c r="Z249" s="189"/>
      <c r="AA249" s="190"/>
      <c r="AB249" s="188">
        <v>1121</v>
      </c>
      <c r="AC249" s="189">
        <v>1202</v>
      </c>
      <c r="AD249" s="189">
        <v>590</v>
      </c>
      <c r="AE249" s="189">
        <v>789</v>
      </c>
      <c r="AF249" s="190">
        <v>3702</v>
      </c>
      <c r="AG249" s="188"/>
      <c r="AH249" s="189"/>
      <c r="AI249" s="189"/>
      <c r="AJ249" s="189"/>
      <c r="AK249" s="190"/>
      <c r="AL249" s="188">
        <v>413</v>
      </c>
      <c r="AM249" s="189">
        <v>944</v>
      </c>
      <c r="AN249" s="189">
        <v>826</v>
      </c>
      <c r="AO249" s="189">
        <v>708</v>
      </c>
      <c r="AP249" s="190">
        <v>2891</v>
      </c>
      <c r="AQ249" s="188"/>
      <c r="AR249" s="189"/>
      <c r="AS249" s="189"/>
      <c r="AT249" s="189"/>
      <c r="AU249" s="190"/>
      <c r="AV249" s="188">
        <v>553</v>
      </c>
      <c r="AW249" s="189">
        <v>413</v>
      </c>
      <c r="AX249" s="189">
        <v>236</v>
      </c>
      <c r="AY249" s="189"/>
      <c r="AZ249" s="190">
        <v>1202</v>
      </c>
      <c r="BA249" s="188">
        <v>59</v>
      </c>
      <c r="BB249" s="189"/>
      <c r="BC249" s="189"/>
      <c r="BD249" s="189"/>
      <c r="BE249" s="190">
        <v>59</v>
      </c>
      <c r="BF249" s="188">
        <f t="shared" si="59"/>
        <v>295</v>
      </c>
      <c r="BG249" s="189">
        <f t="shared" si="53"/>
        <v>0</v>
      </c>
      <c r="BH249" s="189">
        <f t="shared" si="54"/>
        <v>0</v>
      </c>
      <c r="BI249" s="189">
        <f t="shared" si="55"/>
        <v>0</v>
      </c>
      <c r="BJ249" s="190">
        <f t="shared" si="56"/>
        <v>295</v>
      </c>
      <c r="BK249" s="188"/>
      <c r="BL249" s="189"/>
      <c r="BM249" s="189"/>
      <c r="BN249" s="189"/>
      <c r="BO249" s="190"/>
      <c r="BP249" s="188">
        <v>295</v>
      </c>
      <c r="BQ249" s="189"/>
      <c r="BR249" s="189"/>
      <c r="BS249" s="189"/>
      <c r="BT249" s="190">
        <v>295</v>
      </c>
      <c r="BU249" s="188"/>
      <c r="BV249" s="189"/>
      <c r="BW249" s="189"/>
      <c r="BX249" s="189"/>
      <c r="BY249" s="190"/>
      <c r="BZ249" s="188"/>
      <c r="CA249" s="189"/>
      <c r="CB249" s="189"/>
      <c r="CC249" s="189"/>
      <c r="CD249" s="190"/>
      <c r="CE249" s="188"/>
      <c r="CF249" s="189"/>
      <c r="CG249" s="189"/>
      <c r="CH249" s="189"/>
      <c r="CI249" s="190"/>
    </row>
    <row r="250" s="163" customFormat="1" ht="14.6" spans="1:87">
      <c r="A250" s="191" t="s">
        <v>228</v>
      </c>
      <c r="B250" s="192"/>
      <c r="C250" s="193">
        <f t="shared" si="57"/>
        <v>2559</v>
      </c>
      <c r="D250" s="194">
        <f t="shared" si="45"/>
        <v>2559</v>
      </c>
      <c r="E250" s="194">
        <f t="shared" si="46"/>
        <v>1652</v>
      </c>
      <c r="F250" s="194">
        <f t="shared" si="47"/>
        <v>1497</v>
      </c>
      <c r="G250" s="195">
        <f t="shared" si="48"/>
        <v>8267</v>
      </c>
      <c r="H250" s="193">
        <f t="shared" si="58"/>
        <v>2264</v>
      </c>
      <c r="I250" s="194">
        <f t="shared" si="49"/>
        <v>2559</v>
      </c>
      <c r="J250" s="194">
        <f t="shared" si="50"/>
        <v>1652</v>
      </c>
      <c r="K250" s="194">
        <f t="shared" si="51"/>
        <v>1497</v>
      </c>
      <c r="L250" s="195">
        <f t="shared" si="52"/>
        <v>7972</v>
      </c>
      <c r="M250" s="193"/>
      <c r="N250" s="194"/>
      <c r="O250" s="194"/>
      <c r="P250" s="194"/>
      <c r="Q250" s="195"/>
      <c r="R250" s="193">
        <v>118</v>
      </c>
      <c r="S250" s="194"/>
      <c r="T250" s="194"/>
      <c r="U250" s="194"/>
      <c r="V250" s="195">
        <v>118</v>
      </c>
      <c r="W250" s="193"/>
      <c r="X250" s="194"/>
      <c r="Y250" s="194"/>
      <c r="Z250" s="194"/>
      <c r="AA250" s="195"/>
      <c r="AB250" s="193">
        <v>1121</v>
      </c>
      <c r="AC250" s="194">
        <v>1202</v>
      </c>
      <c r="AD250" s="194">
        <v>590</v>
      </c>
      <c r="AE250" s="194">
        <v>789</v>
      </c>
      <c r="AF250" s="195">
        <v>3702</v>
      </c>
      <c r="AG250" s="193"/>
      <c r="AH250" s="194"/>
      <c r="AI250" s="194"/>
      <c r="AJ250" s="194"/>
      <c r="AK250" s="195"/>
      <c r="AL250" s="193">
        <v>413</v>
      </c>
      <c r="AM250" s="194">
        <v>944</v>
      </c>
      <c r="AN250" s="194">
        <v>826</v>
      </c>
      <c r="AO250" s="194">
        <v>708</v>
      </c>
      <c r="AP250" s="195">
        <v>2891</v>
      </c>
      <c r="AQ250" s="193"/>
      <c r="AR250" s="194"/>
      <c r="AS250" s="194"/>
      <c r="AT250" s="194"/>
      <c r="AU250" s="195"/>
      <c r="AV250" s="193">
        <v>553</v>
      </c>
      <c r="AW250" s="194">
        <v>413</v>
      </c>
      <c r="AX250" s="194">
        <v>236</v>
      </c>
      <c r="AY250" s="194"/>
      <c r="AZ250" s="195">
        <v>1202</v>
      </c>
      <c r="BA250" s="193">
        <v>59</v>
      </c>
      <c r="BB250" s="194"/>
      <c r="BC250" s="194"/>
      <c r="BD250" s="194"/>
      <c r="BE250" s="195">
        <v>59</v>
      </c>
      <c r="BF250" s="193">
        <f t="shared" si="59"/>
        <v>295</v>
      </c>
      <c r="BG250" s="194">
        <f t="shared" si="53"/>
        <v>0</v>
      </c>
      <c r="BH250" s="194">
        <f t="shared" si="54"/>
        <v>0</v>
      </c>
      <c r="BI250" s="194">
        <f t="shared" si="55"/>
        <v>0</v>
      </c>
      <c r="BJ250" s="195">
        <f t="shared" si="56"/>
        <v>295</v>
      </c>
      <c r="BK250" s="193"/>
      <c r="BL250" s="194"/>
      <c r="BM250" s="194"/>
      <c r="BN250" s="194"/>
      <c r="BO250" s="195"/>
      <c r="BP250" s="193">
        <v>295</v>
      </c>
      <c r="BQ250" s="194"/>
      <c r="BR250" s="194"/>
      <c r="BS250" s="194"/>
      <c r="BT250" s="195">
        <v>295</v>
      </c>
      <c r="BU250" s="193"/>
      <c r="BV250" s="194"/>
      <c r="BW250" s="194"/>
      <c r="BX250" s="194"/>
      <c r="BY250" s="195"/>
      <c r="BZ250" s="193"/>
      <c r="CA250" s="194"/>
      <c r="CB250" s="194"/>
      <c r="CC250" s="194"/>
      <c r="CD250" s="195"/>
      <c r="CE250" s="193"/>
      <c r="CF250" s="194"/>
      <c r="CG250" s="194"/>
      <c r="CH250" s="194"/>
      <c r="CI250" s="195"/>
    </row>
    <row r="251" spans="1:87">
      <c r="A251" s="186" t="s">
        <v>229</v>
      </c>
      <c r="B251" s="187" t="s">
        <v>26</v>
      </c>
      <c r="C251" s="188">
        <f t="shared" si="57"/>
        <v>6487</v>
      </c>
      <c r="D251" s="189">
        <f t="shared" si="45"/>
        <v>499</v>
      </c>
      <c r="E251" s="189">
        <f t="shared" si="46"/>
        <v>0</v>
      </c>
      <c r="F251" s="189">
        <f t="shared" si="47"/>
        <v>998</v>
      </c>
      <c r="G251" s="190">
        <f t="shared" si="48"/>
        <v>7984</v>
      </c>
      <c r="H251" s="188">
        <f t="shared" si="58"/>
        <v>2994</v>
      </c>
      <c r="I251" s="189">
        <f t="shared" si="49"/>
        <v>0</v>
      </c>
      <c r="J251" s="189">
        <f t="shared" si="50"/>
        <v>0</v>
      </c>
      <c r="K251" s="189">
        <f t="shared" si="51"/>
        <v>0</v>
      </c>
      <c r="L251" s="190">
        <f t="shared" si="52"/>
        <v>2994</v>
      </c>
      <c r="M251" s="188"/>
      <c r="N251" s="189"/>
      <c r="O251" s="189"/>
      <c r="P251" s="189"/>
      <c r="Q251" s="190"/>
      <c r="R251" s="188"/>
      <c r="S251" s="189"/>
      <c r="T251" s="189"/>
      <c r="U251" s="189"/>
      <c r="V251" s="190"/>
      <c r="W251" s="188"/>
      <c r="X251" s="189"/>
      <c r="Y251" s="189"/>
      <c r="Z251" s="189"/>
      <c r="AA251" s="190"/>
      <c r="AB251" s="188">
        <v>499</v>
      </c>
      <c r="AC251" s="189"/>
      <c r="AD251" s="189"/>
      <c r="AE251" s="189"/>
      <c r="AF251" s="190">
        <v>499</v>
      </c>
      <c r="AG251" s="188"/>
      <c r="AH251" s="189"/>
      <c r="AI251" s="189"/>
      <c r="AJ251" s="189"/>
      <c r="AK251" s="190"/>
      <c r="AL251" s="188"/>
      <c r="AM251" s="189"/>
      <c r="AN251" s="189"/>
      <c r="AO251" s="189"/>
      <c r="AP251" s="190"/>
      <c r="AQ251" s="188">
        <v>499</v>
      </c>
      <c r="AR251" s="189"/>
      <c r="AS251" s="189"/>
      <c r="AT251" s="189"/>
      <c r="AU251" s="190">
        <v>499</v>
      </c>
      <c r="AV251" s="188">
        <v>1996</v>
      </c>
      <c r="AW251" s="189"/>
      <c r="AX251" s="189"/>
      <c r="AY251" s="189"/>
      <c r="AZ251" s="190">
        <v>1996</v>
      </c>
      <c r="BA251" s="188"/>
      <c r="BB251" s="189"/>
      <c r="BC251" s="189"/>
      <c r="BD251" s="189"/>
      <c r="BE251" s="190"/>
      <c r="BF251" s="188">
        <f t="shared" si="59"/>
        <v>3493</v>
      </c>
      <c r="BG251" s="189">
        <f t="shared" si="53"/>
        <v>499</v>
      </c>
      <c r="BH251" s="189">
        <f t="shared" si="54"/>
        <v>0</v>
      </c>
      <c r="BI251" s="189">
        <f t="shared" si="55"/>
        <v>998</v>
      </c>
      <c r="BJ251" s="190">
        <f t="shared" si="56"/>
        <v>4990</v>
      </c>
      <c r="BK251" s="188"/>
      <c r="BL251" s="189"/>
      <c r="BM251" s="189"/>
      <c r="BN251" s="189"/>
      <c r="BO251" s="190"/>
      <c r="BP251" s="188">
        <v>1497</v>
      </c>
      <c r="BQ251" s="189"/>
      <c r="BR251" s="189"/>
      <c r="BS251" s="189">
        <v>998</v>
      </c>
      <c r="BT251" s="190">
        <v>2495</v>
      </c>
      <c r="BU251" s="188">
        <v>1996</v>
      </c>
      <c r="BV251" s="189">
        <v>499</v>
      </c>
      <c r="BW251" s="189"/>
      <c r="BX251" s="189"/>
      <c r="BY251" s="190">
        <v>2495</v>
      </c>
      <c r="BZ251" s="188"/>
      <c r="CA251" s="189"/>
      <c r="CB251" s="189"/>
      <c r="CC251" s="189"/>
      <c r="CD251" s="190"/>
      <c r="CE251" s="188"/>
      <c r="CF251" s="189"/>
      <c r="CG251" s="189"/>
      <c r="CH251" s="189"/>
      <c r="CI251" s="190"/>
    </row>
    <row r="252" s="163" customFormat="1" ht="14.6" spans="1:87">
      <c r="A252" s="191" t="s">
        <v>230</v>
      </c>
      <c r="B252" s="192"/>
      <c r="C252" s="193">
        <f t="shared" si="57"/>
        <v>6487</v>
      </c>
      <c r="D252" s="194">
        <f t="shared" si="45"/>
        <v>499</v>
      </c>
      <c r="E252" s="194">
        <f t="shared" si="46"/>
        <v>0</v>
      </c>
      <c r="F252" s="194">
        <f t="shared" si="47"/>
        <v>998</v>
      </c>
      <c r="G252" s="195">
        <f t="shared" si="48"/>
        <v>7984</v>
      </c>
      <c r="H252" s="193">
        <f t="shared" si="58"/>
        <v>2994</v>
      </c>
      <c r="I252" s="194">
        <f t="shared" si="49"/>
        <v>0</v>
      </c>
      <c r="J252" s="194">
        <f t="shared" si="50"/>
        <v>0</v>
      </c>
      <c r="K252" s="194">
        <f t="shared" si="51"/>
        <v>0</v>
      </c>
      <c r="L252" s="195">
        <f t="shared" si="52"/>
        <v>2994</v>
      </c>
      <c r="M252" s="193"/>
      <c r="N252" s="194"/>
      <c r="O252" s="194"/>
      <c r="P252" s="194"/>
      <c r="Q252" s="195"/>
      <c r="R252" s="193"/>
      <c r="S252" s="194"/>
      <c r="T252" s="194"/>
      <c r="U252" s="194"/>
      <c r="V252" s="195"/>
      <c r="W252" s="193"/>
      <c r="X252" s="194"/>
      <c r="Y252" s="194"/>
      <c r="Z252" s="194"/>
      <c r="AA252" s="195"/>
      <c r="AB252" s="193">
        <v>499</v>
      </c>
      <c r="AC252" s="194"/>
      <c r="AD252" s="194"/>
      <c r="AE252" s="194"/>
      <c r="AF252" s="195">
        <v>499</v>
      </c>
      <c r="AG252" s="193"/>
      <c r="AH252" s="194"/>
      <c r="AI252" s="194"/>
      <c r="AJ252" s="194"/>
      <c r="AK252" s="195"/>
      <c r="AL252" s="193"/>
      <c r="AM252" s="194"/>
      <c r="AN252" s="194"/>
      <c r="AO252" s="194"/>
      <c r="AP252" s="195"/>
      <c r="AQ252" s="193">
        <v>499</v>
      </c>
      <c r="AR252" s="194"/>
      <c r="AS252" s="194"/>
      <c r="AT252" s="194"/>
      <c r="AU252" s="195">
        <v>499</v>
      </c>
      <c r="AV252" s="193">
        <v>1996</v>
      </c>
      <c r="AW252" s="194"/>
      <c r="AX252" s="194"/>
      <c r="AY252" s="194"/>
      <c r="AZ252" s="195">
        <v>1996</v>
      </c>
      <c r="BA252" s="193"/>
      <c r="BB252" s="194"/>
      <c r="BC252" s="194"/>
      <c r="BD252" s="194"/>
      <c r="BE252" s="195"/>
      <c r="BF252" s="193">
        <f t="shared" si="59"/>
        <v>3493</v>
      </c>
      <c r="BG252" s="194">
        <f t="shared" si="53"/>
        <v>499</v>
      </c>
      <c r="BH252" s="194">
        <f t="shared" si="54"/>
        <v>0</v>
      </c>
      <c r="BI252" s="194">
        <f t="shared" si="55"/>
        <v>998</v>
      </c>
      <c r="BJ252" s="195">
        <f t="shared" si="56"/>
        <v>4990</v>
      </c>
      <c r="BK252" s="193"/>
      <c r="BL252" s="194"/>
      <c r="BM252" s="194"/>
      <c r="BN252" s="194"/>
      <c r="BO252" s="195"/>
      <c r="BP252" s="193">
        <v>1497</v>
      </c>
      <c r="BQ252" s="194"/>
      <c r="BR252" s="194"/>
      <c r="BS252" s="194">
        <v>998</v>
      </c>
      <c r="BT252" s="195">
        <v>2495</v>
      </c>
      <c r="BU252" s="193">
        <v>1996</v>
      </c>
      <c r="BV252" s="194">
        <v>499</v>
      </c>
      <c r="BW252" s="194"/>
      <c r="BX252" s="194"/>
      <c r="BY252" s="195">
        <v>2495</v>
      </c>
      <c r="BZ252" s="193"/>
      <c r="CA252" s="194"/>
      <c r="CB252" s="194"/>
      <c r="CC252" s="194"/>
      <c r="CD252" s="195"/>
      <c r="CE252" s="193"/>
      <c r="CF252" s="194"/>
      <c r="CG252" s="194"/>
      <c r="CH252" s="194"/>
      <c r="CI252" s="195"/>
    </row>
    <row r="253" spans="1:87">
      <c r="A253" s="186" t="s">
        <v>231</v>
      </c>
      <c r="B253" s="187" t="s">
        <v>26</v>
      </c>
      <c r="C253" s="188">
        <f t="shared" si="57"/>
        <v>5664</v>
      </c>
      <c r="D253" s="189">
        <f t="shared" si="45"/>
        <v>295</v>
      </c>
      <c r="E253" s="189">
        <f t="shared" si="46"/>
        <v>885</v>
      </c>
      <c r="F253" s="189">
        <f t="shared" si="47"/>
        <v>1121</v>
      </c>
      <c r="G253" s="190">
        <f t="shared" si="48"/>
        <v>7965</v>
      </c>
      <c r="H253" s="188">
        <f t="shared" si="58"/>
        <v>767</v>
      </c>
      <c r="I253" s="189">
        <f t="shared" si="49"/>
        <v>236</v>
      </c>
      <c r="J253" s="189">
        <f t="shared" si="50"/>
        <v>885</v>
      </c>
      <c r="K253" s="189">
        <f t="shared" si="51"/>
        <v>1003</v>
      </c>
      <c r="L253" s="190">
        <f t="shared" si="52"/>
        <v>2891</v>
      </c>
      <c r="M253" s="188"/>
      <c r="N253" s="189"/>
      <c r="O253" s="189"/>
      <c r="P253" s="189"/>
      <c r="Q253" s="190"/>
      <c r="R253" s="188"/>
      <c r="S253" s="189"/>
      <c r="T253" s="189">
        <v>118</v>
      </c>
      <c r="U253" s="189">
        <v>118</v>
      </c>
      <c r="V253" s="190">
        <v>236</v>
      </c>
      <c r="W253" s="188"/>
      <c r="X253" s="189"/>
      <c r="Y253" s="189"/>
      <c r="Z253" s="189"/>
      <c r="AA253" s="190"/>
      <c r="AB253" s="188">
        <v>649</v>
      </c>
      <c r="AC253" s="189">
        <v>236</v>
      </c>
      <c r="AD253" s="189">
        <v>708</v>
      </c>
      <c r="AE253" s="189">
        <v>885</v>
      </c>
      <c r="AF253" s="190">
        <v>2478</v>
      </c>
      <c r="AG253" s="188"/>
      <c r="AH253" s="189"/>
      <c r="AI253" s="189"/>
      <c r="AJ253" s="189"/>
      <c r="AK253" s="190"/>
      <c r="AL253" s="188"/>
      <c r="AM253" s="189"/>
      <c r="AN253" s="189"/>
      <c r="AO253" s="189"/>
      <c r="AP253" s="190"/>
      <c r="AQ253" s="188"/>
      <c r="AR253" s="189"/>
      <c r="AS253" s="189"/>
      <c r="AT253" s="189"/>
      <c r="AU253" s="190"/>
      <c r="AV253" s="188">
        <v>118</v>
      </c>
      <c r="AW253" s="189"/>
      <c r="AX253" s="189">
        <v>59</v>
      </c>
      <c r="AY253" s="189"/>
      <c r="AZ253" s="190">
        <v>177</v>
      </c>
      <c r="BA253" s="188"/>
      <c r="BB253" s="189"/>
      <c r="BC253" s="189"/>
      <c r="BD253" s="189"/>
      <c r="BE253" s="190"/>
      <c r="BF253" s="188">
        <f t="shared" si="59"/>
        <v>4897</v>
      </c>
      <c r="BG253" s="189">
        <f t="shared" si="53"/>
        <v>59</v>
      </c>
      <c r="BH253" s="189">
        <f t="shared" si="54"/>
        <v>0</v>
      </c>
      <c r="BI253" s="189">
        <f t="shared" si="55"/>
        <v>118</v>
      </c>
      <c r="BJ253" s="190">
        <f t="shared" si="56"/>
        <v>5074</v>
      </c>
      <c r="BK253" s="188"/>
      <c r="BL253" s="189"/>
      <c r="BM253" s="189"/>
      <c r="BN253" s="189"/>
      <c r="BO253" s="190"/>
      <c r="BP253" s="188">
        <v>4897</v>
      </c>
      <c r="BQ253" s="189">
        <v>59</v>
      </c>
      <c r="BR253" s="189"/>
      <c r="BS253" s="189">
        <v>118</v>
      </c>
      <c r="BT253" s="190">
        <v>5074</v>
      </c>
      <c r="BU253" s="188"/>
      <c r="BV253" s="189"/>
      <c r="BW253" s="189"/>
      <c r="BX253" s="189"/>
      <c r="BY253" s="190"/>
      <c r="BZ253" s="188"/>
      <c r="CA253" s="189"/>
      <c r="CB253" s="189"/>
      <c r="CC253" s="189"/>
      <c r="CD253" s="190"/>
      <c r="CE253" s="188"/>
      <c r="CF253" s="189"/>
      <c r="CG253" s="189"/>
      <c r="CH253" s="189"/>
      <c r="CI253" s="190"/>
    </row>
    <row r="254" s="163" customFormat="1" ht="14.6" spans="1:87">
      <c r="A254" s="191" t="s">
        <v>232</v>
      </c>
      <c r="B254" s="192"/>
      <c r="C254" s="193">
        <f t="shared" si="57"/>
        <v>5664</v>
      </c>
      <c r="D254" s="194">
        <f t="shared" si="45"/>
        <v>295</v>
      </c>
      <c r="E254" s="194">
        <f t="shared" si="46"/>
        <v>885</v>
      </c>
      <c r="F254" s="194">
        <f t="shared" si="47"/>
        <v>1121</v>
      </c>
      <c r="G254" s="195">
        <f t="shared" si="48"/>
        <v>7965</v>
      </c>
      <c r="H254" s="193">
        <f t="shared" si="58"/>
        <v>767</v>
      </c>
      <c r="I254" s="194">
        <f t="shared" si="49"/>
        <v>236</v>
      </c>
      <c r="J254" s="194">
        <f t="shared" si="50"/>
        <v>885</v>
      </c>
      <c r="K254" s="194">
        <f t="shared" si="51"/>
        <v>1003</v>
      </c>
      <c r="L254" s="195">
        <f t="shared" si="52"/>
        <v>2891</v>
      </c>
      <c r="M254" s="193"/>
      <c r="N254" s="194"/>
      <c r="O254" s="194"/>
      <c r="P254" s="194"/>
      <c r="Q254" s="195"/>
      <c r="R254" s="193"/>
      <c r="S254" s="194"/>
      <c r="T254" s="194">
        <v>118</v>
      </c>
      <c r="U254" s="194">
        <v>118</v>
      </c>
      <c r="V254" s="195">
        <v>236</v>
      </c>
      <c r="W254" s="193"/>
      <c r="X254" s="194"/>
      <c r="Y254" s="194"/>
      <c r="Z254" s="194"/>
      <c r="AA254" s="195"/>
      <c r="AB254" s="193">
        <v>649</v>
      </c>
      <c r="AC254" s="194">
        <v>236</v>
      </c>
      <c r="AD254" s="194">
        <v>708</v>
      </c>
      <c r="AE254" s="194">
        <v>885</v>
      </c>
      <c r="AF254" s="195">
        <v>2478</v>
      </c>
      <c r="AG254" s="193"/>
      <c r="AH254" s="194"/>
      <c r="AI254" s="194"/>
      <c r="AJ254" s="194"/>
      <c r="AK254" s="195"/>
      <c r="AL254" s="193"/>
      <c r="AM254" s="194"/>
      <c r="AN254" s="194"/>
      <c r="AO254" s="194"/>
      <c r="AP254" s="195"/>
      <c r="AQ254" s="193"/>
      <c r="AR254" s="194"/>
      <c r="AS254" s="194"/>
      <c r="AT254" s="194"/>
      <c r="AU254" s="195"/>
      <c r="AV254" s="193">
        <v>118</v>
      </c>
      <c r="AW254" s="194"/>
      <c r="AX254" s="194">
        <v>59</v>
      </c>
      <c r="AY254" s="194"/>
      <c r="AZ254" s="195">
        <v>177</v>
      </c>
      <c r="BA254" s="193"/>
      <c r="BB254" s="194"/>
      <c r="BC254" s="194"/>
      <c r="BD254" s="194"/>
      <c r="BE254" s="195"/>
      <c r="BF254" s="193">
        <f t="shared" si="59"/>
        <v>4897</v>
      </c>
      <c r="BG254" s="194">
        <f t="shared" si="53"/>
        <v>59</v>
      </c>
      <c r="BH254" s="194">
        <f t="shared" si="54"/>
        <v>0</v>
      </c>
      <c r="BI254" s="194">
        <f t="shared" si="55"/>
        <v>118</v>
      </c>
      <c r="BJ254" s="195">
        <f t="shared" si="56"/>
        <v>5074</v>
      </c>
      <c r="BK254" s="193"/>
      <c r="BL254" s="194"/>
      <c r="BM254" s="194"/>
      <c r="BN254" s="194"/>
      <c r="BO254" s="195"/>
      <c r="BP254" s="193">
        <v>4897</v>
      </c>
      <c r="BQ254" s="194">
        <v>59</v>
      </c>
      <c r="BR254" s="194"/>
      <c r="BS254" s="194">
        <v>118</v>
      </c>
      <c r="BT254" s="195">
        <v>5074</v>
      </c>
      <c r="BU254" s="193"/>
      <c r="BV254" s="194"/>
      <c r="BW254" s="194"/>
      <c r="BX254" s="194"/>
      <c r="BY254" s="195"/>
      <c r="BZ254" s="193"/>
      <c r="CA254" s="194"/>
      <c r="CB254" s="194"/>
      <c r="CC254" s="194"/>
      <c r="CD254" s="195"/>
      <c r="CE254" s="193"/>
      <c r="CF254" s="194"/>
      <c r="CG254" s="194"/>
      <c r="CH254" s="194"/>
      <c r="CI254" s="195"/>
    </row>
    <row r="255" spans="1:87">
      <c r="A255" s="186" t="s">
        <v>233</v>
      </c>
      <c r="B255" s="187" t="s">
        <v>26</v>
      </c>
      <c r="C255" s="188">
        <f t="shared" si="57"/>
        <v>4485</v>
      </c>
      <c r="D255" s="189">
        <f t="shared" si="45"/>
        <v>1449</v>
      </c>
      <c r="E255" s="189">
        <f t="shared" si="46"/>
        <v>276</v>
      </c>
      <c r="F255" s="189">
        <f t="shared" si="47"/>
        <v>138</v>
      </c>
      <c r="G255" s="190">
        <f t="shared" si="48"/>
        <v>6348</v>
      </c>
      <c r="H255" s="188">
        <f t="shared" si="58"/>
        <v>2691</v>
      </c>
      <c r="I255" s="189">
        <f t="shared" si="49"/>
        <v>138</v>
      </c>
      <c r="J255" s="189">
        <f t="shared" si="50"/>
        <v>207</v>
      </c>
      <c r="K255" s="189">
        <f t="shared" si="51"/>
        <v>138</v>
      </c>
      <c r="L255" s="190">
        <f t="shared" si="52"/>
        <v>3174</v>
      </c>
      <c r="M255" s="188"/>
      <c r="N255" s="189"/>
      <c r="O255" s="189"/>
      <c r="P255" s="189"/>
      <c r="Q255" s="190"/>
      <c r="R255" s="188"/>
      <c r="S255" s="189"/>
      <c r="T255" s="189"/>
      <c r="U255" s="189"/>
      <c r="V255" s="190"/>
      <c r="W255" s="188"/>
      <c r="X255" s="189"/>
      <c r="Y255" s="189"/>
      <c r="Z255" s="189"/>
      <c r="AA255" s="190"/>
      <c r="AB255" s="188">
        <v>2691</v>
      </c>
      <c r="AC255" s="189">
        <v>138</v>
      </c>
      <c r="AD255" s="189">
        <v>207</v>
      </c>
      <c r="AE255" s="189">
        <v>138</v>
      </c>
      <c r="AF255" s="190">
        <v>3174</v>
      </c>
      <c r="AG255" s="188"/>
      <c r="AH255" s="189"/>
      <c r="AI255" s="189"/>
      <c r="AJ255" s="189"/>
      <c r="AK255" s="190"/>
      <c r="AL255" s="188"/>
      <c r="AM255" s="189"/>
      <c r="AN255" s="189"/>
      <c r="AO255" s="189"/>
      <c r="AP255" s="190"/>
      <c r="AQ255" s="188"/>
      <c r="AR255" s="189"/>
      <c r="AS255" s="189"/>
      <c r="AT255" s="189"/>
      <c r="AU255" s="190"/>
      <c r="AV255" s="188"/>
      <c r="AW255" s="189"/>
      <c r="AX255" s="189"/>
      <c r="AY255" s="189"/>
      <c r="AZ255" s="190"/>
      <c r="BA255" s="188"/>
      <c r="BB255" s="189"/>
      <c r="BC255" s="189"/>
      <c r="BD255" s="189"/>
      <c r="BE255" s="190"/>
      <c r="BF255" s="188">
        <f t="shared" si="59"/>
        <v>1794</v>
      </c>
      <c r="BG255" s="189">
        <f t="shared" si="53"/>
        <v>1311</v>
      </c>
      <c r="BH255" s="189">
        <f t="shared" si="54"/>
        <v>69</v>
      </c>
      <c r="BI255" s="189">
        <f t="shared" si="55"/>
        <v>0</v>
      </c>
      <c r="BJ255" s="190">
        <f t="shared" si="56"/>
        <v>3174</v>
      </c>
      <c r="BK255" s="188"/>
      <c r="BL255" s="189"/>
      <c r="BM255" s="189"/>
      <c r="BN255" s="189"/>
      <c r="BO255" s="190"/>
      <c r="BP255" s="188"/>
      <c r="BQ255" s="189"/>
      <c r="BR255" s="189"/>
      <c r="BS255" s="189"/>
      <c r="BT255" s="190"/>
      <c r="BU255" s="188">
        <v>1794</v>
      </c>
      <c r="BV255" s="189">
        <v>1311</v>
      </c>
      <c r="BW255" s="189">
        <v>69</v>
      </c>
      <c r="BX255" s="189"/>
      <c r="BY255" s="190">
        <v>3174</v>
      </c>
      <c r="BZ255" s="188"/>
      <c r="CA255" s="189"/>
      <c r="CB255" s="189"/>
      <c r="CC255" s="189"/>
      <c r="CD255" s="190"/>
      <c r="CE255" s="188"/>
      <c r="CF255" s="189"/>
      <c r="CG255" s="189"/>
      <c r="CH255" s="189"/>
      <c r="CI255" s="190"/>
    </row>
    <row r="256" s="163" customFormat="1" ht="14.6" spans="1:87">
      <c r="A256" s="191" t="s">
        <v>234</v>
      </c>
      <c r="B256" s="192"/>
      <c r="C256" s="193">
        <f t="shared" si="57"/>
        <v>4485</v>
      </c>
      <c r="D256" s="194">
        <f t="shared" si="45"/>
        <v>1449</v>
      </c>
      <c r="E256" s="194">
        <f t="shared" si="46"/>
        <v>276</v>
      </c>
      <c r="F256" s="194">
        <f t="shared" si="47"/>
        <v>138</v>
      </c>
      <c r="G256" s="195">
        <f t="shared" si="48"/>
        <v>6348</v>
      </c>
      <c r="H256" s="193">
        <f t="shared" si="58"/>
        <v>2691</v>
      </c>
      <c r="I256" s="194">
        <f t="shared" si="49"/>
        <v>138</v>
      </c>
      <c r="J256" s="194">
        <f t="shared" si="50"/>
        <v>207</v>
      </c>
      <c r="K256" s="194">
        <f t="shared" si="51"/>
        <v>138</v>
      </c>
      <c r="L256" s="195">
        <f t="shared" si="52"/>
        <v>3174</v>
      </c>
      <c r="M256" s="193"/>
      <c r="N256" s="194"/>
      <c r="O256" s="194"/>
      <c r="P256" s="194"/>
      <c r="Q256" s="195"/>
      <c r="R256" s="193"/>
      <c r="S256" s="194"/>
      <c r="T256" s="194"/>
      <c r="U256" s="194"/>
      <c r="V256" s="195"/>
      <c r="W256" s="193"/>
      <c r="X256" s="194"/>
      <c r="Y256" s="194"/>
      <c r="Z256" s="194"/>
      <c r="AA256" s="195"/>
      <c r="AB256" s="193">
        <v>2691</v>
      </c>
      <c r="AC256" s="194">
        <v>138</v>
      </c>
      <c r="AD256" s="194">
        <v>207</v>
      </c>
      <c r="AE256" s="194">
        <v>138</v>
      </c>
      <c r="AF256" s="195">
        <v>3174</v>
      </c>
      <c r="AG256" s="193"/>
      <c r="AH256" s="194"/>
      <c r="AI256" s="194"/>
      <c r="AJ256" s="194"/>
      <c r="AK256" s="195"/>
      <c r="AL256" s="193"/>
      <c r="AM256" s="194"/>
      <c r="AN256" s="194"/>
      <c r="AO256" s="194"/>
      <c r="AP256" s="195"/>
      <c r="AQ256" s="193"/>
      <c r="AR256" s="194"/>
      <c r="AS256" s="194"/>
      <c r="AT256" s="194"/>
      <c r="AU256" s="195"/>
      <c r="AV256" s="193"/>
      <c r="AW256" s="194"/>
      <c r="AX256" s="194"/>
      <c r="AY256" s="194"/>
      <c r="AZ256" s="195"/>
      <c r="BA256" s="193"/>
      <c r="BB256" s="194"/>
      <c r="BC256" s="194"/>
      <c r="BD256" s="194"/>
      <c r="BE256" s="195"/>
      <c r="BF256" s="193">
        <f t="shared" si="59"/>
        <v>1794</v>
      </c>
      <c r="BG256" s="194">
        <f t="shared" si="53"/>
        <v>1311</v>
      </c>
      <c r="BH256" s="194">
        <f t="shared" si="54"/>
        <v>69</v>
      </c>
      <c r="BI256" s="194">
        <f t="shared" si="55"/>
        <v>0</v>
      </c>
      <c r="BJ256" s="195">
        <f t="shared" si="56"/>
        <v>3174</v>
      </c>
      <c r="BK256" s="193"/>
      <c r="BL256" s="194"/>
      <c r="BM256" s="194"/>
      <c r="BN256" s="194"/>
      <c r="BO256" s="195"/>
      <c r="BP256" s="193"/>
      <c r="BQ256" s="194"/>
      <c r="BR256" s="194"/>
      <c r="BS256" s="194"/>
      <c r="BT256" s="195"/>
      <c r="BU256" s="193">
        <v>1794</v>
      </c>
      <c r="BV256" s="194">
        <v>1311</v>
      </c>
      <c r="BW256" s="194">
        <v>69</v>
      </c>
      <c r="BX256" s="194"/>
      <c r="BY256" s="195">
        <v>3174</v>
      </c>
      <c r="BZ256" s="193"/>
      <c r="CA256" s="194"/>
      <c r="CB256" s="194"/>
      <c r="CC256" s="194"/>
      <c r="CD256" s="195"/>
      <c r="CE256" s="193"/>
      <c r="CF256" s="194"/>
      <c r="CG256" s="194"/>
      <c r="CH256" s="194"/>
      <c r="CI256" s="195"/>
    </row>
    <row r="257" spans="1:87">
      <c r="A257" s="186" t="s">
        <v>235</v>
      </c>
      <c r="B257" s="187" t="s">
        <v>26</v>
      </c>
      <c r="C257" s="188">
        <f t="shared" si="57"/>
        <v>3540</v>
      </c>
      <c r="D257" s="189">
        <f t="shared" si="45"/>
        <v>885</v>
      </c>
      <c r="E257" s="189">
        <f t="shared" si="46"/>
        <v>826</v>
      </c>
      <c r="F257" s="189">
        <f t="shared" si="47"/>
        <v>885</v>
      </c>
      <c r="G257" s="190">
        <f t="shared" si="48"/>
        <v>6136</v>
      </c>
      <c r="H257" s="188">
        <f t="shared" si="58"/>
        <v>2183</v>
      </c>
      <c r="I257" s="189">
        <f t="shared" si="49"/>
        <v>590</v>
      </c>
      <c r="J257" s="189">
        <f t="shared" si="50"/>
        <v>767</v>
      </c>
      <c r="K257" s="189">
        <f t="shared" si="51"/>
        <v>531</v>
      </c>
      <c r="L257" s="190">
        <f t="shared" si="52"/>
        <v>4071</v>
      </c>
      <c r="M257" s="188"/>
      <c r="N257" s="189"/>
      <c r="O257" s="189"/>
      <c r="P257" s="189"/>
      <c r="Q257" s="190"/>
      <c r="R257" s="188"/>
      <c r="S257" s="189"/>
      <c r="T257" s="189"/>
      <c r="U257" s="189"/>
      <c r="V257" s="190"/>
      <c r="W257" s="188"/>
      <c r="X257" s="189"/>
      <c r="Y257" s="189"/>
      <c r="Z257" s="189"/>
      <c r="AA257" s="190"/>
      <c r="AB257" s="188">
        <v>2124</v>
      </c>
      <c r="AC257" s="189">
        <v>472</v>
      </c>
      <c r="AD257" s="189">
        <v>708</v>
      </c>
      <c r="AE257" s="189">
        <v>531</v>
      </c>
      <c r="AF257" s="190">
        <v>3835</v>
      </c>
      <c r="AG257" s="188"/>
      <c r="AH257" s="189"/>
      <c r="AI257" s="189"/>
      <c r="AJ257" s="189"/>
      <c r="AK257" s="190"/>
      <c r="AL257" s="188"/>
      <c r="AM257" s="189"/>
      <c r="AN257" s="189"/>
      <c r="AO257" s="189"/>
      <c r="AP257" s="190"/>
      <c r="AQ257" s="188"/>
      <c r="AR257" s="189"/>
      <c r="AS257" s="189"/>
      <c r="AT257" s="189"/>
      <c r="AU257" s="190"/>
      <c r="AV257" s="188"/>
      <c r="AW257" s="189"/>
      <c r="AX257" s="189"/>
      <c r="AY257" s="189"/>
      <c r="AZ257" s="190"/>
      <c r="BA257" s="188">
        <v>59</v>
      </c>
      <c r="BB257" s="189">
        <v>118</v>
      </c>
      <c r="BC257" s="189">
        <v>59</v>
      </c>
      <c r="BD257" s="189"/>
      <c r="BE257" s="190">
        <v>236</v>
      </c>
      <c r="BF257" s="188">
        <f t="shared" si="59"/>
        <v>1357</v>
      </c>
      <c r="BG257" s="189">
        <f t="shared" si="53"/>
        <v>295</v>
      </c>
      <c r="BH257" s="189">
        <f t="shared" si="54"/>
        <v>59</v>
      </c>
      <c r="BI257" s="189">
        <f t="shared" si="55"/>
        <v>354</v>
      </c>
      <c r="BJ257" s="190">
        <f t="shared" si="56"/>
        <v>2065</v>
      </c>
      <c r="BK257" s="188"/>
      <c r="BL257" s="189"/>
      <c r="BM257" s="189"/>
      <c r="BN257" s="189"/>
      <c r="BO257" s="190"/>
      <c r="BP257" s="188">
        <v>1357</v>
      </c>
      <c r="BQ257" s="189">
        <v>295</v>
      </c>
      <c r="BR257" s="189">
        <v>59</v>
      </c>
      <c r="BS257" s="189">
        <v>354</v>
      </c>
      <c r="BT257" s="190">
        <v>2065</v>
      </c>
      <c r="BU257" s="188"/>
      <c r="BV257" s="189"/>
      <c r="BW257" s="189"/>
      <c r="BX257" s="189"/>
      <c r="BY257" s="190"/>
      <c r="BZ257" s="188"/>
      <c r="CA257" s="189"/>
      <c r="CB257" s="189"/>
      <c r="CC257" s="189"/>
      <c r="CD257" s="190"/>
      <c r="CE257" s="188"/>
      <c r="CF257" s="189"/>
      <c r="CG257" s="189"/>
      <c r="CH257" s="189"/>
      <c r="CI257" s="190"/>
    </row>
    <row r="258" s="163" customFormat="1" ht="14.6" spans="1:87">
      <c r="A258" s="191" t="s">
        <v>236</v>
      </c>
      <c r="B258" s="192"/>
      <c r="C258" s="193">
        <f t="shared" si="57"/>
        <v>3540</v>
      </c>
      <c r="D258" s="194">
        <f t="shared" si="45"/>
        <v>885</v>
      </c>
      <c r="E258" s="194">
        <f t="shared" si="46"/>
        <v>826</v>
      </c>
      <c r="F258" s="194">
        <f t="shared" si="47"/>
        <v>885</v>
      </c>
      <c r="G258" s="195">
        <f t="shared" si="48"/>
        <v>6136</v>
      </c>
      <c r="H258" s="193">
        <f t="shared" si="58"/>
        <v>2183</v>
      </c>
      <c r="I258" s="194">
        <f t="shared" si="49"/>
        <v>590</v>
      </c>
      <c r="J258" s="194">
        <f t="shared" si="50"/>
        <v>767</v>
      </c>
      <c r="K258" s="194">
        <f t="shared" si="51"/>
        <v>531</v>
      </c>
      <c r="L258" s="195">
        <f t="shared" si="52"/>
        <v>4071</v>
      </c>
      <c r="M258" s="193"/>
      <c r="N258" s="194"/>
      <c r="O258" s="194"/>
      <c r="P258" s="194"/>
      <c r="Q258" s="195"/>
      <c r="R258" s="193"/>
      <c r="S258" s="194"/>
      <c r="T258" s="194"/>
      <c r="U258" s="194"/>
      <c r="V258" s="195"/>
      <c r="W258" s="193"/>
      <c r="X258" s="194"/>
      <c r="Y258" s="194"/>
      <c r="Z258" s="194"/>
      <c r="AA258" s="195"/>
      <c r="AB258" s="193">
        <v>2124</v>
      </c>
      <c r="AC258" s="194">
        <v>472</v>
      </c>
      <c r="AD258" s="194">
        <v>708</v>
      </c>
      <c r="AE258" s="194">
        <v>531</v>
      </c>
      <c r="AF258" s="195">
        <v>3835</v>
      </c>
      <c r="AG258" s="193"/>
      <c r="AH258" s="194"/>
      <c r="AI258" s="194"/>
      <c r="AJ258" s="194"/>
      <c r="AK258" s="195"/>
      <c r="AL258" s="193"/>
      <c r="AM258" s="194"/>
      <c r="AN258" s="194"/>
      <c r="AO258" s="194"/>
      <c r="AP258" s="195"/>
      <c r="AQ258" s="193"/>
      <c r="AR258" s="194"/>
      <c r="AS258" s="194"/>
      <c r="AT258" s="194"/>
      <c r="AU258" s="195"/>
      <c r="AV258" s="193"/>
      <c r="AW258" s="194"/>
      <c r="AX258" s="194"/>
      <c r="AY258" s="194"/>
      <c r="AZ258" s="195"/>
      <c r="BA258" s="193">
        <v>59</v>
      </c>
      <c r="BB258" s="194">
        <v>118</v>
      </c>
      <c r="BC258" s="194">
        <v>59</v>
      </c>
      <c r="BD258" s="194"/>
      <c r="BE258" s="195">
        <v>236</v>
      </c>
      <c r="BF258" s="193">
        <f t="shared" si="59"/>
        <v>1357</v>
      </c>
      <c r="BG258" s="194">
        <f t="shared" si="53"/>
        <v>295</v>
      </c>
      <c r="BH258" s="194">
        <f t="shared" si="54"/>
        <v>59</v>
      </c>
      <c r="BI258" s="194">
        <f t="shared" si="55"/>
        <v>354</v>
      </c>
      <c r="BJ258" s="195">
        <f t="shared" si="56"/>
        <v>2065</v>
      </c>
      <c r="BK258" s="193"/>
      <c r="BL258" s="194"/>
      <c r="BM258" s="194"/>
      <c r="BN258" s="194"/>
      <c r="BO258" s="195"/>
      <c r="BP258" s="193">
        <v>1357</v>
      </c>
      <c r="BQ258" s="194">
        <v>295</v>
      </c>
      <c r="BR258" s="194">
        <v>59</v>
      </c>
      <c r="BS258" s="194">
        <v>354</v>
      </c>
      <c r="BT258" s="195">
        <v>2065</v>
      </c>
      <c r="BU258" s="193"/>
      <c r="BV258" s="194"/>
      <c r="BW258" s="194"/>
      <c r="BX258" s="194"/>
      <c r="BY258" s="195"/>
      <c r="BZ258" s="193"/>
      <c r="CA258" s="194"/>
      <c r="CB258" s="194"/>
      <c r="CC258" s="194"/>
      <c r="CD258" s="195"/>
      <c r="CE258" s="193"/>
      <c r="CF258" s="194"/>
      <c r="CG258" s="194"/>
      <c r="CH258" s="194"/>
      <c r="CI258" s="195"/>
    </row>
    <row r="259" spans="1:87">
      <c r="A259" s="186" t="s">
        <v>237</v>
      </c>
      <c r="B259" s="187" t="s">
        <v>26</v>
      </c>
      <c r="C259" s="188">
        <f t="shared" si="57"/>
        <v>2070</v>
      </c>
      <c r="D259" s="189">
        <f t="shared" ref="D259:D321" si="60">I259+BG259</f>
        <v>1725</v>
      </c>
      <c r="E259" s="189">
        <f t="shared" ref="E259:E321" si="61">J259+BH259</f>
        <v>1035</v>
      </c>
      <c r="F259" s="189">
        <f t="shared" ref="F259:F321" si="62">K259+BI259</f>
        <v>759</v>
      </c>
      <c r="G259" s="190">
        <f t="shared" ref="G259:G321" si="63">L259+BJ259</f>
        <v>5589</v>
      </c>
      <c r="H259" s="188">
        <f t="shared" si="58"/>
        <v>2070</v>
      </c>
      <c r="I259" s="189">
        <f t="shared" ref="I259:I321" si="64">N259+S259+X259+AC259+AH259+AM259+AR259+AW259+BB259</f>
        <v>1725</v>
      </c>
      <c r="J259" s="189">
        <f t="shared" ref="J259:J321" si="65">O259+T259+Y259+AD259+AI259+AN259+AS259+AX259+BC259</f>
        <v>1035</v>
      </c>
      <c r="K259" s="189">
        <f t="shared" ref="K259:K321" si="66">P259+U259+Z259+AE259+AJ259+AO259+AT259+AY259+BD259</f>
        <v>759</v>
      </c>
      <c r="L259" s="190">
        <f t="shared" ref="L259:L321" si="67">Q259+V259+AA259+AF259+AK259+AP259+AU259+AZ259+BE259</f>
        <v>5589</v>
      </c>
      <c r="M259" s="188"/>
      <c r="N259" s="189"/>
      <c r="O259" s="189"/>
      <c r="P259" s="189"/>
      <c r="Q259" s="190"/>
      <c r="R259" s="188"/>
      <c r="S259" s="189"/>
      <c r="T259" s="189"/>
      <c r="U259" s="189"/>
      <c r="V259" s="190"/>
      <c r="W259" s="188"/>
      <c r="X259" s="189"/>
      <c r="Y259" s="189"/>
      <c r="Z259" s="189"/>
      <c r="AA259" s="190"/>
      <c r="AB259" s="188">
        <v>897</v>
      </c>
      <c r="AC259" s="189">
        <v>552</v>
      </c>
      <c r="AD259" s="189"/>
      <c r="AE259" s="189"/>
      <c r="AF259" s="190">
        <v>1449</v>
      </c>
      <c r="AG259" s="188"/>
      <c r="AH259" s="189"/>
      <c r="AI259" s="189"/>
      <c r="AJ259" s="189"/>
      <c r="AK259" s="190"/>
      <c r="AL259" s="188"/>
      <c r="AM259" s="189"/>
      <c r="AN259" s="189"/>
      <c r="AO259" s="189"/>
      <c r="AP259" s="190"/>
      <c r="AQ259" s="188">
        <v>828</v>
      </c>
      <c r="AR259" s="189">
        <v>759</v>
      </c>
      <c r="AS259" s="189">
        <v>828</v>
      </c>
      <c r="AT259" s="189">
        <v>345</v>
      </c>
      <c r="AU259" s="190">
        <v>2760</v>
      </c>
      <c r="AV259" s="188"/>
      <c r="AW259" s="189"/>
      <c r="AX259" s="189">
        <v>69</v>
      </c>
      <c r="AY259" s="189">
        <v>207</v>
      </c>
      <c r="AZ259" s="190">
        <v>276</v>
      </c>
      <c r="BA259" s="188">
        <v>345</v>
      </c>
      <c r="BB259" s="189">
        <v>414</v>
      </c>
      <c r="BC259" s="189">
        <v>138</v>
      </c>
      <c r="BD259" s="189">
        <v>207</v>
      </c>
      <c r="BE259" s="190">
        <v>1104</v>
      </c>
      <c r="BF259" s="188">
        <f t="shared" si="59"/>
        <v>0</v>
      </c>
      <c r="BG259" s="189">
        <f t="shared" ref="BG259:BG321" si="68">BL259+BQ259+BV259+CA259+CF259</f>
        <v>0</v>
      </c>
      <c r="BH259" s="189">
        <f t="shared" ref="BH259:BH321" si="69">BM259+BR259+BW259+CB259+CG259</f>
        <v>0</v>
      </c>
      <c r="BI259" s="189">
        <f t="shared" ref="BI259:BI321" si="70">BN259+BS259+BX259+CC259+CH259</f>
        <v>0</v>
      </c>
      <c r="BJ259" s="190">
        <f t="shared" ref="BJ259:BJ321" si="71">BO259+BT259+BY259+CD259+CI259</f>
        <v>0</v>
      </c>
      <c r="BK259" s="188"/>
      <c r="BL259" s="189"/>
      <c r="BM259" s="189"/>
      <c r="BN259" s="189"/>
      <c r="BO259" s="190"/>
      <c r="BP259" s="188"/>
      <c r="BQ259" s="189"/>
      <c r="BR259" s="189"/>
      <c r="BS259" s="189"/>
      <c r="BT259" s="190"/>
      <c r="BU259" s="188"/>
      <c r="BV259" s="189"/>
      <c r="BW259" s="189"/>
      <c r="BX259" s="189"/>
      <c r="BY259" s="190"/>
      <c r="BZ259" s="188"/>
      <c r="CA259" s="189"/>
      <c r="CB259" s="189"/>
      <c r="CC259" s="189"/>
      <c r="CD259" s="190"/>
      <c r="CE259" s="188"/>
      <c r="CF259" s="189"/>
      <c r="CG259" s="189"/>
      <c r="CH259" s="189"/>
      <c r="CI259" s="190"/>
    </row>
    <row r="260" s="163" customFormat="1" ht="14.6" spans="1:87">
      <c r="A260" s="191" t="s">
        <v>238</v>
      </c>
      <c r="B260" s="192"/>
      <c r="C260" s="193">
        <f t="shared" ref="C260:C321" si="72">H260+BF260</f>
        <v>2070</v>
      </c>
      <c r="D260" s="194">
        <f t="shared" si="60"/>
        <v>1725</v>
      </c>
      <c r="E260" s="194">
        <f t="shared" si="61"/>
        <v>1035</v>
      </c>
      <c r="F260" s="194">
        <f t="shared" si="62"/>
        <v>759</v>
      </c>
      <c r="G260" s="195">
        <f t="shared" si="63"/>
        <v>5589</v>
      </c>
      <c r="H260" s="193">
        <f t="shared" ref="H260:H321" si="73">M260+R260+W260+AB260+AG260+AL260+AQ260+AV260+BA260</f>
        <v>2070</v>
      </c>
      <c r="I260" s="194">
        <f t="shared" si="64"/>
        <v>1725</v>
      </c>
      <c r="J260" s="194">
        <f t="shared" si="65"/>
        <v>1035</v>
      </c>
      <c r="K260" s="194">
        <f t="shared" si="66"/>
        <v>759</v>
      </c>
      <c r="L260" s="195">
        <f t="shared" si="67"/>
        <v>5589</v>
      </c>
      <c r="M260" s="193"/>
      <c r="N260" s="194"/>
      <c r="O260" s="194"/>
      <c r="P260" s="194"/>
      <c r="Q260" s="195"/>
      <c r="R260" s="193"/>
      <c r="S260" s="194"/>
      <c r="T260" s="194"/>
      <c r="U260" s="194"/>
      <c r="V260" s="195"/>
      <c r="W260" s="193"/>
      <c r="X260" s="194"/>
      <c r="Y260" s="194"/>
      <c r="Z260" s="194"/>
      <c r="AA260" s="195"/>
      <c r="AB260" s="193">
        <v>897</v>
      </c>
      <c r="AC260" s="194">
        <v>552</v>
      </c>
      <c r="AD260" s="194"/>
      <c r="AE260" s="194"/>
      <c r="AF260" s="195">
        <v>1449</v>
      </c>
      <c r="AG260" s="193"/>
      <c r="AH260" s="194"/>
      <c r="AI260" s="194"/>
      <c r="AJ260" s="194"/>
      <c r="AK260" s="195"/>
      <c r="AL260" s="193"/>
      <c r="AM260" s="194"/>
      <c r="AN260" s="194"/>
      <c r="AO260" s="194"/>
      <c r="AP260" s="195"/>
      <c r="AQ260" s="193">
        <v>828</v>
      </c>
      <c r="AR260" s="194">
        <v>759</v>
      </c>
      <c r="AS260" s="194">
        <v>828</v>
      </c>
      <c r="AT260" s="194">
        <v>345</v>
      </c>
      <c r="AU260" s="195">
        <v>2760</v>
      </c>
      <c r="AV260" s="193"/>
      <c r="AW260" s="194"/>
      <c r="AX260" s="194">
        <v>69</v>
      </c>
      <c r="AY260" s="194">
        <v>207</v>
      </c>
      <c r="AZ260" s="195">
        <v>276</v>
      </c>
      <c r="BA260" s="193">
        <v>345</v>
      </c>
      <c r="BB260" s="194">
        <v>414</v>
      </c>
      <c r="BC260" s="194">
        <v>138</v>
      </c>
      <c r="BD260" s="194">
        <v>207</v>
      </c>
      <c r="BE260" s="195">
        <v>1104</v>
      </c>
      <c r="BF260" s="193">
        <f t="shared" ref="BF260:BF321" si="74">BK260+BP260+BU260+BZ260+CE260</f>
        <v>0</v>
      </c>
      <c r="BG260" s="194">
        <f t="shared" si="68"/>
        <v>0</v>
      </c>
      <c r="BH260" s="194">
        <f t="shared" si="69"/>
        <v>0</v>
      </c>
      <c r="BI260" s="194">
        <f t="shared" si="70"/>
        <v>0</v>
      </c>
      <c r="BJ260" s="195">
        <f t="shared" si="71"/>
        <v>0</v>
      </c>
      <c r="BK260" s="193"/>
      <c r="BL260" s="194"/>
      <c r="BM260" s="194"/>
      <c r="BN260" s="194"/>
      <c r="BO260" s="195"/>
      <c r="BP260" s="193"/>
      <c r="BQ260" s="194"/>
      <c r="BR260" s="194"/>
      <c r="BS260" s="194"/>
      <c r="BT260" s="195"/>
      <c r="BU260" s="193"/>
      <c r="BV260" s="194"/>
      <c r="BW260" s="194"/>
      <c r="BX260" s="194"/>
      <c r="BY260" s="195"/>
      <c r="BZ260" s="193"/>
      <c r="CA260" s="194"/>
      <c r="CB260" s="194"/>
      <c r="CC260" s="194"/>
      <c r="CD260" s="195"/>
      <c r="CE260" s="193"/>
      <c r="CF260" s="194"/>
      <c r="CG260" s="194"/>
      <c r="CH260" s="194"/>
      <c r="CI260" s="195"/>
    </row>
    <row r="261" spans="1:87">
      <c r="A261" s="186" t="s">
        <v>239</v>
      </c>
      <c r="B261" s="187" t="s">
        <v>26</v>
      </c>
      <c r="C261" s="188">
        <f t="shared" si="72"/>
        <v>498</v>
      </c>
      <c r="D261" s="189">
        <f t="shared" si="60"/>
        <v>747</v>
      </c>
      <c r="E261" s="189">
        <f t="shared" si="61"/>
        <v>249</v>
      </c>
      <c r="F261" s="189">
        <f t="shared" si="62"/>
        <v>498</v>
      </c>
      <c r="G261" s="190">
        <f t="shared" si="63"/>
        <v>1992</v>
      </c>
      <c r="H261" s="188">
        <f t="shared" si="73"/>
        <v>498</v>
      </c>
      <c r="I261" s="189">
        <f t="shared" si="64"/>
        <v>747</v>
      </c>
      <c r="J261" s="189">
        <f t="shared" si="65"/>
        <v>249</v>
      </c>
      <c r="K261" s="189">
        <f t="shared" si="66"/>
        <v>498</v>
      </c>
      <c r="L261" s="190">
        <f t="shared" si="67"/>
        <v>1992</v>
      </c>
      <c r="M261" s="188"/>
      <c r="N261" s="189"/>
      <c r="O261" s="189"/>
      <c r="P261" s="189"/>
      <c r="Q261" s="190"/>
      <c r="R261" s="188">
        <v>498</v>
      </c>
      <c r="S261" s="189">
        <v>747</v>
      </c>
      <c r="T261" s="189">
        <v>249</v>
      </c>
      <c r="U261" s="189">
        <v>249</v>
      </c>
      <c r="V261" s="190">
        <v>1743</v>
      </c>
      <c r="W261" s="188"/>
      <c r="X261" s="189"/>
      <c r="Y261" s="189"/>
      <c r="Z261" s="189"/>
      <c r="AA261" s="190"/>
      <c r="AB261" s="188"/>
      <c r="AC261" s="189"/>
      <c r="AD261" s="189"/>
      <c r="AE261" s="189">
        <v>249</v>
      </c>
      <c r="AF261" s="190">
        <v>249</v>
      </c>
      <c r="AG261" s="188"/>
      <c r="AH261" s="189"/>
      <c r="AI261" s="189"/>
      <c r="AJ261" s="189"/>
      <c r="AK261" s="190"/>
      <c r="AL261" s="188"/>
      <c r="AM261" s="189"/>
      <c r="AN261" s="189"/>
      <c r="AO261" s="189"/>
      <c r="AP261" s="190"/>
      <c r="AQ261" s="188"/>
      <c r="AR261" s="189"/>
      <c r="AS261" s="189"/>
      <c r="AT261" s="189"/>
      <c r="AU261" s="190"/>
      <c r="AV261" s="188"/>
      <c r="AW261" s="189"/>
      <c r="AX261" s="189"/>
      <c r="AY261" s="189"/>
      <c r="AZ261" s="190"/>
      <c r="BA261" s="188"/>
      <c r="BB261" s="189"/>
      <c r="BC261" s="189"/>
      <c r="BD261" s="189"/>
      <c r="BE261" s="190"/>
      <c r="BF261" s="188">
        <f t="shared" si="74"/>
        <v>0</v>
      </c>
      <c r="BG261" s="189">
        <f t="shared" si="68"/>
        <v>0</v>
      </c>
      <c r="BH261" s="189">
        <f t="shared" si="69"/>
        <v>0</v>
      </c>
      <c r="BI261" s="189">
        <f t="shared" si="70"/>
        <v>0</v>
      </c>
      <c r="BJ261" s="190">
        <f t="shared" si="71"/>
        <v>0</v>
      </c>
      <c r="BK261" s="188"/>
      <c r="BL261" s="189"/>
      <c r="BM261" s="189"/>
      <c r="BN261" s="189"/>
      <c r="BO261" s="190"/>
      <c r="BP261" s="188"/>
      <c r="BQ261" s="189"/>
      <c r="BR261" s="189"/>
      <c r="BS261" s="189"/>
      <c r="BT261" s="190"/>
      <c r="BU261" s="188"/>
      <c r="BV261" s="189"/>
      <c r="BW261" s="189"/>
      <c r="BX261" s="189"/>
      <c r="BY261" s="190"/>
      <c r="BZ261" s="188"/>
      <c r="CA261" s="189"/>
      <c r="CB261" s="189"/>
      <c r="CC261" s="189"/>
      <c r="CD261" s="190"/>
      <c r="CE261" s="188"/>
      <c r="CF261" s="189"/>
      <c r="CG261" s="189"/>
      <c r="CH261" s="189"/>
      <c r="CI261" s="190"/>
    </row>
    <row r="262" spans="1:87">
      <c r="A262" s="186"/>
      <c r="B262" s="187" t="s">
        <v>27</v>
      </c>
      <c r="C262" s="188">
        <f t="shared" si="72"/>
        <v>1568</v>
      </c>
      <c r="D262" s="189">
        <f t="shared" si="60"/>
        <v>588</v>
      </c>
      <c r="E262" s="189">
        <f t="shared" si="61"/>
        <v>882</v>
      </c>
      <c r="F262" s="189">
        <f t="shared" si="62"/>
        <v>539</v>
      </c>
      <c r="G262" s="190">
        <f t="shared" si="63"/>
        <v>3577</v>
      </c>
      <c r="H262" s="188">
        <f t="shared" si="73"/>
        <v>1568</v>
      </c>
      <c r="I262" s="189">
        <f t="shared" si="64"/>
        <v>588</v>
      </c>
      <c r="J262" s="189">
        <f t="shared" si="65"/>
        <v>882</v>
      </c>
      <c r="K262" s="189">
        <f t="shared" si="66"/>
        <v>539</v>
      </c>
      <c r="L262" s="190">
        <f t="shared" si="67"/>
        <v>3577</v>
      </c>
      <c r="M262" s="188"/>
      <c r="N262" s="189"/>
      <c r="O262" s="189"/>
      <c r="P262" s="189"/>
      <c r="Q262" s="190"/>
      <c r="R262" s="188">
        <v>490</v>
      </c>
      <c r="S262" s="189"/>
      <c r="T262" s="189"/>
      <c r="U262" s="189"/>
      <c r="V262" s="190">
        <v>490</v>
      </c>
      <c r="W262" s="188"/>
      <c r="X262" s="189"/>
      <c r="Y262" s="189"/>
      <c r="Z262" s="189"/>
      <c r="AA262" s="190"/>
      <c r="AB262" s="188">
        <v>686</v>
      </c>
      <c r="AC262" s="189">
        <v>392</v>
      </c>
      <c r="AD262" s="189">
        <v>490</v>
      </c>
      <c r="AE262" s="189">
        <v>392</v>
      </c>
      <c r="AF262" s="190">
        <v>1960</v>
      </c>
      <c r="AG262" s="188"/>
      <c r="AH262" s="189"/>
      <c r="AI262" s="189"/>
      <c r="AJ262" s="189"/>
      <c r="AK262" s="190"/>
      <c r="AL262" s="188">
        <v>49</v>
      </c>
      <c r="AM262" s="189"/>
      <c r="AN262" s="189">
        <v>147</v>
      </c>
      <c r="AO262" s="189"/>
      <c r="AP262" s="190">
        <v>196</v>
      </c>
      <c r="AQ262" s="188">
        <v>343</v>
      </c>
      <c r="AR262" s="189">
        <v>196</v>
      </c>
      <c r="AS262" s="189">
        <v>245</v>
      </c>
      <c r="AT262" s="189">
        <v>147</v>
      </c>
      <c r="AU262" s="190">
        <v>931</v>
      </c>
      <c r="AV262" s="188"/>
      <c r="AW262" s="189"/>
      <c r="AX262" s="189"/>
      <c r="AY262" s="189"/>
      <c r="AZ262" s="190"/>
      <c r="BA262" s="188"/>
      <c r="BB262" s="189"/>
      <c r="BC262" s="189"/>
      <c r="BD262" s="189"/>
      <c r="BE262" s="190"/>
      <c r="BF262" s="188">
        <f t="shared" si="74"/>
        <v>0</v>
      </c>
      <c r="BG262" s="189">
        <f t="shared" si="68"/>
        <v>0</v>
      </c>
      <c r="BH262" s="189">
        <f t="shared" si="69"/>
        <v>0</v>
      </c>
      <c r="BI262" s="189">
        <f t="shared" si="70"/>
        <v>0</v>
      </c>
      <c r="BJ262" s="190">
        <f t="shared" si="71"/>
        <v>0</v>
      </c>
      <c r="BK262" s="188"/>
      <c r="BL262" s="189"/>
      <c r="BM262" s="189"/>
      <c r="BN262" s="189"/>
      <c r="BO262" s="190"/>
      <c r="BP262" s="188"/>
      <c r="BQ262" s="189"/>
      <c r="BR262" s="189"/>
      <c r="BS262" s="189"/>
      <c r="BT262" s="190"/>
      <c r="BU262" s="188"/>
      <c r="BV262" s="189"/>
      <c r="BW262" s="189"/>
      <c r="BX262" s="189"/>
      <c r="BY262" s="190"/>
      <c r="BZ262" s="188"/>
      <c r="CA262" s="189"/>
      <c r="CB262" s="189"/>
      <c r="CC262" s="189"/>
      <c r="CD262" s="190"/>
      <c r="CE262" s="188"/>
      <c r="CF262" s="189"/>
      <c r="CG262" s="189"/>
      <c r="CH262" s="189"/>
      <c r="CI262" s="190"/>
    </row>
    <row r="263" s="163" customFormat="1" ht="14.6" spans="1:87">
      <c r="A263" s="191" t="s">
        <v>240</v>
      </c>
      <c r="B263" s="192"/>
      <c r="C263" s="193">
        <f t="shared" si="72"/>
        <v>2066</v>
      </c>
      <c r="D263" s="194">
        <f t="shared" si="60"/>
        <v>1335</v>
      </c>
      <c r="E263" s="194">
        <f t="shared" si="61"/>
        <v>1131</v>
      </c>
      <c r="F263" s="194">
        <f t="shared" si="62"/>
        <v>1037</v>
      </c>
      <c r="G263" s="195">
        <f t="shared" si="63"/>
        <v>5569</v>
      </c>
      <c r="H263" s="193">
        <f t="shared" si="73"/>
        <v>2066</v>
      </c>
      <c r="I263" s="194">
        <f t="shared" si="64"/>
        <v>1335</v>
      </c>
      <c r="J263" s="194">
        <f t="shared" si="65"/>
        <v>1131</v>
      </c>
      <c r="K263" s="194">
        <f t="shared" si="66"/>
        <v>1037</v>
      </c>
      <c r="L263" s="195">
        <f t="shared" si="67"/>
        <v>5569</v>
      </c>
      <c r="M263" s="193"/>
      <c r="N263" s="194"/>
      <c r="O263" s="194"/>
      <c r="P263" s="194"/>
      <c r="Q263" s="195"/>
      <c r="R263" s="193">
        <v>988</v>
      </c>
      <c r="S263" s="194">
        <v>747</v>
      </c>
      <c r="T263" s="194">
        <v>249</v>
      </c>
      <c r="U263" s="194">
        <v>249</v>
      </c>
      <c r="V263" s="195">
        <v>2233</v>
      </c>
      <c r="W263" s="193"/>
      <c r="X263" s="194"/>
      <c r="Y263" s="194"/>
      <c r="Z263" s="194"/>
      <c r="AA263" s="195"/>
      <c r="AB263" s="193">
        <v>686</v>
      </c>
      <c r="AC263" s="194">
        <v>392</v>
      </c>
      <c r="AD263" s="194">
        <v>490</v>
      </c>
      <c r="AE263" s="194">
        <v>641</v>
      </c>
      <c r="AF263" s="195">
        <v>2209</v>
      </c>
      <c r="AG263" s="193"/>
      <c r="AH263" s="194"/>
      <c r="AI263" s="194"/>
      <c r="AJ263" s="194"/>
      <c r="AK263" s="195"/>
      <c r="AL263" s="193">
        <v>49</v>
      </c>
      <c r="AM263" s="194"/>
      <c r="AN263" s="194">
        <v>147</v>
      </c>
      <c r="AO263" s="194"/>
      <c r="AP263" s="195">
        <v>196</v>
      </c>
      <c r="AQ263" s="193">
        <v>343</v>
      </c>
      <c r="AR263" s="194">
        <v>196</v>
      </c>
      <c r="AS263" s="194">
        <v>245</v>
      </c>
      <c r="AT263" s="194">
        <v>147</v>
      </c>
      <c r="AU263" s="195">
        <v>931</v>
      </c>
      <c r="AV263" s="193"/>
      <c r="AW263" s="194"/>
      <c r="AX263" s="194"/>
      <c r="AY263" s="194"/>
      <c r="AZ263" s="195"/>
      <c r="BA263" s="193"/>
      <c r="BB263" s="194"/>
      <c r="BC263" s="194"/>
      <c r="BD263" s="194"/>
      <c r="BE263" s="195"/>
      <c r="BF263" s="193">
        <f t="shared" si="74"/>
        <v>0</v>
      </c>
      <c r="BG263" s="194">
        <f t="shared" si="68"/>
        <v>0</v>
      </c>
      <c r="BH263" s="194">
        <f t="shared" si="69"/>
        <v>0</v>
      </c>
      <c r="BI263" s="194">
        <f t="shared" si="70"/>
        <v>0</v>
      </c>
      <c r="BJ263" s="195">
        <f t="shared" si="71"/>
        <v>0</v>
      </c>
      <c r="BK263" s="193"/>
      <c r="BL263" s="194"/>
      <c r="BM263" s="194"/>
      <c r="BN263" s="194"/>
      <c r="BO263" s="195"/>
      <c r="BP263" s="193"/>
      <c r="BQ263" s="194"/>
      <c r="BR263" s="194"/>
      <c r="BS263" s="194"/>
      <c r="BT263" s="195"/>
      <c r="BU263" s="193"/>
      <c r="BV263" s="194"/>
      <c r="BW263" s="194"/>
      <c r="BX263" s="194"/>
      <c r="BY263" s="195"/>
      <c r="BZ263" s="193"/>
      <c r="CA263" s="194"/>
      <c r="CB263" s="194"/>
      <c r="CC263" s="194"/>
      <c r="CD263" s="195"/>
      <c r="CE263" s="193"/>
      <c r="CF263" s="194"/>
      <c r="CG263" s="194"/>
      <c r="CH263" s="194"/>
      <c r="CI263" s="195"/>
    </row>
    <row r="264" spans="1:87">
      <c r="A264" s="186" t="s">
        <v>241</v>
      </c>
      <c r="B264" s="187" t="s">
        <v>26</v>
      </c>
      <c r="C264" s="188">
        <f t="shared" si="72"/>
        <v>2596</v>
      </c>
      <c r="D264" s="189">
        <f t="shared" si="60"/>
        <v>0</v>
      </c>
      <c r="E264" s="189">
        <f t="shared" si="61"/>
        <v>2596</v>
      </c>
      <c r="F264" s="189">
        <f t="shared" si="62"/>
        <v>0</v>
      </c>
      <c r="G264" s="190">
        <f t="shared" si="63"/>
        <v>5192</v>
      </c>
      <c r="H264" s="188">
        <f t="shared" si="73"/>
        <v>1398</v>
      </c>
      <c r="I264" s="189">
        <f t="shared" si="64"/>
        <v>0</v>
      </c>
      <c r="J264" s="189">
        <f t="shared" si="65"/>
        <v>1997</v>
      </c>
      <c r="K264" s="189">
        <f t="shared" si="66"/>
        <v>0</v>
      </c>
      <c r="L264" s="190">
        <f t="shared" si="67"/>
        <v>3395</v>
      </c>
      <c r="M264" s="188"/>
      <c r="N264" s="189"/>
      <c r="O264" s="189"/>
      <c r="P264" s="189"/>
      <c r="Q264" s="190"/>
      <c r="R264" s="188"/>
      <c r="S264" s="189"/>
      <c r="T264" s="189"/>
      <c r="U264" s="189"/>
      <c r="V264" s="190"/>
      <c r="W264" s="188"/>
      <c r="X264" s="189"/>
      <c r="Y264" s="189"/>
      <c r="Z264" s="189"/>
      <c r="AA264" s="190"/>
      <c r="AB264" s="188">
        <v>699</v>
      </c>
      <c r="AC264" s="189"/>
      <c r="AD264" s="189">
        <v>1298</v>
      </c>
      <c r="AE264" s="189"/>
      <c r="AF264" s="190">
        <v>1997</v>
      </c>
      <c r="AG264" s="188"/>
      <c r="AH264" s="189"/>
      <c r="AI264" s="189"/>
      <c r="AJ264" s="189"/>
      <c r="AK264" s="190"/>
      <c r="AL264" s="188"/>
      <c r="AM264" s="189"/>
      <c r="AN264" s="189"/>
      <c r="AO264" s="189"/>
      <c r="AP264" s="190"/>
      <c r="AQ264" s="188"/>
      <c r="AR264" s="189"/>
      <c r="AS264" s="189"/>
      <c r="AT264" s="189"/>
      <c r="AU264" s="190"/>
      <c r="AV264" s="188">
        <v>699</v>
      </c>
      <c r="AW264" s="189"/>
      <c r="AX264" s="189">
        <v>699</v>
      </c>
      <c r="AY264" s="189"/>
      <c r="AZ264" s="190">
        <v>1398</v>
      </c>
      <c r="BA264" s="188"/>
      <c r="BB264" s="189"/>
      <c r="BC264" s="189"/>
      <c r="BD264" s="189"/>
      <c r="BE264" s="190"/>
      <c r="BF264" s="188">
        <f t="shared" si="74"/>
        <v>1198</v>
      </c>
      <c r="BG264" s="189">
        <f t="shared" si="68"/>
        <v>0</v>
      </c>
      <c r="BH264" s="189">
        <f t="shared" si="69"/>
        <v>599</v>
      </c>
      <c r="BI264" s="189">
        <f t="shared" si="70"/>
        <v>0</v>
      </c>
      <c r="BJ264" s="190">
        <f t="shared" si="71"/>
        <v>1797</v>
      </c>
      <c r="BK264" s="188"/>
      <c r="BL264" s="189"/>
      <c r="BM264" s="189"/>
      <c r="BN264" s="189"/>
      <c r="BO264" s="190"/>
      <c r="BP264" s="188">
        <v>599</v>
      </c>
      <c r="BQ264" s="189"/>
      <c r="BR264" s="189">
        <v>599</v>
      </c>
      <c r="BS264" s="189"/>
      <c r="BT264" s="190">
        <v>1198</v>
      </c>
      <c r="BU264" s="188">
        <v>599</v>
      </c>
      <c r="BV264" s="189"/>
      <c r="BW264" s="189"/>
      <c r="BX264" s="189"/>
      <c r="BY264" s="190">
        <v>599</v>
      </c>
      <c r="BZ264" s="188"/>
      <c r="CA264" s="189"/>
      <c r="CB264" s="189"/>
      <c r="CC264" s="189"/>
      <c r="CD264" s="190"/>
      <c r="CE264" s="188"/>
      <c r="CF264" s="189"/>
      <c r="CG264" s="189"/>
      <c r="CH264" s="189"/>
      <c r="CI264" s="190"/>
    </row>
    <row r="265" s="163" customFormat="1" ht="14.6" spans="1:87">
      <c r="A265" s="191" t="s">
        <v>242</v>
      </c>
      <c r="B265" s="192"/>
      <c r="C265" s="193">
        <f t="shared" si="72"/>
        <v>2596</v>
      </c>
      <c r="D265" s="194">
        <f t="shared" si="60"/>
        <v>0</v>
      </c>
      <c r="E265" s="194">
        <f t="shared" si="61"/>
        <v>2596</v>
      </c>
      <c r="F265" s="194">
        <f t="shared" si="62"/>
        <v>0</v>
      </c>
      <c r="G265" s="195">
        <f t="shared" si="63"/>
        <v>5192</v>
      </c>
      <c r="H265" s="193">
        <f t="shared" si="73"/>
        <v>1398</v>
      </c>
      <c r="I265" s="194">
        <f t="shared" si="64"/>
        <v>0</v>
      </c>
      <c r="J265" s="194">
        <f t="shared" si="65"/>
        <v>1997</v>
      </c>
      <c r="K265" s="194">
        <f t="shared" si="66"/>
        <v>0</v>
      </c>
      <c r="L265" s="195">
        <f t="shared" si="67"/>
        <v>3395</v>
      </c>
      <c r="M265" s="193"/>
      <c r="N265" s="194"/>
      <c r="O265" s="194"/>
      <c r="P265" s="194"/>
      <c r="Q265" s="195"/>
      <c r="R265" s="193"/>
      <c r="S265" s="194"/>
      <c r="T265" s="194"/>
      <c r="U265" s="194"/>
      <c r="V265" s="195"/>
      <c r="W265" s="193"/>
      <c r="X265" s="194"/>
      <c r="Y265" s="194"/>
      <c r="Z265" s="194"/>
      <c r="AA265" s="195"/>
      <c r="AB265" s="193">
        <v>699</v>
      </c>
      <c r="AC265" s="194"/>
      <c r="AD265" s="194">
        <v>1298</v>
      </c>
      <c r="AE265" s="194"/>
      <c r="AF265" s="195">
        <v>1997</v>
      </c>
      <c r="AG265" s="193"/>
      <c r="AH265" s="194"/>
      <c r="AI265" s="194"/>
      <c r="AJ265" s="194"/>
      <c r="AK265" s="195"/>
      <c r="AL265" s="193"/>
      <c r="AM265" s="194"/>
      <c r="AN265" s="194"/>
      <c r="AO265" s="194"/>
      <c r="AP265" s="195"/>
      <c r="AQ265" s="193"/>
      <c r="AR265" s="194"/>
      <c r="AS265" s="194"/>
      <c r="AT265" s="194"/>
      <c r="AU265" s="195"/>
      <c r="AV265" s="193">
        <v>699</v>
      </c>
      <c r="AW265" s="194"/>
      <c r="AX265" s="194">
        <v>699</v>
      </c>
      <c r="AY265" s="194"/>
      <c r="AZ265" s="195">
        <v>1398</v>
      </c>
      <c r="BA265" s="193"/>
      <c r="BB265" s="194"/>
      <c r="BC265" s="194"/>
      <c r="BD265" s="194"/>
      <c r="BE265" s="195"/>
      <c r="BF265" s="193">
        <f t="shared" si="74"/>
        <v>1198</v>
      </c>
      <c r="BG265" s="194">
        <f t="shared" si="68"/>
        <v>0</v>
      </c>
      <c r="BH265" s="194">
        <f t="shared" si="69"/>
        <v>599</v>
      </c>
      <c r="BI265" s="194">
        <f t="shared" si="70"/>
        <v>0</v>
      </c>
      <c r="BJ265" s="195">
        <f t="shared" si="71"/>
        <v>1797</v>
      </c>
      <c r="BK265" s="193"/>
      <c r="BL265" s="194"/>
      <c r="BM265" s="194"/>
      <c r="BN265" s="194"/>
      <c r="BO265" s="195"/>
      <c r="BP265" s="193">
        <v>599</v>
      </c>
      <c r="BQ265" s="194"/>
      <c r="BR265" s="194">
        <v>599</v>
      </c>
      <c r="BS265" s="194"/>
      <c r="BT265" s="195">
        <v>1198</v>
      </c>
      <c r="BU265" s="193">
        <v>599</v>
      </c>
      <c r="BV265" s="194"/>
      <c r="BW265" s="194"/>
      <c r="BX265" s="194"/>
      <c r="BY265" s="195">
        <v>599</v>
      </c>
      <c r="BZ265" s="193"/>
      <c r="CA265" s="194"/>
      <c r="CB265" s="194"/>
      <c r="CC265" s="194"/>
      <c r="CD265" s="195"/>
      <c r="CE265" s="193"/>
      <c r="CF265" s="194"/>
      <c r="CG265" s="194"/>
      <c r="CH265" s="194"/>
      <c r="CI265" s="195"/>
    </row>
    <row r="266" spans="1:87">
      <c r="A266" s="186" t="s">
        <v>243</v>
      </c>
      <c r="B266" s="187" t="s">
        <v>26</v>
      </c>
      <c r="C266" s="188">
        <f t="shared" si="72"/>
        <v>1587</v>
      </c>
      <c r="D266" s="189">
        <f t="shared" si="60"/>
        <v>2484</v>
      </c>
      <c r="E266" s="189">
        <f t="shared" si="61"/>
        <v>345</v>
      </c>
      <c r="F266" s="189">
        <f t="shared" si="62"/>
        <v>483</v>
      </c>
      <c r="G266" s="190">
        <f t="shared" si="63"/>
        <v>4899</v>
      </c>
      <c r="H266" s="188">
        <f t="shared" si="73"/>
        <v>1587</v>
      </c>
      <c r="I266" s="189">
        <f t="shared" si="64"/>
        <v>2484</v>
      </c>
      <c r="J266" s="189">
        <f t="shared" si="65"/>
        <v>345</v>
      </c>
      <c r="K266" s="189">
        <f t="shared" si="66"/>
        <v>345</v>
      </c>
      <c r="L266" s="190">
        <f t="shared" si="67"/>
        <v>4761</v>
      </c>
      <c r="M266" s="188"/>
      <c r="N266" s="189"/>
      <c r="O266" s="189"/>
      <c r="P266" s="189"/>
      <c r="Q266" s="190"/>
      <c r="R266" s="188">
        <v>69</v>
      </c>
      <c r="S266" s="189">
        <v>207</v>
      </c>
      <c r="T266" s="189">
        <v>69</v>
      </c>
      <c r="U266" s="189"/>
      <c r="V266" s="190">
        <v>345</v>
      </c>
      <c r="W266" s="188"/>
      <c r="X266" s="189"/>
      <c r="Y266" s="189"/>
      <c r="Z266" s="189"/>
      <c r="AA266" s="190"/>
      <c r="AB266" s="188">
        <v>276</v>
      </c>
      <c r="AC266" s="189">
        <v>1311</v>
      </c>
      <c r="AD266" s="189">
        <v>69</v>
      </c>
      <c r="AE266" s="189"/>
      <c r="AF266" s="190">
        <v>1656</v>
      </c>
      <c r="AG266" s="188"/>
      <c r="AH266" s="189"/>
      <c r="AI266" s="189"/>
      <c r="AJ266" s="189"/>
      <c r="AK266" s="190"/>
      <c r="AL266" s="188"/>
      <c r="AM266" s="189"/>
      <c r="AN266" s="189"/>
      <c r="AO266" s="189"/>
      <c r="AP266" s="190"/>
      <c r="AQ266" s="188">
        <v>483</v>
      </c>
      <c r="AR266" s="189">
        <v>69</v>
      </c>
      <c r="AS266" s="189"/>
      <c r="AT266" s="189"/>
      <c r="AU266" s="190">
        <v>552</v>
      </c>
      <c r="AV266" s="188">
        <v>69</v>
      </c>
      <c r="AW266" s="189">
        <v>69</v>
      </c>
      <c r="AX266" s="189">
        <v>69</v>
      </c>
      <c r="AY266" s="189">
        <v>345</v>
      </c>
      <c r="AZ266" s="190">
        <v>552</v>
      </c>
      <c r="BA266" s="188">
        <v>690</v>
      </c>
      <c r="BB266" s="189">
        <v>828</v>
      </c>
      <c r="BC266" s="189">
        <v>138</v>
      </c>
      <c r="BD266" s="189"/>
      <c r="BE266" s="190">
        <v>1656</v>
      </c>
      <c r="BF266" s="188">
        <f t="shared" si="74"/>
        <v>0</v>
      </c>
      <c r="BG266" s="189">
        <f t="shared" si="68"/>
        <v>0</v>
      </c>
      <c r="BH266" s="189">
        <f t="shared" si="69"/>
        <v>0</v>
      </c>
      <c r="BI266" s="189">
        <f t="shared" si="70"/>
        <v>138</v>
      </c>
      <c r="BJ266" s="190">
        <f t="shared" si="71"/>
        <v>138</v>
      </c>
      <c r="BK266" s="188"/>
      <c r="BL266" s="189"/>
      <c r="BM266" s="189"/>
      <c r="BN266" s="189"/>
      <c r="BO266" s="190"/>
      <c r="BP266" s="188"/>
      <c r="BQ266" s="189"/>
      <c r="BR266" s="189"/>
      <c r="BS266" s="189"/>
      <c r="BT266" s="190"/>
      <c r="BU266" s="188"/>
      <c r="BV266" s="189"/>
      <c r="BW266" s="189"/>
      <c r="BX266" s="189">
        <v>138</v>
      </c>
      <c r="BY266" s="190">
        <v>138</v>
      </c>
      <c r="BZ266" s="188"/>
      <c r="CA266" s="189"/>
      <c r="CB266" s="189"/>
      <c r="CC266" s="189"/>
      <c r="CD266" s="190"/>
      <c r="CE266" s="188"/>
      <c r="CF266" s="189"/>
      <c r="CG266" s="189"/>
      <c r="CH266" s="189"/>
      <c r="CI266" s="190"/>
    </row>
    <row r="267" s="163" customFormat="1" ht="14.6" spans="1:87">
      <c r="A267" s="191" t="s">
        <v>244</v>
      </c>
      <c r="B267" s="192"/>
      <c r="C267" s="193">
        <f t="shared" si="72"/>
        <v>1587</v>
      </c>
      <c r="D267" s="194">
        <f t="shared" si="60"/>
        <v>2484</v>
      </c>
      <c r="E267" s="194">
        <f t="shared" si="61"/>
        <v>345</v>
      </c>
      <c r="F267" s="194">
        <f t="shared" si="62"/>
        <v>483</v>
      </c>
      <c r="G267" s="195">
        <f t="shared" si="63"/>
        <v>4899</v>
      </c>
      <c r="H267" s="193">
        <f t="shared" si="73"/>
        <v>1587</v>
      </c>
      <c r="I267" s="194">
        <f t="shared" si="64"/>
        <v>2484</v>
      </c>
      <c r="J267" s="194">
        <f t="shared" si="65"/>
        <v>345</v>
      </c>
      <c r="K267" s="194">
        <f t="shared" si="66"/>
        <v>345</v>
      </c>
      <c r="L267" s="195">
        <f t="shared" si="67"/>
        <v>4761</v>
      </c>
      <c r="M267" s="193"/>
      <c r="N267" s="194"/>
      <c r="O267" s="194"/>
      <c r="P267" s="194"/>
      <c r="Q267" s="195"/>
      <c r="R267" s="193">
        <v>69</v>
      </c>
      <c r="S267" s="194">
        <v>207</v>
      </c>
      <c r="T267" s="194">
        <v>69</v>
      </c>
      <c r="U267" s="194"/>
      <c r="V267" s="195">
        <v>345</v>
      </c>
      <c r="W267" s="193"/>
      <c r="X267" s="194"/>
      <c r="Y267" s="194"/>
      <c r="Z267" s="194"/>
      <c r="AA267" s="195"/>
      <c r="AB267" s="193">
        <v>276</v>
      </c>
      <c r="AC267" s="194">
        <v>1311</v>
      </c>
      <c r="AD267" s="194">
        <v>69</v>
      </c>
      <c r="AE267" s="194"/>
      <c r="AF267" s="195">
        <v>1656</v>
      </c>
      <c r="AG267" s="193"/>
      <c r="AH267" s="194"/>
      <c r="AI267" s="194"/>
      <c r="AJ267" s="194"/>
      <c r="AK267" s="195"/>
      <c r="AL267" s="193"/>
      <c r="AM267" s="194"/>
      <c r="AN267" s="194"/>
      <c r="AO267" s="194"/>
      <c r="AP267" s="195"/>
      <c r="AQ267" s="193">
        <v>483</v>
      </c>
      <c r="AR267" s="194">
        <v>69</v>
      </c>
      <c r="AS267" s="194"/>
      <c r="AT267" s="194"/>
      <c r="AU267" s="195">
        <v>552</v>
      </c>
      <c r="AV267" s="193">
        <v>69</v>
      </c>
      <c r="AW267" s="194">
        <v>69</v>
      </c>
      <c r="AX267" s="194">
        <v>69</v>
      </c>
      <c r="AY267" s="194">
        <v>345</v>
      </c>
      <c r="AZ267" s="195">
        <v>552</v>
      </c>
      <c r="BA267" s="193">
        <v>690</v>
      </c>
      <c r="BB267" s="194">
        <v>828</v>
      </c>
      <c r="BC267" s="194">
        <v>138</v>
      </c>
      <c r="BD267" s="194"/>
      <c r="BE267" s="195">
        <v>1656</v>
      </c>
      <c r="BF267" s="193">
        <f t="shared" si="74"/>
        <v>0</v>
      </c>
      <c r="BG267" s="194">
        <f t="shared" si="68"/>
        <v>0</v>
      </c>
      <c r="BH267" s="194">
        <f t="shared" si="69"/>
        <v>0</v>
      </c>
      <c r="BI267" s="194">
        <f t="shared" si="70"/>
        <v>138</v>
      </c>
      <c r="BJ267" s="195">
        <f t="shared" si="71"/>
        <v>138</v>
      </c>
      <c r="BK267" s="193"/>
      <c r="BL267" s="194"/>
      <c r="BM267" s="194"/>
      <c r="BN267" s="194"/>
      <c r="BO267" s="195"/>
      <c r="BP267" s="193"/>
      <c r="BQ267" s="194"/>
      <c r="BR267" s="194"/>
      <c r="BS267" s="194"/>
      <c r="BT267" s="195"/>
      <c r="BU267" s="193"/>
      <c r="BV267" s="194"/>
      <c r="BW267" s="194"/>
      <c r="BX267" s="194">
        <v>138</v>
      </c>
      <c r="BY267" s="195">
        <v>138</v>
      </c>
      <c r="BZ267" s="193"/>
      <c r="CA267" s="194"/>
      <c r="CB267" s="194"/>
      <c r="CC267" s="194"/>
      <c r="CD267" s="195"/>
      <c r="CE267" s="193"/>
      <c r="CF267" s="194"/>
      <c r="CG267" s="194"/>
      <c r="CH267" s="194"/>
      <c r="CI267" s="195"/>
    </row>
    <row r="268" spans="1:87">
      <c r="A268" s="186" t="s">
        <v>245</v>
      </c>
      <c r="B268" s="187" t="s">
        <v>26</v>
      </c>
      <c r="C268" s="188">
        <f t="shared" si="72"/>
        <v>1518</v>
      </c>
      <c r="D268" s="189">
        <f t="shared" si="60"/>
        <v>2829</v>
      </c>
      <c r="E268" s="189">
        <f t="shared" si="61"/>
        <v>69</v>
      </c>
      <c r="F268" s="189">
        <f t="shared" si="62"/>
        <v>276</v>
      </c>
      <c r="G268" s="190">
        <f t="shared" si="63"/>
        <v>4692</v>
      </c>
      <c r="H268" s="188">
        <f t="shared" si="73"/>
        <v>1518</v>
      </c>
      <c r="I268" s="189">
        <f t="shared" si="64"/>
        <v>2829</v>
      </c>
      <c r="J268" s="189">
        <f t="shared" si="65"/>
        <v>69</v>
      </c>
      <c r="K268" s="189">
        <f t="shared" si="66"/>
        <v>276</v>
      </c>
      <c r="L268" s="190">
        <f t="shared" si="67"/>
        <v>4692</v>
      </c>
      <c r="M268" s="188">
        <v>138</v>
      </c>
      <c r="N268" s="189"/>
      <c r="O268" s="189"/>
      <c r="P268" s="189"/>
      <c r="Q268" s="190">
        <v>138</v>
      </c>
      <c r="R268" s="188"/>
      <c r="S268" s="189"/>
      <c r="T268" s="189"/>
      <c r="U268" s="189"/>
      <c r="V268" s="190"/>
      <c r="W268" s="188"/>
      <c r="X268" s="189"/>
      <c r="Y268" s="189"/>
      <c r="Z268" s="189"/>
      <c r="AA268" s="190"/>
      <c r="AB268" s="188">
        <v>345</v>
      </c>
      <c r="AC268" s="189">
        <v>2346</v>
      </c>
      <c r="AD268" s="189">
        <v>69</v>
      </c>
      <c r="AE268" s="189">
        <v>69</v>
      </c>
      <c r="AF268" s="190">
        <v>2829</v>
      </c>
      <c r="AG268" s="188"/>
      <c r="AH268" s="189"/>
      <c r="AI268" s="189"/>
      <c r="AJ268" s="189"/>
      <c r="AK268" s="190"/>
      <c r="AL268" s="188"/>
      <c r="AM268" s="189"/>
      <c r="AN268" s="189"/>
      <c r="AO268" s="189"/>
      <c r="AP268" s="190"/>
      <c r="AQ268" s="188">
        <v>1035</v>
      </c>
      <c r="AR268" s="189">
        <v>483</v>
      </c>
      <c r="AS268" s="189"/>
      <c r="AT268" s="189">
        <v>207</v>
      </c>
      <c r="AU268" s="190">
        <v>1725</v>
      </c>
      <c r="AV268" s="188"/>
      <c r="AW268" s="189"/>
      <c r="AX268" s="189"/>
      <c r="AY268" s="189"/>
      <c r="AZ268" s="190"/>
      <c r="BA268" s="188"/>
      <c r="BB268" s="189"/>
      <c r="BC268" s="189"/>
      <c r="BD268" s="189"/>
      <c r="BE268" s="190"/>
      <c r="BF268" s="188">
        <f t="shared" si="74"/>
        <v>0</v>
      </c>
      <c r="BG268" s="189">
        <f t="shared" si="68"/>
        <v>0</v>
      </c>
      <c r="BH268" s="189">
        <f t="shared" si="69"/>
        <v>0</v>
      </c>
      <c r="BI268" s="189">
        <f t="shared" si="70"/>
        <v>0</v>
      </c>
      <c r="BJ268" s="190">
        <f t="shared" si="71"/>
        <v>0</v>
      </c>
      <c r="BK268" s="188"/>
      <c r="BL268" s="189"/>
      <c r="BM268" s="189"/>
      <c r="BN268" s="189"/>
      <c r="BO268" s="190"/>
      <c r="BP268" s="188"/>
      <c r="BQ268" s="189"/>
      <c r="BR268" s="189"/>
      <c r="BS268" s="189"/>
      <c r="BT268" s="190"/>
      <c r="BU268" s="188"/>
      <c r="BV268" s="189"/>
      <c r="BW268" s="189"/>
      <c r="BX268" s="189"/>
      <c r="BY268" s="190"/>
      <c r="BZ268" s="188"/>
      <c r="CA268" s="189"/>
      <c r="CB268" s="189"/>
      <c r="CC268" s="189"/>
      <c r="CD268" s="190"/>
      <c r="CE268" s="188"/>
      <c r="CF268" s="189"/>
      <c r="CG268" s="189"/>
      <c r="CH268" s="189"/>
      <c r="CI268" s="190"/>
    </row>
    <row r="269" s="163" customFormat="1" ht="14.6" spans="1:87">
      <c r="A269" s="191" t="s">
        <v>246</v>
      </c>
      <c r="B269" s="192"/>
      <c r="C269" s="193">
        <f t="shared" si="72"/>
        <v>1518</v>
      </c>
      <c r="D269" s="194">
        <f t="shared" si="60"/>
        <v>2829</v>
      </c>
      <c r="E269" s="194">
        <f t="shared" si="61"/>
        <v>69</v>
      </c>
      <c r="F269" s="194">
        <f t="shared" si="62"/>
        <v>276</v>
      </c>
      <c r="G269" s="195">
        <f t="shared" si="63"/>
        <v>4692</v>
      </c>
      <c r="H269" s="193">
        <f t="shared" si="73"/>
        <v>1518</v>
      </c>
      <c r="I269" s="194">
        <f t="shared" si="64"/>
        <v>2829</v>
      </c>
      <c r="J269" s="194">
        <f t="shared" si="65"/>
        <v>69</v>
      </c>
      <c r="K269" s="194">
        <f t="shared" si="66"/>
        <v>276</v>
      </c>
      <c r="L269" s="195">
        <f t="shared" si="67"/>
        <v>4692</v>
      </c>
      <c r="M269" s="193">
        <v>138</v>
      </c>
      <c r="N269" s="194"/>
      <c r="O269" s="194"/>
      <c r="P269" s="194"/>
      <c r="Q269" s="195">
        <v>138</v>
      </c>
      <c r="R269" s="193"/>
      <c r="S269" s="194"/>
      <c r="T269" s="194"/>
      <c r="U269" s="194"/>
      <c r="V269" s="195"/>
      <c r="W269" s="193"/>
      <c r="X269" s="194"/>
      <c r="Y269" s="194"/>
      <c r="Z269" s="194"/>
      <c r="AA269" s="195"/>
      <c r="AB269" s="193">
        <v>345</v>
      </c>
      <c r="AC269" s="194">
        <v>2346</v>
      </c>
      <c r="AD269" s="194">
        <v>69</v>
      </c>
      <c r="AE269" s="194">
        <v>69</v>
      </c>
      <c r="AF269" s="195">
        <v>2829</v>
      </c>
      <c r="AG269" s="193"/>
      <c r="AH269" s="194"/>
      <c r="AI269" s="194"/>
      <c r="AJ269" s="194"/>
      <c r="AK269" s="195"/>
      <c r="AL269" s="193"/>
      <c r="AM269" s="194"/>
      <c r="AN269" s="194"/>
      <c r="AO269" s="194"/>
      <c r="AP269" s="195"/>
      <c r="AQ269" s="193">
        <v>1035</v>
      </c>
      <c r="AR269" s="194">
        <v>483</v>
      </c>
      <c r="AS269" s="194"/>
      <c r="AT269" s="194">
        <v>207</v>
      </c>
      <c r="AU269" s="195">
        <v>1725</v>
      </c>
      <c r="AV269" s="193"/>
      <c r="AW269" s="194"/>
      <c r="AX269" s="194"/>
      <c r="AY269" s="194"/>
      <c r="AZ269" s="195"/>
      <c r="BA269" s="193"/>
      <c r="BB269" s="194"/>
      <c r="BC269" s="194"/>
      <c r="BD269" s="194"/>
      <c r="BE269" s="195"/>
      <c r="BF269" s="193">
        <f t="shared" si="74"/>
        <v>0</v>
      </c>
      <c r="BG269" s="194">
        <f t="shared" si="68"/>
        <v>0</v>
      </c>
      <c r="BH269" s="194">
        <f t="shared" si="69"/>
        <v>0</v>
      </c>
      <c r="BI269" s="194">
        <f t="shared" si="70"/>
        <v>0</v>
      </c>
      <c r="BJ269" s="195">
        <f t="shared" si="71"/>
        <v>0</v>
      </c>
      <c r="BK269" s="193"/>
      <c r="BL269" s="194"/>
      <c r="BM269" s="194"/>
      <c r="BN269" s="194"/>
      <c r="BO269" s="195"/>
      <c r="BP269" s="193"/>
      <c r="BQ269" s="194"/>
      <c r="BR269" s="194"/>
      <c r="BS269" s="194"/>
      <c r="BT269" s="195"/>
      <c r="BU269" s="193"/>
      <c r="BV269" s="194"/>
      <c r="BW269" s="194"/>
      <c r="BX269" s="194"/>
      <c r="BY269" s="195"/>
      <c r="BZ269" s="193"/>
      <c r="CA269" s="194"/>
      <c r="CB269" s="194"/>
      <c r="CC269" s="194"/>
      <c r="CD269" s="195"/>
      <c r="CE269" s="193"/>
      <c r="CF269" s="194"/>
      <c r="CG269" s="194"/>
      <c r="CH269" s="194"/>
      <c r="CI269" s="195"/>
    </row>
    <row r="270" spans="1:87">
      <c r="A270" s="186" t="s">
        <v>247</v>
      </c>
      <c r="B270" s="187" t="s">
        <v>26</v>
      </c>
      <c r="C270" s="188">
        <f t="shared" si="72"/>
        <v>759</v>
      </c>
      <c r="D270" s="189">
        <f t="shared" si="60"/>
        <v>966</v>
      </c>
      <c r="E270" s="189">
        <f t="shared" si="61"/>
        <v>2208</v>
      </c>
      <c r="F270" s="189">
        <f t="shared" si="62"/>
        <v>759</v>
      </c>
      <c r="G270" s="190">
        <f t="shared" si="63"/>
        <v>4692</v>
      </c>
      <c r="H270" s="188">
        <f t="shared" si="73"/>
        <v>759</v>
      </c>
      <c r="I270" s="189">
        <f t="shared" si="64"/>
        <v>966</v>
      </c>
      <c r="J270" s="189">
        <f t="shared" si="65"/>
        <v>2208</v>
      </c>
      <c r="K270" s="189">
        <f t="shared" si="66"/>
        <v>759</v>
      </c>
      <c r="L270" s="190">
        <f t="shared" si="67"/>
        <v>4692</v>
      </c>
      <c r="M270" s="188"/>
      <c r="N270" s="189"/>
      <c r="O270" s="189"/>
      <c r="P270" s="189"/>
      <c r="Q270" s="190"/>
      <c r="R270" s="188"/>
      <c r="S270" s="189"/>
      <c r="T270" s="189"/>
      <c r="U270" s="189"/>
      <c r="V270" s="190"/>
      <c r="W270" s="188"/>
      <c r="X270" s="189"/>
      <c r="Y270" s="189"/>
      <c r="Z270" s="189"/>
      <c r="AA270" s="190"/>
      <c r="AB270" s="188">
        <v>690</v>
      </c>
      <c r="AC270" s="189">
        <v>828</v>
      </c>
      <c r="AD270" s="189">
        <v>966</v>
      </c>
      <c r="AE270" s="189">
        <v>345</v>
      </c>
      <c r="AF270" s="190">
        <v>2829</v>
      </c>
      <c r="AG270" s="188"/>
      <c r="AH270" s="189"/>
      <c r="AI270" s="189"/>
      <c r="AJ270" s="189"/>
      <c r="AK270" s="190"/>
      <c r="AL270" s="188"/>
      <c r="AM270" s="189"/>
      <c r="AN270" s="189"/>
      <c r="AO270" s="189"/>
      <c r="AP270" s="190"/>
      <c r="AQ270" s="188"/>
      <c r="AR270" s="189"/>
      <c r="AS270" s="189"/>
      <c r="AT270" s="189"/>
      <c r="AU270" s="190"/>
      <c r="AV270" s="188"/>
      <c r="AW270" s="189">
        <v>138</v>
      </c>
      <c r="AX270" s="189"/>
      <c r="AY270" s="189">
        <v>69</v>
      </c>
      <c r="AZ270" s="190">
        <v>207</v>
      </c>
      <c r="BA270" s="188">
        <v>69</v>
      </c>
      <c r="BB270" s="189"/>
      <c r="BC270" s="189">
        <v>1242</v>
      </c>
      <c r="BD270" s="189">
        <v>345</v>
      </c>
      <c r="BE270" s="190">
        <v>1656</v>
      </c>
      <c r="BF270" s="188">
        <f t="shared" si="74"/>
        <v>0</v>
      </c>
      <c r="BG270" s="189">
        <f t="shared" si="68"/>
        <v>0</v>
      </c>
      <c r="BH270" s="189">
        <f t="shared" si="69"/>
        <v>0</v>
      </c>
      <c r="BI270" s="189">
        <f t="shared" si="70"/>
        <v>0</v>
      </c>
      <c r="BJ270" s="190">
        <f t="shared" si="71"/>
        <v>0</v>
      </c>
      <c r="BK270" s="188"/>
      <c r="BL270" s="189"/>
      <c r="BM270" s="189"/>
      <c r="BN270" s="189"/>
      <c r="BO270" s="190"/>
      <c r="BP270" s="188"/>
      <c r="BQ270" s="189"/>
      <c r="BR270" s="189"/>
      <c r="BS270" s="189"/>
      <c r="BT270" s="190"/>
      <c r="BU270" s="188"/>
      <c r="BV270" s="189"/>
      <c r="BW270" s="189"/>
      <c r="BX270" s="189"/>
      <c r="BY270" s="190"/>
      <c r="BZ270" s="188"/>
      <c r="CA270" s="189"/>
      <c r="CB270" s="189"/>
      <c r="CC270" s="189"/>
      <c r="CD270" s="190"/>
      <c r="CE270" s="188"/>
      <c r="CF270" s="189"/>
      <c r="CG270" s="189"/>
      <c r="CH270" s="189"/>
      <c r="CI270" s="190"/>
    </row>
    <row r="271" s="163" customFormat="1" ht="14.6" spans="1:87">
      <c r="A271" s="191" t="s">
        <v>248</v>
      </c>
      <c r="B271" s="192"/>
      <c r="C271" s="193">
        <f t="shared" si="72"/>
        <v>759</v>
      </c>
      <c r="D271" s="194">
        <f t="shared" si="60"/>
        <v>966</v>
      </c>
      <c r="E271" s="194">
        <f t="shared" si="61"/>
        <v>2208</v>
      </c>
      <c r="F271" s="194">
        <f t="shared" si="62"/>
        <v>759</v>
      </c>
      <c r="G271" s="195">
        <f t="shared" si="63"/>
        <v>4692</v>
      </c>
      <c r="H271" s="193">
        <f t="shared" si="73"/>
        <v>759</v>
      </c>
      <c r="I271" s="194">
        <f t="shared" si="64"/>
        <v>966</v>
      </c>
      <c r="J271" s="194">
        <f t="shared" si="65"/>
        <v>2208</v>
      </c>
      <c r="K271" s="194">
        <f t="shared" si="66"/>
        <v>759</v>
      </c>
      <c r="L271" s="195">
        <f t="shared" si="67"/>
        <v>4692</v>
      </c>
      <c r="M271" s="193"/>
      <c r="N271" s="194"/>
      <c r="O271" s="194"/>
      <c r="P271" s="194"/>
      <c r="Q271" s="195"/>
      <c r="R271" s="193"/>
      <c r="S271" s="194"/>
      <c r="T271" s="194"/>
      <c r="U271" s="194"/>
      <c r="V271" s="195"/>
      <c r="W271" s="193"/>
      <c r="X271" s="194"/>
      <c r="Y271" s="194"/>
      <c r="Z271" s="194"/>
      <c r="AA271" s="195"/>
      <c r="AB271" s="193">
        <v>690</v>
      </c>
      <c r="AC271" s="194">
        <v>828</v>
      </c>
      <c r="AD271" s="194">
        <v>966</v>
      </c>
      <c r="AE271" s="194">
        <v>345</v>
      </c>
      <c r="AF271" s="195">
        <v>2829</v>
      </c>
      <c r="AG271" s="193"/>
      <c r="AH271" s="194"/>
      <c r="AI271" s="194"/>
      <c r="AJ271" s="194"/>
      <c r="AK271" s="195"/>
      <c r="AL271" s="193"/>
      <c r="AM271" s="194"/>
      <c r="AN271" s="194"/>
      <c r="AO271" s="194"/>
      <c r="AP271" s="195"/>
      <c r="AQ271" s="193"/>
      <c r="AR271" s="194"/>
      <c r="AS271" s="194"/>
      <c r="AT271" s="194"/>
      <c r="AU271" s="195"/>
      <c r="AV271" s="193"/>
      <c r="AW271" s="194">
        <v>138</v>
      </c>
      <c r="AX271" s="194"/>
      <c r="AY271" s="194">
        <v>69</v>
      </c>
      <c r="AZ271" s="195">
        <v>207</v>
      </c>
      <c r="BA271" s="193">
        <v>69</v>
      </c>
      <c r="BB271" s="194"/>
      <c r="BC271" s="194">
        <v>1242</v>
      </c>
      <c r="BD271" s="194">
        <v>345</v>
      </c>
      <c r="BE271" s="195">
        <v>1656</v>
      </c>
      <c r="BF271" s="193">
        <f t="shared" si="74"/>
        <v>0</v>
      </c>
      <c r="BG271" s="194">
        <f t="shared" si="68"/>
        <v>0</v>
      </c>
      <c r="BH271" s="194">
        <f t="shared" si="69"/>
        <v>0</v>
      </c>
      <c r="BI271" s="194">
        <f t="shared" si="70"/>
        <v>0</v>
      </c>
      <c r="BJ271" s="195">
        <f t="shared" si="71"/>
        <v>0</v>
      </c>
      <c r="BK271" s="193"/>
      <c r="BL271" s="194"/>
      <c r="BM271" s="194"/>
      <c r="BN271" s="194"/>
      <c r="BO271" s="195"/>
      <c r="BP271" s="193"/>
      <c r="BQ271" s="194"/>
      <c r="BR271" s="194"/>
      <c r="BS271" s="194"/>
      <c r="BT271" s="195"/>
      <c r="BU271" s="193"/>
      <c r="BV271" s="194"/>
      <c r="BW271" s="194"/>
      <c r="BX271" s="194"/>
      <c r="BY271" s="195"/>
      <c r="BZ271" s="193"/>
      <c r="CA271" s="194"/>
      <c r="CB271" s="194"/>
      <c r="CC271" s="194"/>
      <c r="CD271" s="195"/>
      <c r="CE271" s="193"/>
      <c r="CF271" s="194"/>
      <c r="CG271" s="194"/>
      <c r="CH271" s="194"/>
      <c r="CI271" s="195"/>
    </row>
    <row r="272" spans="1:87">
      <c r="A272" s="186" t="s">
        <v>249</v>
      </c>
      <c r="B272" s="187" t="s">
        <v>26</v>
      </c>
      <c r="C272" s="188">
        <f t="shared" si="72"/>
        <v>3381</v>
      </c>
      <c r="D272" s="189">
        <f t="shared" si="60"/>
        <v>828</v>
      </c>
      <c r="E272" s="189">
        <f t="shared" si="61"/>
        <v>138</v>
      </c>
      <c r="F272" s="189">
        <f t="shared" si="62"/>
        <v>207</v>
      </c>
      <c r="G272" s="190">
        <f t="shared" si="63"/>
        <v>4554</v>
      </c>
      <c r="H272" s="188">
        <f t="shared" si="73"/>
        <v>3105</v>
      </c>
      <c r="I272" s="189">
        <f t="shared" si="64"/>
        <v>828</v>
      </c>
      <c r="J272" s="189">
        <f t="shared" si="65"/>
        <v>138</v>
      </c>
      <c r="K272" s="189">
        <f t="shared" si="66"/>
        <v>207</v>
      </c>
      <c r="L272" s="190">
        <f t="shared" si="67"/>
        <v>4278</v>
      </c>
      <c r="M272" s="188"/>
      <c r="N272" s="189"/>
      <c r="O272" s="189"/>
      <c r="P272" s="189"/>
      <c r="Q272" s="190"/>
      <c r="R272" s="188"/>
      <c r="S272" s="189"/>
      <c r="T272" s="189"/>
      <c r="U272" s="189"/>
      <c r="V272" s="190"/>
      <c r="W272" s="188"/>
      <c r="X272" s="189"/>
      <c r="Y272" s="189"/>
      <c r="Z272" s="189"/>
      <c r="AA272" s="190"/>
      <c r="AB272" s="188">
        <v>2829</v>
      </c>
      <c r="AC272" s="189">
        <v>552</v>
      </c>
      <c r="AD272" s="189"/>
      <c r="AE272" s="189">
        <v>69</v>
      </c>
      <c r="AF272" s="190">
        <v>3450</v>
      </c>
      <c r="AG272" s="188"/>
      <c r="AH272" s="189"/>
      <c r="AI272" s="189"/>
      <c r="AJ272" s="189"/>
      <c r="AK272" s="190"/>
      <c r="AL272" s="188"/>
      <c r="AM272" s="189"/>
      <c r="AN272" s="189"/>
      <c r="AO272" s="189"/>
      <c r="AP272" s="190"/>
      <c r="AQ272" s="188"/>
      <c r="AR272" s="189"/>
      <c r="AS272" s="189"/>
      <c r="AT272" s="189"/>
      <c r="AU272" s="190"/>
      <c r="AV272" s="188">
        <v>276</v>
      </c>
      <c r="AW272" s="189">
        <v>276</v>
      </c>
      <c r="AX272" s="189">
        <v>138</v>
      </c>
      <c r="AY272" s="189">
        <v>138</v>
      </c>
      <c r="AZ272" s="190">
        <v>828</v>
      </c>
      <c r="BA272" s="188"/>
      <c r="BB272" s="189"/>
      <c r="BC272" s="189"/>
      <c r="BD272" s="189"/>
      <c r="BE272" s="190"/>
      <c r="BF272" s="188">
        <f t="shared" si="74"/>
        <v>276</v>
      </c>
      <c r="BG272" s="189">
        <f t="shared" si="68"/>
        <v>0</v>
      </c>
      <c r="BH272" s="189">
        <f t="shared" si="69"/>
        <v>0</v>
      </c>
      <c r="BI272" s="189">
        <f t="shared" si="70"/>
        <v>0</v>
      </c>
      <c r="BJ272" s="190">
        <f t="shared" si="71"/>
        <v>276</v>
      </c>
      <c r="BK272" s="188"/>
      <c r="BL272" s="189"/>
      <c r="BM272" s="189"/>
      <c r="BN272" s="189"/>
      <c r="BO272" s="190"/>
      <c r="BP272" s="188">
        <v>207</v>
      </c>
      <c r="BQ272" s="189"/>
      <c r="BR272" s="189"/>
      <c r="BS272" s="189"/>
      <c r="BT272" s="190">
        <v>207</v>
      </c>
      <c r="BU272" s="188">
        <v>69</v>
      </c>
      <c r="BV272" s="189"/>
      <c r="BW272" s="189"/>
      <c r="BX272" s="189"/>
      <c r="BY272" s="190">
        <v>69</v>
      </c>
      <c r="BZ272" s="188"/>
      <c r="CA272" s="189"/>
      <c r="CB272" s="189"/>
      <c r="CC272" s="189"/>
      <c r="CD272" s="190"/>
      <c r="CE272" s="188"/>
      <c r="CF272" s="189"/>
      <c r="CG272" s="189"/>
      <c r="CH272" s="189"/>
      <c r="CI272" s="190"/>
    </row>
    <row r="273" s="163" customFormat="1" ht="14.6" spans="1:87">
      <c r="A273" s="191" t="s">
        <v>250</v>
      </c>
      <c r="B273" s="192"/>
      <c r="C273" s="193">
        <f t="shared" si="72"/>
        <v>3381</v>
      </c>
      <c r="D273" s="194">
        <f t="shared" si="60"/>
        <v>828</v>
      </c>
      <c r="E273" s="194">
        <f t="shared" si="61"/>
        <v>138</v>
      </c>
      <c r="F273" s="194">
        <f t="shared" si="62"/>
        <v>207</v>
      </c>
      <c r="G273" s="195">
        <f t="shared" si="63"/>
        <v>4554</v>
      </c>
      <c r="H273" s="193">
        <f t="shared" si="73"/>
        <v>3105</v>
      </c>
      <c r="I273" s="194">
        <f t="shared" si="64"/>
        <v>828</v>
      </c>
      <c r="J273" s="194">
        <f t="shared" si="65"/>
        <v>138</v>
      </c>
      <c r="K273" s="194">
        <f t="shared" si="66"/>
        <v>207</v>
      </c>
      <c r="L273" s="195">
        <f t="shared" si="67"/>
        <v>4278</v>
      </c>
      <c r="M273" s="193"/>
      <c r="N273" s="194"/>
      <c r="O273" s="194"/>
      <c r="P273" s="194"/>
      <c r="Q273" s="195"/>
      <c r="R273" s="193"/>
      <c r="S273" s="194"/>
      <c r="T273" s="194"/>
      <c r="U273" s="194"/>
      <c r="V273" s="195"/>
      <c r="W273" s="193"/>
      <c r="X273" s="194"/>
      <c r="Y273" s="194"/>
      <c r="Z273" s="194"/>
      <c r="AA273" s="195"/>
      <c r="AB273" s="193">
        <v>2829</v>
      </c>
      <c r="AC273" s="194">
        <v>552</v>
      </c>
      <c r="AD273" s="194"/>
      <c r="AE273" s="194">
        <v>69</v>
      </c>
      <c r="AF273" s="195">
        <v>3450</v>
      </c>
      <c r="AG273" s="193"/>
      <c r="AH273" s="194"/>
      <c r="AI273" s="194"/>
      <c r="AJ273" s="194"/>
      <c r="AK273" s="195"/>
      <c r="AL273" s="193"/>
      <c r="AM273" s="194"/>
      <c r="AN273" s="194"/>
      <c r="AO273" s="194"/>
      <c r="AP273" s="195"/>
      <c r="AQ273" s="193"/>
      <c r="AR273" s="194"/>
      <c r="AS273" s="194"/>
      <c r="AT273" s="194"/>
      <c r="AU273" s="195"/>
      <c r="AV273" s="193">
        <v>276</v>
      </c>
      <c r="AW273" s="194">
        <v>276</v>
      </c>
      <c r="AX273" s="194">
        <v>138</v>
      </c>
      <c r="AY273" s="194">
        <v>138</v>
      </c>
      <c r="AZ273" s="195">
        <v>828</v>
      </c>
      <c r="BA273" s="193"/>
      <c r="BB273" s="194"/>
      <c r="BC273" s="194"/>
      <c r="BD273" s="194"/>
      <c r="BE273" s="195"/>
      <c r="BF273" s="193">
        <f t="shared" si="74"/>
        <v>276</v>
      </c>
      <c r="BG273" s="194">
        <f t="shared" si="68"/>
        <v>0</v>
      </c>
      <c r="BH273" s="194">
        <f t="shared" si="69"/>
        <v>0</v>
      </c>
      <c r="BI273" s="194">
        <f t="shared" si="70"/>
        <v>0</v>
      </c>
      <c r="BJ273" s="195">
        <f t="shared" si="71"/>
        <v>276</v>
      </c>
      <c r="BK273" s="193"/>
      <c r="BL273" s="194"/>
      <c r="BM273" s="194"/>
      <c r="BN273" s="194"/>
      <c r="BO273" s="195"/>
      <c r="BP273" s="193">
        <v>207</v>
      </c>
      <c r="BQ273" s="194"/>
      <c r="BR273" s="194"/>
      <c r="BS273" s="194"/>
      <c r="BT273" s="195">
        <v>207</v>
      </c>
      <c r="BU273" s="193">
        <v>69</v>
      </c>
      <c r="BV273" s="194"/>
      <c r="BW273" s="194"/>
      <c r="BX273" s="194"/>
      <c r="BY273" s="195">
        <v>69</v>
      </c>
      <c r="BZ273" s="193"/>
      <c r="CA273" s="194"/>
      <c r="CB273" s="194"/>
      <c r="CC273" s="194"/>
      <c r="CD273" s="195"/>
      <c r="CE273" s="193"/>
      <c r="CF273" s="194"/>
      <c r="CG273" s="194"/>
      <c r="CH273" s="194"/>
      <c r="CI273" s="195"/>
    </row>
    <row r="274" spans="1:87">
      <c r="A274" s="186" t="s">
        <v>251</v>
      </c>
      <c r="B274" s="187" t="s">
        <v>26</v>
      </c>
      <c r="C274" s="188">
        <f t="shared" si="72"/>
        <v>1157</v>
      </c>
      <c r="D274" s="189">
        <f t="shared" si="60"/>
        <v>979</v>
      </c>
      <c r="E274" s="189">
        <f t="shared" si="61"/>
        <v>534</v>
      </c>
      <c r="F274" s="189">
        <f t="shared" si="62"/>
        <v>1780</v>
      </c>
      <c r="G274" s="190">
        <f t="shared" si="63"/>
        <v>4450</v>
      </c>
      <c r="H274" s="188">
        <f t="shared" si="73"/>
        <v>1157</v>
      </c>
      <c r="I274" s="189">
        <f t="shared" si="64"/>
        <v>979</v>
      </c>
      <c r="J274" s="189">
        <f t="shared" si="65"/>
        <v>534</v>
      </c>
      <c r="K274" s="189">
        <f t="shared" si="66"/>
        <v>1780</v>
      </c>
      <c r="L274" s="190">
        <f t="shared" si="67"/>
        <v>4450</v>
      </c>
      <c r="M274" s="188"/>
      <c r="N274" s="189"/>
      <c r="O274" s="189"/>
      <c r="P274" s="189"/>
      <c r="Q274" s="190"/>
      <c r="R274" s="188"/>
      <c r="S274" s="189"/>
      <c r="T274" s="189"/>
      <c r="U274" s="189"/>
      <c r="V274" s="190"/>
      <c r="W274" s="188"/>
      <c r="X274" s="189"/>
      <c r="Y274" s="189"/>
      <c r="Z274" s="189"/>
      <c r="AA274" s="190"/>
      <c r="AB274" s="188"/>
      <c r="AC274" s="189">
        <v>178</v>
      </c>
      <c r="AD274" s="189">
        <v>267</v>
      </c>
      <c r="AE274" s="189">
        <v>623</v>
      </c>
      <c r="AF274" s="190">
        <v>1068</v>
      </c>
      <c r="AG274" s="188"/>
      <c r="AH274" s="189"/>
      <c r="AI274" s="189"/>
      <c r="AJ274" s="189"/>
      <c r="AK274" s="190"/>
      <c r="AL274" s="188"/>
      <c r="AM274" s="189"/>
      <c r="AN274" s="189"/>
      <c r="AO274" s="189"/>
      <c r="AP274" s="190"/>
      <c r="AQ274" s="188"/>
      <c r="AR274" s="189"/>
      <c r="AS274" s="189"/>
      <c r="AT274" s="189"/>
      <c r="AU274" s="190"/>
      <c r="AV274" s="188">
        <v>1157</v>
      </c>
      <c r="AW274" s="189">
        <v>801</v>
      </c>
      <c r="AX274" s="189">
        <v>267</v>
      </c>
      <c r="AY274" s="189">
        <v>1157</v>
      </c>
      <c r="AZ274" s="190">
        <v>3382</v>
      </c>
      <c r="BA274" s="188"/>
      <c r="BB274" s="189"/>
      <c r="BC274" s="189"/>
      <c r="BD274" s="189"/>
      <c r="BE274" s="190"/>
      <c r="BF274" s="188">
        <f t="shared" si="74"/>
        <v>0</v>
      </c>
      <c r="BG274" s="189">
        <f t="shared" si="68"/>
        <v>0</v>
      </c>
      <c r="BH274" s="189">
        <f t="shared" si="69"/>
        <v>0</v>
      </c>
      <c r="BI274" s="189">
        <f t="shared" si="70"/>
        <v>0</v>
      </c>
      <c r="BJ274" s="190">
        <f t="shared" si="71"/>
        <v>0</v>
      </c>
      <c r="BK274" s="188"/>
      <c r="BL274" s="189"/>
      <c r="BM274" s="189"/>
      <c r="BN274" s="189"/>
      <c r="BO274" s="190"/>
      <c r="BP274" s="188"/>
      <c r="BQ274" s="189"/>
      <c r="BR274" s="189"/>
      <c r="BS274" s="189"/>
      <c r="BT274" s="190"/>
      <c r="BU274" s="188"/>
      <c r="BV274" s="189"/>
      <c r="BW274" s="189"/>
      <c r="BX274" s="189"/>
      <c r="BY274" s="190"/>
      <c r="BZ274" s="188"/>
      <c r="CA274" s="189"/>
      <c r="CB274" s="189"/>
      <c r="CC274" s="189"/>
      <c r="CD274" s="190"/>
      <c r="CE274" s="188"/>
      <c r="CF274" s="189"/>
      <c r="CG274" s="189"/>
      <c r="CH274" s="189"/>
      <c r="CI274" s="190"/>
    </row>
    <row r="275" s="163" customFormat="1" ht="14.6" spans="1:87">
      <c r="A275" s="191" t="s">
        <v>252</v>
      </c>
      <c r="B275" s="192"/>
      <c r="C275" s="193">
        <f t="shared" si="72"/>
        <v>1157</v>
      </c>
      <c r="D275" s="194">
        <f t="shared" si="60"/>
        <v>979</v>
      </c>
      <c r="E275" s="194">
        <f t="shared" si="61"/>
        <v>534</v>
      </c>
      <c r="F275" s="194">
        <f t="shared" si="62"/>
        <v>1780</v>
      </c>
      <c r="G275" s="195">
        <f t="shared" si="63"/>
        <v>4450</v>
      </c>
      <c r="H275" s="193">
        <f t="shared" si="73"/>
        <v>1157</v>
      </c>
      <c r="I275" s="194">
        <f t="shared" si="64"/>
        <v>979</v>
      </c>
      <c r="J275" s="194">
        <f t="shared" si="65"/>
        <v>534</v>
      </c>
      <c r="K275" s="194">
        <f t="shared" si="66"/>
        <v>1780</v>
      </c>
      <c r="L275" s="195">
        <f t="shared" si="67"/>
        <v>4450</v>
      </c>
      <c r="M275" s="193"/>
      <c r="N275" s="194"/>
      <c r="O275" s="194"/>
      <c r="P275" s="194"/>
      <c r="Q275" s="195"/>
      <c r="R275" s="193"/>
      <c r="S275" s="194"/>
      <c r="T275" s="194"/>
      <c r="U275" s="194"/>
      <c r="V275" s="195"/>
      <c r="W275" s="193"/>
      <c r="X275" s="194"/>
      <c r="Y275" s="194"/>
      <c r="Z275" s="194"/>
      <c r="AA275" s="195"/>
      <c r="AB275" s="193"/>
      <c r="AC275" s="194">
        <v>178</v>
      </c>
      <c r="AD275" s="194">
        <v>267</v>
      </c>
      <c r="AE275" s="194">
        <v>623</v>
      </c>
      <c r="AF275" s="195">
        <v>1068</v>
      </c>
      <c r="AG275" s="193"/>
      <c r="AH275" s="194"/>
      <c r="AI275" s="194"/>
      <c r="AJ275" s="194"/>
      <c r="AK275" s="195"/>
      <c r="AL275" s="193"/>
      <c r="AM275" s="194"/>
      <c r="AN275" s="194"/>
      <c r="AO275" s="194"/>
      <c r="AP275" s="195"/>
      <c r="AQ275" s="193"/>
      <c r="AR275" s="194"/>
      <c r="AS275" s="194"/>
      <c r="AT275" s="194"/>
      <c r="AU275" s="195"/>
      <c r="AV275" s="193">
        <v>1157</v>
      </c>
      <c r="AW275" s="194">
        <v>801</v>
      </c>
      <c r="AX275" s="194">
        <v>267</v>
      </c>
      <c r="AY275" s="194">
        <v>1157</v>
      </c>
      <c r="AZ275" s="195">
        <v>3382</v>
      </c>
      <c r="BA275" s="193"/>
      <c r="BB275" s="194"/>
      <c r="BC275" s="194"/>
      <c r="BD275" s="194"/>
      <c r="BE275" s="195"/>
      <c r="BF275" s="193">
        <f t="shared" si="74"/>
        <v>0</v>
      </c>
      <c r="BG275" s="194">
        <f t="shared" si="68"/>
        <v>0</v>
      </c>
      <c r="BH275" s="194">
        <f t="shared" si="69"/>
        <v>0</v>
      </c>
      <c r="BI275" s="194">
        <f t="shared" si="70"/>
        <v>0</v>
      </c>
      <c r="BJ275" s="195">
        <f t="shared" si="71"/>
        <v>0</v>
      </c>
      <c r="BK275" s="193"/>
      <c r="BL275" s="194"/>
      <c r="BM275" s="194"/>
      <c r="BN275" s="194"/>
      <c r="BO275" s="195"/>
      <c r="BP275" s="193"/>
      <c r="BQ275" s="194"/>
      <c r="BR275" s="194"/>
      <c r="BS275" s="194"/>
      <c r="BT275" s="195"/>
      <c r="BU275" s="193"/>
      <c r="BV275" s="194"/>
      <c r="BW275" s="194"/>
      <c r="BX275" s="194"/>
      <c r="BY275" s="195"/>
      <c r="BZ275" s="193"/>
      <c r="CA275" s="194"/>
      <c r="CB275" s="194"/>
      <c r="CC275" s="194"/>
      <c r="CD275" s="195"/>
      <c r="CE275" s="193"/>
      <c r="CF275" s="194"/>
      <c r="CG275" s="194"/>
      <c r="CH275" s="194"/>
      <c r="CI275" s="195"/>
    </row>
    <row r="276" spans="1:87">
      <c r="A276" s="186" t="s">
        <v>253</v>
      </c>
      <c r="B276" s="187" t="s">
        <v>26</v>
      </c>
      <c r="C276" s="188">
        <f t="shared" si="72"/>
        <v>1518</v>
      </c>
      <c r="D276" s="189">
        <f t="shared" si="60"/>
        <v>2139</v>
      </c>
      <c r="E276" s="189">
        <f t="shared" si="61"/>
        <v>621</v>
      </c>
      <c r="F276" s="189">
        <f t="shared" si="62"/>
        <v>138</v>
      </c>
      <c r="G276" s="190">
        <f t="shared" si="63"/>
        <v>4416</v>
      </c>
      <c r="H276" s="188">
        <f t="shared" si="73"/>
        <v>1518</v>
      </c>
      <c r="I276" s="189">
        <f t="shared" si="64"/>
        <v>2139</v>
      </c>
      <c r="J276" s="189">
        <f t="shared" si="65"/>
        <v>621</v>
      </c>
      <c r="K276" s="189">
        <f t="shared" si="66"/>
        <v>138</v>
      </c>
      <c r="L276" s="190">
        <f t="shared" si="67"/>
        <v>4416</v>
      </c>
      <c r="M276" s="188">
        <v>69</v>
      </c>
      <c r="N276" s="189"/>
      <c r="O276" s="189"/>
      <c r="P276" s="189"/>
      <c r="Q276" s="190">
        <v>69</v>
      </c>
      <c r="R276" s="188">
        <v>69</v>
      </c>
      <c r="S276" s="189">
        <v>207</v>
      </c>
      <c r="T276" s="189">
        <v>276</v>
      </c>
      <c r="U276" s="189">
        <v>138</v>
      </c>
      <c r="V276" s="190">
        <v>690</v>
      </c>
      <c r="W276" s="188"/>
      <c r="X276" s="189"/>
      <c r="Y276" s="189"/>
      <c r="Z276" s="189"/>
      <c r="AA276" s="190"/>
      <c r="AB276" s="188">
        <v>759</v>
      </c>
      <c r="AC276" s="189">
        <v>1104</v>
      </c>
      <c r="AD276" s="189">
        <v>345</v>
      </c>
      <c r="AE276" s="189"/>
      <c r="AF276" s="190">
        <v>2208</v>
      </c>
      <c r="AG276" s="188"/>
      <c r="AH276" s="189"/>
      <c r="AI276" s="189"/>
      <c r="AJ276" s="189"/>
      <c r="AK276" s="190"/>
      <c r="AL276" s="188"/>
      <c r="AM276" s="189"/>
      <c r="AN276" s="189"/>
      <c r="AO276" s="189"/>
      <c r="AP276" s="190"/>
      <c r="AQ276" s="188">
        <v>345</v>
      </c>
      <c r="AR276" s="189">
        <v>759</v>
      </c>
      <c r="AS276" s="189"/>
      <c r="AT276" s="189"/>
      <c r="AU276" s="190">
        <v>1104</v>
      </c>
      <c r="AV276" s="188">
        <v>69</v>
      </c>
      <c r="AW276" s="189"/>
      <c r="AX276" s="189"/>
      <c r="AY276" s="189"/>
      <c r="AZ276" s="190">
        <v>69</v>
      </c>
      <c r="BA276" s="188">
        <v>207</v>
      </c>
      <c r="BB276" s="189">
        <v>69</v>
      </c>
      <c r="BC276" s="189"/>
      <c r="BD276" s="189"/>
      <c r="BE276" s="190">
        <v>276</v>
      </c>
      <c r="BF276" s="188">
        <f t="shared" si="74"/>
        <v>0</v>
      </c>
      <c r="BG276" s="189">
        <f t="shared" si="68"/>
        <v>0</v>
      </c>
      <c r="BH276" s="189">
        <f t="shared" si="69"/>
        <v>0</v>
      </c>
      <c r="BI276" s="189">
        <f t="shared" si="70"/>
        <v>0</v>
      </c>
      <c r="BJ276" s="190">
        <f t="shared" si="71"/>
        <v>0</v>
      </c>
      <c r="BK276" s="188"/>
      <c r="BL276" s="189"/>
      <c r="BM276" s="189"/>
      <c r="BN276" s="189"/>
      <c r="BO276" s="190"/>
      <c r="BP276" s="188"/>
      <c r="BQ276" s="189"/>
      <c r="BR276" s="189"/>
      <c r="BS276" s="189"/>
      <c r="BT276" s="190"/>
      <c r="BU276" s="188"/>
      <c r="BV276" s="189"/>
      <c r="BW276" s="189"/>
      <c r="BX276" s="189"/>
      <c r="BY276" s="190"/>
      <c r="BZ276" s="188"/>
      <c r="CA276" s="189"/>
      <c r="CB276" s="189"/>
      <c r="CC276" s="189"/>
      <c r="CD276" s="190"/>
      <c r="CE276" s="188"/>
      <c r="CF276" s="189"/>
      <c r="CG276" s="189"/>
      <c r="CH276" s="189"/>
      <c r="CI276" s="190"/>
    </row>
    <row r="277" s="163" customFormat="1" ht="14.6" spans="1:87">
      <c r="A277" s="191" t="s">
        <v>254</v>
      </c>
      <c r="B277" s="192"/>
      <c r="C277" s="193">
        <f t="shared" si="72"/>
        <v>1518</v>
      </c>
      <c r="D277" s="194">
        <f t="shared" si="60"/>
        <v>2139</v>
      </c>
      <c r="E277" s="194">
        <f t="shared" si="61"/>
        <v>621</v>
      </c>
      <c r="F277" s="194">
        <f t="shared" si="62"/>
        <v>138</v>
      </c>
      <c r="G277" s="195">
        <f t="shared" si="63"/>
        <v>4416</v>
      </c>
      <c r="H277" s="193">
        <f t="shared" si="73"/>
        <v>1518</v>
      </c>
      <c r="I277" s="194">
        <f t="shared" si="64"/>
        <v>2139</v>
      </c>
      <c r="J277" s="194">
        <f t="shared" si="65"/>
        <v>621</v>
      </c>
      <c r="K277" s="194">
        <f t="shared" si="66"/>
        <v>138</v>
      </c>
      <c r="L277" s="195">
        <f t="shared" si="67"/>
        <v>4416</v>
      </c>
      <c r="M277" s="193">
        <v>69</v>
      </c>
      <c r="N277" s="194"/>
      <c r="O277" s="194"/>
      <c r="P277" s="194"/>
      <c r="Q277" s="195">
        <v>69</v>
      </c>
      <c r="R277" s="193">
        <v>69</v>
      </c>
      <c r="S277" s="194">
        <v>207</v>
      </c>
      <c r="T277" s="194">
        <v>276</v>
      </c>
      <c r="U277" s="194">
        <v>138</v>
      </c>
      <c r="V277" s="195">
        <v>690</v>
      </c>
      <c r="W277" s="193"/>
      <c r="X277" s="194"/>
      <c r="Y277" s="194"/>
      <c r="Z277" s="194"/>
      <c r="AA277" s="195"/>
      <c r="AB277" s="193">
        <v>759</v>
      </c>
      <c r="AC277" s="194">
        <v>1104</v>
      </c>
      <c r="AD277" s="194">
        <v>345</v>
      </c>
      <c r="AE277" s="194"/>
      <c r="AF277" s="195">
        <v>2208</v>
      </c>
      <c r="AG277" s="193"/>
      <c r="AH277" s="194"/>
      <c r="AI277" s="194"/>
      <c r="AJ277" s="194"/>
      <c r="AK277" s="195"/>
      <c r="AL277" s="193"/>
      <c r="AM277" s="194"/>
      <c r="AN277" s="194"/>
      <c r="AO277" s="194"/>
      <c r="AP277" s="195"/>
      <c r="AQ277" s="193">
        <v>345</v>
      </c>
      <c r="AR277" s="194">
        <v>759</v>
      </c>
      <c r="AS277" s="194"/>
      <c r="AT277" s="194"/>
      <c r="AU277" s="195">
        <v>1104</v>
      </c>
      <c r="AV277" s="193">
        <v>69</v>
      </c>
      <c r="AW277" s="194"/>
      <c r="AX277" s="194"/>
      <c r="AY277" s="194"/>
      <c r="AZ277" s="195">
        <v>69</v>
      </c>
      <c r="BA277" s="193">
        <v>207</v>
      </c>
      <c r="BB277" s="194">
        <v>69</v>
      </c>
      <c r="BC277" s="194"/>
      <c r="BD277" s="194"/>
      <c r="BE277" s="195">
        <v>276</v>
      </c>
      <c r="BF277" s="193">
        <f t="shared" si="74"/>
        <v>0</v>
      </c>
      <c r="BG277" s="194">
        <f t="shared" si="68"/>
        <v>0</v>
      </c>
      <c r="BH277" s="194">
        <f t="shared" si="69"/>
        <v>0</v>
      </c>
      <c r="BI277" s="194">
        <f t="shared" si="70"/>
        <v>0</v>
      </c>
      <c r="BJ277" s="195">
        <f t="shared" si="71"/>
        <v>0</v>
      </c>
      <c r="BK277" s="193"/>
      <c r="BL277" s="194"/>
      <c r="BM277" s="194"/>
      <c r="BN277" s="194"/>
      <c r="BO277" s="195"/>
      <c r="BP277" s="193"/>
      <c r="BQ277" s="194"/>
      <c r="BR277" s="194"/>
      <c r="BS277" s="194"/>
      <c r="BT277" s="195"/>
      <c r="BU277" s="193"/>
      <c r="BV277" s="194"/>
      <c r="BW277" s="194"/>
      <c r="BX277" s="194"/>
      <c r="BY277" s="195"/>
      <c r="BZ277" s="193"/>
      <c r="CA277" s="194"/>
      <c r="CB277" s="194"/>
      <c r="CC277" s="194"/>
      <c r="CD277" s="195"/>
      <c r="CE277" s="193"/>
      <c r="CF277" s="194"/>
      <c r="CG277" s="194"/>
      <c r="CH277" s="194"/>
      <c r="CI277" s="195"/>
    </row>
    <row r="278" spans="1:87">
      <c r="A278" s="186" t="s">
        <v>255</v>
      </c>
      <c r="B278" s="187" t="s">
        <v>26</v>
      </c>
      <c r="C278" s="188">
        <f t="shared" si="72"/>
        <v>995</v>
      </c>
      <c r="D278" s="189">
        <f t="shared" si="60"/>
        <v>1990</v>
      </c>
      <c r="E278" s="189">
        <f t="shared" si="61"/>
        <v>597</v>
      </c>
      <c r="F278" s="189">
        <f t="shared" si="62"/>
        <v>796</v>
      </c>
      <c r="G278" s="190">
        <f t="shared" si="63"/>
        <v>4378</v>
      </c>
      <c r="H278" s="188">
        <f t="shared" si="73"/>
        <v>199</v>
      </c>
      <c r="I278" s="189">
        <f t="shared" si="64"/>
        <v>995</v>
      </c>
      <c r="J278" s="189">
        <f t="shared" si="65"/>
        <v>199</v>
      </c>
      <c r="K278" s="189">
        <f t="shared" si="66"/>
        <v>199</v>
      </c>
      <c r="L278" s="190">
        <f t="shared" si="67"/>
        <v>1592</v>
      </c>
      <c r="M278" s="188"/>
      <c r="N278" s="189"/>
      <c r="O278" s="189"/>
      <c r="P278" s="189"/>
      <c r="Q278" s="190"/>
      <c r="R278" s="188"/>
      <c r="S278" s="189"/>
      <c r="T278" s="189"/>
      <c r="U278" s="189"/>
      <c r="V278" s="190"/>
      <c r="W278" s="188"/>
      <c r="X278" s="189"/>
      <c r="Y278" s="189"/>
      <c r="Z278" s="189"/>
      <c r="AA278" s="190"/>
      <c r="AB278" s="188"/>
      <c r="AC278" s="189">
        <v>796</v>
      </c>
      <c r="AD278" s="189">
        <v>199</v>
      </c>
      <c r="AE278" s="189"/>
      <c r="AF278" s="190">
        <v>995</v>
      </c>
      <c r="AG278" s="188"/>
      <c r="AH278" s="189"/>
      <c r="AI278" s="189"/>
      <c r="AJ278" s="189"/>
      <c r="AK278" s="190"/>
      <c r="AL278" s="188"/>
      <c r="AM278" s="189"/>
      <c r="AN278" s="189"/>
      <c r="AO278" s="189"/>
      <c r="AP278" s="190"/>
      <c r="AQ278" s="188"/>
      <c r="AR278" s="189"/>
      <c r="AS278" s="189"/>
      <c r="AT278" s="189"/>
      <c r="AU278" s="190"/>
      <c r="AV278" s="188"/>
      <c r="AW278" s="189"/>
      <c r="AX278" s="189"/>
      <c r="AY278" s="189"/>
      <c r="AZ278" s="190"/>
      <c r="BA278" s="188">
        <v>199</v>
      </c>
      <c r="BB278" s="189">
        <v>199</v>
      </c>
      <c r="BC278" s="189"/>
      <c r="BD278" s="189">
        <v>199</v>
      </c>
      <c r="BE278" s="190">
        <v>597</v>
      </c>
      <c r="BF278" s="188">
        <f t="shared" si="74"/>
        <v>796</v>
      </c>
      <c r="BG278" s="189">
        <f t="shared" si="68"/>
        <v>995</v>
      </c>
      <c r="BH278" s="189">
        <f t="shared" si="69"/>
        <v>398</v>
      </c>
      <c r="BI278" s="189">
        <f t="shared" si="70"/>
        <v>597</v>
      </c>
      <c r="BJ278" s="190">
        <f t="shared" si="71"/>
        <v>2786</v>
      </c>
      <c r="BK278" s="188"/>
      <c r="BL278" s="189"/>
      <c r="BM278" s="189"/>
      <c r="BN278" s="189"/>
      <c r="BO278" s="190"/>
      <c r="BP278" s="188"/>
      <c r="BQ278" s="189"/>
      <c r="BR278" s="189"/>
      <c r="BS278" s="189"/>
      <c r="BT278" s="190"/>
      <c r="BU278" s="188">
        <v>796</v>
      </c>
      <c r="BV278" s="189">
        <v>995</v>
      </c>
      <c r="BW278" s="189">
        <v>398</v>
      </c>
      <c r="BX278" s="189">
        <v>597</v>
      </c>
      <c r="BY278" s="190">
        <v>2786</v>
      </c>
      <c r="BZ278" s="188"/>
      <c r="CA278" s="189"/>
      <c r="CB278" s="189"/>
      <c r="CC278" s="189"/>
      <c r="CD278" s="190"/>
      <c r="CE278" s="188"/>
      <c r="CF278" s="189"/>
      <c r="CG278" s="189"/>
      <c r="CH278" s="189"/>
      <c r="CI278" s="190"/>
    </row>
    <row r="279" s="163" customFormat="1" ht="14.6" spans="1:87">
      <c r="A279" s="191" t="s">
        <v>256</v>
      </c>
      <c r="B279" s="192"/>
      <c r="C279" s="193">
        <f t="shared" si="72"/>
        <v>995</v>
      </c>
      <c r="D279" s="194">
        <f t="shared" si="60"/>
        <v>1990</v>
      </c>
      <c r="E279" s="194">
        <f t="shared" si="61"/>
        <v>597</v>
      </c>
      <c r="F279" s="194">
        <f t="shared" si="62"/>
        <v>796</v>
      </c>
      <c r="G279" s="195">
        <f t="shared" si="63"/>
        <v>4378</v>
      </c>
      <c r="H279" s="193">
        <f t="shared" si="73"/>
        <v>199</v>
      </c>
      <c r="I279" s="194">
        <f t="shared" si="64"/>
        <v>995</v>
      </c>
      <c r="J279" s="194">
        <f t="shared" si="65"/>
        <v>199</v>
      </c>
      <c r="K279" s="194">
        <f t="shared" si="66"/>
        <v>199</v>
      </c>
      <c r="L279" s="195">
        <f t="shared" si="67"/>
        <v>1592</v>
      </c>
      <c r="M279" s="193"/>
      <c r="N279" s="194"/>
      <c r="O279" s="194"/>
      <c r="P279" s="194"/>
      <c r="Q279" s="195"/>
      <c r="R279" s="193"/>
      <c r="S279" s="194"/>
      <c r="T279" s="194"/>
      <c r="U279" s="194"/>
      <c r="V279" s="195"/>
      <c r="W279" s="193"/>
      <c r="X279" s="194"/>
      <c r="Y279" s="194"/>
      <c r="Z279" s="194"/>
      <c r="AA279" s="195"/>
      <c r="AB279" s="193"/>
      <c r="AC279" s="194">
        <v>796</v>
      </c>
      <c r="AD279" s="194">
        <v>199</v>
      </c>
      <c r="AE279" s="194"/>
      <c r="AF279" s="195">
        <v>995</v>
      </c>
      <c r="AG279" s="193"/>
      <c r="AH279" s="194"/>
      <c r="AI279" s="194"/>
      <c r="AJ279" s="194"/>
      <c r="AK279" s="195"/>
      <c r="AL279" s="193"/>
      <c r="AM279" s="194"/>
      <c r="AN279" s="194"/>
      <c r="AO279" s="194"/>
      <c r="AP279" s="195"/>
      <c r="AQ279" s="193"/>
      <c r="AR279" s="194"/>
      <c r="AS279" s="194"/>
      <c r="AT279" s="194"/>
      <c r="AU279" s="195"/>
      <c r="AV279" s="193"/>
      <c r="AW279" s="194"/>
      <c r="AX279" s="194"/>
      <c r="AY279" s="194"/>
      <c r="AZ279" s="195"/>
      <c r="BA279" s="193">
        <v>199</v>
      </c>
      <c r="BB279" s="194">
        <v>199</v>
      </c>
      <c r="BC279" s="194"/>
      <c r="BD279" s="194">
        <v>199</v>
      </c>
      <c r="BE279" s="195">
        <v>597</v>
      </c>
      <c r="BF279" s="193">
        <f t="shared" si="74"/>
        <v>796</v>
      </c>
      <c r="BG279" s="194">
        <f t="shared" si="68"/>
        <v>995</v>
      </c>
      <c r="BH279" s="194">
        <f t="shared" si="69"/>
        <v>398</v>
      </c>
      <c r="BI279" s="194">
        <f t="shared" si="70"/>
        <v>597</v>
      </c>
      <c r="BJ279" s="195">
        <f t="shared" si="71"/>
        <v>2786</v>
      </c>
      <c r="BK279" s="193"/>
      <c r="BL279" s="194"/>
      <c r="BM279" s="194"/>
      <c r="BN279" s="194"/>
      <c r="BO279" s="195"/>
      <c r="BP279" s="193"/>
      <c r="BQ279" s="194"/>
      <c r="BR279" s="194"/>
      <c r="BS279" s="194"/>
      <c r="BT279" s="195"/>
      <c r="BU279" s="193">
        <v>796</v>
      </c>
      <c r="BV279" s="194">
        <v>995</v>
      </c>
      <c r="BW279" s="194">
        <v>398</v>
      </c>
      <c r="BX279" s="194">
        <v>597</v>
      </c>
      <c r="BY279" s="195">
        <v>2786</v>
      </c>
      <c r="BZ279" s="193"/>
      <c r="CA279" s="194"/>
      <c r="CB279" s="194"/>
      <c r="CC279" s="194"/>
      <c r="CD279" s="195"/>
      <c r="CE279" s="193"/>
      <c r="CF279" s="194"/>
      <c r="CG279" s="194"/>
      <c r="CH279" s="194"/>
      <c r="CI279" s="195"/>
    </row>
    <row r="280" spans="1:87">
      <c r="A280" s="186" t="s">
        <v>257</v>
      </c>
      <c r="B280" s="187" t="s">
        <v>26</v>
      </c>
      <c r="C280" s="188">
        <f t="shared" si="72"/>
        <v>2478</v>
      </c>
      <c r="D280" s="189">
        <f t="shared" si="60"/>
        <v>1534</v>
      </c>
      <c r="E280" s="189">
        <f t="shared" si="61"/>
        <v>177</v>
      </c>
      <c r="F280" s="189">
        <f t="shared" si="62"/>
        <v>0</v>
      </c>
      <c r="G280" s="190">
        <f t="shared" si="63"/>
        <v>4189</v>
      </c>
      <c r="H280" s="188">
        <f t="shared" si="73"/>
        <v>2478</v>
      </c>
      <c r="I280" s="189">
        <f t="shared" si="64"/>
        <v>1534</v>
      </c>
      <c r="J280" s="189">
        <f t="shared" si="65"/>
        <v>177</v>
      </c>
      <c r="K280" s="189">
        <f t="shared" si="66"/>
        <v>0</v>
      </c>
      <c r="L280" s="190">
        <f t="shared" si="67"/>
        <v>4189</v>
      </c>
      <c r="M280" s="188"/>
      <c r="N280" s="189"/>
      <c r="O280" s="189"/>
      <c r="P280" s="189"/>
      <c r="Q280" s="190"/>
      <c r="R280" s="188"/>
      <c r="S280" s="189"/>
      <c r="T280" s="189"/>
      <c r="U280" s="189"/>
      <c r="V280" s="190"/>
      <c r="W280" s="188"/>
      <c r="X280" s="189"/>
      <c r="Y280" s="189"/>
      <c r="Z280" s="189"/>
      <c r="AA280" s="190"/>
      <c r="AB280" s="188">
        <v>2478</v>
      </c>
      <c r="AC280" s="189">
        <v>1534</v>
      </c>
      <c r="AD280" s="189">
        <v>177</v>
      </c>
      <c r="AE280" s="189"/>
      <c r="AF280" s="190">
        <v>4189</v>
      </c>
      <c r="AG280" s="188"/>
      <c r="AH280" s="189"/>
      <c r="AI280" s="189"/>
      <c r="AJ280" s="189"/>
      <c r="AK280" s="190"/>
      <c r="AL280" s="188"/>
      <c r="AM280" s="189"/>
      <c r="AN280" s="189"/>
      <c r="AO280" s="189"/>
      <c r="AP280" s="190"/>
      <c r="AQ280" s="188"/>
      <c r="AR280" s="189"/>
      <c r="AS280" s="189"/>
      <c r="AT280" s="189"/>
      <c r="AU280" s="190"/>
      <c r="AV280" s="188"/>
      <c r="AW280" s="189"/>
      <c r="AX280" s="189"/>
      <c r="AY280" s="189"/>
      <c r="AZ280" s="190"/>
      <c r="BA280" s="188"/>
      <c r="BB280" s="189"/>
      <c r="BC280" s="189"/>
      <c r="BD280" s="189"/>
      <c r="BE280" s="190"/>
      <c r="BF280" s="188">
        <f t="shared" si="74"/>
        <v>0</v>
      </c>
      <c r="BG280" s="189">
        <f t="shared" si="68"/>
        <v>0</v>
      </c>
      <c r="BH280" s="189">
        <f t="shared" si="69"/>
        <v>0</v>
      </c>
      <c r="BI280" s="189">
        <f t="shared" si="70"/>
        <v>0</v>
      </c>
      <c r="BJ280" s="190">
        <f t="shared" si="71"/>
        <v>0</v>
      </c>
      <c r="BK280" s="188"/>
      <c r="BL280" s="189"/>
      <c r="BM280" s="189"/>
      <c r="BN280" s="189"/>
      <c r="BO280" s="190"/>
      <c r="BP280" s="188"/>
      <c r="BQ280" s="189"/>
      <c r="BR280" s="189"/>
      <c r="BS280" s="189"/>
      <c r="BT280" s="190"/>
      <c r="BU280" s="188"/>
      <c r="BV280" s="189"/>
      <c r="BW280" s="189"/>
      <c r="BX280" s="189"/>
      <c r="BY280" s="190"/>
      <c r="BZ280" s="188"/>
      <c r="CA280" s="189"/>
      <c r="CB280" s="189"/>
      <c r="CC280" s="189"/>
      <c r="CD280" s="190"/>
      <c r="CE280" s="188"/>
      <c r="CF280" s="189"/>
      <c r="CG280" s="189"/>
      <c r="CH280" s="189"/>
      <c r="CI280" s="190"/>
    </row>
    <row r="281" s="163" customFormat="1" ht="14.6" spans="1:87">
      <c r="A281" s="191" t="s">
        <v>258</v>
      </c>
      <c r="B281" s="192"/>
      <c r="C281" s="193">
        <f t="shared" si="72"/>
        <v>2478</v>
      </c>
      <c r="D281" s="194">
        <f t="shared" si="60"/>
        <v>1534</v>
      </c>
      <c r="E281" s="194">
        <f t="shared" si="61"/>
        <v>177</v>
      </c>
      <c r="F281" s="194">
        <f t="shared" si="62"/>
        <v>0</v>
      </c>
      <c r="G281" s="195">
        <f t="shared" si="63"/>
        <v>4189</v>
      </c>
      <c r="H281" s="193">
        <f t="shared" si="73"/>
        <v>2478</v>
      </c>
      <c r="I281" s="194">
        <f t="shared" si="64"/>
        <v>1534</v>
      </c>
      <c r="J281" s="194">
        <f t="shared" si="65"/>
        <v>177</v>
      </c>
      <c r="K281" s="194">
        <f t="shared" si="66"/>
        <v>0</v>
      </c>
      <c r="L281" s="195">
        <f t="shared" si="67"/>
        <v>4189</v>
      </c>
      <c r="M281" s="193"/>
      <c r="N281" s="194"/>
      <c r="O281" s="194"/>
      <c r="P281" s="194"/>
      <c r="Q281" s="195"/>
      <c r="R281" s="193"/>
      <c r="S281" s="194"/>
      <c r="T281" s="194"/>
      <c r="U281" s="194"/>
      <c r="V281" s="195"/>
      <c r="W281" s="193"/>
      <c r="X281" s="194"/>
      <c r="Y281" s="194"/>
      <c r="Z281" s="194"/>
      <c r="AA281" s="195"/>
      <c r="AB281" s="193">
        <v>2478</v>
      </c>
      <c r="AC281" s="194">
        <v>1534</v>
      </c>
      <c r="AD281" s="194">
        <v>177</v>
      </c>
      <c r="AE281" s="194"/>
      <c r="AF281" s="195">
        <v>4189</v>
      </c>
      <c r="AG281" s="193"/>
      <c r="AH281" s="194"/>
      <c r="AI281" s="194"/>
      <c r="AJ281" s="194"/>
      <c r="AK281" s="195"/>
      <c r="AL281" s="193"/>
      <c r="AM281" s="194"/>
      <c r="AN281" s="194"/>
      <c r="AO281" s="194"/>
      <c r="AP281" s="195"/>
      <c r="AQ281" s="193"/>
      <c r="AR281" s="194"/>
      <c r="AS281" s="194"/>
      <c r="AT281" s="194"/>
      <c r="AU281" s="195"/>
      <c r="AV281" s="193"/>
      <c r="AW281" s="194"/>
      <c r="AX281" s="194"/>
      <c r="AY281" s="194"/>
      <c r="AZ281" s="195"/>
      <c r="BA281" s="193"/>
      <c r="BB281" s="194"/>
      <c r="BC281" s="194"/>
      <c r="BD281" s="194"/>
      <c r="BE281" s="195"/>
      <c r="BF281" s="193">
        <f t="shared" si="74"/>
        <v>0</v>
      </c>
      <c r="BG281" s="194">
        <f t="shared" si="68"/>
        <v>0</v>
      </c>
      <c r="BH281" s="194">
        <f t="shared" si="69"/>
        <v>0</v>
      </c>
      <c r="BI281" s="194">
        <f t="shared" si="70"/>
        <v>0</v>
      </c>
      <c r="BJ281" s="195">
        <f t="shared" si="71"/>
        <v>0</v>
      </c>
      <c r="BK281" s="193"/>
      <c r="BL281" s="194"/>
      <c r="BM281" s="194"/>
      <c r="BN281" s="194"/>
      <c r="BO281" s="195"/>
      <c r="BP281" s="193"/>
      <c r="BQ281" s="194"/>
      <c r="BR281" s="194"/>
      <c r="BS281" s="194"/>
      <c r="BT281" s="195"/>
      <c r="BU281" s="193"/>
      <c r="BV281" s="194"/>
      <c r="BW281" s="194"/>
      <c r="BX281" s="194"/>
      <c r="BY281" s="195"/>
      <c r="BZ281" s="193"/>
      <c r="CA281" s="194"/>
      <c r="CB281" s="194"/>
      <c r="CC281" s="194"/>
      <c r="CD281" s="195"/>
      <c r="CE281" s="193"/>
      <c r="CF281" s="194"/>
      <c r="CG281" s="194"/>
      <c r="CH281" s="194"/>
      <c r="CI281" s="195"/>
    </row>
    <row r="282" spans="1:87">
      <c r="A282" s="186" t="s">
        <v>259</v>
      </c>
      <c r="B282" s="187" t="s">
        <v>26</v>
      </c>
      <c r="C282" s="188">
        <f t="shared" si="72"/>
        <v>2193</v>
      </c>
      <c r="D282" s="189">
        <f t="shared" si="60"/>
        <v>414</v>
      </c>
      <c r="E282" s="189">
        <f t="shared" si="61"/>
        <v>966</v>
      </c>
      <c r="F282" s="189">
        <f t="shared" si="62"/>
        <v>414</v>
      </c>
      <c r="G282" s="190">
        <f t="shared" si="63"/>
        <v>3987</v>
      </c>
      <c r="H282" s="188">
        <f t="shared" si="73"/>
        <v>951</v>
      </c>
      <c r="I282" s="189">
        <f t="shared" si="64"/>
        <v>207</v>
      </c>
      <c r="J282" s="189">
        <f t="shared" si="65"/>
        <v>966</v>
      </c>
      <c r="K282" s="189">
        <f t="shared" si="66"/>
        <v>345</v>
      </c>
      <c r="L282" s="190">
        <f t="shared" si="67"/>
        <v>2469</v>
      </c>
      <c r="M282" s="188"/>
      <c r="N282" s="189"/>
      <c r="O282" s="189"/>
      <c r="P282" s="189"/>
      <c r="Q282" s="190"/>
      <c r="R282" s="188">
        <v>345</v>
      </c>
      <c r="S282" s="189">
        <v>207</v>
      </c>
      <c r="T282" s="189">
        <v>966</v>
      </c>
      <c r="U282" s="189">
        <v>276</v>
      </c>
      <c r="V282" s="190">
        <v>1794</v>
      </c>
      <c r="W282" s="188"/>
      <c r="X282" s="189"/>
      <c r="Y282" s="189"/>
      <c r="Z282" s="189"/>
      <c r="AA282" s="190"/>
      <c r="AB282" s="188">
        <v>399</v>
      </c>
      <c r="AC282" s="189"/>
      <c r="AD282" s="189"/>
      <c r="AE282" s="189">
        <v>69</v>
      </c>
      <c r="AF282" s="190">
        <v>468</v>
      </c>
      <c r="AG282" s="188"/>
      <c r="AH282" s="189"/>
      <c r="AI282" s="189"/>
      <c r="AJ282" s="189"/>
      <c r="AK282" s="190"/>
      <c r="AL282" s="188"/>
      <c r="AM282" s="189"/>
      <c r="AN282" s="189"/>
      <c r="AO282" s="189"/>
      <c r="AP282" s="190"/>
      <c r="AQ282" s="188"/>
      <c r="AR282" s="189"/>
      <c r="AS282" s="189"/>
      <c r="AT282" s="189"/>
      <c r="AU282" s="190"/>
      <c r="AV282" s="188"/>
      <c r="AW282" s="189"/>
      <c r="AX282" s="189"/>
      <c r="AY282" s="189"/>
      <c r="AZ282" s="190"/>
      <c r="BA282" s="188">
        <v>207</v>
      </c>
      <c r="BB282" s="189"/>
      <c r="BC282" s="189">
        <v>0</v>
      </c>
      <c r="BD282" s="189"/>
      <c r="BE282" s="190">
        <v>207</v>
      </c>
      <c r="BF282" s="188">
        <f t="shared" si="74"/>
        <v>1242</v>
      </c>
      <c r="BG282" s="189">
        <f t="shared" si="68"/>
        <v>207</v>
      </c>
      <c r="BH282" s="189">
        <f t="shared" si="69"/>
        <v>0</v>
      </c>
      <c r="BI282" s="189">
        <f t="shared" si="70"/>
        <v>69</v>
      </c>
      <c r="BJ282" s="190">
        <f t="shared" si="71"/>
        <v>1518</v>
      </c>
      <c r="BK282" s="188"/>
      <c r="BL282" s="189"/>
      <c r="BM282" s="189"/>
      <c r="BN282" s="189"/>
      <c r="BO282" s="190"/>
      <c r="BP282" s="188">
        <v>1242</v>
      </c>
      <c r="BQ282" s="189">
        <v>207</v>
      </c>
      <c r="BR282" s="189"/>
      <c r="BS282" s="189">
        <v>69</v>
      </c>
      <c r="BT282" s="190">
        <v>1518</v>
      </c>
      <c r="BU282" s="188"/>
      <c r="BV282" s="189"/>
      <c r="BW282" s="189"/>
      <c r="BX282" s="189"/>
      <c r="BY282" s="190"/>
      <c r="BZ282" s="188"/>
      <c r="CA282" s="189"/>
      <c r="CB282" s="189"/>
      <c r="CC282" s="189"/>
      <c r="CD282" s="190"/>
      <c r="CE282" s="188"/>
      <c r="CF282" s="189"/>
      <c r="CG282" s="189"/>
      <c r="CH282" s="189"/>
      <c r="CI282" s="190"/>
    </row>
    <row r="283" s="163" customFormat="1" ht="14.6" spans="1:87">
      <c r="A283" s="191" t="s">
        <v>260</v>
      </c>
      <c r="B283" s="192"/>
      <c r="C283" s="193">
        <f t="shared" si="72"/>
        <v>2193</v>
      </c>
      <c r="D283" s="194">
        <f t="shared" si="60"/>
        <v>414</v>
      </c>
      <c r="E283" s="194">
        <f t="shared" si="61"/>
        <v>966</v>
      </c>
      <c r="F283" s="194">
        <f t="shared" si="62"/>
        <v>414</v>
      </c>
      <c r="G283" s="195">
        <f t="shared" si="63"/>
        <v>3987</v>
      </c>
      <c r="H283" s="193">
        <f t="shared" si="73"/>
        <v>951</v>
      </c>
      <c r="I283" s="194">
        <f t="shared" si="64"/>
        <v>207</v>
      </c>
      <c r="J283" s="194">
        <f t="shared" si="65"/>
        <v>966</v>
      </c>
      <c r="K283" s="194">
        <f t="shared" si="66"/>
        <v>345</v>
      </c>
      <c r="L283" s="195">
        <f t="shared" si="67"/>
        <v>2469</v>
      </c>
      <c r="M283" s="193"/>
      <c r="N283" s="194"/>
      <c r="O283" s="194"/>
      <c r="P283" s="194"/>
      <c r="Q283" s="195"/>
      <c r="R283" s="193">
        <v>345</v>
      </c>
      <c r="S283" s="194">
        <v>207</v>
      </c>
      <c r="T283" s="194">
        <v>966</v>
      </c>
      <c r="U283" s="194">
        <v>276</v>
      </c>
      <c r="V283" s="195">
        <v>1794</v>
      </c>
      <c r="W283" s="193"/>
      <c r="X283" s="194"/>
      <c r="Y283" s="194"/>
      <c r="Z283" s="194"/>
      <c r="AA283" s="195"/>
      <c r="AB283" s="193">
        <v>399</v>
      </c>
      <c r="AC283" s="194"/>
      <c r="AD283" s="194"/>
      <c r="AE283" s="194">
        <v>69</v>
      </c>
      <c r="AF283" s="195">
        <v>468</v>
      </c>
      <c r="AG283" s="193"/>
      <c r="AH283" s="194"/>
      <c r="AI283" s="194"/>
      <c r="AJ283" s="194"/>
      <c r="AK283" s="195"/>
      <c r="AL283" s="193"/>
      <c r="AM283" s="194"/>
      <c r="AN283" s="194"/>
      <c r="AO283" s="194"/>
      <c r="AP283" s="195"/>
      <c r="AQ283" s="193"/>
      <c r="AR283" s="194"/>
      <c r="AS283" s="194"/>
      <c r="AT283" s="194"/>
      <c r="AU283" s="195"/>
      <c r="AV283" s="193"/>
      <c r="AW283" s="194"/>
      <c r="AX283" s="194"/>
      <c r="AY283" s="194"/>
      <c r="AZ283" s="195"/>
      <c r="BA283" s="193">
        <v>207</v>
      </c>
      <c r="BB283" s="194"/>
      <c r="BC283" s="194">
        <v>0</v>
      </c>
      <c r="BD283" s="194"/>
      <c r="BE283" s="195">
        <v>207</v>
      </c>
      <c r="BF283" s="193">
        <f t="shared" si="74"/>
        <v>1242</v>
      </c>
      <c r="BG283" s="194">
        <f t="shared" si="68"/>
        <v>207</v>
      </c>
      <c r="BH283" s="194">
        <f t="shared" si="69"/>
        <v>0</v>
      </c>
      <c r="BI283" s="194">
        <f t="shared" si="70"/>
        <v>69</v>
      </c>
      <c r="BJ283" s="195">
        <f t="shared" si="71"/>
        <v>1518</v>
      </c>
      <c r="BK283" s="193"/>
      <c r="BL283" s="194"/>
      <c r="BM283" s="194"/>
      <c r="BN283" s="194"/>
      <c r="BO283" s="195"/>
      <c r="BP283" s="193">
        <v>1242</v>
      </c>
      <c r="BQ283" s="194">
        <v>207</v>
      </c>
      <c r="BR283" s="194"/>
      <c r="BS283" s="194">
        <v>69</v>
      </c>
      <c r="BT283" s="195">
        <v>1518</v>
      </c>
      <c r="BU283" s="193"/>
      <c r="BV283" s="194"/>
      <c r="BW283" s="194"/>
      <c r="BX283" s="194"/>
      <c r="BY283" s="195"/>
      <c r="BZ283" s="193"/>
      <c r="CA283" s="194"/>
      <c r="CB283" s="194"/>
      <c r="CC283" s="194"/>
      <c r="CD283" s="195"/>
      <c r="CE283" s="193"/>
      <c r="CF283" s="194"/>
      <c r="CG283" s="194"/>
      <c r="CH283" s="194"/>
      <c r="CI283" s="195"/>
    </row>
    <row r="284" spans="1:87">
      <c r="A284" s="186" t="s">
        <v>261</v>
      </c>
      <c r="B284" s="187" t="s">
        <v>26</v>
      </c>
      <c r="C284" s="188">
        <f t="shared" si="72"/>
        <v>2832</v>
      </c>
      <c r="D284" s="189">
        <f t="shared" si="60"/>
        <v>118</v>
      </c>
      <c r="E284" s="189">
        <f t="shared" si="61"/>
        <v>590</v>
      </c>
      <c r="F284" s="189">
        <f t="shared" si="62"/>
        <v>0</v>
      </c>
      <c r="G284" s="190">
        <f t="shared" si="63"/>
        <v>3540</v>
      </c>
      <c r="H284" s="188">
        <f t="shared" si="73"/>
        <v>2832</v>
      </c>
      <c r="I284" s="189">
        <f t="shared" si="64"/>
        <v>118</v>
      </c>
      <c r="J284" s="189">
        <f t="shared" si="65"/>
        <v>590</v>
      </c>
      <c r="K284" s="189">
        <f t="shared" si="66"/>
        <v>0</v>
      </c>
      <c r="L284" s="190">
        <f t="shared" si="67"/>
        <v>3540</v>
      </c>
      <c r="M284" s="188"/>
      <c r="N284" s="189"/>
      <c r="O284" s="189"/>
      <c r="P284" s="189"/>
      <c r="Q284" s="190"/>
      <c r="R284" s="188"/>
      <c r="S284" s="189"/>
      <c r="T284" s="189"/>
      <c r="U284" s="189"/>
      <c r="V284" s="190"/>
      <c r="W284" s="188"/>
      <c r="X284" s="189"/>
      <c r="Y284" s="189"/>
      <c r="Z284" s="189"/>
      <c r="AA284" s="190"/>
      <c r="AB284" s="188">
        <v>2832</v>
      </c>
      <c r="AC284" s="189">
        <v>118</v>
      </c>
      <c r="AD284" s="189">
        <v>590</v>
      </c>
      <c r="AE284" s="189"/>
      <c r="AF284" s="190">
        <v>3540</v>
      </c>
      <c r="AG284" s="188"/>
      <c r="AH284" s="189"/>
      <c r="AI284" s="189"/>
      <c r="AJ284" s="189"/>
      <c r="AK284" s="190"/>
      <c r="AL284" s="188"/>
      <c r="AM284" s="189"/>
      <c r="AN284" s="189"/>
      <c r="AO284" s="189"/>
      <c r="AP284" s="190"/>
      <c r="AQ284" s="188"/>
      <c r="AR284" s="189"/>
      <c r="AS284" s="189"/>
      <c r="AT284" s="189"/>
      <c r="AU284" s="190"/>
      <c r="AV284" s="188"/>
      <c r="AW284" s="189"/>
      <c r="AX284" s="189"/>
      <c r="AY284" s="189"/>
      <c r="AZ284" s="190"/>
      <c r="BA284" s="188"/>
      <c r="BB284" s="189"/>
      <c r="BC284" s="189"/>
      <c r="BD284" s="189"/>
      <c r="BE284" s="190"/>
      <c r="BF284" s="188">
        <f t="shared" si="74"/>
        <v>0</v>
      </c>
      <c r="BG284" s="189">
        <f t="shared" si="68"/>
        <v>0</v>
      </c>
      <c r="BH284" s="189">
        <f t="shared" si="69"/>
        <v>0</v>
      </c>
      <c r="BI284" s="189">
        <f t="shared" si="70"/>
        <v>0</v>
      </c>
      <c r="BJ284" s="190">
        <f t="shared" si="71"/>
        <v>0</v>
      </c>
      <c r="BK284" s="188"/>
      <c r="BL284" s="189"/>
      <c r="BM284" s="189"/>
      <c r="BN284" s="189"/>
      <c r="BO284" s="190"/>
      <c r="BP284" s="188"/>
      <c r="BQ284" s="189"/>
      <c r="BR284" s="189"/>
      <c r="BS284" s="189"/>
      <c r="BT284" s="190"/>
      <c r="BU284" s="188"/>
      <c r="BV284" s="189"/>
      <c r="BW284" s="189"/>
      <c r="BX284" s="189"/>
      <c r="BY284" s="190"/>
      <c r="BZ284" s="188"/>
      <c r="CA284" s="189"/>
      <c r="CB284" s="189"/>
      <c r="CC284" s="189"/>
      <c r="CD284" s="190"/>
      <c r="CE284" s="188"/>
      <c r="CF284" s="189"/>
      <c r="CG284" s="189"/>
      <c r="CH284" s="189"/>
      <c r="CI284" s="190"/>
    </row>
    <row r="285" s="163" customFormat="1" ht="14.6" spans="1:87">
      <c r="A285" s="191" t="s">
        <v>262</v>
      </c>
      <c r="B285" s="192"/>
      <c r="C285" s="193">
        <f t="shared" si="72"/>
        <v>2832</v>
      </c>
      <c r="D285" s="194">
        <f t="shared" si="60"/>
        <v>118</v>
      </c>
      <c r="E285" s="194">
        <f t="shared" si="61"/>
        <v>590</v>
      </c>
      <c r="F285" s="194">
        <f t="shared" si="62"/>
        <v>0</v>
      </c>
      <c r="G285" s="195">
        <f t="shared" si="63"/>
        <v>3540</v>
      </c>
      <c r="H285" s="193">
        <f t="shared" si="73"/>
        <v>2832</v>
      </c>
      <c r="I285" s="194">
        <f t="shared" si="64"/>
        <v>118</v>
      </c>
      <c r="J285" s="194">
        <f t="shared" si="65"/>
        <v>590</v>
      </c>
      <c r="K285" s="194">
        <f t="shared" si="66"/>
        <v>0</v>
      </c>
      <c r="L285" s="195">
        <f t="shared" si="67"/>
        <v>3540</v>
      </c>
      <c r="M285" s="193"/>
      <c r="N285" s="194"/>
      <c r="O285" s="194"/>
      <c r="P285" s="194"/>
      <c r="Q285" s="195"/>
      <c r="R285" s="193"/>
      <c r="S285" s="194"/>
      <c r="T285" s="194"/>
      <c r="U285" s="194"/>
      <c r="V285" s="195"/>
      <c r="W285" s="193"/>
      <c r="X285" s="194"/>
      <c r="Y285" s="194"/>
      <c r="Z285" s="194"/>
      <c r="AA285" s="195"/>
      <c r="AB285" s="193">
        <v>2832</v>
      </c>
      <c r="AC285" s="194">
        <v>118</v>
      </c>
      <c r="AD285" s="194">
        <v>590</v>
      </c>
      <c r="AE285" s="194"/>
      <c r="AF285" s="195">
        <v>3540</v>
      </c>
      <c r="AG285" s="193"/>
      <c r="AH285" s="194"/>
      <c r="AI285" s="194"/>
      <c r="AJ285" s="194"/>
      <c r="AK285" s="195"/>
      <c r="AL285" s="193"/>
      <c r="AM285" s="194"/>
      <c r="AN285" s="194"/>
      <c r="AO285" s="194"/>
      <c r="AP285" s="195"/>
      <c r="AQ285" s="193"/>
      <c r="AR285" s="194"/>
      <c r="AS285" s="194"/>
      <c r="AT285" s="194"/>
      <c r="AU285" s="195"/>
      <c r="AV285" s="193"/>
      <c r="AW285" s="194"/>
      <c r="AX285" s="194"/>
      <c r="AY285" s="194"/>
      <c r="AZ285" s="195"/>
      <c r="BA285" s="193"/>
      <c r="BB285" s="194"/>
      <c r="BC285" s="194"/>
      <c r="BD285" s="194"/>
      <c r="BE285" s="195"/>
      <c r="BF285" s="193">
        <f t="shared" si="74"/>
        <v>0</v>
      </c>
      <c r="BG285" s="194">
        <f t="shared" si="68"/>
        <v>0</v>
      </c>
      <c r="BH285" s="194">
        <f t="shared" si="69"/>
        <v>0</v>
      </c>
      <c r="BI285" s="194">
        <f t="shared" si="70"/>
        <v>0</v>
      </c>
      <c r="BJ285" s="195">
        <f t="shared" si="71"/>
        <v>0</v>
      </c>
      <c r="BK285" s="193"/>
      <c r="BL285" s="194"/>
      <c r="BM285" s="194"/>
      <c r="BN285" s="194"/>
      <c r="BO285" s="195"/>
      <c r="BP285" s="193"/>
      <c r="BQ285" s="194"/>
      <c r="BR285" s="194"/>
      <c r="BS285" s="194"/>
      <c r="BT285" s="195"/>
      <c r="BU285" s="193"/>
      <c r="BV285" s="194"/>
      <c r="BW285" s="194"/>
      <c r="BX285" s="194"/>
      <c r="BY285" s="195"/>
      <c r="BZ285" s="193"/>
      <c r="CA285" s="194"/>
      <c r="CB285" s="194"/>
      <c r="CC285" s="194"/>
      <c r="CD285" s="195"/>
      <c r="CE285" s="193"/>
      <c r="CF285" s="194"/>
      <c r="CG285" s="194"/>
      <c r="CH285" s="194"/>
      <c r="CI285" s="195"/>
    </row>
    <row r="286" spans="1:87">
      <c r="A286" s="186" t="s">
        <v>263</v>
      </c>
      <c r="B286" s="187" t="s">
        <v>26</v>
      </c>
      <c r="C286" s="188">
        <f t="shared" si="72"/>
        <v>2396</v>
      </c>
      <c r="D286" s="189">
        <f t="shared" si="60"/>
        <v>0</v>
      </c>
      <c r="E286" s="189">
        <f t="shared" si="61"/>
        <v>0</v>
      </c>
      <c r="F286" s="189">
        <f t="shared" si="62"/>
        <v>599</v>
      </c>
      <c r="G286" s="190">
        <f t="shared" si="63"/>
        <v>2995</v>
      </c>
      <c r="H286" s="188">
        <f t="shared" si="73"/>
        <v>2396</v>
      </c>
      <c r="I286" s="189">
        <f t="shared" si="64"/>
        <v>0</v>
      </c>
      <c r="J286" s="189">
        <f t="shared" si="65"/>
        <v>0</v>
      </c>
      <c r="K286" s="189">
        <f t="shared" si="66"/>
        <v>599</v>
      </c>
      <c r="L286" s="190">
        <f t="shared" si="67"/>
        <v>2995</v>
      </c>
      <c r="M286" s="188">
        <v>2396</v>
      </c>
      <c r="N286" s="189"/>
      <c r="O286" s="189"/>
      <c r="P286" s="189">
        <v>599</v>
      </c>
      <c r="Q286" s="190">
        <v>2995</v>
      </c>
      <c r="R286" s="188"/>
      <c r="S286" s="189"/>
      <c r="T286" s="189"/>
      <c r="U286" s="189"/>
      <c r="V286" s="190"/>
      <c r="W286" s="188"/>
      <c r="X286" s="189"/>
      <c r="Y286" s="189"/>
      <c r="Z286" s="189"/>
      <c r="AA286" s="190"/>
      <c r="AB286" s="188"/>
      <c r="AC286" s="189"/>
      <c r="AD286" s="189"/>
      <c r="AE286" s="189"/>
      <c r="AF286" s="190"/>
      <c r="AG286" s="188"/>
      <c r="AH286" s="189"/>
      <c r="AI286" s="189"/>
      <c r="AJ286" s="189"/>
      <c r="AK286" s="190"/>
      <c r="AL286" s="188"/>
      <c r="AM286" s="189"/>
      <c r="AN286" s="189"/>
      <c r="AO286" s="189"/>
      <c r="AP286" s="190"/>
      <c r="AQ286" s="188"/>
      <c r="AR286" s="189"/>
      <c r="AS286" s="189"/>
      <c r="AT286" s="189"/>
      <c r="AU286" s="190"/>
      <c r="AV286" s="188"/>
      <c r="AW286" s="189"/>
      <c r="AX286" s="189"/>
      <c r="AY286" s="189"/>
      <c r="AZ286" s="190"/>
      <c r="BA286" s="188"/>
      <c r="BB286" s="189"/>
      <c r="BC286" s="189"/>
      <c r="BD286" s="189"/>
      <c r="BE286" s="190"/>
      <c r="BF286" s="188">
        <f t="shared" si="74"/>
        <v>0</v>
      </c>
      <c r="BG286" s="189">
        <f t="shared" si="68"/>
        <v>0</v>
      </c>
      <c r="BH286" s="189">
        <f t="shared" si="69"/>
        <v>0</v>
      </c>
      <c r="BI286" s="189">
        <f t="shared" si="70"/>
        <v>0</v>
      </c>
      <c r="BJ286" s="190">
        <f t="shared" si="71"/>
        <v>0</v>
      </c>
      <c r="BK286" s="188"/>
      <c r="BL286" s="189"/>
      <c r="BM286" s="189"/>
      <c r="BN286" s="189"/>
      <c r="BO286" s="190"/>
      <c r="BP286" s="188"/>
      <c r="BQ286" s="189"/>
      <c r="BR286" s="189"/>
      <c r="BS286" s="189"/>
      <c r="BT286" s="190"/>
      <c r="BU286" s="188"/>
      <c r="BV286" s="189"/>
      <c r="BW286" s="189"/>
      <c r="BX286" s="189"/>
      <c r="BY286" s="190"/>
      <c r="BZ286" s="188"/>
      <c r="CA286" s="189"/>
      <c r="CB286" s="189"/>
      <c r="CC286" s="189"/>
      <c r="CD286" s="190"/>
      <c r="CE286" s="188"/>
      <c r="CF286" s="189"/>
      <c r="CG286" s="189"/>
      <c r="CH286" s="189"/>
      <c r="CI286" s="190"/>
    </row>
    <row r="287" s="163" customFormat="1" ht="14.6" spans="1:87">
      <c r="A287" s="191" t="s">
        <v>264</v>
      </c>
      <c r="B287" s="192"/>
      <c r="C287" s="193">
        <f t="shared" si="72"/>
        <v>2396</v>
      </c>
      <c r="D287" s="194">
        <f t="shared" si="60"/>
        <v>0</v>
      </c>
      <c r="E287" s="194">
        <f t="shared" si="61"/>
        <v>0</v>
      </c>
      <c r="F287" s="194">
        <f t="shared" si="62"/>
        <v>599</v>
      </c>
      <c r="G287" s="195">
        <f t="shared" si="63"/>
        <v>2995</v>
      </c>
      <c r="H287" s="193">
        <f t="shared" si="73"/>
        <v>2396</v>
      </c>
      <c r="I287" s="194">
        <f t="shared" si="64"/>
        <v>0</v>
      </c>
      <c r="J287" s="194">
        <f t="shared" si="65"/>
        <v>0</v>
      </c>
      <c r="K287" s="194">
        <f t="shared" si="66"/>
        <v>599</v>
      </c>
      <c r="L287" s="195">
        <f t="shared" si="67"/>
        <v>2995</v>
      </c>
      <c r="M287" s="193">
        <v>2396</v>
      </c>
      <c r="N287" s="194"/>
      <c r="O287" s="194"/>
      <c r="P287" s="194">
        <v>599</v>
      </c>
      <c r="Q287" s="195">
        <v>2995</v>
      </c>
      <c r="R287" s="193"/>
      <c r="S287" s="194"/>
      <c r="T287" s="194"/>
      <c r="U287" s="194"/>
      <c r="V287" s="195"/>
      <c r="W287" s="193"/>
      <c r="X287" s="194"/>
      <c r="Y287" s="194"/>
      <c r="Z287" s="194"/>
      <c r="AA287" s="195"/>
      <c r="AB287" s="193"/>
      <c r="AC287" s="194"/>
      <c r="AD287" s="194"/>
      <c r="AE287" s="194"/>
      <c r="AF287" s="195"/>
      <c r="AG287" s="193"/>
      <c r="AH287" s="194"/>
      <c r="AI287" s="194"/>
      <c r="AJ287" s="194"/>
      <c r="AK287" s="195"/>
      <c r="AL287" s="193"/>
      <c r="AM287" s="194"/>
      <c r="AN287" s="194"/>
      <c r="AO287" s="194"/>
      <c r="AP287" s="195"/>
      <c r="AQ287" s="193"/>
      <c r="AR287" s="194"/>
      <c r="AS287" s="194"/>
      <c r="AT287" s="194"/>
      <c r="AU287" s="195"/>
      <c r="AV287" s="193"/>
      <c r="AW287" s="194"/>
      <c r="AX287" s="194"/>
      <c r="AY287" s="194"/>
      <c r="AZ287" s="195"/>
      <c r="BA287" s="193"/>
      <c r="BB287" s="194"/>
      <c r="BC287" s="194"/>
      <c r="BD287" s="194"/>
      <c r="BE287" s="195"/>
      <c r="BF287" s="193">
        <f t="shared" si="74"/>
        <v>0</v>
      </c>
      <c r="BG287" s="194">
        <f t="shared" si="68"/>
        <v>0</v>
      </c>
      <c r="BH287" s="194">
        <f t="shared" si="69"/>
        <v>0</v>
      </c>
      <c r="BI287" s="194">
        <f t="shared" si="70"/>
        <v>0</v>
      </c>
      <c r="BJ287" s="195">
        <f t="shared" si="71"/>
        <v>0</v>
      </c>
      <c r="BK287" s="193"/>
      <c r="BL287" s="194"/>
      <c r="BM287" s="194"/>
      <c r="BN287" s="194"/>
      <c r="BO287" s="195"/>
      <c r="BP287" s="193"/>
      <c r="BQ287" s="194"/>
      <c r="BR287" s="194"/>
      <c r="BS287" s="194"/>
      <c r="BT287" s="195"/>
      <c r="BU287" s="193"/>
      <c r="BV287" s="194"/>
      <c r="BW287" s="194"/>
      <c r="BX287" s="194"/>
      <c r="BY287" s="195"/>
      <c r="BZ287" s="193"/>
      <c r="CA287" s="194"/>
      <c r="CB287" s="194"/>
      <c r="CC287" s="194"/>
      <c r="CD287" s="195"/>
      <c r="CE287" s="193"/>
      <c r="CF287" s="194"/>
      <c r="CG287" s="194"/>
      <c r="CH287" s="194"/>
      <c r="CI287" s="195"/>
    </row>
    <row r="288" spans="1:87">
      <c r="A288" s="186" t="s">
        <v>265</v>
      </c>
      <c r="B288" s="187" t="s">
        <v>27</v>
      </c>
      <c r="C288" s="188">
        <f t="shared" si="72"/>
        <v>0</v>
      </c>
      <c r="D288" s="189">
        <f t="shared" si="60"/>
        <v>2598</v>
      </c>
      <c r="E288" s="189">
        <f t="shared" si="61"/>
        <v>0</v>
      </c>
      <c r="F288" s="189">
        <f t="shared" si="62"/>
        <v>0</v>
      </c>
      <c r="G288" s="190">
        <f t="shared" si="63"/>
        <v>2598</v>
      </c>
      <c r="H288" s="188">
        <f t="shared" si="73"/>
        <v>0</v>
      </c>
      <c r="I288" s="189">
        <f t="shared" si="64"/>
        <v>1299</v>
      </c>
      <c r="J288" s="189">
        <f t="shared" si="65"/>
        <v>0</v>
      </c>
      <c r="K288" s="189">
        <f t="shared" si="66"/>
        <v>0</v>
      </c>
      <c r="L288" s="190">
        <f t="shared" si="67"/>
        <v>1299</v>
      </c>
      <c r="M288" s="188"/>
      <c r="N288" s="189"/>
      <c r="O288" s="189"/>
      <c r="P288" s="189"/>
      <c r="Q288" s="190"/>
      <c r="R288" s="188"/>
      <c r="S288" s="189"/>
      <c r="T288" s="189"/>
      <c r="U288" s="189"/>
      <c r="V288" s="190"/>
      <c r="W288" s="188"/>
      <c r="X288" s="189"/>
      <c r="Y288" s="189"/>
      <c r="Z288" s="189"/>
      <c r="AA288" s="190"/>
      <c r="AB288" s="188"/>
      <c r="AC288" s="189"/>
      <c r="AD288" s="189"/>
      <c r="AE288" s="189"/>
      <c r="AF288" s="190"/>
      <c r="AG288" s="188"/>
      <c r="AH288" s="189"/>
      <c r="AI288" s="189"/>
      <c r="AJ288" s="189"/>
      <c r="AK288" s="190"/>
      <c r="AL288" s="188"/>
      <c r="AM288" s="189"/>
      <c r="AN288" s="189"/>
      <c r="AO288" s="189"/>
      <c r="AP288" s="190"/>
      <c r="AQ288" s="188"/>
      <c r="AR288" s="189"/>
      <c r="AS288" s="189"/>
      <c r="AT288" s="189"/>
      <c r="AU288" s="190"/>
      <c r="AV288" s="188"/>
      <c r="AW288" s="189"/>
      <c r="AX288" s="189"/>
      <c r="AY288" s="189"/>
      <c r="AZ288" s="190"/>
      <c r="BA288" s="188"/>
      <c r="BB288" s="189">
        <v>1299</v>
      </c>
      <c r="BC288" s="189"/>
      <c r="BD288" s="189"/>
      <c r="BE288" s="190">
        <v>1299</v>
      </c>
      <c r="BF288" s="188">
        <f t="shared" si="74"/>
        <v>0</v>
      </c>
      <c r="BG288" s="189">
        <f t="shared" si="68"/>
        <v>1299</v>
      </c>
      <c r="BH288" s="189">
        <f t="shared" si="69"/>
        <v>0</v>
      </c>
      <c r="BI288" s="189">
        <f t="shared" si="70"/>
        <v>0</v>
      </c>
      <c r="BJ288" s="190">
        <f t="shared" si="71"/>
        <v>1299</v>
      </c>
      <c r="BK288" s="188"/>
      <c r="BL288" s="189">
        <v>1299</v>
      </c>
      <c r="BM288" s="189"/>
      <c r="BN288" s="189"/>
      <c r="BO288" s="190">
        <v>1299</v>
      </c>
      <c r="BP288" s="188"/>
      <c r="BQ288" s="189"/>
      <c r="BR288" s="189"/>
      <c r="BS288" s="189"/>
      <c r="BT288" s="190"/>
      <c r="BU288" s="188"/>
      <c r="BV288" s="189"/>
      <c r="BW288" s="189"/>
      <c r="BX288" s="189"/>
      <c r="BY288" s="190"/>
      <c r="BZ288" s="188"/>
      <c r="CA288" s="189"/>
      <c r="CB288" s="189"/>
      <c r="CC288" s="189"/>
      <c r="CD288" s="190"/>
      <c r="CE288" s="188"/>
      <c r="CF288" s="189"/>
      <c r="CG288" s="189"/>
      <c r="CH288" s="189"/>
      <c r="CI288" s="190"/>
    </row>
    <row r="289" s="163" customFormat="1" ht="14.6" spans="1:87">
      <c r="A289" s="191" t="s">
        <v>266</v>
      </c>
      <c r="B289" s="192"/>
      <c r="C289" s="193">
        <f t="shared" si="72"/>
        <v>0</v>
      </c>
      <c r="D289" s="194">
        <f t="shared" si="60"/>
        <v>2598</v>
      </c>
      <c r="E289" s="194">
        <f t="shared" si="61"/>
        <v>0</v>
      </c>
      <c r="F289" s="194">
        <f t="shared" si="62"/>
        <v>0</v>
      </c>
      <c r="G289" s="195">
        <f t="shared" si="63"/>
        <v>2598</v>
      </c>
      <c r="H289" s="193">
        <f t="shared" si="73"/>
        <v>0</v>
      </c>
      <c r="I289" s="194">
        <f t="shared" si="64"/>
        <v>1299</v>
      </c>
      <c r="J289" s="194">
        <f t="shared" si="65"/>
        <v>0</v>
      </c>
      <c r="K289" s="194">
        <f t="shared" si="66"/>
        <v>0</v>
      </c>
      <c r="L289" s="195">
        <f t="shared" si="67"/>
        <v>1299</v>
      </c>
      <c r="M289" s="193"/>
      <c r="N289" s="194"/>
      <c r="O289" s="194"/>
      <c r="P289" s="194"/>
      <c r="Q289" s="195"/>
      <c r="R289" s="193"/>
      <c r="S289" s="194"/>
      <c r="T289" s="194"/>
      <c r="U289" s="194"/>
      <c r="V289" s="195"/>
      <c r="W289" s="193"/>
      <c r="X289" s="194"/>
      <c r="Y289" s="194"/>
      <c r="Z289" s="194"/>
      <c r="AA289" s="195"/>
      <c r="AB289" s="193"/>
      <c r="AC289" s="194"/>
      <c r="AD289" s="194"/>
      <c r="AE289" s="194"/>
      <c r="AF289" s="195"/>
      <c r="AG289" s="193"/>
      <c r="AH289" s="194"/>
      <c r="AI289" s="194"/>
      <c r="AJ289" s="194"/>
      <c r="AK289" s="195"/>
      <c r="AL289" s="193"/>
      <c r="AM289" s="194"/>
      <c r="AN289" s="194"/>
      <c r="AO289" s="194"/>
      <c r="AP289" s="195"/>
      <c r="AQ289" s="193"/>
      <c r="AR289" s="194"/>
      <c r="AS289" s="194"/>
      <c r="AT289" s="194"/>
      <c r="AU289" s="195"/>
      <c r="AV289" s="193"/>
      <c r="AW289" s="194"/>
      <c r="AX289" s="194"/>
      <c r="AY289" s="194"/>
      <c r="AZ289" s="195"/>
      <c r="BA289" s="193"/>
      <c r="BB289" s="194">
        <v>1299</v>
      </c>
      <c r="BC289" s="194"/>
      <c r="BD289" s="194"/>
      <c r="BE289" s="195">
        <v>1299</v>
      </c>
      <c r="BF289" s="193">
        <f t="shared" si="74"/>
        <v>0</v>
      </c>
      <c r="BG289" s="194">
        <f t="shared" si="68"/>
        <v>1299</v>
      </c>
      <c r="BH289" s="194">
        <f t="shared" si="69"/>
        <v>0</v>
      </c>
      <c r="BI289" s="194">
        <f t="shared" si="70"/>
        <v>0</v>
      </c>
      <c r="BJ289" s="195">
        <f t="shared" si="71"/>
        <v>1299</v>
      </c>
      <c r="BK289" s="193"/>
      <c r="BL289" s="194">
        <v>1299</v>
      </c>
      <c r="BM289" s="194"/>
      <c r="BN289" s="194"/>
      <c r="BO289" s="195">
        <v>1299</v>
      </c>
      <c r="BP289" s="193"/>
      <c r="BQ289" s="194"/>
      <c r="BR289" s="194"/>
      <c r="BS289" s="194"/>
      <c r="BT289" s="195"/>
      <c r="BU289" s="193"/>
      <c r="BV289" s="194"/>
      <c r="BW289" s="194"/>
      <c r="BX289" s="194"/>
      <c r="BY289" s="195"/>
      <c r="BZ289" s="193"/>
      <c r="CA289" s="194"/>
      <c r="CB289" s="194"/>
      <c r="CC289" s="194"/>
      <c r="CD289" s="195"/>
      <c r="CE289" s="193"/>
      <c r="CF289" s="194"/>
      <c r="CG289" s="194"/>
      <c r="CH289" s="194"/>
      <c r="CI289" s="195"/>
    </row>
    <row r="290" spans="1:87">
      <c r="A290" s="186" t="s">
        <v>267</v>
      </c>
      <c r="B290" s="187" t="s">
        <v>26</v>
      </c>
      <c r="C290" s="188">
        <f t="shared" si="72"/>
        <v>472</v>
      </c>
      <c r="D290" s="189">
        <f t="shared" si="60"/>
        <v>767</v>
      </c>
      <c r="E290" s="189">
        <f t="shared" si="61"/>
        <v>413</v>
      </c>
      <c r="F290" s="189">
        <f t="shared" si="62"/>
        <v>708</v>
      </c>
      <c r="G290" s="190">
        <f t="shared" si="63"/>
        <v>2360</v>
      </c>
      <c r="H290" s="188">
        <f t="shared" si="73"/>
        <v>472</v>
      </c>
      <c r="I290" s="189">
        <f t="shared" si="64"/>
        <v>767</v>
      </c>
      <c r="J290" s="189">
        <f t="shared" si="65"/>
        <v>413</v>
      </c>
      <c r="K290" s="189">
        <f t="shared" si="66"/>
        <v>708</v>
      </c>
      <c r="L290" s="190">
        <f t="shared" si="67"/>
        <v>2360</v>
      </c>
      <c r="M290" s="188"/>
      <c r="N290" s="189"/>
      <c r="O290" s="189"/>
      <c r="P290" s="189"/>
      <c r="Q290" s="190"/>
      <c r="R290" s="188"/>
      <c r="S290" s="189"/>
      <c r="T290" s="189"/>
      <c r="U290" s="189"/>
      <c r="V290" s="190"/>
      <c r="W290" s="188"/>
      <c r="X290" s="189"/>
      <c r="Y290" s="189"/>
      <c r="Z290" s="189"/>
      <c r="AA290" s="190"/>
      <c r="AB290" s="188">
        <v>413</v>
      </c>
      <c r="AC290" s="189">
        <v>767</v>
      </c>
      <c r="AD290" s="189">
        <v>413</v>
      </c>
      <c r="AE290" s="189">
        <v>708</v>
      </c>
      <c r="AF290" s="190">
        <v>2301</v>
      </c>
      <c r="AG290" s="188"/>
      <c r="AH290" s="189"/>
      <c r="AI290" s="189"/>
      <c r="AJ290" s="189"/>
      <c r="AK290" s="190"/>
      <c r="AL290" s="188"/>
      <c r="AM290" s="189"/>
      <c r="AN290" s="189"/>
      <c r="AO290" s="189"/>
      <c r="AP290" s="190"/>
      <c r="AQ290" s="188"/>
      <c r="AR290" s="189"/>
      <c r="AS290" s="189"/>
      <c r="AT290" s="189"/>
      <c r="AU290" s="190"/>
      <c r="AV290" s="188">
        <v>59</v>
      </c>
      <c r="AW290" s="189"/>
      <c r="AX290" s="189"/>
      <c r="AY290" s="189"/>
      <c r="AZ290" s="190">
        <v>59</v>
      </c>
      <c r="BA290" s="188"/>
      <c r="BB290" s="189"/>
      <c r="BC290" s="189"/>
      <c r="BD290" s="189"/>
      <c r="BE290" s="190"/>
      <c r="BF290" s="188">
        <f t="shared" si="74"/>
        <v>0</v>
      </c>
      <c r="BG290" s="189">
        <f t="shared" si="68"/>
        <v>0</v>
      </c>
      <c r="BH290" s="189">
        <f t="shared" si="69"/>
        <v>0</v>
      </c>
      <c r="BI290" s="189">
        <f t="shared" si="70"/>
        <v>0</v>
      </c>
      <c r="BJ290" s="190">
        <f t="shared" si="71"/>
        <v>0</v>
      </c>
      <c r="BK290" s="188"/>
      <c r="BL290" s="189"/>
      <c r="BM290" s="189"/>
      <c r="BN290" s="189"/>
      <c r="BO290" s="190"/>
      <c r="BP290" s="188"/>
      <c r="BQ290" s="189"/>
      <c r="BR290" s="189"/>
      <c r="BS290" s="189"/>
      <c r="BT290" s="190"/>
      <c r="BU290" s="188"/>
      <c r="BV290" s="189"/>
      <c r="BW290" s="189"/>
      <c r="BX290" s="189"/>
      <c r="BY290" s="190"/>
      <c r="BZ290" s="188"/>
      <c r="CA290" s="189"/>
      <c r="CB290" s="189"/>
      <c r="CC290" s="189"/>
      <c r="CD290" s="190"/>
      <c r="CE290" s="188"/>
      <c r="CF290" s="189"/>
      <c r="CG290" s="189"/>
      <c r="CH290" s="189"/>
      <c r="CI290" s="190"/>
    </row>
    <row r="291" s="163" customFormat="1" ht="14.6" spans="1:87">
      <c r="A291" s="191" t="s">
        <v>268</v>
      </c>
      <c r="B291" s="192"/>
      <c r="C291" s="193">
        <f t="shared" si="72"/>
        <v>472</v>
      </c>
      <c r="D291" s="194">
        <f t="shared" si="60"/>
        <v>767</v>
      </c>
      <c r="E291" s="194">
        <f t="shared" si="61"/>
        <v>413</v>
      </c>
      <c r="F291" s="194">
        <f t="shared" si="62"/>
        <v>708</v>
      </c>
      <c r="G291" s="195">
        <f t="shared" si="63"/>
        <v>2360</v>
      </c>
      <c r="H291" s="193">
        <f t="shared" si="73"/>
        <v>472</v>
      </c>
      <c r="I291" s="194">
        <f t="shared" si="64"/>
        <v>767</v>
      </c>
      <c r="J291" s="194">
        <f t="shared" si="65"/>
        <v>413</v>
      </c>
      <c r="K291" s="194">
        <f t="shared" si="66"/>
        <v>708</v>
      </c>
      <c r="L291" s="195">
        <f t="shared" si="67"/>
        <v>2360</v>
      </c>
      <c r="M291" s="193"/>
      <c r="N291" s="194"/>
      <c r="O291" s="194"/>
      <c r="P291" s="194"/>
      <c r="Q291" s="195"/>
      <c r="R291" s="193"/>
      <c r="S291" s="194"/>
      <c r="T291" s="194"/>
      <c r="U291" s="194"/>
      <c r="V291" s="195"/>
      <c r="W291" s="193"/>
      <c r="X291" s="194"/>
      <c r="Y291" s="194"/>
      <c r="Z291" s="194"/>
      <c r="AA291" s="195"/>
      <c r="AB291" s="193">
        <v>413</v>
      </c>
      <c r="AC291" s="194">
        <v>767</v>
      </c>
      <c r="AD291" s="194">
        <v>413</v>
      </c>
      <c r="AE291" s="194">
        <v>708</v>
      </c>
      <c r="AF291" s="195">
        <v>2301</v>
      </c>
      <c r="AG291" s="193"/>
      <c r="AH291" s="194"/>
      <c r="AI291" s="194"/>
      <c r="AJ291" s="194"/>
      <c r="AK291" s="195"/>
      <c r="AL291" s="193"/>
      <c r="AM291" s="194"/>
      <c r="AN291" s="194"/>
      <c r="AO291" s="194"/>
      <c r="AP291" s="195"/>
      <c r="AQ291" s="193"/>
      <c r="AR291" s="194"/>
      <c r="AS291" s="194"/>
      <c r="AT291" s="194"/>
      <c r="AU291" s="195"/>
      <c r="AV291" s="193">
        <v>59</v>
      </c>
      <c r="AW291" s="194"/>
      <c r="AX291" s="194"/>
      <c r="AY291" s="194"/>
      <c r="AZ291" s="195">
        <v>59</v>
      </c>
      <c r="BA291" s="193"/>
      <c r="BB291" s="194"/>
      <c r="BC291" s="194"/>
      <c r="BD291" s="194"/>
      <c r="BE291" s="195"/>
      <c r="BF291" s="193">
        <f t="shared" si="74"/>
        <v>0</v>
      </c>
      <c r="BG291" s="194">
        <f t="shared" si="68"/>
        <v>0</v>
      </c>
      <c r="BH291" s="194">
        <f t="shared" si="69"/>
        <v>0</v>
      </c>
      <c r="BI291" s="194">
        <f t="shared" si="70"/>
        <v>0</v>
      </c>
      <c r="BJ291" s="195">
        <f t="shared" si="71"/>
        <v>0</v>
      </c>
      <c r="BK291" s="193"/>
      <c r="BL291" s="194"/>
      <c r="BM291" s="194"/>
      <c r="BN291" s="194"/>
      <c r="BO291" s="195"/>
      <c r="BP291" s="193"/>
      <c r="BQ291" s="194"/>
      <c r="BR291" s="194"/>
      <c r="BS291" s="194"/>
      <c r="BT291" s="195"/>
      <c r="BU291" s="193"/>
      <c r="BV291" s="194"/>
      <c r="BW291" s="194"/>
      <c r="BX291" s="194"/>
      <c r="BY291" s="195"/>
      <c r="BZ291" s="193"/>
      <c r="CA291" s="194"/>
      <c r="CB291" s="194"/>
      <c r="CC291" s="194"/>
      <c r="CD291" s="195"/>
      <c r="CE291" s="193"/>
      <c r="CF291" s="194"/>
      <c r="CG291" s="194"/>
      <c r="CH291" s="194"/>
      <c r="CI291" s="195"/>
    </row>
    <row r="292" spans="1:87">
      <c r="A292" s="186" t="s">
        <v>269</v>
      </c>
      <c r="B292" s="187" t="s">
        <v>26</v>
      </c>
      <c r="C292" s="188">
        <f t="shared" si="72"/>
        <v>2065</v>
      </c>
      <c r="D292" s="189">
        <f t="shared" si="60"/>
        <v>59</v>
      </c>
      <c r="E292" s="189">
        <f t="shared" si="61"/>
        <v>0</v>
      </c>
      <c r="F292" s="189">
        <f t="shared" si="62"/>
        <v>0</v>
      </c>
      <c r="G292" s="190">
        <f t="shared" si="63"/>
        <v>2124</v>
      </c>
      <c r="H292" s="188">
        <f t="shared" si="73"/>
        <v>2065</v>
      </c>
      <c r="I292" s="189">
        <f t="shared" si="64"/>
        <v>59</v>
      </c>
      <c r="J292" s="189">
        <f t="shared" si="65"/>
        <v>0</v>
      </c>
      <c r="K292" s="189">
        <f t="shared" si="66"/>
        <v>0</v>
      </c>
      <c r="L292" s="190">
        <f t="shared" si="67"/>
        <v>2124</v>
      </c>
      <c r="M292" s="188"/>
      <c r="N292" s="189"/>
      <c r="O292" s="189"/>
      <c r="P292" s="189"/>
      <c r="Q292" s="190"/>
      <c r="R292" s="188"/>
      <c r="S292" s="189"/>
      <c r="T292" s="189"/>
      <c r="U292" s="189"/>
      <c r="V292" s="190"/>
      <c r="W292" s="188"/>
      <c r="X292" s="189"/>
      <c r="Y292" s="189"/>
      <c r="Z292" s="189"/>
      <c r="AA292" s="190"/>
      <c r="AB292" s="188">
        <v>2065</v>
      </c>
      <c r="AC292" s="189">
        <v>59</v>
      </c>
      <c r="AD292" s="189"/>
      <c r="AE292" s="189"/>
      <c r="AF292" s="190">
        <v>2124</v>
      </c>
      <c r="AG292" s="188"/>
      <c r="AH292" s="189"/>
      <c r="AI292" s="189"/>
      <c r="AJ292" s="189"/>
      <c r="AK292" s="190"/>
      <c r="AL292" s="188"/>
      <c r="AM292" s="189"/>
      <c r="AN292" s="189"/>
      <c r="AO292" s="189"/>
      <c r="AP292" s="190"/>
      <c r="AQ292" s="188"/>
      <c r="AR292" s="189"/>
      <c r="AS292" s="189"/>
      <c r="AT292" s="189"/>
      <c r="AU292" s="190"/>
      <c r="AV292" s="188"/>
      <c r="AW292" s="189"/>
      <c r="AX292" s="189"/>
      <c r="AY292" s="189"/>
      <c r="AZ292" s="190"/>
      <c r="BA292" s="188"/>
      <c r="BB292" s="189"/>
      <c r="BC292" s="189"/>
      <c r="BD292" s="189"/>
      <c r="BE292" s="190"/>
      <c r="BF292" s="188">
        <f t="shared" si="74"/>
        <v>0</v>
      </c>
      <c r="BG292" s="189">
        <f t="shared" si="68"/>
        <v>0</v>
      </c>
      <c r="BH292" s="189">
        <f t="shared" si="69"/>
        <v>0</v>
      </c>
      <c r="BI292" s="189">
        <f t="shared" si="70"/>
        <v>0</v>
      </c>
      <c r="BJ292" s="190">
        <f t="shared" si="71"/>
        <v>0</v>
      </c>
      <c r="BK292" s="188"/>
      <c r="BL292" s="189"/>
      <c r="BM292" s="189"/>
      <c r="BN292" s="189"/>
      <c r="BO292" s="190"/>
      <c r="BP292" s="188"/>
      <c r="BQ292" s="189"/>
      <c r="BR292" s="189"/>
      <c r="BS292" s="189"/>
      <c r="BT292" s="190"/>
      <c r="BU292" s="188"/>
      <c r="BV292" s="189"/>
      <c r="BW292" s="189"/>
      <c r="BX292" s="189"/>
      <c r="BY292" s="190"/>
      <c r="BZ292" s="188"/>
      <c r="CA292" s="189"/>
      <c r="CB292" s="189"/>
      <c r="CC292" s="189"/>
      <c r="CD292" s="190"/>
      <c r="CE292" s="188"/>
      <c r="CF292" s="189"/>
      <c r="CG292" s="189"/>
      <c r="CH292" s="189"/>
      <c r="CI292" s="190"/>
    </row>
    <row r="293" s="163" customFormat="1" ht="14.6" spans="1:87">
      <c r="A293" s="191" t="s">
        <v>270</v>
      </c>
      <c r="B293" s="192"/>
      <c r="C293" s="193">
        <f t="shared" si="72"/>
        <v>2065</v>
      </c>
      <c r="D293" s="194">
        <f t="shared" si="60"/>
        <v>59</v>
      </c>
      <c r="E293" s="194">
        <f t="shared" si="61"/>
        <v>0</v>
      </c>
      <c r="F293" s="194">
        <f t="shared" si="62"/>
        <v>0</v>
      </c>
      <c r="G293" s="195">
        <f t="shared" si="63"/>
        <v>2124</v>
      </c>
      <c r="H293" s="193">
        <f t="shared" si="73"/>
        <v>2065</v>
      </c>
      <c r="I293" s="194">
        <f t="shared" si="64"/>
        <v>59</v>
      </c>
      <c r="J293" s="194">
        <f t="shared" si="65"/>
        <v>0</v>
      </c>
      <c r="K293" s="194">
        <f t="shared" si="66"/>
        <v>0</v>
      </c>
      <c r="L293" s="195">
        <f t="shared" si="67"/>
        <v>2124</v>
      </c>
      <c r="M293" s="193"/>
      <c r="N293" s="194"/>
      <c r="O293" s="194"/>
      <c r="P293" s="194"/>
      <c r="Q293" s="195"/>
      <c r="R293" s="193"/>
      <c r="S293" s="194"/>
      <c r="T293" s="194"/>
      <c r="U293" s="194"/>
      <c r="V293" s="195"/>
      <c r="W293" s="193"/>
      <c r="X293" s="194"/>
      <c r="Y293" s="194"/>
      <c r="Z293" s="194"/>
      <c r="AA293" s="195"/>
      <c r="AB293" s="193">
        <v>2065</v>
      </c>
      <c r="AC293" s="194">
        <v>59</v>
      </c>
      <c r="AD293" s="194"/>
      <c r="AE293" s="194"/>
      <c r="AF293" s="195">
        <v>2124</v>
      </c>
      <c r="AG293" s="193"/>
      <c r="AH293" s="194"/>
      <c r="AI293" s="194"/>
      <c r="AJ293" s="194"/>
      <c r="AK293" s="195"/>
      <c r="AL293" s="193"/>
      <c r="AM293" s="194"/>
      <c r="AN293" s="194"/>
      <c r="AO293" s="194"/>
      <c r="AP293" s="195"/>
      <c r="AQ293" s="193"/>
      <c r="AR293" s="194"/>
      <c r="AS293" s="194"/>
      <c r="AT293" s="194"/>
      <c r="AU293" s="195"/>
      <c r="AV293" s="193"/>
      <c r="AW293" s="194"/>
      <c r="AX293" s="194"/>
      <c r="AY293" s="194"/>
      <c r="AZ293" s="195"/>
      <c r="BA293" s="193"/>
      <c r="BB293" s="194"/>
      <c r="BC293" s="194"/>
      <c r="BD293" s="194"/>
      <c r="BE293" s="195"/>
      <c r="BF293" s="193">
        <f t="shared" si="74"/>
        <v>0</v>
      </c>
      <c r="BG293" s="194">
        <f t="shared" si="68"/>
        <v>0</v>
      </c>
      <c r="BH293" s="194">
        <f t="shared" si="69"/>
        <v>0</v>
      </c>
      <c r="BI293" s="194">
        <f t="shared" si="70"/>
        <v>0</v>
      </c>
      <c r="BJ293" s="195">
        <f t="shared" si="71"/>
        <v>0</v>
      </c>
      <c r="BK293" s="193"/>
      <c r="BL293" s="194"/>
      <c r="BM293" s="194"/>
      <c r="BN293" s="194"/>
      <c r="BO293" s="195"/>
      <c r="BP293" s="193"/>
      <c r="BQ293" s="194"/>
      <c r="BR293" s="194"/>
      <c r="BS293" s="194"/>
      <c r="BT293" s="195"/>
      <c r="BU293" s="193"/>
      <c r="BV293" s="194"/>
      <c r="BW293" s="194"/>
      <c r="BX293" s="194"/>
      <c r="BY293" s="195"/>
      <c r="BZ293" s="193"/>
      <c r="CA293" s="194"/>
      <c r="CB293" s="194"/>
      <c r="CC293" s="194"/>
      <c r="CD293" s="195"/>
      <c r="CE293" s="193"/>
      <c r="CF293" s="194"/>
      <c r="CG293" s="194"/>
      <c r="CH293" s="194"/>
      <c r="CI293" s="195"/>
    </row>
    <row r="294" spans="1:87">
      <c r="A294" s="186" t="s">
        <v>271</v>
      </c>
      <c r="B294" s="187" t="s">
        <v>26</v>
      </c>
      <c r="C294" s="188">
        <f t="shared" si="72"/>
        <v>1449</v>
      </c>
      <c r="D294" s="189">
        <f t="shared" si="60"/>
        <v>138</v>
      </c>
      <c r="E294" s="189">
        <f t="shared" si="61"/>
        <v>0</v>
      </c>
      <c r="F294" s="189">
        <f t="shared" si="62"/>
        <v>207</v>
      </c>
      <c r="G294" s="190">
        <f t="shared" si="63"/>
        <v>1794</v>
      </c>
      <c r="H294" s="188">
        <f t="shared" si="73"/>
        <v>1449</v>
      </c>
      <c r="I294" s="189">
        <f t="shared" si="64"/>
        <v>138</v>
      </c>
      <c r="J294" s="189">
        <f t="shared" si="65"/>
        <v>0</v>
      </c>
      <c r="K294" s="189">
        <f t="shared" si="66"/>
        <v>207</v>
      </c>
      <c r="L294" s="190">
        <f t="shared" si="67"/>
        <v>1794</v>
      </c>
      <c r="M294" s="188"/>
      <c r="N294" s="189"/>
      <c r="O294" s="189"/>
      <c r="P294" s="189"/>
      <c r="Q294" s="190"/>
      <c r="R294" s="188"/>
      <c r="S294" s="189"/>
      <c r="T294" s="189"/>
      <c r="U294" s="189"/>
      <c r="V294" s="190"/>
      <c r="W294" s="188"/>
      <c r="X294" s="189"/>
      <c r="Y294" s="189"/>
      <c r="Z294" s="189"/>
      <c r="AA294" s="190"/>
      <c r="AB294" s="188"/>
      <c r="AC294" s="189"/>
      <c r="AD294" s="189"/>
      <c r="AE294" s="189"/>
      <c r="AF294" s="190"/>
      <c r="AG294" s="188"/>
      <c r="AH294" s="189"/>
      <c r="AI294" s="189"/>
      <c r="AJ294" s="189"/>
      <c r="AK294" s="190"/>
      <c r="AL294" s="188"/>
      <c r="AM294" s="189"/>
      <c r="AN294" s="189"/>
      <c r="AO294" s="189"/>
      <c r="AP294" s="190"/>
      <c r="AQ294" s="188"/>
      <c r="AR294" s="189"/>
      <c r="AS294" s="189"/>
      <c r="AT294" s="189"/>
      <c r="AU294" s="190"/>
      <c r="AV294" s="188">
        <v>345</v>
      </c>
      <c r="AW294" s="189"/>
      <c r="AX294" s="189"/>
      <c r="AY294" s="189">
        <v>69</v>
      </c>
      <c r="AZ294" s="190">
        <v>414</v>
      </c>
      <c r="BA294" s="188">
        <v>1104</v>
      </c>
      <c r="BB294" s="189">
        <v>138</v>
      </c>
      <c r="BC294" s="189"/>
      <c r="BD294" s="189">
        <v>138</v>
      </c>
      <c r="BE294" s="190">
        <v>1380</v>
      </c>
      <c r="BF294" s="188">
        <f t="shared" si="74"/>
        <v>0</v>
      </c>
      <c r="BG294" s="189">
        <f t="shared" si="68"/>
        <v>0</v>
      </c>
      <c r="BH294" s="189">
        <f t="shared" si="69"/>
        <v>0</v>
      </c>
      <c r="BI294" s="189">
        <f t="shared" si="70"/>
        <v>0</v>
      </c>
      <c r="BJ294" s="190">
        <f t="shared" si="71"/>
        <v>0</v>
      </c>
      <c r="BK294" s="188"/>
      <c r="BL294" s="189"/>
      <c r="BM294" s="189"/>
      <c r="BN294" s="189"/>
      <c r="BO294" s="190"/>
      <c r="BP294" s="188"/>
      <c r="BQ294" s="189"/>
      <c r="BR294" s="189"/>
      <c r="BS294" s="189"/>
      <c r="BT294" s="190"/>
      <c r="BU294" s="188"/>
      <c r="BV294" s="189"/>
      <c r="BW294" s="189"/>
      <c r="BX294" s="189"/>
      <c r="BY294" s="190"/>
      <c r="BZ294" s="188"/>
      <c r="CA294" s="189"/>
      <c r="CB294" s="189"/>
      <c r="CC294" s="189"/>
      <c r="CD294" s="190"/>
      <c r="CE294" s="188"/>
      <c r="CF294" s="189"/>
      <c r="CG294" s="189"/>
      <c r="CH294" s="189"/>
      <c r="CI294" s="190"/>
    </row>
    <row r="295" s="163" customFormat="1" ht="14.6" spans="1:87">
      <c r="A295" s="191" t="s">
        <v>272</v>
      </c>
      <c r="B295" s="192"/>
      <c r="C295" s="193">
        <f t="shared" si="72"/>
        <v>1449</v>
      </c>
      <c r="D295" s="194">
        <f t="shared" si="60"/>
        <v>138</v>
      </c>
      <c r="E295" s="194">
        <f t="shared" si="61"/>
        <v>0</v>
      </c>
      <c r="F295" s="194">
        <f t="shared" si="62"/>
        <v>207</v>
      </c>
      <c r="G295" s="195">
        <f t="shared" si="63"/>
        <v>1794</v>
      </c>
      <c r="H295" s="193">
        <f t="shared" si="73"/>
        <v>1449</v>
      </c>
      <c r="I295" s="194">
        <f t="shared" si="64"/>
        <v>138</v>
      </c>
      <c r="J295" s="194">
        <f t="shared" si="65"/>
        <v>0</v>
      </c>
      <c r="K295" s="194">
        <f t="shared" si="66"/>
        <v>207</v>
      </c>
      <c r="L295" s="195">
        <f t="shared" si="67"/>
        <v>1794</v>
      </c>
      <c r="M295" s="193"/>
      <c r="N295" s="194"/>
      <c r="O295" s="194"/>
      <c r="P295" s="194"/>
      <c r="Q295" s="195"/>
      <c r="R295" s="193"/>
      <c r="S295" s="194"/>
      <c r="T295" s="194"/>
      <c r="U295" s="194"/>
      <c r="V295" s="195"/>
      <c r="W295" s="193"/>
      <c r="X295" s="194"/>
      <c r="Y295" s="194"/>
      <c r="Z295" s="194"/>
      <c r="AA295" s="195"/>
      <c r="AB295" s="193"/>
      <c r="AC295" s="194"/>
      <c r="AD295" s="194"/>
      <c r="AE295" s="194"/>
      <c r="AF295" s="195"/>
      <c r="AG295" s="193"/>
      <c r="AH295" s="194"/>
      <c r="AI295" s="194"/>
      <c r="AJ295" s="194"/>
      <c r="AK295" s="195"/>
      <c r="AL295" s="193"/>
      <c r="AM295" s="194"/>
      <c r="AN295" s="194"/>
      <c r="AO295" s="194"/>
      <c r="AP295" s="195"/>
      <c r="AQ295" s="193"/>
      <c r="AR295" s="194"/>
      <c r="AS295" s="194"/>
      <c r="AT295" s="194"/>
      <c r="AU295" s="195"/>
      <c r="AV295" s="193">
        <v>345</v>
      </c>
      <c r="AW295" s="194"/>
      <c r="AX295" s="194"/>
      <c r="AY295" s="194">
        <v>69</v>
      </c>
      <c r="AZ295" s="195">
        <v>414</v>
      </c>
      <c r="BA295" s="193">
        <v>1104</v>
      </c>
      <c r="BB295" s="194">
        <v>138</v>
      </c>
      <c r="BC295" s="194"/>
      <c r="BD295" s="194">
        <v>138</v>
      </c>
      <c r="BE295" s="195">
        <v>1380</v>
      </c>
      <c r="BF295" s="193">
        <f t="shared" si="74"/>
        <v>0</v>
      </c>
      <c r="BG295" s="194">
        <f t="shared" si="68"/>
        <v>0</v>
      </c>
      <c r="BH295" s="194">
        <f t="shared" si="69"/>
        <v>0</v>
      </c>
      <c r="BI295" s="194">
        <f t="shared" si="70"/>
        <v>0</v>
      </c>
      <c r="BJ295" s="195">
        <f t="shared" si="71"/>
        <v>0</v>
      </c>
      <c r="BK295" s="193"/>
      <c r="BL295" s="194"/>
      <c r="BM295" s="194"/>
      <c r="BN295" s="194"/>
      <c r="BO295" s="195"/>
      <c r="BP295" s="193"/>
      <c r="BQ295" s="194"/>
      <c r="BR295" s="194"/>
      <c r="BS295" s="194"/>
      <c r="BT295" s="195"/>
      <c r="BU295" s="193"/>
      <c r="BV295" s="194"/>
      <c r="BW295" s="194"/>
      <c r="BX295" s="194"/>
      <c r="BY295" s="195"/>
      <c r="BZ295" s="193"/>
      <c r="CA295" s="194"/>
      <c r="CB295" s="194"/>
      <c r="CC295" s="194"/>
      <c r="CD295" s="195"/>
      <c r="CE295" s="193"/>
      <c r="CF295" s="194"/>
      <c r="CG295" s="194"/>
      <c r="CH295" s="194"/>
      <c r="CI295" s="195"/>
    </row>
    <row r="296" spans="1:87">
      <c r="A296" s="186" t="s">
        <v>273</v>
      </c>
      <c r="B296" s="187" t="s">
        <v>26</v>
      </c>
      <c r="C296" s="188">
        <f t="shared" si="72"/>
        <v>0</v>
      </c>
      <c r="D296" s="189">
        <f t="shared" si="60"/>
        <v>0</v>
      </c>
      <c r="E296" s="189">
        <f t="shared" si="61"/>
        <v>0</v>
      </c>
      <c r="F296" s="189">
        <f t="shared" si="62"/>
        <v>1791</v>
      </c>
      <c r="G296" s="190">
        <f t="shared" si="63"/>
        <v>1791</v>
      </c>
      <c r="H296" s="188">
        <f t="shared" si="73"/>
        <v>0</v>
      </c>
      <c r="I296" s="189">
        <f t="shared" si="64"/>
        <v>0</v>
      </c>
      <c r="J296" s="189">
        <f t="shared" si="65"/>
        <v>0</v>
      </c>
      <c r="K296" s="189">
        <f t="shared" si="66"/>
        <v>1791</v>
      </c>
      <c r="L296" s="190">
        <f t="shared" si="67"/>
        <v>1791</v>
      </c>
      <c r="M296" s="188"/>
      <c r="N296" s="189"/>
      <c r="O296" s="189"/>
      <c r="P296" s="189"/>
      <c r="Q296" s="190"/>
      <c r="R296" s="188"/>
      <c r="S296" s="189"/>
      <c r="T296" s="189"/>
      <c r="U296" s="189"/>
      <c r="V296" s="190"/>
      <c r="W296" s="188"/>
      <c r="X296" s="189"/>
      <c r="Y296" s="189"/>
      <c r="Z296" s="189"/>
      <c r="AA296" s="190"/>
      <c r="AB296" s="188"/>
      <c r="AC296" s="189"/>
      <c r="AD296" s="189"/>
      <c r="AE296" s="189">
        <v>597</v>
      </c>
      <c r="AF296" s="190">
        <v>597</v>
      </c>
      <c r="AG296" s="188"/>
      <c r="AH296" s="189"/>
      <c r="AI296" s="189"/>
      <c r="AJ296" s="189">
        <v>995</v>
      </c>
      <c r="AK296" s="190">
        <v>995</v>
      </c>
      <c r="AL296" s="188"/>
      <c r="AM296" s="189"/>
      <c r="AN296" s="189"/>
      <c r="AO296" s="189"/>
      <c r="AP296" s="190"/>
      <c r="AQ296" s="188"/>
      <c r="AR296" s="189"/>
      <c r="AS296" s="189"/>
      <c r="AT296" s="189">
        <v>199</v>
      </c>
      <c r="AU296" s="190">
        <v>199</v>
      </c>
      <c r="AV296" s="188"/>
      <c r="AW296" s="189"/>
      <c r="AX296" s="189"/>
      <c r="AY296" s="189"/>
      <c r="AZ296" s="190"/>
      <c r="BA296" s="188"/>
      <c r="BB296" s="189"/>
      <c r="BC296" s="189"/>
      <c r="BD296" s="189"/>
      <c r="BE296" s="190"/>
      <c r="BF296" s="188">
        <f t="shared" si="74"/>
        <v>0</v>
      </c>
      <c r="BG296" s="189">
        <f t="shared" si="68"/>
        <v>0</v>
      </c>
      <c r="BH296" s="189">
        <f t="shared" si="69"/>
        <v>0</v>
      </c>
      <c r="BI296" s="189">
        <f t="shared" si="70"/>
        <v>0</v>
      </c>
      <c r="BJ296" s="190">
        <f t="shared" si="71"/>
        <v>0</v>
      </c>
      <c r="BK296" s="188"/>
      <c r="BL296" s="189"/>
      <c r="BM296" s="189"/>
      <c r="BN296" s="189"/>
      <c r="BO296" s="190"/>
      <c r="BP296" s="188"/>
      <c r="BQ296" s="189"/>
      <c r="BR296" s="189"/>
      <c r="BS296" s="189"/>
      <c r="BT296" s="190"/>
      <c r="BU296" s="188"/>
      <c r="BV296" s="189"/>
      <c r="BW296" s="189"/>
      <c r="BX296" s="189"/>
      <c r="BY296" s="190"/>
      <c r="BZ296" s="188"/>
      <c r="CA296" s="189"/>
      <c r="CB296" s="189"/>
      <c r="CC296" s="189"/>
      <c r="CD296" s="190"/>
      <c r="CE296" s="188"/>
      <c r="CF296" s="189"/>
      <c r="CG296" s="189"/>
      <c r="CH296" s="189"/>
      <c r="CI296" s="190"/>
    </row>
    <row r="297" s="163" customFormat="1" ht="14.6" spans="1:87">
      <c r="A297" s="191" t="s">
        <v>274</v>
      </c>
      <c r="B297" s="192"/>
      <c r="C297" s="193">
        <f t="shared" si="72"/>
        <v>0</v>
      </c>
      <c r="D297" s="194">
        <f t="shared" si="60"/>
        <v>0</v>
      </c>
      <c r="E297" s="194">
        <f t="shared" si="61"/>
        <v>0</v>
      </c>
      <c r="F297" s="194">
        <f t="shared" si="62"/>
        <v>1791</v>
      </c>
      <c r="G297" s="195">
        <f t="shared" si="63"/>
        <v>1791</v>
      </c>
      <c r="H297" s="193">
        <f t="shared" si="73"/>
        <v>0</v>
      </c>
      <c r="I297" s="194">
        <f t="shared" si="64"/>
        <v>0</v>
      </c>
      <c r="J297" s="194">
        <f t="shared" si="65"/>
        <v>0</v>
      </c>
      <c r="K297" s="194">
        <f t="shared" si="66"/>
        <v>1791</v>
      </c>
      <c r="L297" s="195">
        <f t="shared" si="67"/>
        <v>1791</v>
      </c>
      <c r="M297" s="193"/>
      <c r="N297" s="194"/>
      <c r="O297" s="194"/>
      <c r="P297" s="194"/>
      <c r="Q297" s="195"/>
      <c r="R297" s="193"/>
      <c r="S297" s="194"/>
      <c r="T297" s="194"/>
      <c r="U297" s="194"/>
      <c r="V297" s="195"/>
      <c r="W297" s="193"/>
      <c r="X297" s="194"/>
      <c r="Y297" s="194"/>
      <c r="Z297" s="194"/>
      <c r="AA297" s="195"/>
      <c r="AB297" s="193"/>
      <c r="AC297" s="194"/>
      <c r="AD297" s="194"/>
      <c r="AE297" s="194">
        <v>597</v>
      </c>
      <c r="AF297" s="195">
        <v>597</v>
      </c>
      <c r="AG297" s="193"/>
      <c r="AH297" s="194"/>
      <c r="AI297" s="194"/>
      <c r="AJ297" s="194">
        <v>995</v>
      </c>
      <c r="AK297" s="195">
        <v>995</v>
      </c>
      <c r="AL297" s="193"/>
      <c r="AM297" s="194"/>
      <c r="AN297" s="194"/>
      <c r="AO297" s="194"/>
      <c r="AP297" s="195"/>
      <c r="AQ297" s="193"/>
      <c r="AR297" s="194"/>
      <c r="AS297" s="194"/>
      <c r="AT297" s="194">
        <v>199</v>
      </c>
      <c r="AU297" s="195">
        <v>199</v>
      </c>
      <c r="AV297" s="193"/>
      <c r="AW297" s="194"/>
      <c r="AX297" s="194"/>
      <c r="AY297" s="194"/>
      <c r="AZ297" s="195"/>
      <c r="BA297" s="193"/>
      <c r="BB297" s="194"/>
      <c r="BC297" s="194"/>
      <c r="BD297" s="194"/>
      <c r="BE297" s="195"/>
      <c r="BF297" s="193">
        <f t="shared" si="74"/>
        <v>0</v>
      </c>
      <c r="BG297" s="194">
        <f t="shared" si="68"/>
        <v>0</v>
      </c>
      <c r="BH297" s="194">
        <f t="shared" si="69"/>
        <v>0</v>
      </c>
      <c r="BI297" s="194">
        <f t="shared" si="70"/>
        <v>0</v>
      </c>
      <c r="BJ297" s="195">
        <f t="shared" si="71"/>
        <v>0</v>
      </c>
      <c r="BK297" s="193"/>
      <c r="BL297" s="194"/>
      <c r="BM297" s="194"/>
      <c r="BN297" s="194"/>
      <c r="BO297" s="195"/>
      <c r="BP297" s="193"/>
      <c r="BQ297" s="194"/>
      <c r="BR297" s="194"/>
      <c r="BS297" s="194"/>
      <c r="BT297" s="195"/>
      <c r="BU297" s="193"/>
      <c r="BV297" s="194"/>
      <c r="BW297" s="194"/>
      <c r="BX297" s="194"/>
      <c r="BY297" s="195"/>
      <c r="BZ297" s="193"/>
      <c r="CA297" s="194"/>
      <c r="CB297" s="194"/>
      <c r="CC297" s="194"/>
      <c r="CD297" s="195"/>
      <c r="CE297" s="193"/>
      <c r="CF297" s="194"/>
      <c r="CG297" s="194"/>
      <c r="CH297" s="194"/>
      <c r="CI297" s="195"/>
    </row>
    <row r="298" spans="1:87">
      <c r="A298" s="186" t="s">
        <v>275</v>
      </c>
      <c r="B298" s="187" t="s">
        <v>26</v>
      </c>
      <c r="C298" s="188">
        <f t="shared" si="72"/>
        <v>649</v>
      </c>
      <c r="D298" s="189">
        <f t="shared" si="60"/>
        <v>413</v>
      </c>
      <c r="E298" s="189">
        <f t="shared" si="61"/>
        <v>177</v>
      </c>
      <c r="F298" s="189">
        <f t="shared" si="62"/>
        <v>177</v>
      </c>
      <c r="G298" s="190">
        <f t="shared" si="63"/>
        <v>1416</v>
      </c>
      <c r="H298" s="188">
        <f t="shared" si="73"/>
        <v>649</v>
      </c>
      <c r="I298" s="189">
        <f t="shared" si="64"/>
        <v>413</v>
      </c>
      <c r="J298" s="189">
        <f t="shared" si="65"/>
        <v>177</v>
      </c>
      <c r="K298" s="189">
        <f t="shared" si="66"/>
        <v>177</v>
      </c>
      <c r="L298" s="190">
        <f t="shared" si="67"/>
        <v>1416</v>
      </c>
      <c r="M298" s="188"/>
      <c r="N298" s="189"/>
      <c r="O298" s="189"/>
      <c r="P298" s="189"/>
      <c r="Q298" s="190"/>
      <c r="R298" s="188"/>
      <c r="S298" s="189"/>
      <c r="T298" s="189"/>
      <c r="U298" s="189"/>
      <c r="V298" s="190"/>
      <c r="W298" s="188"/>
      <c r="X298" s="189"/>
      <c r="Y298" s="189"/>
      <c r="Z298" s="189"/>
      <c r="AA298" s="190"/>
      <c r="AB298" s="188"/>
      <c r="AC298" s="189"/>
      <c r="AD298" s="189"/>
      <c r="AE298" s="189"/>
      <c r="AF298" s="190"/>
      <c r="AG298" s="188"/>
      <c r="AH298" s="189"/>
      <c r="AI298" s="189"/>
      <c r="AJ298" s="189"/>
      <c r="AK298" s="190"/>
      <c r="AL298" s="188"/>
      <c r="AM298" s="189"/>
      <c r="AN298" s="189"/>
      <c r="AO298" s="189"/>
      <c r="AP298" s="190"/>
      <c r="AQ298" s="188"/>
      <c r="AR298" s="189"/>
      <c r="AS298" s="189"/>
      <c r="AT298" s="189"/>
      <c r="AU298" s="190"/>
      <c r="AV298" s="188"/>
      <c r="AW298" s="189"/>
      <c r="AX298" s="189"/>
      <c r="AY298" s="189"/>
      <c r="AZ298" s="190"/>
      <c r="BA298" s="188">
        <v>649</v>
      </c>
      <c r="BB298" s="189">
        <v>413</v>
      </c>
      <c r="BC298" s="189">
        <v>177</v>
      </c>
      <c r="BD298" s="189">
        <v>177</v>
      </c>
      <c r="BE298" s="190">
        <v>1416</v>
      </c>
      <c r="BF298" s="188">
        <f t="shared" si="74"/>
        <v>0</v>
      </c>
      <c r="BG298" s="189">
        <f t="shared" si="68"/>
        <v>0</v>
      </c>
      <c r="BH298" s="189">
        <f t="shared" si="69"/>
        <v>0</v>
      </c>
      <c r="BI298" s="189">
        <f t="shared" si="70"/>
        <v>0</v>
      </c>
      <c r="BJ298" s="190">
        <f t="shared" si="71"/>
        <v>0</v>
      </c>
      <c r="BK298" s="188"/>
      <c r="BL298" s="189"/>
      <c r="BM298" s="189"/>
      <c r="BN298" s="189"/>
      <c r="BO298" s="190"/>
      <c r="BP298" s="188"/>
      <c r="BQ298" s="189"/>
      <c r="BR298" s="189"/>
      <c r="BS298" s="189"/>
      <c r="BT298" s="190"/>
      <c r="BU298" s="188"/>
      <c r="BV298" s="189"/>
      <c r="BW298" s="189"/>
      <c r="BX298" s="189"/>
      <c r="BY298" s="190"/>
      <c r="BZ298" s="188"/>
      <c r="CA298" s="189"/>
      <c r="CB298" s="189"/>
      <c r="CC298" s="189"/>
      <c r="CD298" s="190"/>
      <c r="CE298" s="188"/>
      <c r="CF298" s="189"/>
      <c r="CG298" s="189"/>
      <c r="CH298" s="189"/>
      <c r="CI298" s="190"/>
    </row>
    <row r="299" s="163" customFormat="1" ht="14.6" spans="1:87">
      <c r="A299" s="191" t="s">
        <v>276</v>
      </c>
      <c r="B299" s="192"/>
      <c r="C299" s="193">
        <f t="shared" si="72"/>
        <v>649</v>
      </c>
      <c r="D299" s="194">
        <f t="shared" si="60"/>
        <v>413</v>
      </c>
      <c r="E299" s="194">
        <f t="shared" si="61"/>
        <v>177</v>
      </c>
      <c r="F299" s="194">
        <f t="shared" si="62"/>
        <v>177</v>
      </c>
      <c r="G299" s="195">
        <f t="shared" si="63"/>
        <v>1416</v>
      </c>
      <c r="H299" s="193">
        <f t="shared" si="73"/>
        <v>649</v>
      </c>
      <c r="I299" s="194">
        <f t="shared" si="64"/>
        <v>413</v>
      </c>
      <c r="J299" s="194">
        <f t="shared" si="65"/>
        <v>177</v>
      </c>
      <c r="K299" s="194">
        <f t="shared" si="66"/>
        <v>177</v>
      </c>
      <c r="L299" s="195">
        <f t="shared" si="67"/>
        <v>1416</v>
      </c>
      <c r="M299" s="193"/>
      <c r="N299" s="194"/>
      <c r="O299" s="194"/>
      <c r="P299" s="194"/>
      <c r="Q299" s="195"/>
      <c r="R299" s="193"/>
      <c r="S299" s="194"/>
      <c r="T299" s="194"/>
      <c r="U299" s="194"/>
      <c r="V299" s="195"/>
      <c r="W299" s="193"/>
      <c r="X299" s="194"/>
      <c r="Y299" s="194"/>
      <c r="Z299" s="194"/>
      <c r="AA299" s="195"/>
      <c r="AB299" s="193"/>
      <c r="AC299" s="194"/>
      <c r="AD299" s="194"/>
      <c r="AE299" s="194"/>
      <c r="AF299" s="195"/>
      <c r="AG299" s="193"/>
      <c r="AH299" s="194"/>
      <c r="AI299" s="194"/>
      <c r="AJ299" s="194"/>
      <c r="AK299" s="195"/>
      <c r="AL299" s="193"/>
      <c r="AM299" s="194"/>
      <c r="AN299" s="194"/>
      <c r="AO299" s="194"/>
      <c r="AP299" s="195"/>
      <c r="AQ299" s="193"/>
      <c r="AR299" s="194"/>
      <c r="AS299" s="194"/>
      <c r="AT299" s="194"/>
      <c r="AU299" s="195"/>
      <c r="AV299" s="193"/>
      <c r="AW299" s="194"/>
      <c r="AX299" s="194"/>
      <c r="AY299" s="194"/>
      <c r="AZ299" s="195"/>
      <c r="BA299" s="193">
        <v>649</v>
      </c>
      <c r="BB299" s="194">
        <v>413</v>
      </c>
      <c r="BC299" s="194">
        <v>177</v>
      </c>
      <c r="BD299" s="194">
        <v>177</v>
      </c>
      <c r="BE299" s="195">
        <v>1416</v>
      </c>
      <c r="BF299" s="193">
        <f t="shared" si="74"/>
        <v>0</v>
      </c>
      <c r="BG299" s="194">
        <f t="shared" si="68"/>
        <v>0</v>
      </c>
      <c r="BH299" s="194">
        <f t="shared" si="69"/>
        <v>0</v>
      </c>
      <c r="BI299" s="194">
        <f t="shared" si="70"/>
        <v>0</v>
      </c>
      <c r="BJ299" s="195">
        <f t="shared" si="71"/>
        <v>0</v>
      </c>
      <c r="BK299" s="193"/>
      <c r="BL299" s="194"/>
      <c r="BM299" s="194"/>
      <c r="BN299" s="194"/>
      <c r="BO299" s="195"/>
      <c r="BP299" s="193"/>
      <c r="BQ299" s="194"/>
      <c r="BR299" s="194"/>
      <c r="BS299" s="194"/>
      <c r="BT299" s="195"/>
      <c r="BU299" s="193"/>
      <c r="BV299" s="194"/>
      <c r="BW299" s="194"/>
      <c r="BX299" s="194"/>
      <c r="BY299" s="195"/>
      <c r="BZ299" s="193"/>
      <c r="CA299" s="194"/>
      <c r="CB299" s="194"/>
      <c r="CC299" s="194"/>
      <c r="CD299" s="195"/>
      <c r="CE299" s="193"/>
      <c r="CF299" s="194"/>
      <c r="CG299" s="194"/>
      <c r="CH299" s="194"/>
      <c r="CI299" s="195"/>
    </row>
    <row r="300" spans="1:87">
      <c r="A300" s="186" t="s">
        <v>277</v>
      </c>
      <c r="B300" s="187" t="s">
        <v>26</v>
      </c>
      <c r="C300" s="188">
        <f t="shared" si="72"/>
        <v>-899</v>
      </c>
      <c r="D300" s="189">
        <f t="shared" si="60"/>
        <v>0</v>
      </c>
      <c r="E300" s="189">
        <f t="shared" si="61"/>
        <v>1798</v>
      </c>
      <c r="F300" s="189">
        <f t="shared" si="62"/>
        <v>0</v>
      </c>
      <c r="G300" s="190">
        <f t="shared" si="63"/>
        <v>899</v>
      </c>
      <c r="H300" s="188">
        <f t="shared" si="73"/>
        <v>0</v>
      </c>
      <c r="I300" s="189">
        <f t="shared" si="64"/>
        <v>0</v>
      </c>
      <c r="J300" s="189">
        <f t="shared" si="65"/>
        <v>0</v>
      </c>
      <c r="K300" s="189">
        <f t="shared" si="66"/>
        <v>0</v>
      </c>
      <c r="L300" s="190">
        <f t="shared" si="67"/>
        <v>0</v>
      </c>
      <c r="M300" s="188"/>
      <c r="N300" s="189"/>
      <c r="O300" s="189"/>
      <c r="P300" s="189"/>
      <c r="Q300" s="190"/>
      <c r="R300" s="188"/>
      <c r="S300" s="189"/>
      <c r="T300" s="189"/>
      <c r="U300" s="189"/>
      <c r="V300" s="190"/>
      <c r="W300" s="188"/>
      <c r="X300" s="189"/>
      <c r="Y300" s="189"/>
      <c r="Z300" s="189"/>
      <c r="AA300" s="190"/>
      <c r="AB300" s="188"/>
      <c r="AC300" s="189"/>
      <c r="AD300" s="189"/>
      <c r="AE300" s="189"/>
      <c r="AF300" s="190"/>
      <c r="AG300" s="188"/>
      <c r="AH300" s="189">
        <v>0</v>
      </c>
      <c r="AI300" s="189"/>
      <c r="AJ300" s="189"/>
      <c r="AK300" s="190">
        <v>0</v>
      </c>
      <c r="AL300" s="188"/>
      <c r="AM300" s="189"/>
      <c r="AN300" s="189"/>
      <c r="AO300" s="189"/>
      <c r="AP300" s="190"/>
      <c r="AQ300" s="188"/>
      <c r="AR300" s="189"/>
      <c r="AS300" s="189"/>
      <c r="AT300" s="189"/>
      <c r="AU300" s="190"/>
      <c r="AV300" s="188"/>
      <c r="AW300" s="189"/>
      <c r="AX300" s="189"/>
      <c r="AY300" s="189"/>
      <c r="AZ300" s="190"/>
      <c r="BA300" s="188"/>
      <c r="BB300" s="189"/>
      <c r="BC300" s="189"/>
      <c r="BD300" s="189"/>
      <c r="BE300" s="190"/>
      <c r="BF300" s="188">
        <f t="shared" si="74"/>
        <v>-899</v>
      </c>
      <c r="BG300" s="189">
        <f t="shared" si="68"/>
        <v>0</v>
      </c>
      <c r="BH300" s="189">
        <f t="shared" si="69"/>
        <v>1798</v>
      </c>
      <c r="BI300" s="189">
        <f t="shared" si="70"/>
        <v>0</v>
      </c>
      <c r="BJ300" s="190">
        <f t="shared" si="71"/>
        <v>899</v>
      </c>
      <c r="BK300" s="188"/>
      <c r="BL300" s="189"/>
      <c r="BM300" s="189"/>
      <c r="BN300" s="189"/>
      <c r="BO300" s="190"/>
      <c r="BP300" s="188">
        <v>-899</v>
      </c>
      <c r="BQ300" s="189"/>
      <c r="BR300" s="189">
        <v>1798</v>
      </c>
      <c r="BS300" s="189"/>
      <c r="BT300" s="190">
        <v>899</v>
      </c>
      <c r="BU300" s="188"/>
      <c r="BV300" s="189"/>
      <c r="BW300" s="189"/>
      <c r="BX300" s="189"/>
      <c r="BY300" s="190"/>
      <c r="BZ300" s="188"/>
      <c r="CA300" s="189"/>
      <c r="CB300" s="189"/>
      <c r="CC300" s="189"/>
      <c r="CD300" s="190"/>
      <c r="CE300" s="188"/>
      <c r="CF300" s="189"/>
      <c r="CG300" s="189"/>
      <c r="CH300" s="189"/>
      <c r="CI300" s="190"/>
    </row>
    <row r="301" s="163" customFormat="1" ht="14.6" spans="1:87">
      <c r="A301" s="191" t="s">
        <v>278</v>
      </c>
      <c r="B301" s="192"/>
      <c r="C301" s="193">
        <f t="shared" si="72"/>
        <v>-899</v>
      </c>
      <c r="D301" s="194">
        <f t="shared" si="60"/>
        <v>0</v>
      </c>
      <c r="E301" s="194">
        <f t="shared" si="61"/>
        <v>1798</v>
      </c>
      <c r="F301" s="194">
        <f t="shared" si="62"/>
        <v>0</v>
      </c>
      <c r="G301" s="195">
        <f t="shared" si="63"/>
        <v>899</v>
      </c>
      <c r="H301" s="193">
        <f t="shared" si="73"/>
        <v>0</v>
      </c>
      <c r="I301" s="194">
        <f t="shared" si="64"/>
        <v>0</v>
      </c>
      <c r="J301" s="194">
        <f t="shared" si="65"/>
        <v>0</v>
      </c>
      <c r="K301" s="194">
        <f t="shared" si="66"/>
        <v>0</v>
      </c>
      <c r="L301" s="195">
        <f t="shared" si="67"/>
        <v>0</v>
      </c>
      <c r="M301" s="193"/>
      <c r="N301" s="194"/>
      <c r="O301" s="194"/>
      <c r="P301" s="194"/>
      <c r="Q301" s="195"/>
      <c r="R301" s="193"/>
      <c r="S301" s="194"/>
      <c r="T301" s="194"/>
      <c r="U301" s="194"/>
      <c r="V301" s="195"/>
      <c r="W301" s="193"/>
      <c r="X301" s="194"/>
      <c r="Y301" s="194"/>
      <c r="Z301" s="194"/>
      <c r="AA301" s="195"/>
      <c r="AB301" s="193"/>
      <c r="AC301" s="194"/>
      <c r="AD301" s="194"/>
      <c r="AE301" s="194"/>
      <c r="AF301" s="195"/>
      <c r="AG301" s="193"/>
      <c r="AH301" s="194">
        <v>0</v>
      </c>
      <c r="AI301" s="194"/>
      <c r="AJ301" s="194"/>
      <c r="AK301" s="195">
        <v>0</v>
      </c>
      <c r="AL301" s="193"/>
      <c r="AM301" s="194"/>
      <c r="AN301" s="194"/>
      <c r="AO301" s="194"/>
      <c r="AP301" s="195"/>
      <c r="AQ301" s="193"/>
      <c r="AR301" s="194"/>
      <c r="AS301" s="194"/>
      <c r="AT301" s="194"/>
      <c r="AU301" s="195"/>
      <c r="AV301" s="193"/>
      <c r="AW301" s="194"/>
      <c r="AX301" s="194"/>
      <c r="AY301" s="194"/>
      <c r="AZ301" s="195"/>
      <c r="BA301" s="193"/>
      <c r="BB301" s="194"/>
      <c r="BC301" s="194"/>
      <c r="BD301" s="194"/>
      <c r="BE301" s="195"/>
      <c r="BF301" s="193">
        <f t="shared" si="74"/>
        <v>-899</v>
      </c>
      <c r="BG301" s="194">
        <f t="shared" si="68"/>
        <v>0</v>
      </c>
      <c r="BH301" s="194">
        <f t="shared" si="69"/>
        <v>1798</v>
      </c>
      <c r="BI301" s="194">
        <f t="shared" si="70"/>
        <v>0</v>
      </c>
      <c r="BJ301" s="195">
        <f t="shared" si="71"/>
        <v>899</v>
      </c>
      <c r="BK301" s="193"/>
      <c r="BL301" s="194"/>
      <c r="BM301" s="194"/>
      <c r="BN301" s="194"/>
      <c r="BO301" s="195"/>
      <c r="BP301" s="193">
        <v>-899</v>
      </c>
      <c r="BQ301" s="194"/>
      <c r="BR301" s="194">
        <v>1798</v>
      </c>
      <c r="BS301" s="194"/>
      <c r="BT301" s="195">
        <v>899</v>
      </c>
      <c r="BU301" s="193"/>
      <c r="BV301" s="194"/>
      <c r="BW301" s="194"/>
      <c r="BX301" s="194"/>
      <c r="BY301" s="195"/>
      <c r="BZ301" s="193"/>
      <c r="CA301" s="194"/>
      <c r="CB301" s="194"/>
      <c r="CC301" s="194"/>
      <c r="CD301" s="195"/>
      <c r="CE301" s="193"/>
      <c r="CF301" s="194"/>
      <c r="CG301" s="194"/>
      <c r="CH301" s="194"/>
      <c r="CI301" s="195"/>
    </row>
    <row r="302" spans="1:87">
      <c r="A302" s="186" t="s">
        <v>279</v>
      </c>
      <c r="B302" s="187" t="s">
        <v>28</v>
      </c>
      <c r="C302" s="188">
        <f t="shared" si="72"/>
        <v>516</v>
      </c>
      <c r="D302" s="189">
        <f t="shared" si="60"/>
        <v>258</v>
      </c>
      <c r="E302" s="189">
        <f t="shared" si="61"/>
        <v>0</v>
      </c>
      <c r="F302" s="189">
        <f t="shared" si="62"/>
        <v>0</v>
      </c>
      <c r="G302" s="190">
        <f t="shared" si="63"/>
        <v>774</v>
      </c>
      <c r="H302" s="188">
        <f t="shared" si="73"/>
        <v>516</v>
      </c>
      <c r="I302" s="189">
        <f t="shared" si="64"/>
        <v>258</v>
      </c>
      <c r="J302" s="189">
        <f t="shared" si="65"/>
        <v>0</v>
      </c>
      <c r="K302" s="189">
        <f t="shared" si="66"/>
        <v>0</v>
      </c>
      <c r="L302" s="190">
        <f t="shared" si="67"/>
        <v>774</v>
      </c>
      <c r="M302" s="188"/>
      <c r="N302" s="189"/>
      <c r="O302" s="189"/>
      <c r="P302" s="189"/>
      <c r="Q302" s="190"/>
      <c r="R302" s="188"/>
      <c r="S302" s="189"/>
      <c r="T302" s="189"/>
      <c r="U302" s="189"/>
      <c r="V302" s="190"/>
      <c r="W302" s="188"/>
      <c r="X302" s="189"/>
      <c r="Y302" s="189"/>
      <c r="Z302" s="189"/>
      <c r="AA302" s="190"/>
      <c r="AB302" s="188"/>
      <c r="AC302" s="189"/>
      <c r="AD302" s="189"/>
      <c r="AE302" s="189"/>
      <c r="AF302" s="190"/>
      <c r="AG302" s="188"/>
      <c r="AH302" s="189"/>
      <c r="AI302" s="189"/>
      <c r="AJ302" s="189"/>
      <c r="AK302" s="190"/>
      <c r="AL302" s="188"/>
      <c r="AM302" s="189"/>
      <c r="AN302" s="189"/>
      <c r="AO302" s="189"/>
      <c r="AP302" s="190"/>
      <c r="AQ302" s="188">
        <v>516</v>
      </c>
      <c r="AR302" s="189">
        <v>258</v>
      </c>
      <c r="AS302" s="189"/>
      <c r="AT302" s="189"/>
      <c r="AU302" s="190">
        <v>774</v>
      </c>
      <c r="AV302" s="188"/>
      <c r="AW302" s="189"/>
      <c r="AX302" s="189"/>
      <c r="AY302" s="189"/>
      <c r="AZ302" s="190"/>
      <c r="BA302" s="188"/>
      <c r="BB302" s="189"/>
      <c r="BC302" s="189"/>
      <c r="BD302" s="189"/>
      <c r="BE302" s="190"/>
      <c r="BF302" s="188">
        <f t="shared" si="74"/>
        <v>0</v>
      </c>
      <c r="BG302" s="189">
        <f t="shared" si="68"/>
        <v>0</v>
      </c>
      <c r="BH302" s="189">
        <f t="shared" si="69"/>
        <v>0</v>
      </c>
      <c r="BI302" s="189">
        <f t="shared" si="70"/>
        <v>0</v>
      </c>
      <c r="BJ302" s="190">
        <f t="shared" si="71"/>
        <v>0</v>
      </c>
      <c r="BK302" s="188"/>
      <c r="BL302" s="189"/>
      <c r="BM302" s="189"/>
      <c r="BN302" s="189"/>
      <c r="BO302" s="190"/>
      <c r="BP302" s="188"/>
      <c r="BQ302" s="189"/>
      <c r="BR302" s="189"/>
      <c r="BS302" s="189"/>
      <c r="BT302" s="190"/>
      <c r="BU302" s="188"/>
      <c r="BV302" s="189"/>
      <c r="BW302" s="189"/>
      <c r="BX302" s="189"/>
      <c r="BY302" s="190"/>
      <c r="BZ302" s="188"/>
      <c r="CA302" s="189"/>
      <c r="CB302" s="189"/>
      <c r="CC302" s="189"/>
      <c r="CD302" s="190"/>
      <c r="CE302" s="188"/>
      <c r="CF302" s="189"/>
      <c r="CG302" s="189"/>
      <c r="CH302" s="189"/>
      <c r="CI302" s="190"/>
    </row>
    <row r="303" s="163" customFormat="1" ht="14.6" spans="1:87">
      <c r="A303" s="191" t="s">
        <v>280</v>
      </c>
      <c r="B303" s="192"/>
      <c r="C303" s="193">
        <f t="shared" si="72"/>
        <v>516</v>
      </c>
      <c r="D303" s="194">
        <f t="shared" si="60"/>
        <v>258</v>
      </c>
      <c r="E303" s="194">
        <f t="shared" si="61"/>
        <v>0</v>
      </c>
      <c r="F303" s="194">
        <f t="shared" si="62"/>
        <v>0</v>
      </c>
      <c r="G303" s="195">
        <f t="shared" si="63"/>
        <v>774</v>
      </c>
      <c r="H303" s="193">
        <f t="shared" si="73"/>
        <v>516</v>
      </c>
      <c r="I303" s="194">
        <f t="shared" si="64"/>
        <v>258</v>
      </c>
      <c r="J303" s="194">
        <f t="shared" si="65"/>
        <v>0</v>
      </c>
      <c r="K303" s="194">
        <f t="shared" si="66"/>
        <v>0</v>
      </c>
      <c r="L303" s="195">
        <f t="shared" si="67"/>
        <v>774</v>
      </c>
      <c r="M303" s="193"/>
      <c r="N303" s="194"/>
      <c r="O303" s="194"/>
      <c r="P303" s="194"/>
      <c r="Q303" s="195"/>
      <c r="R303" s="193"/>
      <c r="S303" s="194"/>
      <c r="T303" s="194"/>
      <c r="U303" s="194"/>
      <c r="V303" s="195"/>
      <c r="W303" s="193"/>
      <c r="X303" s="194"/>
      <c r="Y303" s="194"/>
      <c r="Z303" s="194"/>
      <c r="AA303" s="195"/>
      <c r="AB303" s="193"/>
      <c r="AC303" s="194"/>
      <c r="AD303" s="194"/>
      <c r="AE303" s="194"/>
      <c r="AF303" s="195"/>
      <c r="AG303" s="193"/>
      <c r="AH303" s="194"/>
      <c r="AI303" s="194"/>
      <c r="AJ303" s="194"/>
      <c r="AK303" s="195"/>
      <c r="AL303" s="193"/>
      <c r="AM303" s="194"/>
      <c r="AN303" s="194"/>
      <c r="AO303" s="194"/>
      <c r="AP303" s="195"/>
      <c r="AQ303" s="193">
        <v>516</v>
      </c>
      <c r="AR303" s="194">
        <v>258</v>
      </c>
      <c r="AS303" s="194"/>
      <c r="AT303" s="194"/>
      <c r="AU303" s="195">
        <v>774</v>
      </c>
      <c r="AV303" s="193"/>
      <c r="AW303" s="194"/>
      <c r="AX303" s="194"/>
      <c r="AY303" s="194"/>
      <c r="AZ303" s="195"/>
      <c r="BA303" s="193"/>
      <c r="BB303" s="194"/>
      <c r="BC303" s="194"/>
      <c r="BD303" s="194"/>
      <c r="BE303" s="195"/>
      <c r="BF303" s="193">
        <f t="shared" si="74"/>
        <v>0</v>
      </c>
      <c r="BG303" s="194">
        <f t="shared" si="68"/>
        <v>0</v>
      </c>
      <c r="BH303" s="194">
        <f t="shared" si="69"/>
        <v>0</v>
      </c>
      <c r="BI303" s="194">
        <f t="shared" si="70"/>
        <v>0</v>
      </c>
      <c r="BJ303" s="195">
        <f t="shared" si="71"/>
        <v>0</v>
      </c>
      <c r="BK303" s="193"/>
      <c r="BL303" s="194"/>
      <c r="BM303" s="194"/>
      <c r="BN303" s="194"/>
      <c r="BO303" s="195"/>
      <c r="BP303" s="193"/>
      <c r="BQ303" s="194"/>
      <c r="BR303" s="194"/>
      <c r="BS303" s="194"/>
      <c r="BT303" s="195"/>
      <c r="BU303" s="193"/>
      <c r="BV303" s="194"/>
      <c r="BW303" s="194"/>
      <c r="BX303" s="194"/>
      <c r="BY303" s="195"/>
      <c r="BZ303" s="193"/>
      <c r="CA303" s="194"/>
      <c r="CB303" s="194"/>
      <c r="CC303" s="194"/>
      <c r="CD303" s="195"/>
      <c r="CE303" s="193"/>
      <c r="CF303" s="194"/>
      <c r="CG303" s="194"/>
      <c r="CH303" s="194"/>
      <c r="CI303" s="195"/>
    </row>
    <row r="304" spans="1:87">
      <c r="A304" s="186" t="s">
        <v>281</v>
      </c>
      <c r="B304" s="187" t="s">
        <v>26</v>
      </c>
      <c r="C304" s="188">
        <f t="shared" si="72"/>
        <v>699</v>
      </c>
      <c r="D304" s="189">
        <f t="shared" si="60"/>
        <v>0</v>
      </c>
      <c r="E304" s="189">
        <f t="shared" si="61"/>
        <v>0</v>
      </c>
      <c r="F304" s="189">
        <f t="shared" si="62"/>
        <v>0</v>
      </c>
      <c r="G304" s="190">
        <f t="shared" si="63"/>
        <v>699</v>
      </c>
      <c r="H304" s="188">
        <f t="shared" si="73"/>
        <v>699</v>
      </c>
      <c r="I304" s="189">
        <f t="shared" si="64"/>
        <v>0</v>
      </c>
      <c r="J304" s="189">
        <f t="shared" si="65"/>
        <v>0</v>
      </c>
      <c r="K304" s="189">
        <f t="shared" si="66"/>
        <v>0</v>
      </c>
      <c r="L304" s="190">
        <f t="shared" si="67"/>
        <v>699</v>
      </c>
      <c r="M304" s="188"/>
      <c r="N304" s="189"/>
      <c r="O304" s="189"/>
      <c r="P304" s="189"/>
      <c r="Q304" s="190"/>
      <c r="R304" s="188"/>
      <c r="S304" s="189"/>
      <c r="T304" s="189"/>
      <c r="U304" s="189"/>
      <c r="V304" s="190"/>
      <c r="W304" s="188"/>
      <c r="X304" s="189"/>
      <c r="Y304" s="189"/>
      <c r="Z304" s="189"/>
      <c r="AA304" s="190"/>
      <c r="AB304" s="188"/>
      <c r="AC304" s="189"/>
      <c r="AD304" s="189"/>
      <c r="AE304" s="189"/>
      <c r="AF304" s="190"/>
      <c r="AG304" s="188"/>
      <c r="AH304" s="189"/>
      <c r="AI304" s="189"/>
      <c r="AJ304" s="189"/>
      <c r="AK304" s="190"/>
      <c r="AL304" s="188"/>
      <c r="AM304" s="189"/>
      <c r="AN304" s="189"/>
      <c r="AO304" s="189"/>
      <c r="AP304" s="190"/>
      <c r="AQ304" s="188"/>
      <c r="AR304" s="189"/>
      <c r="AS304" s="189"/>
      <c r="AT304" s="189"/>
      <c r="AU304" s="190"/>
      <c r="AV304" s="188">
        <v>699</v>
      </c>
      <c r="AW304" s="189"/>
      <c r="AX304" s="189"/>
      <c r="AY304" s="189"/>
      <c r="AZ304" s="190">
        <v>699</v>
      </c>
      <c r="BA304" s="188"/>
      <c r="BB304" s="189"/>
      <c r="BC304" s="189"/>
      <c r="BD304" s="189"/>
      <c r="BE304" s="190"/>
      <c r="BF304" s="188">
        <f t="shared" si="74"/>
        <v>0</v>
      </c>
      <c r="BG304" s="189">
        <f t="shared" si="68"/>
        <v>0</v>
      </c>
      <c r="BH304" s="189">
        <f t="shared" si="69"/>
        <v>0</v>
      </c>
      <c r="BI304" s="189">
        <f t="shared" si="70"/>
        <v>0</v>
      </c>
      <c r="BJ304" s="190">
        <f t="shared" si="71"/>
        <v>0</v>
      </c>
      <c r="BK304" s="188"/>
      <c r="BL304" s="189"/>
      <c r="BM304" s="189"/>
      <c r="BN304" s="189"/>
      <c r="BO304" s="190"/>
      <c r="BP304" s="188"/>
      <c r="BQ304" s="189"/>
      <c r="BR304" s="189"/>
      <c r="BS304" s="189"/>
      <c r="BT304" s="190"/>
      <c r="BU304" s="188"/>
      <c r="BV304" s="189"/>
      <c r="BW304" s="189"/>
      <c r="BX304" s="189"/>
      <c r="BY304" s="190"/>
      <c r="BZ304" s="188"/>
      <c r="CA304" s="189"/>
      <c r="CB304" s="189"/>
      <c r="CC304" s="189"/>
      <c r="CD304" s="190"/>
      <c r="CE304" s="188"/>
      <c r="CF304" s="189"/>
      <c r="CG304" s="189"/>
      <c r="CH304" s="189"/>
      <c r="CI304" s="190"/>
    </row>
    <row r="305" s="163" customFormat="1" ht="14.6" spans="1:87">
      <c r="A305" s="191" t="s">
        <v>282</v>
      </c>
      <c r="B305" s="192"/>
      <c r="C305" s="193">
        <f t="shared" si="72"/>
        <v>699</v>
      </c>
      <c r="D305" s="194">
        <f t="shared" si="60"/>
        <v>0</v>
      </c>
      <c r="E305" s="194">
        <f t="shared" si="61"/>
        <v>0</v>
      </c>
      <c r="F305" s="194">
        <f t="shared" si="62"/>
        <v>0</v>
      </c>
      <c r="G305" s="195">
        <f t="shared" si="63"/>
        <v>699</v>
      </c>
      <c r="H305" s="193">
        <f t="shared" si="73"/>
        <v>699</v>
      </c>
      <c r="I305" s="194">
        <f t="shared" si="64"/>
        <v>0</v>
      </c>
      <c r="J305" s="194">
        <f t="shared" si="65"/>
        <v>0</v>
      </c>
      <c r="K305" s="194">
        <f t="shared" si="66"/>
        <v>0</v>
      </c>
      <c r="L305" s="195">
        <f t="shared" si="67"/>
        <v>699</v>
      </c>
      <c r="M305" s="193"/>
      <c r="N305" s="194"/>
      <c r="O305" s="194"/>
      <c r="P305" s="194"/>
      <c r="Q305" s="195"/>
      <c r="R305" s="193"/>
      <c r="S305" s="194"/>
      <c r="T305" s="194"/>
      <c r="U305" s="194"/>
      <c r="V305" s="195"/>
      <c r="W305" s="193"/>
      <c r="X305" s="194"/>
      <c r="Y305" s="194"/>
      <c r="Z305" s="194"/>
      <c r="AA305" s="195"/>
      <c r="AB305" s="193"/>
      <c r="AC305" s="194"/>
      <c r="AD305" s="194"/>
      <c r="AE305" s="194"/>
      <c r="AF305" s="195"/>
      <c r="AG305" s="193"/>
      <c r="AH305" s="194"/>
      <c r="AI305" s="194"/>
      <c r="AJ305" s="194"/>
      <c r="AK305" s="195"/>
      <c r="AL305" s="193"/>
      <c r="AM305" s="194"/>
      <c r="AN305" s="194"/>
      <c r="AO305" s="194"/>
      <c r="AP305" s="195"/>
      <c r="AQ305" s="193"/>
      <c r="AR305" s="194"/>
      <c r="AS305" s="194"/>
      <c r="AT305" s="194"/>
      <c r="AU305" s="195"/>
      <c r="AV305" s="193">
        <v>699</v>
      </c>
      <c r="AW305" s="194"/>
      <c r="AX305" s="194"/>
      <c r="AY305" s="194"/>
      <c r="AZ305" s="195">
        <v>699</v>
      </c>
      <c r="BA305" s="193"/>
      <c r="BB305" s="194"/>
      <c r="BC305" s="194"/>
      <c r="BD305" s="194"/>
      <c r="BE305" s="195"/>
      <c r="BF305" s="193">
        <f t="shared" si="74"/>
        <v>0</v>
      </c>
      <c r="BG305" s="194">
        <f t="shared" si="68"/>
        <v>0</v>
      </c>
      <c r="BH305" s="194">
        <f t="shared" si="69"/>
        <v>0</v>
      </c>
      <c r="BI305" s="194">
        <f t="shared" si="70"/>
        <v>0</v>
      </c>
      <c r="BJ305" s="195">
        <f t="shared" si="71"/>
        <v>0</v>
      </c>
      <c r="BK305" s="193"/>
      <c r="BL305" s="194"/>
      <c r="BM305" s="194"/>
      <c r="BN305" s="194"/>
      <c r="BO305" s="195"/>
      <c r="BP305" s="193"/>
      <c r="BQ305" s="194"/>
      <c r="BR305" s="194"/>
      <c r="BS305" s="194"/>
      <c r="BT305" s="195"/>
      <c r="BU305" s="193"/>
      <c r="BV305" s="194"/>
      <c r="BW305" s="194"/>
      <c r="BX305" s="194"/>
      <c r="BY305" s="195"/>
      <c r="BZ305" s="193"/>
      <c r="CA305" s="194"/>
      <c r="CB305" s="194"/>
      <c r="CC305" s="194"/>
      <c r="CD305" s="195"/>
      <c r="CE305" s="193"/>
      <c r="CF305" s="194"/>
      <c r="CG305" s="194"/>
      <c r="CH305" s="194"/>
      <c r="CI305" s="195"/>
    </row>
    <row r="306" spans="1:87">
      <c r="A306" s="186" t="s">
        <v>283</v>
      </c>
      <c r="B306" s="187" t="s">
        <v>26</v>
      </c>
      <c r="C306" s="188">
        <f t="shared" si="72"/>
        <v>594</v>
      </c>
      <c r="D306" s="189">
        <f t="shared" si="60"/>
        <v>0</v>
      </c>
      <c r="E306" s="189">
        <f t="shared" si="61"/>
        <v>0</v>
      </c>
      <c r="F306" s="189">
        <f t="shared" si="62"/>
        <v>0</v>
      </c>
      <c r="G306" s="190">
        <f t="shared" si="63"/>
        <v>594</v>
      </c>
      <c r="H306" s="188">
        <f t="shared" si="73"/>
        <v>594</v>
      </c>
      <c r="I306" s="189">
        <f t="shared" si="64"/>
        <v>0</v>
      </c>
      <c r="J306" s="189">
        <f t="shared" si="65"/>
        <v>0</v>
      </c>
      <c r="K306" s="189">
        <f t="shared" si="66"/>
        <v>0</v>
      </c>
      <c r="L306" s="190">
        <f t="shared" si="67"/>
        <v>594</v>
      </c>
      <c r="M306" s="188"/>
      <c r="N306" s="189"/>
      <c r="O306" s="189"/>
      <c r="P306" s="189"/>
      <c r="Q306" s="190"/>
      <c r="R306" s="188"/>
      <c r="S306" s="189"/>
      <c r="T306" s="189"/>
      <c r="U306" s="189"/>
      <c r="V306" s="190"/>
      <c r="W306" s="188"/>
      <c r="X306" s="189"/>
      <c r="Y306" s="189"/>
      <c r="Z306" s="189"/>
      <c r="AA306" s="190"/>
      <c r="AB306" s="188"/>
      <c r="AC306" s="189"/>
      <c r="AD306" s="189"/>
      <c r="AE306" s="189"/>
      <c r="AF306" s="190"/>
      <c r="AG306" s="188"/>
      <c r="AH306" s="189"/>
      <c r="AI306" s="189"/>
      <c r="AJ306" s="189"/>
      <c r="AK306" s="190"/>
      <c r="AL306" s="188"/>
      <c r="AM306" s="189"/>
      <c r="AN306" s="189"/>
      <c r="AO306" s="189"/>
      <c r="AP306" s="190"/>
      <c r="AQ306" s="188"/>
      <c r="AR306" s="189"/>
      <c r="AS306" s="189"/>
      <c r="AT306" s="189"/>
      <c r="AU306" s="190"/>
      <c r="AV306" s="188"/>
      <c r="AW306" s="189"/>
      <c r="AX306" s="189"/>
      <c r="AY306" s="189"/>
      <c r="AZ306" s="190"/>
      <c r="BA306" s="188">
        <v>594</v>
      </c>
      <c r="BB306" s="189"/>
      <c r="BC306" s="189"/>
      <c r="BD306" s="189"/>
      <c r="BE306" s="190">
        <v>594</v>
      </c>
      <c r="BF306" s="188">
        <f t="shared" si="74"/>
        <v>0</v>
      </c>
      <c r="BG306" s="189">
        <f t="shared" si="68"/>
        <v>0</v>
      </c>
      <c r="BH306" s="189">
        <f t="shared" si="69"/>
        <v>0</v>
      </c>
      <c r="BI306" s="189">
        <f t="shared" si="70"/>
        <v>0</v>
      </c>
      <c r="BJ306" s="190">
        <f t="shared" si="71"/>
        <v>0</v>
      </c>
      <c r="BK306" s="188"/>
      <c r="BL306" s="189"/>
      <c r="BM306" s="189"/>
      <c r="BN306" s="189"/>
      <c r="BO306" s="190"/>
      <c r="BP306" s="188"/>
      <c r="BQ306" s="189"/>
      <c r="BR306" s="189"/>
      <c r="BS306" s="189"/>
      <c r="BT306" s="190"/>
      <c r="BU306" s="188"/>
      <c r="BV306" s="189"/>
      <c r="BW306" s="189"/>
      <c r="BX306" s="189"/>
      <c r="BY306" s="190"/>
      <c r="BZ306" s="188"/>
      <c r="CA306" s="189"/>
      <c r="CB306" s="189"/>
      <c r="CC306" s="189"/>
      <c r="CD306" s="190"/>
      <c r="CE306" s="188"/>
      <c r="CF306" s="189"/>
      <c r="CG306" s="189"/>
      <c r="CH306" s="189"/>
      <c r="CI306" s="190"/>
    </row>
    <row r="307" s="163" customFormat="1" ht="14.6" spans="1:87">
      <c r="A307" s="191" t="s">
        <v>284</v>
      </c>
      <c r="B307" s="192"/>
      <c r="C307" s="193">
        <f t="shared" si="72"/>
        <v>594</v>
      </c>
      <c r="D307" s="194">
        <f t="shared" si="60"/>
        <v>0</v>
      </c>
      <c r="E307" s="194">
        <f t="shared" si="61"/>
        <v>0</v>
      </c>
      <c r="F307" s="194">
        <f t="shared" si="62"/>
        <v>0</v>
      </c>
      <c r="G307" s="195">
        <f t="shared" si="63"/>
        <v>594</v>
      </c>
      <c r="H307" s="193">
        <f t="shared" si="73"/>
        <v>594</v>
      </c>
      <c r="I307" s="194">
        <f t="shared" si="64"/>
        <v>0</v>
      </c>
      <c r="J307" s="194">
        <f t="shared" si="65"/>
        <v>0</v>
      </c>
      <c r="K307" s="194">
        <f t="shared" si="66"/>
        <v>0</v>
      </c>
      <c r="L307" s="195">
        <f t="shared" si="67"/>
        <v>594</v>
      </c>
      <c r="M307" s="193"/>
      <c r="N307" s="194"/>
      <c r="O307" s="194"/>
      <c r="P307" s="194"/>
      <c r="Q307" s="195"/>
      <c r="R307" s="193"/>
      <c r="S307" s="194"/>
      <c r="T307" s="194"/>
      <c r="U307" s="194"/>
      <c r="V307" s="195"/>
      <c r="W307" s="193"/>
      <c r="X307" s="194"/>
      <c r="Y307" s="194"/>
      <c r="Z307" s="194"/>
      <c r="AA307" s="195"/>
      <c r="AB307" s="193"/>
      <c r="AC307" s="194"/>
      <c r="AD307" s="194"/>
      <c r="AE307" s="194"/>
      <c r="AF307" s="195"/>
      <c r="AG307" s="193"/>
      <c r="AH307" s="194"/>
      <c r="AI307" s="194"/>
      <c r="AJ307" s="194"/>
      <c r="AK307" s="195"/>
      <c r="AL307" s="193"/>
      <c r="AM307" s="194"/>
      <c r="AN307" s="194"/>
      <c r="AO307" s="194"/>
      <c r="AP307" s="195"/>
      <c r="AQ307" s="193"/>
      <c r="AR307" s="194"/>
      <c r="AS307" s="194"/>
      <c r="AT307" s="194"/>
      <c r="AU307" s="195"/>
      <c r="AV307" s="193"/>
      <c r="AW307" s="194"/>
      <c r="AX307" s="194"/>
      <c r="AY307" s="194"/>
      <c r="AZ307" s="195"/>
      <c r="BA307" s="193">
        <v>594</v>
      </c>
      <c r="BB307" s="194"/>
      <c r="BC307" s="194"/>
      <c r="BD307" s="194"/>
      <c r="BE307" s="195">
        <v>594</v>
      </c>
      <c r="BF307" s="193">
        <f t="shared" si="74"/>
        <v>0</v>
      </c>
      <c r="BG307" s="194">
        <f t="shared" si="68"/>
        <v>0</v>
      </c>
      <c r="BH307" s="194">
        <f t="shared" si="69"/>
        <v>0</v>
      </c>
      <c r="BI307" s="194">
        <f t="shared" si="70"/>
        <v>0</v>
      </c>
      <c r="BJ307" s="195">
        <f t="shared" si="71"/>
        <v>0</v>
      </c>
      <c r="BK307" s="193"/>
      <c r="BL307" s="194"/>
      <c r="BM307" s="194"/>
      <c r="BN307" s="194"/>
      <c r="BO307" s="195"/>
      <c r="BP307" s="193"/>
      <c r="BQ307" s="194"/>
      <c r="BR307" s="194"/>
      <c r="BS307" s="194"/>
      <c r="BT307" s="195"/>
      <c r="BU307" s="193"/>
      <c r="BV307" s="194"/>
      <c r="BW307" s="194"/>
      <c r="BX307" s="194"/>
      <c r="BY307" s="195"/>
      <c r="BZ307" s="193"/>
      <c r="CA307" s="194"/>
      <c r="CB307" s="194"/>
      <c r="CC307" s="194"/>
      <c r="CD307" s="195"/>
      <c r="CE307" s="193"/>
      <c r="CF307" s="194"/>
      <c r="CG307" s="194"/>
      <c r="CH307" s="194"/>
      <c r="CI307" s="195"/>
    </row>
    <row r="308" spans="1:87">
      <c r="A308" s="186" t="s">
        <v>285</v>
      </c>
      <c r="B308" s="187" t="s">
        <v>26</v>
      </c>
      <c r="C308" s="188">
        <f t="shared" si="72"/>
        <v>295</v>
      </c>
      <c r="D308" s="189">
        <f t="shared" si="60"/>
        <v>236</v>
      </c>
      <c r="E308" s="189">
        <f t="shared" si="61"/>
        <v>0</v>
      </c>
      <c r="F308" s="189">
        <f t="shared" si="62"/>
        <v>0</v>
      </c>
      <c r="G308" s="190">
        <f t="shared" si="63"/>
        <v>531</v>
      </c>
      <c r="H308" s="188">
        <f t="shared" si="73"/>
        <v>295</v>
      </c>
      <c r="I308" s="189">
        <f t="shared" si="64"/>
        <v>236</v>
      </c>
      <c r="J308" s="189">
        <f t="shared" si="65"/>
        <v>0</v>
      </c>
      <c r="K308" s="189">
        <f t="shared" si="66"/>
        <v>0</v>
      </c>
      <c r="L308" s="190">
        <f t="shared" si="67"/>
        <v>531</v>
      </c>
      <c r="M308" s="188"/>
      <c r="N308" s="189"/>
      <c r="O308" s="189"/>
      <c r="P308" s="189"/>
      <c r="Q308" s="190"/>
      <c r="R308" s="188"/>
      <c r="S308" s="189"/>
      <c r="T308" s="189"/>
      <c r="U308" s="189"/>
      <c r="V308" s="190"/>
      <c r="W308" s="188"/>
      <c r="X308" s="189"/>
      <c r="Y308" s="189"/>
      <c r="Z308" s="189"/>
      <c r="AA308" s="190"/>
      <c r="AB308" s="188">
        <v>295</v>
      </c>
      <c r="AC308" s="189">
        <v>236</v>
      </c>
      <c r="AD308" s="189"/>
      <c r="AE308" s="189"/>
      <c r="AF308" s="190">
        <v>531</v>
      </c>
      <c r="AG308" s="188"/>
      <c r="AH308" s="189"/>
      <c r="AI308" s="189"/>
      <c r="AJ308" s="189"/>
      <c r="AK308" s="190"/>
      <c r="AL308" s="188"/>
      <c r="AM308" s="189"/>
      <c r="AN308" s="189"/>
      <c r="AO308" s="189"/>
      <c r="AP308" s="190"/>
      <c r="AQ308" s="188"/>
      <c r="AR308" s="189"/>
      <c r="AS308" s="189"/>
      <c r="AT308" s="189"/>
      <c r="AU308" s="190"/>
      <c r="AV308" s="188"/>
      <c r="AW308" s="189"/>
      <c r="AX308" s="189"/>
      <c r="AY308" s="189"/>
      <c r="AZ308" s="190"/>
      <c r="BA308" s="188"/>
      <c r="BB308" s="189"/>
      <c r="BC308" s="189"/>
      <c r="BD308" s="189"/>
      <c r="BE308" s="190"/>
      <c r="BF308" s="188">
        <f t="shared" si="74"/>
        <v>0</v>
      </c>
      <c r="BG308" s="189">
        <f t="shared" si="68"/>
        <v>0</v>
      </c>
      <c r="BH308" s="189">
        <f t="shared" si="69"/>
        <v>0</v>
      </c>
      <c r="BI308" s="189">
        <f t="shared" si="70"/>
        <v>0</v>
      </c>
      <c r="BJ308" s="190">
        <f t="shared" si="71"/>
        <v>0</v>
      </c>
      <c r="BK308" s="188"/>
      <c r="BL308" s="189"/>
      <c r="BM308" s="189"/>
      <c r="BN308" s="189"/>
      <c r="BO308" s="190"/>
      <c r="BP308" s="188"/>
      <c r="BQ308" s="189"/>
      <c r="BR308" s="189"/>
      <c r="BS308" s="189"/>
      <c r="BT308" s="190"/>
      <c r="BU308" s="188"/>
      <c r="BV308" s="189"/>
      <c r="BW308" s="189"/>
      <c r="BX308" s="189"/>
      <c r="BY308" s="190"/>
      <c r="BZ308" s="188"/>
      <c r="CA308" s="189"/>
      <c r="CB308" s="189"/>
      <c r="CC308" s="189"/>
      <c r="CD308" s="190"/>
      <c r="CE308" s="188"/>
      <c r="CF308" s="189"/>
      <c r="CG308" s="189"/>
      <c r="CH308" s="189"/>
      <c r="CI308" s="190"/>
    </row>
    <row r="309" s="163" customFormat="1" ht="14.6" spans="1:87">
      <c r="A309" s="191" t="s">
        <v>286</v>
      </c>
      <c r="B309" s="192"/>
      <c r="C309" s="193">
        <f t="shared" si="72"/>
        <v>295</v>
      </c>
      <c r="D309" s="194">
        <f t="shared" si="60"/>
        <v>236</v>
      </c>
      <c r="E309" s="194">
        <f t="shared" si="61"/>
        <v>0</v>
      </c>
      <c r="F309" s="194">
        <f t="shared" si="62"/>
        <v>0</v>
      </c>
      <c r="G309" s="195">
        <f t="shared" si="63"/>
        <v>531</v>
      </c>
      <c r="H309" s="193">
        <f t="shared" si="73"/>
        <v>295</v>
      </c>
      <c r="I309" s="194">
        <f t="shared" si="64"/>
        <v>236</v>
      </c>
      <c r="J309" s="194">
        <f t="shared" si="65"/>
        <v>0</v>
      </c>
      <c r="K309" s="194">
        <f t="shared" si="66"/>
        <v>0</v>
      </c>
      <c r="L309" s="195">
        <f t="shared" si="67"/>
        <v>531</v>
      </c>
      <c r="M309" s="193"/>
      <c r="N309" s="194"/>
      <c r="O309" s="194"/>
      <c r="P309" s="194"/>
      <c r="Q309" s="195"/>
      <c r="R309" s="193"/>
      <c r="S309" s="194"/>
      <c r="T309" s="194"/>
      <c r="U309" s="194"/>
      <c r="V309" s="195"/>
      <c r="W309" s="193"/>
      <c r="X309" s="194"/>
      <c r="Y309" s="194"/>
      <c r="Z309" s="194"/>
      <c r="AA309" s="195"/>
      <c r="AB309" s="193">
        <v>295</v>
      </c>
      <c r="AC309" s="194">
        <v>236</v>
      </c>
      <c r="AD309" s="194"/>
      <c r="AE309" s="194"/>
      <c r="AF309" s="195">
        <v>531</v>
      </c>
      <c r="AG309" s="193"/>
      <c r="AH309" s="194"/>
      <c r="AI309" s="194"/>
      <c r="AJ309" s="194"/>
      <c r="AK309" s="195"/>
      <c r="AL309" s="193"/>
      <c r="AM309" s="194"/>
      <c r="AN309" s="194"/>
      <c r="AO309" s="194"/>
      <c r="AP309" s="195"/>
      <c r="AQ309" s="193"/>
      <c r="AR309" s="194"/>
      <c r="AS309" s="194"/>
      <c r="AT309" s="194"/>
      <c r="AU309" s="195"/>
      <c r="AV309" s="193"/>
      <c r="AW309" s="194"/>
      <c r="AX309" s="194"/>
      <c r="AY309" s="194"/>
      <c r="AZ309" s="195"/>
      <c r="BA309" s="193"/>
      <c r="BB309" s="194"/>
      <c r="BC309" s="194"/>
      <c r="BD309" s="194"/>
      <c r="BE309" s="195"/>
      <c r="BF309" s="193">
        <f t="shared" si="74"/>
        <v>0</v>
      </c>
      <c r="BG309" s="194">
        <f t="shared" si="68"/>
        <v>0</v>
      </c>
      <c r="BH309" s="194">
        <f t="shared" si="69"/>
        <v>0</v>
      </c>
      <c r="BI309" s="194">
        <f t="shared" si="70"/>
        <v>0</v>
      </c>
      <c r="BJ309" s="195">
        <f t="shared" si="71"/>
        <v>0</v>
      </c>
      <c r="BK309" s="193"/>
      <c r="BL309" s="194"/>
      <c r="BM309" s="194"/>
      <c r="BN309" s="194"/>
      <c r="BO309" s="195"/>
      <c r="BP309" s="193"/>
      <c r="BQ309" s="194"/>
      <c r="BR309" s="194"/>
      <c r="BS309" s="194"/>
      <c r="BT309" s="195"/>
      <c r="BU309" s="193"/>
      <c r="BV309" s="194"/>
      <c r="BW309" s="194"/>
      <c r="BX309" s="194"/>
      <c r="BY309" s="195"/>
      <c r="BZ309" s="193"/>
      <c r="CA309" s="194"/>
      <c r="CB309" s="194"/>
      <c r="CC309" s="194"/>
      <c r="CD309" s="195"/>
      <c r="CE309" s="193"/>
      <c r="CF309" s="194"/>
      <c r="CG309" s="194"/>
      <c r="CH309" s="194"/>
      <c r="CI309" s="195"/>
    </row>
    <row r="310" spans="1:87">
      <c r="A310" s="186" t="s">
        <v>287</v>
      </c>
      <c r="B310" s="187" t="s">
        <v>26</v>
      </c>
      <c r="C310" s="188">
        <f t="shared" si="72"/>
        <v>0</v>
      </c>
      <c r="D310" s="189">
        <f t="shared" si="60"/>
        <v>0</v>
      </c>
      <c r="E310" s="189">
        <f t="shared" si="61"/>
        <v>531</v>
      </c>
      <c r="F310" s="189">
        <f t="shared" si="62"/>
        <v>0</v>
      </c>
      <c r="G310" s="190">
        <f t="shared" si="63"/>
        <v>531</v>
      </c>
      <c r="H310" s="188">
        <f t="shared" si="73"/>
        <v>0</v>
      </c>
      <c r="I310" s="189">
        <f t="shared" si="64"/>
        <v>0</v>
      </c>
      <c r="J310" s="189">
        <f t="shared" si="65"/>
        <v>531</v>
      </c>
      <c r="K310" s="189">
        <f t="shared" si="66"/>
        <v>0</v>
      </c>
      <c r="L310" s="190">
        <f t="shared" si="67"/>
        <v>531</v>
      </c>
      <c r="M310" s="188"/>
      <c r="N310" s="189"/>
      <c r="O310" s="189"/>
      <c r="P310" s="189"/>
      <c r="Q310" s="190"/>
      <c r="R310" s="188"/>
      <c r="S310" s="189"/>
      <c r="T310" s="189"/>
      <c r="U310" s="189"/>
      <c r="V310" s="190"/>
      <c r="W310" s="188"/>
      <c r="X310" s="189"/>
      <c r="Y310" s="189"/>
      <c r="Z310" s="189"/>
      <c r="AA310" s="190"/>
      <c r="AB310" s="188"/>
      <c r="AC310" s="189"/>
      <c r="AD310" s="189">
        <v>531</v>
      </c>
      <c r="AE310" s="189"/>
      <c r="AF310" s="190">
        <v>531</v>
      </c>
      <c r="AG310" s="188"/>
      <c r="AH310" s="189"/>
      <c r="AI310" s="189"/>
      <c r="AJ310" s="189"/>
      <c r="AK310" s="190"/>
      <c r="AL310" s="188"/>
      <c r="AM310" s="189"/>
      <c r="AN310" s="189"/>
      <c r="AO310" s="189"/>
      <c r="AP310" s="190"/>
      <c r="AQ310" s="188"/>
      <c r="AR310" s="189"/>
      <c r="AS310" s="189"/>
      <c r="AT310" s="189"/>
      <c r="AU310" s="190"/>
      <c r="AV310" s="188"/>
      <c r="AW310" s="189"/>
      <c r="AX310" s="189"/>
      <c r="AY310" s="189"/>
      <c r="AZ310" s="190"/>
      <c r="BA310" s="188"/>
      <c r="BB310" s="189"/>
      <c r="BC310" s="189"/>
      <c r="BD310" s="189"/>
      <c r="BE310" s="190"/>
      <c r="BF310" s="188">
        <f t="shared" si="74"/>
        <v>0</v>
      </c>
      <c r="BG310" s="189">
        <f t="shared" si="68"/>
        <v>0</v>
      </c>
      <c r="BH310" s="189">
        <f t="shared" si="69"/>
        <v>0</v>
      </c>
      <c r="BI310" s="189">
        <f t="shared" si="70"/>
        <v>0</v>
      </c>
      <c r="BJ310" s="190">
        <f t="shared" si="71"/>
        <v>0</v>
      </c>
      <c r="BK310" s="188"/>
      <c r="BL310" s="189"/>
      <c r="BM310" s="189"/>
      <c r="BN310" s="189"/>
      <c r="BO310" s="190"/>
      <c r="BP310" s="188"/>
      <c r="BQ310" s="189"/>
      <c r="BR310" s="189"/>
      <c r="BS310" s="189"/>
      <c r="BT310" s="190"/>
      <c r="BU310" s="188"/>
      <c r="BV310" s="189"/>
      <c r="BW310" s="189"/>
      <c r="BX310" s="189"/>
      <c r="BY310" s="190"/>
      <c r="BZ310" s="188"/>
      <c r="CA310" s="189"/>
      <c r="CB310" s="189"/>
      <c r="CC310" s="189"/>
      <c r="CD310" s="190"/>
      <c r="CE310" s="188"/>
      <c r="CF310" s="189"/>
      <c r="CG310" s="189"/>
      <c r="CH310" s="189"/>
      <c r="CI310" s="190"/>
    </row>
    <row r="311" s="163" customFormat="1" ht="14.6" spans="1:87">
      <c r="A311" s="191" t="s">
        <v>288</v>
      </c>
      <c r="B311" s="192"/>
      <c r="C311" s="193">
        <f t="shared" si="72"/>
        <v>0</v>
      </c>
      <c r="D311" s="194">
        <f t="shared" si="60"/>
        <v>0</v>
      </c>
      <c r="E311" s="194">
        <f t="shared" si="61"/>
        <v>531</v>
      </c>
      <c r="F311" s="194">
        <f t="shared" si="62"/>
        <v>0</v>
      </c>
      <c r="G311" s="195">
        <f t="shared" si="63"/>
        <v>531</v>
      </c>
      <c r="H311" s="193">
        <f t="shared" si="73"/>
        <v>0</v>
      </c>
      <c r="I311" s="194">
        <f t="shared" si="64"/>
        <v>0</v>
      </c>
      <c r="J311" s="194">
        <f t="shared" si="65"/>
        <v>531</v>
      </c>
      <c r="K311" s="194">
        <f t="shared" si="66"/>
        <v>0</v>
      </c>
      <c r="L311" s="195">
        <f t="shared" si="67"/>
        <v>531</v>
      </c>
      <c r="M311" s="193"/>
      <c r="N311" s="194"/>
      <c r="O311" s="194"/>
      <c r="P311" s="194"/>
      <c r="Q311" s="195"/>
      <c r="R311" s="193"/>
      <c r="S311" s="194"/>
      <c r="T311" s="194"/>
      <c r="U311" s="194"/>
      <c r="V311" s="195"/>
      <c r="W311" s="193"/>
      <c r="X311" s="194"/>
      <c r="Y311" s="194"/>
      <c r="Z311" s="194"/>
      <c r="AA311" s="195"/>
      <c r="AB311" s="193"/>
      <c r="AC311" s="194"/>
      <c r="AD311" s="194">
        <v>531</v>
      </c>
      <c r="AE311" s="194"/>
      <c r="AF311" s="195">
        <v>531</v>
      </c>
      <c r="AG311" s="193"/>
      <c r="AH311" s="194"/>
      <c r="AI311" s="194"/>
      <c r="AJ311" s="194"/>
      <c r="AK311" s="195"/>
      <c r="AL311" s="193"/>
      <c r="AM311" s="194"/>
      <c r="AN311" s="194"/>
      <c r="AO311" s="194"/>
      <c r="AP311" s="195"/>
      <c r="AQ311" s="193"/>
      <c r="AR311" s="194"/>
      <c r="AS311" s="194"/>
      <c r="AT311" s="194"/>
      <c r="AU311" s="195"/>
      <c r="AV311" s="193"/>
      <c r="AW311" s="194"/>
      <c r="AX311" s="194"/>
      <c r="AY311" s="194"/>
      <c r="AZ311" s="195"/>
      <c r="BA311" s="193"/>
      <c r="BB311" s="194"/>
      <c r="BC311" s="194"/>
      <c r="BD311" s="194"/>
      <c r="BE311" s="195"/>
      <c r="BF311" s="193">
        <f t="shared" si="74"/>
        <v>0</v>
      </c>
      <c r="BG311" s="194">
        <f t="shared" si="68"/>
        <v>0</v>
      </c>
      <c r="BH311" s="194">
        <f t="shared" si="69"/>
        <v>0</v>
      </c>
      <c r="BI311" s="194">
        <f t="shared" si="70"/>
        <v>0</v>
      </c>
      <c r="BJ311" s="195">
        <f t="shared" si="71"/>
        <v>0</v>
      </c>
      <c r="BK311" s="193"/>
      <c r="BL311" s="194"/>
      <c r="BM311" s="194"/>
      <c r="BN311" s="194"/>
      <c r="BO311" s="195"/>
      <c r="BP311" s="193"/>
      <c r="BQ311" s="194"/>
      <c r="BR311" s="194"/>
      <c r="BS311" s="194"/>
      <c r="BT311" s="195"/>
      <c r="BU311" s="193"/>
      <c r="BV311" s="194"/>
      <c r="BW311" s="194"/>
      <c r="BX311" s="194"/>
      <c r="BY311" s="195"/>
      <c r="BZ311" s="193"/>
      <c r="CA311" s="194"/>
      <c r="CB311" s="194"/>
      <c r="CC311" s="194"/>
      <c r="CD311" s="195"/>
      <c r="CE311" s="193"/>
      <c r="CF311" s="194"/>
      <c r="CG311" s="194"/>
      <c r="CH311" s="194"/>
      <c r="CI311" s="195"/>
    </row>
    <row r="312" spans="1:87">
      <c r="A312" s="186" t="s">
        <v>289</v>
      </c>
      <c r="B312" s="187" t="s">
        <v>26</v>
      </c>
      <c r="C312" s="188">
        <f t="shared" si="72"/>
        <v>0</v>
      </c>
      <c r="D312" s="189">
        <f t="shared" si="60"/>
        <v>0</v>
      </c>
      <c r="E312" s="189">
        <f t="shared" si="61"/>
        <v>354</v>
      </c>
      <c r="F312" s="189">
        <f t="shared" si="62"/>
        <v>59</v>
      </c>
      <c r="G312" s="190">
        <f t="shared" si="63"/>
        <v>413</v>
      </c>
      <c r="H312" s="188">
        <f t="shared" si="73"/>
        <v>0</v>
      </c>
      <c r="I312" s="189">
        <f t="shared" si="64"/>
        <v>0</v>
      </c>
      <c r="J312" s="189">
        <f t="shared" si="65"/>
        <v>354</v>
      </c>
      <c r="K312" s="189">
        <f t="shared" si="66"/>
        <v>59</v>
      </c>
      <c r="L312" s="190">
        <f t="shared" si="67"/>
        <v>413</v>
      </c>
      <c r="M312" s="188"/>
      <c r="N312" s="189"/>
      <c r="O312" s="189"/>
      <c r="P312" s="189"/>
      <c r="Q312" s="190"/>
      <c r="R312" s="188"/>
      <c r="S312" s="189"/>
      <c r="T312" s="189">
        <v>354</v>
      </c>
      <c r="U312" s="189">
        <v>59</v>
      </c>
      <c r="V312" s="190">
        <v>413</v>
      </c>
      <c r="W312" s="188"/>
      <c r="X312" s="189"/>
      <c r="Y312" s="189"/>
      <c r="Z312" s="189"/>
      <c r="AA312" s="190"/>
      <c r="AB312" s="188"/>
      <c r="AC312" s="189"/>
      <c r="AD312" s="189"/>
      <c r="AE312" s="189"/>
      <c r="AF312" s="190"/>
      <c r="AG312" s="188"/>
      <c r="AH312" s="189"/>
      <c r="AI312" s="189"/>
      <c r="AJ312" s="189"/>
      <c r="AK312" s="190"/>
      <c r="AL312" s="188"/>
      <c r="AM312" s="189"/>
      <c r="AN312" s="189"/>
      <c r="AO312" s="189"/>
      <c r="AP312" s="190"/>
      <c r="AQ312" s="188"/>
      <c r="AR312" s="189"/>
      <c r="AS312" s="189"/>
      <c r="AT312" s="189"/>
      <c r="AU312" s="190"/>
      <c r="AV312" s="188"/>
      <c r="AW312" s="189"/>
      <c r="AX312" s="189"/>
      <c r="AY312" s="189"/>
      <c r="AZ312" s="190"/>
      <c r="BA312" s="188"/>
      <c r="BB312" s="189"/>
      <c r="BC312" s="189"/>
      <c r="BD312" s="189"/>
      <c r="BE312" s="190"/>
      <c r="BF312" s="188">
        <f t="shared" si="74"/>
        <v>0</v>
      </c>
      <c r="BG312" s="189">
        <f t="shared" si="68"/>
        <v>0</v>
      </c>
      <c r="BH312" s="189">
        <f t="shared" si="69"/>
        <v>0</v>
      </c>
      <c r="BI312" s="189">
        <f t="shared" si="70"/>
        <v>0</v>
      </c>
      <c r="BJ312" s="190">
        <f t="shared" si="71"/>
        <v>0</v>
      </c>
      <c r="BK312" s="188"/>
      <c r="BL312" s="189"/>
      <c r="BM312" s="189"/>
      <c r="BN312" s="189"/>
      <c r="BO312" s="190"/>
      <c r="BP312" s="188"/>
      <c r="BQ312" s="189"/>
      <c r="BR312" s="189"/>
      <c r="BS312" s="189"/>
      <c r="BT312" s="190"/>
      <c r="BU312" s="188"/>
      <c r="BV312" s="189"/>
      <c r="BW312" s="189"/>
      <c r="BX312" s="189"/>
      <c r="BY312" s="190"/>
      <c r="BZ312" s="188"/>
      <c r="CA312" s="189"/>
      <c r="CB312" s="189"/>
      <c r="CC312" s="189"/>
      <c r="CD312" s="190"/>
      <c r="CE312" s="188"/>
      <c r="CF312" s="189"/>
      <c r="CG312" s="189"/>
      <c r="CH312" s="189"/>
      <c r="CI312" s="190"/>
    </row>
    <row r="313" s="163" customFormat="1" ht="14.6" spans="1:87">
      <c r="A313" s="191" t="s">
        <v>290</v>
      </c>
      <c r="B313" s="192"/>
      <c r="C313" s="193">
        <f t="shared" si="72"/>
        <v>0</v>
      </c>
      <c r="D313" s="194">
        <f t="shared" si="60"/>
        <v>0</v>
      </c>
      <c r="E313" s="194">
        <f t="shared" si="61"/>
        <v>354</v>
      </c>
      <c r="F313" s="194">
        <f t="shared" si="62"/>
        <v>59</v>
      </c>
      <c r="G313" s="195">
        <f t="shared" si="63"/>
        <v>413</v>
      </c>
      <c r="H313" s="193">
        <f t="shared" si="73"/>
        <v>0</v>
      </c>
      <c r="I313" s="194">
        <f t="shared" si="64"/>
        <v>0</v>
      </c>
      <c r="J313" s="194">
        <f t="shared" si="65"/>
        <v>354</v>
      </c>
      <c r="K313" s="194">
        <f t="shared" si="66"/>
        <v>59</v>
      </c>
      <c r="L313" s="195">
        <f t="shared" si="67"/>
        <v>413</v>
      </c>
      <c r="M313" s="193"/>
      <c r="N313" s="194"/>
      <c r="O313" s="194"/>
      <c r="P313" s="194"/>
      <c r="Q313" s="195"/>
      <c r="R313" s="193"/>
      <c r="S313" s="194"/>
      <c r="T313" s="194">
        <v>354</v>
      </c>
      <c r="U313" s="194">
        <v>59</v>
      </c>
      <c r="V313" s="195">
        <v>413</v>
      </c>
      <c r="W313" s="193"/>
      <c r="X313" s="194"/>
      <c r="Y313" s="194"/>
      <c r="Z313" s="194"/>
      <c r="AA313" s="195"/>
      <c r="AB313" s="193"/>
      <c r="AC313" s="194"/>
      <c r="AD313" s="194"/>
      <c r="AE313" s="194"/>
      <c r="AF313" s="195"/>
      <c r="AG313" s="193"/>
      <c r="AH313" s="194"/>
      <c r="AI313" s="194"/>
      <c r="AJ313" s="194"/>
      <c r="AK313" s="195"/>
      <c r="AL313" s="193"/>
      <c r="AM313" s="194"/>
      <c r="AN313" s="194"/>
      <c r="AO313" s="194"/>
      <c r="AP313" s="195"/>
      <c r="AQ313" s="193"/>
      <c r="AR313" s="194"/>
      <c r="AS313" s="194"/>
      <c r="AT313" s="194"/>
      <c r="AU313" s="195"/>
      <c r="AV313" s="193"/>
      <c r="AW313" s="194"/>
      <c r="AX313" s="194"/>
      <c r="AY313" s="194"/>
      <c r="AZ313" s="195"/>
      <c r="BA313" s="193"/>
      <c r="BB313" s="194"/>
      <c r="BC313" s="194"/>
      <c r="BD313" s="194"/>
      <c r="BE313" s="195"/>
      <c r="BF313" s="193">
        <f t="shared" si="74"/>
        <v>0</v>
      </c>
      <c r="BG313" s="194">
        <f t="shared" si="68"/>
        <v>0</v>
      </c>
      <c r="BH313" s="194">
        <f t="shared" si="69"/>
        <v>0</v>
      </c>
      <c r="BI313" s="194">
        <f t="shared" si="70"/>
        <v>0</v>
      </c>
      <c r="BJ313" s="195">
        <f t="shared" si="71"/>
        <v>0</v>
      </c>
      <c r="BK313" s="193"/>
      <c r="BL313" s="194"/>
      <c r="BM313" s="194"/>
      <c r="BN313" s="194"/>
      <c r="BO313" s="195"/>
      <c r="BP313" s="193"/>
      <c r="BQ313" s="194"/>
      <c r="BR313" s="194"/>
      <c r="BS313" s="194"/>
      <c r="BT313" s="195"/>
      <c r="BU313" s="193"/>
      <c r="BV313" s="194"/>
      <c r="BW313" s="194"/>
      <c r="BX313" s="194"/>
      <c r="BY313" s="195"/>
      <c r="BZ313" s="193"/>
      <c r="CA313" s="194"/>
      <c r="CB313" s="194"/>
      <c r="CC313" s="194"/>
      <c r="CD313" s="195"/>
      <c r="CE313" s="193"/>
      <c r="CF313" s="194"/>
      <c r="CG313" s="194"/>
      <c r="CH313" s="194"/>
      <c r="CI313" s="195"/>
    </row>
    <row r="314" spans="1:87">
      <c r="A314" s="186" t="s">
        <v>291</v>
      </c>
      <c r="B314" s="187" t="s">
        <v>26</v>
      </c>
      <c r="C314" s="188">
        <f t="shared" si="72"/>
        <v>0</v>
      </c>
      <c r="D314" s="189">
        <f t="shared" si="60"/>
        <v>0</v>
      </c>
      <c r="E314" s="189">
        <f t="shared" si="61"/>
        <v>0</v>
      </c>
      <c r="F314" s="189">
        <f t="shared" si="62"/>
        <v>269</v>
      </c>
      <c r="G314" s="190">
        <f t="shared" si="63"/>
        <v>269</v>
      </c>
      <c r="H314" s="188">
        <f t="shared" si="73"/>
        <v>0</v>
      </c>
      <c r="I314" s="189">
        <f t="shared" si="64"/>
        <v>0</v>
      </c>
      <c r="J314" s="189">
        <f t="shared" si="65"/>
        <v>0</v>
      </c>
      <c r="K314" s="189">
        <f t="shared" si="66"/>
        <v>269</v>
      </c>
      <c r="L314" s="190">
        <f t="shared" si="67"/>
        <v>269</v>
      </c>
      <c r="M314" s="188"/>
      <c r="N314" s="189"/>
      <c r="O314" s="189"/>
      <c r="P314" s="189"/>
      <c r="Q314" s="190"/>
      <c r="R314" s="188"/>
      <c r="S314" s="189"/>
      <c r="T314" s="189"/>
      <c r="U314" s="189"/>
      <c r="V314" s="190"/>
      <c r="W314" s="188"/>
      <c r="X314" s="189"/>
      <c r="Y314" s="189"/>
      <c r="Z314" s="189"/>
      <c r="AA314" s="190"/>
      <c r="AB314" s="188"/>
      <c r="AC314" s="189"/>
      <c r="AD314" s="189"/>
      <c r="AE314" s="189"/>
      <c r="AF314" s="190"/>
      <c r="AG314" s="188"/>
      <c r="AH314" s="189"/>
      <c r="AI314" s="189"/>
      <c r="AJ314" s="189"/>
      <c r="AK314" s="190"/>
      <c r="AL314" s="188"/>
      <c r="AM314" s="189"/>
      <c r="AN314" s="189"/>
      <c r="AO314" s="189"/>
      <c r="AP314" s="190"/>
      <c r="AQ314" s="188"/>
      <c r="AR314" s="189"/>
      <c r="AS314" s="189"/>
      <c r="AT314" s="189"/>
      <c r="AU314" s="190"/>
      <c r="AV314" s="188"/>
      <c r="AW314" s="189"/>
      <c r="AX314" s="189"/>
      <c r="AY314" s="189"/>
      <c r="AZ314" s="190"/>
      <c r="BA314" s="188"/>
      <c r="BB314" s="189"/>
      <c r="BC314" s="189"/>
      <c r="BD314" s="189">
        <v>269</v>
      </c>
      <c r="BE314" s="190">
        <v>269</v>
      </c>
      <c r="BF314" s="188">
        <f t="shared" si="74"/>
        <v>0</v>
      </c>
      <c r="BG314" s="189">
        <f t="shared" si="68"/>
        <v>0</v>
      </c>
      <c r="BH314" s="189">
        <f t="shared" si="69"/>
        <v>0</v>
      </c>
      <c r="BI314" s="189">
        <f t="shared" si="70"/>
        <v>0</v>
      </c>
      <c r="BJ314" s="190">
        <f t="shared" si="71"/>
        <v>0</v>
      </c>
      <c r="BK314" s="188"/>
      <c r="BL314" s="189"/>
      <c r="BM314" s="189"/>
      <c r="BN314" s="189"/>
      <c r="BO314" s="190"/>
      <c r="BP314" s="188"/>
      <c r="BQ314" s="189"/>
      <c r="BR314" s="189"/>
      <c r="BS314" s="189"/>
      <c r="BT314" s="190"/>
      <c r="BU314" s="188"/>
      <c r="BV314" s="189"/>
      <c r="BW314" s="189"/>
      <c r="BX314" s="189"/>
      <c r="BY314" s="190"/>
      <c r="BZ314" s="188"/>
      <c r="CA314" s="189"/>
      <c r="CB314" s="189"/>
      <c r="CC314" s="189"/>
      <c r="CD314" s="190"/>
      <c r="CE314" s="188"/>
      <c r="CF314" s="189"/>
      <c r="CG314" s="189"/>
      <c r="CH314" s="189"/>
      <c r="CI314" s="190"/>
    </row>
    <row r="315" s="163" customFormat="1" ht="14.6" spans="1:87">
      <c r="A315" s="191" t="s">
        <v>292</v>
      </c>
      <c r="B315" s="192"/>
      <c r="C315" s="193">
        <f t="shared" si="72"/>
        <v>0</v>
      </c>
      <c r="D315" s="194">
        <f t="shared" si="60"/>
        <v>0</v>
      </c>
      <c r="E315" s="194">
        <f t="shared" si="61"/>
        <v>0</v>
      </c>
      <c r="F315" s="194">
        <f t="shared" si="62"/>
        <v>269</v>
      </c>
      <c r="G315" s="195">
        <f t="shared" si="63"/>
        <v>269</v>
      </c>
      <c r="H315" s="193">
        <f t="shared" si="73"/>
        <v>0</v>
      </c>
      <c r="I315" s="194">
        <f t="shared" si="64"/>
        <v>0</v>
      </c>
      <c r="J315" s="194">
        <f t="shared" si="65"/>
        <v>0</v>
      </c>
      <c r="K315" s="194">
        <f t="shared" si="66"/>
        <v>269</v>
      </c>
      <c r="L315" s="195">
        <f t="shared" si="67"/>
        <v>269</v>
      </c>
      <c r="M315" s="193"/>
      <c r="N315" s="194"/>
      <c r="O315" s="194"/>
      <c r="P315" s="194"/>
      <c r="Q315" s="195"/>
      <c r="R315" s="193"/>
      <c r="S315" s="194"/>
      <c r="T315" s="194"/>
      <c r="U315" s="194"/>
      <c r="V315" s="195"/>
      <c r="W315" s="193"/>
      <c r="X315" s="194"/>
      <c r="Y315" s="194"/>
      <c r="Z315" s="194"/>
      <c r="AA315" s="195"/>
      <c r="AB315" s="193"/>
      <c r="AC315" s="194"/>
      <c r="AD315" s="194"/>
      <c r="AE315" s="194"/>
      <c r="AF315" s="195"/>
      <c r="AG315" s="193"/>
      <c r="AH315" s="194"/>
      <c r="AI315" s="194"/>
      <c r="AJ315" s="194"/>
      <c r="AK315" s="195"/>
      <c r="AL315" s="193"/>
      <c r="AM315" s="194"/>
      <c r="AN315" s="194"/>
      <c r="AO315" s="194"/>
      <c r="AP315" s="195"/>
      <c r="AQ315" s="193"/>
      <c r="AR315" s="194"/>
      <c r="AS315" s="194"/>
      <c r="AT315" s="194"/>
      <c r="AU315" s="195"/>
      <c r="AV315" s="193"/>
      <c r="AW315" s="194"/>
      <c r="AX315" s="194"/>
      <c r="AY315" s="194"/>
      <c r="AZ315" s="195"/>
      <c r="BA315" s="193"/>
      <c r="BB315" s="194"/>
      <c r="BC315" s="194"/>
      <c r="BD315" s="194">
        <v>269</v>
      </c>
      <c r="BE315" s="195">
        <v>269</v>
      </c>
      <c r="BF315" s="193">
        <f t="shared" si="74"/>
        <v>0</v>
      </c>
      <c r="BG315" s="194">
        <f t="shared" si="68"/>
        <v>0</v>
      </c>
      <c r="BH315" s="194">
        <f t="shared" si="69"/>
        <v>0</v>
      </c>
      <c r="BI315" s="194">
        <f t="shared" si="70"/>
        <v>0</v>
      </c>
      <c r="BJ315" s="195">
        <f t="shared" si="71"/>
        <v>0</v>
      </c>
      <c r="BK315" s="193"/>
      <c r="BL315" s="194"/>
      <c r="BM315" s="194"/>
      <c r="BN315" s="194"/>
      <c r="BO315" s="195"/>
      <c r="BP315" s="193"/>
      <c r="BQ315" s="194"/>
      <c r="BR315" s="194"/>
      <c r="BS315" s="194"/>
      <c r="BT315" s="195"/>
      <c r="BU315" s="193"/>
      <c r="BV315" s="194"/>
      <c r="BW315" s="194"/>
      <c r="BX315" s="194"/>
      <c r="BY315" s="195"/>
      <c r="BZ315" s="193"/>
      <c r="CA315" s="194"/>
      <c r="CB315" s="194"/>
      <c r="CC315" s="194"/>
      <c r="CD315" s="195"/>
      <c r="CE315" s="193"/>
      <c r="CF315" s="194"/>
      <c r="CG315" s="194"/>
      <c r="CH315" s="194"/>
      <c r="CI315" s="195"/>
    </row>
    <row r="316" spans="1:87">
      <c r="A316" s="186" t="s">
        <v>293</v>
      </c>
      <c r="B316" s="187" t="s">
        <v>26</v>
      </c>
      <c r="C316" s="188">
        <f t="shared" si="72"/>
        <v>0</v>
      </c>
      <c r="D316" s="189">
        <f t="shared" si="60"/>
        <v>199</v>
      </c>
      <c r="E316" s="189">
        <f t="shared" si="61"/>
        <v>0</v>
      </c>
      <c r="F316" s="189">
        <f t="shared" si="62"/>
        <v>0</v>
      </c>
      <c r="G316" s="190">
        <f t="shared" si="63"/>
        <v>199</v>
      </c>
      <c r="H316" s="188">
        <f t="shared" si="73"/>
        <v>0</v>
      </c>
      <c r="I316" s="189">
        <f t="shared" si="64"/>
        <v>199</v>
      </c>
      <c r="J316" s="189">
        <f t="shared" si="65"/>
        <v>0</v>
      </c>
      <c r="K316" s="189">
        <f t="shared" si="66"/>
        <v>0</v>
      </c>
      <c r="L316" s="190">
        <f t="shared" si="67"/>
        <v>199</v>
      </c>
      <c r="M316" s="188"/>
      <c r="N316" s="189"/>
      <c r="O316" s="189"/>
      <c r="P316" s="189"/>
      <c r="Q316" s="190"/>
      <c r="R316" s="188"/>
      <c r="S316" s="189">
        <v>199</v>
      </c>
      <c r="T316" s="189"/>
      <c r="U316" s="189"/>
      <c r="V316" s="190">
        <v>199</v>
      </c>
      <c r="W316" s="188"/>
      <c r="X316" s="189"/>
      <c r="Y316" s="189"/>
      <c r="Z316" s="189"/>
      <c r="AA316" s="190"/>
      <c r="AB316" s="188"/>
      <c r="AC316" s="189"/>
      <c r="AD316" s="189"/>
      <c r="AE316" s="189"/>
      <c r="AF316" s="190"/>
      <c r="AG316" s="188"/>
      <c r="AH316" s="189"/>
      <c r="AI316" s="189"/>
      <c r="AJ316" s="189"/>
      <c r="AK316" s="190"/>
      <c r="AL316" s="188"/>
      <c r="AM316" s="189"/>
      <c r="AN316" s="189"/>
      <c r="AO316" s="189"/>
      <c r="AP316" s="190"/>
      <c r="AQ316" s="188"/>
      <c r="AR316" s="189"/>
      <c r="AS316" s="189"/>
      <c r="AT316" s="189"/>
      <c r="AU316" s="190"/>
      <c r="AV316" s="188"/>
      <c r="AW316" s="189"/>
      <c r="AX316" s="189"/>
      <c r="AY316" s="189"/>
      <c r="AZ316" s="190"/>
      <c r="BA316" s="188"/>
      <c r="BB316" s="189"/>
      <c r="BC316" s="189"/>
      <c r="BD316" s="189"/>
      <c r="BE316" s="190"/>
      <c r="BF316" s="188">
        <f t="shared" si="74"/>
        <v>0</v>
      </c>
      <c r="BG316" s="189">
        <f t="shared" si="68"/>
        <v>0</v>
      </c>
      <c r="BH316" s="189">
        <f t="shared" si="69"/>
        <v>0</v>
      </c>
      <c r="BI316" s="189">
        <f t="shared" si="70"/>
        <v>0</v>
      </c>
      <c r="BJ316" s="190">
        <f t="shared" si="71"/>
        <v>0</v>
      </c>
      <c r="BK316" s="188"/>
      <c r="BL316" s="189"/>
      <c r="BM316" s="189"/>
      <c r="BN316" s="189"/>
      <c r="BO316" s="190"/>
      <c r="BP316" s="188"/>
      <c r="BQ316" s="189"/>
      <c r="BR316" s="189"/>
      <c r="BS316" s="189"/>
      <c r="BT316" s="190"/>
      <c r="BU316" s="188"/>
      <c r="BV316" s="189"/>
      <c r="BW316" s="189"/>
      <c r="BX316" s="189"/>
      <c r="BY316" s="190"/>
      <c r="BZ316" s="188"/>
      <c r="CA316" s="189"/>
      <c r="CB316" s="189"/>
      <c r="CC316" s="189"/>
      <c r="CD316" s="190"/>
      <c r="CE316" s="188"/>
      <c r="CF316" s="189"/>
      <c r="CG316" s="189"/>
      <c r="CH316" s="189"/>
      <c r="CI316" s="190"/>
    </row>
    <row r="317" s="163" customFormat="1" ht="14.6" spans="1:87">
      <c r="A317" s="191" t="s">
        <v>294</v>
      </c>
      <c r="B317" s="192"/>
      <c r="C317" s="193">
        <f t="shared" si="72"/>
        <v>0</v>
      </c>
      <c r="D317" s="194">
        <f t="shared" si="60"/>
        <v>199</v>
      </c>
      <c r="E317" s="194">
        <f t="shared" si="61"/>
        <v>0</v>
      </c>
      <c r="F317" s="194">
        <f t="shared" si="62"/>
        <v>0</v>
      </c>
      <c r="G317" s="195">
        <f t="shared" si="63"/>
        <v>199</v>
      </c>
      <c r="H317" s="193">
        <f t="shared" si="73"/>
        <v>0</v>
      </c>
      <c r="I317" s="194">
        <f t="shared" si="64"/>
        <v>199</v>
      </c>
      <c r="J317" s="194">
        <f t="shared" si="65"/>
        <v>0</v>
      </c>
      <c r="K317" s="194">
        <f t="shared" si="66"/>
        <v>0</v>
      </c>
      <c r="L317" s="195">
        <f t="shared" si="67"/>
        <v>199</v>
      </c>
      <c r="M317" s="193"/>
      <c r="N317" s="194"/>
      <c r="O317" s="194"/>
      <c r="P317" s="194"/>
      <c r="Q317" s="195"/>
      <c r="R317" s="193"/>
      <c r="S317" s="194">
        <v>199</v>
      </c>
      <c r="T317" s="194"/>
      <c r="U317" s="194"/>
      <c r="V317" s="195">
        <v>199</v>
      </c>
      <c r="W317" s="193"/>
      <c r="X317" s="194"/>
      <c r="Y317" s="194"/>
      <c r="Z317" s="194"/>
      <c r="AA317" s="195"/>
      <c r="AB317" s="193"/>
      <c r="AC317" s="194"/>
      <c r="AD317" s="194"/>
      <c r="AE317" s="194"/>
      <c r="AF317" s="195"/>
      <c r="AG317" s="193"/>
      <c r="AH317" s="194"/>
      <c r="AI317" s="194"/>
      <c r="AJ317" s="194"/>
      <c r="AK317" s="195"/>
      <c r="AL317" s="193"/>
      <c r="AM317" s="194"/>
      <c r="AN317" s="194"/>
      <c r="AO317" s="194"/>
      <c r="AP317" s="195"/>
      <c r="AQ317" s="193"/>
      <c r="AR317" s="194"/>
      <c r="AS317" s="194"/>
      <c r="AT317" s="194"/>
      <c r="AU317" s="195"/>
      <c r="AV317" s="193"/>
      <c r="AW317" s="194"/>
      <c r="AX317" s="194"/>
      <c r="AY317" s="194"/>
      <c r="AZ317" s="195"/>
      <c r="BA317" s="193"/>
      <c r="BB317" s="194"/>
      <c r="BC317" s="194"/>
      <c r="BD317" s="194"/>
      <c r="BE317" s="195"/>
      <c r="BF317" s="193">
        <f t="shared" si="74"/>
        <v>0</v>
      </c>
      <c r="BG317" s="194">
        <f t="shared" si="68"/>
        <v>0</v>
      </c>
      <c r="BH317" s="194">
        <f t="shared" si="69"/>
        <v>0</v>
      </c>
      <c r="BI317" s="194">
        <f t="shared" si="70"/>
        <v>0</v>
      </c>
      <c r="BJ317" s="195">
        <f t="shared" si="71"/>
        <v>0</v>
      </c>
      <c r="BK317" s="193"/>
      <c r="BL317" s="194"/>
      <c r="BM317" s="194"/>
      <c r="BN317" s="194"/>
      <c r="BO317" s="195"/>
      <c r="BP317" s="193"/>
      <c r="BQ317" s="194"/>
      <c r="BR317" s="194"/>
      <c r="BS317" s="194"/>
      <c r="BT317" s="195"/>
      <c r="BU317" s="193"/>
      <c r="BV317" s="194"/>
      <c r="BW317" s="194"/>
      <c r="BX317" s="194"/>
      <c r="BY317" s="195"/>
      <c r="BZ317" s="193"/>
      <c r="CA317" s="194"/>
      <c r="CB317" s="194"/>
      <c r="CC317" s="194"/>
      <c r="CD317" s="195"/>
      <c r="CE317" s="193"/>
      <c r="CF317" s="194"/>
      <c r="CG317" s="194"/>
      <c r="CH317" s="194"/>
      <c r="CI317" s="195"/>
    </row>
    <row r="318" spans="1:87">
      <c r="A318" s="186" t="s">
        <v>295</v>
      </c>
      <c r="B318" s="187" t="s">
        <v>27</v>
      </c>
      <c r="C318" s="188">
        <f t="shared" si="72"/>
        <v>159</v>
      </c>
      <c r="D318" s="189">
        <f t="shared" si="60"/>
        <v>0</v>
      </c>
      <c r="E318" s="189">
        <f t="shared" si="61"/>
        <v>0</v>
      </c>
      <c r="F318" s="189">
        <f t="shared" si="62"/>
        <v>0</v>
      </c>
      <c r="G318" s="190">
        <f t="shared" si="63"/>
        <v>159</v>
      </c>
      <c r="H318" s="188">
        <f t="shared" si="73"/>
        <v>159</v>
      </c>
      <c r="I318" s="189">
        <f t="shared" si="64"/>
        <v>0</v>
      </c>
      <c r="J318" s="189">
        <f t="shared" si="65"/>
        <v>0</v>
      </c>
      <c r="K318" s="189">
        <f t="shared" si="66"/>
        <v>0</v>
      </c>
      <c r="L318" s="190">
        <f t="shared" si="67"/>
        <v>159</v>
      </c>
      <c r="M318" s="188"/>
      <c r="N318" s="189"/>
      <c r="O318" s="189"/>
      <c r="P318" s="189"/>
      <c r="Q318" s="190"/>
      <c r="R318" s="188"/>
      <c r="S318" s="189"/>
      <c r="T318" s="189"/>
      <c r="U318" s="189"/>
      <c r="V318" s="190"/>
      <c r="W318" s="188"/>
      <c r="X318" s="189"/>
      <c r="Y318" s="189"/>
      <c r="Z318" s="189"/>
      <c r="AA318" s="190"/>
      <c r="AB318" s="188">
        <v>159</v>
      </c>
      <c r="AC318" s="189"/>
      <c r="AD318" s="189"/>
      <c r="AE318" s="189"/>
      <c r="AF318" s="190">
        <v>159</v>
      </c>
      <c r="AG318" s="188"/>
      <c r="AH318" s="189"/>
      <c r="AI318" s="189"/>
      <c r="AJ318" s="189"/>
      <c r="AK318" s="190"/>
      <c r="AL318" s="188"/>
      <c r="AM318" s="189"/>
      <c r="AN318" s="189"/>
      <c r="AO318" s="189"/>
      <c r="AP318" s="190"/>
      <c r="AQ318" s="188"/>
      <c r="AR318" s="189"/>
      <c r="AS318" s="189"/>
      <c r="AT318" s="189"/>
      <c r="AU318" s="190"/>
      <c r="AV318" s="188"/>
      <c r="AW318" s="189"/>
      <c r="AX318" s="189"/>
      <c r="AY318" s="189"/>
      <c r="AZ318" s="190"/>
      <c r="BA318" s="188"/>
      <c r="BB318" s="189"/>
      <c r="BC318" s="189"/>
      <c r="BD318" s="189"/>
      <c r="BE318" s="190"/>
      <c r="BF318" s="188">
        <f t="shared" si="74"/>
        <v>0</v>
      </c>
      <c r="BG318" s="189">
        <f t="shared" si="68"/>
        <v>0</v>
      </c>
      <c r="BH318" s="189">
        <f t="shared" si="69"/>
        <v>0</v>
      </c>
      <c r="BI318" s="189">
        <f t="shared" si="70"/>
        <v>0</v>
      </c>
      <c r="BJ318" s="190">
        <f t="shared" si="71"/>
        <v>0</v>
      </c>
      <c r="BK318" s="188"/>
      <c r="BL318" s="189"/>
      <c r="BM318" s="189"/>
      <c r="BN318" s="189"/>
      <c r="BO318" s="190"/>
      <c r="BP318" s="188"/>
      <c r="BQ318" s="189"/>
      <c r="BR318" s="189"/>
      <c r="BS318" s="189"/>
      <c r="BT318" s="190"/>
      <c r="BU318" s="188"/>
      <c r="BV318" s="189"/>
      <c r="BW318" s="189"/>
      <c r="BX318" s="189"/>
      <c r="BY318" s="190"/>
      <c r="BZ318" s="188"/>
      <c r="CA318" s="189"/>
      <c r="CB318" s="189"/>
      <c r="CC318" s="189"/>
      <c r="CD318" s="190"/>
      <c r="CE318" s="188"/>
      <c r="CF318" s="189"/>
      <c r="CG318" s="189"/>
      <c r="CH318" s="189"/>
      <c r="CI318" s="190"/>
    </row>
    <row r="319" s="163" customFormat="1" ht="14.6" spans="1:87">
      <c r="A319" s="191" t="s">
        <v>296</v>
      </c>
      <c r="B319" s="192"/>
      <c r="C319" s="193">
        <f t="shared" si="72"/>
        <v>159</v>
      </c>
      <c r="D319" s="194">
        <f t="shared" si="60"/>
        <v>0</v>
      </c>
      <c r="E319" s="194">
        <f t="shared" si="61"/>
        <v>0</v>
      </c>
      <c r="F319" s="194">
        <f t="shared" si="62"/>
        <v>0</v>
      </c>
      <c r="G319" s="195">
        <f t="shared" si="63"/>
        <v>159</v>
      </c>
      <c r="H319" s="193">
        <f t="shared" si="73"/>
        <v>159</v>
      </c>
      <c r="I319" s="194">
        <f t="shared" si="64"/>
        <v>0</v>
      </c>
      <c r="J319" s="194">
        <f t="shared" si="65"/>
        <v>0</v>
      </c>
      <c r="K319" s="194">
        <f t="shared" si="66"/>
        <v>0</v>
      </c>
      <c r="L319" s="195">
        <f t="shared" si="67"/>
        <v>159</v>
      </c>
      <c r="M319" s="193"/>
      <c r="N319" s="194"/>
      <c r="O319" s="194"/>
      <c r="P319" s="194"/>
      <c r="Q319" s="195"/>
      <c r="R319" s="193"/>
      <c r="S319" s="194"/>
      <c r="T319" s="194"/>
      <c r="U319" s="194"/>
      <c r="V319" s="195"/>
      <c r="W319" s="193"/>
      <c r="X319" s="194"/>
      <c r="Y319" s="194"/>
      <c r="Z319" s="194"/>
      <c r="AA319" s="195"/>
      <c r="AB319" s="193">
        <v>159</v>
      </c>
      <c r="AC319" s="194"/>
      <c r="AD319" s="194"/>
      <c r="AE319" s="194"/>
      <c r="AF319" s="195">
        <v>159</v>
      </c>
      <c r="AG319" s="193"/>
      <c r="AH319" s="194"/>
      <c r="AI319" s="194"/>
      <c r="AJ319" s="194"/>
      <c r="AK319" s="195"/>
      <c r="AL319" s="193"/>
      <c r="AM319" s="194"/>
      <c r="AN319" s="194"/>
      <c r="AO319" s="194"/>
      <c r="AP319" s="195"/>
      <c r="AQ319" s="193"/>
      <c r="AR319" s="194"/>
      <c r="AS319" s="194"/>
      <c r="AT319" s="194"/>
      <c r="AU319" s="195"/>
      <c r="AV319" s="193"/>
      <c r="AW319" s="194"/>
      <c r="AX319" s="194"/>
      <c r="AY319" s="194"/>
      <c r="AZ319" s="195"/>
      <c r="BA319" s="193"/>
      <c r="BB319" s="194"/>
      <c r="BC319" s="194"/>
      <c r="BD319" s="194"/>
      <c r="BE319" s="195"/>
      <c r="BF319" s="193">
        <f t="shared" si="74"/>
        <v>0</v>
      </c>
      <c r="BG319" s="194">
        <f t="shared" si="68"/>
        <v>0</v>
      </c>
      <c r="BH319" s="194">
        <f t="shared" si="69"/>
        <v>0</v>
      </c>
      <c r="BI319" s="194">
        <f t="shared" si="70"/>
        <v>0</v>
      </c>
      <c r="BJ319" s="195">
        <f t="shared" si="71"/>
        <v>0</v>
      </c>
      <c r="BK319" s="193"/>
      <c r="BL319" s="194"/>
      <c r="BM319" s="194"/>
      <c r="BN319" s="194"/>
      <c r="BO319" s="195"/>
      <c r="BP319" s="193"/>
      <c r="BQ319" s="194"/>
      <c r="BR319" s="194"/>
      <c r="BS319" s="194"/>
      <c r="BT319" s="195"/>
      <c r="BU319" s="193"/>
      <c r="BV319" s="194"/>
      <c r="BW319" s="194"/>
      <c r="BX319" s="194"/>
      <c r="BY319" s="195"/>
      <c r="BZ319" s="193"/>
      <c r="CA319" s="194"/>
      <c r="CB319" s="194"/>
      <c r="CC319" s="194"/>
      <c r="CD319" s="195"/>
      <c r="CE319" s="193"/>
      <c r="CF319" s="194"/>
      <c r="CG319" s="194"/>
      <c r="CH319" s="194"/>
      <c r="CI319" s="195"/>
    </row>
    <row r="320" spans="1:87">
      <c r="A320" s="186" t="s">
        <v>297</v>
      </c>
      <c r="B320" s="187" t="s">
        <v>27</v>
      </c>
      <c r="C320" s="188">
        <f t="shared" si="72"/>
        <v>0</v>
      </c>
      <c r="D320" s="189">
        <f t="shared" si="60"/>
        <v>0</v>
      </c>
      <c r="E320" s="189">
        <f t="shared" si="61"/>
        <v>49</v>
      </c>
      <c r="F320" s="189">
        <f t="shared" si="62"/>
        <v>0</v>
      </c>
      <c r="G320" s="190">
        <f t="shared" si="63"/>
        <v>49</v>
      </c>
      <c r="H320" s="188">
        <f t="shared" si="73"/>
        <v>0</v>
      </c>
      <c r="I320" s="189">
        <f t="shared" si="64"/>
        <v>0</v>
      </c>
      <c r="J320" s="189">
        <f t="shared" si="65"/>
        <v>49</v>
      </c>
      <c r="K320" s="189">
        <f t="shared" si="66"/>
        <v>0</v>
      </c>
      <c r="L320" s="190">
        <f t="shared" si="67"/>
        <v>49</v>
      </c>
      <c r="M320" s="188"/>
      <c r="N320" s="189"/>
      <c r="O320" s="189"/>
      <c r="P320" s="189"/>
      <c r="Q320" s="190"/>
      <c r="R320" s="188"/>
      <c r="S320" s="189"/>
      <c r="T320" s="189"/>
      <c r="U320" s="189"/>
      <c r="V320" s="190"/>
      <c r="W320" s="188"/>
      <c r="X320" s="189"/>
      <c r="Y320" s="189"/>
      <c r="Z320" s="189"/>
      <c r="AA320" s="190"/>
      <c r="AB320" s="188"/>
      <c r="AC320" s="189"/>
      <c r="AD320" s="189"/>
      <c r="AE320" s="189"/>
      <c r="AF320" s="190"/>
      <c r="AG320" s="188"/>
      <c r="AH320" s="189"/>
      <c r="AI320" s="189"/>
      <c r="AJ320" s="189"/>
      <c r="AK320" s="190"/>
      <c r="AL320" s="188"/>
      <c r="AM320" s="189"/>
      <c r="AN320" s="189">
        <v>49</v>
      </c>
      <c r="AO320" s="189"/>
      <c r="AP320" s="190">
        <v>49</v>
      </c>
      <c r="AQ320" s="188"/>
      <c r="AR320" s="189"/>
      <c r="AS320" s="189"/>
      <c r="AT320" s="189"/>
      <c r="AU320" s="190"/>
      <c r="AV320" s="188"/>
      <c r="AW320" s="189"/>
      <c r="AX320" s="189"/>
      <c r="AY320" s="189"/>
      <c r="AZ320" s="190"/>
      <c r="BA320" s="188"/>
      <c r="BB320" s="189"/>
      <c r="BC320" s="189"/>
      <c r="BD320" s="189"/>
      <c r="BE320" s="190"/>
      <c r="BF320" s="188">
        <f t="shared" si="74"/>
        <v>0</v>
      </c>
      <c r="BG320" s="189">
        <f t="shared" si="68"/>
        <v>0</v>
      </c>
      <c r="BH320" s="189">
        <f t="shared" si="69"/>
        <v>0</v>
      </c>
      <c r="BI320" s="189">
        <f t="shared" si="70"/>
        <v>0</v>
      </c>
      <c r="BJ320" s="190">
        <f t="shared" si="71"/>
        <v>0</v>
      </c>
      <c r="BK320" s="188"/>
      <c r="BL320" s="189"/>
      <c r="BM320" s="189"/>
      <c r="BN320" s="189"/>
      <c r="BO320" s="190"/>
      <c r="BP320" s="188"/>
      <c r="BQ320" s="189"/>
      <c r="BR320" s="189"/>
      <c r="BS320" s="189"/>
      <c r="BT320" s="190"/>
      <c r="BU320" s="188"/>
      <c r="BV320" s="189"/>
      <c r="BW320" s="189"/>
      <c r="BX320" s="189"/>
      <c r="BY320" s="190"/>
      <c r="BZ320" s="188"/>
      <c r="CA320" s="189"/>
      <c r="CB320" s="189"/>
      <c r="CC320" s="189"/>
      <c r="CD320" s="190"/>
      <c r="CE320" s="188"/>
      <c r="CF320" s="189"/>
      <c r="CG320" s="189"/>
      <c r="CH320" s="189"/>
      <c r="CI320" s="190"/>
    </row>
    <row r="321" s="163" customFormat="1" ht="15.35" spans="1:87">
      <c r="A321" s="196" t="s">
        <v>298</v>
      </c>
      <c r="B321" s="197"/>
      <c r="C321" s="198">
        <f t="shared" si="72"/>
        <v>0</v>
      </c>
      <c r="D321" s="199">
        <f t="shared" si="60"/>
        <v>0</v>
      </c>
      <c r="E321" s="199">
        <f t="shared" si="61"/>
        <v>49</v>
      </c>
      <c r="F321" s="199">
        <f t="shared" si="62"/>
        <v>0</v>
      </c>
      <c r="G321" s="200">
        <f t="shared" si="63"/>
        <v>49</v>
      </c>
      <c r="H321" s="198">
        <f t="shared" si="73"/>
        <v>0</v>
      </c>
      <c r="I321" s="199">
        <f t="shared" si="64"/>
        <v>0</v>
      </c>
      <c r="J321" s="199">
        <f t="shared" si="65"/>
        <v>49</v>
      </c>
      <c r="K321" s="199">
        <f t="shared" si="66"/>
        <v>0</v>
      </c>
      <c r="L321" s="200">
        <f t="shared" si="67"/>
        <v>49</v>
      </c>
      <c r="M321" s="198"/>
      <c r="N321" s="199"/>
      <c r="O321" s="199"/>
      <c r="P321" s="199"/>
      <c r="Q321" s="200"/>
      <c r="R321" s="198"/>
      <c r="S321" s="199"/>
      <c r="T321" s="199"/>
      <c r="U321" s="199"/>
      <c r="V321" s="200"/>
      <c r="W321" s="198"/>
      <c r="X321" s="199"/>
      <c r="Y321" s="199"/>
      <c r="Z321" s="199"/>
      <c r="AA321" s="200"/>
      <c r="AB321" s="198"/>
      <c r="AC321" s="199"/>
      <c r="AD321" s="199"/>
      <c r="AE321" s="199"/>
      <c r="AF321" s="200"/>
      <c r="AG321" s="198"/>
      <c r="AH321" s="199"/>
      <c r="AI321" s="199"/>
      <c r="AJ321" s="199"/>
      <c r="AK321" s="200"/>
      <c r="AL321" s="198"/>
      <c r="AM321" s="199"/>
      <c r="AN321" s="199">
        <v>49</v>
      </c>
      <c r="AO321" s="199"/>
      <c r="AP321" s="200">
        <v>49</v>
      </c>
      <c r="AQ321" s="198"/>
      <c r="AR321" s="199"/>
      <c r="AS321" s="199"/>
      <c r="AT321" s="199"/>
      <c r="AU321" s="200"/>
      <c r="AV321" s="198"/>
      <c r="AW321" s="199"/>
      <c r="AX321" s="199"/>
      <c r="AY321" s="199"/>
      <c r="AZ321" s="200"/>
      <c r="BA321" s="198"/>
      <c r="BB321" s="199"/>
      <c r="BC321" s="199"/>
      <c r="BD321" s="199"/>
      <c r="BE321" s="200"/>
      <c r="BF321" s="198">
        <f t="shared" si="74"/>
        <v>0</v>
      </c>
      <c r="BG321" s="199">
        <f t="shared" si="68"/>
        <v>0</v>
      </c>
      <c r="BH321" s="199">
        <f t="shared" si="69"/>
        <v>0</v>
      </c>
      <c r="BI321" s="199">
        <f t="shared" si="70"/>
        <v>0</v>
      </c>
      <c r="BJ321" s="200">
        <f t="shared" si="71"/>
        <v>0</v>
      </c>
      <c r="BK321" s="198"/>
      <c r="BL321" s="199"/>
      <c r="BM321" s="199"/>
      <c r="BN321" s="199"/>
      <c r="BO321" s="200"/>
      <c r="BP321" s="198"/>
      <c r="BQ321" s="199"/>
      <c r="BR321" s="199"/>
      <c r="BS321" s="199"/>
      <c r="BT321" s="200"/>
      <c r="BU321" s="198"/>
      <c r="BV321" s="199"/>
      <c r="BW321" s="199"/>
      <c r="BX321" s="199"/>
      <c r="BY321" s="200"/>
      <c r="BZ321" s="198"/>
      <c r="CA321" s="199"/>
      <c r="CB321" s="199"/>
      <c r="CC321" s="199"/>
      <c r="CD321" s="200"/>
      <c r="CE321" s="198"/>
      <c r="CF321" s="199"/>
      <c r="CG321" s="199"/>
      <c r="CH321" s="199"/>
      <c r="CI321" s="200"/>
    </row>
    <row r="322" s="163" customFormat="1" ht="15.35" spans="1:87">
      <c r="A322" s="201" t="s">
        <v>24</v>
      </c>
      <c r="B322" s="202"/>
      <c r="C322" s="198">
        <v>264261437.5</v>
      </c>
      <c r="D322" s="199">
        <v>257796709.4</v>
      </c>
      <c r="E322" s="199">
        <v>298325790</v>
      </c>
      <c r="F322" s="199">
        <v>344327011.9</v>
      </c>
      <c r="G322" s="200">
        <v>1164710948.8</v>
      </c>
      <c r="H322" s="198">
        <v>240096385.6</v>
      </c>
      <c r="I322" s="199">
        <v>231156475.4</v>
      </c>
      <c r="J322" s="199">
        <v>261715381.3</v>
      </c>
      <c r="K322" s="199">
        <v>295635671</v>
      </c>
      <c r="L322" s="200">
        <v>1028603913.3</v>
      </c>
      <c r="M322" s="198">
        <v>32501176.8</v>
      </c>
      <c r="N322" s="199">
        <v>34345625.4</v>
      </c>
      <c r="O322" s="199">
        <v>35075203.8</v>
      </c>
      <c r="P322" s="199">
        <v>38595518.8</v>
      </c>
      <c r="Q322" s="200">
        <v>140517524.8</v>
      </c>
      <c r="R322" s="198">
        <v>21553977.9</v>
      </c>
      <c r="S322" s="199">
        <v>27253449</v>
      </c>
      <c r="T322" s="199">
        <v>33605718.6</v>
      </c>
      <c r="U322" s="199">
        <v>41355188.4</v>
      </c>
      <c r="V322" s="200">
        <v>123768333.9</v>
      </c>
      <c r="W322" s="198">
        <v>28557255</v>
      </c>
      <c r="X322" s="199">
        <v>24974891</v>
      </c>
      <c r="Y322" s="199">
        <v>28372036</v>
      </c>
      <c r="Z322" s="199">
        <v>29237948</v>
      </c>
      <c r="AA322" s="200">
        <v>111142130</v>
      </c>
      <c r="AB322" s="198">
        <v>8157326.8</v>
      </c>
      <c r="AC322" s="199">
        <v>15491826.7</v>
      </c>
      <c r="AD322" s="199">
        <v>21817392.3</v>
      </c>
      <c r="AE322" s="199">
        <v>23882890.8</v>
      </c>
      <c r="AF322" s="200">
        <v>69349436.6</v>
      </c>
      <c r="AG322" s="198">
        <v>93920706.3</v>
      </c>
      <c r="AH322" s="199">
        <v>74850069.7</v>
      </c>
      <c r="AI322" s="199">
        <v>79041398.2</v>
      </c>
      <c r="AJ322" s="199">
        <v>97074381.1</v>
      </c>
      <c r="AK322" s="200">
        <v>344886555.3</v>
      </c>
      <c r="AL322" s="198">
        <v>8472284.3</v>
      </c>
      <c r="AM322" s="199">
        <v>9558308</v>
      </c>
      <c r="AN322" s="199">
        <v>12145504</v>
      </c>
      <c r="AO322" s="199">
        <v>11907400.1</v>
      </c>
      <c r="AP322" s="200">
        <v>42083496.4</v>
      </c>
      <c r="AQ322" s="198">
        <v>23837810.2</v>
      </c>
      <c r="AR322" s="199">
        <v>20836177.8</v>
      </c>
      <c r="AS322" s="199">
        <v>25694596.9</v>
      </c>
      <c r="AT322" s="199">
        <v>27526291.8</v>
      </c>
      <c r="AU322" s="200">
        <v>97894876.7</v>
      </c>
      <c r="AV322" s="198">
        <v>2264153</v>
      </c>
      <c r="AW322" s="199">
        <v>2446301</v>
      </c>
      <c r="AX322" s="199">
        <v>2695771</v>
      </c>
      <c r="AY322" s="199">
        <v>2804553</v>
      </c>
      <c r="AZ322" s="200">
        <v>10210778</v>
      </c>
      <c r="BA322" s="198">
        <v>20831695.3</v>
      </c>
      <c r="BB322" s="199">
        <v>21399826.8</v>
      </c>
      <c r="BC322" s="199">
        <v>23267760.5</v>
      </c>
      <c r="BD322" s="199">
        <v>23251499</v>
      </c>
      <c r="BE322" s="200">
        <v>88750781.6</v>
      </c>
      <c r="BF322" s="198">
        <v>24165051.9</v>
      </c>
      <c r="BG322" s="199">
        <v>26640234</v>
      </c>
      <c r="BH322" s="199">
        <v>36610408.7</v>
      </c>
      <c r="BI322" s="199">
        <v>48691340.9</v>
      </c>
      <c r="BJ322" s="200">
        <v>136107035.5</v>
      </c>
      <c r="BK322" s="198">
        <v>2173537.9</v>
      </c>
      <c r="BL322" s="199">
        <v>2758144.5</v>
      </c>
      <c r="BM322" s="199">
        <v>3432204.2</v>
      </c>
      <c r="BN322" s="199">
        <v>3948325.8</v>
      </c>
      <c r="BO322" s="200">
        <v>12312212.4</v>
      </c>
      <c r="BP322" s="198">
        <v>8747985.2</v>
      </c>
      <c r="BQ322" s="199">
        <v>8645207.9</v>
      </c>
      <c r="BR322" s="199">
        <v>10183197</v>
      </c>
      <c r="BS322" s="199">
        <v>13175767.9</v>
      </c>
      <c r="BT322" s="200">
        <v>40752158</v>
      </c>
      <c r="BU322" s="198">
        <v>9371180.4</v>
      </c>
      <c r="BV322" s="199">
        <v>10991325.1</v>
      </c>
      <c r="BW322" s="199">
        <v>17840606.5</v>
      </c>
      <c r="BX322" s="199">
        <v>25070622.2</v>
      </c>
      <c r="BY322" s="200">
        <v>63273734.2</v>
      </c>
      <c r="BZ322" s="198">
        <v>2255099</v>
      </c>
      <c r="CA322" s="199">
        <v>2542796</v>
      </c>
      <c r="CB322" s="199">
        <v>3321669</v>
      </c>
      <c r="CC322" s="199">
        <v>4124151</v>
      </c>
      <c r="CD322" s="200">
        <v>12243715</v>
      </c>
      <c r="CE322" s="198">
        <v>1617249.4</v>
      </c>
      <c r="CF322" s="199">
        <v>1702760.5</v>
      </c>
      <c r="CG322" s="199">
        <v>1832732</v>
      </c>
      <c r="CH322" s="199">
        <v>2372474</v>
      </c>
      <c r="CI322" s="200">
        <v>7525215.9</v>
      </c>
    </row>
    <row r="324" spans="1:87">
      <c r="C324" s="203"/>
      <c r="D324" s="203"/>
      <c r="E324" s="203"/>
      <c r="F324" s="203"/>
      <c r="G324" s="203"/>
      <c r="H324" s="203"/>
      <c r="I324" s="203"/>
      <c r="J324" s="203"/>
      <c r="K324" s="203"/>
      <c r="L324" s="203"/>
    </row>
  </sheetData>
  <autoFilter xmlns:etc="http://www.wps.cn/officeDocument/2017/etCustomData" ref="A2:CI323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D423"/>
  <sheetViews>
    <sheetView tabSelected="1" zoomScale="80" zoomScaleNormal="80" workbookViewId="0">
      <pane xSplit="1" ySplit="4" topLeftCell="J177" activePane="bottomRight" state="frozen"/>
      <selection/>
      <selection pane="topRight"/>
      <selection pane="bottomLeft"/>
      <selection pane="bottomRight" activeCell="Q180" sqref="Q180"/>
    </sheetView>
  </sheetViews>
  <sheetFormatPr defaultColWidth="9" defaultRowHeight="15.75"/>
  <cols>
    <col min="1" max="2" width="17.2035398230088" style="56" customWidth="1"/>
    <col min="3" max="3" width="16.1327433628319" style="1" customWidth="1" outlineLevel="1"/>
    <col min="4" max="4" width="14.1327433628319" style="1" customWidth="1" outlineLevel="1"/>
    <col min="5" max="5" width="16" style="1" customWidth="1" outlineLevel="1"/>
    <col min="6" max="8" width="15.3362831858407" style="1" customWidth="1" outlineLevel="1"/>
    <col min="9" max="9" width="14.1327433628319" style="1" customWidth="1" outlineLevel="1"/>
    <col min="10" max="13" width="15.8672566371681" style="1" customWidth="1" outlineLevel="1"/>
    <col min="14" max="14" width="15.7964601769912" style="1" customWidth="1" outlineLevel="1"/>
    <col min="15" max="15" width="17.6637168141593" style="1" customWidth="1"/>
    <col min="16" max="27" width="15.2035398230088" style="1" customWidth="1" outlineLevel="2"/>
    <col min="28" max="28" width="15.2654867256637" style="1" customWidth="1" outlineLevel="1"/>
    <col min="29" max="40" width="15.2035398230088" style="1" customWidth="1" outlineLevel="2"/>
    <col min="41" max="41" width="15.2654867256637" style="1" customWidth="1" outlineLevel="1"/>
    <col min="42" max="53" width="15.2035398230088" style="1" customWidth="1" outlineLevel="3"/>
    <col min="54" max="54" width="16.070796460177" style="1" customWidth="1" outlineLevel="1"/>
    <col min="55" max="66" width="15.2035398230088" style="1" customWidth="1" outlineLevel="2"/>
    <col min="67" max="67" width="15.2035398230088" style="1" customWidth="1" outlineLevel="1"/>
    <col min="68" max="79" width="15.2035398230088" style="1" customWidth="1" outlineLevel="2"/>
    <col min="80" max="80" width="16" style="1" customWidth="1" outlineLevel="1"/>
    <col min="81" max="92" width="15.2035398230088" style="1" customWidth="1" outlineLevel="2"/>
    <col min="93" max="93" width="15.2035398230088" style="1" customWidth="1" outlineLevel="1"/>
    <col min="94" max="105" width="15.2035398230088" style="1" customWidth="1" outlineLevel="2"/>
    <col min="106" max="106" width="15.2035398230088" style="1" customWidth="1" outlineLevel="1"/>
    <col min="107" max="112" width="13.5309734513274" style="1" customWidth="1" outlineLevel="2"/>
    <col min="113" max="114" width="11.7345132743363" style="1" customWidth="1" outlineLevel="2"/>
    <col min="115" max="118" width="12.5309734513274" style="1" customWidth="1" outlineLevel="2"/>
    <col min="119" max="119" width="14" style="1" customWidth="1" outlineLevel="1"/>
    <col min="120" max="120" width="12.8672566371681" style="1" customWidth="1" outlineLevel="2"/>
    <col min="121" max="128" width="12.929203539823" style="1" customWidth="1" outlineLevel="2"/>
    <col min="129" max="131" width="13.6637168141593" style="1" customWidth="1" outlineLevel="2"/>
    <col min="132" max="132" width="16.7345132743363" style="1" customWidth="1" outlineLevel="1"/>
    <col min="133" max="133" width="16.7345132743363" style="57" customWidth="1" outlineLevel="2"/>
    <col min="134" max="144" width="16.7345132743363" style="58" customWidth="1" outlineLevel="2"/>
    <col min="145" max="145" width="14.7345132743363" style="59" customWidth="1" outlineLevel="1"/>
    <col min="146" max="157" width="16.7345132743363" style="58" customWidth="1" outlineLevel="2"/>
    <col min="158" max="158" width="16.7345132743363" style="58" customWidth="1" outlineLevel="1"/>
    <col min="159" max="159" width="16.7345132743363" style="57" customWidth="1" outlineLevel="2"/>
    <col min="160" max="160" width="16.7345132743363" style="58" customWidth="1" outlineLevel="2"/>
    <col min="161" max="161" width="15.5309734513274" style="58" customWidth="1" outlineLevel="2"/>
    <col min="162" max="170" width="16.7345132743363" style="58" customWidth="1" outlineLevel="2"/>
    <col min="171" max="171" width="16.7345132743363" style="59" customWidth="1" outlineLevel="1"/>
    <col min="172" max="172" width="13.7345132743363" style="57" customWidth="1" outlineLevel="2"/>
    <col min="173" max="177" width="13.7345132743363" style="58" customWidth="1" outlineLevel="2"/>
    <col min="178" max="178" width="14.3362831858407" style="58" customWidth="1" outlineLevel="2"/>
    <col min="179" max="183" width="14.929203539823" style="58" customWidth="1" outlineLevel="2"/>
    <col min="184" max="184" width="15.7345132743363" style="59" customWidth="1" outlineLevel="1"/>
    <col min="185" max="185" width="14.070796460177" style="1" customWidth="1"/>
    <col min="186" max="16384" width="9" style="1"/>
  </cols>
  <sheetData>
    <row r="1" s="55" customFormat="1" ht="16.5" spans="1:186">
      <c r="A1" s="60" t="s">
        <v>0</v>
      </c>
      <c r="B1" s="60"/>
      <c r="C1" s="61" t="s">
        <v>2</v>
      </c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2" t="s">
        <v>2</v>
      </c>
      <c r="P1" s="63" t="s">
        <v>3</v>
      </c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 t="s">
        <v>3</v>
      </c>
      <c r="AC1" s="63" t="s">
        <v>4</v>
      </c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 t="s">
        <v>4</v>
      </c>
      <c r="AP1" s="63" t="s">
        <v>5</v>
      </c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4" t="s">
        <v>5</v>
      </c>
      <c r="BC1" s="63" t="s">
        <v>6</v>
      </c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4" t="s">
        <v>6</v>
      </c>
      <c r="BP1" s="63" t="s">
        <v>7</v>
      </c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4" t="s">
        <v>7</v>
      </c>
      <c r="CC1" s="63" t="s">
        <v>8</v>
      </c>
      <c r="CD1" s="63"/>
      <c r="CE1" s="63"/>
      <c r="CF1" s="63"/>
      <c r="CG1" s="63"/>
      <c r="CH1" s="63"/>
      <c r="CI1" s="63"/>
      <c r="CJ1" s="63"/>
      <c r="CK1" s="63"/>
      <c r="CL1" s="63"/>
      <c r="CM1" s="63"/>
      <c r="CN1" s="63"/>
      <c r="CO1" s="64" t="s">
        <v>8</v>
      </c>
      <c r="CP1" s="63" t="s">
        <v>9</v>
      </c>
      <c r="CQ1" s="63"/>
      <c r="CR1" s="63"/>
      <c r="CS1" s="63"/>
      <c r="CT1" s="63"/>
      <c r="CU1" s="63"/>
      <c r="CV1" s="63"/>
      <c r="CW1" s="63"/>
      <c r="CX1" s="63"/>
      <c r="CY1" s="63"/>
      <c r="CZ1" s="63"/>
      <c r="DA1" s="63"/>
      <c r="DB1" s="64" t="s">
        <v>9</v>
      </c>
      <c r="DC1" s="63" t="s">
        <v>10</v>
      </c>
      <c r="DD1" s="63"/>
      <c r="DE1" s="63"/>
      <c r="DF1" s="63"/>
      <c r="DG1" s="63"/>
      <c r="DH1" s="63"/>
      <c r="DI1" s="63"/>
      <c r="DJ1" s="63"/>
      <c r="DK1" s="63"/>
      <c r="DL1" s="63"/>
      <c r="DM1" s="63"/>
      <c r="DN1" s="63"/>
      <c r="DO1" s="64" t="s">
        <v>10</v>
      </c>
      <c r="DP1" s="63" t="s">
        <v>11</v>
      </c>
      <c r="DQ1" s="63"/>
      <c r="DR1" s="63"/>
      <c r="DS1" s="63"/>
      <c r="DT1" s="63"/>
      <c r="DU1" s="63"/>
      <c r="DV1" s="63"/>
      <c r="DW1" s="63"/>
      <c r="DX1" s="63"/>
      <c r="DY1" s="63"/>
      <c r="DZ1" s="63"/>
      <c r="EA1" s="63"/>
      <c r="EB1" s="63" t="s">
        <v>11</v>
      </c>
      <c r="EC1" s="65" t="s">
        <v>299</v>
      </c>
      <c r="ED1" s="63"/>
      <c r="EE1" s="63"/>
      <c r="EF1" s="63"/>
      <c r="EG1" s="63"/>
      <c r="EH1" s="63"/>
      <c r="EI1" s="63"/>
      <c r="EJ1" s="63"/>
      <c r="EK1" s="63"/>
      <c r="EL1" s="63"/>
      <c r="EM1" s="63"/>
      <c r="EN1" s="63"/>
      <c r="EO1" s="149" t="s">
        <v>300</v>
      </c>
      <c r="EP1" s="63" t="s">
        <v>301</v>
      </c>
      <c r="EQ1" s="63"/>
      <c r="ER1" s="63"/>
      <c r="ES1" s="63"/>
      <c r="ET1" s="63"/>
      <c r="EU1" s="63"/>
      <c r="EV1" s="63"/>
      <c r="EW1" s="63"/>
      <c r="EX1" s="63"/>
      <c r="EY1" s="63"/>
      <c r="EZ1" s="63"/>
      <c r="FA1" s="63"/>
      <c r="FB1" s="63" t="s">
        <v>301</v>
      </c>
      <c r="FC1" s="65" t="s">
        <v>302</v>
      </c>
      <c r="FD1" s="63"/>
      <c r="FE1" s="63"/>
      <c r="FF1" s="63"/>
      <c r="FG1" s="63"/>
      <c r="FH1" s="63"/>
      <c r="FI1" s="63"/>
      <c r="FJ1" s="63"/>
      <c r="FK1" s="63"/>
      <c r="FL1" s="63"/>
      <c r="FM1" s="63"/>
      <c r="FN1" s="63" t="s">
        <v>302</v>
      </c>
      <c r="FO1" s="64" t="s">
        <v>302</v>
      </c>
      <c r="FP1" s="65" t="s">
        <v>303</v>
      </c>
      <c r="FQ1" s="63"/>
      <c r="FR1" s="63"/>
      <c r="FS1" s="63"/>
      <c r="FT1" s="63"/>
      <c r="FU1" s="63"/>
      <c r="FV1" s="63"/>
      <c r="FW1" s="63"/>
      <c r="FX1" s="63"/>
      <c r="FY1" s="63"/>
      <c r="FZ1" s="63"/>
      <c r="GA1" s="63"/>
      <c r="GB1" s="149" t="s">
        <v>303</v>
      </c>
    </row>
    <row r="2" s="55" customFormat="1" ht="16.5" spans="1:186">
      <c r="A2" s="145" t="s">
        <v>18</v>
      </c>
      <c r="B2" s="68" t="s">
        <v>304</v>
      </c>
      <c r="C2" s="135">
        <v>46023</v>
      </c>
      <c r="D2" s="135">
        <v>46054</v>
      </c>
      <c r="E2" s="135">
        <v>46082</v>
      </c>
      <c r="F2" s="135">
        <v>46113</v>
      </c>
      <c r="G2" s="135">
        <v>46143</v>
      </c>
      <c r="H2" s="135">
        <v>46174</v>
      </c>
      <c r="I2" s="135">
        <v>46204</v>
      </c>
      <c r="J2" s="135">
        <v>46235</v>
      </c>
      <c r="K2" s="135">
        <v>46266</v>
      </c>
      <c r="L2" s="135">
        <v>46296</v>
      </c>
      <c r="M2" s="135">
        <v>46327</v>
      </c>
      <c r="N2" s="135">
        <v>46357</v>
      </c>
      <c r="O2" s="136" t="s">
        <v>305</v>
      </c>
      <c r="P2" s="71">
        <v>46023</v>
      </c>
      <c r="Q2" s="71">
        <v>46054</v>
      </c>
      <c r="R2" s="71">
        <v>46082</v>
      </c>
      <c r="S2" s="71">
        <v>46113</v>
      </c>
      <c r="T2" s="71">
        <v>46143</v>
      </c>
      <c r="U2" s="71">
        <v>46174</v>
      </c>
      <c r="V2" s="71">
        <v>46204</v>
      </c>
      <c r="W2" s="71">
        <v>46235</v>
      </c>
      <c r="X2" s="71">
        <v>46266</v>
      </c>
      <c r="Y2" s="71">
        <v>46296</v>
      </c>
      <c r="Z2" s="71">
        <v>46327</v>
      </c>
      <c r="AA2" s="71">
        <v>46357</v>
      </c>
      <c r="AB2" s="72" t="s">
        <v>305</v>
      </c>
      <c r="AC2" s="71">
        <v>46023</v>
      </c>
      <c r="AD2" s="71">
        <v>46054</v>
      </c>
      <c r="AE2" s="71">
        <v>46082</v>
      </c>
      <c r="AF2" s="71">
        <v>46113</v>
      </c>
      <c r="AG2" s="71">
        <v>46143</v>
      </c>
      <c r="AH2" s="71">
        <v>46174</v>
      </c>
      <c r="AI2" s="71">
        <v>46204</v>
      </c>
      <c r="AJ2" s="71">
        <v>46235</v>
      </c>
      <c r="AK2" s="71">
        <v>46266</v>
      </c>
      <c r="AL2" s="71">
        <v>46296</v>
      </c>
      <c r="AM2" s="71">
        <v>46327</v>
      </c>
      <c r="AN2" s="71">
        <v>46357</v>
      </c>
      <c r="AO2" s="72" t="s">
        <v>305</v>
      </c>
      <c r="AP2" s="71">
        <v>46023</v>
      </c>
      <c r="AQ2" s="71">
        <v>46054</v>
      </c>
      <c r="AR2" s="71">
        <v>46082</v>
      </c>
      <c r="AS2" s="71">
        <v>46113</v>
      </c>
      <c r="AT2" s="71">
        <v>46143</v>
      </c>
      <c r="AU2" s="71">
        <v>46174</v>
      </c>
      <c r="AV2" s="71">
        <v>46204</v>
      </c>
      <c r="AW2" s="71">
        <v>46235</v>
      </c>
      <c r="AX2" s="71">
        <v>46266</v>
      </c>
      <c r="AY2" s="71">
        <v>46296</v>
      </c>
      <c r="AZ2" s="71">
        <v>46327</v>
      </c>
      <c r="BA2" s="71">
        <v>46357</v>
      </c>
      <c r="BB2" s="72" t="s">
        <v>305</v>
      </c>
      <c r="BC2" s="71">
        <v>46023</v>
      </c>
      <c r="BD2" s="71">
        <v>46054</v>
      </c>
      <c r="BE2" s="71">
        <v>46082</v>
      </c>
      <c r="BF2" s="71">
        <v>46113</v>
      </c>
      <c r="BG2" s="71">
        <v>46143</v>
      </c>
      <c r="BH2" s="71">
        <v>46174</v>
      </c>
      <c r="BI2" s="71">
        <v>46204</v>
      </c>
      <c r="BJ2" s="71">
        <v>46235</v>
      </c>
      <c r="BK2" s="71">
        <v>46266</v>
      </c>
      <c r="BL2" s="71">
        <v>46296</v>
      </c>
      <c r="BM2" s="71">
        <v>46327</v>
      </c>
      <c r="BN2" s="71">
        <v>46357</v>
      </c>
      <c r="BO2" s="72" t="s">
        <v>305</v>
      </c>
      <c r="BP2" s="71">
        <v>46023</v>
      </c>
      <c r="BQ2" s="71">
        <v>46054</v>
      </c>
      <c r="BR2" s="71">
        <v>46082</v>
      </c>
      <c r="BS2" s="71">
        <v>46113</v>
      </c>
      <c r="BT2" s="71">
        <v>46143</v>
      </c>
      <c r="BU2" s="71">
        <v>46174</v>
      </c>
      <c r="BV2" s="71">
        <v>46204</v>
      </c>
      <c r="BW2" s="71">
        <v>46235</v>
      </c>
      <c r="BX2" s="71">
        <v>46266</v>
      </c>
      <c r="BY2" s="71">
        <v>46296</v>
      </c>
      <c r="BZ2" s="71">
        <v>46327</v>
      </c>
      <c r="CA2" s="71">
        <v>46357</v>
      </c>
      <c r="CB2" s="72" t="s">
        <v>305</v>
      </c>
      <c r="CC2" s="71">
        <v>46023</v>
      </c>
      <c r="CD2" s="71">
        <v>46054</v>
      </c>
      <c r="CE2" s="71">
        <v>46082</v>
      </c>
      <c r="CF2" s="71">
        <v>46113</v>
      </c>
      <c r="CG2" s="71">
        <v>46143</v>
      </c>
      <c r="CH2" s="71">
        <v>46174</v>
      </c>
      <c r="CI2" s="71">
        <v>46204</v>
      </c>
      <c r="CJ2" s="71">
        <v>46235</v>
      </c>
      <c r="CK2" s="71">
        <v>46266</v>
      </c>
      <c r="CL2" s="71">
        <v>46296</v>
      </c>
      <c r="CM2" s="71">
        <v>46327</v>
      </c>
      <c r="CN2" s="71">
        <v>46357</v>
      </c>
      <c r="CO2" s="72" t="s">
        <v>305</v>
      </c>
      <c r="CP2" s="71">
        <v>46023</v>
      </c>
      <c r="CQ2" s="71">
        <v>46054</v>
      </c>
      <c r="CR2" s="71">
        <v>46082</v>
      </c>
      <c r="CS2" s="71">
        <v>46113</v>
      </c>
      <c r="CT2" s="71">
        <v>46143</v>
      </c>
      <c r="CU2" s="71">
        <v>46174</v>
      </c>
      <c r="CV2" s="71">
        <v>46204</v>
      </c>
      <c r="CW2" s="71">
        <v>46235</v>
      </c>
      <c r="CX2" s="71">
        <v>46266</v>
      </c>
      <c r="CY2" s="71">
        <v>46296</v>
      </c>
      <c r="CZ2" s="71">
        <v>46327</v>
      </c>
      <c r="DA2" s="71">
        <v>46357</v>
      </c>
      <c r="DB2" s="72" t="s">
        <v>305</v>
      </c>
      <c r="DC2" s="71">
        <v>46023</v>
      </c>
      <c r="DD2" s="71">
        <v>46054</v>
      </c>
      <c r="DE2" s="71">
        <v>46082</v>
      </c>
      <c r="DF2" s="71">
        <v>46113</v>
      </c>
      <c r="DG2" s="71">
        <v>46143</v>
      </c>
      <c r="DH2" s="71">
        <v>46174</v>
      </c>
      <c r="DI2" s="71">
        <v>46204</v>
      </c>
      <c r="DJ2" s="71">
        <v>46235</v>
      </c>
      <c r="DK2" s="71">
        <v>46266</v>
      </c>
      <c r="DL2" s="71">
        <v>46296</v>
      </c>
      <c r="DM2" s="71">
        <v>46327</v>
      </c>
      <c r="DN2" s="71">
        <v>46357</v>
      </c>
      <c r="DO2" s="72" t="s">
        <v>305</v>
      </c>
      <c r="DP2" s="71">
        <v>46023</v>
      </c>
      <c r="DQ2" s="71">
        <v>46054</v>
      </c>
      <c r="DR2" s="71">
        <v>46082</v>
      </c>
      <c r="DS2" s="71">
        <v>46113</v>
      </c>
      <c r="DT2" s="71">
        <v>46143</v>
      </c>
      <c r="DU2" s="71">
        <v>46174</v>
      </c>
      <c r="DV2" s="71">
        <v>46204</v>
      </c>
      <c r="DW2" s="71">
        <v>46235</v>
      </c>
      <c r="DX2" s="71">
        <v>46266</v>
      </c>
      <c r="DY2" s="71">
        <v>46296</v>
      </c>
      <c r="DZ2" s="71">
        <v>46327</v>
      </c>
      <c r="EA2" s="71">
        <v>46357</v>
      </c>
      <c r="EB2" s="73" t="s">
        <v>305</v>
      </c>
      <c r="EC2" s="74">
        <v>46023</v>
      </c>
      <c r="ED2" s="75">
        <v>46054</v>
      </c>
      <c r="EE2" s="75">
        <v>46082</v>
      </c>
      <c r="EF2" s="75">
        <v>46113</v>
      </c>
      <c r="EG2" s="75">
        <v>46143</v>
      </c>
      <c r="EH2" s="75">
        <v>46174</v>
      </c>
      <c r="EI2" s="75">
        <v>46204</v>
      </c>
      <c r="EJ2" s="75">
        <v>46235</v>
      </c>
      <c r="EK2" s="75">
        <v>46266</v>
      </c>
      <c r="EL2" s="75">
        <v>46296</v>
      </c>
      <c r="EM2" s="75">
        <v>46327</v>
      </c>
      <c r="EN2" s="75">
        <v>46357</v>
      </c>
      <c r="EO2" s="150" t="s">
        <v>305</v>
      </c>
      <c r="EP2" s="74">
        <v>46023</v>
      </c>
      <c r="EQ2" s="75">
        <v>46054</v>
      </c>
      <c r="ER2" s="75">
        <v>46082</v>
      </c>
      <c r="ES2" s="75">
        <v>46113</v>
      </c>
      <c r="ET2" s="75">
        <v>46143</v>
      </c>
      <c r="EU2" s="75">
        <v>46174</v>
      </c>
      <c r="EV2" s="75">
        <v>46204</v>
      </c>
      <c r="EW2" s="75">
        <v>46235</v>
      </c>
      <c r="EX2" s="75">
        <v>46266</v>
      </c>
      <c r="EY2" s="75">
        <v>46296</v>
      </c>
      <c r="EZ2" s="75">
        <v>46327</v>
      </c>
      <c r="FA2" s="75">
        <v>46357</v>
      </c>
      <c r="FB2" s="73" t="s">
        <v>305</v>
      </c>
      <c r="FC2" s="74">
        <v>46023</v>
      </c>
      <c r="FD2" s="75">
        <v>46054</v>
      </c>
      <c r="FE2" s="75">
        <v>46082</v>
      </c>
      <c r="FF2" s="75">
        <v>46113</v>
      </c>
      <c r="FG2" s="75">
        <v>46143</v>
      </c>
      <c r="FH2" s="75">
        <v>46174</v>
      </c>
      <c r="FI2" s="75">
        <v>46204</v>
      </c>
      <c r="FJ2" s="75">
        <v>46235</v>
      </c>
      <c r="FK2" s="75">
        <v>46266</v>
      </c>
      <c r="FL2" s="75">
        <v>46296</v>
      </c>
      <c r="FM2" s="75">
        <v>46327</v>
      </c>
      <c r="FN2" s="75">
        <v>46357</v>
      </c>
      <c r="FO2" s="72" t="s">
        <v>305</v>
      </c>
      <c r="FP2" s="74">
        <v>46023</v>
      </c>
      <c r="FQ2" s="75">
        <v>46054</v>
      </c>
      <c r="FR2" s="75">
        <v>46082</v>
      </c>
      <c r="FS2" s="75">
        <v>46113</v>
      </c>
      <c r="FT2" s="75">
        <v>46143</v>
      </c>
      <c r="FU2" s="75">
        <v>46174</v>
      </c>
      <c r="FV2" s="75">
        <v>46204</v>
      </c>
      <c r="FW2" s="75">
        <v>46235</v>
      </c>
      <c r="FX2" s="75">
        <v>46266</v>
      </c>
      <c r="FY2" s="75">
        <v>46296</v>
      </c>
      <c r="FZ2" s="75">
        <v>46327</v>
      </c>
      <c r="GA2" s="75">
        <v>46357</v>
      </c>
      <c r="GB2" s="150" t="s">
        <v>305</v>
      </c>
    </row>
    <row r="3" spans="1:186">
      <c r="A3" s="137" t="s">
        <v>25</v>
      </c>
      <c r="B3" s="151">
        <v>3748254072.0579</v>
      </c>
      <c r="C3" s="138">
        <f>P3+AC3+AP3+BC3+BP3+CC3+CP3+DC3+DP3+EC3+EP3+FP3+FC3</f>
        <v>162326877.535246</v>
      </c>
      <c r="D3" s="138">
        <f t="shared" ref="D3:D66" si="0">Q3+AD3+AQ3+BD3+BQ3+CD3+CQ3+DD3+DQ3+ED3+EQ3+FQ3+FD3</f>
        <v>115063280.899816</v>
      </c>
      <c r="E3" s="138">
        <f t="shared" ref="E3:E66" si="1">R3+AE3+AR3+BE3+BR3+CE3+CR3+DE3+DR3+EE3+ER3+FR3+FE3</f>
        <v>147670899.996417</v>
      </c>
      <c r="F3" s="138">
        <f t="shared" ref="F3:F66" si="2">S3+AF3+AS3+BF3+BS3+CF3+CS3+DF3+DS3+EF3+ES3+FS3+FF3</f>
        <v>98090832.2662337</v>
      </c>
      <c r="G3" s="138">
        <f t="shared" ref="G3:G66" si="3">T3+AG3+AT3+BG3+BT3+CG3+CT3+DG3+DT3+EG3+ET3+FT3+FG3</f>
        <v>56227437.1393415</v>
      </c>
      <c r="H3" s="138">
        <f t="shared" ref="H3:H66" si="4">U3+AH3+AU3+BH3+BU3+CH3+CU3+DH3+DU3+EH3+EU3+FU3+FH3</f>
        <v>75336978.8476742</v>
      </c>
      <c r="I3" s="138">
        <f t="shared" ref="I3:I66" si="5">V3+AI3+AV3+BI3+BV3+CI3+CV3+DI3+DV3+EI3+EV3+FV3+FI3</f>
        <v>93338355.5098576</v>
      </c>
      <c r="J3" s="138">
        <f t="shared" ref="J3:J66" si="6">W3+AJ3+AW3+BJ3+BW3+CJ3+CW3+DJ3+DW3+EJ3+EW3+FW3+FJ3</f>
        <v>66801353.3796827</v>
      </c>
      <c r="K3" s="138">
        <f t="shared" ref="K3:K66" si="7">X3+AK3+AX3+BK3+BX3+CK3+CX3+DK3+DX3+EK3+EX3+FX3+FK3</f>
        <v>103690341.848518</v>
      </c>
      <c r="L3" s="138">
        <f t="shared" ref="L3:L66" si="8">Y3+AL3+AY3+BL3+BY3+CL3+CY3+DL3+DY3+EL3+EY3+FY3+FL3</f>
        <v>82267446.0011522</v>
      </c>
      <c r="M3" s="138">
        <f t="shared" ref="M3:M66" si="9">Z3+AM3+AZ3+BM3+BZ3+CM3+CZ3+DM3+DZ3+EM3+EZ3+FZ3+FM3</f>
        <v>70834291.5418795</v>
      </c>
      <c r="N3" s="138">
        <f t="shared" ref="N3:N66" si="10">AA3+AN3+BA3+BN3+CA3+CN3+DA3+DN3+EA3+EN3+FA3+GA3+FN3</f>
        <v>91770568.1949408</v>
      </c>
      <c r="O3" s="86">
        <f>SUM(C3:N3)</f>
        <v>1163418663.16076</v>
      </c>
      <c r="P3" s="138">
        <v>28356537.2881239</v>
      </c>
      <c r="Q3" s="138">
        <v>18989290.414266</v>
      </c>
      <c r="R3" s="138">
        <v>24293134.8760294</v>
      </c>
      <c r="S3" s="138">
        <v>15454100.7397576</v>
      </c>
      <c r="T3" s="138">
        <v>11108797.9030692</v>
      </c>
      <c r="U3" s="138">
        <v>12614532.4360513</v>
      </c>
      <c r="V3" s="138">
        <v>12496597.4996744</v>
      </c>
      <c r="W3" s="138">
        <v>11201551.8441489</v>
      </c>
      <c r="X3" s="138">
        <v>11750837.900663</v>
      </c>
      <c r="Y3" s="138">
        <v>11349674.7329583</v>
      </c>
      <c r="Z3" s="138">
        <v>11097553.9084049</v>
      </c>
      <c r="AA3" s="138">
        <v>11699728.1305532</v>
      </c>
      <c r="AB3" s="86">
        <v>180412337.6737</v>
      </c>
      <c r="AC3" s="138">
        <v>9493238.74113736</v>
      </c>
      <c r="AD3" s="138">
        <v>7161108.50938489</v>
      </c>
      <c r="AE3" s="138">
        <v>11848484.9818526</v>
      </c>
      <c r="AF3" s="138">
        <v>7759595.39353312</v>
      </c>
      <c r="AG3" s="138">
        <v>5029534.69018778</v>
      </c>
      <c r="AH3" s="138">
        <v>6932930.1373095</v>
      </c>
      <c r="AI3" s="138">
        <v>8037492.87558738</v>
      </c>
      <c r="AJ3" s="138">
        <v>7182470.4399203</v>
      </c>
      <c r="AK3" s="138">
        <v>7518306.3371054</v>
      </c>
      <c r="AL3" s="138">
        <v>8415458.0235958</v>
      </c>
      <c r="AM3" s="138">
        <v>8033858.64450801</v>
      </c>
      <c r="AN3" s="138">
        <v>8714489.14589707</v>
      </c>
      <c r="AO3" s="86">
        <v>96126967.9200192</v>
      </c>
      <c r="AP3" s="138">
        <v>6092433.70749762</v>
      </c>
      <c r="AQ3" s="138">
        <v>4852207.14991525</v>
      </c>
      <c r="AR3" s="138">
        <v>5805834.12193916</v>
      </c>
      <c r="AS3" s="138">
        <v>4709159.09734862</v>
      </c>
      <c r="AT3" s="138">
        <v>2396843.03020494</v>
      </c>
      <c r="AU3" s="138">
        <v>3503640.07644957</v>
      </c>
      <c r="AV3" s="138">
        <v>4718283.60991721</v>
      </c>
      <c r="AW3" s="138">
        <v>4509873.96920685</v>
      </c>
      <c r="AX3" s="138">
        <v>6554540.10220627</v>
      </c>
      <c r="AY3" s="138">
        <v>5201287.44006032</v>
      </c>
      <c r="AZ3" s="138">
        <v>4355404.62600341</v>
      </c>
      <c r="BA3" s="138">
        <v>5289238.74095907</v>
      </c>
      <c r="BB3" s="86">
        <v>57988745.6717083</v>
      </c>
      <c r="BC3" s="138">
        <v>10930709.018825</v>
      </c>
      <c r="BD3" s="138">
        <v>10261408.0149066</v>
      </c>
      <c r="BE3" s="138">
        <v>8112241.19557786</v>
      </c>
      <c r="BF3" s="138">
        <v>6506050.60198741</v>
      </c>
      <c r="BG3" s="138">
        <v>4667365.75267056</v>
      </c>
      <c r="BH3" s="138">
        <v>6961027.14578654</v>
      </c>
      <c r="BI3" s="138">
        <v>9091291.42903486</v>
      </c>
      <c r="BJ3" s="138">
        <v>7262600.70644225</v>
      </c>
      <c r="BK3" s="138">
        <v>9992277.52638125</v>
      </c>
      <c r="BL3" s="138">
        <v>8479095.52252534</v>
      </c>
      <c r="BM3" s="138">
        <v>5821384.19876103</v>
      </c>
      <c r="BN3" s="138">
        <v>5679046.53843028</v>
      </c>
      <c r="BO3" s="86">
        <v>93764497.651329</v>
      </c>
      <c r="BP3" s="138">
        <v>37546771.9568693</v>
      </c>
      <c r="BQ3" s="138">
        <v>28132680.3899394</v>
      </c>
      <c r="BR3" s="138">
        <v>28897051.4417996</v>
      </c>
      <c r="BS3" s="138">
        <v>19386857.7103189</v>
      </c>
      <c r="BT3" s="138">
        <v>10371350.4979116</v>
      </c>
      <c r="BU3" s="138">
        <v>16544400.9194034</v>
      </c>
      <c r="BV3" s="138">
        <v>18515202.485808</v>
      </c>
      <c r="BW3" s="138">
        <v>12251447.9359042</v>
      </c>
      <c r="BX3" s="138">
        <v>24532468.2248216</v>
      </c>
      <c r="BY3" s="138">
        <v>14496800.3570136</v>
      </c>
      <c r="BZ3" s="138">
        <v>12041154.3879596</v>
      </c>
      <c r="CA3" s="138">
        <v>17415384.4421399</v>
      </c>
      <c r="CB3" s="86">
        <v>240131570.749889</v>
      </c>
      <c r="CC3" s="138">
        <v>1758109.21266834</v>
      </c>
      <c r="CD3" s="138">
        <v>1148863.18327716</v>
      </c>
      <c r="CE3" s="138">
        <v>1829330.71154159</v>
      </c>
      <c r="CF3" s="138">
        <v>2256233.27902946</v>
      </c>
      <c r="CG3" s="138">
        <v>1643777.26600707</v>
      </c>
      <c r="CH3" s="138">
        <v>1829259.84787496</v>
      </c>
      <c r="CI3" s="138">
        <v>2025462.83381265</v>
      </c>
      <c r="CJ3" s="138">
        <v>1761107.12355815</v>
      </c>
      <c r="CK3" s="138">
        <v>2211362.66726526</v>
      </c>
      <c r="CL3" s="138">
        <v>2175728.57986143</v>
      </c>
      <c r="CM3" s="138">
        <v>1653237.78589576</v>
      </c>
      <c r="CN3" s="138">
        <v>1574160.85589815</v>
      </c>
      <c r="CO3" s="86">
        <v>21866633.34669</v>
      </c>
      <c r="CP3" s="138">
        <v>5421640.205202</v>
      </c>
      <c r="CQ3" s="138">
        <v>6197285.99854421</v>
      </c>
      <c r="CR3" s="138">
        <v>5389668.00947422</v>
      </c>
      <c r="CS3" s="138">
        <v>4267119.24185046</v>
      </c>
      <c r="CT3" s="138">
        <v>2777354.50348585</v>
      </c>
      <c r="CU3" s="138">
        <v>4190772.56540595</v>
      </c>
      <c r="CV3" s="138">
        <v>5415027.72219531</v>
      </c>
      <c r="CW3" s="138">
        <v>3611203.70205117</v>
      </c>
      <c r="CX3" s="138">
        <v>6560588.7516878</v>
      </c>
      <c r="CY3" s="138">
        <v>4384445.95004554</v>
      </c>
      <c r="CZ3" s="138">
        <v>3127529.37087023</v>
      </c>
      <c r="DA3" s="138">
        <v>3731644.94351001</v>
      </c>
      <c r="DB3" s="86">
        <v>55074280.9643228</v>
      </c>
      <c r="DC3" s="138">
        <v>1899104.46744645</v>
      </c>
      <c r="DD3" s="138">
        <v>1352404.33128128</v>
      </c>
      <c r="DE3" s="138">
        <v>1123233.07350313</v>
      </c>
      <c r="DF3" s="138">
        <v>1024130.43280323</v>
      </c>
      <c r="DG3" s="138">
        <v>760799.033304893</v>
      </c>
      <c r="DH3" s="138">
        <v>766224.972219013</v>
      </c>
      <c r="DI3" s="138">
        <v>741749.181703042</v>
      </c>
      <c r="DJ3" s="138">
        <v>482169.634587716</v>
      </c>
      <c r="DK3" s="138">
        <v>719740.913984803</v>
      </c>
      <c r="DL3" s="138">
        <v>630999.496266345</v>
      </c>
      <c r="DM3" s="138">
        <v>523180.853796186</v>
      </c>
      <c r="DN3" s="138">
        <v>720414.875061107</v>
      </c>
      <c r="DO3" s="86">
        <v>10744151.2659572</v>
      </c>
      <c r="DP3" s="138">
        <v>15451626.5865265</v>
      </c>
      <c r="DQ3" s="138">
        <v>8623362.42742255</v>
      </c>
      <c r="DR3" s="138">
        <v>7854614.39065165</v>
      </c>
      <c r="DS3" s="138">
        <v>8867945.10243106</v>
      </c>
      <c r="DT3" s="138">
        <v>5711292.53105433</v>
      </c>
      <c r="DU3" s="138">
        <v>5792633.16109895</v>
      </c>
      <c r="DV3" s="138">
        <v>5801168.65163124</v>
      </c>
      <c r="DW3" s="138">
        <v>3537787.48035023</v>
      </c>
      <c r="DX3" s="138">
        <v>5325058.95836506</v>
      </c>
      <c r="DY3" s="138">
        <v>4989324.434976</v>
      </c>
      <c r="DZ3" s="138">
        <v>3624213.83210465</v>
      </c>
      <c r="EA3" s="138">
        <v>3603429.65381713</v>
      </c>
      <c r="EB3" s="85">
        <v>79182457.2104293</v>
      </c>
      <c r="EC3" s="87">
        <v>1933209.21259025</v>
      </c>
      <c r="ED3" s="85">
        <v>85150.3155976834</v>
      </c>
      <c r="EE3" s="85">
        <v>0</v>
      </c>
      <c r="EF3" s="85">
        <v>22790.7919872787</v>
      </c>
      <c r="EG3" s="85">
        <v>0</v>
      </c>
      <c r="EH3" s="85">
        <v>0</v>
      </c>
      <c r="EI3" s="85">
        <v>0</v>
      </c>
      <c r="EJ3" s="85">
        <v>0</v>
      </c>
      <c r="EK3" s="85">
        <v>0</v>
      </c>
      <c r="EL3" s="85">
        <v>0</v>
      </c>
      <c r="EM3" s="85">
        <v>0</v>
      </c>
      <c r="EN3" s="85">
        <v>0</v>
      </c>
      <c r="EO3" s="152">
        <v>2041150.32017521</v>
      </c>
      <c r="EP3" s="87">
        <v>1358686.03826269</v>
      </c>
      <c r="EQ3" s="85">
        <v>1734667.02171834</v>
      </c>
      <c r="ER3" s="85">
        <v>2364583.7329561</v>
      </c>
      <c r="ES3" s="85">
        <v>2004478.47562571</v>
      </c>
      <c r="ET3" s="85">
        <v>1771335.57008981</v>
      </c>
      <c r="EU3" s="85">
        <v>1367238.44407506</v>
      </c>
      <c r="EV3" s="85">
        <v>1767428.10049346</v>
      </c>
      <c r="EW3" s="85">
        <v>1264896.24351294</v>
      </c>
      <c r="EX3" s="85">
        <v>2101256.44603749</v>
      </c>
      <c r="EY3" s="85">
        <v>2192825.66384955</v>
      </c>
      <c r="EZ3" s="85">
        <v>1706900.51357576</v>
      </c>
      <c r="FA3" s="85">
        <v>1630123.76867488</v>
      </c>
      <c r="FB3" s="85">
        <v>21264420.0188718</v>
      </c>
      <c r="FC3" s="87">
        <v>423407.499713063</v>
      </c>
      <c r="FD3" s="85">
        <v>305835.086653797</v>
      </c>
      <c r="FE3" s="85">
        <v>0</v>
      </c>
      <c r="FF3" s="85">
        <v>0</v>
      </c>
      <c r="FG3" s="85">
        <v>0</v>
      </c>
      <c r="FH3" s="85">
        <v>0</v>
      </c>
      <c r="FI3" s="85">
        <v>0</v>
      </c>
      <c r="FJ3" s="85">
        <v>0</v>
      </c>
      <c r="FK3" s="85">
        <v>0</v>
      </c>
      <c r="FL3" s="85">
        <v>0</v>
      </c>
      <c r="FM3" s="85">
        <v>0</v>
      </c>
      <c r="FN3" s="85">
        <v>0</v>
      </c>
      <c r="FO3" s="86">
        <v>0</v>
      </c>
      <c r="FP3" s="87">
        <v>41661403.6003836</v>
      </c>
      <c r="FQ3" s="85">
        <v>26219018.0569091</v>
      </c>
      <c r="FR3" s="85">
        <v>50152723.4610911</v>
      </c>
      <c r="FS3" s="85">
        <v>25832371.3995608</v>
      </c>
      <c r="FT3" s="85">
        <v>9988986.36135546</v>
      </c>
      <c r="FU3" s="85">
        <v>14834319.142</v>
      </c>
      <c r="FV3" s="85">
        <v>24728651.12</v>
      </c>
      <c r="FW3" s="85">
        <v>13736244.3</v>
      </c>
      <c r="FX3" s="85">
        <v>26423904.02</v>
      </c>
      <c r="FY3" s="85">
        <v>19951805.8</v>
      </c>
      <c r="FZ3" s="85">
        <v>18849873.42</v>
      </c>
      <c r="GA3" s="85">
        <v>31712907.1</v>
      </c>
      <c r="GB3" s="152">
        <v>304092207.7813</v>
      </c>
      <c r="GD3" s="153"/>
    </row>
    <row r="4" spans="1:186">
      <c r="A4" s="137" t="s">
        <v>31</v>
      </c>
      <c r="B4" s="151">
        <v>1068126113.84949</v>
      </c>
      <c r="C4" s="138">
        <f t="shared" ref="C4:C67" si="11">P4+AC4+AP4+BC4+BP4+CC4+CP4+DC4+DP4+EC4+EP4+FP4+FC4</f>
        <v>57822904.8576595</v>
      </c>
      <c r="D4" s="138">
        <f t="shared" si="0"/>
        <v>43526643.5345012</v>
      </c>
      <c r="E4" s="138">
        <f t="shared" si="1"/>
        <v>38257547.4480984</v>
      </c>
      <c r="F4" s="138">
        <f t="shared" si="2"/>
        <v>27476797.7748564</v>
      </c>
      <c r="G4" s="138">
        <f t="shared" si="3"/>
        <v>60225853.0090604</v>
      </c>
      <c r="H4" s="138">
        <f t="shared" si="4"/>
        <v>40383731.8265351</v>
      </c>
      <c r="I4" s="138">
        <f t="shared" si="5"/>
        <v>32833041.1849736</v>
      </c>
      <c r="J4" s="138">
        <f t="shared" si="6"/>
        <v>59139852.5878568</v>
      </c>
      <c r="K4" s="138">
        <f t="shared" si="7"/>
        <v>43552183.183197</v>
      </c>
      <c r="L4" s="138">
        <f t="shared" si="8"/>
        <v>48040272.4730932</v>
      </c>
      <c r="M4" s="138">
        <f t="shared" si="9"/>
        <v>47571010.7700323</v>
      </c>
      <c r="N4" s="138">
        <f t="shared" si="10"/>
        <v>30125206.6416157</v>
      </c>
      <c r="O4" s="86">
        <f t="shared" ref="O4:O67" si="12">SUM(C4:N4)</f>
        <v>528955045.29148</v>
      </c>
      <c r="P4" s="138">
        <v>6020044.09800433</v>
      </c>
      <c r="Q4" s="138">
        <v>4337924.65690082</v>
      </c>
      <c r="R4" s="138">
        <v>3631232.36805005</v>
      </c>
      <c r="S4" s="138">
        <v>2926115.70997809</v>
      </c>
      <c r="T4" s="138">
        <v>3378507.96955841</v>
      </c>
      <c r="U4" s="138">
        <v>3339560.49730213</v>
      </c>
      <c r="V4" s="138">
        <v>3158403.19005986</v>
      </c>
      <c r="W4" s="138">
        <v>5381598.73316029</v>
      </c>
      <c r="X4" s="138">
        <v>4826341.65854418</v>
      </c>
      <c r="Y4" s="138">
        <v>4888774.81705879</v>
      </c>
      <c r="Z4" s="138">
        <v>4838403.41162591</v>
      </c>
      <c r="AA4" s="138">
        <v>4135779.61781255</v>
      </c>
      <c r="AB4" s="86">
        <v>50862686.7280554</v>
      </c>
      <c r="AC4" s="138">
        <v>3852985.47193461</v>
      </c>
      <c r="AD4" s="138">
        <v>2764049.61509</v>
      </c>
      <c r="AE4" s="138">
        <v>2596406.20647226</v>
      </c>
      <c r="AF4" s="138">
        <v>2015957.89987574</v>
      </c>
      <c r="AG4" s="138">
        <v>2545069.35062394</v>
      </c>
      <c r="AH4" s="138">
        <v>2845164.0035269</v>
      </c>
      <c r="AI4" s="138">
        <v>2701826.73752627</v>
      </c>
      <c r="AJ4" s="138">
        <v>2789063.63069094</v>
      </c>
      <c r="AK4" s="138">
        <v>2956381.50143212</v>
      </c>
      <c r="AL4" s="138">
        <v>2705341.25998056</v>
      </c>
      <c r="AM4" s="138">
        <v>2976092.49854479</v>
      </c>
      <c r="AN4" s="138">
        <v>1720934.26361394</v>
      </c>
      <c r="AO4" s="86">
        <v>32469272.4393121</v>
      </c>
      <c r="AP4" s="138">
        <v>7167702.56343666</v>
      </c>
      <c r="AQ4" s="138">
        <v>4714768.88848377</v>
      </c>
      <c r="AR4" s="138">
        <v>6487760.25362074</v>
      </c>
      <c r="AS4" s="138">
        <v>3868237.84696792</v>
      </c>
      <c r="AT4" s="138">
        <v>5662474.6303354</v>
      </c>
      <c r="AU4" s="138">
        <v>4033146.03802808</v>
      </c>
      <c r="AV4" s="138">
        <v>4029368.47914393</v>
      </c>
      <c r="AW4" s="138">
        <v>6192049.55818581</v>
      </c>
      <c r="AX4" s="138">
        <v>4905628.59020342</v>
      </c>
      <c r="AY4" s="138">
        <v>4260972.90376033</v>
      </c>
      <c r="AZ4" s="138">
        <v>4471838.91167439</v>
      </c>
      <c r="BA4" s="138">
        <v>3036328.37853983</v>
      </c>
      <c r="BB4" s="86">
        <v>58830277.0423803</v>
      </c>
      <c r="BC4" s="138">
        <v>3536454.60360111</v>
      </c>
      <c r="BD4" s="138">
        <v>2922989.67638224</v>
      </c>
      <c r="BE4" s="138">
        <v>2138283.3288451</v>
      </c>
      <c r="BF4" s="138">
        <v>1350078.30338326</v>
      </c>
      <c r="BG4" s="138">
        <v>4173421.98298256</v>
      </c>
      <c r="BH4" s="138">
        <v>3902005.658441</v>
      </c>
      <c r="BI4" s="138">
        <v>2477898.13340641</v>
      </c>
      <c r="BJ4" s="138">
        <v>3777331.29529409</v>
      </c>
      <c r="BK4" s="138">
        <v>2674281.4611166</v>
      </c>
      <c r="BL4" s="138">
        <v>2615444.19574911</v>
      </c>
      <c r="BM4" s="138">
        <v>3927700.07089674</v>
      </c>
      <c r="BN4" s="138">
        <v>2274643.88364178</v>
      </c>
      <c r="BO4" s="86">
        <v>35770532.59374</v>
      </c>
      <c r="BP4" s="138">
        <v>13184792.3541609</v>
      </c>
      <c r="BQ4" s="138">
        <v>13363830.2356145</v>
      </c>
      <c r="BR4" s="138">
        <v>10437263.7564878</v>
      </c>
      <c r="BS4" s="138">
        <v>7434256.21155307</v>
      </c>
      <c r="BT4" s="138">
        <v>14344225.7190907</v>
      </c>
      <c r="BU4" s="138">
        <v>8907981.67137128</v>
      </c>
      <c r="BV4" s="138">
        <v>7100760.65113076</v>
      </c>
      <c r="BW4" s="138">
        <v>15027940.498842</v>
      </c>
      <c r="BX4" s="138">
        <v>9553033.36953432</v>
      </c>
      <c r="BY4" s="138">
        <v>12147178.7740339</v>
      </c>
      <c r="BZ4" s="138">
        <v>11745515.89776</v>
      </c>
      <c r="CA4" s="138">
        <v>7739700.81282123</v>
      </c>
      <c r="CB4" s="86">
        <v>130986479.9524</v>
      </c>
      <c r="CC4" s="138">
        <v>3255591.01351972</v>
      </c>
      <c r="CD4" s="138">
        <v>525142.488809051</v>
      </c>
      <c r="CE4" s="138">
        <v>547026.473088751</v>
      </c>
      <c r="CF4" s="138">
        <v>945843.987940619</v>
      </c>
      <c r="CG4" s="138">
        <v>1344594.85923482</v>
      </c>
      <c r="CH4" s="138">
        <v>1196831.64496244</v>
      </c>
      <c r="CI4" s="138">
        <v>1201585.96119191</v>
      </c>
      <c r="CJ4" s="138">
        <v>978400.044804895</v>
      </c>
      <c r="CK4" s="138">
        <v>906829.039311576</v>
      </c>
      <c r="CL4" s="138">
        <v>961821.488633951</v>
      </c>
      <c r="CM4" s="138">
        <v>962742.472157759</v>
      </c>
      <c r="CN4" s="138">
        <v>532270.157356458</v>
      </c>
      <c r="CO4" s="86">
        <v>13358679.631012</v>
      </c>
      <c r="CP4" s="138">
        <v>5411562.2757036</v>
      </c>
      <c r="CQ4" s="138">
        <v>4239437.35448747</v>
      </c>
      <c r="CR4" s="138">
        <v>3585864.48857475</v>
      </c>
      <c r="CS4" s="138">
        <v>2456214.03981904</v>
      </c>
      <c r="CT4" s="138">
        <v>7204506.12729017</v>
      </c>
      <c r="CU4" s="138">
        <v>5498474.36179374</v>
      </c>
      <c r="CV4" s="138">
        <v>3462465.36725114</v>
      </c>
      <c r="CW4" s="138">
        <v>5023007.26479104</v>
      </c>
      <c r="CX4" s="138">
        <v>3661928.82500576</v>
      </c>
      <c r="CY4" s="138">
        <v>3206439.14975706</v>
      </c>
      <c r="CZ4" s="138">
        <v>5456588.71074121</v>
      </c>
      <c r="DA4" s="138">
        <v>3201459.80033679</v>
      </c>
      <c r="DB4" s="86">
        <v>52407947.7655518</v>
      </c>
      <c r="DC4" s="138">
        <v>488892.923132155</v>
      </c>
      <c r="DD4" s="138">
        <v>280492.847582988</v>
      </c>
      <c r="DE4" s="138">
        <v>206490.14305451</v>
      </c>
      <c r="DF4" s="138">
        <v>160300.858462624</v>
      </c>
      <c r="DG4" s="138">
        <v>376722.679449581</v>
      </c>
      <c r="DH4" s="138">
        <v>349622.12234028</v>
      </c>
      <c r="DI4" s="138">
        <v>238865.559749743</v>
      </c>
      <c r="DJ4" s="138">
        <v>351238.253492641</v>
      </c>
      <c r="DK4" s="138">
        <v>264533.848741542</v>
      </c>
      <c r="DL4" s="138">
        <v>197056.590695853</v>
      </c>
      <c r="DM4" s="138">
        <v>263712.716573066</v>
      </c>
      <c r="DN4" s="138">
        <v>145143.707220477</v>
      </c>
      <c r="DO4" s="86">
        <v>3323072.25049546</v>
      </c>
      <c r="DP4" s="138">
        <v>4781683.32404753</v>
      </c>
      <c r="DQ4" s="138">
        <v>2648850.12226449</v>
      </c>
      <c r="DR4" s="138">
        <v>2382797.24336069</v>
      </c>
      <c r="DS4" s="138">
        <v>1807081.32121075</v>
      </c>
      <c r="DT4" s="138">
        <v>2910351.85503985</v>
      </c>
      <c r="DU4" s="138">
        <v>2950186.17752315</v>
      </c>
      <c r="DV4" s="138">
        <v>2032918.22070214</v>
      </c>
      <c r="DW4" s="138">
        <v>2763276.03408417</v>
      </c>
      <c r="DX4" s="138">
        <v>2331282.32404703</v>
      </c>
      <c r="DY4" s="138">
        <v>2543579.31609548</v>
      </c>
      <c r="DZ4" s="138">
        <v>3405434.82445623</v>
      </c>
      <c r="EA4" s="138">
        <v>1434699.7151692</v>
      </c>
      <c r="EB4" s="85">
        <v>31992140.4780007</v>
      </c>
      <c r="EC4" s="87">
        <v>318525.690425049</v>
      </c>
      <c r="ED4" s="85">
        <v>63965.4686246014</v>
      </c>
      <c r="EE4" s="85">
        <v>0</v>
      </c>
      <c r="EF4" s="85">
        <v>0</v>
      </c>
      <c r="EG4" s="85">
        <v>0</v>
      </c>
      <c r="EH4" s="85">
        <v>0</v>
      </c>
      <c r="EI4" s="85">
        <v>0</v>
      </c>
      <c r="EJ4" s="85">
        <v>0</v>
      </c>
      <c r="EK4" s="85">
        <v>0</v>
      </c>
      <c r="EL4" s="85">
        <v>0</v>
      </c>
      <c r="EM4" s="85">
        <v>0</v>
      </c>
      <c r="EN4" s="85">
        <v>0</v>
      </c>
      <c r="EO4" s="152">
        <v>382491.159049651</v>
      </c>
      <c r="EP4" s="85">
        <v>859610.511928227</v>
      </c>
      <c r="EQ4" s="85">
        <v>1051307.948187</v>
      </c>
      <c r="ER4" s="85">
        <v>1012980.38888956</v>
      </c>
      <c r="ES4" s="85">
        <v>947541.739091171</v>
      </c>
      <c r="ET4" s="85">
        <v>1191475.38991222</v>
      </c>
      <c r="EU4" s="85">
        <v>642993.691246106</v>
      </c>
      <c r="EV4" s="85">
        <v>894276.884811425</v>
      </c>
      <c r="EW4" s="85">
        <v>1235234.71451101</v>
      </c>
      <c r="EX4" s="85">
        <v>1312367.94526046</v>
      </c>
      <c r="EY4" s="85">
        <v>868695.037328233</v>
      </c>
      <c r="EZ4" s="85">
        <v>1098610.79560218</v>
      </c>
      <c r="FA4" s="85">
        <v>706191.725103482</v>
      </c>
      <c r="FB4" s="85">
        <v>11821286.7718711</v>
      </c>
      <c r="FC4" s="87">
        <v>80472.9814666033</v>
      </c>
      <c r="FD4" s="85">
        <v>67828.1239832549</v>
      </c>
      <c r="FE4" s="85">
        <v>0</v>
      </c>
      <c r="FF4" s="85">
        <v>0</v>
      </c>
      <c r="FG4" s="85">
        <v>0</v>
      </c>
      <c r="FH4" s="85">
        <v>0</v>
      </c>
      <c r="FI4" s="85">
        <v>0</v>
      </c>
      <c r="FJ4" s="85">
        <v>0</v>
      </c>
      <c r="FK4" s="85">
        <v>0</v>
      </c>
      <c r="FL4" s="85">
        <v>0</v>
      </c>
      <c r="FM4" s="85">
        <v>0</v>
      </c>
      <c r="FN4" s="85">
        <v>0</v>
      </c>
      <c r="FO4" s="86">
        <v>0</v>
      </c>
      <c r="FP4" s="87">
        <v>8864587.04629894</v>
      </c>
      <c r="FQ4" s="85">
        <v>6546056.10809103</v>
      </c>
      <c r="FR4" s="85">
        <v>5231442.79765422</v>
      </c>
      <c r="FS4" s="85">
        <v>3565169.85657414</v>
      </c>
      <c r="FT4" s="85">
        <v>17094502.4455428</v>
      </c>
      <c r="FU4" s="85">
        <v>6717765.96</v>
      </c>
      <c r="FV4" s="85">
        <v>5534672</v>
      </c>
      <c r="FW4" s="85">
        <v>15620712.56</v>
      </c>
      <c r="FX4" s="85">
        <v>10159574.62</v>
      </c>
      <c r="FY4" s="85">
        <v>13644968.94</v>
      </c>
      <c r="FZ4" s="85">
        <v>8424370.46</v>
      </c>
      <c r="GA4" s="85">
        <v>5198054.58</v>
      </c>
      <c r="GB4" s="152">
        <v>106601877.374161</v>
      </c>
      <c r="GD4" s="153"/>
    </row>
    <row r="5" spans="1:186">
      <c r="A5" s="137" t="s">
        <v>33</v>
      </c>
      <c r="B5" s="151">
        <v>698826365.567848</v>
      </c>
      <c r="C5" s="138">
        <f t="shared" si="11"/>
        <v>30715188.0727656</v>
      </c>
      <c r="D5" s="138">
        <f t="shared" si="0"/>
        <v>24779699.5734928</v>
      </c>
      <c r="E5" s="138">
        <f t="shared" si="1"/>
        <v>28235329.1813371</v>
      </c>
      <c r="F5" s="138">
        <f t="shared" si="2"/>
        <v>24184775.0341229</v>
      </c>
      <c r="G5" s="138">
        <f t="shared" si="3"/>
        <v>16661769.9952459</v>
      </c>
      <c r="H5" s="138">
        <f t="shared" si="4"/>
        <v>20839148.4520672</v>
      </c>
      <c r="I5" s="138">
        <f t="shared" si="5"/>
        <v>16240545.9219539</v>
      </c>
      <c r="J5" s="138">
        <f t="shared" si="6"/>
        <v>16033207.3692195</v>
      </c>
      <c r="K5" s="138">
        <f t="shared" si="7"/>
        <v>23289528.9790169</v>
      </c>
      <c r="L5" s="138">
        <f t="shared" si="8"/>
        <v>35755656.1842726</v>
      </c>
      <c r="M5" s="138">
        <f t="shared" si="9"/>
        <v>34971340.9836825</v>
      </c>
      <c r="N5" s="138">
        <f t="shared" si="10"/>
        <v>22474941.841753</v>
      </c>
      <c r="O5" s="86">
        <f t="shared" si="12"/>
        <v>294181131.58893</v>
      </c>
      <c r="P5" s="138">
        <v>2776532.88944239</v>
      </c>
      <c r="Q5" s="138">
        <v>1714065.39888088</v>
      </c>
      <c r="R5" s="138">
        <v>1634987.46563988</v>
      </c>
      <c r="S5" s="138">
        <v>1631915.41452448</v>
      </c>
      <c r="T5" s="138">
        <v>1215823.78495933</v>
      </c>
      <c r="U5" s="138">
        <v>2105473.78116837</v>
      </c>
      <c r="V5" s="138">
        <v>2033610.9461831</v>
      </c>
      <c r="W5" s="138">
        <v>1416307.99719568</v>
      </c>
      <c r="X5" s="138">
        <v>1551284.43832445</v>
      </c>
      <c r="Y5" s="138">
        <v>1990474.35157204</v>
      </c>
      <c r="Z5" s="138">
        <v>2838434.72216972</v>
      </c>
      <c r="AA5" s="138">
        <v>2824123.53883556</v>
      </c>
      <c r="AB5" s="86">
        <v>23733034.7288959</v>
      </c>
      <c r="AC5" s="138">
        <v>1522927.85716451</v>
      </c>
      <c r="AD5" s="138">
        <v>1079316.26313761</v>
      </c>
      <c r="AE5" s="138">
        <v>1090119.06688483</v>
      </c>
      <c r="AF5" s="138">
        <v>1066404.96498826</v>
      </c>
      <c r="AG5" s="138">
        <v>931807.574846396</v>
      </c>
      <c r="AH5" s="138">
        <v>1350831.00513647</v>
      </c>
      <c r="AI5" s="138">
        <v>1224816.70265075</v>
      </c>
      <c r="AJ5" s="138">
        <v>1063849.5279427</v>
      </c>
      <c r="AK5" s="138">
        <v>1213941.63447994</v>
      </c>
      <c r="AL5" s="138">
        <v>1768408.45338959</v>
      </c>
      <c r="AM5" s="138">
        <v>1457151.70407045</v>
      </c>
      <c r="AN5" s="138">
        <v>1260184.9740336</v>
      </c>
      <c r="AO5" s="86">
        <v>15029759.7287251</v>
      </c>
      <c r="AP5" s="138">
        <v>1843610.43724682</v>
      </c>
      <c r="AQ5" s="138">
        <v>1274060.71469441</v>
      </c>
      <c r="AR5" s="138">
        <v>1925017.70377981</v>
      </c>
      <c r="AS5" s="138">
        <v>1242948.76532244</v>
      </c>
      <c r="AT5" s="138">
        <v>865533.343029559</v>
      </c>
      <c r="AU5" s="138">
        <v>1867276.92823095</v>
      </c>
      <c r="AV5" s="138">
        <v>1057328.23845234</v>
      </c>
      <c r="AW5" s="138">
        <v>1368486.52688236</v>
      </c>
      <c r="AX5" s="138">
        <v>1103433.5354191</v>
      </c>
      <c r="AY5" s="138">
        <v>2211158.79745936</v>
      </c>
      <c r="AZ5" s="138">
        <v>2259310.27215503</v>
      </c>
      <c r="BA5" s="138">
        <v>1192493.30182881</v>
      </c>
      <c r="BB5" s="86">
        <v>18210658.564501</v>
      </c>
      <c r="BC5" s="138">
        <v>2128514.69291213</v>
      </c>
      <c r="BD5" s="138">
        <v>1294007.01039824</v>
      </c>
      <c r="BE5" s="138">
        <v>1303146.82950827</v>
      </c>
      <c r="BF5" s="138">
        <v>1225836.84160602</v>
      </c>
      <c r="BG5" s="138">
        <v>847052.344759836</v>
      </c>
      <c r="BH5" s="138">
        <v>1119029.1753614</v>
      </c>
      <c r="BI5" s="138">
        <v>882407.768662978</v>
      </c>
      <c r="BJ5" s="138">
        <v>890498.182699312</v>
      </c>
      <c r="BK5" s="138">
        <v>1079751.4785365</v>
      </c>
      <c r="BL5" s="138">
        <v>1669538.27883309</v>
      </c>
      <c r="BM5" s="138">
        <v>1227761.194597</v>
      </c>
      <c r="BN5" s="138">
        <v>1579351.30362659</v>
      </c>
      <c r="BO5" s="86">
        <v>15246895.1015014</v>
      </c>
      <c r="BP5" s="138">
        <v>9296051.60538332</v>
      </c>
      <c r="BQ5" s="138">
        <v>7703342.0776795</v>
      </c>
      <c r="BR5" s="138">
        <v>9619506.78271878</v>
      </c>
      <c r="BS5" s="138">
        <v>7355611.96860056</v>
      </c>
      <c r="BT5" s="138">
        <v>6024358.11606535</v>
      </c>
      <c r="BU5" s="138">
        <v>5964226.90013089</v>
      </c>
      <c r="BV5" s="138">
        <v>3607901.90274936</v>
      </c>
      <c r="BW5" s="138">
        <v>3720051.43168542</v>
      </c>
      <c r="BX5" s="138">
        <v>9805713.08750077</v>
      </c>
      <c r="BY5" s="138">
        <v>11219977.05281</v>
      </c>
      <c r="BZ5" s="138">
        <v>9239580.71430317</v>
      </c>
      <c r="CA5" s="138">
        <v>6702201.16545534</v>
      </c>
      <c r="CB5" s="86">
        <v>90258522.8050825</v>
      </c>
      <c r="CC5" s="138">
        <v>422090.551245063</v>
      </c>
      <c r="CD5" s="138">
        <v>409508.304640694</v>
      </c>
      <c r="CE5" s="138">
        <v>376321.864268698</v>
      </c>
      <c r="CF5" s="138">
        <v>553977.8693479</v>
      </c>
      <c r="CG5" s="138">
        <v>475690.441535224</v>
      </c>
      <c r="CH5" s="138">
        <v>692084.412762292</v>
      </c>
      <c r="CI5" s="138">
        <v>619584.464293851</v>
      </c>
      <c r="CJ5" s="138">
        <v>486978.733732564</v>
      </c>
      <c r="CK5" s="138">
        <v>491200.433075451</v>
      </c>
      <c r="CL5" s="138">
        <v>644629.979020073</v>
      </c>
      <c r="CM5" s="138">
        <v>711052.007261043</v>
      </c>
      <c r="CN5" s="138">
        <v>590854.678129181</v>
      </c>
      <c r="CO5" s="86">
        <v>6473973.73931204</v>
      </c>
      <c r="CP5" s="138">
        <v>1395015.61587935</v>
      </c>
      <c r="CQ5" s="138">
        <v>1379657.41437562</v>
      </c>
      <c r="CR5" s="138">
        <v>1168215.24994493</v>
      </c>
      <c r="CS5" s="138">
        <v>1278838.66590204</v>
      </c>
      <c r="CT5" s="138">
        <v>964246.82302859</v>
      </c>
      <c r="CU5" s="138">
        <v>1256231.66087788</v>
      </c>
      <c r="CV5" s="138">
        <v>1061205.16656855</v>
      </c>
      <c r="CW5" s="138">
        <v>1036241.82210021</v>
      </c>
      <c r="CX5" s="138">
        <v>1100661.18765179</v>
      </c>
      <c r="CY5" s="138">
        <v>1904053.41128969</v>
      </c>
      <c r="CZ5" s="138">
        <v>1375495.48385479</v>
      </c>
      <c r="DA5" s="138">
        <v>1500753.78482686</v>
      </c>
      <c r="DB5" s="86">
        <v>15420616.2863003</v>
      </c>
      <c r="DC5" s="138">
        <v>233283.287263577</v>
      </c>
      <c r="DD5" s="138">
        <v>161555.242223672</v>
      </c>
      <c r="DE5" s="138">
        <v>169087.002461026</v>
      </c>
      <c r="DF5" s="138">
        <v>177105.900249832</v>
      </c>
      <c r="DG5" s="138">
        <v>136808.450696133</v>
      </c>
      <c r="DH5" s="138">
        <v>389516.49176516</v>
      </c>
      <c r="DI5" s="138">
        <v>213321.059527062</v>
      </c>
      <c r="DJ5" s="138">
        <v>124981.26759285</v>
      </c>
      <c r="DK5" s="138">
        <v>126314.06000701</v>
      </c>
      <c r="DL5" s="138">
        <v>218539.443860728</v>
      </c>
      <c r="DM5" s="138">
        <v>217463.857000178</v>
      </c>
      <c r="DN5" s="138">
        <v>232512.445032504</v>
      </c>
      <c r="DO5" s="86">
        <v>2400488.50767973</v>
      </c>
      <c r="DP5" s="138">
        <v>2022866.31740684</v>
      </c>
      <c r="DQ5" s="138">
        <v>1246400.22181289</v>
      </c>
      <c r="DR5" s="138">
        <v>1202597.10376344</v>
      </c>
      <c r="DS5" s="138">
        <v>1419079.94412003</v>
      </c>
      <c r="DT5" s="138">
        <v>1171817.68571605</v>
      </c>
      <c r="DU5" s="138">
        <v>1688837.86691778</v>
      </c>
      <c r="DV5" s="138">
        <v>1643639.4561079</v>
      </c>
      <c r="DW5" s="138">
        <v>910010.985822588</v>
      </c>
      <c r="DX5" s="138">
        <v>1078455.54222689</v>
      </c>
      <c r="DY5" s="138">
        <v>1682490.91945506</v>
      </c>
      <c r="DZ5" s="138">
        <v>1971703.01916727</v>
      </c>
      <c r="EA5" s="138">
        <v>1456825.16241558</v>
      </c>
      <c r="EB5" s="85">
        <v>17494724.2249323</v>
      </c>
      <c r="EC5" s="87">
        <v>175530.12291834</v>
      </c>
      <c r="ED5" s="85">
        <v>1404.57237056157</v>
      </c>
      <c r="EE5" s="85">
        <v>0</v>
      </c>
      <c r="EF5" s="85">
        <v>33230.1683012988</v>
      </c>
      <c r="EG5" s="85">
        <v>0</v>
      </c>
      <c r="EH5" s="85">
        <v>0</v>
      </c>
      <c r="EI5" s="85">
        <v>0</v>
      </c>
      <c r="EJ5" s="85">
        <v>0</v>
      </c>
      <c r="EK5" s="85">
        <v>0</v>
      </c>
      <c r="EL5" s="85">
        <v>0</v>
      </c>
      <c r="EM5" s="85">
        <v>0</v>
      </c>
      <c r="EN5" s="85">
        <v>0</v>
      </c>
      <c r="EO5" s="152">
        <v>210164.863590201</v>
      </c>
      <c r="EP5" s="85">
        <v>745122.457239464</v>
      </c>
      <c r="EQ5" s="85">
        <v>862352.069976002</v>
      </c>
      <c r="ER5" s="85">
        <v>983085.32751358</v>
      </c>
      <c r="ES5" s="85">
        <v>925960.66678775</v>
      </c>
      <c r="ET5" s="85">
        <v>984730.672244452</v>
      </c>
      <c r="EU5" s="85">
        <v>856628.451715991</v>
      </c>
      <c r="EV5" s="85">
        <v>828706.616758003</v>
      </c>
      <c r="EW5" s="85">
        <v>612931.793565798</v>
      </c>
      <c r="EX5" s="85">
        <v>794347.021794992</v>
      </c>
      <c r="EY5" s="85">
        <v>882654.536582958</v>
      </c>
      <c r="EZ5" s="85">
        <v>670913.72910386</v>
      </c>
      <c r="FA5" s="85">
        <v>792384.807568936</v>
      </c>
      <c r="FB5" s="85">
        <v>9939818.15085178</v>
      </c>
      <c r="FC5" s="87">
        <v>62155.1973853209</v>
      </c>
      <c r="FD5" s="85">
        <v>0</v>
      </c>
      <c r="FE5" s="85">
        <v>0</v>
      </c>
      <c r="FF5" s="85">
        <v>0</v>
      </c>
      <c r="FG5" s="85">
        <v>0</v>
      </c>
      <c r="FH5" s="85">
        <v>0</v>
      </c>
      <c r="FI5" s="85">
        <v>0</v>
      </c>
      <c r="FJ5" s="85">
        <v>0</v>
      </c>
      <c r="FK5" s="85">
        <v>0</v>
      </c>
      <c r="FL5" s="85">
        <v>0</v>
      </c>
      <c r="FM5" s="85">
        <v>0</v>
      </c>
      <c r="FN5" s="85">
        <v>0</v>
      </c>
      <c r="FO5" s="86">
        <v>0</v>
      </c>
      <c r="FP5" s="87">
        <v>8091487.04127849</v>
      </c>
      <c r="FQ5" s="85">
        <v>7654030.2833027</v>
      </c>
      <c r="FR5" s="85">
        <v>8763244.78485386</v>
      </c>
      <c r="FS5" s="85">
        <v>7273863.86437233</v>
      </c>
      <c r="FT5" s="85">
        <v>3043900.758365</v>
      </c>
      <c r="FU5" s="85">
        <v>3549011.778</v>
      </c>
      <c r="FV5" s="85">
        <v>3068023.6</v>
      </c>
      <c r="FW5" s="85">
        <v>4402869.1</v>
      </c>
      <c r="FX5" s="85">
        <v>4944426.56</v>
      </c>
      <c r="FY5" s="85">
        <v>11563730.96</v>
      </c>
      <c r="FZ5" s="85">
        <v>13002474.28</v>
      </c>
      <c r="GA5" s="85">
        <v>4343256.68</v>
      </c>
      <c r="GB5" s="152">
        <v>79700319.6901724</v>
      </c>
      <c r="GD5" s="153"/>
    </row>
    <row r="6" spans="1:186">
      <c r="A6" s="137" t="s">
        <v>35</v>
      </c>
      <c r="B6" s="151">
        <v>427273170.39118</v>
      </c>
      <c r="C6" s="138">
        <f t="shared" si="11"/>
        <v>24746493.621649</v>
      </c>
      <c r="D6" s="138">
        <f t="shared" si="0"/>
        <v>19658082.4966639</v>
      </c>
      <c r="E6" s="138">
        <f t="shared" si="1"/>
        <v>20647406.7443978</v>
      </c>
      <c r="F6" s="138">
        <f t="shared" si="2"/>
        <v>28753183.621666</v>
      </c>
      <c r="G6" s="138">
        <f t="shared" si="3"/>
        <v>19516158.6322106</v>
      </c>
      <c r="H6" s="138">
        <f t="shared" si="4"/>
        <v>15139404.6908704</v>
      </c>
      <c r="I6" s="138">
        <f t="shared" si="5"/>
        <v>49131251.7044674</v>
      </c>
      <c r="J6" s="138">
        <f t="shared" si="6"/>
        <v>35084302.6491386</v>
      </c>
      <c r="K6" s="138">
        <f t="shared" si="7"/>
        <v>24960863.5669905</v>
      </c>
      <c r="L6" s="138">
        <f t="shared" si="8"/>
        <v>19225424.8840989</v>
      </c>
      <c r="M6" s="138">
        <f t="shared" si="9"/>
        <v>37704660.7926816</v>
      </c>
      <c r="N6" s="138">
        <f t="shared" si="10"/>
        <v>21535653.839821</v>
      </c>
      <c r="O6" s="86">
        <f t="shared" si="12"/>
        <v>316102887.244656</v>
      </c>
      <c r="P6" s="138">
        <v>1985682.59192024</v>
      </c>
      <c r="Q6" s="138">
        <v>1724236.0054546</v>
      </c>
      <c r="R6" s="138">
        <v>1410032.34890866</v>
      </c>
      <c r="S6" s="138">
        <v>1911096.05808459</v>
      </c>
      <c r="T6" s="138">
        <v>1689613.58721658</v>
      </c>
      <c r="U6" s="138">
        <v>1692095.74280844</v>
      </c>
      <c r="V6" s="138">
        <v>5094813.68835309</v>
      </c>
      <c r="W6" s="138">
        <v>4784376.38670192</v>
      </c>
      <c r="X6" s="138">
        <v>4250504.91557215</v>
      </c>
      <c r="Y6" s="138">
        <v>3793909.26017286</v>
      </c>
      <c r="Z6" s="138">
        <v>4235692.71052743</v>
      </c>
      <c r="AA6" s="138">
        <v>3543339.41625208</v>
      </c>
      <c r="AB6" s="86">
        <v>36115392.7119726</v>
      </c>
      <c r="AC6" s="138">
        <v>1386767.66455392</v>
      </c>
      <c r="AD6" s="138">
        <v>1016431.10732479</v>
      </c>
      <c r="AE6" s="138">
        <v>1026727.2719652</v>
      </c>
      <c r="AF6" s="138">
        <v>1448805.88208956</v>
      </c>
      <c r="AG6" s="138">
        <v>1354161.81724769</v>
      </c>
      <c r="AH6" s="138">
        <v>1380400.05868208</v>
      </c>
      <c r="AI6" s="138">
        <v>2783686.97406872</v>
      </c>
      <c r="AJ6" s="138">
        <v>3213916.7031573</v>
      </c>
      <c r="AK6" s="138">
        <v>2494934.42311413</v>
      </c>
      <c r="AL6" s="138">
        <v>1608414.29494181</v>
      </c>
      <c r="AM6" s="138">
        <v>2442293.32259782</v>
      </c>
      <c r="AN6" s="138">
        <v>2419158.86343797</v>
      </c>
      <c r="AO6" s="86">
        <v>22575698.383181</v>
      </c>
      <c r="AP6" s="138">
        <v>1266695.13491056</v>
      </c>
      <c r="AQ6" s="138">
        <v>860578.974261478</v>
      </c>
      <c r="AR6" s="138">
        <v>1153325.80703584</v>
      </c>
      <c r="AS6" s="138">
        <v>1588624.89622103</v>
      </c>
      <c r="AT6" s="138">
        <v>1150949.39849109</v>
      </c>
      <c r="AU6" s="138">
        <v>1010870.94168047</v>
      </c>
      <c r="AV6" s="138">
        <v>3388962.54644551</v>
      </c>
      <c r="AW6" s="138">
        <v>2074655.37168026</v>
      </c>
      <c r="AX6" s="138">
        <v>1698358.99465307</v>
      </c>
      <c r="AY6" s="138">
        <v>678057.510768399</v>
      </c>
      <c r="AZ6" s="138">
        <v>2464359.60253072</v>
      </c>
      <c r="BA6" s="138">
        <v>1635488.9676728</v>
      </c>
      <c r="BB6" s="86">
        <v>18970928.1463512</v>
      </c>
      <c r="BC6" s="138">
        <v>2409569.9971463</v>
      </c>
      <c r="BD6" s="138">
        <v>1683938.96460816</v>
      </c>
      <c r="BE6" s="138">
        <v>1783110.25876558</v>
      </c>
      <c r="BF6" s="138">
        <v>2826365.32023303</v>
      </c>
      <c r="BG6" s="138">
        <v>2000473.68248669</v>
      </c>
      <c r="BH6" s="138">
        <v>1499514.92775438</v>
      </c>
      <c r="BI6" s="138">
        <v>3897872.79237974</v>
      </c>
      <c r="BJ6" s="138">
        <v>3099805.52747982</v>
      </c>
      <c r="BK6" s="138">
        <v>1925271.03276109</v>
      </c>
      <c r="BL6" s="138">
        <v>1298089.91596259</v>
      </c>
      <c r="BM6" s="138">
        <v>3477429.08320536</v>
      </c>
      <c r="BN6" s="138">
        <v>2181025.31471879</v>
      </c>
      <c r="BO6" s="86">
        <v>28082466.8175015</v>
      </c>
      <c r="BP6" s="138">
        <v>7242065.73162092</v>
      </c>
      <c r="BQ6" s="138">
        <v>6345978.22052341</v>
      </c>
      <c r="BR6" s="138">
        <v>4382546.69558423</v>
      </c>
      <c r="BS6" s="138">
        <v>5770760.76356647</v>
      </c>
      <c r="BT6" s="138">
        <v>5235394.63230495</v>
      </c>
      <c r="BU6" s="138">
        <v>3047022.72964034</v>
      </c>
      <c r="BV6" s="138">
        <v>11968190.1259911</v>
      </c>
      <c r="BW6" s="138">
        <v>7799266.18304637</v>
      </c>
      <c r="BX6" s="138">
        <v>5231466.14959324</v>
      </c>
      <c r="BY6" s="138">
        <v>3300891.87279412</v>
      </c>
      <c r="BZ6" s="138">
        <v>7435831.59103464</v>
      </c>
      <c r="CA6" s="138">
        <v>4791306.26287105</v>
      </c>
      <c r="CB6" s="86">
        <v>72550720.9585709</v>
      </c>
      <c r="CC6" s="138">
        <v>447247.634176969</v>
      </c>
      <c r="CD6" s="138">
        <v>352018.238181606</v>
      </c>
      <c r="CE6" s="138">
        <v>328068.041559725</v>
      </c>
      <c r="CF6" s="138">
        <v>706318.37093757</v>
      </c>
      <c r="CG6" s="138">
        <v>491360.671993092</v>
      </c>
      <c r="CH6" s="138">
        <v>856974.480522042</v>
      </c>
      <c r="CI6" s="138">
        <v>862868.916945392</v>
      </c>
      <c r="CJ6" s="138">
        <v>978945.802116849</v>
      </c>
      <c r="CK6" s="138">
        <v>683442.351904292</v>
      </c>
      <c r="CL6" s="138">
        <v>287686.843172237</v>
      </c>
      <c r="CM6" s="138">
        <v>657306.267800238</v>
      </c>
      <c r="CN6" s="138">
        <v>499829.720963651</v>
      </c>
      <c r="CO6" s="86">
        <v>7152067.34027366</v>
      </c>
      <c r="CP6" s="138">
        <v>2509123.87069241</v>
      </c>
      <c r="CQ6" s="138">
        <v>2097908.49696241</v>
      </c>
      <c r="CR6" s="138">
        <v>2391966.03761341</v>
      </c>
      <c r="CS6" s="138">
        <v>3029090.87151721</v>
      </c>
      <c r="CT6" s="138">
        <v>2228449.16760537</v>
      </c>
      <c r="CU6" s="138">
        <v>1674994.75210492</v>
      </c>
      <c r="CV6" s="138">
        <v>5440367.90350737</v>
      </c>
      <c r="CW6" s="138">
        <v>3841300.70919923</v>
      </c>
      <c r="CX6" s="138">
        <v>2324560.54560607</v>
      </c>
      <c r="CY6" s="138">
        <v>1564704.61448001</v>
      </c>
      <c r="CZ6" s="138">
        <v>3956320.56616645</v>
      </c>
      <c r="DA6" s="138">
        <v>2495043.80122486</v>
      </c>
      <c r="DB6" s="86">
        <v>33553831.3366797</v>
      </c>
      <c r="DC6" s="138">
        <v>268398.820742681</v>
      </c>
      <c r="DD6" s="138">
        <v>164023.692758634</v>
      </c>
      <c r="DE6" s="138">
        <v>178251.61232702</v>
      </c>
      <c r="DF6" s="138">
        <v>259288.332266262</v>
      </c>
      <c r="DG6" s="138">
        <v>236018.998695242</v>
      </c>
      <c r="DH6" s="138">
        <v>192132.548546531</v>
      </c>
      <c r="DI6" s="138">
        <v>567714.551201419</v>
      </c>
      <c r="DJ6" s="138">
        <v>491324.501779304</v>
      </c>
      <c r="DK6" s="138">
        <v>331752.525802854</v>
      </c>
      <c r="DL6" s="138">
        <v>299863.163447541</v>
      </c>
      <c r="DM6" s="138">
        <v>461697.723037297</v>
      </c>
      <c r="DN6" s="138">
        <v>340238.93364121</v>
      </c>
      <c r="DO6" s="86">
        <v>3790705.40424599</v>
      </c>
      <c r="DP6" s="138">
        <v>2587227.55845015</v>
      </c>
      <c r="DQ6" s="138">
        <v>1646492.39187307</v>
      </c>
      <c r="DR6" s="138">
        <v>1857355.81065828</v>
      </c>
      <c r="DS6" s="138">
        <v>2669326.40738621</v>
      </c>
      <c r="DT6" s="138">
        <v>1901254.68939614</v>
      </c>
      <c r="DU6" s="138">
        <v>1695309.05824194</v>
      </c>
      <c r="DV6" s="138">
        <v>3717244.56083774</v>
      </c>
      <c r="DW6" s="138">
        <v>3080452.41503672</v>
      </c>
      <c r="DX6" s="138">
        <v>1966631.29689362</v>
      </c>
      <c r="DY6" s="138">
        <v>1467302.74765086</v>
      </c>
      <c r="DZ6" s="138">
        <v>3679533.72516308</v>
      </c>
      <c r="EA6" s="138">
        <v>1288037.05290953</v>
      </c>
      <c r="EB6" s="85">
        <v>27556167.7144974</v>
      </c>
      <c r="EC6" s="87">
        <v>416172.205916914</v>
      </c>
      <c r="ED6" s="85">
        <v>7538.55497473049</v>
      </c>
      <c r="EE6" s="85">
        <v>0</v>
      </c>
      <c r="EF6" s="85">
        <v>14244.2449920492</v>
      </c>
      <c r="EG6" s="85">
        <v>0</v>
      </c>
      <c r="EH6" s="85">
        <v>0</v>
      </c>
      <c r="EI6" s="85">
        <v>0</v>
      </c>
      <c r="EJ6" s="85">
        <v>0</v>
      </c>
      <c r="EK6" s="85">
        <v>0</v>
      </c>
      <c r="EL6" s="85">
        <v>0</v>
      </c>
      <c r="EM6" s="85">
        <v>0</v>
      </c>
      <c r="EN6" s="85">
        <v>0</v>
      </c>
      <c r="EO6" s="152">
        <v>437955.005883694</v>
      </c>
      <c r="EP6" s="85">
        <v>395784.543575961</v>
      </c>
      <c r="EQ6" s="85">
        <v>586417.720162699</v>
      </c>
      <c r="ER6" s="85">
        <v>704165.678778228</v>
      </c>
      <c r="ES6" s="85">
        <v>848520.359440802</v>
      </c>
      <c r="ET6" s="85">
        <v>552590.376016601</v>
      </c>
      <c r="EU6" s="85">
        <v>481044.046889201</v>
      </c>
      <c r="EV6" s="85">
        <v>1217610.04473729</v>
      </c>
      <c r="EW6" s="85">
        <v>1288916.54894081</v>
      </c>
      <c r="EX6" s="85">
        <v>1025618.83108997</v>
      </c>
      <c r="EY6" s="85">
        <v>872294.880708485</v>
      </c>
      <c r="EZ6" s="85">
        <v>1013126.06061859</v>
      </c>
      <c r="FA6" s="85">
        <v>740625.786129042</v>
      </c>
      <c r="FB6" s="85">
        <v>9726714.87708768</v>
      </c>
      <c r="FC6" s="87">
        <v>0</v>
      </c>
      <c r="FD6" s="85">
        <v>0</v>
      </c>
      <c r="FE6" s="85">
        <v>0</v>
      </c>
      <c r="FF6" s="85">
        <v>0</v>
      </c>
      <c r="FG6" s="85">
        <v>0</v>
      </c>
      <c r="FH6" s="85">
        <v>0</v>
      </c>
      <c r="FI6" s="85">
        <v>0</v>
      </c>
      <c r="FJ6" s="85">
        <v>0</v>
      </c>
      <c r="FK6" s="85">
        <v>0</v>
      </c>
      <c r="FL6" s="85">
        <v>0</v>
      </c>
      <c r="FM6" s="85">
        <v>0</v>
      </c>
      <c r="FN6" s="85">
        <v>0</v>
      </c>
      <c r="FO6" s="86">
        <v>0</v>
      </c>
      <c r="FP6" s="87">
        <v>3831757.867942</v>
      </c>
      <c r="FQ6" s="85">
        <v>3172520.12957827</v>
      </c>
      <c r="FR6" s="85">
        <v>5431857.18120161</v>
      </c>
      <c r="FS6" s="85">
        <v>7680742.11493119</v>
      </c>
      <c r="FT6" s="85">
        <v>2675891.61075713</v>
      </c>
      <c r="FU6" s="85">
        <v>1609045.404</v>
      </c>
      <c r="FV6" s="85">
        <v>10191919.6</v>
      </c>
      <c r="FW6" s="85">
        <v>4431342.5</v>
      </c>
      <c r="FX6" s="85">
        <v>3028322.5</v>
      </c>
      <c r="FY6" s="85">
        <v>4054209.78</v>
      </c>
      <c r="FZ6" s="85">
        <v>7881070.14</v>
      </c>
      <c r="GA6" s="85">
        <v>1601559.72</v>
      </c>
      <c r="GB6" s="152">
        <v>55590238.5484102</v>
      </c>
      <c r="GD6" s="153"/>
    </row>
    <row r="7" spans="1:186">
      <c r="A7" s="137" t="s">
        <v>37</v>
      </c>
      <c r="B7" s="151">
        <v>656282377.809504</v>
      </c>
      <c r="C7" s="138">
        <f t="shared" si="11"/>
        <v>64948221.7413167</v>
      </c>
      <c r="D7" s="138">
        <f t="shared" si="0"/>
        <v>87105572.3277162</v>
      </c>
      <c r="E7" s="138">
        <f t="shared" si="1"/>
        <v>48100279.5692872</v>
      </c>
      <c r="F7" s="138">
        <f t="shared" si="2"/>
        <v>39363529.5313072</v>
      </c>
      <c r="G7" s="138">
        <f t="shared" si="3"/>
        <v>32947932.0613702</v>
      </c>
      <c r="H7" s="138">
        <f t="shared" si="4"/>
        <v>27277157.4635406</v>
      </c>
      <c r="I7" s="138">
        <f t="shared" si="5"/>
        <v>32112689.9115168</v>
      </c>
      <c r="J7" s="138">
        <f t="shared" si="6"/>
        <v>49161442.7752246</v>
      </c>
      <c r="K7" s="138">
        <f t="shared" si="7"/>
        <v>38802042.9883966</v>
      </c>
      <c r="L7" s="138">
        <f t="shared" si="8"/>
        <v>28593514.250373</v>
      </c>
      <c r="M7" s="138">
        <f t="shared" si="9"/>
        <v>38780175.9629484</v>
      </c>
      <c r="N7" s="138">
        <f t="shared" si="10"/>
        <v>38621318.5482769</v>
      </c>
      <c r="O7" s="86">
        <f t="shared" si="12"/>
        <v>525813877.131274</v>
      </c>
      <c r="P7" s="138">
        <v>14276085.3140501</v>
      </c>
      <c r="Q7" s="138">
        <v>13114330.4745858</v>
      </c>
      <c r="R7" s="138">
        <v>7067400.42670056</v>
      </c>
      <c r="S7" s="138">
        <v>6102698.80770046</v>
      </c>
      <c r="T7" s="138">
        <v>4814292.84702879</v>
      </c>
      <c r="U7" s="138">
        <v>5356003.33516027</v>
      </c>
      <c r="V7" s="138">
        <v>5857032.77526224</v>
      </c>
      <c r="W7" s="138">
        <v>7866523.7319186</v>
      </c>
      <c r="X7" s="138">
        <v>8428545.65646824</v>
      </c>
      <c r="Y7" s="138">
        <v>7241084.09663658</v>
      </c>
      <c r="Z7" s="138">
        <v>8440618.45209196</v>
      </c>
      <c r="AA7" s="138">
        <v>7595716.93587683</v>
      </c>
      <c r="AB7" s="86">
        <v>96160332.8534805</v>
      </c>
      <c r="AC7" s="138">
        <v>3828231.05944543</v>
      </c>
      <c r="AD7" s="138">
        <v>4864836.65880079</v>
      </c>
      <c r="AE7" s="138">
        <v>3455072.86974913</v>
      </c>
      <c r="AF7" s="138">
        <v>2682285.03811938</v>
      </c>
      <c r="AG7" s="138">
        <v>2813368.81179583</v>
      </c>
      <c r="AH7" s="138">
        <v>2971424.88531728</v>
      </c>
      <c r="AI7" s="138">
        <v>3013519.34901878</v>
      </c>
      <c r="AJ7" s="138">
        <v>4805312.93347544</v>
      </c>
      <c r="AK7" s="138">
        <v>4386601.8343113</v>
      </c>
      <c r="AL7" s="138">
        <v>3995106.54221683</v>
      </c>
      <c r="AM7" s="138">
        <v>2783052.62067086</v>
      </c>
      <c r="AN7" s="138">
        <v>4007518.38265149</v>
      </c>
      <c r="AO7" s="86">
        <v>43606330.9855725</v>
      </c>
      <c r="AP7" s="138">
        <v>2548032.41204485</v>
      </c>
      <c r="AQ7" s="138">
        <v>4327657.15553863</v>
      </c>
      <c r="AR7" s="138">
        <v>3483355.4752449</v>
      </c>
      <c r="AS7" s="138">
        <v>2365746.95407075</v>
      </c>
      <c r="AT7" s="138">
        <v>1907188.08230429</v>
      </c>
      <c r="AU7" s="138">
        <v>1539491.65713663</v>
      </c>
      <c r="AV7" s="138">
        <v>2467619.75031922</v>
      </c>
      <c r="AW7" s="138">
        <v>3470315.52037416</v>
      </c>
      <c r="AX7" s="138">
        <v>2465843.53450046</v>
      </c>
      <c r="AY7" s="138">
        <v>1575245.87040344</v>
      </c>
      <c r="AZ7" s="138">
        <v>1834098.32329424</v>
      </c>
      <c r="BA7" s="138">
        <v>3343996.24071806</v>
      </c>
      <c r="BB7" s="86">
        <v>31328590.9759496</v>
      </c>
      <c r="BC7" s="138">
        <v>3713695.90667157</v>
      </c>
      <c r="BD7" s="138">
        <v>5023557.93370507</v>
      </c>
      <c r="BE7" s="138">
        <v>2893007.66249956</v>
      </c>
      <c r="BF7" s="138">
        <v>2138919.72050032</v>
      </c>
      <c r="BG7" s="138">
        <v>1962741.27220818</v>
      </c>
      <c r="BH7" s="138">
        <v>1476660.41047424</v>
      </c>
      <c r="BI7" s="138">
        <v>1505626.56780318</v>
      </c>
      <c r="BJ7" s="138">
        <v>2935216.650342</v>
      </c>
      <c r="BK7" s="138">
        <v>1959131.91636408</v>
      </c>
      <c r="BL7" s="138">
        <v>1287414.8492585</v>
      </c>
      <c r="BM7" s="138">
        <v>1741972.10633656</v>
      </c>
      <c r="BN7" s="138">
        <v>3440761.82111972</v>
      </c>
      <c r="BO7" s="86">
        <v>30078706.817283</v>
      </c>
      <c r="BP7" s="138">
        <v>7308781.57748936</v>
      </c>
      <c r="BQ7" s="138">
        <v>11864279.8606983</v>
      </c>
      <c r="BR7" s="138">
        <v>6027860.27067808</v>
      </c>
      <c r="BS7" s="138">
        <v>4777540.29755626</v>
      </c>
      <c r="BT7" s="138">
        <v>4093646.66371048</v>
      </c>
      <c r="BU7" s="138">
        <v>3288425.01870954</v>
      </c>
      <c r="BV7" s="138">
        <v>4887356.03181193</v>
      </c>
      <c r="BW7" s="138">
        <v>6375965.30759121</v>
      </c>
      <c r="BX7" s="138">
        <v>5308595.10051598</v>
      </c>
      <c r="BY7" s="138">
        <v>3652527.45765677</v>
      </c>
      <c r="BZ7" s="138">
        <v>4923671.48452871</v>
      </c>
      <c r="CA7" s="138">
        <v>4288502.56037215</v>
      </c>
      <c r="CB7" s="86">
        <v>66797151.6313187</v>
      </c>
      <c r="CC7" s="138">
        <v>1529680.76316455</v>
      </c>
      <c r="CD7" s="138">
        <v>469085.701117571</v>
      </c>
      <c r="CE7" s="138">
        <v>724430.235958665</v>
      </c>
      <c r="CF7" s="138">
        <v>1022528.79259228</v>
      </c>
      <c r="CG7" s="138">
        <v>896550.131168786</v>
      </c>
      <c r="CH7" s="138">
        <v>1084058.61246247</v>
      </c>
      <c r="CI7" s="138">
        <v>1119848.20370357</v>
      </c>
      <c r="CJ7" s="138">
        <v>1109780.68554401</v>
      </c>
      <c r="CK7" s="138">
        <v>897582.004847071</v>
      </c>
      <c r="CL7" s="138">
        <v>525757.810077025</v>
      </c>
      <c r="CM7" s="138">
        <v>645223.451286973</v>
      </c>
      <c r="CN7" s="138">
        <v>892672.759369449</v>
      </c>
      <c r="CO7" s="86">
        <v>10917199.1512924</v>
      </c>
      <c r="CP7" s="138">
        <v>2557860.58044162</v>
      </c>
      <c r="CQ7" s="138">
        <v>5637024.20376777</v>
      </c>
      <c r="CR7" s="138">
        <v>3851829.52548631</v>
      </c>
      <c r="CS7" s="138">
        <v>2884871.96840929</v>
      </c>
      <c r="CT7" s="138">
        <v>2766639.11615692</v>
      </c>
      <c r="CU7" s="138">
        <v>2167755.19763937</v>
      </c>
      <c r="CV7" s="138">
        <v>2406009.49506447</v>
      </c>
      <c r="CW7" s="138">
        <v>4031456.71032604</v>
      </c>
      <c r="CX7" s="138">
        <v>2480949.16869302</v>
      </c>
      <c r="CY7" s="138">
        <v>1380720.72707359</v>
      </c>
      <c r="CZ7" s="138">
        <v>1656227.51576251</v>
      </c>
      <c r="DA7" s="138">
        <v>3440177.18835839</v>
      </c>
      <c r="DB7" s="86">
        <v>35261521.3971793</v>
      </c>
      <c r="DC7" s="138">
        <v>552861.958642676</v>
      </c>
      <c r="DD7" s="138">
        <v>681580.946882654</v>
      </c>
      <c r="DE7" s="138">
        <v>462298.697033338</v>
      </c>
      <c r="DF7" s="138">
        <v>395219.2208204</v>
      </c>
      <c r="DG7" s="138">
        <v>431270.436567588</v>
      </c>
      <c r="DH7" s="138">
        <v>321986.967350288</v>
      </c>
      <c r="DI7" s="138">
        <v>244229.739744814</v>
      </c>
      <c r="DJ7" s="138">
        <v>332019.359371839</v>
      </c>
      <c r="DK7" s="138">
        <v>265155.543448663</v>
      </c>
      <c r="DL7" s="138">
        <v>154275.19208901</v>
      </c>
      <c r="DM7" s="138">
        <v>193166.872484042</v>
      </c>
      <c r="DN7" s="138">
        <v>285122.671907239</v>
      </c>
      <c r="DO7" s="86">
        <v>4319187.60634255</v>
      </c>
      <c r="DP7" s="138">
        <v>5357041.85479294</v>
      </c>
      <c r="DQ7" s="138">
        <v>5982175.67463432</v>
      </c>
      <c r="DR7" s="138">
        <v>4644090.14903174</v>
      </c>
      <c r="DS7" s="138">
        <v>4447452.73083986</v>
      </c>
      <c r="DT7" s="138">
        <v>4207167.04028612</v>
      </c>
      <c r="DU7" s="138">
        <v>3419802.87404</v>
      </c>
      <c r="DV7" s="138">
        <v>2945329.37203005</v>
      </c>
      <c r="DW7" s="138">
        <v>4734561.76957536</v>
      </c>
      <c r="DX7" s="138">
        <v>3696229.77841344</v>
      </c>
      <c r="DY7" s="138">
        <v>2835935.16199896</v>
      </c>
      <c r="DZ7" s="138">
        <v>3256773.59301108</v>
      </c>
      <c r="EA7" s="138">
        <v>4562102.81870824</v>
      </c>
      <c r="EB7" s="85">
        <v>50088662.8173621</v>
      </c>
      <c r="EC7" s="87">
        <v>671749.441156056</v>
      </c>
      <c r="ED7" s="85">
        <v>141882.307008221</v>
      </c>
      <c r="EE7" s="85">
        <v>0</v>
      </c>
      <c r="EF7" s="85">
        <v>3956.41455267286</v>
      </c>
      <c r="EG7" s="85">
        <v>0</v>
      </c>
      <c r="EH7" s="85">
        <v>0</v>
      </c>
      <c r="EI7" s="85">
        <v>0</v>
      </c>
      <c r="EJ7" s="85">
        <v>0</v>
      </c>
      <c r="EK7" s="85">
        <v>0</v>
      </c>
      <c r="EL7" s="85">
        <v>0</v>
      </c>
      <c r="EM7" s="85">
        <v>0</v>
      </c>
      <c r="EN7" s="85">
        <v>0</v>
      </c>
      <c r="EO7" s="152">
        <v>817588.162716949</v>
      </c>
      <c r="EP7" s="85">
        <v>910870.037829675</v>
      </c>
      <c r="EQ7" s="85">
        <v>2223191.2598604</v>
      </c>
      <c r="ER7" s="85">
        <v>2024723.00776236</v>
      </c>
      <c r="ES7" s="85">
        <v>1991567.9964155</v>
      </c>
      <c r="ET7" s="85">
        <v>1690929.87704897</v>
      </c>
      <c r="EU7" s="85">
        <v>984261.229250529</v>
      </c>
      <c r="EV7" s="85">
        <v>956764.886758512</v>
      </c>
      <c r="EW7" s="85">
        <v>1454230.606706</v>
      </c>
      <c r="EX7" s="85">
        <v>1463258.97083435</v>
      </c>
      <c r="EY7" s="85">
        <v>905261.802962292</v>
      </c>
      <c r="EZ7" s="85">
        <v>715360.363481447</v>
      </c>
      <c r="FA7" s="85">
        <v>994121.189195314</v>
      </c>
      <c r="FB7" s="85">
        <v>16314541.2281054</v>
      </c>
      <c r="FC7" s="87">
        <v>55337.8478086212</v>
      </c>
      <c r="FD7" s="85">
        <v>12200.9413704097</v>
      </c>
      <c r="FE7" s="85">
        <v>0</v>
      </c>
      <c r="FF7" s="85">
        <v>0</v>
      </c>
      <c r="FG7" s="85">
        <v>0</v>
      </c>
      <c r="FH7" s="85">
        <v>0</v>
      </c>
      <c r="FI7" s="85">
        <v>0</v>
      </c>
      <c r="FJ7" s="85">
        <v>0</v>
      </c>
      <c r="FK7" s="85">
        <v>0</v>
      </c>
      <c r="FL7" s="85">
        <v>0</v>
      </c>
      <c r="FM7" s="85">
        <v>0</v>
      </c>
      <c r="FN7" s="85">
        <v>0</v>
      </c>
      <c r="FO7" s="86">
        <v>0</v>
      </c>
      <c r="FP7" s="87">
        <v>21637992.9877793</v>
      </c>
      <c r="FQ7" s="85">
        <v>32763769.2097462</v>
      </c>
      <c r="FR7" s="85">
        <v>13466211.2491425</v>
      </c>
      <c r="FS7" s="85">
        <v>10550741.58973</v>
      </c>
      <c r="FT7" s="85">
        <v>7364137.78309423</v>
      </c>
      <c r="FU7" s="85">
        <v>4667287.276</v>
      </c>
      <c r="FV7" s="85">
        <v>6709353.74</v>
      </c>
      <c r="FW7" s="85">
        <v>12046059.5</v>
      </c>
      <c r="FX7" s="85">
        <v>7450149.48</v>
      </c>
      <c r="FY7" s="85">
        <v>5040184.74</v>
      </c>
      <c r="FZ7" s="85">
        <v>12590011.18</v>
      </c>
      <c r="GA7" s="85">
        <v>5770625.98</v>
      </c>
      <c r="GB7" s="152">
        <v>140056524.715492</v>
      </c>
      <c r="GD7" s="153"/>
    </row>
    <row r="8" spans="1:186">
      <c r="A8" s="137" t="s">
        <v>40</v>
      </c>
      <c r="B8" s="151">
        <v>389475983.862822</v>
      </c>
      <c r="C8" s="138">
        <f t="shared" si="11"/>
        <v>45653252.8901128</v>
      </c>
      <c r="D8" s="138">
        <f t="shared" si="0"/>
        <v>30893893.8786371</v>
      </c>
      <c r="E8" s="138">
        <f t="shared" si="1"/>
        <v>31274702.8719386</v>
      </c>
      <c r="F8" s="138">
        <f t="shared" si="2"/>
        <v>44049803.0929387</v>
      </c>
      <c r="G8" s="138">
        <f t="shared" si="3"/>
        <v>27938162.6254472</v>
      </c>
      <c r="H8" s="138">
        <f t="shared" si="4"/>
        <v>42082149.0432742</v>
      </c>
      <c r="I8" s="138">
        <f t="shared" si="5"/>
        <v>33768077.0193933</v>
      </c>
      <c r="J8" s="138">
        <f t="shared" si="6"/>
        <v>27561502.1046817</v>
      </c>
      <c r="K8" s="138">
        <f t="shared" si="7"/>
        <v>44537066.196152</v>
      </c>
      <c r="L8" s="138">
        <f t="shared" si="8"/>
        <v>53812663.6349574</v>
      </c>
      <c r="M8" s="138">
        <f t="shared" si="9"/>
        <v>21612424.1992449</v>
      </c>
      <c r="N8" s="138">
        <f t="shared" si="10"/>
        <v>36677753.9431425</v>
      </c>
      <c r="O8" s="86">
        <f t="shared" si="12"/>
        <v>439861451.49992</v>
      </c>
      <c r="P8" s="138">
        <v>2313414.13129074</v>
      </c>
      <c r="Q8" s="138">
        <v>1914596.02058255</v>
      </c>
      <c r="R8" s="138">
        <v>1792466.20533429</v>
      </c>
      <c r="S8" s="138">
        <v>2230771.25691369</v>
      </c>
      <c r="T8" s="138">
        <v>1780119.3384387</v>
      </c>
      <c r="U8" s="138">
        <v>2073086.66269226</v>
      </c>
      <c r="V8" s="138">
        <v>2274401.10084364</v>
      </c>
      <c r="W8" s="138">
        <v>2106642.46430917</v>
      </c>
      <c r="X8" s="138">
        <v>3125197.38260755</v>
      </c>
      <c r="Y8" s="138">
        <v>3759059.36722858</v>
      </c>
      <c r="Z8" s="138">
        <v>2133294.90400791</v>
      </c>
      <c r="AA8" s="138">
        <v>1394450.00334642</v>
      </c>
      <c r="AB8" s="86">
        <v>26897498.8375955</v>
      </c>
      <c r="AC8" s="138">
        <v>1453052.08607213</v>
      </c>
      <c r="AD8" s="138">
        <v>989991.122708734</v>
      </c>
      <c r="AE8" s="138">
        <v>1085423.9721948</v>
      </c>
      <c r="AF8" s="138">
        <v>1445484.71865019</v>
      </c>
      <c r="AG8" s="138">
        <v>2310355.58979332</v>
      </c>
      <c r="AH8" s="138">
        <v>1750364.16867228</v>
      </c>
      <c r="AI8" s="138">
        <v>2168746.83648042</v>
      </c>
      <c r="AJ8" s="138">
        <v>2030718.69915966</v>
      </c>
      <c r="AK8" s="138">
        <v>2702038.5297091</v>
      </c>
      <c r="AL8" s="138">
        <v>2482343.53131717</v>
      </c>
      <c r="AM8" s="138">
        <v>1423661.93726578</v>
      </c>
      <c r="AN8" s="138">
        <v>1534857.94900753</v>
      </c>
      <c r="AO8" s="86">
        <v>21377039.1410311</v>
      </c>
      <c r="AP8" s="138">
        <v>4450789.73477399</v>
      </c>
      <c r="AQ8" s="138">
        <v>4171519.86815795</v>
      </c>
      <c r="AR8" s="138">
        <v>3571372.17994048</v>
      </c>
      <c r="AS8" s="138">
        <v>4793274.64967985</v>
      </c>
      <c r="AT8" s="138">
        <v>3670792.27116197</v>
      </c>
      <c r="AU8" s="138">
        <v>5010346.14740209</v>
      </c>
      <c r="AV8" s="138">
        <v>4668085.95749263</v>
      </c>
      <c r="AW8" s="138">
        <v>3840638.39393354</v>
      </c>
      <c r="AX8" s="138">
        <v>6692051.44937855</v>
      </c>
      <c r="AY8" s="138">
        <v>7287689.49358384</v>
      </c>
      <c r="AZ8" s="138">
        <v>3243683.92769287</v>
      </c>
      <c r="BA8" s="138">
        <v>4543492.3354177</v>
      </c>
      <c r="BB8" s="86">
        <v>55943736.4086154</v>
      </c>
      <c r="BC8" s="138">
        <v>2642173.65521598</v>
      </c>
      <c r="BD8" s="138">
        <v>1424220.38750218</v>
      </c>
      <c r="BE8" s="138">
        <v>1367724.90949065</v>
      </c>
      <c r="BF8" s="138">
        <v>2025233.03421912</v>
      </c>
      <c r="BG8" s="138">
        <v>1276728.34395695</v>
      </c>
      <c r="BH8" s="138">
        <v>2394767.71116915</v>
      </c>
      <c r="BI8" s="138">
        <v>2027270.06402478</v>
      </c>
      <c r="BJ8" s="138">
        <v>1440784.65798361</v>
      </c>
      <c r="BK8" s="138">
        <v>2570905.66723488</v>
      </c>
      <c r="BL8" s="138">
        <v>2461378.27109353</v>
      </c>
      <c r="BM8" s="138">
        <v>1322602.22044011</v>
      </c>
      <c r="BN8" s="138">
        <v>2054129.82611226</v>
      </c>
      <c r="BO8" s="86">
        <v>23007918.7484432</v>
      </c>
      <c r="BP8" s="138">
        <v>10390898.7941492</v>
      </c>
      <c r="BQ8" s="138">
        <v>6899173.98784248</v>
      </c>
      <c r="BR8" s="138">
        <v>7691887.12295645</v>
      </c>
      <c r="BS8" s="138">
        <v>8565370.20001329</v>
      </c>
      <c r="BT8" s="138">
        <v>4792061.41823172</v>
      </c>
      <c r="BU8" s="138">
        <v>7369544.66455544</v>
      </c>
      <c r="BV8" s="138">
        <v>4596751.90560838</v>
      </c>
      <c r="BW8" s="138">
        <v>4283208.54111604</v>
      </c>
      <c r="BX8" s="138">
        <v>7315015.92605779</v>
      </c>
      <c r="BY8" s="138">
        <v>8754763.52443217</v>
      </c>
      <c r="BZ8" s="138">
        <v>3318211.67235228</v>
      </c>
      <c r="CA8" s="138">
        <v>5853703.33470163</v>
      </c>
      <c r="CB8" s="86">
        <v>79830591.0920169</v>
      </c>
      <c r="CC8" s="138">
        <v>906460.34506779</v>
      </c>
      <c r="CD8" s="138">
        <v>492981.063088946</v>
      </c>
      <c r="CE8" s="138">
        <v>514276.251949974</v>
      </c>
      <c r="CF8" s="138">
        <v>1032807.54846539</v>
      </c>
      <c r="CG8" s="138">
        <v>985608.067311067</v>
      </c>
      <c r="CH8" s="138">
        <v>998169.439908205</v>
      </c>
      <c r="CI8" s="138">
        <v>790784.800234367</v>
      </c>
      <c r="CJ8" s="138">
        <v>837898.847041583</v>
      </c>
      <c r="CK8" s="138">
        <v>779637.559418191</v>
      </c>
      <c r="CL8" s="138">
        <v>1061345.62285144</v>
      </c>
      <c r="CM8" s="138">
        <v>588568.482547565</v>
      </c>
      <c r="CN8" s="138">
        <v>608650.547923045</v>
      </c>
      <c r="CO8" s="86">
        <v>9597188.57580757</v>
      </c>
      <c r="CP8" s="138">
        <v>4112504.87169584</v>
      </c>
      <c r="CQ8" s="138">
        <v>3304242.40074305</v>
      </c>
      <c r="CR8" s="138">
        <v>2884322.28064393</v>
      </c>
      <c r="CS8" s="138">
        <v>3930578.27329135</v>
      </c>
      <c r="CT8" s="138">
        <v>3102623.54699464</v>
      </c>
      <c r="CU8" s="138">
        <v>5019467.96125217</v>
      </c>
      <c r="CV8" s="138">
        <v>3409058.5823219</v>
      </c>
      <c r="CW8" s="138">
        <v>2455875.25281861</v>
      </c>
      <c r="CX8" s="138">
        <v>3716485.0764801</v>
      </c>
      <c r="CY8" s="138">
        <v>3802710.71022366</v>
      </c>
      <c r="CZ8" s="138">
        <v>1957203.98410336</v>
      </c>
      <c r="DA8" s="138">
        <v>2524935.88084338</v>
      </c>
      <c r="DB8" s="86">
        <v>40220008.821412</v>
      </c>
      <c r="DC8" s="138">
        <v>432180.242401808</v>
      </c>
      <c r="DD8" s="138">
        <v>287463.787555477</v>
      </c>
      <c r="DE8" s="138">
        <v>222739.906310451</v>
      </c>
      <c r="DF8" s="138">
        <v>300651.274266337</v>
      </c>
      <c r="DG8" s="138">
        <v>243075.536479734</v>
      </c>
      <c r="DH8" s="138">
        <v>306722.436687392</v>
      </c>
      <c r="DI8" s="138">
        <v>315969.457740433</v>
      </c>
      <c r="DJ8" s="138">
        <v>193736.300821981</v>
      </c>
      <c r="DK8" s="138">
        <v>469576.190476211</v>
      </c>
      <c r="DL8" s="138">
        <v>613283.947974931</v>
      </c>
      <c r="DM8" s="138">
        <v>126766.576729671</v>
      </c>
      <c r="DN8" s="138">
        <v>267695.964077098</v>
      </c>
      <c r="DO8" s="86">
        <v>3779861.62152153</v>
      </c>
      <c r="DP8" s="138">
        <v>3635521.43435097</v>
      </c>
      <c r="DQ8" s="138">
        <v>2587588.10602435</v>
      </c>
      <c r="DR8" s="138">
        <v>2304251.1063311</v>
      </c>
      <c r="DS8" s="138">
        <v>2912785.03332422</v>
      </c>
      <c r="DT8" s="138">
        <v>2413287.52920609</v>
      </c>
      <c r="DU8" s="138">
        <v>3009854.60573238</v>
      </c>
      <c r="DV8" s="138">
        <v>2699663.80451523</v>
      </c>
      <c r="DW8" s="138">
        <v>1799319.36761012</v>
      </c>
      <c r="DX8" s="138">
        <v>3294787.19466125</v>
      </c>
      <c r="DY8" s="138">
        <v>2850442.8290533</v>
      </c>
      <c r="DZ8" s="138">
        <v>1362450.02725238</v>
      </c>
      <c r="EA8" s="138">
        <v>2112882.95041971</v>
      </c>
      <c r="EB8" s="85">
        <v>30982833.9884811</v>
      </c>
      <c r="EC8" s="87">
        <v>98841.7583498664</v>
      </c>
      <c r="ED8" s="85">
        <v>0</v>
      </c>
      <c r="EE8" s="85">
        <v>0</v>
      </c>
      <c r="EF8" s="85">
        <v>19782.0727633643</v>
      </c>
      <c r="EG8" s="85">
        <v>0</v>
      </c>
      <c r="EH8" s="85">
        <v>0</v>
      </c>
      <c r="EI8" s="85">
        <v>0</v>
      </c>
      <c r="EJ8" s="85">
        <v>0</v>
      </c>
      <c r="EK8" s="85">
        <v>0</v>
      </c>
      <c r="EL8" s="85">
        <v>0</v>
      </c>
      <c r="EM8" s="85">
        <v>0</v>
      </c>
      <c r="EN8" s="85">
        <v>0</v>
      </c>
      <c r="EO8" s="152">
        <v>118623.831113231</v>
      </c>
      <c r="EP8" s="85">
        <v>1691926.32251738</v>
      </c>
      <c r="EQ8" s="85">
        <v>2457727.06313911</v>
      </c>
      <c r="ER8" s="85">
        <v>2313616.125873</v>
      </c>
      <c r="ES8" s="85">
        <v>3836018.20957836</v>
      </c>
      <c r="ET8" s="85">
        <v>2206167.43619326</v>
      </c>
      <c r="EU8" s="85">
        <v>2516340.23720282</v>
      </c>
      <c r="EV8" s="85">
        <v>2289309.87013149</v>
      </c>
      <c r="EW8" s="85">
        <v>1696451.41988743</v>
      </c>
      <c r="EX8" s="85">
        <v>2713939.04012833</v>
      </c>
      <c r="EY8" s="85">
        <v>4597863.4771988</v>
      </c>
      <c r="EZ8" s="85">
        <v>2451731.36685294</v>
      </c>
      <c r="FA8" s="85">
        <v>3076277.3712937</v>
      </c>
      <c r="FB8" s="85">
        <v>31847367.9399966</v>
      </c>
      <c r="FC8" s="87">
        <v>0</v>
      </c>
      <c r="FD8" s="85">
        <v>0</v>
      </c>
      <c r="FE8" s="85">
        <v>0</v>
      </c>
      <c r="FF8" s="85">
        <v>0</v>
      </c>
      <c r="FG8" s="85">
        <v>0</v>
      </c>
      <c r="FH8" s="85">
        <v>0</v>
      </c>
      <c r="FI8" s="85">
        <v>0</v>
      </c>
      <c r="FJ8" s="85">
        <v>0</v>
      </c>
      <c r="FK8" s="85">
        <v>0</v>
      </c>
      <c r="FL8" s="85">
        <v>0</v>
      </c>
      <c r="FM8" s="85">
        <v>0</v>
      </c>
      <c r="FN8" s="85">
        <v>0</v>
      </c>
      <c r="FO8" s="86">
        <v>0</v>
      </c>
      <c r="FP8" s="87">
        <v>13525489.5142271</v>
      </c>
      <c r="FQ8" s="85">
        <v>6364390.07129225</v>
      </c>
      <c r="FR8" s="85">
        <v>7526622.81091352</v>
      </c>
      <c r="FS8" s="85">
        <v>12957046.8217735</v>
      </c>
      <c r="FT8" s="85">
        <v>5157343.54767977</v>
      </c>
      <c r="FU8" s="85">
        <v>11633485.008</v>
      </c>
      <c r="FV8" s="85">
        <v>8528034.64</v>
      </c>
      <c r="FW8" s="85">
        <v>6876228.16</v>
      </c>
      <c r="FX8" s="85">
        <v>11157432.18</v>
      </c>
      <c r="FY8" s="85">
        <v>16141782.86</v>
      </c>
      <c r="FZ8" s="85">
        <v>3684249.1</v>
      </c>
      <c r="GA8" s="85">
        <v>12706677.78</v>
      </c>
      <c r="GB8" s="152">
        <v>116258782.493886</v>
      </c>
      <c r="GD8" s="153"/>
    </row>
    <row r="9" spans="1:186">
      <c r="A9" s="137" t="s">
        <v>43</v>
      </c>
      <c r="B9" s="151">
        <v>198328571.093503</v>
      </c>
      <c r="C9" s="138">
        <f t="shared" si="11"/>
        <v>18999933.8398554</v>
      </c>
      <c r="D9" s="138">
        <f t="shared" si="0"/>
        <v>16584038.682022</v>
      </c>
      <c r="E9" s="138">
        <f t="shared" si="1"/>
        <v>18089243.4578437</v>
      </c>
      <c r="F9" s="138">
        <f t="shared" si="2"/>
        <v>14503617.3289416</v>
      </c>
      <c r="G9" s="138">
        <f t="shared" si="3"/>
        <v>13892947.4668442</v>
      </c>
      <c r="H9" s="138">
        <f t="shared" si="4"/>
        <v>13551322.1829273</v>
      </c>
      <c r="I9" s="138">
        <f t="shared" si="5"/>
        <v>20912702.5892246</v>
      </c>
      <c r="J9" s="138">
        <f t="shared" si="6"/>
        <v>23578490.4591674</v>
      </c>
      <c r="K9" s="138">
        <f t="shared" si="7"/>
        <v>19318857.8820949</v>
      </c>
      <c r="L9" s="138">
        <f t="shared" si="8"/>
        <v>12903288.982692</v>
      </c>
      <c r="M9" s="138">
        <f t="shared" si="9"/>
        <v>19241798.5071448</v>
      </c>
      <c r="N9" s="138">
        <f t="shared" si="10"/>
        <v>12357115.4168319</v>
      </c>
      <c r="O9" s="86">
        <f t="shared" si="12"/>
        <v>203933356.79559</v>
      </c>
      <c r="P9" s="138">
        <v>6834341.60432174</v>
      </c>
      <c r="Q9" s="138">
        <v>4980398.77307823</v>
      </c>
      <c r="R9" s="138">
        <v>5579565.48189374</v>
      </c>
      <c r="S9" s="138">
        <v>4779245.84092798</v>
      </c>
      <c r="T9" s="138">
        <v>5225673.59369922</v>
      </c>
      <c r="U9" s="138">
        <v>5659763.03416455</v>
      </c>
      <c r="V9" s="138">
        <v>6257929.48532306</v>
      </c>
      <c r="W9" s="138">
        <v>7749916.84803661</v>
      </c>
      <c r="X9" s="138">
        <v>7089462.84985727</v>
      </c>
      <c r="Y9" s="138">
        <v>6610326.56122113</v>
      </c>
      <c r="Z9" s="138">
        <v>6648825.03696257</v>
      </c>
      <c r="AA9" s="138">
        <v>5609520.82048753</v>
      </c>
      <c r="AB9" s="86">
        <v>73024969.9299736</v>
      </c>
      <c r="AC9" s="138">
        <v>1640597.21611854</v>
      </c>
      <c r="AD9" s="138">
        <v>1122150.33627903</v>
      </c>
      <c r="AE9" s="138">
        <v>1587677.34995137</v>
      </c>
      <c r="AF9" s="138">
        <v>1281417.44436503</v>
      </c>
      <c r="AG9" s="138">
        <v>1553616.94767148</v>
      </c>
      <c r="AH9" s="138">
        <v>1647301.18138153</v>
      </c>
      <c r="AI9" s="138">
        <v>1797949.88186787</v>
      </c>
      <c r="AJ9" s="138">
        <v>2029466.36277419</v>
      </c>
      <c r="AK9" s="138">
        <v>2272530.12182293</v>
      </c>
      <c r="AL9" s="138">
        <v>1520023.28785328</v>
      </c>
      <c r="AM9" s="138">
        <v>1112707.01738594</v>
      </c>
      <c r="AN9" s="138">
        <v>1138950.83134597</v>
      </c>
      <c r="AO9" s="86">
        <v>18704387.9788172</v>
      </c>
      <c r="AP9" s="138">
        <v>844073.752141887</v>
      </c>
      <c r="AQ9" s="138">
        <v>512123.215963289</v>
      </c>
      <c r="AR9" s="138">
        <v>1058408.80403568</v>
      </c>
      <c r="AS9" s="138">
        <v>748612.068222907</v>
      </c>
      <c r="AT9" s="138">
        <v>831007.223098171</v>
      </c>
      <c r="AU9" s="138">
        <v>787000.019557439</v>
      </c>
      <c r="AV9" s="138">
        <v>1109122.76804158</v>
      </c>
      <c r="AW9" s="138">
        <v>1549809.3533212</v>
      </c>
      <c r="AX9" s="138">
        <v>1570585.92718398</v>
      </c>
      <c r="AY9" s="138">
        <v>1106976.4277665</v>
      </c>
      <c r="AZ9" s="138">
        <v>1844974.06795033</v>
      </c>
      <c r="BA9" s="138">
        <v>1052373.53116845</v>
      </c>
      <c r="BB9" s="86">
        <v>13015067.1584514</v>
      </c>
      <c r="BC9" s="138">
        <v>955386.151743504</v>
      </c>
      <c r="BD9" s="138">
        <v>581544.080775803</v>
      </c>
      <c r="BE9" s="138">
        <v>682910.184373488</v>
      </c>
      <c r="BF9" s="138">
        <v>430589.551021853</v>
      </c>
      <c r="BG9" s="138">
        <v>391092.829169635</v>
      </c>
      <c r="BH9" s="138">
        <v>494857.213037885</v>
      </c>
      <c r="BI9" s="138">
        <v>608556.148347741</v>
      </c>
      <c r="BJ9" s="138">
        <v>867975.351769004</v>
      </c>
      <c r="BK9" s="138">
        <v>543016.833494131</v>
      </c>
      <c r="BL9" s="138">
        <v>293343.253099428</v>
      </c>
      <c r="BM9" s="138">
        <v>510763.46204909</v>
      </c>
      <c r="BN9" s="138">
        <v>356071.03305609</v>
      </c>
      <c r="BO9" s="86">
        <v>6716106.09193765</v>
      </c>
      <c r="BP9" s="138">
        <v>2683511.21792806</v>
      </c>
      <c r="BQ9" s="138">
        <v>2892415.79347806</v>
      </c>
      <c r="BR9" s="138">
        <v>2835093.36558819</v>
      </c>
      <c r="BS9" s="138">
        <v>2181513.77380051</v>
      </c>
      <c r="BT9" s="138">
        <v>1630677.37198336</v>
      </c>
      <c r="BU9" s="138">
        <v>774251.166605231</v>
      </c>
      <c r="BV9" s="138">
        <v>1298481.5304626</v>
      </c>
      <c r="BW9" s="138">
        <v>1697631.76020151</v>
      </c>
      <c r="BX9" s="138">
        <v>962396.914564943</v>
      </c>
      <c r="BY9" s="138">
        <v>340166.532651139</v>
      </c>
      <c r="BZ9" s="138">
        <v>2280519.26780637</v>
      </c>
      <c r="CA9" s="138">
        <v>1149964.39098458</v>
      </c>
      <c r="CB9" s="86">
        <v>20726623.0860545</v>
      </c>
      <c r="CC9" s="138">
        <v>337940.534764616</v>
      </c>
      <c r="CD9" s="138">
        <v>68251.58070171</v>
      </c>
      <c r="CE9" s="138">
        <v>196152.208371771</v>
      </c>
      <c r="CF9" s="138">
        <v>221038.086315497</v>
      </c>
      <c r="CG9" s="138">
        <v>229407.041024725</v>
      </c>
      <c r="CH9" s="138">
        <v>250809.498127465</v>
      </c>
      <c r="CI9" s="138">
        <v>280418.94554882</v>
      </c>
      <c r="CJ9" s="138">
        <v>346144.057282662</v>
      </c>
      <c r="CK9" s="138">
        <v>272502.717003092</v>
      </c>
      <c r="CL9" s="138">
        <v>193101.612987109</v>
      </c>
      <c r="CM9" s="138">
        <v>142254.333514956</v>
      </c>
      <c r="CN9" s="138">
        <v>84284.2659490638</v>
      </c>
      <c r="CO9" s="86">
        <v>2622304.88159149</v>
      </c>
      <c r="CP9" s="138">
        <v>840791.039959368</v>
      </c>
      <c r="CQ9" s="138">
        <v>527415.838460602</v>
      </c>
      <c r="CR9" s="138">
        <v>610817.826154522</v>
      </c>
      <c r="CS9" s="138">
        <v>558813.591721387</v>
      </c>
      <c r="CT9" s="138">
        <v>524828.689794325</v>
      </c>
      <c r="CU9" s="138">
        <v>677806.043713353</v>
      </c>
      <c r="CV9" s="138">
        <v>715736.820747547</v>
      </c>
      <c r="CW9" s="138">
        <v>933278.691710004</v>
      </c>
      <c r="CX9" s="138">
        <v>559511.589356953</v>
      </c>
      <c r="CY9" s="138">
        <v>194858.540646482</v>
      </c>
      <c r="CZ9" s="138">
        <v>370869.321635505</v>
      </c>
      <c r="DA9" s="138">
        <v>223333.042516458</v>
      </c>
      <c r="DB9" s="86">
        <v>6738061.03641651</v>
      </c>
      <c r="DC9" s="138">
        <v>157448.57375601</v>
      </c>
      <c r="DD9" s="138">
        <v>177360.669952027</v>
      </c>
      <c r="DE9" s="138">
        <v>231039.153668317</v>
      </c>
      <c r="DF9" s="138">
        <v>111325.508760275</v>
      </c>
      <c r="DG9" s="138">
        <v>130777.546833517</v>
      </c>
      <c r="DH9" s="138">
        <v>72907.4587176226</v>
      </c>
      <c r="DI9" s="138">
        <v>68644.9987676931</v>
      </c>
      <c r="DJ9" s="138">
        <v>127114.560713967</v>
      </c>
      <c r="DK9" s="138">
        <v>72676.3863486042</v>
      </c>
      <c r="DL9" s="138">
        <v>50390.2816152362</v>
      </c>
      <c r="DM9" s="138">
        <v>116179.88610863</v>
      </c>
      <c r="DN9" s="138">
        <v>121395.519580761</v>
      </c>
      <c r="DO9" s="86">
        <v>1437260.54482266</v>
      </c>
      <c r="DP9" s="138">
        <v>2258082.56157686</v>
      </c>
      <c r="DQ9" s="138">
        <v>1025181.12202659</v>
      </c>
      <c r="DR9" s="138">
        <v>1671880.79556287</v>
      </c>
      <c r="DS9" s="138">
        <v>1633253.91955242</v>
      </c>
      <c r="DT9" s="138">
        <v>1454847.53960483</v>
      </c>
      <c r="DU9" s="138">
        <v>1543915.08933911</v>
      </c>
      <c r="DV9" s="138">
        <v>1627685.57168144</v>
      </c>
      <c r="DW9" s="138">
        <v>1628664.46271106</v>
      </c>
      <c r="DX9" s="138">
        <v>1255183.02272797</v>
      </c>
      <c r="DY9" s="138">
        <v>695577.375853719</v>
      </c>
      <c r="DZ9" s="138">
        <v>1004793.99224812</v>
      </c>
      <c r="EA9" s="138">
        <v>362829.725093493</v>
      </c>
      <c r="EB9" s="85">
        <v>16161895.1779785</v>
      </c>
      <c r="EC9" s="87">
        <v>12145.5781643684</v>
      </c>
      <c r="ED9" s="85">
        <v>31898.1411187992</v>
      </c>
      <c r="EE9" s="85">
        <v>-5635.05958944592</v>
      </c>
      <c r="EF9" s="85">
        <v>26509.8558179742</v>
      </c>
      <c r="EG9" s="85">
        <v>0</v>
      </c>
      <c r="EH9" s="85">
        <v>0</v>
      </c>
      <c r="EI9" s="85">
        <v>0</v>
      </c>
      <c r="EJ9" s="85">
        <v>0</v>
      </c>
      <c r="EK9" s="85">
        <v>0</v>
      </c>
      <c r="EL9" s="85">
        <v>0</v>
      </c>
      <c r="EM9" s="85">
        <v>0</v>
      </c>
      <c r="EN9" s="85">
        <v>0</v>
      </c>
      <c r="EO9" s="152">
        <v>64918.5155116959</v>
      </c>
      <c r="EP9" s="85">
        <v>228396.99674029</v>
      </c>
      <c r="EQ9" s="85">
        <v>524488.459632067</v>
      </c>
      <c r="ER9" s="85">
        <v>400236.141482177</v>
      </c>
      <c r="ES9" s="85">
        <v>309535.300904573</v>
      </c>
      <c r="ET9" s="85">
        <v>275719.555917041</v>
      </c>
      <c r="EU9" s="85">
        <v>345348.914283154</v>
      </c>
      <c r="EV9" s="85">
        <v>417616.918436236</v>
      </c>
      <c r="EW9" s="85">
        <v>435803.170647163</v>
      </c>
      <c r="EX9" s="85">
        <v>391847.639734979</v>
      </c>
      <c r="EY9" s="85">
        <v>85960.1489979936</v>
      </c>
      <c r="EZ9" s="85">
        <v>128489.921483247</v>
      </c>
      <c r="FA9" s="85">
        <v>99572.8166494881</v>
      </c>
      <c r="FB9" s="85">
        <v>3643015.98490841</v>
      </c>
      <c r="FC9" s="87">
        <v>73291.9050976406</v>
      </c>
      <c r="FD9" s="85">
        <v>56124.3303038848</v>
      </c>
      <c r="FE9" s="85">
        <v>0</v>
      </c>
      <c r="FF9" s="85">
        <v>0</v>
      </c>
      <c r="FG9" s="85">
        <v>0</v>
      </c>
      <c r="FH9" s="85">
        <v>0</v>
      </c>
      <c r="FI9" s="85">
        <v>0</v>
      </c>
      <c r="FJ9" s="85">
        <v>0</v>
      </c>
      <c r="FK9" s="85">
        <v>0</v>
      </c>
      <c r="FL9" s="85">
        <v>0</v>
      </c>
      <c r="FM9" s="85">
        <v>0</v>
      </c>
      <c r="FN9" s="85">
        <v>0</v>
      </c>
      <c r="FO9" s="86">
        <v>0</v>
      </c>
      <c r="FP9" s="87">
        <v>2133926.70754256</v>
      </c>
      <c r="FQ9" s="85">
        <v>4084686.34025193</v>
      </c>
      <c r="FR9" s="85">
        <v>3241097.20635099</v>
      </c>
      <c r="FS9" s="85">
        <v>2221762.38753121</v>
      </c>
      <c r="FT9" s="85">
        <v>1645299.1280479</v>
      </c>
      <c r="FU9" s="85">
        <v>1297362.564</v>
      </c>
      <c r="FV9" s="85">
        <v>6730559.52</v>
      </c>
      <c r="FW9" s="85">
        <v>6212685.84</v>
      </c>
      <c r="FX9" s="85">
        <v>4329143.88</v>
      </c>
      <c r="FY9" s="85">
        <v>1812564.96</v>
      </c>
      <c r="FZ9" s="85">
        <v>5081422.2</v>
      </c>
      <c r="GA9" s="85">
        <v>2158819.44</v>
      </c>
      <c r="GB9" s="152">
        <v>40949330.1737246</v>
      </c>
      <c r="GD9" s="153"/>
    </row>
    <row r="10" spans="1:186">
      <c r="A10" s="137" t="s">
        <v>45</v>
      </c>
      <c r="B10" s="151">
        <v>179158722.721931</v>
      </c>
      <c r="C10" s="138">
        <f t="shared" si="11"/>
        <v>8757465.85679786</v>
      </c>
      <c r="D10" s="138">
        <f t="shared" si="0"/>
        <v>6052865.36689635</v>
      </c>
      <c r="E10" s="138">
        <f t="shared" si="1"/>
        <v>5309664.27610135</v>
      </c>
      <c r="F10" s="138">
        <f t="shared" si="2"/>
        <v>3909051.54293141</v>
      </c>
      <c r="G10" s="138">
        <f t="shared" si="3"/>
        <v>4785161.30473027</v>
      </c>
      <c r="H10" s="138">
        <f t="shared" si="4"/>
        <v>6797517.54925837</v>
      </c>
      <c r="I10" s="138">
        <f t="shared" si="5"/>
        <v>18322706.0414627</v>
      </c>
      <c r="J10" s="138">
        <f t="shared" si="6"/>
        <v>16170987.9745862</v>
      </c>
      <c r="K10" s="138">
        <f t="shared" si="7"/>
        <v>12049549.2416924</v>
      </c>
      <c r="L10" s="138">
        <f t="shared" si="8"/>
        <v>6706239.9050173</v>
      </c>
      <c r="M10" s="138">
        <f t="shared" si="9"/>
        <v>4441779.25908971</v>
      </c>
      <c r="N10" s="138">
        <f t="shared" si="10"/>
        <v>15185126.2911269</v>
      </c>
      <c r="O10" s="86">
        <f t="shared" si="12"/>
        <v>108488114.609691</v>
      </c>
      <c r="P10" s="138">
        <v>409940.004383339</v>
      </c>
      <c r="Q10" s="138">
        <v>262228.258845381</v>
      </c>
      <c r="R10" s="138">
        <v>190544.945250191</v>
      </c>
      <c r="S10" s="138">
        <v>123578.311136218</v>
      </c>
      <c r="T10" s="138">
        <v>166937.995602501</v>
      </c>
      <c r="U10" s="138">
        <v>310524.111040119</v>
      </c>
      <c r="V10" s="138">
        <v>568778.096061512</v>
      </c>
      <c r="W10" s="138">
        <v>756179.739135389</v>
      </c>
      <c r="X10" s="138">
        <v>652064.110669714</v>
      </c>
      <c r="Y10" s="138">
        <v>418790.419675896</v>
      </c>
      <c r="Z10" s="138">
        <v>163216.832879901</v>
      </c>
      <c r="AA10" s="138">
        <v>241519.490850415</v>
      </c>
      <c r="AB10" s="86">
        <v>4264302.31553057</v>
      </c>
      <c r="AC10" s="138">
        <v>583595.925745395</v>
      </c>
      <c r="AD10" s="138">
        <v>370895.572475528</v>
      </c>
      <c r="AE10" s="138">
        <v>267182.148878641</v>
      </c>
      <c r="AF10" s="138">
        <v>220242.426188443</v>
      </c>
      <c r="AG10" s="138">
        <v>196257.598443937</v>
      </c>
      <c r="AH10" s="138">
        <v>436925.226887972</v>
      </c>
      <c r="AI10" s="138">
        <v>709750.39180296</v>
      </c>
      <c r="AJ10" s="138">
        <v>838882.234293999</v>
      </c>
      <c r="AK10" s="138">
        <v>979665.716292906</v>
      </c>
      <c r="AL10" s="138">
        <v>844793.998701837</v>
      </c>
      <c r="AM10" s="138">
        <v>765602.13903298</v>
      </c>
      <c r="AN10" s="138">
        <v>366676.726978359</v>
      </c>
      <c r="AO10" s="86">
        <v>6580470.10572296</v>
      </c>
      <c r="AP10" s="138">
        <v>1576563.15651239</v>
      </c>
      <c r="AQ10" s="138">
        <v>1233845.58443256</v>
      </c>
      <c r="AR10" s="138">
        <v>1347495.02286417</v>
      </c>
      <c r="AS10" s="138">
        <v>798114.936076259</v>
      </c>
      <c r="AT10" s="138">
        <v>689864.568626255</v>
      </c>
      <c r="AU10" s="138">
        <v>713097.231205853</v>
      </c>
      <c r="AV10" s="138">
        <v>2931849.30359394</v>
      </c>
      <c r="AW10" s="138">
        <v>2502008.89117107</v>
      </c>
      <c r="AX10" s="138">
        <v>1958212.11907657</v>
      </c>
      <c r="AY10" s="138">
        <v>783563.013330277</v>
      </c>
      <c r="AZ10" s="138">
        <v>682169.898735454</v>
      </c>
      <c r="BA10" s="138">
        <v>3188666.07197496</v>
      </c>
      <c r="BB10" s="86">
        <v>18405449.7975998</v>
      </c>
      <c r="BC10" s="138">
        <v>533747.566226825</v>
      </c>
      <c r="BD10" s="138">
        <v>379280.754193897</v>
      </c>
      <c r="BE10" s="138">
        <v>264175.299090914</v>
      </c>
      <c r="BF10" s="138">
        <v>155253.672058862</v>
      </c>
      <c r="BG10" s="138">
        <v>256603.905444526</v>
      </c>
      <c r="BH10" s="138">
        <v>576519.34630329</v>
      </c>
      <c r="BI10" s="138">
        <v>2374169.12514516</v>
      </c>
      <c r="BJ10" s="138">
        <v>1690699.30074683</v>
      </c>
      <c r="BK10" s="138">
        <v>1480646.31872796</v>
      </c>
      <c r="BL10" s="138">
        <v>760321.023122049</v>
      </c>
      <c r="BM10" s="138">
        <v>475377.568916942</v>
      </c>
      <c r="BN10" s="138">
        <v>2239335.33672413</v>
      </c>
      <c r="BO10" s="86">
        <v>11186129.2167014</v>
      </c>
      <c r="BP10" s="138">
        <v>1379770.31982098</v>
      </c>
      <c r="BQ10" s="138">
        <v>952632.500991466</v>
      </c>
      <c r="BR10" s="138">
        <v>700385.25078656</v>
      </c>
      <c r="BS10" s="138">
        <v>550726.573576253</v>
      </c>
      <c r="BT10" s="138">
        <v>719263.57263707</v>
      </c>
      <c r="BU10" s="138">
        <v>1115893.99248221</v>
      </c>
      <c r="BV10" s="138">
        <v>3152678.60934108</v>
      </c>
      <c r="BW10" s="138">
        <v>3093600.80139483</v>
      </c>
      <c r="BX10" s="138">
        <v>1822381.9393824</v>
      </c>
      <c r="BY10" s="138">
        <v>638848.318563522</v>
      </c>
      <c r="BZ10" s="138">
        <v>335082.278561528</v>
      </c>
      <c r="CA10" s="138">
        <v>2069651.98378472</v>
      </c>
      <c r="CB10" s="86">
        <v>16530916.1413226</v>
      </c>
      <c r="CC10" s="138">
        <v>185656.46958325</v>
      </c>
      <c r="CD10" s="138">
        <v>113245.729034034</v>
      </c>
      <c r="CE10" s="138">
        <v>176712.807231676</v>
      </c>
      <c r="CF10" s="138">
        <v>146789.735136154</v>
      </c>
      <c r="CG10" s="138">
        <v>92992.7539306692</v>
      </c>
      <c r="CH10" s="138">
        <v>173690.16502315</v>
      </c>
      <c r="CI10" s="138">
        <v>246864.621762981</v>
      </c>
      <c r="CJ10" s="138">
        <v>276183.540596094</v>
      </c>
      <c r="CK10" s="138">
        <v>279075.119014545</v>
      </c>
      <c r="CL10" s="138">
        <v>171379.20752583</v>
      </c>
      <c r="CM10" s="138">
        <v>47632.6289127685</v>
      </c>
      <c r="CN10" s="138">
        <v>51146.0964512653</v>
      </c>
      <c r="CO10" s="86">
        <v>1961368.87420242</v>
      </c>
      <c r="CP10" s="138">
        <v>1385525.46419987</v>
      </c>
      <c r="CQ10" s="138">
        <v>1158119.53309094</v>
      </c>
      <c r="CR10" s="138">
        <v>924423.785282852</v>
      </c>
      <c r="CS10" s="138">
        <v>745272.500891201</v>
      </c>
      <c r="CT10" s="138">
        <v>962912.810305368</v>
      </c>
      <c r="CU10" s="138">
        <v>1242541.83726312</v>
      </c>
      <c r="CV10" s="138">
        <v>2629714.29483062</v>
      </c>
      <c r="CW10" s="138">
        <v>1950372.37098896</v>
      </c>
      <c r="CX10" s="138">
        <v>1598070.14799609</v>
      </c>
      <c r="CY10" s="138">
        <v>971555.90525475</v>
      </c>
      <c r="CZ10" s="138">
        <v>603797.140170672</v>
      </c>
      <c r="DA10" s="138">
        <v>2683739.01381115</v>
      </c>
      <c r="DB10" s="86">
        <v>16856044.8040856</v>
      </c>
      <c r="DC10" s="138">
        <v>63327.3585530689</v>
      </c>
      <c r="DD10" s="138">
        <v>43691.7770285947</v>
      </c>
      <c r="DE10" s="138">
        <v>31718.4725588186</v>
      </c>
      <c r="DF10" s="138">
        <v>29831.9264423423</v>
      </c>
      <c r="DG10" s="138">
        <v>37527.5517598587</v>
      </c>
      <c r="DH10" s="138">
        <v>34244.0998300725</v>
      </c>
      <c r="DI10" s="138">
        <v>174302.839501376</v>
      </c>
      <c r="DJ10" s="138">
        <v>171484.581857812</v>
      </c>
      <c r="DK10" s="138">
        <v>138507.253765037</v>
      </c>
      <c r="DL10" s="138">
        <v>60866.9377748402</v>
      </c>
      <c r="DM10" s="138">
        <v>33509.6197999781</v>
      </c>
      <c r="DN10" s="138">
        <v>89189.808148815</v>
      </c>
      <c r="DO10" s="86">
        <v>908202.227020614</v>
      </c>
      <c r="DP10" s="138">
        <v>929028.49859747</v>
      </c>
      <c r="DQ10" s="138">
        <v>473386.906505464</v>
      </c>
      <c r="DR10" s="138">
        <v>429032.483173213</v>
      </c>
      <c r="DS10" s="138">
        <v>415230.698287689</v>
      </c>
      <c r="DT10" s="138">
        <v>385808.961139563</v>
      </c>
      <c r="DU10" s="138">
        <v>600308.061384625</v>
      </c>
      <c r="DV10" s="138">
        <v>1639692.67415051</v>
      </c>
      <c r="DW10" s="138">
        <v>1131284.28311379</v>
      </c>
      <c r="DX10" s="138">
        <v>1399456.5006317</v>
      </c>
      <c r="DY10" s="138">
        <v>1022752.87767612</v>
      </c>
      <c r="DZ10" s="138">
        <v>504317.128528312</v>
      </c>
      <c r="EA10" s="138">
        <v>1102099.52555767</v>
      </c>
      <c r="EB10" s="85">
        <v>10032398.5987461</v>
      </c>
      <c r="EC10" s="87">
        <v>199279.05032055</v>
      </c>
      <c r="ED10" s="85">
        <v>93930.9806303277</v>
      </c>
      <c r="EE10" s="85">
        <v>0</v>
      </c>
      <c r="EF10" s="85">
        <v>0</v>
      </c>
      <c r="EG10" s="85">
        <v>0</v>
      </c>
      <c r="EH10" s="85">
        <v>0</v>
      </c>
      <c r="EI10" s="85">
        <v>0</v>
      </c>
      <c r="EJ10" s="85">
        <v>0</v>
      </c>
      <c r="EK10" s="85">
        <v>0</v>
      </c>
      <c r="EL10" s="85">
        <v>0</v>
      </c>
      <c r="EM10" s="85">
        <v>0</v>
      </c>
      <c r="EN10" s="85">
        <v>0</v>
      </c>
      <c r="EO10" s="152">
        <v>293210.030950877</v>
      </c>
      <c r="EP10" s="85">
        <v>188672.570015323</v>
      </c>
      <c r="EQ10" s="85">
        <v>259987.373158892</v>
      </c>
      <c r="ER10" s="85">
        <v>209803.733455794</v>
      </c>
      <c r="ES10" s="85">
        <v>227005.863101186</v>
      </c>
      <c r="ET10" s="85">
        <v>207220.216001072</v>
      </c>
      <c r="EU10" s="85">
        <v>222909.893837954</v>
      </c>
      <c r="EV10" s="85">
        <v>387538.985272612</v>
      </c>
      <c r="EW10" s="85">
        <v>434095.251287437</v>
      </c>
      <c r="EX10" s="85">
        <v>353621.276135518</v>
      </c>
      <c r="EY10" s="85">
        <v>103588.383392185</v>
      </c>
      <c r="EZ10" s="85">
        <v>70233.6235511726</v>
      </c>
      <c r="FA10" s="85">
        <v>112593.876845392</v>
      </c>
      <c r="FB10" s="85">
        <v>2777271.04605454</v>
      </c>
      <c r="FC10" s="87">
        <v>0</v>
      </c>
      <c r="FD10" s="85">
        <v>0</v>
      </c>
      <c r="FE10" s="85">
        <v>0</v>
      </c>
      <c r="FF10" s="85">
        <v>0</v>
      </c>
      <c r="FG10" s="85">
        <v>0</v>
      </c>
      <c r="FH10" s="85">
        <v>0</v>
      </c>
      <c r="FI10" s="85">
        <v>0</v>
      </c>
      <c r="FJ10" s="85">
        <v>0</v>
      </c>
      <c r="FK10" s="85">
        <v>0</v>
      </c>
      <c r="FL10" s="85">
        <v>0</v>
      </c>
      <c r="FM10" s="85">
        <v>0</v>
      </c>
      <c r="FN10" s="85">
        <v>0</v>
      </c>
      <c r="FO10" s="86">
        <v>0</v>
      </c>
      <c r="FP10" s="87">
        <v>1322359.4728394</v>
      </c>
      <c r="FQ10" s="85">
        <v>711620.396509265</v>
      </c>
      <c r="FR10" s="85">
        <v>768190.327528519</v>
      </c>
      <c r="FS10" s="85">
        <v>497004.900036799</v>
      </c>
      <c r="FT10" s="85">
        <v>1069771.37083945</v>
      </c>
      <c r="FU10" s="85">
        <v>1370863.584</v>
      </c>
      <c r="FV10" s="85">
        <v>3507367.1</v>
      </c>
      <c r="FW10" s="85">
        <v>3326196.98</v>
      </c>
      <c r="FX10" s="85">
        <v>1387848.74</v>
      </c>
      <c r="FY10" s="85">
        <v>929779.82</v>
      </c>
      <c r="FZ10" s="85">
        <v>760840.4</v>
      </c>
      <c r="GA10" s="85">
        <v>3040508.36</v>
      </c>
      <c r="GB10" s="152">
        <v>18692351.4517534</v>
      </c>
      <c r="GD10" s="153"/>
    </row>
    <row r="11" spans="1:186">
      <c r="A11" s="137" t="s">
        <v>47</v>
      </c>
      <c r="B11" s="151">
        <v>344711544.421158</v>
      </c>
      <c r="C11" s="138">
        <f t="shared" si="11"/>
        <v>66607474.9939549</v>
      </c>
      <c r="D11" s="138">
        <f t="shared" si="0"/>
        <v>29083441.0920261</v>
      </c>
      <c r="E11" s="138">
        <f t="shared" si="1"/>
        <v>19080147.6934738</v>
      </c>
      <c r="F11" s="138">
        <f t="shared" si="2"/>
        <v>7457652.63576658</v>
      </c>
      <c r="G11" s="138">
        <f t="shared" si="3"/>
        <v>13048623.1142928</v>
      </c>
      <c r="H11" s="138">
        <f t="shared" si="4"/>
        <v>12706560.3875261</v>
      </c>
      <c r="I11" s="138">
        <f t="shared" si="5"/>
        <v>21310322.6362734</v>
      </c>
      <c r="J11" s="138">
        <f t="shared" si="6"/>
        <v>15499541.7835971</v>
      </c>
      <c r="K11" s="138">
        <f t="shared" si="7"/>
        <v>19238693.709226</v>
      </c>
      <c r="L11" s="138">
        <f t="shared" si="8"/>
        <v>32597247.3868056</v>
      </c>
      <c r="M11" s="138">
        <f t="shared" si="9"/>
        <v>56495691.7341599</v>
      </c>
      <c r="N11" s="138">
        <f t="shared" si="10"/>
        <v>24964644.5951466</v>
      </c>
      <c r="O11" s="86">
        <f t="shared" si="12"/>
        <v>318090041.762249</v>
      </c>
      <c r="P11" s="138">
        <v>4607755.79185501</v>
      </c>
      <c r="Q11" s="138">
        <v>2359501.39447802</v>
      </c>
      <c r="R11" s="138">
        <v>1165856.42750151</v>
      </c>
      <c r="S11" s="138">
        <v>674871.481281667</v>
      </c>
      <c r="T11" s="138">
        <v>947899.019898157</v>
      </c>
      <c r="U11" s="138">
        <v>1493575.09404388</v>
      </c>
      <c r="V11" s="138">
        <v>2109340.37749084</v>
      </c>
      <c r="W11" s="138">
        <v>2244035.11712808</v>
      </c>
      <c r="X11" s="138">
        <v>1902449.27397871</v>
      </c>
      <c r="Y11" s="138">
        <v>2100084.61929331</v>
      </c>
      <c r="Z11" s="138">
        <v>3637452.93508828</v>
      </c>
      <c r="AA11" s="138">
        <v>2596409.94599665</v>
      </c>
      <c r="AB11" s="86">
        <v>25839231.4780341</v>
      </c>
      <c r="AC11" s="138">
        <v>2540909.3999292</v>
      </c>
      <c r="AD11" s="138">
        <v>1134772.82986559</v>
      </c>
      <c r="AE11" s="138">
        <v>704607.941827794</v>
      </c>
      <c r="AF11" s="138">
        <v>395756.608710142</v>
      </c>
      <c r="AG11" s="138">
        <v>413695.447806063</v>
      </c>
      <c r="AH11" s="138">
        <v>359960.766166132</v>
      </c>
      <c r="AI11" s="138">
        <v>820096.165361442</v>
      </c>
      <c r="AJ11" s="138">
        <v>786154.165973139</v>
      </c>
      <c r="AK11" s="138">
        <v>1149594.66747175</v>
      </c>
      <c r="AL11" s="138">
        <v>1520684.24316783</v>
      </c>
      <c r="AM11" s="138">
        <v>2244724.97998365</v>
      </c>
      <c r="AN11" s="138">
        <v>1796503.14686048</v>
      </c>
      <c r="AO11" s="86">
        <v>13867460.3631232</v>
      </c>
      <c r="AP11" s="138">
        <v>3596314.34150464</v>
      </c>
      <c r="AQ11" s="138">
        <v>1762362.55702963</v>
      </c>
      <c r="AR11" s="138">
        <v>986267.27786901</v>
      </c>
      <c r="AS11" s="138">
        <v>558839.222956483</v>
      </c>
      <c r="AT11" s="138">
        <v>807667.687702125</v>
      </c>
      <c r="AU11" s="138">
        <v>1452196.65939755</v>
      </c>
      <c r="AV11" s="138">
        <v>1957511.93518238</v>
      </c>
      <c r="AW11" s="138">
        <v>1777433.98610309</v>
      </c>
      <c r="AX11" s="138">
        <v>1590258.80518087</v>
      </c>
      <c r="AY11" s="138">
        <v>2629602.61998606</v>
      </c>
      <c r="AZ11" s="138">
        <v>4590451.39884943</v>
      </c>
      <c r="BA11" s="138">
        <v>2343547.92741338</v>
      </c>
      <c r="BB11" s="86">
        <v>24052454.4191747</v>
      </c>
      <c r="BC11" s="138">
        <v>6556809.91140712</v>
      </c>
      <c r="BD11" s="138">
        <v>3101861.09861083</v>
      </c>
      <c r="BE11" s="138">
        <v>1000270.09694737</v>
      </c>
      <c r="BF11" s="138">
        <v>368100.920294944</v>
      </c>
      <c r="BG11" s="138">
        <v>793313.593212361</v>
      </c>
      <c r="BH11" s="138">
        <v>1244137.06404056</v>
      </c>
      <c r="BI11" s="138">
        <v>2019935.06468336</v>
      </c>
      <c r="BJ11" s="138">
        <v>1337900.01256394</v>
      </c>
      <c r="BK11" s="138">
        <v>1534235.64344186</v>
      </c>
      <c r="BL11" s="138">
        <v>2331172.36450655</v>
      </c>
      <c r="BM11" s="138">
        <v>6106363.74786624</v>
      </c>
      <c r="BN11" s="138">
        <v>3330098.72472885</v>
      </c>
      <c r="BO11" s="86">
        <v>29724198.242304</v>
      </c>
      <c r="BP11" s="138">
        <v>12596456.094814</v>
      </c>
      <c r="BQ11" s="138">
        <v>7086021.56989897</v>
      </c>
      <c r="BR11" s="138">
        <v>3807692.76891356</v>
      </c>
      <c r="BS11" s="138">
        <v>2223820.32121076</v>
      </c>
      <c r="BT11" s="138">
        <v>3101181.72551886</v>
      </c>
      <c r="BU11" s="138">
        <v>2078221.7412355</v>
      </c>
      <c r="BV11" s="138">
        <v>4155543.1930537</v>
      </c>
      <c r="BW11" s="138">
        <v>2907684.23352882</v>
      </c>
      <c r="BX11" s="138">
        <v>3621771.34878507</v>
      </c>
      <c r="BY11" s="138">
        <v>5908552.95721073</v>
      </c>
      <c r="BZ11" s="138">
        <v>11817460.8144059</v>
      </c>
      <c r="CA11" s="138">
        <v>3736371.16163898</v>
      </c>
      <c r="CB11" s="86">
        <v>63040777.9302149</v>
      </c>
      <c r="CC11" s="138">
        <v>2449691.37625234</v>
      </c>
      <c r="CD11" s="138">
        <v>220969.246888843</v>
      </c>
      <c r="CE11" s="138">
        <v>372370.736222339</v>
      </c>
      <c r="CF11" s="138">
        <v>199524.104191965</v>
      </c>
      <c r="CG11" s="138">
        <v>258356.211320128</v>
      </c>
      <c r="CH11" s="138">
        <v>482927.147568831</v>
      </c>
      <c r="CI11" s="138">
        <v>702525.662437977</v>
      </c>
      <c r="CJ11" s="138">
        <v>537479.653401505</v>
      </c>
      <c r="CK11" s="138">
        <v>606774.157829874</v>
      </c>
      <c r="CL11" s="138">
        <v>1015694.70490556</v>
      </c>
      <c r="CM11" s="138">
        <v>1697799.68881775</v>
      </c>
      <c r="CN11" s="138">
        <v>916264.312940377</v>
      </c>
      <c r="CO11" s="86">
        <v>9460377.00277749</v>
      </c>
      <c r="CP11" s="138">
        <v>7595482.24057448</v>
      </c>
      <c r="CQ11" s="138">
        <v>3297530.97951853</v>
      </c>
      <c r="CR11" s="138">
        <v>1221218.63627903</v>
      </c>
      <c r="CS11" s="138">
        <v>490192.654436115</v>
      </c>
      <c r="CT11" s="138">
        <v>1086242.86598012</v>
      </c>
      <c r="CU11" s="138">
        <v>1721721.21528011</v>
      </c>
      <c r="CV11" s="138">
        <v>2243883.67742696</v>
      </c>
      <c r="CW11" s="138">
        <v>1286532.46053183</v>
      </c>
      <c r="CX11" s="138">
        <v>1280014.61314039</v>
      </c>
      <c r="CY11" s="138">
        <v>2279091.26107134</v>
      </c>
      <c r="CZ11" s="138">
        <v>6547979.72924141</v>
      </c>
      <c r="DA11" s="138">
        <v>3155973.13601539</v>
      </c>
      <c r="DB11" s="86">
        <v>32205863.4694957</v>
      </c>
      <c r="DC11" s="138">
        <v>596913.660880581</v>
      </c>
      <c r="DD11" s="138">
        <v>321307.192995177</v>
      </c>
      <c r="DE11" s="138">
        <v>154429.773645182</v>
      </c>
      <c r="DF11" s="138">
        <v>94444.5186976139</v>
      </c>
      <c r="DG11" s="138">
        <v>186226.332466155</v>
      </c>
      <c r="DH11" s="138">
        <v>176484.272699372</v>
      </c>
      <c r="DI11" s="138">
        <v>283783.002339239</v>
      </c>
      <c r="DJ11" s="138">
        <v>189182.249549242</v>
      </c>
      <c r="DK11" s="138">
        <v>253490.515105536</v>
      </c>
      <c r="DL11" s="138">
        <v>393966.010299533</v>
      </c>
      <c r="DM11" s="138">
        <v>617586.295417132</v>
      </c>
      <c r="DN11" s="138">
        <v>556839.020119104</v>
      </c>
      <c r="DO11" s="86">
        <v>3824652.84421387</v>
      </c>
      <c r="DP11" s="138">
        <v>3620221.57422795</v>
      </c>
      <c r="DQ11" s="138">
        <v>2661354.27978699</v>
      </c>
      <c r="DR11" s="138">
        <v>1761190.51900643</v>
      </c>
      <c r="DS11" s="138">
        <v>997268.862838792</v>
      </c>
      <c r="DT11" s="138">
        <v>1000394.80428216</v>
      </c>
      <c r="DU11" s="138">
        <v>1489415.64501224</v>
      </c>
      <c r="DV11" s="138">
        <v>1316558.23529653</v>
      </c>
      <c r="DW11" s="138">
        <v>822467.694303606</v>
      </c>
      <c r="DX11" s="138">
        <v>1055291.59199718</v>
      </c>
      <c r="DY11" s="138">
        <v>1886224.18372998</v>
      </c>
      <c r="DZ11" s="138">
        <v>4585853.47606148</v>
      </c>
      <c r="EA11" s="138">
        <v>2392729.69845431</v>
      </c>
      <c r="EB11" s="85">
        <v>23588970.5649977</v>
      </c>
      <c r="EC11" s="87">
        <v>46135.0953997169</v>
      </c>
      <c r="ED11" s="85">
        <v>53163.568531332</v>
      </c>
      <c r="EE11" s="85">
        <v>0</v>
      </c>
      <c r="EF11" s="85">
        <v>0</v>
      </c>
      <c r="EG11" s="85">
        <v>0</v>
      </c>
      <c r="EH11" s="85">
        <v>0</v>
      </c>
      <c r="EI11" s="85">
        <v>0</v>
      </c>
      <c r="EJ11" s="85">
        <v>0</v>
      </c>
      <c r="EK11" s="85">
        <v>0</v>
      </c>
      <c r="EL11" s="85">
        <v>0</v>
      </c>
      <c r="EM11" s="85">
        <v>0</v>
      </c>
      <c r="EN11" s="85">
        <v>0</v>
      </c>
      <c r="EO11" s="152">
        <v>99298.6639310489</v>
      </c>
      <c r="EP11" s="85">
        <v>937084.036919657</v>
      </c>
      <c r="EQ11" s="85">
        <v>634720.744025077</v>
      </c>
      <c r="ER11" s="85">
        <v>512154.055369285</v>
      </c>
      <c r="ES11" s="85">
        <v>402636.587462567</v>
      </c>
      <c r="ET11" s="85">
        <v>394497.648713617</v>
      </c>
      <c r="EU11" s="85">
        <v>621176.080081963</v>
      </c>
      <c r="EV11" s="85">
        <v>1000254.24300093</v>
      </c>
      <c r="EW11" s="85">
        <v>765595.450513894</v>
      </c>
      <c r="EX11" s="85">
        <v>938452.212294749</v>
      </c>
      <c r="EY11" s="85">
        <v>1137616.52263471</v>
      </c>
      <c r="EZ11" s="85">
        <v>1664788.90842865</v>
      </c>
      <c r="FA11" s="85">
        <v>1525972.7009791</v>
      </c>
      <c r="FB11" s="85">
        <v>10534949.1904242</v>
      </c>
      <c r="FC11" s="87">
        <v>47725.9833740511</v>
      </c>
      <c r="FD11" s="85">
        <v>0</v>
      </c>
      <c r="FE11" s="85">
        <v>0</v>
      </c>
      <c r="FF11" s="85">
        <v>0</v>
      </c>
      <c r="FG11" s="85">
        <v>0</v>
      </c>
      <c r="FH11" s="85">
        <v>0</v>
      </c>
      <c r="FI11" s="85">
        <v>0</v>
      </c>
      <c r="FJ11" s="85">
        <v>0</v>
      </c>
      <c r="FK11" s="85">
        <v>0</v>
      </c>
      <c r="FL11" s="85">
        <v>0</v>
      </c>
      <c r="FM11" s="85">
        <v>0</v>
      </c>
      <c r="FN11" s="85">
        <v>0</v>
      </c>
      <c r="FO11" s="86">
        <v>0</v>
      </c>
      <c r="FP11" s="87">
        <v>21415975.4868161</v>
      </c>
      <c r="FQ11" s="85">
        <v>6449875.63039713</v>
      </c>
      <c r="FR11" s="85">
        <v>7394089.45989231</v>
      </c>
      <c r="FS11" s="85">
        <v>1052197.35368554</v>
      </c>
      <c r="FT11" s="85">
        <v>4059147.77739308</v>
      </c>
      <c r="FU11" s="85">
        <v>1586744.702</v>
      </c>
      <c r="FV11" s="85">
        <v>4700891.08</v>
      </c>
      <c r="FW11" s="85">
        <v>2845076.76</v>
      </c>
      <c r="FX11" s="85">
        <v>5306360.88</v>
      </c>
      <c r="FY11" s="85">
        <v>11394557.9</v>
      </c>
      <c r="FZ11" s="85">
        <v>12985229.76</v>
      </c>
      <c r="GA11" s="85">
        <v>2613934.82</v>
      </c>
      <c r="GB11" s="152">
        <v>81804081.6101841</v>
      </c>
      <c r="GD11" s="153"/>
    </row>
    <row r="12" spans="1:186">
      <c r="A12" s="137" t="s">
        <v>49</v>
      </c>
      <c r="B12" s="151">
        <v>386375632.0024</v>
      </c>
      <c r="C12" s="138">
        <f t="shared" si="11"/>
        <v>102015049.038403</v>
      </c>
      <c r="D12" s="138">
        <f t="shared" si="0"/>
        <v>98241263.2335659</v>
      </c>
      <c r="E12" s="138">
        <f t="shared" si="1"/>
        <v>60686853.2646505</v>
      </c>
      <c r="F12" s="138">
        <f t="shared" si="2"/>
        <v>59225740.3081981</v>
      </c>
      <c r="G12" s="138">
        <f t="shared" si="3"/>
        <v>42300295.0781825</v>
      </c>
      <c r="H12" s="138">
        <f t="shared" si="4"/>
        <v>32807023.1999772</v>
      </c>
      <c r="I12" s="138">
        <f t="shared" si="5"/>
        <v>27618071.4282629</v>
      </c>
      <c r="J12" s="138">
        <f t="shared" si="6"/>
        <v>60111785.0426557</v>
      </c>
      <c r="K12" s="138">
        <f t="shared" si="7"/>
        <v>51888943.1917009</v>
      </c>
      <c r="L12" s="138">
        <f t="shared" si="8"/>
        <v>60910624.2385646</v>
      </c>
      <c r="M12" s="138">
        <f t="shared" si="9"/>
        <v>36780805.3981189</v>
      </c>
      <c r="N12" s="138">
        <f t="shared" si="10"/>
        <v>47356418.226739</v>
      </c>
      <c r="O12" s="86">
        <f t="shared" si="12"/>
        <v>679942871.649019</v>
      </c>
      <c r="P12" s="138">
        <v>4872223.14365075</v>
      </c>
      <c r="Q12" s="138">
        <v>4849543.03694672</v>
      </c>
      <c r="R12" s="138">
        <v>3770362.11840902</v>
      </c>
      <c r="S12" s="138">
        <v>4076196.638191</v>
      </c>
      <c r="T12" s="138">
        <v>2930672.69920973</v>
      </c>
      <c r="U12" s="138">
        <v>2953225.87170437</v>
      </c>
      <c r="V12" s="138">
        <v>2869365.82327979</v>
      </c>
      <c r="W12" s="138">
        <v>4530901.28897441</v>
      </c>
      <c r="X12" s="138">
        <v>4168125.69392603</v>
      </c>
      <c r="Y12" s="138">
        <v>4977463.97880524</v>
      </c>
      <c r="Z12" s="138">
        <v>4304804.36076963</v>
      </c>
      <c r="AA12" s="138">
        <v>3533195.96180947</v>
      </c>
      <c r="AB12" s="86">
        <v>47836080.6156762</v>
      </c>
      <c r="AC12" s="138">
        <v>6364135.52051207</v>
      </c>
      <c r="AD12" s="138">
        <v>7003265.36865347</v>
      </c>
      <c r="AE12" s="138">
        <v>5540610.87602893</v>
      </c>
      <c r="AF12" s="138">
        <v>6777366.13234875</v>
      </c>
      <c r="AG12" s="138">
        <v>5401576.31937949</v>
      </c>
      <c r="AH12" s="138">
        <v>5449764.82817341</v>
      </c>
      <c r="AI12" s="138">
        <v>4667801.48722874</v>
      </c>
      <c r="AJ12" s="138">
        <v>7480762.84745826</v>
      </c>
      <c r="AK12" s="138">
        <v>7806073.59399202</v>
      </c>
      <c r="AL12" s="138">
        <v>7479422.52011761</v>
      </c>
      <c r="AM12" s="138">
        <v>6407795.00099658</v>
      </c>
      <c r="AN12" s="138">
        <v>5451057.0674339</v>
      </c>
      <c r="AO12" s="86">
        <v>75829631.5623233</v>
      </c>
      <c r="AP12" s="138">
        <v>5239218.18309572</v>
      </c>
      <c r="AQ12" s="138">
        <v>4197619.56103717</v>
      </c>
      <c r="AR12" s="138">
        <v>3220642.54100901</v>
      </c>
      <c r="AS12" s="138">
        <v>2168558.87281269</v>
      </c>
      <c r="AT12" s="138">
        <v>1714789.74478673</v>
      </c>
      <c r="AU12" s="138">
        <v>1535878.17404241</v>
      </c>
      <c r="AV12" s="138">
        <v>1524469.18306909</v>
      </c>
      <c r="AW12" s="138">
        <v>4741761.71073956</v>
      </c>
      <c r="AX12" s="138">
        <v>3243038.11775232</v>
      </c>
      <c r="AY12" s="138">
        <v>3473917.55632025</v>
      </c>
      <c r="AZ12" s="138">
        <v>2245838.88665961</v>
      </c>
      <c r="BA12" s="138">
        <v>3050001.0430566</v>
      </c>
      <c r="BB12" s="86">
        <v>36355733.5743812</v>
      </c>
      <c r="BC12" s="138">
        <v>9551027.25905618</v>
      </c>
      <c r="BD12" s="138">
        <v>12157619.8227318</v>
      </c>
      <c r="BE12" s="138">
        <v>6552286.5600494</v>
      </c>
      <c r="BF12" s="138">
        <v>5564763.31145629</v>
      </c>
      <c r="BG12" s="138">
        <v>4307521.11674263</v>
      </c>
      <c r="BH12" s="138">
        <v>3553600.92434509</v>
      </c>
      <c r="BI12" s="138">
        <v>3722822.83973126</v>
      </c>
      <c r="BJ12" s="138">
        <v>7440155.38733684</v>
      </c>
      <c r="BK12" s="138">
        <v>6598141.29246359</v>
      </c>
      <c r="BL12" s="138">
        <v>6981849.41706286</v>
      </c>
      <c r="BM12" s="138">
        <v>4668076.08350729</v>
      </c>
      <c r="BN12" s="138">
        <v>6470777.85925935</v>
      </c>
      <c r="BO12" s="86">
        <v>77568641.8737426</v>
      </c>
      <c r="BP12" s="138">
        <v>20884566.2446589</v>
      </c>
      <c r="BQ12" s="138">
        <v>21760883.5310471</v>
      </c>
      <c r="BR12" s="138">
        <v>10877491.9912284</v>
      </c>
      <c r="BS12" s="138">
        <v>10430788.7311227</v>
      </c>
      <c r="BT12" s="138">
        <v>8746827.3615698</v>
      </c>
      <c r="BU12" s="138">
        <v>5803486.68770773</v>
      </c>
      <c r="BV12" s="138">
        <v>4632935.82989644</v>
      </c>
      <c r="BW12" s="138">
        <v>10447487.9136034</v>
      </c>
      <c r="BX12" s="138">
        <v>6902389.70170358</v>
      </c>
      <c r="BY12" s="138">
        <v>10323915.8209522</v>
      </c>
      <c r="BZ12" s="138">
        <v>5438385.31302166</v>
      </c>
      <c r="CA12" s="138">
        <v>7372057.31109036</v>
      </c>
      <c r="CB12" s="86">
        <v>123621216.437602</v>
      </c>
      <c r="CC12" s="138">
        <v>1932825.79524503</v>
      </c>
      <c r="CD12" s="138">
        <v>1123779.60340642</v>
      </c>
      <c r="CE12" s="138">
        <v>918665.265937066</v>
      </c>
      <c r="CF12" s="138">
        <v>2059692.9143504</v>
      </c>
      <c r="CG12" s="138">
        <v>1957297.02742004</v>
      </c>
      <c r="CH12" s="138">
        <v>1471168.11133444</v>
      </c>
      <c r="CI12" s="138">
        <v>853067.571190187</v>
      </c>
      <c r="CJ12" s="138">
        <v>1578618.54332771</v>
      </c>
      <c r="CK12" s="138">
        <v>1331218.23613595</v>
      </c>
      <c r="CL12" s="138">
        <v>1931279.97316505</v>
      </c>
      <c r="CM12" s="138">
        <v>1297227.99828856</v>
      </c>
      <c r="CN12" s="138">
        <v>1079842.30040627</v>
      </c>
      <c r="CO12" s="86">
        <v>17534683.3402071</v>
      </c>
      <c r="CP12" s="138">
        <v>12264838.6123999</v>
      </c>
      <c r="CQ12" s="138">
        <v>15532423.3200738</v>
      </c>
      <c r="CR12" s="138">
        <v>9556312.36242484</v>
      </c>
      <c r="CS12" s="138">
        <v>8083154.31814933</v>
      </c>
      <c r="CT12" s="138">
        <v>6651035.35951711</v>
      </c>
      <c r="CU12" s="138">
        <v>4666770.34076334</v>
      </c>
      <c r="CV12" s="138">
        <v>3441355.99163938</v>
      </c>
      <c r="CW12" s="138">
        <v>6660582.44402482</v>
      </c>
      <c r="CX12" s="138">
        <v>5596973.85656532</v>
      </c>
      <c r="CY12" s="138">
        <v>6065586.70874414</v>
      </c>
      <c r="CZ12" s="138">
        <v>3814698.03290209</v>
      </c>
      <c r="DA12" s="138">
        <v>5342128.83593166</v>
      </c>
      <c r="DB12" s="86">
        <v>87675860.1831358</v>
      </c>
      <c r="DC12" s="138">
        <v>718110.896117193</v>
      </c>
      <c r="DD12" s="138">
        <v>915661.476257119</v>
      </c>
      <c r="DE12" s="138">
        <v>644703.70658641</v>
      </c>
      <c r="DF12" s="138">
        <v>531929.275272995</v>
      </c>
      <c r="DG12" s="138">
        <v>561660.525441524</v>
      </c>
      <c r="DH12" s="138">
        <v>406544.324672591</v>
      </c>
      <c r="DI12" s="138">
        <v>266396.182001369</v>
      </c>
      <c r="DJ12" s="138">
        <v>639450.142904734</v>
      </c>
      <c r="DK12" s="138">
        <v>539394.43168898</v>
      </c>
      <c r="DL12" s="138">
        <v>702911.14310796</v>
      </c>
      <c r="DM12" s="138">
        <v>369677.278368006</v>
      </c>
      <c r="DN12" s="138">
        <v>445469.015406055</v>
      </c>
      <c r="DO12" s="86">
        <v>6741908.39782493</v>
      </c>
      <c r="DP12" s="138">
        <v>5390249.59133603</v>
      </c>
      <c r="DQ12" s="138">
        <v>5826662.87106554</v>
      </c>
      <c r="DR12" s="138">
        <v>5324910.7422677</v>
      </c>
      <c r="DS12" s="138">
        <v>4709711.31678502</v>
      </c>
      <c r="DT12" s="138">
        <v>3524668.9114676</v>
      </c>
      <c r="DU12" s="138">
        <v>2635675.07839644</v>
      </c>
      <c r="DV12" s="138">
        <v>1568961.52231809</v>
      </c>
      <c r="DW12" s="138">
        <v>3829749.57361199</v>
      </c>
      <c r="DX12" s="138">
        <v>3853415.51924151</v>
      </c>
      <c r="DY12" s="138">
        <v>5134402.67425504</v>
      </c>
      <c r="DZ12" s="138">
        <v>3346348.39716365</v>
      </c>
      <c r="EA12" s="138">
        <v>4057354.28788322</v>
      </c>
      <c r="EB12" s="85">
        <v>49202110.4857918</v>
      </c>
      <c r="EC12" s="87">
        <v>0</v>
      </c>
      <c r="ED12" s="85">
        <v>23572.7609916925</v>
      </c>
      <c r="EE12" s="85">
        <v>0</v>
      </c>
      <c r="EF12" s="85">
        <v>27739.2984066339</v>
      </c>
      <c r="EG12" s="85">
        <v>0</v>
      </c>
      <c r="EH12" s="85">
        <v>0</v>
      </c>
      <c r="EI12" s="85">
        <v>0</v>
      </c>
      <c r="EJ12" s="85">
        <v>0</v>
      </c>
      <c r="EK12" s="85">
        <v>0</v>
      </c>
      <c r="EL12" s="85">
        <v>0</v>
      </c>
      <c r="EM12" s="85">
        <v>0</v>
      </c>
      <c r="EN12" s="85">
        <v>0</v>
      </c>
      <c r="EO12" s="152">
        <v>51312.0593983264</v>
      </c>
      <c r="EP12" s="85">
        <v>375387.936292279</v>
      </c>
      <c r="EQ12" s="85">
        <v>743438.848591732</v>
      </c>
      <c r="ER12" s="85">
        <v>563798.194265092</v>
      </c>
      <c r="ES12" s="85">
        <v>502277.374728694</v>
      </c>
      <c r="ET12" s="85">
        <v>456094.030603046</v>
      </c>
      <c r="EU12" s="85">
        <v>292836.404837432</v>
      </c>
      <c r="EV12" s="85">
        <v>273140.517908504</v>
      </c>
      <c r="EW12" s="85">
        <v>759172.290673984</v>
      </c>
      <c r="EX12" s="85">
        <v>773856.128231632</v>
      </c>
      <c r="EY12" s="85">
        <v>1241907.70603426</v>
      </c>
      <c r="EZ12" s="85">
        <v>860355.626441841</v>
      </c>
      <c r="FA12" s="85">
        <v>753268.104462123</v>
      </c>
      <c r="FB12" s="85">
        <v>7595533.16307061</v>
      </c>
      <c r="FC12" s="87">
        <v>257559.559920641</v>
      </c>
      <c r="FD12" s="85">
        <v>585443.680454634</v>
      </c>
      <c r="FE12" s="85">
        <v>0</v>
      </c>
      <c r="FF12" s="85">
        <v>0</v>
      </c>
      <c r="FG12" s="85">
        <v>0</v>
      </c>
      <c r="FH12" s="85">
        <v>0</v>
      </c>
      <c r="FI12" s="85">
        <v>0</v>
      </c>
      <c r="FJ12" s="85">
        <v>0</v>
      </c>
      <c r="FK12" s="85">
        <v>0</v>
      </c>
      <c r="FL12" s="85">
        <v>0</v>
      </c>
      <c r="FM12" s="85">
        <v>0</v>
      </c>
      <c r="FN12" s="85">
        <v>0</v>
      </c>
      <c r="FO12" s="86">
        <v>0</v>
      </c>
      <c r="FP12" s="87">
        <v>34164906.2961178</v>
      </c>
      <c r="FQ12" s="85">
        <v>23521349.3523087</v>
      </c>
      <c r="FR12" s="85">
        <v>13717068.9064446</v>
      </c>
      <c r="FS12" s="85">
        <v>14293562.1245736</v>
      </c>
      <c r="FT12" s="85">
        <v>6048151.98204476</v>
      </c>
      <c r="FU12" s="85">
        <v>4038072.454</v>
      </c>
      <c r="FV12" s="85">
        <v>3797754.48</v>
      </c>
      <c r="FW12" s="85">
        <v>12003142.9</v>
      </c>
      <c r="FX12" s="85">
        <v>11076316.62</v>
      </c>
      <c r="FY12" s="85">
        <v>12597966.74</v>
      </c>
      <c r="FZ12" s="85">
        <v>4027598.42</v>
      </c>
      <c r="GA12" s="85">
        <v>9801266.44</v>
      </c>
      <c r="GB12" s="152">
        <v>149087156.715489</v>
      </c>
      <c r="GD12" s="153"/>
    </row>
    <row r="13" spans="1:186">
      <c r="A13" s="137" t="s">
        <v>51</v>
      </c>
      <c r="B13" s="151">
        <v>64091698.9229827</v>
      </c>
      <c r="C13" s="138">
        <f t="shared" si="11"/>
        <v>7899931.76481104</v>
      </c>
      <c r="D13" s="138">
        <f t="shared" si="0"/>
        <v>8986378.38300598</v>
      </c>
      <c r="E13" s="138">
        <f t="shared" si="1"/>
        <v>5784361.8937923</v>
      </c>
      <c r="F13" s="138">
        <f t="shared" si="2"/>
        <v>5512741.36584899</v>
      </c>
      <c r="G13" s="138">
        <f t="shared" si="3"/>
        <v>7057575.66111084</v>
      </c>
      <c r="H13" s="138">
        <f t="shared" si="4"/>
        <v>4838935.83362792</v>
      </c>
      <c r="I13" s="138">
        <f t="shared" si="5"/>
        <v>4409017.62764165</v>
      </c>
      <c r="J13" s="138">
        <f t="shared" si="6"/>
        <v>7898065.15910997</v>
      </c>
      <c r="K13" s="138">
        <f t="shared" si="7"/>
        <v>11715428.2070668</v>
      </c>
      <c r="L13" s="138">
        <f t="shared" si="8"/>
        <v>7905088.31738576</v>
      </c>
      <c r="M13" s="138">
        <f t="shared" si="9"/>
        <v>5062269.6791365</v>
      </c>
      <c r="N13" s="138">
        <f t="shared" si="10"/>
        <v>3598593.71590377</v>
      </c>
      <c r="O13" s="86">
        <f t="shared" si="12"/>
        <v>80668387.6084416</v>
      </c>
      <c r="P13" s="138">
        <v>379677.874340309</v>
      </c>
      <c r="Q13" s="138">
        <v>465696.163350852</v>
      </c>
      <c r="R13" s="138">
        <v>272367.798513506</v>
      </c>
      <c r="S13" s="138">
        <v>160485.081860307</v>
      </c>
      <c r="T13" s="138">
        <v>284186.919910076</v>
      </c>
      <c r="U13" s="138">
        <v>385324.142377082</v>
      </c>
      <c r="V13" s="138">
        <v>410801.556683812</v>
      </c>
      <c r="W13" s="138">
        <v>387436.903563494</v>
      </c>
      <c r="X13" s="138">
        <v>722433.831679549</v>
      </c>
      <c r="Y13" s="138">
        <v>739577.063423521</v>
      </c>
      <c r="Z13" s="138">
        <v>444415.606618267</v>
      </c>
      <c r="AA13" s="138">
        <v>444415.606618267</v>
      </c>
      <c r="AB13" s="86">
        <v>5096818.54893904</v>
      </c>
      <c r="AC13" s="138">
        <v>73416.5254792515</v>
      </c>
      <c r="AD13" s="138">
        <v>52109.0409074623</v>
      </c>
      <c r="AE13" s="138">
        <v>46044.17190409</v>
      </c>
      <c r="AF13" s="138">
        <v>106986.514572232</v>
      </c>
      <c r="AG13" s="138">
        <v>164933.959005433</v>
      </c>
      <c r="AH13" s="138">
        <v>189999.074166754</v>
      </c>
      <c r="AI13" s="138">
        <v>267042.317488006</v>
      </c>
      <c r="AJ13" s="138">
        <v>161514.560301366</v>
      </c>
      <c r="AK13" s="138">
        <v>1268174.75739477</v>
      </c>
      <c r="AL13" s="138">
        <v>932806.440052932</v>
      </c>
      <c r="AM13" s="138">
        <v>607751.4811796</v>
      </c>
      <c r="AN13" s="138">
        <v>486201.18494368</v>
      </c>
      <c r="AO13" s="86">
        <v>4356980.02739558</v>
      </c>
      <c r="AP13" s="138">
        <v>478152.20201298</v>
      </c>
      <c r="AQ13" s="138">
        <v>659100.941069133</v>
      </c>
      <c r="AR13" s="138">
        <v>525175.90466446</v>
      </c>
      <c r="AS13" s="138">
        <v>439670.89124776</v>
      </c>
      <c r="AT13" s="138">
        <v>754375.929994291</v>
      </c>
      <c r="AU13" s="138">
        <v>563829.281328592</v>
      </c>
      <c r="AV13" s="138">
        <v>496004.928636035</v>
      </c>
      <c r="AW13" s="138">
        <v>803189.148805617</v>
      </c>
      <c r="AX13" s="138">
        <v>1098353.86343475</v>
      </c>
      <c r="AY13" s="138">
        <v>654318.987326004</v>
      </c>
      <c r="AZ13" s="138">
        <v>468531.773114999</v>
      </c>
      <c r="BA13" s="138">
        <v>3949.2661061489</v>
      </c>
      <c r="BB13" s="86">
        <v>6944653.11774076</v>
      </c>
      <c r="BC13" s="138">
        <v>728495.759478847</v>
      </c>
      <c r="BD13" s="138">
        <v>1312497.69111219</v>
      </c>
      <c r="BE13" s="138">
        <v>718556.136133689</v>
      </c>
      <c r="BF13" s="138">
        <v>705433.784292125</v>
      </c>
      <c r="BG13" s="138">
        <v>649401.232108025</v>
      </c>
      <c r="BH13" s="138">
        <v>465426.978421967</v>
      </c>
      <c r="BI13" s="138">
        <v>435087.925785714</v>
      </c>
      <c r="BJ13" s="138">
        <v>704407.444662529</v>
      </c>
      <c r="BK13" s="138">
        <v>1344122.51552018</v>
      </c>
      <c r="BL13" s="138">
        <v>904099.901249594</v>
      </c>
      <c r="BM13" s="138">
        <v>623255.796412801</v>
      </c>
      <c r="BN13" s="138">
        <v>623255.796412801</v>
      </c>
      <c r="BO13" s="86">
        <v>9214040.96159047</v>
      </c>
      <c r="BP13" s="138">
        <v>1138052.43634851</v>
      </c>
      <c r="BQ13" s="138">
        <v>1474867.77979581</v>
      </c>
      <c r="BR13" s="138">
        <v>920439.682068465</v>
      </c>
      <c r="BS13" s="138">
        <v>1075232.16016606</v>
      </c>
      <c r="BT13" s="138">
        <v>1157718.23630622</v>
      </c>
      <c r="BU13" s="138">
        <v>663049.54944859</v>
      </c>
      <c r="BV13" s="138">
        <v>590180.532204408</v>
      </c>
      <c r="BW13" s="138">
        <v>1293870.09839694</v>
      </c>
      <c r="BX13" s="138">
        <v>946814.197358538</v>
      </c>
      <c r="BY13" s="138">
        <v>904610.579724864</v>
      </c>
      <c r="BZ13" s="138">
        <v>506611.223737288</v>
      </c>
      <c r="CA13" s="138">
        <v>489712.088377886</v>
      </c>
      <c r="CB13" s="86">
        <v>11161158.5639336</v>
      </c>
      <c r="CC13" s="138">
        <v>261132.538995573</v>
      </c>
      <c r="CD13" s="138">
        <v>52954.4316339059</v>
      </c>
      <c r="CE13" s="138">
        <v>61190.1302673194</v>
      </c>
      <c r="CF13" s="138">
        <v>108282.93102645</v>
      </c>
      <c r="CG13" s="138">
        <v>156469.165362876</v>
      </c>
      <c r="CH13" s="138">
        <v>160129.999205209</v>
      </c>
      <c r="CI13" s="138">
        <v>152814.601721818</v>
      </c>
      <c r="CJ13" s="138">
        <v>125885.067451067</v>
      </c>
      <c r="CK13" s="138">
        <v>157111.431119411</v>
      </c>
      <c r="CL13" s="138">
        <v>73522.1035479089</v>
      </c>
      <c r="CM13" s="138">
        <v>34915.1060944827</v>
      </c>
      <c r="CN13" s="138">
        <v>27076.1124111569</v>
      </c>
      <c r="CO13" s="86">
        <v>1371483.61883718</v>
      </c>
      <c r="CP13" s="138">
        <v>739582.506688111</v>
      </c>
      <c r="CQ13" s="138">
        <v>1174846.27003248</v>
      </c>
      <c r="CR13" s="138">
        <v>673916.005935904</v>
      </c>
      <c r="CS13" s="138">
        <v>640476.202777103</v>
      </c>
      <c r="CT13" s="138">
        <v>871542.482033943</v>
      </c>
      <c r="CU13" s="138">
        <v>627644.455802104</v>
      </c>
      <c r="CV13" s="138">
        <v>464886.814821425</v>
      </c>
      <c r="CW13" s="138">
        <v>546253.356542683</v>
      </c>
      <c r="CX13" s="138">
        <v>1187076.90179185</v>
      </c>
      <c r="CY13" s="138">
        <v>810490.549340487</v>
      </c>
      <c r="CZ13" s="138">
        <v>474697.978065535</v>
      </c>
      <c r="DA13" s="138">
        <v>328637.061737678</v>
      </c>
      <c r="DB13" s="86">
        <v>8540050.58556931</v>
      </c>
      <c r="DC13" s="138">
        <v>117930.956213061</v>
      </c>
      <c r="DD13" s="138">
        <v>188543.889448894</v>
      </c>
      <c r="DE13" s="138">
        <v>107473.20854733</v>
      </c>
      <c r="DF13" s="138">
        <v>83692.4036626842</v>
      </c>
      <c r="DG13" s="138">
        <v>126265.990490672</v>
      </c>
      <c r="DH13" s="138">
        <v>71042.3745962595</v>
      </c>
      <c r="DI13" s="138">
        <v>41312.4385466545</v>
      </c>
      <c r="DJ13" s="138">
        <v>64304.1392639895</v>
      </c>
      <c r="DK13" s="138">
        <v>144222.16860594</v>
      </c>
      <c r="DL13" s="138">
        <v>94409.5679132495</v>
      </c>
      <c r="DM13" s="138">
        <v>47534.8873409368</v>
      </c>
      <c r="DN13" s="138">
        <v>32993.8332619905</v>
      </c>
      <c r="DO13" s="86">
        <v>1119725.85789166</v>
      </c>
      <c r="DP13" s="138">
        <v>911264.579301738</v>
      </c>
      <c r="DQ13" s="138">
        <v>1414985.11114366</v>
      </c>
      <c r="DR13" s="138">
        <v>979441.939161526</v>
      </c>
      <c r="DS13" s="138">
        <v>917912.041476818</v>
      </c>
      <c r="DT13" s="138">
        <v>716454.687175124</v>
      </c>
      <c r="DU13" s="138">
        <v>524818.934403441</v>
      </c>
      <c r="DV13" s="138">
        <v>500977.29038399</v>
      </c>
      <c r="DW13" s="138">
        <v>529948.699895191</v>
      </c>
      <c r="DX13" s="138">
        <v>1525469.89586755</v>
      </c>
      <c r="DY13" s="138">
        <v>1129019.02887217</v>
      </c>
      <c r="DZ13" s="138">
        <v>790078.009866863</v>
      </c>
      <c r="EA13" s="138">
        <v>510529.321600889</v>
      </c>
      <c r="EB13" s="85">
        <v>10450899.539149</v>
      </c>
      <c r="EC13" s="87">
        <v>0</v>
      </c>
      <c r="ED13" s="85">
        <v>44899.4642431078</v>
      </c>
      <c r="EE13" s="85">
        <v>0</v>
      </c>
      <c r="EF13" s="85">
        <v>0</v>
      </c>
      <c r="EG13" s="85">
        <v>0</v>
      </c>
      <c r="EH13" s="85">
        <v>0</v>
      </c>
      <c r="EI13" s="85">
        <v>0</v>
      </c>
      <c r="EJ13" s="85">
        <v>0</v>
      </c>
      <c r="EK13" s="85">
        <v>0</v>
      </c>
      <c r="EL13" s="85">
        <v>0</v>
      </c>
      <c r="EM13" s="85">
        <v>0</v>
      </c>
      <c r="EN13" s="85">
        <v>0</v>
      </c>
      <c r="EO13" s="152">
        <v>44899.4642431078</v>
      </c>
      <c r="EP13" s="85">
        <v>30217.2291566951</v>
      </c>
      <c r="EQ13" s="85">
        <v>111781.212543468</v>
      </c>
      <c r="ER13" s="85">
        <v>99817.7525286007</v>
      </c>
      <c r="ES13" s="85">
        <v>85816.2556555683</v>
      </c>
      <c r="ET13" s="85">
        <v>146666.165053637</v>
      </c>
      <c r="EU13" s="85">
        <v>132414.743877918</v>
      </c>
      <c r="EV13" s="85">
        <v>138330.901369784</v>
      </c>
      <c r="EW13" s="85">
        <v>177086.380227101</v>
      </c>
      <c r="EX13" s="85">
        <v>296173.484294292</v>
      </c>
      <c r="EY13" s="85">
        <v>198125.495935025</v>
      </c>
      <c r="EZ13" s="85">
        <v>84973.9767057268</v>
      </c>
      <c r="FA13" s="85">
        <v>26836.444433277</v>
      </c>
      <c r="FB13" s="85">
        <v>1528240.04178109</v>
      </c>
      <c r="FC13" s="87">
        <v>0</v>
      </c>
      <c r="FD13" s="85">
        <v>0</v>
      </c>
      <c r="FE13" s="85">
        <v>0</v>
      </c>
      <c r="FF13" s="85">
        <v>0</v>
      </c>
      <c r="FG13" s="85">
        <v>0</v>
      </c>
      <c r="FH13" s="85">
        <v>0</v>
      </c>
      <c r="FI13" s="85">
        <v>0</v>
      </c>
      <c r="FJ13" s="85">
        <v>0</v>
      </c>
      <c r="FK13" s="85">
        <v>0</v>
      </c>
      <c r="FL13" s="85">
        <v>0</v>
      </c>
      <c r="FM13" s="85">
        <v>0</v>
      </c>
      <c r="FN13" s="85">
        <v>0</v>
      </c>
      <c r="FO13" s="86">
        <v>0</v>
      </c>
      <c r="FP13" s="87">
        <v>3042009.15679597</v>
      </c>
      <c r="FQ13" s="85">
        <v>2034096.38772502</v>
      </c>
      <c r="FR13" s="85">
        <v>1379939.16406741</v>
      </c>
      <c r="FS13" s="85">
        <v>1188753.09911188</v>
      </c>
      <c r="FT13" s="85">
        <v>2029560.89367055</v>
      </c>
      <c r="FU13" s="85">
        <v>1055256.3</v>
      </c>
      <c r="FV13" s="85">
        <v>911578.32</v>
      </c>
      <c r="FW13" s="85">
        <v>3104169.36</v>
      </c>
      <c r="FX13" s="85">
        <v>3025475.16</v>
      </c>
      <c r="FY13" s="85">
        <v>1464108.6</v>
      </c>
      <c r="FZ13" s="85">
        <v>979503.84</v>
      </c>
      <c r="GA13" s="85">
        <v>624987</v>
      </c>
      <c r="GB13" s="152">
        <v>20839437.2813708</v>
      </c>
      <c r="GD13" s="153"/>
    </row>
    <row r="14" spans="1:186">
      <c r="A14" s="137" t="s">
        <v>53</v>
      </c>
      <c r="B14" s="151">
        <v>31616254.4463448</v>
      </c>
      <c r="C14" s="138">
        <f t="shared" si="11"/>
        <v>1717344.42395459</v>
      </c>
      <c r="D14" s="138">
        <f t="shared" si="0"/>
        <v>982145.421944246</v>
      </c>
      <c r="E14" s="138">
        <f t="shared" si="1"/>
        <v>810933.619838018</v>
      </c>
      <c r="F14" s="138">
        <f t="shared" si="2"/>
        <v>941756.234268993</v>
      </c>
      <c r="G14" s="138">
        <f t="shared" si="3"/>
        <v>341262.705659686</v>
      </c>
      <c r="H14" s="138">
        <f t="shared" si="4"/>
        <v>1859263.02882483</v>
      </c>
      <c r="I14" s="138">
        <f t="shared" si="5"/>
        <v>2750462.88085879</v>
      </c>
      <c r="J14" s="138">
        <f t="shared" si="6"/>
        <v>1676068.28461526</v>
      </c>
      <c r="K14" s="138">
        <f t="shared" si="7"/>
        <v>851406.674197751</v>
      </c>
      <c r="L14" s="138">
        <f t="shared" si="8"/>
        <v>2970639.97230934</v>
      </c>
      <c r="M14" s="138">
        <f t="shared" si="9"/>
        <v>4283454.29735741</v>
      </c>
      <c r="N14" s="138">
        <f t="shared" si="10"/>
        <v>1432749.6043339</v>
      </c>
      <c r="O14" s="86">
        <f t="shared" si="12"/>
        <v>20617487.1481628</v>
      </c>
      <c r="P14" s="138">
        <v>66214.6858896656</v>
      </c>
      <c r="Q14" s="138">
        <v>37908.9624514825</v>
      </c>
      <c r="R14" s="138">
        <v>43753.7650946736</v>
      </c>
      <c r="S14" s="138">
        <v>32956.1631304646</v>
      </c>
      <c r="T14" s="138">
        <v>32150.0502883633</v>
      </c>
      <c r="U14" s="138">
        <v>76040.7607003556</v>
      </c>
      <c r="V14" s="138">
        <v>223312.643400235</v>
      </c>
      <c r="W14" s="138">
        <v>192944.808347311</v>
      </c>
      <c r="X14" s="138">
        <v>194218.094994278</v>
      </c>
      <c r="Y14" s="138">
        <v>347092.54812823</v>
      </c>
      <c r="Z14" s="138">
        <v>453693.777989683</v>
      </c>
      <c r="AA14" s="138">
        <v>270877.79533017</v>
      </c>
      <c r="AB14" s="86">
        <v>1971164.05574491</v>
      </c>
      <c r="AC14" s="138">
        <v>40063.0812183658</v>
      </c>
      <c r="AD14" s="138">
        <v>39706.6708460721</v>
      </c>
      <c r="AE14" s="138">
        <v>22525.087247711</v>
      </c>
      <c r="AF14" s="138">
        <v>13173.8708004192</v>
      </c>
      <c r="AG14" s="138">
        <v>2226.32741922033</v>
      </c>
      <c r="AH14" s="138">
        <v>129866.464651792</v>
      </c>
      <c r="AI14" s="138">
        <v>226698.464534483</v>
      </c>
      <c r="AJ14" s="138">
        <v>266110.227253402</v>
      </c>
      <c r="AK14" s="138">
        <v>70893.0848138945</v>
      </c>
      <c r="AL14" s="138">
        <v>186924.506488396</v>
      </c>
      <c r="AM14" s="138">
        <v>282880.689421778</v>
      </c>
      <c r="AN14" s="138">
        <v>186684.066087592</v>
      </c>
      <c r="AO14" s="86">
        <v>1467752.54078313</v>
      </c>
      <c r="AP14" s="138">
        <v>67582.6473472278</v>
      </c>
      <c r="AQ14" s="138">
        <v>53318.3777771551</v>
      </c>
      <c r="AR14" s="138">
        <v>49582.2939929133</v>
      </c>
      <c r="AS14" s="138">
        <v>32372.7557453455</v>
      </c>
      <c r="AT14" s="138">
        <v>22214.1182186326</v>
      </c>
      <c r="AU14" s="138">
        <v>96219.0036383612</v>
      </c>
      <c r="AV14" s="138">
        <v>77846.3308836684</v>
      </c>
      <c r="AW14" s="138">
        <v>41387.1640776271</v>
      </c>
      <c r="AX14" s="138">
        <v>41387.1640776271</v>
      </c>
      <c r="AY14" s="138">
        <v>123491.834067056</v>
      </c>
      <c r="AZ14" s="138">
        <v>325906.030942355</v>
      </c>
      <c r="BA14" s="138">
        <v>148990.356535017</v>
      </c>
      <c r="BB14" s="86">
        <v>1080298.07730299</v>
      </c>
      <c r="BC14" s="138">
        <v>52142.6848238991</v>
      </c>
      <c r="BD14" s="138">
        <v>26207.019633143</v>
      </c>
      <c r="BE14" s="138">
        <v>13434.0314217456</v>
      </c>
      <c r="BF14" s="138">
        <v>11223.2889072551</v>
      </c>
      <c r="BG14" s="138">
        <v>5800.80198715337</v>
      </c>
      <c r="BH14" s="138">
        <v>81182.5867355269</v>
      </c>
      <c r="BI14" s="138">
        <v>105430.62498018</v>
      </c>
      <c r="BJ14" s="138">
        <v>44133.7499917032</v>
      </c>
      <c r="BK14" s="138">
        <v>12220.7018904471</v>
      </c>
      <c r="BL14" s="138">
        <v>60581.422504384</v>
      </c>
      <c r="BM14" s="138">
        <v>275043.138749556</v>
      </c>
      <c r="BN14" s="138">
        <v>104262.697141283</v>
      </c>
      <c r="BO14" s="86">
        <v>791662.748766275</v>
      </c>
      <c r="BP14" s="138">
        <v>175565.961081615</v>
      </c>
      <c r="BQ14" s="138">
        <v>152100.466165403</v>
      </c>
      <c r="BR14" s="138">
        <v>129924.596082888</v>
      </c>
      <c r="BS14" s="138">
        <v>117017.267806341</v>
      </c>
      <c r="BT14" s="138">
        <v>101187.90246063</v>
      </c>
      <c r="BU14" s="138">
        <v>114032.879971484</v>
      </c>
      <c r="BV14" s="138">
        <v>176816.161237279</v>
      </c>
      <c r="BW14" s="138">
        <v>125336.387781325</v>
      </c>
      <c r="BX14" s="138">
        <v>65233.5651836474</v>
      </c>
      <c r="BY14" s="138">
        <v>168536.673422307</v>
      </c>
      <c r="BZ14" s="138">
        <v>657621.734032229</v>
      </c>
      <c r="CA14" s="138">
        <v>287391.88449172</v>
      </c>
      <c r="CB14" s="86">
        <v>2270765.47971687</v>
      </c>
      <c r="CC14" s="138">
        <v>27960.7928600274</v>
      </c>
      <c r="CD14" s="138">
        <v>3341.57700713078</v>
      </c>
      <c r="CE14" s="138">
        <v>3206.18663244805</v>
      </c>
      <c r="CF14" s="138">
        <v>3818.91669890901</v>
      </c>
      <c r="CG14" s="138">
        <v>7199.91786906123</v>
      </c>
      <c r="CH14" s="138">
        <v>34058.2269693434</v>
      </c>
      <c r="CI14" s="138">
        <v>47499.3008960347</v>
      </c>
      <c r="CJ14" s="138">
        <v>37618.657546313</v>
      </c>
      <c r="CK14" s="138">
        <v>1966.78697077734</v>
      </c>
      <c r="CL14" s="138">
        <v>78235.9434941056</v>
      </c>
      <c r="CM14" s="138">
        <v>105409.212624571</v>
      </c>
      <c r="CN14" s="138">
        <v>57150.8958196603</v>
      </c>
      <c r="CO14" s="86">
        <v>407466.415388382</v>
      </c>
      <c r="CP14" s="138">
        <v>64467.2172344287</v>
      </c>
      <c r="CQ14" s="138">
        <v>26824.8879520472</v>
      </c>
      <c r="CR14" s="138">
        <v>26227.6101497808</v>
      </c>
      <c r="CS14" s="138">
        <v>12801.2647306506</v>
      </c>
      <c r="CT14" s="138">
        <v>9505.09627625039</v>
      </c>
      <c r="CU14" s="138">
        <v>70278.9065583582</v>
      </c>
      <c r="CV14" s="138">
        <v>118678.128817245</v>
      </c>
      <c r="CW14" s="138">
        <v>67409.3078941205</v>
      </c>
      <c r="CX14" s="138">
        <v>23310.7321008095</v>
      </c>
      <c r="CY14" s="138">
        <v>81089.6274108064</v>
      </c>
      <c r="CZ14" s="138">
        <v>300383.86428638</v>
      </c>
      <c r="DA14" s="138">
        <v>122750.184227047</v>
      </c>
      <c r="DB14" s="86">
        <v>923726.827637925</v>
      </c>
      <c r="DC14" s="138">
        <v>21046.1477945805</v>
      </c>
      <c r="DD14" s="138">
        <v>98337.6805058041</v>
      </c>
      <c r="DE14" s="138">
        <v>31225.5890883919</v>
      </c>
      <c r="DF14" s="138">
        <v>9458.28582646966</v>
      </c>
      <c r="DG14" s="138">
        <v>14871.8032035361</v>
      </c>
      <c r="DH14" s="138">
        <v>14759.747571053</v>
      </c>
      <c r="DI14" s="138">
        <v>33138.2534926271</v>
      </c>
      <c r="DJ14" s="138">
        <v>22199.4525949861</v>
      </c>
      <c r="DK14" s="138">
        <v>15679.9107548229</v>
      </c>
      <c r="DL14" s="138">
        <v>43115.6282834591</v>
      </c>
      <c r="DM14" s="138">
        <v>73575.9180708546</v>
      </c>
      <c r="DN14" s="138">
        <v>13286.6612185605</v>
      </c>
      <c r="DO14" s="86">
        <v>390695.078405146</v>
      </c>
      <c r="DP14" s="138">
        <v>785640.365713406</v>
      </c>
      <c r="DQ14" s="138">
        <v>307485.493135294</v>
      </c>
      <c r="DR14" s="138">
        <v>243592.143362989</v>
      </c>
      <c r="DS14" s="138">
        <v>565290.178029762</v>
      </c>
      <c r="DT14" s="138">
        <v>75432.4127525484</v>
      </c>
      <c r="DU14" s="138">
        <v>191763.811460836</v>
      </c>
      <c r="DV14" s="138">
        <v>705322.361552418</v>
      </c>
      <c r="DW14" s="138">
        <v>513597.768482192</v>
      </c>
      <c r="DX14" s="138">
        <v>278513.322753877</v>
      </c>
      <c r="DY14" s="138">
        <v>427700.080633193</v>
      </c>
      <c r="DZ14" s="138">
        <v>927640.436769462</v>
      </c>
      <c r="EA14" s="138">
        <v>121420.137327645</v>
      </c>
      <c r="EB14" s="85">
        <v>5143398.51197362</v>
      </c>
      <c r="EC14" s="87">
        <v>1191.69030480906</v>
      </c>
      <c r="ED14" s="85">
        <v>0</v>
      </c>
      <c r="EE14" s="85">
        <v>0</v>
      </c>
      <c r="EF14" s="85">
        <v>0</v>
      </c>
      <c r="EG14" s="85">
        <v>0</v>
      </c>
      <c r="EH14" s="85">
        <v>0</v>
      </c>
      <c r="EI14" s="85">
        <v>0</v>
      </c>
      <c r="EJ14" s="85">
        <v>0</v>
      </c>
      <c r="EK14" s="85">
        <v>0</v>
      </c>
      <c r="EL14" s="85">
        <v>0</v>
      </c>
      <c r="EM14" s="85">
        <v>0</v>
      </c>
      <c r="EN14" s="85">
        <v>0</v>
      </c>
      <c r="EO14" s="152">
        <v>1191.69030480906</v>
      </c>
      <c r="EP14" s="85">
        <v>34830.5848268842</v>
      </c>
      <c r="EQ14" s="85">
        <v>64011.8178840609</v>
      </c>
      <c r="ER14" s="85">
        <v>23175.7529077946</v>
      </c>
      <c r="ES14" s="85">
        <v>16831.6907300051</v>
      </c>
      <c r="ET14" s="85">
        <v>17547.0968965876</v>
      </c>
      <c r="EU14" s="85">
        <v>167760.548567723</v>
      </c>
      <c r="EV14" s="85">
        <v>209655.711064619</v>
      </c>
      <c r="EW14" s="85">
        <v>203294.340646281</v>
      </c>
      <c r="EX14" s="85">
        <v>115685.530657569</v>
      </c>
      <c r="EY14" s="85">
        <v>187778.907877406</v>
      </c>
      <c r="EZ14" s="85">
        <v>254452.814470543</v>
      </c>
      <c r="FA14" s="85">
        <v>95879.4461552026</v>
      </c>
      <c r="FB14" s="85">
        <v>1390904.24268468</v>
      </c>
      <c r="FC14" s="87">
        <v>0</v>
      </c>
      <c r="FD14" s="85">
        <v>0</v>
      </c>
      <c r="FE14" s="85">
        <v>0</v>
      </c>
      <c r="FF14" s="85">
        <v>0</v>
      </c>
      <c r="FG14" s="85">
        <v>0</v>
      </c>
      <c r="FH14" s="85">
        <v>0</v>
      </c>
      <c r="FI14" s="85">
        <v>0</v>
      </c>
      <c r="FJ14" s="85">
        <v>0</v>
      </c>
      <c r="FK14" s="85">
        <v>0</v>
      </c>
      <c r="FL14" s="85">
        <v>0</v>
      </c>
      <c r="FM14" s="85">
        <v>0</v>
      </c>
      <c r="FN14" s="85">
        <v>0</v>
      </c>
      <c r="FO14" s="86">
        <v>0</v>
      </c>
      <c r="FP14" s="87">
        <v>380638.564859679</v>
      </c>
      <c r="FQ14" s="85">
        <v>172902.468586654</v>
      </c>
      <c r="FR14" s="85">
        <v>224286.563856683</v>
      </c>
      <c r="FS14" s="85">
        <v>126812.551863371</v>
      </c>
      <c r="FT14" s="85">
        <v>53127.1782877033</v>
      </c>
      <c r="FU14" s="85">
        <v>883300.092</v>
      </c>
      <c r="FV14" s="85">
        <v>826064.9</v>
      </c>
      <c r="FW14" s="85">
        <v>162036.42</v>
      </c>
      <c r="FX14" s="85">
        <v>32297.78</v>
      </c>
      <c r="FY14" s="85">
        <v>1266092.8</v>
      </c>
      <c r="FZ14" s="85">
        <v>626846.68</v>
      </c>
      <c r="GA14" s="85">
        <v>24055.48</v>
      </c>
      <c r="GB14" s="152">
        <v>4778461.47945409</v>
      </c>
      <c r="GD14" s="153"/>
    </row>
    <row r="15" spans="1:186">
      <c r="A15" s="137" t="s">
        <v>55</v>
      </c>
      <c r="B15" s="151">
        <v>37656257.8908198</v>
      </c>
      <c r="C15" s="138">
        <f t="shared" si="11"/>
        <v>1972012.6702829</v>
      </c>
      <c r="D15" s="138">
        <f t="shared" si="0"/>
        <v>2246533.19283302</v>
      </c>
      <c r="E15" s="138">
        <f t="shared" si="1"/>
        <v>1823766.47217676</v>
      </c>
      <c r="F15" s="138">
        <f t="shared" si="2"/>
        <v>1393951.26195003</v>
      </c>
      <c r="G15" s="138">
        <f t="shared" si="3"/>
        <v>1050610.88506295</v>
      </c>
      <c r="H15" s="138">
        <f t="shared" si="4"/>
        <v>1561624.78172086</v>
      </c>
      <c r="I15" s="138">
        <f t="shared" si="5"/>
        <v>1131110.26409012</v>
      </c>
      <c r="J15" s="138">
        <f t="shared" si="6"/>
        <v>939632.835571753</v>
      </c>
      <c r="K15" s="138">
        <f t="shared" si="7"/>
        <v>327241.418945632</v>
      </c>
      <c r="L15" s="138">
        <f t="shared" si="8"/>
        <v>234837.315093454</v>
      </c>
      <c r="M15" s="138">
        <f t="shared" si="9"/>
        <v>6501619.50862544</v>
      </c>
      <c r="N15" s="138">
        <f t="shared" si="10"/>
        <v>10164851.3293867</v>
      </c>
      <c r="O15" s="86">
        <f t="shared" si="12"/>
        <v>29347791.9357397</v>
      </c>
      <c r="P15" s="138">
        <v>273097.778777191</v>
      </c>
      <c r="Q15" s="138">
        <v>316662.507204902</v>
      </c>
      <c r="R15" s="138">
        <v>350678.589263052</v>
      </c>
      <c r="S15" s="138">
        <v>318527.512314764</v>
      </c>
      <c r="T15" s="138">
        <v>258050.240331926</v>
      </c>
      <c r="U15" s="138">
        <v>246080.153559462</v>
      </c>
      <c r="V15" s="138">
        <v>220354.179113154</v>
      </c>
      <c r="W15" s="138">
        <v>74254.2346971398</v>
      </c>
      <c r="X15" s="138">
        <v>52132.3822747106</v>
      </c>
      <c r="Y15" s="138">
        <v>52132.3822747106</v>
      </c>
      <c r="Z15" s="138">
        <v>632069.841582629</v>
      </c>
      <c r="AA15" s="138">
        <v>1156346.91417144</v>
      </c>
      <c r="AB15" s="86">
        <v>3950386.71556508</v>
      </c>
      <c r="AC15" s="138">
        <v>198892.765685375</v>
      </c>
      <c r="AD15" s="138">
        <v>301710.705971887</v>
      </c>
      <c r="AE15" s="138">
        <v>235041.840923253</v>
      </c>
      <c r="AF15" s="138">
        <v>213340.152554653</v>
      </c>
      <c r="AG15" s="138">
        <v>204617.059478973</v>
      </c>
      <c r="AH15" s="138">
        <v>168090.349475678</v>
      </c>
      <c r="AI15" s="138">
        <v>103547.960694918</v>
      </c>
      <c r="AJ15" s="138">
        <v>116200.241530384</v>
      </c>
      <c r="AK15" s="138">
        <v>116200.241530384</v>
      </c>
      <c r="AL15" s="138">
        <v>60075.3130790259</v>
      </c>
      <c r="AM15" s="138">
        <v>588941.879782284</v>
      </c>
      <c r="AN15" s="138">
        <v>641061.173471323</v>
      </c>
      <c r="AO15" s="86">
        <v>2947719.68417814</v>
      </c>
      <c r="AP15" s="138">
        <v>268320.178079389</v>
      </c>
      <c r="AQ15" s="138">
        <v>159000.212616583</v>
      </c>
      <c r="AR15" s="138">
        <v>135754.882396194</v>
      </c>
      <c r="AS15" s="138">
        <v>87307.2684758129</v>
      </c>
      <c r="AT15" s="138">
        <v>50441.8004300432</v>
      </c>
      <c r="AU15" s="138">
        <v>36238.8092044663</v>
      </c>
      <c r="AV15" s="138">
        <v>32842.8219247827</v>
      </c>
      <c r="AW15" s="138">
        <v>22654.860085732</v>
      </c>
      <c r="AX15" s="138">
        <v>22654.860085732</v>
      </c>
      <c r="AY15" s="138">
        <v>20750.8177794824</v>
      </c>
      <c r="AZ15" s="138">
        <v>1720652.31564358</v>
      </c>
      <c r="BA15" s="138">
        <v>3204775.0711862</v>
      </c>
      <c r="BB15" s="86">
        <v>5761393.89790799</v>
      </c>
      <c r="BC15" s="138">
        <v>62440.1933351715</v>
      </c>
      <c r="BD15" s="138">
        <v>172753.358822158</v>
      </c>
      <c r="BE15" s="138">
        <v>106966.610738503</v>
      </c>
      <c r="BF15" s="138">
        <v>60836.0260105632</v>
      </c>
      <c r="BG15" s="138">
        <v>28345.6086088552</v>
      </c>
      <c r="BH15" s="138">
        <v>28812.7540035214</v>
      </c>
      <c r="BI15" s="138">
        <v>74447.0205564566</v>
      </c>
      <c r="BJ15" s="138">
        <v>51629.887279989</v>
      </c>
      <c r="BK15" s="138">
        <v>0</v>
      </c>
      <c r="BL15" s="138">
        <v>0</v>
      </c>
      <c r="BM15" s="138">
        <v>38286.3761757677</v>
      </c>
      <c r="BN15" s="138">
        <v>76572.7523515355</v>
      </c>
      <c r="BO15" s="86">
        <v>701090.587882521</v>
      </c>
      <c r="BP15" s="138">
        <v>247768.10387232</v>
      </c>
      <c r="BQ15" s="138">
        <v>307589.170290838</v>
      </c>
      <c r="BR15" s="138">
        <v>211600.696167391</v>
      </c>
      <c r="BS15" s="138">
        <v>123043.16816975</v>
      </c>
      <c r="BT15" s="138">
        <v>108875.729017296</v>
      </c>
      <c r="BU15" s="138">
        <v>35971.8913900301</v>
      </c>
      <c r="BV15" s="138">
        <v>14847.9721907784</v>
      </c>
      <c r="BW15" s="138">
        <v>15378.6213687306</v>
      </c>
      <c r="BX15" s="138">
        <v>15378.6213687306</v>
      </c>
      <c r="BY15" s="138">
        <v>15909.2705466828</v>
      </c>
      <c r="BZ15" s="138">
        <v>359402.565351907</v>
      </c>
      <c r="CA15" s="138">
        <v>593534.50713685</v>
      </c>
      <c r="CB15" s="86">
        <v>2049300.3168713</v>
      </c>
      <c r="CC15" s="138">
        <v>68695.6022637253</v>
      </c>
      <c r="CD15" s="138">
        <v>39629.6169296851</v>
      </c>
      <c r="CE15" s="138">
        <v>42983.6008050137</v>
      </c>
      <c r="CF15" s="138">
        <v>74276.13545401</v>
      </c>
      <c r="CG15" s="138">
        <v>57589.5858017485</v>
      </c>
      <c r="CH15" s="138">
        <v>70866.4896285565</v>
      </c>
      <c r="CI15" s="138">
        <v>43434.3373313861</v>
      </c>
      <c r="CJ15" s="138">
        <v>28010.0068659951</v>
      </c>
      <c r="CK15" s="138">
        <v>19846.0674627206</v>
      </c>
      <c r="CL15" s="138">
        <v>12209.7082586335</v>
      </c>
      <c r="CM15" s="138">
        <v>40719.1189726224</v>
      </c>
      <c r="CN15" s="138">
        <v>147365.999141772</v>
      </c>
      <c r="CO15" s="86">
        <v>645626.268915869</v>
      </c>
      <c r="CP15" s="138">
        <v>140320.006489716</v>
      </c>
      <c r="CQ15" s="138">
        <v>191621.65067828</v>
      </c>
      <c r="CR15" s="138">
        <v>113664.361864721</v>
      </c>
      <c r="CS15" s="138">
        <v>53368.7402807412</v>
      </c>
      <c r="CT15" s="138">
        <v>53020.7003737213</v>
      </c>
      <c r="CU15" s="138">
        <v>49759.069070884</v>
      </c>
      <c r="CV15" s="138">
        <v>90118.6874226214</v>
      </c>
      <c r="CW15" s="138">
        <v>57966.9506424501</v>
      </c>
      <c r="CX15" s="138">
        <v>0</v>
      </c>
      <c r="CY15" s="138">
        <v>0</v>
      </c>
      <c r="CZ15" s="138">
        <v>43818.2748983571</v>
      </c>
      <c r="DA15" s="138">
        <v>166273.386567166</v>
      </c>
      <c r="DB15" s="86">
        <v>959931.828288659</v>
      </c>
      <c r="DC15" s="138">
        <v>24223.7770903335</v>
      </c>
      <c r="DD15" s="138">
        <v>80008.4686742171</v>
      </c>
      <c r="DE15" s="138">
        <v>31677.9299898005</v>
      </c>
      <c r="DF15" s="138">
        <v>23447.8164829984</v>
      </c>
      <c r="DG15" s="138">
        <v>19516.0023557776</v>
      </c>
      <c r="DH15" s="138">
        <v>11451.8365740926</v>
      </c>
      <c r="DI15" s="138">
        <v>22770.2563636924</v>
      </c>
      <c r="DJ15" s="138">
        <v>24350.6263160864</v>
      </c>
      <c r="DK15" s="138">
        <v>18396.3865215576</v>
      </c>
      <c r="DL15" s="138">
        <v>15961.8740622561</v>
      </c>
      <c r="DM15" s="138">
        <v>54377.6554115723</v>
      </c>
      <c r="DN15" s="138">
        <v>116139.998616359</v>
      </c>
      <c r="DO15" s="86">
        <v>442322.628458743</v>
      </c>
      <c r="DP15" s="138">
        <v>492844.138469566</v>
      </c>
      <c r="DQ15" s="138">
        <v>324157.226120972</v>
      </c>
      <c r="DR15" s="138">
        <v>391606.78308299</v>
      </c>
      <c r="DS15" s="138">
        <v>199899.546325952</v>
      </c>
      <c r="DT15" s="138">
        <v>158175.11822117</v>
      </c>
      <c r="DU15" s="138">
        <v>104206.401321234</v>
      </c>
      <c r="DV15" s="138">
        <v>122253.135944195</v>
      </c>
      <c r="DW15" s="138">
        <v>131827.129459836</v>
      </c>
      <c r="DX15" s="138">
        <v>10385.0298334497</v>
      </c>
      <c r="DY15" s="138">
        <v>0</v>
      </c>
      <c r="DZ15" s="138">
        <v>139774.344132987</v>
      </c>
      <c r="EA15" s="138">
        <v>623572.410694301</v>
      </c>
      <c r="EB15" s="85">
        <v>2698701.26360665</v>
      </c>
      <c r="EC15" s="87">
        <v>0</v>
      </c>
      <c r="ED15" s="85">
        <v>23923.6058390994</v>
      </c>
      <c r="EE15" s="85">
        <v>0</v>
      </c>
      <c r="EF15" s="85">
        <v>0</v>
      </c>
      <c r="EG15" s="85">
        <v>0</v>
      </c>
      <c r="EH15" s="85">
        <v>0</v>
      </c>
      <c r="EI15" s="85">
        <v>0</v>
      </c>
      <c r="EJ15" s="85">
        <v>0</v>
      </c>
      <c r="EK15" s="85">
        <v>0</v>
      </c>
      <c r="EL15" s="85">
        <v>0</v>
      </c>
      <c r="EM15" s="85">
        <v>0</v>
      </c>
      <c r="EN15" s="85">
        <v>0</v>
      </c>
      <c r="EO15" s="152">
        <v>23923.6058390994</v>
      </c>
      <c r="EP15" s="85">
        <v>121041.721386093</v>
      </c>
      <c r="EQ15" s="85">
        <v>135680.905055231</v>
      </c>
      <c r="ER15" s="85">
        <v>113403.203035806</v>
      </c>
      <c r="ES15" s="85">
        <v>125114.615563331</v>
      </c>
      <c r="ET15" s="85">
        <v>61629.2847418571</v>
      </c>
      <c r="EU15" s="85">
        <v>61170.4654929311</v>
      </c>
      <c r="EV15" s="85">
        <v>49329.1325481372</v>
      </c>
      <c r="EW15" s="85">
        <v>60928.297325409</v>
      </c>
      <c r="EX15" s="85">
        <v>49637.8498683463</v>
      </c>
      <c r="EY15" s="85">
        <v>40020.069092663</v>
      </c>
      <c r="EZ15" s="85">
        <v>62119.2566737391</v>
      </c>
      <c r="FA15" s="85">
        <v>267291.236049791</v>
      </c>
      <c r="FB15" s="85">
        <v>1147366.03683334</v>
      </c>
      <c r="FC15" s="87">
        <v>0</v>
      </c>
      <c r="FD15" s="85">
        <v>0</v>
      </c>
      <c r="FE15" s="85">
        <v>0</v>
      </c>
      <c r="FF15" s="85">
        <v>0</v>
      </c>
      <c r="FG15" s="85">
        <v>0</v>
      </c>
      <c r="FH15" s="85">
        <v>0</v>
      </c>
      <c r="FI15" s="85">
        <v>0</v>
      </c>
      <c r="FJ15" s="85">
        <v>0</v>
      </c>
      <c r="FK15" s="85">
        <v>0</v>
      </c>
      <c r="FL15" s="85">
        <v>0</v>
      </c>
      <c r="FM15" s="85">
        <v>0</v>
      </c>
      <c r="FN15" s="85">
        <v>0</v>
      </c>
      <c r="FO15" s="86">
        <v>0</v>
      </c>
      <c r="FP15" s="87">
        <v>74368.4048340224</v>
      </c>
      <c r="FQ15" s="85">
        <v>193795.764629168</v>
      </c>
      <c r="FR15" s="85">
        <v>90387.97391004</v>
      </c>
      <c r="FS15" s="85">
        <v>114790.280317456</v>
      </c>
      <c r="FT15" s="85">
        <v>50349.7557015866</v>
      </c>
      <c r="FU15" s="85">
        <v>748976.562</v>
      </c>
      <c r="FV15" s="85">
        <v>357164.76</v>
      </c>
      <c r="FW15" s="85">
        <v>356431.98</v>
      </c>
      <c r="FX15" s="85">
        <v>22609.98</v>
      </c>
      <c r="FY15" s="85">
        <v>17777.88</v>
      </c>
      <c r="FZ15" s="85">
        <v>2821457.88</v>
      </c>
      <c r="GA15" s="85">
        <v>3171917.88</v>
      </c>
      <c r="GB15" s="152">
        <v>8020029.10139227</v>
      </c>
      <c r="GD15" s="153"/>
    </row>
    <row r="16" spans="1:186">
      <c r="A16" s="137" t="s">
        <v>57</v>
      </c>
      <c r="B16" s="151">
        <v>40013269.1982553</v>
      </c>
      <c r="C16" s="138">
        <f t="shared" si="11"/>
        <v>4018056.03531279</v>
      </c>
      <c r="D16" s="138">
        <f t="shared" si="0"/>
        <v>2885065.96291293</v>
      </c>
      <c r="E16" s="138">
        <f t="shared" si="1"/>
        <v>2538395.81657054</v>
      </c>
      <c r="F16" s="138">
        <f t="shared" si="2"/>
        <v>2267770.32072693</v>
      </c>
      <c r="G16" s="138">
        <f t="shared" si="3"/>
        <v>16239488.3032636</v>
      </c>
      <c r="H16" s="138">
        <f t="shared" si="4"/>
        <v>8790682.50097572</v>
      </c>
      <c r="I16" s="138">
        <f t="shared" si="5"/>
        <v>6166966.60531788</v>
      </c>
      <c r="J16" s="138">
        <f t="shared" si="6"/>
        <v>12095415.6798483</v>
      </c>
      <c r="K16" s="138">
        <f t="shared" si="7"/>
        <v>7675640.38939532</v>
      </c>
      <c r="L16" s="138">
        <f t="shared" si="8"/>
        <v>5189195.32010518</v>
      </c>
      <c r="M16" s="138">
        <f t="shared" si="9"/>
        <v>5388962.03981905</v>
      </c>
      <c r="N16" s="138">
        <f t="shared" si="10"/>
        <v>7876432.24574891</v>
      </c>
      <c r="O16" s="86">
        <f t="shared" si="12"/>
        <v>81132071.2199971</v>
      </c>
      <c r="P16" s="138">
        <v>148018.621911565</v>
      </c>
      <c r="Q16" s="138">
        <v>96334.3979255777</v>
      </c>
      <c r="R16" s="138">
        <v>137975.414101183</v>
      </c>
      <c r="S16" s="138">
        <v>92809.3366875264</v>
      </c>
      <c r="T16" s="138">
        <v>379472.707110814</v>
      </c>
      <c r="U16" s="138">
        <v>376970.45035277</v>
      </c>
      <c r="V16" s="138">
        <v>376112.917871226</v>
      </c>
      <c r="W16" s="138">
        <v>418513.135014215</v>
      </c>
      <c r="X16" s="138">
        <v>380752.707143346</v>
      </c>
      <c r="Y16" s="138">
        <v>109822.155003483</v>
      </c>
      <c r="Z16" s="138">
        <v>148307.549948121</v>
      </c>
      <c r="AA16" s="138">
        <v>240158.532699277</v>
      </c>
      <c r="AB16" s="86">
        <v>2905247.9257691</v>
      </c>
      <c r="AC16" s="138">
        <v>83634.7763741289</v>
      </c>
      <c r="AD16" s="138">
        <v>42533.1247610166</v>
      </c>
      <c r="AE16" s="138">
        <v>46316.2098148877</v>
      </c>
      <c r="AF16" s="138">
        <v>53851.3311630441</v>
      </c>
      <c r="AG16" s="138">
        <v>297041.807686123</v>
      </c>
      <c r="AH16" s="138">
        <v>391608.861815706</v>
      </c>
      <c r="AI16" s="138">
        <v>213171.389900349</v>
      </c>
      <c r="AJ16" s="138">
        <v>200821.961654831</v>
      </c>
      <c r="AK16" s="138">
        <v>189794.444038411</v>
      </c>
      <c r="AL16" s="138">
        <v>169433.746268252</v>
      </c>
      <c r="AM16" s="138">
        <v>274715.94730088</v>
      </c>
      <c r="AN16" s="138">
        <v>250917.463374554</v>
      </c>
      <c r="AO16" s="86">
        <v>2213841.06415218</v>
      </c>
      <c r="AP16" s="138">
        <v>340645.197749228</v>
      </c>
      <c r="AQ16" s="138">
        <v>278942.901137646</v>
      </c>
      <c r="AR16" s="138">
        <v>278699.937149526</v>
      </c>
      <c r="AS16" s="138">
        <v>210561.278038053</v>
      </c>
      <c r="AT16" s="138">
        <v>992456.084801156</v>
      </c>
      <c r="AU16" s="138">
        <v>807634.457997562</v>
      </c>
      <c r="AV16" s="138">
        <v>831330.054634455</v>
      </c>
      <c r="AW16" s="138">
        <v>1258117.89422166</v>
      </c>
      <c r="AX16" s="138">
        <v>1103486.00151472</v>
      </c>
      <c r="AY16" s="138">
        <v>665251.013793749</v>
      </c>
      <c r="AZ16" s="138">
        <v>842433.788324207</v>
      </c>
      <c r="BA16" s="138">
        <v>800937.876339309</v>
      </c>
      <c r="BB16" s="86">
        <v>8410496.48570126</v>
      </c>
      <c r="BC16" s="138">
        <v>372341.824714173</v>
      </c>
      <c r="BD16" s="138">
        <v>251722.281214497</v>
      </c>
      <c r="BE16" s="138">
        <v>192707.123530949</v>
      </c>
      <c r="BF16" s="138">
        <v>87573.4004800416</v>
      </c>
      <c r="BG16" s="138">
        <v>874186.743117766</v>
      </c>
      <c r="BH16" s="138">
        <v>411945.938408361</v>
      </c>
      <c r="BI16" s="138">
        <v>227320.524405215</v>
      </c>
      <c r="BJ16" s="138">
        <v>644216.620541352</v>
      </c>
      <c r="BK16" s="138">
        <v>290435.035434359</v>
      </c>
      <c r="BL16" s="138">
        <v>116174.014173744</v>
      </c>
      <c r="BM16" s="138">
        <v>138449.723948736</v>
      </c>
      <c r="BN16" s="138">
        <v>366363.235998424</v>
      </c>
      <c r="BO16" s="86">
        <v>3973436.46596762</v>
      </c>
      <c r="BP16" s="138">
        <v>941341.067669617</v>
      </c>
      <c r="BQ16" s="138">
        <v>580463.69599135</v>
      </c>
      <c r="BR16" s="138">
        <v>450452.552446926</v>
      </c>
      <c r="BS16" s="138">
        <v>325682.942206927</v>
      </c>
      <c r="BT16" s="138">
        <v>4462917.08274088</v>
      </c>
      <c r="BU16" s="138">
        <v>3204658.41759933</v>
      </c>
      <c r="BV16" s="138">
        <v>1997617.49174347</v>
      </c>
      <c r="BW16" s="138">
        <v>3633671.26998723</v>
      </c>
      <c r="BX16" s="138">
        <v>2726061.61531432</v>
      </c>
      <c r="BY16" s="138">
        <v>2161529.12671094</v>
      </c>
      <c r="BZ16" s="138">
        <v>2106840.51314044</v>
      </c>
      <c r="CA16" s="138">
        <v>1773252.66965699</v>
      </c>
      <c r="CB16" s="86">
        <v>24364488.4452084</v>
      </c>
      <c r="CC16" s="138">
        <v>31451.6789924802</v>
      </c>
      <c r="CD16" s="138">
        <v>42908.4450367081</v>
      </c>
      <c r="CE16" s="138">
        <v>31847.2194625305</v>
      </c>
      <c r="CF16" s="138">
        <v>190698.104970133</v>
      </c>
      <c r="CG16" s="138">
        <v>225956.442364234</v>
      </c>
      <c r="CH16" s="138">
        <v>236305.06362259</v>
      </c>
      <c r="CI16" s="138">
        <v>167818.02373515</v>
      </c>
      <c r="CJ16" s="138">
        <v>206918.638830509</v>
      </c>
      <c r="CK16" s="138">
        <v>185107.376891967</v>
      </c>
      <c r="CL16" s="138">
        <v>119163.695509819</v>
      </c>
      <c r="CM16" s="138">
        <v>61458.647205994</v>
      </c>
      <c r="CN16" s="138">
        <v>157682.521012861</v>
      </c>
      <c r="CO16" s="86">
        <v>1657315.85763498</v>
      </c>
      <c r="CP16" s="138">
        <v>284063.338218255</v>
      </c>
      <c r="CQ16" s="138">
        <v>224867.155101156</v>
      </c>
      <c r="CR16" s="138">
        <v>187561.924831238</v>
      </c>
      <c r="CS16" s="138">
        <v>165607.385861675</v>
      </c>
      <c r="CT16" s="138">
        <v>1122922.08090989</v>
      </c>
      <c r="CU16" s="138">
        <v>411837.994560453</v>
      </c>
      <c r="CV16" s="138">
        <v>206968.963799957</v>
      </c>
      <c r="CW16" s="138">
        <v>769572.481260376</v>
      </c>
      <c r="CX16" s="138">
        <v>389548.58159986</v>
      </c>
      <c r="CY16" s="138">
        <v>171092.905018389</v>
      </c>
      <c r="CZ16" s="138">
        <v>154052.464780139</v>
      </c>
      <c r="DA16" s="138">
        <v>493582.621792773</v>
      </c>
      <c r="DB16" s="86">
        <v>4581677.89773415</v>
      </c>
      <c r="DC16" s="138">
        <v>31634.2774116747</v>
      </c>
      <c r="DD16" s="138">
        <v>30841.6158024292</v>
      </c>
      <c r="DE16" s="138">
        <v>18724.5013655724</v>
      </c>
      <c r="DF16" s="138">
        <v>22899.1139529434</v>
      </c>
      <c r="DG16" s="138">
        <v>67102.6096702031</v>
      </c>
      <c r="DH16" s="138">
        <v>34539.8174451853</v>
      </c>
      <c r="DI16" s="138">
        <v>21407.2044726372</v>
      </c>
      <c r="DJ16" s="138">
        <v>76468.448975889</v>
      </c>
      <c r="DK16" s="138">
        <v>47914.5062328957</v>
      </c>
      <c r="DL16" s="138">
        <v>24665.5999619508</v>
      </c>
      <c r="DM16" s="138">
        <v>13325.1732800635</v>
      </c>
      <c r="DN16" s="138">
        <v>53955.3981658064</v>
      </c>
      <c r="DO16" s="86">
        <v>443478.266737251</v>
      </c>
      <c r="DP16" s="138">
        <v>695910.467637132</v>
      </c>
      <c r="DQ16" s="138">
        <v>515666.086138325</v>
      </c>
      <c r="DR16" s="138">
        <v>508515.860305415</v>
      </c>
      <c r="DS16" s="138">
        <v>441785.31946206</v>
      </c>
      <c r="DT16" s="138">
        <v>1055590.5334632</v>
      </c>
      <c r="DU16" s="138">
        <v>831045.54069776</v>
      </c>
      <c r="DV16" s="138">
        <v>557241.562288296</v>
      </c>
      <c r="DW16" s="138">
        <v>1140724.93410136</v>
      </c>
      <c r="DX16" s="138">
        <v>987958.321527188</v>
      </c>
      <c r="DY16" s="138">
        <v>679984.1437473</v>
      </c>
      <c r="DZ16" s="138">
        <v>329873.727096346</v>
      </c>
      <c r="EA16" s="138">
        <v>999723.838710099</v>
      </c>
      <c r="EB16" s="85">
        <v>8744020.33517447</v>
      </c>
      <c r="EC16" s="87">
        <v>0</v>
      </c>
      <c r="ED16" s="85">
        <v>95694.4233563976</v>
      </c>
      <c r="EE16" s="85">
        <v>0</v>
      </c>
      <c r="EF16" s="85">
        <v>0</v>
      </c>
      <c r="EG16" s="85">
        <v>0</v>
      </c>
      <c r="EH16" s="85">
        <v>0</v>
      </c>
      <c r="EI16" s="85">
        <v>0</v>
      </c>
      <c r="EJ16" s="85">
        <v>0</v>
      </c>
      <c r="EK16" s="85">
        <v>0</v>
      </c>
      <c r="EL16" s="85">
        <v>0</v>
      </c>
      <c r="EM16" s="85">
        <v>0</v>
      </c>
      <c r="EN16" s="85">
        <v>0</v>
      </c>
      <c r="EO16" s="152">
        <v>95694.4233563976</v>
      </c>
      <c r="EP16" s="85">
        <v>93589.2815380903</v>
      </c>
      <c r="EQ16" s="85">
        <v>110360.021337818</v>
      </c>
      <c r="ER16" s="85">
        <v>74649.4730424775</v>
      </c>
      <c r="ES16" s="85">
        <v>144150.143109442</v>
      </c>
      <c r="ET16" s="85">
        <v>352019.63976197</v>
      </c>
      <c r="EU16" s="85">
        <v>214045.998476</v>
      </c>
      <c r="EV16" s="85">
        <v>202128.472467118</v>
      </c>
      <c r="EW16" s="85">
        <v>261600.135260903</v>
      </c>
      <c r="EX16" s="85">
        <v>234678.199698262</v>
      </c>
      <c r="EY16" s="85">
        <v>137712.719917553</v>
      </c>
      <c r="EZ16" s="85">
        <v>52078.3047941221</v>
      </c>
      <c r="FA16" s="85">
        <v>195317.887998812</v>
      </c>
      <c r="FB16" s="85">
        <v>2072330.27740257</v>
      </c>
      <c r="FC16" s="87">
        <v>0</v>
      </c>
      <c r="FD16" s="85">
        <v>0</v>
      </c>
      <c r="FE16" s="85">
        <v>0</v>
      </c>
      <c r="FF16" s="85">
        <v>0</v>
      </c>
      <c r="FG16" s="85">
        <v>0</v>
      </c>
      <c r="FH16" s="85">
        <v>0</v>
      </c>
      <c r="FI16" s="85">
        <v>0</v>
      </c>
      <c r="FJ16" s="85">
        <v>0</v>
      </c>
      <c r="FK16" s="85">
        <v>0</v>
      </c>
      <c r="FL16" s="85">
        <v>0</v>
      </c>
      <c r="FM16" s="85">
        <v>0</v>
      </c>
      <c r="FN16" s="85">
        <v>0</v>
      </c>
      <c r="FO16" s="86">
        <v>0</v>
      </c>
      <c r="FP16" s="87">
        <v>995425.503096446</v>
      </c>
      <c r="FQ16" s="85">
        <v>614731.81511001</v>
      </c>
      <c r="FR16" s="85">
        <v>610945.600519838</v>
      </c>
      <c r="FS16" s="85">
        <v>532151.964795085</v>
      </c>
      <c r="FT16" s="85">
        <v>6409822.57163732</v>
      </c>
      <c r="FU16" s="85">
        <v>1870089.96</v>
      </c>
      <c r="FV16" s="85">
        <v>1365850</v>
      </c>
      <c r="FW16" s="85">
        <v>3484790.16</v>
      </c>
      <c r="FX16" s="85">
        <v>1139903.6</v>
      </c>
      <c r="FY16" s="85">
        <v>834366.2</v>
      </c>
      <c r="FZ16" s="85">
        <v>1267426.2</v>
      </c>
      <c r="GA16" s="85">
        <v>2544540.2</v>
      </c>
      <c r="GB16" s="152">
        <v>21670043.7751587</v>
      </c>
      <c r="GD16" s="153"/>
    </row>
    <row r="17" spans="1:186">
      <c r="A17" s="137" t="s">
        <v>59</v>
      </c>
      <c r="B17" s="151">
        <v>18366005.4762901</v>
      </c>
      <c r="C17" s="138">
        <f t="shared" si="11"/>
        <v>957590.878831048</v>
      </c>
      <c r="D17" s="138">
        <f t="shared" si="0"/>
        <v>720305.181398005</v>
      </c>
      <c r="E17" s="138">
        <f t="shared" si="1"/>
        <v>1534007.9711699</v>
      </c>
      <c r="F17" s="138">
        <f t="shared" si="2"/>
        <v>1165566.36125892</v>
      </c>
      <c r="G17" s="138">
        <f t="shared" si="3"/>
        <v>765913.39327595</v>
      </c>
      <c r="H17" s="138">
        <f t="shared" si="4"/>
        <v>668039.086005686</v>
      </c>
      <c r="I17" s="138">
        <f t="shared" si="5"/>
        <v>495690.358405777</v>
      </c>
      <c r="J17" s="138">
        <f t="shared" si="6"/>
        <v>329969.040855249</v>
      </c>
      <c r="K17" s="138">
        <f t="shared" si="7"/>
        <v>584620.779603275</v>
      </c>
      <c r="L17" s="138">
        <f t="shared" si="8"/>
        <v>401466.657469065</v>
      </c>
      <c r="M17" s="138">
        <f t="shared" si="9"/>
        <v>174329.431973151</v>
      </c>
      <c r="N17" s="138">
        <f t="shared" si="10"/>
        <v>4710378.56335564</v>
      </c>
      <c r="O17" s="86">
        <f t="shared" si="12"/>
        <v>12507877.7036017</v>
      </c>
      <c r="P17" s="138">
        <v>153076.085833579</v>
      </c>
      <c r="Q17" s="138">
        <v>76693.8151588184</v>
      </c>
      <c r="R17" s="138">
        <v>202501.057993991</v>
      </c>
      <c r="S17" s="138">
        <v>214043.649668598</v>
      </c>
      <c r="T17" s="138">
        <v>129296.297362362</v>
      </c>
      <c r="U17" s="138">
        <v>122208.735292446</v>
      </c>
      <c r="V17" s="138">
        <v>122208.735292446</v>
      </c>
      <c r="W17" s="138">
        <v>73325.2411754676</v>
      </c>
      <c r="X17" s="138">
        <v>0</v>
      </c>
      <c r="Y17" s="138">
        <v>0</v>
      </c>
      <c r="Z17" s="138">
        <v>0</v>
      </c>
      <c r="AA17" s="138">
        <v>0</v>
      </c>
      <c r="AB17" s="86">
        <v>1093353.61777771</v>
      </c>
      <c r="AC17" s="138">
        <v>190294.553282127</v>
      </c>
      <c r="AD17" s="138">
        <v>123917.603900224</v>
      </c>
      <c r="AE17" s="138">
        <v>220608.202036314</v>
      </c>
      <c r="AF17" s="138">
        <v>198414.041280114</v>
      </c>
      <c r="AG17" s="138">
        <v>185191.199919958</v>
      </c>
      <c r="AH17" s="138">
        <v>166609.850497115</v>
      </c>
      <c r="AI17" s="138">
        <v>113487.869179194</v>
      </c>
      <c r="AJ17" s="138">
        <v>72439.0654335281</v>
      </c>
      <c r="AK17" s="138">
        <v>54329.2990751461</v>
      </c>
      <c r="AL17" s="138">
        <v>0</v>
      </c>
      <c r="AM17" s="138">
        <v>0</v>
      </c>
      <c r="AN17" s="138">
        <v>0</v>
      </c>
      <c r="AO17" s="86">
        <v>1325291.68460372</v>
      </c>
      <c r="AP17" s="138">
        <v>47378.6439541551</v>
      </c>
      <c r="AQ17" s="138">
        <v>16951.6517756453</v>
      </c>
      <c r="AR17" s="138">
        <v>39384.3111033881</v>
      </c>
      <c r="AS17" s="138">
        <v>27535.4750022056</v>
      </c>
      <c r="AT17" s="138">
        <v>13307.2877853476</v>
      </c>
      <c r="AU17" s="138">
        <v>9005.08986522841</v>
      </c>
      <c r="AV17" s="138">
        <v>9005.08986522841</v>
      </c>
      <c r="AW17" s="138">
        <v>5628.18116576776</v>
      </c>
      <c r="AX17" s="138">
        <v>56625.2261016905</v>
      </c>
      <c r="AY17" s="138">
        <v>43031.7376928447</v>
      </c>
      <c r="AZ17" s="138">
        <v>2251.2724663071</v>
      </c>
      <c r="BA17" s="138">
        <v>1109762.85440806</v>
      </c>
      <c r="BB17" s="86">
        <v>1379866.82118587</v>
      </c>
      <c r="BC17" s="138">
        <v>78088.8695513271</v>
      </c>
      <c r="BD17" s="138">
        <v>20756.5332213416</v>
      </c>
      <c r="BE17" s="138">
        <v>100202.100161639</v>
      </c>
      <c r="BF17" s="138">
        <v>44199.5978132838</v>
      </c>
      <c r="BG17" s="138">
        <v>30541.3131249254</v>
      </c>
      <c r="BH17" s="138">
        <v>14907.1937406255</v>
      </c>
      <c r="BI17" s="138">
        <v>1216.91377474494</v>
      </c>
      <c r="BJ17" s="138">
        <v>1216.91377474494</v>
      </c>
      <c r="BK17" s="138">
        <v>44087.3422630053</v>
      </c>
      <c r="BL17" s="138">
        <v>44087.3422630053</v>
      </c>
      <c r="BM17" s="138">
        <v>29391.5615086702</v>
      </c>
      <c r="BN17" s="138">
        <v>199553.233400971</v>
      </c>
      <c r="BO17" s="86">
        <v>608248.914598284</v>
      </c>
      <c r="BP17" s="138">
        <v>216769.468975896</v>
      </c>
      <c r="BQ17" s="138">
        <v>185802.299969676</v>
      </c>
      <c r="BR17" s="138">
        <v>306571.816505614</v>
      </c>
      <c r="BS17" s="138">
        <v>193210.914823217</v>
      </c>
      <c r="BT17" s="138">
        <v>118800.303943727</v>
      </c>
      <c r="BU17" s="138">
        <v>65133.7849963401</v>
      </c>
      <c r="BV17" s="138">
        <v>45064.3609584037</v>
      </c>
      <c r="BW17" s="138">
        <v>46942.0426650038</v>
      </c>
      <c r="BX17" s="138">
        <v>230505.839068936</v>
      </c>
      <c r="BY17" s="138">
        <v>103122.823582048</v>
      </c>
      <c r="BZ17" s="138">
        <v>47880.8835183039</v>
      </c>
      <c r="CA17" s="138">
        <v>719254.141546696</v>
      </c>
      <c r="CB17" s="86">
        <v>2279058.68055386</v>
      </c>
      <c r="CC17" s="138">
        <v>13244.6848307185</v>
      </c>
      <c r="CD17" s="138">
        <v>20174.2903161884</v>
      </c>
      <c r="CE17" s="138">
        <v>30770.4839371598</v>
      </c>
      <c r="CF17" s="138">
        <v>71750.8155360545</v>
      </c>
      <c r="CG17" s="138">
        <v>31634.0562310562</v>
      </c>
      <c r="CH17" s="138">
        <v>64812.292642816</v>
      </c>
      <c r="CI17" s="138">
        <v>48492.8487741992</v>
      </c>
      <c r="CJ17" s="138">
        <v>19799.1475758828</v>
      </c>
      <c r="CK17" s="138">
        <v>32556.1041007333</v>
      </c>
      <c r="CL17" s="138">
        <v>34366.2838525014</v>
      </c>
      <c r="CM17" s="138">
        <v>5959.75313157819</v>
      </c>
      <c r="CN17" s="138">
        <v>89019.8915127311</v>
      </c>
      <c r="CO17" s="86">
        <v>462580.652441619</v>
      </c>
      <c r="CP17" s="138">
        <v>59511.7546746236</v>
      </c>
      <c r="CQ17" s="138">
        <v>42244.2372191311</v>
      </c>
      <c r="CR17" s="138">
        <v>84141.6078512403</v>
      </c>
      <c r="CS17" s="138">
        <v>66624.991174095</v>
      </c>
      <c r="CT17" s="138">
        <v>55891.5202939327</v>
      </c>
      <c r="CU17" s="138">
        <v>46279.6718216598</v>
      </c>
      <c r="CV17" s="138">
        <v>31046.5510026182</v>
      </c>
      <c r="CW17" s="138">
        <v>8814.93709011718</v>
      </c>
      <c r="CX17" s="138">
        <v>21023.9197744642</v>
      </c>
      <c r="CY17" s="138">
        <v>42047.8395489285</v>
      </c>
      <c r="CZ17" s="138">
        <v>21023.9197744642</v>
      </c>
      <c r="DA17" s="138">
        <v>57096.5400190713</v>
      </c>
      <c r="DB17" s="86">
        <v>535747.490244346</v>
      </c>
      <c r="DC17" s="138">
        <v>20722.375808052</v>
      </c>
      <c r="DD17" s="138">
        <v>15432.4390544007</v>
      </c>
      <c r="DE17" s="138">
        <v>23916.1750850546</v>
      </c>
      <c r="DF17" s="138">
        <v>27425.5428838433</v>
      </c>
      <c r="DG17" s="138">
        <v>24379.3745259593</v>
      </c>
      <c r="DH17" s="138">
        <v>14607.0747558087</v>
      </c>
      <c r="DI17" s="138">
        <v>10387.2531596862</v>
      </c>
      <c r="DJ17" s="138">
        <v>6329.73239418377</v>
      </c>
      <c r="DK17" s="138">
        <v>22034.4009028301</v>
      </c>
      <c r="DL17" s="138">
        <v>32495.9273239865</v>
      </c>
      <c r="DM17" s="138">
        <v>8976.06119175213</v>
      </c>
      <c r="DN17" s="138">
        <v>57501.2586856251</v>
      </c>
      <c r="DO17" s="86">
        <v>264207.615771182</v>
      </c>
      <c r="DP17" s="138">
        <v>134324.498846136</v>
      </c>
      <c r="DQ17" s="138">
        <v>71473.4291123946</v>
      </c>
      <c r="DR17" s="138">
        <v>140938.626047716</v>
      </c>
      <c r="DS17" s="138">
        <v>190453.834395139</v>
      </c>
      <c r="DT17" s="138">
        <v>85570.8874578234</v>
      </c>
      <c r="DU17" s="138">
        <v>70342.105397566</v>
      </c>
      <c r="DV17" s="138">
        <v>41649.9308275062</v>
      </c>
      <c r="DW17" s="138">
        <v>23138.8504597257</v>
      </c>
      <c r="DX17" s="138">
        <v>38672.4706124174</v>
      </c>
      <c r="DY17" s="138">
        <v>42246.0503647737</v>
      </c>
      <c r="DZ17" s="138">
        <v>17883.5861180253</v>
      </c>
      <c r="EA17" s="138">
        <v>242840.27465529</v>
      </c>
      <c r="EB17" s="85">
        <v>1099534.54429451</v>
      </c>
      <c r="EC17" s="87">
        <v>0</v>
      </c>
      <c r="ED17" s="85">
        <v>0</v>
      </c>
      <c r="EE17" s="85">
        <v>0</v>
      </c>
      <c r="EF17" s="85">
        <v>0</v>
      </c>
      <c r="EG17" s="85">
        <v>0</v>
      </c>
      <c r="EH17" s="85">
        <v>0</v>
      </c>
      <c r="EI17" s="85">
        <v>0</v>
      </c>
      <c r="EJ17" s="85">
        <v>0</v>
      </c>
      <c r="EK17" s="85">
        <v>0</v>
      </c>
      <c r="EL17" s="85">
        <v>0</v>
      </c>
      <c r="EM17" s="85">
        <v>0</v>
      </c>
      <c r="EN17" s="85">
        <v>0</v>
      </c>
      <c r="EO17" s="152">
        <v>0</v>
      </c>
      <c r="EP17" s="85">
        <v>11486.318069905</v>
      </c>
      <c r="EQ17" s="85">
        <v>22279.0034813694</v>
      </c>
      <c r="ER17" s="85">
        <v>24291.3618632959</v>
      </c>
      <c r="ES17" s="85">
        <v>20755.8274744055</v>
      </c>
      <c r="ET17" s="85">
        <v>35664.333951865</v>
      </c>
      <c r="EU17" s="85">
        <v>17053.3269960814</v>
      </c>
      <c r="EV17" s="85">
        <v>15473.6455717497</v>
      </c>
      <c r="EW17" s="85">
        <v>14677.7691208278</v>
      </c>
      <c r="EX17" s="85">
        <v>28382.1777040513</v>
      </c>
      <c r="EY17" s="85">
        <v>35689.8528409776</v>
      </c>
      <c r="EZ17" s="85">
        <v>16583.59426405</v>
      </c>
      <c r="FA17" s="85">
        <v>150125.16912719</v>
      </c>
      <c r="FB17" s="85">
        <v>392462.380465768</v>
      </c>
      <c r="FC17" s="87">
        <v>0</v>
      </c>
      <c r="FD17" s="85">
        <v>0</v>
      </c>
      <c r="FE17" s="85">
        <v>0</v>
      </c>
      <c r="FF17" s="85">
        <v>0</v>
      </c>
      <c r="FG17" s="85">
        <v>0</v>
      </c>
      <c r="FH17" s="85">
        <v>0</v>
      </c>
      <c r="FI17" s="85">
        <v>0</v>
      </c>
      <c r="FJ17" s="85">
        <v>0</v>
      </c>
      <c r="FK17" s="85">
        <v>0</v>
      </c>
      <c r="FL17" s="85">
        <v>0</v>
      </c>
      <c r="FM17" s="85">
        <v>0</v>
      </c>
      <c r="FN17" s="85">
        <v>0</v>
      </c>
      <c r="FO17" s="86">
        <v>0</v>
      </c>
      <c r="FP17" s="87">
        <v>32693.6250045282</v>
      </c>
      <c r="FQ17" s="85">
        <v>124579.878188815</v>
      </c>
      <c r="FR17" s="85">
        <v>360682.228584484</v>
      </c>
      <c r="FS17" s="85">
        <v>111151.671207968</v>
      </c>
      <c r="FT17" s="85">
        <v>55636.8186789932</v>
      </c>
      <c r="FU17" s="85">
        <v>77079.96</v>
      </c>
      <c r="FV17" s="85">
        <v>57657.16</v>
      </c>
      <c r="FW17" s="85">
        <v>57657.16</v>
      </c>
      <c r="FX17" s="85">
        <v>56404</v>
      </c>
      <c r="FY17" s="85">
        <v>24378.8</v>
      </c>
      <c r="FZ17" s="85">
        <v>24378.8</v>
      </c>
      <c r="GA17" s="85">
        <v>2085225.2</v>
      </c>
      <c r="GB17" s="152">
        <v>3067525.30166479</v>
      </c>
      <c r="GD17" s="153"/>
    </row>
    <row r="18" spans="1:186">
      <c r="A18" s="137" t="s">
        <v>61</v>
      </c>
      <c r="B18" s="151">
        <v>22574592.7798801</v>
      </c>
      <c r="C18" s="138">
        <f t="shared" si="11"/>
        <v>361972.416085099</v>
      </c>
      <c r="D18" s="138">
        <f t="shared" si="0"/>
        <v>282864.664171846</v>
      </c>
      <c r="E18" s="138">
        <f t="shared" si="1"/>
        <v>212767.769774884</v>
      </c>
      <c r="F18" s="138">
        <f t="shared" si="2"/>
        <v>339015.914936129</v>
      </c>
      <c r="G18" s="138">
        <f t="shared" si="3"/>
        <v>739620.44779132</v>
      </c>
      <c r="H18" s="138">
        <f t="shared" si="4"/>
        <v>590617.738799881</v>
      </c>
      <c r="I18" s="138">
        <f t="shared" si="5"/>
        <v>437661.406199257</v>
      </c>
      <c r="J18" s="138">
        <f t="shared" si="6"/>
        <v>358924.426385704</v>
      </c>
      <c r="K18" s="138">
        <f t="shared" si="7"/>
        <v>249525.996316014</v>
      </c>
      <c r="L18" s="138">
        <f t="shared" si="8"/>
        <v>148432.677080579</v>
      </c>
      <c r="M18" s="138">
        <f t="shared" si="9"/>
        <v>73937.5333415234</v>
      </c>
      <c r="N18" s="138">
        <f t="shared" si="10"/>
        <v>55323.9463570276</v>
      </c>
      <c r="O18" s="86">
        <f t="shared" si="12"/>
        <v>3850664.93723927</v>
      </c>
      <c r="P18" s="138">
        <v>23684.0953234254</v>
      </c>
      <c r="Q18" s="138">
        <v>17470.6897491535</v>
      </c>
      <c r="R18" s="138">
        <v>11208.1993170235</v>
      </c>
      <c r="S18" s="138">
        <v>9679.13304641346</v>
      </c>
      <c r="T18" s="138">
        <v>39045.0308111624</v>
      </c>
      <c r="U18" s="138">
        <v>37731.4291879186</v>
      </c>
      <c r="V18" s="138">
        <v>37731.4291879186</v>
      </c>
      <c r="W18" s="138">
        <v>36873.896706375</v>
      </c>
      <c r="X18" s="138">
        <v>34301.2992617441</v>
      </c>
      <c r="Y18" s="138">
        <v>0</v>
      </c>
      <c r="Z18" s="138">
        <v>0</v>
      </c>
      <c r="AA18" s="138">
        <v>0</v>
      </c>
      <c r="AB18" s="86">
        <v>247725.202591134</v>
      </c>
      <c r="AC18" s="138">
        <v>102604.662297425</v>
      </c>
      <c r="AD18" s="138">
        <v>75045.0022610288</v>
      </c>
      <c r="AE18" s="138">
        <v>46034.1993018875</v>
      </c>
      <c r="AF18" s="138">
        <v>45885.255279111</v>
      </c>
      <c r="AG18" s="138">
        <v>115257.842625232</v>
      </c>
      <c r="AH18" s="138">
        <v>125595.833873267</v>
      </c>
      <c r="AI18" s="138">
        <v>123901.496410585</v>
      </c>
      <c r="AJ18" s="138">
        <v>123901.496410585</v>
      </c>
      <c r="AK18" s="138">
        <v>106958.121783759</v>
      </c>
      <c r="AL18" s="138">
        <v>71845.6380613325</v>
      </c>
      <c r="AM18" s="138">
        <v>4072.13955403167</v>
      </c>
      <c r="AN18" s="138">
        <v>4072.13955403167</v>
      </c>
      <c r="AO18" s="86">
        <v>945173.827412275</v>
      </c>
      <c r="AP18" s="138">
        <v>7525.50530328835</v>
      </c>
      <c r="AQ18" s="138">
        <v>8112.73775003799</v>
      </c>
      <c r="AR18" s="138">
        <v>5663.45159901759</v>
      </c>
      <c r="AS18" s="138">
        <v>4988.1765396032</v>
      </c>
      <c r="AT18" s="138">
        <v>31008.7255858499</v>
      </c>
      <c r="AU18" s="138">
        <v>17376.7708670552</v>
      </c>
      <c r="AV18" s="138">
        <v>17376.7708670552</v>
      </c>
      <c r="AW18" s="138">
        <v>17376.7708670552</v>
      </c>
      <c r="AX18" s="138">
        <v>17376.7708670552</v>
      </c>
      <c r="AY18" s="138">
        <v>17376.7708670552</v>
      </c>
      <c r="AZ18" s="138">
        <v>17376.7708670552</v>
      </c>
      <c r="BA18" s="138">
        <v>1579.70644245956</v>
      </c>
      <c r="BB18" s="86">
        <v>163138.928422588</v>
      </c>
      <c r="BC18" s="138">
        <v>6866.28027770693</v>
      </c>
      <c r="BD18" s="138">
        <v>6927.89241564793</v>
      </c>
      <c r="BE18" s="138">
        <v>4172.61062215296</v>
      </c>
      <c r="BF18" s="138">
        <v>2206.37229768776</v>
      </c>
      <c r="BG18" s="138">
        <v>60924.8561589872</v>
      </c>
      <c r="BH18" s="138">
        <v>71514.3099234643</v>
      </c>
      <c r="BI18" s="138">
        <v>34156.0883216546</v>
      </c>
      <c r="BJ18" s="138">
        <v>23482.3107211375</v>
      </c>
      <c r="BK18" s="138">
        <v>0</v>
      </c>
      <c r="BL18" s="138">
        <v>0</v>
      </c>
      <c r="BM18" s="138">
        <v>0</v>
      </c>
      <c r="BN18" s="138">
        <v>0</v>
      </c>
      <c r="BO18" s="86">
        <v>210250.720738439</v>
      </c>
      <c r="BP18" s="138">
        <v>81385.7285857071</v>
      </c>
      <c r="BQ18" s="138">
        <v>57997.4714240832</v>
      </c>
      <c r="BR18" s="138">
        <v>46617.2506956332</v>
      </c>
      <c r="BS18" s="138">
        <v>41827.1354325426</v>
      </c>
      <c r="BT18" s="138">
        <v>79401.0854142861</v>
      </c>
      <c r="BU18" s="138">
        <v>57618.5227068801</v>
      </c>
      <c r="BV18" s="138">
        <v>38841.7056408785</v>
      </c>
      <c r="BW18" s="138">
        <v>22168.2095686833</v>
      </c>
      <c r="BX18" s="138">
        <v>20064.888574877</v>
      </c>
      <c r="BY18" s="138">
        <v>21229.3687153833</v>
      </c>
      <c r="BZ18" s="138">
        <v>22168.2095686833</v>
      </c>
      <c r="CA18" s="138">
        <v>19351.6870087831</v>
      </c>
      <c r="CB18" s="86">
        <v>508671.263336421</v>
      </c>
      <c r="CC18" s="138">
        <v>5904.87092419569</v>
      </c>
      <c r="CD18" s="138">
        <v>3450.31664619317</v>
      </c>
      <c r="CE18" s="138">
        <v>2811.76724480864</v>
      </c>
      <c r="CF18" s="138">
        <v>1819.61586054082</v>
      </c>
      <c r="CG18" s="138">
        <v>8758.25837086117</v>
      </c>
      <c r="CH18" s="138">
        <v>3056.29828058637</v>
      </c>
      <c r="CI18" s="138">
        <v>3056.29828058637</v>
      </c>
      <c r="CJ18" s="138">
        <v>3056.29828058637</v>
      </c>
      <c r="CK18" s="138">
        <v>459.100600088081</v>
      </c>
      <c r="CL18" s="138">
        <v>459.100600088081</v>
      </c>
      <c r="CM18" s="138">
        <v>0</v>
      </c>
      <c r="CN18" s="138">
        <v>0</v>
      </c>
      <c r="CO18" s="86">
        <v>32831.9250885347</v>
      </c>
      <c r="CP18" s="138">
        <v>15462.4539944379</v>
      </c>
      <c r="CQ18" s="138">
        <v>20615.0608663162</v>
      </c>
      <c r="CR18" s="138">
        <v>14510.5184694385</v>
      </c>
      <c r="CS18" s="138">
        <v>7660.02441977209</v>
      </c>
      <c r="CT18" s="138">
        <v>100244.205446139</v>
      </c>
      <c r="CU18" s="138">
        <v>62351.228052585</v>
      </c>
      <c r="CV18" s="138">
        <v>35348.4630079311</v>
      </c>
      <c r="CW18" s="138">
        <v>30258.4613783239</v>
      </c>
      <c r="CX18" s="138">
        <v>0</v>
      </c>
      <c r="CY18" s="138">
        <v>0</v>
      </c>
      <c r="CZ18" s="138">
        <v>0</v>
      </c>
      <c r="DA18" s="138">
        <v>0</v>
      </c>
      <c r="DB18" s="86">
        <v>286450.415634944</v>
      </c>
      <c r="DC18" s="138">
        <v>3090.41599596317</v>
      </c>
      <c r="DD18" s="138">
        <v>8415.76760596654</v>
      </c>
      <c r="DE18" s="138">
        <v>2545.06377741825</v>
      </c>
      <c r="DF18" s="138">
        <v>1373.94894933568</v>
      </c>
      <c r="DG18" s="138">
        <v>15069.9277355111</v>
      </c>
      <c r="DH18" s="138">
        <v>7971.99673113628</v>
      </c>
      <c r="DI18" s="138">
        <v>5694.28337938306</v>
      </c>
      <c r="DJ18" s="138">
        <v>3416.57002762983</v>
      </c>
      <c r="DK18" s="138">
        <v>2277.71335175322</v>
      </c>
      <c r="DL18" s="138">
        <v>2277.71335175322</v>
      </c>
      <c r="DM18" s="138">
        <v>2277.71335175322</v>
      </c>
      <c r="DN18" s="138">
        <v>2277.71335175322</v>
      </c>
      <c r="DO18" s="86">
        <v>56688.8276093568</v>
      </c>
      <c r="DP18" s="138">
        <v>32259.9754773415</v>
      </c>
      <c r="DQ18" s="138">
        <v>15045.7246973484</v>
      </c>
      <c r="DR18" s="138">
        <v>13015.0620352713</v>
      </c>
      <c r="DS18" s="138">
        <v>10282.1410561015</v>
      </c>
      <c r="DT18" s="138">
        <v>76552.6590640481</v>
      </c>
      <c r="DU18" s="138">
        <v>111659.464272702</v>
      </c>
      <c r="DV18" s="138">
        <v>57105.1141989785</v>
      </c>
      <c r="DW18" s="138">
        <v>28529.0260651234</v>
      </c>
      <c r="DX18" s="138">
        <v>12989.1309699341</v>
      </c>
      <c r="DY18" s="138">
        <v>6494.56548496706</v>
      </c>
      <c r="DZ18" s="138">
        <v>0</v>
      </c>
      <c r="EA18" s="138">
        <v>0</v>
      </c>
      <c r="EB18" s="85">
        <v>363932.863321816</v>
      </c>
      <c r="EC18" s="87">
        <v>0</v>
      </c>
      <c r="ED18" s="85">
        <v>0</v>
      </c>
      <c r="EE18" s="85">
        <v>0</v>
      </c>
      <c r="EF18" s="85">
        <v>0</v>
      </c>
      <c r="EG18" s="85">
        <v>0</v>
      </c>
      <c r="EH18" s="85">
        <v>0</v>
      </c>
      <c r="EI18" s="85">
        <v>0</v>
      </c>
      <c r="EJ18" s="85">
        <v>0</v>
      </c>
      <c r="EK18" s="85">
        <v>0</v>
      </c>
      <c r="EL18" s="85">
        <v>0</v>
      </c>
      <c r="EM18" s="85">
        <v>0</v>
      </c>
      <c r="EN18" s="85">
        <v>0</v>
      </c>
      <c r="EO18" s="152">
        <v>0</v>
      </c>
      <c r="EP18" s="85">
        <v>4106.03073275105</v>
      </c>
      <c r="EQ18" s="85">
        <v>9656.37520885475</v>
      </c>
      <c r="ER18" s="85">
        <v>4302.76253452633</v>
      </c>
      <c r="ES18" s="85">
        <v>3473.20812211424</v>
      </c>
      <c r="ET18" s="85">
        <v>11023.2361010164</v>
      </c>
      <c r="EU18" s="85">
        <v>16862.8969042867</v>
      </c>
      <c r="EV18" s="85">
        <v>16862.8969042867</v>
      </c>
      <c r="EW18" s="85">
        <v>12044.9263602048</v>
      </c>
      <c r="EX18" s="85">
        <v>8029.95090680318</v>
      </c>
      <c r="EY18" s="85">
        <v>0</v>
      </c>
      <c r="EZ18" s="85">
        <v>0</v>
      </c>
      <c r="FA18" s="85">
        <v>0</v>
      </c>
      <c r="FB18" s="85">
        <v>86362.2837748441</v>
      </c>
      <c r="FC18" s="87">
        <v>0</v>
      </c>
      <c r="FD18" s="85">
        <v>0</v>
      </c>
      <c r="FE18" s="85">
        <v>0</v>
      </c>
      <c r="FF18" s="85">
        <v>0</v>
      </c>
      <c r="FG18" s="85">
        <v>0</v>
      </c>
      <c r="FH18" s="85">
        <v>0</v>
      </c>
      <c r="FI18" s="85">
        <v>0</v>
      </c>
      <c r="FJ18" s="85">
        <v>0</v>
      </c>
      <c r="FK18" s="85">
        <v>0</v>
      </c>
      <c r="FL18" s="85">
        <v>0</v>
      </c>
      <c r="FM18" s="85">
        <v>0</v>
      </c>
      <c r="FN18" s="85">
        <v>0</v>
      </c>
      <c r="FO18" s="86">
        <v>0</v>
      </c>
      <c r="FP18" s="87">
        <v>79082.3971728576</v>
      </c>
      <c r="FQ18" s="85">
        <v>60127.6255472151</v>
      </c>
      <c r="FR18" s="85">
        <v>61886.8841777063</v>
      </c>
      <c r="FS18" s="85">
        <v>209820.903932907</v>
      </c>
      <c r="FT18" s="85">
        <v>202334.620478227</v>
      </c>
      <c r="FU18" s="85">
        <v>78878.988</v>
      </c>
      <c r="FV18" s="85">
        <v>67586.86</v>
      </c>
      <c r="FW18" s="85">
        <v>57816.46</v>
      </c>
      <c r="FX18" s="85">
        <v>47069.02</v>
      </c>
      <c r="FY18" s="85">
        <v>28749.52</v>
      </c>
      <c r="FZ18" s="85">
        <v>28042.7</v>
      </c>
      <c r="GA18" s="85">
        <v>28042.7</v>
      </c>
      <c r="GB18" s="152">
        <v>949438.679308912</v>
      </c>
      <c r="GD18" s="153"/>
    </row>
    <row r="19" spans="1:186">
      <c r="A19" s="137" t="s">
        <v>63</v>
      </c>
      <c r="B19" s="151">
        <v>20439091.1844252</v>
      </c>
      <c r="C19" s="138">
        <f t="shared" si="11"/>
        <v>940011.765827755</v>
      </c>
      <c r="D19" s="138">
        <f t="shared" si="0"/>
        <v>1895901.91676049</v>
      </c>
      <c r="E19" s="138">
        <f t="shared" si="1"/>
        <v>1498704.24738622</v>
      </c>
      <c r="F19" s="138">
        <f t="shared" si="2"/>
        <v>1383419.72925562</v>
      </c>
      <c r="G19" s="138">
        <f t="shared" si="3"/>
        <v>999250.042649556</v>
      </c>
      <c r="H19" s="138">
        <f t="shared" si="4"/>
        <v>924959.80156382</v>
      </c>
      <c r="I19" s="138">
        <f t="shared" si="5"/>
        <v>1248411.0507189</v>
      </c>
      <c r="J19" s="138">
        <f t="shared" si="6"/>
        <v>2185249.62441013</v>
      </c>
      <c r="K19" s="138">
        <f t="shared" si="7"/>
        <v>1516230.1186797</v>
      </c>
      <c r="L19" s="138">
        <f t="shared" si="8"/>
        <v>1121962.38494085</v>
      </c>
      <c r="M19" s="138">
        <f t="shared" si="9"/>
        <v>1065252.70625914</v>
      </c>
      <c r="N19" s="138">
        <f t="shared" si="10"/>
        <v>635558.295175836</v>
      </c>
      <c r="O19" s="86">
        <f t="shared" si="12"/>
        <v>15414911.683628</v>
      </c>
      <c r="P19" s="138">
        <v>197652.267639284</v>
      </c>
      <c r="Q19" s="138">
        <v>273504.902077937</v>
      </c>
      <c r="R19" s="138">
        <v>306033.811753291</v>
      </c>
      <c r="S19" s="138">
        <v>347774.243822456</v>
      </c>
      <c r="T19" s="138">
        <v>298003.826624318</v>
      </c>
      <c r="U19" s="138">
        <v>268469.806758042</v>
      </c>
      <c r="V19" s="138">
        <v>466198.940857481</v>
      </c>
      <c r="W19" s="138">
        <v>646280.761981637</v>
      </c>
      <c r="X19" s="138">
        <v>365946.808162492</v>
      </c>
      <c r="Y19" s="138">
        <v>235038.467984821</v>
      </c>
      <c r="Z19" s="138">
        <v>186942.080976506</v>
      </c>
      <c r="AA19" s="138">
        <v>101188.832822145</v>
      </c>
      <c r="AB19" s="86">
        <v>3693034.75146041</v>
      </c>
      <c r="AC19" s="138">
        <v>251729.061591136</v>
      </c>
      <c r="AD19" s="138">
        <v>807550.433753355</v>
      </c>
      <c r="AE19" s="138">
        <v>472648.851298636</v>
      </c>
      <c r="AF19" s="138">
        <v>426753.863069429</v>
      </c>
      <c r="AG19" s="138">
        <v>343024.491389398</v>
      </c>
      <c r="AH19" s="138">
        <v>363914.220245724</v>
      </c>
      <c r="AI19" s="138">
        <v>401115.977578536</v>
      </c>
      <c r="AJ19" s="138">
        <v>1046519.4023733</v>
      </c>
      <c r="AK19" s="138">
        <v>851670.594164814</v>
      </c>
      <c r="AL19" s="138">
        <v>851670.594164814</v>
      </c>
      <c r="AM19" s="138">
        <v>851670.594164814</v>
      </c>
      <c r="AN19" s="138">
        <v>508301.238804757</v>
      </c>
      <c r="AO19" s="86">
        <v>7176569.32259872</v>
      </c>
      <c r="AP19" s="138">
        <v>16489.740301114</v>
      </c>
      <c r="AQ19" s="138">
        <v>11361.517841626</v>
      </c>
      <c r="AR19" s="138">
        <v>75111.3639195338</v>
      </c>
      <c r="AS19" s="138">
        <v>38986.1813287841</v>
      </c>
      <c r="AT19" s="138">
        <v>33179.3400428015</v>
      </c>
      <c r="AU19" s="138">
        <v>25203.7584035169</v>
      </c>
      <c r="AV19" s="138">
        <v>27073.4592653652</v>
      </c>
      <c r="AW19" s="138">
        <v>22914.328776764</v>
      </c>
      <c r="AX19" s="138">
        <v>15015.7965644662</v>
      </c>
      <c r="AY19" s="138">
        <v>15015.7965644662</v>
      </c>
      <c r="AZ19" s="138">
        <v>7117.26435216835</v>
      </c>
      <c r="BA19" s="138">
        <v>7117.26435216835</v>
      </c>
      <c r="BB19" s="86">
        <v>294585.811712774</v>
      </c>
      <c r="BC19" s="138">
        <v>43599.6965044784</v>
      </c>
      <c r="BD19" s="138">
        <v>78310.2260553198</v>
      </c>
      <c r="BE19" s="138">
        <v>33000.3492371777</v>
      </c>
      <c r="BF19" s="138">
        <v>16625.6104858118</v>
      </c>
      <c r="BG19" s="138">
        <v>3121.40455742662</v>
      </c>
      <c r="BH19" s="138">
        <v>0</v>
      </c>
      <c r="BI19" s="138">
        <v>53368.8880025853</v>
      </c>
      <c r="BJ19" s="138">
        <v>64042.6656031024</v>
      </c>
      <c r="BK19" s="138">
        <v>21347.5552010341</v>
      </c>
      <c r="BL19" s="138">
        <v>0</v>
      </c>
      <c r="BM19" s="138">
        <v>0</v>
      </c>
      <c r="BN19" s="138">
        <v>0</v>
      </c>
      <c r="BO19" s="86">
        <v>313416.395646936</v>
      </c>
      <c r="BP19" s="138">
        <v>1088.22741280693</v>
      </c>
      <c r="BQ19" s="138">
        <v>559.910753632591</v>
      </c>
      <c r="BR19" s="138">
        <v>1735.96223032695</v>
      </c>
      <c r="BS19" s="138">
        <v>379.772581233712</v>
      </c>
      <c r="BT19" s="138">
        <v>0</v>
      </c>
      <c r="BU19" s="138">
        <v>0</v>
      </c>
      <c r="BV19" s="138">
        <v>0</v>
      </c>
      <c r="BW19" s="138">
        <v>0</v>
      </c>
      <c r="BX19" s="138">
        <v>0</v>
      </c>
      <c r="BY19" s="138">
        <v>0</v>
      </c>
      <c r="BZ19" s="138">
        <v>0</v>
      </c>
      <c r="CA19" s="138">
        <v>0</v>
      </c>
      <c r="CB19" s="86">
        <v>3763.87297800018</v>
      </c>
      <c r="CC19" s="138">
        <v>21782.1439411275</v>
      </c>
      <c r="CD19" s="138">
        <v>33792.7773476108</v>
      </c>
      <c r="CE19" s="138">
        <v>15991.703330853</v>
      </c>
      <c r="CF19" s="138">
        <v>59637.4853208519</v>
      </c>
      <c r="CG19" s="138">
        <v>45861.268400471</v>
      </c>
      <c r="CH19" s="138">
        <v>54585.3984897044</v>
      </c>
      <c r="CI19" s="138">
        <v>32440.9228795573</v>
      </c>
      <c r="CJ19" s="138">
        <v>25802.5943475591</v>
      </c>
      <c r="CK19" s="138">
        <v>15413.8036255659</v>
      </c>
      <c r="CL19" s="138">
        <v>0</v>
      </c>
      <c r="CM19" s="138">
        <v>0</v>
      </c>
      <c r="CN19" s="138">
        <v>0</v>
      </c>
      <c r="CO19" s="86">
        <v>305308.097683301</v>
      </c>
      <c r="CP19" s="138">
        <v>48401.9955876985</v>
      </c>
      <c r="CQ19" s="138">
        <v>73790.7368992458</v>
      </c>
      <c r="CR19" s="138">
        <v>41085.8127457995</v>
      </c>
      <c r="CS19" s="138">
        <v>24886.8131508567</v>
      </c>
      <c r="CT19" s="138">
        <v>17422.9423603573</v>
      </c>
      <c r="CU19" s="138">
        <v>25148.7882448343</v>
      </c>
      <c r="CV19" s="138">
        <v>32995.1344737629</v>
      </c>
      <c r="CW19" s="138">
        <v>25575.3515441772</v>
      </c>
      <c r="CX19" s="138">
        <v>0</v>
      </c>
      <c r="CY19" s="138">
        <v>0</v>
      </c>
      <c r="CZ19" s="138">
        <v>0</v>
      </c>
      <c r="DA19" s="138">
        <v>0</v>
      </c>
      <c r="DB19" s="86">
        <v>289307.575006732</v>
      </c>
      <c r="DC19" s="138">
        <v>8776.52818549452</v>
      </c>
      <c r="DD19" s="138">
        <v>172459.710392719</v>
      </c>
      <c r="DE19" s="138">
        <v>26322.1856169424</v>
      </c>
      <c r="DF19" s="138">
        <v>3580.59839997273</v>
      </c>
      <c r="DG19" s="138">
        <v>11357.038143816</v>
      </c>
      <c r="DH19" s="138">
        <v>5485.21790265208</v>
      </c>
      <c r="DI19" s="138">
        <v>15135.240170708</v>
      </c>
      <c r="DJ19" s="138">
        <v>37043.1014428851</v>
      </c>
      <c r="DK19" s="138">
        <v>2008.12892123171</v>
      </c>
      <c r="DL19" s="138">
        <v>2008.12892123171</v>
      </c>
      <c r="DM19" s="138">
        <v>2008.12892123171</v>
      </c>
      <c r="DN19" s="138">
        <v>2008.12892123171</v>
      </c>
      <c r="DO19" s="86">
        <v>288192.135940117</v>
      </c>
      <c r="DP19" s="138">
        <v>205252.626047412</v>
      </c>
      <c r="DQ19" s="138">
        <v>100090.081085822</v>
      </c>
      <c r="DR19" s="138">
        <v>322467.525927005</v>
      </c>
      <c r="DS19" s="138">
        <v>331914.692863405</v>
      </c>
      <c r="DT19" s="138">
        <v>169984.986427475</v>
      </c>
      <c r="DU19" s="138">
        <v>134559.86691752</v>
      </c>
      <c r="DV19" s="138">
        <v>136498.824149264</v>
      </c>
      <c r="DW19" s="138">
        <v>266277.18488365</v>
      </c>
      <c r="DX19" s="138">
        <v>194836.964549012</v>
      </c>
      <c r="DY19" s="138">
        <v>0</v>
      </c>
      <c r="DZ19" s="138">
        <v>0</v>
      </c>
      <c r="EA19" s="138">
        <v>0</v>
      </c>
      <c r="EB19" s="85">
        <v>1861882.75285057</v>
      </c>
      <c r="EC19" s="87">
        <v>0</v>
      </c>
      <c r="ED19" s="85">
        <v>0</v>
      </c>
      <c r="EE19" s="85">
        <v>0</v>
      </c>
      <c r="EF19" s="85">
        <v>0</v>
      </c>
      <c r="EG19" s="85">
        <v>0</v>
      </c>
      <c r="EH19" s="85">
        <v>0</v>
      </c>
      <c r="EI19" s="85">
        <v>0</v>
      </c>
      <c r="EJ19" s="85">
        <v>0</v>
      </c>
      <c r="EK19" s="85">
        <v>0</v>
      </c>
      <c r="EL19" s="85">
        <v>0</v>
      </c>
      <c r="EM19" s="85">
        <v>0</v>
      </c>
      <c r="EN19" s="85">
        <v>0</v>
      </c>
      <c r="EO19" s="152">
        <v>0</v>
      </c>
      <c r="EP19" s="85">
        <v>25190.9215849275</v>
      </c>
      <c r="EQ19" s="85">
        <v>80183.5878581297</v>
      </c>
      <c r="ER19" s="85">
        <v>78127.4980650284</v>
      </c>
      <c r="ES19" s="85">
        <v>67216.5183438883</v>
      </c>
      <c r="ET19" s="85">
        <v>50974.6212364412</v>
      </c>
      <c r="EU19" s="85">
        <v>27768.7446018247</v>
      </c>
      <c r="EV19" s="85">
        <v>63297.1033416385</v>
      </c>
      <c r="EW19" s="85">
        <v>36138.6334570496</v>
      </c>
      <c r="EX19" s="85">
        <v>35334.8674910822</v>
      </c>
      <c r="EY19" s="85">
        <v>3573.79730552229</v>
      </c>
      <c r="EZ19" s="85">
        <v>2859.03784441783</v>
      </c>
      <c r="FA19" s="85">
        <v>2287.23027553426</v>
      </c>
      <c r="FB19" s="85">
        <v>472952.561405484</v>
      </c>
      <c r="FC19" s="87">
        <v>0</v>
      </c>
      <c r="FD19" s="85">
        <v>0</v>
      </c>
      <c r="FE19" s="85">
        <v>0</v>
      </c>
      <c r="FF19" s="85">
        <v>0</v>
      </c>
      <c r="FG19" s="85">
        <v>0</v>
      </c>
      <c r="FH19" s="85">
        <v>0</v>
      </c>
      <c r="FI19" s="85">
        <v>0</v>
      </c>
      <c r="FJ19" s="85">
        <v>0</v>
      </c>
      <c r="FK19" s="85">
        <v>0</v>
      </c>
      <c r="FL19" s="85">
        <v>0</v>
      </c>
      <c r="FM19" s="85">
        <v>0</v>
      </c>
      <c r="FN19" s="85">
        <v>0</v>
      </c>
      <c r="FO19" s="86">
        <v>0</v>
      </c>
      <c r="FP19" s="87">
        <v>120048.557032275</v>
      </c>
      <c r="FQ19" s="85">
        <v>264298.032695092</v>
      </c>
      <c r="FR19" s="85">
        <v>126179.183261625</v>
      </c>
      <c r="FS19" s="85">
        <v>65663.9498889252</v>
      </c>
      <c r="FT19" s="85">
        <v>26320.1234670517</v>
      </c>
      <c r="FU19" s="85">
        <v>19824</v>
      </c>
      <c r="FV19" s="85">
        <v>20286.56</v>
      </c>
      <c r="FW19" s="85">
        <v>14655.6</v>
      </c>
      <c r="FX19" s="85">
        <v>14655.6</v>
      </c>
      <c r="FY19" s="85">
        <v>14655.6</v>
      </c>
      <c r="FZ19" s="85">
        <v>14655.6</v>
      </c>
      <c r="GA19" s="85">
        <v>14655.6</v>
      </c>
      <c r="GB19" s="152">
        <v>715898.406344969</v>
      </c>
      <c r="GD19" s="153"/>
    </row>
    <row r="20" spans="1:186">
      <c r="A20" s="137" t="s">
        <v>65</v>
      </c>
      <c r="B20" s="151">
        <v>15628783.1614542</v>
      </c>
      <c r="C20" s="138">
        <f t="shared" si="11"/>
        <v>1128903.52376285</v>
      </c>
      <c r="D20" s="138">
        <f t="shared" si="0"/>
        <v>767090.056993188</v>
      </c>
      <c r="E20" s="138">
        <f t="shared" si="1"/>
        <v>630769.564548128</v>
      </c>
      <c r="F20" s="138">
        <f t="shared" si="2"/>
        <v>785791.19225785</v>
      </c>
      <c r="G20" s="138">
        <f t="shared" si="3"/>
        <v>316270.439437523</v>
      </c>
      <c r="H20" s="138">
        <f t="shared" si="4"/>
        <v>288147.236697399</v>
      </c>
      <c r="I20" s="138">
        <f t="shared" si="5"/>
        <v>265522.889213899</v>
      </c>
      <c r="J20" s="138">
        <f t="shared" si="6"/>
        <v>202900.678023512</v>
      </c>
      <c r="K20" s="138">
        <f t="shared" si="7"/>
        <v>130305.059090111</v>
      </c>
      <c r="L20" s="138">
        <f t="shared" si="8"/>
        <v>84124.9844172256</v>
      </c>
      <c r="M20" s="138">
        <f t="shared" si="9"/>
        <v>69386.5076362597</v>
      </c>
      <c r="N20" s="138">
        <f t="shared" si="10"/>
        <v>69386.5076362597</v>
      </c>
      <c r="O20" s="86">
        <f t="shared" si="12"/>
        <v>4738598.6397142</v>
      </c>
      <c r="P20" s="138">
        <v>494946.316108142</v>
      </c>
      <c r="Q20" s="138">
        <v>239456.181616037</v>
      </c>
      <c r="R20" s="138">
        <v>149670.853121813</v>
      </c>
      <c r="S20" s="138">
        <v>143891.003012553</v>
      </c>
      <c r="T20" s="138">
        <v>111676.51622353</v>
      </c>
      <c r="U20" s="138">
        <v>104398.365624444</v>
      </c>
      <c r="V20" s="138">
        <v>103540.833142901</v>
      </c>
      <c r="W20" s="138">
        <v>83983.2928271164</v>
      </c>
      <c r="X20" s="138">
        <v>82637.9610716512</v>
      </c>
      <c r="Y20" s="138">
        <v>44906.5318837327</v>
      </c>
      <c r="Z20" s="138">
        <v>36662.6205877338</v>
      </c>
      <c r="AA20" s="138">
        <v>36662.6205877338</v>
      </c>
      <c r="AB20" s="86">
        <v>1632433.09580739</v>
      </c>
      <c r="AC20" s="138">
        <v>80135.9545808592</v>
      </c>
      <c r="AD20" s="138">
        <v>77205.0999785641</v>
      </c>
      <c r="AE20" s="138">
        <v>40732.7664947201</v>
      </c>
      <c r="AF20" s="138">
        <v>36680.277087581</v>
      </c>
      <c r="AG20" s="138">
        <v>23484.1643466693</v>
      </c>
      <c r="AH20" s="138">
        <v>20332.0495521903</v>
      </c>
      <c r="AI20" s="138">
        <v>20332.0495521903</v>
      </c>
      <c r="AJ20" s="138">
        <v>20332.0495521903</v>
      </c>
      <c r="AK20" s="138">
        <v>0</v>
      </c>
      <c r="AL20" s="138">
        <v>0</v>
      </c>
      <c r="AM20" s="138">
        <v>0</v>
      </c>
      <c r="AN20" s="138">
        <v>0</v>
      </c>
      <c r="AO20" s="86">
        <v>319234.411144964</v>
      </c>
      <c r="AP20" s="138">
        <v>34964.0915600393</v>
      </c>
      <c r="AQ20" s="138">
        <v>17670.342754638</v>
      </c>
      <c r="AR20" s="138">
        <v>13041.9440901659</v>
      </c>
      <c r="AS20" s="138">
        <v>6468.74606237098</v>
      </c>
      <c r="AT20" s="138">
        <v>4282.1901879895</v>
      </c>
      <c r="AU20" s="138">
        <v>3949.2661061489</v>
      </c>
      <c r="AV20" s="138">
        <v>3949.2661061489</v>
      </c>
      <c r="AW20" s="138">
        <v>3949.2661061489</v>
      </c>
      <c r="AX20" s="138">
        <v>3949.2661061489</v>
      </c>
      <c r="AY20" s="138">
        <v>3949.2661061489</v>
      </c>
      <c r="AZ20" s="138">
        <v>3949.2661061489</v>
      </c>
      <c r="BA20" s="138">
        <v>3949.2661061489</v>
      </c>
      <c r="BB20" s="86">
        <v>104072.177398246</v>
      </c>
      <c r="BC20" s="138">
        <v>28032.6394331125</v>
      </c>
      <c r="BD20" s="138">
        <v>24232.9691509892</v>
      </c>
      <c r="BE20" s="138">
        <v>21417.9616950831</v>
      </c>
      <c r="BF20" s="138">
        <v>11795.2873563802</v>
      </c>
      <c r="BG20" s="138">
        <v>6727.42261267583</v>
      </c>
      <c r="BH20" s="138">
        <v>8539.02208041365</v>
      </c>
      <c r="BI20" s="138">
        <v>8539.02208041365</v>
      </c>
      <c r="BJ20" s="138">
        <v>8539.02208041365</v>
      </c>
      <c r="BK20" s="138">
        <v>0</v>
      </c>
      <c r="BL20" s="138">
        <v>0</v>
      </c>
      <c r="BM20" s="138">
        <v>0</v>
      </c>
      <c r="BN20" s="138">
        <v>0</v>
      </c>
      <c r="BO20" s="86">
        <v>117823.346489482</v>
      </c>
      <c r="BP20" s="138">
        <v>143599.75365959</v>
      </c>
      <c r="BQ20" s="138">
        <v>114850.697060928</v>
      </c>
      <c r="BR20" s="138">
        <v>86146.0207499855</v>
      </c>
      <c r="BS20" s="138">
        <v>81258.1275088569</v>
      </c>
      <c r="BT20" s="138">
        <v>52378.5518280762</v>
      </c>
      <c r="BU20" s="138">
        <v>27226.3847457022</v>
      </c>
      <c r="BV20" s="138">
        <v>27226.3847457022</v>
      </c>
      <c r="BW20" s="138">
        <v>14082.6127995012</v>
      </c>
      <c r="BX20" s="138">
        <v>4694.20426650038</v>
      </c>
      <c r="BY20" s="138">
        <v>4694.20426650038</v>
      </c>
      <c r="BZ20" s="138">
        <v>4694.20426650038</v>
      </c>
      <c r="CA20" s="138">
        <v>4694.20426650038</v>
      </c>
      <c r="CB20" s="86">
        <v>565545.350164343</v>
      </c>
      <c r="CC20" s="138">
        <v>24817.870946334</v>
      </c>
      <c r="CD20" s="138">
        <v>203.325364277192</v>
      </c>
      <c r="CE20" s="138">
        <v>202.472024147311</v>
      </c>
      <c r="CF20" s="138">
        <v>1999.73772204866</v>
      </c>
      <c r="CG20" s="138">
        <v>1732.75829617445</v>
      </c>
      <c r="CH20" s="138">
        <v>10677.3682420485</v>
      </c>
      <c r="CI20" s="138">
        <v>14665.5095692136</v>
      </c>
      <c r="CJ20" s="138">
        <v>0</v>
      </c>
      <c r="CK20" s="138">
        <v>0</v>
      </c>
      <c r="CL20" s="138">
        <v>0</v>
      </c>
      <c r="CM20" s="138">
        <v>0</v>
      </c>
      <c r="CN20" s="138">
        <v>0</v>
      </c>
      <c r="CO20" s="86">
        <v>54299.0421642437</v>
      </c>
      <c r="CP20" s="138">
        <v>26545.7604342467</v>
      </c>
      <c r="CQ20" s="138">
        <v>23523.4608938104</v>
      </c>
      <c r="CR20" s="138">
        <v>18358.9514147294</v>
      </c>
      <c r="CS20" s="138">
        <v>12006.6749673226</v>
      </c>
      <c r="CT20" s="138">
        <v>12040.8792759385</v>
      </c>
      <c r="CU20" s="138">
        <v>8633.33126644959</v>
      </c>
      <c r="CV20" s="138">
        <v>8633.33126644959</v>
      </c>
      <c r="CW20" s="138">
        <v>8633.33126644959</v>
      </c>
      <c r="CX20" s="138">
        <v>0</v>
      </c>
      <c r="CY20" s="138">
        <v>0</v>
      </c>
      <c r="CZ20" s="138">
        <v>0</v>
      </c>
      <c r="DA20" s="138">
        <v>0</v>
      </c>
      <c r="DB20" s="86">
        <v>118375.720785396</v>
      </c>
      <c r="DC20" s="138">
        <v>16160.9123470397</v>
      </c>
      <c r="DD20" s="138">
        <v>177375.600493645</v>
      </c>
      <c r="DE20" s="138">
        <v>4999.26142271371</v>
      </c>
      <c r="DF20" s="138">
        <v>5678.99459070272</v>
      </c>
      <c r="DG20" s="138">
        <v>4244.34985833194</v>
      </c>
      <c r="DH20" s="138">
        <v>1138.85667587661</v>
      </c>
      <c r="DI20" s="138">
        <v>1138.85667587661</v>
      </c>
      <c r="DJ20" s="138">
        <v>1138.85667587661</v>
      </c>
      <c r="DK20" s="138">
        <v>1138.85667587661</v>
      </c>
      <c r="DL20" s="138">
        <v>1138.85667587661</v>
      </c>
      <c r="DM20" s="138">
        <v>1138.85667587661</v>
      </c>
      <c r="DN20" s="138">
        <v>1138.85667587661</v>
      </c>
      <c r="DO20" s="86">
        <v>216431.115443569</v>
      </c>
      <c r="DP20" s="138">
        <v>166916.747717179</v>
      </c>
      <c r="DQ20" s="138">
        <v>30794.5772643534</v>
      </c>
      <c r="DR20" s="138">
        <v>197870.773078041</v>
      </c>
      <c r="DS20" s="138">
        <v>409937.990005786</v>
      </c>
      <c r="DT20" s="138">
        <v>61374.8456616585</v>
      </c>
      <c r="DU20" s="138">
        <v>75961.3164041244</v>
      </c>
      <c r="DV20" s="138">
        <v>49670.8760750029</v>
      </c>
      <c r="DW20" s="138">
        <v>36369.5667158156</v>
      </c>
      <c r="DX20" s="138">
        <v>12989.1309699341</v>
      </c>
      <c r="DY20" s="138">
        <v>6494.56548496706</v>
      </c>
      <c r="DZ20" s="138">
        <v>0</v>
      </c>
      <c r="EA20" s="138">
        <v>0</v>
      </c>
      <c r="EB20" s="85">
        <v>1048380.38937686</v>
      </c>
      <c r="EC20" s="87">
        <v>15003.3612618669</v>
      </c>
      <c r="ED20" s="85">
        <v>0</v>
      </c>
      <c r="EE20" s="85">
        <v>0</v>
      </c>
      <c r="EF20" s="85">
        <v>0</v>
      </c>
      <c r="EG20" s="85">
        <v>0</v>
      </c>
      <c r="EH20" s="85">
        <v>0</v>
      </c>
      <c r="EI20" s="85">
        <v>0</v>
      </c>
      <c r="EJ20" s="85">
        <v>0</v>
      </c>
      <c r="EK20" s="85">
        <v>0</v>
      </c>
      <c r="EL20" s="85">
        <v>0</v>
      </c>
      <c r="EM20" s="85">
        <v>0</v>
      </c>
      <c r="EN20" s="85">
        <v>0</v>
      </c>
      <c r="EO20" s="152">
        <v>15003.3612618669</v>
      </c>
      <c r="EP20" s="85">
        <v>0</v>
      </c>
      <c r="EQ20" s="85">
        <v>712.736719772504</v>
      </c>
      <c r="ER20" s="85">
        <v>3688.07604703123</v>
      </c>
      <c r="ES20" s="85">
        <v>1469.43596283228</v>
      </c>
      <c r="ET20" s="85">
        <v>2244.26545030393</v>
      </c>
      <c r="EU20" s="85">
        <v>0</v>
      </c>
      <c r="EV20" s="85">
        <v>0</v>
      </c>
      <c r="EW20" s="85">
        <v>0</v>
      </c>
      <c r="EX20" s="85">
        <v>0</v>
      </c>
      <c r="EY20" s="85">
        <v>0</v>
      </c>
      <c r="EZ20" s="85">
        <v>0</v>
      </c>
      <c r="FA20" s="85">
        <v>0</v>
      </c>
      <c r="FB20" s="85">
        <v>8114.51417993995</v>
      </c>
      <c r="FC20" s="87">
        <v>0</v>
      </c>
      <c r="FD20" s="85">
        <v>0</v>
      </c>
      <c r="FE20" s="85">
        <v>0</v>
      </c>
      <c r="FF20" s="85">
        <v>0</v>
      </c>
      <c r="FG20" s="85">
        <v>0</v>
      </c>
      <c r="FH20" s="85">
        <v>0</v>
      </c>
      <c r="FI20" s="85">
        <v>0</v>
      </c>
      <c r="FJ20" s="85">
        <v>0</v>
      </c>
      <c r="FK20" s="85">
        <v>0</v>
      </c>
      <c r="FL20" s="85">
        <v>0</v>
      </c>
      <c r="FM20" s="85">
        <v>0</v>
      </c>
      <c r="FN20" s="85">
        <v>0</v>
      </c>
      <c r="FO20" s="86">
        <v>0</v>
      </c>
      <c r="FP20" s="87">
        <v>97780.1157144392</v>
      </c>
      <c r="FQ20" s="85">
        <v>61065.0656961741</v>
      </c>
      <c r="FR20" s="85">
        <v>94640.4844096986</v>
      </c>
      <c r="FS20" s="85">
        <v>74604.9179814156</v>
      </c>
      <c r="FT20" s="85">
        <v>36084.4956961754</v>
      </c>
      <c r="FU20" s="85">
        <v>27291.276</v>
      </c>
      <c r="FV20" s="85">
        <v>27826.76</v>
      </c>
      <c r="FW20" s="85">
        <v>25872.68</v>
      </c>
      <c r="FX20" s="85">
        <v>24895.64</v>
      </c>
      <c r="FY20" s="85">
        <v>22941.56</v>
      </c>
      <c r="FZ20" s="85">
        <v>22941.56</v>
      </c>
      <c r="GA20" s="85">
        <v>22941.56</v>
      </c>
      <c r="GB20" s="152">
        <v>538886.115497903</v>
      </c>
      <c r="GD20" s="153"/>
    </row>
    <row r="21" spans="1:186">
      <c r="A21" s="137" t="s">
        <v>67</v>
      </c>
      <c r="B21" s="151">
        <v>11422294.6642018</v>
      </c>
      <c r="C21" s="138">
        <f t="shared" si="11"/>
        <v>1057436.01140814</v>
      </c>
      <c r="D21" s="138">
        <f t="shared" si="0"/>
        <v>481016.477424904</v>
      </c>
      <c r="E21" s="138">
        <f t="shared" si="1"/>
        <v>497134.370312294</v>
      </c>
      <c r="F21" s="138">
        <f t="shared" si="2"/>
        <v>571362.102685578</v>
      </c>
      <c r="G21" s="138">
        <f t="shared" si="3"/>
        <v>451262.268434679</v>
      </c>
      <c r="H21" s="138">
        <f t="shared" si="4"/>
        <v>463365.538040192</v>
      </c>
      <c r="I21" s="138">
        <f t="shared" si="5"/>
        <v>602949.585036472</v>
      </c>
      <c r="J21" s="138">
        <f t="shared" si="6"/>
        <v>2860056.1274166</v>
      </c>
      <c r="K21" s="138">
        <f t="shared" si="7"/>
        <v>2279119.62669366</v>
      </c>
      <c r="L21" s="138">
        <f t="shared" si="8"/>
        <v>1596229.06129883</v>
      </c>
      <c r="M21" s="138">
        <f t="shared" si="9"/>
        <v>924751.690493455</v>
      </c>
      <c r="N21" s="138">
        <f t="shared" si="10"/>
        <v>769410.372646078</v>
      </c>
      <c r="O21" s="86">
        <f t="shared" si="12"/>
        <v>12554093.2318909</v>
      </c>
      <c r="P21" s="138">
        <v>416949.6664317</v>
      </c>
      <c r="Q21" s="138">
        <v>387243.912120666</v>
      </c>
      <c r="R21" s="138">
        <v>376786.362890296</v>
      </c>
      <c r="S21" s="138">
        <v>480562.079221119</v>
      </c>
      <c r="T21" s="138">
        <v>423080.90339254</v>
      </c>
      <c r="U21" s="138">
        <v>463365.538040192</v>
      </c>
      <c r="V21" s="138">
        <v>470689.822513227</v>
      </c>
      <c r="W21" s="138">
        <v>466567.866865228</v>
      </c>
      <c r="X21" s="138">
        <v>387836.671121315</v>
      </c>
      <c r="Y21" s="138">
        <v>378828.437396114</v>
      </c>
      <c r="Z21" s="138">
        <v>343012.992617441</v>
      </c>
      <c r="AA21" s="138">
        <v>343012.992617441</v>
      </c>
      <c r="AB21" s="86">
        <v>4937937.24522728</v>
      </c>
      <c r="AC21" s="138">
        <v>2300.53989790085</v>
      </c>
      <c r="AD21" s="138">
        <v>4902.79733998538</v>
      </c>
      <c r="AE21" s="138">
        <v>874.432415938353</v>
      </c>
      <c r="AF21" s="138">
        <v>0</v>
      </c>
      <c r="AG21" s="138">
        <v>0</v>
      </c>
      <c r="AH21" s="138">
        <v>0</v>
      </c>
      <c r="AI21" s="138">
        <v>0</v>
      </c>
      <c r="AJ21" s="138">
        <v>211792.182835315</v>
      </c>
      <c r="AK21" s="138">
        <v>381225.929103567</v>
      </c>
      <c r="AL21" s="138">
        <v>381225.929103567</v>
      </c>
      <c r="AM21" s="138">
        <v>296509.055969441</v>
      </c>
      <c r="AN21" s="138">
        <v>296509.055969441</v>
      </c>
      <c r="AO21" s="86">
        <v>1575339.92263516</v>
      </c>
      <c r="AP21" s="138">
        <v>4595.28358538658</v>
      </c>
      <c r="AQ21" s="138">
        <v>526.845670074532</v>
      </c>
      <c r="AR21" s="138">
        <v>72.6083024976108</v>
      </c>
      <c r="AS21" s="138">
        <v>0</v>
      </c>
      <c r="AT21" s="138">
        <v>0</v>
      </c>
      <c r="AU21" s="138">
        <v>0</v>
      </c>
      <c r="AV21" s="138">
        <v>0</v>
      </c>
      <c r="AW21" s="138">
        <v>118477.983184467</v>
      </c>
      <c r="AX21" s="138">
        <v>78985.322122978</v>
      </c>
      <c r="AY21" s="138">
        <v>39492.661061489</v>
      </c>
      <c r="AZ21" s="138">
        <v>39492.661061489</v>
      </c>
      <c r="BA21" s="138">
        <v>39492.661061489</v>
      </c>
      <c r="BB21" s="86">
        <v>321136.026049871</v>
      </c>
      <c r="BC21" s="138">
        <v>34245.28004651</v>
      </c>
      <c r="BD21" s="138">
        <v>19489.6496094344</v>
      </c>
      <c r="BE21" s="138">
        <v>16690.7158156211</v>
      </c>
      <c r="BF21" s="138">
        <v>29021.5128243139</v>
      </c>
      <c r="BG21" s="138">
        <v>21432.8352995674</v>
      </c>
      <c r="BH21" s="138">
        <v>0</v>
      </c>
      <c r="BI21" s="138">
        <v>0</v>
      </c>
      <c r="BJ21" s="138">
        <v>160106.664007756</v>
      </c>
      <c r="BK21" s="138">
        <v>266844.440012927</v>
      </c>
      <c r="BL21" s="138">
        <v>160106.664007756</v>
      </c>
      <c r="BM21" s="138">
        <v>0</v>
      </c>
      <c r="BN21" s="138">
        <v>0</v>
      </c>
      <c r="BO21" s="86">
        <v>707937.761623885</v>
      </c>
      <c r="BP21" s="138">
        <v>0</v>
      </c>
      <c r="BQ21" s="138">
        <v>0</v>
      </c>
      <c r="BR21" s="138">
        <v>0</v>
      </c>
      <c r="BS21" s="138">
        <v>0</v>
      </c>
      <c r="BT21" s="138">
        <v>0</v>
      </c>
      <c r="BU21" s="138">
        <v>0</v>
      </c>
      <c r="BV21" s="138">
        <v>0</v>
      </c>
      <c r="BW21" s="138">
        <v>236587.895031619</v>
      </c>
      <c r="BX21" s="138">
        <v>115946.845382559</v>
      </c>
      <c r="BY21" s="138">
        <v>39900.7362652533</v>
      </c>
      <c r="BZ21" s="138">
        <v>0</v>
      </c>
      <c r="CA21" s="138">
        <v>0</v>
      </c>
      <c r="CB21" s="86">
        <v>392435.476679432</v>
      </c>
      <c r="CC21" s="138">
        <v>0</v>
      </c>
      <c r="CD21" s="138">
        <v>0</v>
      </c>
      <c r="CE21" s="138">
        <v>0</v>
      </c>
      <c r="CF21" s="138">
        <v>0</v>
      </c>
      <c r="CG21" s="138">
        <v>0</v>
      </c>
      <c r="CH21" s="138">
        <v>0</v>
      </c>
      <c r="CI21" s="138">
        <v>32552.1225232453</v>
      </c>
      <c r="CJ21" s="138">
        <v>21643.3140041524</v>
      </c>
      <c r="CK21" s="138">
        <v>43286.6280083048</v>
      </c>
      <c r="CL21" s="138">
        <v>25971.9768049829</v>
      </c>
      <c r="CM21" s="138">
        <v>0</v>
      </c>
      <c r="CN21" s="138">
        <v>0</v>
      </c>
      <c r="CO21" s="86">
        <v>123454.041340685</v>
      </c>
      <c r="CP21" s="138">
        <v>0</v>
      </c>
      <c r="CQ21" s="138">
        <v>0</v>
      </c>
      <c r="CR21" s="138">
        <v>0</v>
      </c>
      <c r="CS21" s="138">
        <v>0</v>
      </c>
      <c r="CT21" s="138">
        <v>0</v>
      </c>
      <c r="CU21" s="138">
        <v>0</v>
      </c>
      <c r="CV21" s="138">
        <v>0</v>
      </c>
      <c r="CW21" s="138">
        <v>206705.578977522</v>
      </c>
      <c r="CX21" s="138">
        <v>346120.110813285</v>
      </c>
      <c r="CY21" s="138">
        <v>101800.032592143</v>
      </c>
      <c r="CZ21" s="138">
        <v>50900.0162960713</v>
      </c>
      <c r="DA21" s="138">
        <v>25450.0081480357</v>
      </c>
      <c r="DB21" s="86">
        <v>730975.746827057</v>
      </c>
      <c r="DC21" s="138">
        <v>0</v>
      </c>
      <c r="DD21" s="138">
        <v>0</v>
      </c>
      <c r="DE21" s="138">
        <v>0</v>
      </c>
      <c r="DF21" s="138">
        <v>12457.1550163057</v>
      </c>
      <c r="DG21" s="138">
        <v>6334.11039962503</v>
      </c>
      <c r="DH21" s="138">
        <v>0</v>
      </c>
      <c r="DI21" s="138">
        <v>0</v>
      </c>
      <c r="DJ21" s="138">
        <v>17082.8501381492</v>
      </c>
      <c r="DK21" s="138">
        <v>28471.4168969153</v>
      </c>
      <c r="DL21" s="138">
        <v>8541.42506907458</v>
      </c>
      <c r="DM21" s="138">
        <v>0</v>
      </c>
      <c r="DN21" s="138">
        <v>0</v>
      </c>
      <c r="DO21" s="86">
        <v>72886.9575200698</v>
      </c>
      <c r="DP21" s="138">
        <v>577120.075115476</v>
      </c>
      <c r="DQ21" s="138">
        <v>43740.0527324728</v>
      </c>
      <c r="DR21" s="138">
        <v>92294.993767125</v>
      </c>
      <c r="DS21" s="138">
        <v>0</v>
      </c>
      <c r="DT21" s="138">
        <v>0</v>
      </c>
      <c r="DU21" s="138">
        <v>0</v>
      </c>
      <c r="DV21" s="138">
        <v>0</v>
      </c>
      <c r="DW21" s="138">
        <v>259782.619398683</v>
      </c>
      <c r="DX21" s="138">
        <v>519565.238797365</v>
      </c>
      <c r="DY21" s="138">
        <v>389673.929098024</v>
      </c>
      <c r="DZ21" s="138">
        <v>194836.964549012</v>
      </c>
      <c r="EA21" s="138">
        <v>64945.6548496706</v>
      </c>
      <c r="EB21" s="85">
        <v>2141959.52830783</v>
      </c>
      <c r="EC21" s="87">
        <v>0</v>
      </c>
      <c r="ED21" s="85">
        <v>0</v>
      </c>
      <c r="EE21" s="85">
        <v>0</v>
      </c>
      <c r="EF21" s="85">
        <v>0</v>
      </c>
      <c r="EG21" s="85">
        <v>0</v>
      </c>
      <c r="EH21" s="85">
        <v>0</v>
      </c>
      <c r="EI21" s="85">
        <v>0</v>
      </c>
      <c r="EJ21" s="85">
        <v>0</v>
      </c>
      <c r="EK21" s="85">
        <v>0</v>
      </c>
      <c r="EL21" s="85">
        <v>0</v>
      </c>
      <c r="EM21" s="85">
        <v>0</v>
      </c>
      <c r="EN21" s="85">
        <v>0</v>
      </c>
      <c r="EO21" s="152">
        <v>0</v>
      </c>
      <c r="EP21" s="85">
        <v>0</v>
      </c>
      <c r="EQ21" s="85">
        <v>0</v>
      </c>
      <c r="ER21" s="85">
        <v>0</v>
      </c>
      <c r="ES21" s="85">
        <v>0</v>
      </c>
      <c r="ET21" s="85">
        <v>0</v>
      </c>
      <c r="EU21" s="85">
        <v>0</v>
      </c>
      <c r="EV21" s="85">
        <v>0</v>
      </c>
      <c r="EW21" s="85">
        <v>76794.7729737097</v>
      </c>
      <c r="EX21" s="85">
        <v>110837.024434443</v>
      </c>
      <c r="EY21" s="85">
        <v>70687.2699004274</v>
      </c>
      <c r="EZ21" s="85">
        <v>0</v>
      </c>
      <c r="FA21" s="85">
        <v>0</v>
      </c>
      <c r="FB21" s="85">
        <v>258319.06730858</v>
      </c>
      <c r="FC21" s="87">
        <v>0</v>
      </c>
      <c r="FD21" s="85">
        <v>0</v>
      </c>
      <c r="FE21" s="85">
        <v>0</v>
      </c>
      <c r="FF21" s="85">
        <v>0</v>
      </c>
      <c r="FG21" s="85">
        <v>0</v>
      </c>
      <c r="FH21" s="85">
        <v>0</v>
      </c>
      <c r="FI21" s="85">
        <v>0</v>
      </c>
      <c r="FJ21" s="85">
        <v>0</v>
      </c>
      <c r="FK21" s="85">
        <v>0</v>
      </c>
      <c r="FL21" s="85">
        <v>0</v>
      </c>
      <c r="FM21" s="85">
        <v>0</v>
      </c>
      <c r="FN21" s="85">
        <v>0</v>
      </c>
      <c r="FO21" s="86">
        <v>0</v>
      </c>
      <c r="FP21" s="87">
        <v>22225.1663311662</v>
      </c>
      <c r="FQ21" s="85">
        <v>25113.2199522708</v>
      </c>
      <c r="FR21" s="85">
        <v>10415.2571208151</v>
      </c>
      <c r="FS21" s="85">
        <v>49321.3556238392</v>
      </c>
      <c r="FT21" s="85">
        <v>414.419342947384</v>
      </c>
      <c r="FU21" s="85">
        <v>0</v>
      </c>
      <c r="FV21" s="85">
        <v>99707.64</v>
      </c>
      <c r="FW21" s="85">
        <v>1084514.4</v>
      </c>
      <c r="FX21" s="85">
        <v>0</v>
      </c>
      <c r="FY21" s="85">
        <v>0</v>
      </c>
      <c r="FZ21" s="85">
        <v>0</v>
      </c>
      <c r="GA21" s="85">
        <v>0</v>
      </c>
      <c r="GB21" s="152">
        <v>1291711.45837104</v>
      </c>
      <c r="GD21" s="153"/>
    </row>
    <row r="22" spans="1:186">
      <c r="A22" s="137" t="s">
        <v>69</v>
      </c>
      <c r="B22" s="151">
        <v>15129249.6053284</v>
      </c>
      <c r="C22" s="138">
        <f t="shared" si="11"/>
        <v>997291.372382775</v>
      </c>
      <c r="D22" s="138">
        <f t="shared" si="0"/>
        <v>927931.534996059</v>
      </c>
      <c r="E22" s="138">
        <f t="shared" si="1"/>
        <v>1031207.75544799</v>
      </c>
      <c r="F22" s="138">
        <f t="shared" si="2"/>
        <v>281431.958837527</v>
      </c>
      <c r="G22" s="138">
        <f t="shared" si="3"/>
        <v>163092.219898449</v>
      </c>
      <c r="H22" s="138">
        <f t="shared" si="4"/>
        <v>7049844.44222397</v>
      </c>
      <c r="I22" s="138">
        <f t="shared" si="5"/>
        <v>8762306.93002676</v>
      </c>
      <c r="J22" s="138">
        <f t="shared" si="6"/>
        <v>4601326.15097494</v>
      </c>
      <c r="K22" s="138">
        <f t="shared" si="7"/>
        <v>3185731.80673332</v>
      </c>
      <c r="L22" s="138">
        <f t="shared" si="8"/>
        <v>2169093.17755191</v>
      </c>
      <c r="M22" s="138">
        <f t="shared" si="9"/>
        <v>1786371.70096541</v>
      </c>
      <c r="N22" s="138">
        <f t="shared" si="10"/>
        <v>1362117.93243451</v>
      </c>
      <c r="O22" s="86">
        <f t="shared" si="12"/>
        <v>32317746.9824736</v>
      </c>
      <c r="P22" s="138">
        <v>996058.338031167</v>
      </c>
      <c r="Q22" s="138">
        <v>927931.534996059</v>
      </c>
      <c r="R22" s="138">
        <v>1031207.75544799</v>
      </c>
      <c r="S22" s="138">
        <v>281431.958837527</v>
      </c>
      <c r="T22" s="138">
        <v>36993.8588952325</v>
      </c>
      <c r="U22" s="138">
        <v>589916.064598112</v>
      </c>
      <c r="V22" s="138">
        <v>1610654.56836752</v>
      </c>
      <c r="W22" s="138">
        <v>1499774.17368817</v>
      </c>
      <c r="X22" s="138">
        <v>1401178.65165562</v>
      </c>
      <c r="Y22" s="138">
        <v>1105392.08555797</v>
      </c>
      <c r="Z22" s="138">
        <v>1030130.1466283</v>
      </c>
      <c r="AA22" s="138">
        <v>844911.415952864</v>
      </c>
      <c r="AB22" s="86">
        <v>11355580.5526565</v>
      </c>
      <c r="AC22" s="138">
        <v>0</v>
      </c>
      <c r="AD22" s="138">
        <v>0</v>
      </c>
      <c r="AE22" s="138">
        <v>0</v>
      </c>
      <c r="AF22" s="138">
        <v>0</v>
      </c>
      <c r="AG22" s="138">
        <v>0</v>
      </c>
      <c r="AH22" s="138">
        <v>281448.278523375</v>
      </c>
      <c r="AI22" s="138">
        <v>640819.709919878</v>
      </c>
      <c r="AJ22" s="138">
        <v>601858.133483313</v>
      </c>
      <c r="AK22" s="138">
        <v>504863.452648589</v>
      </c>
      <c r="AL22" s="138">
        <v>504863.452648589</v>
      </c>
      <c r="AM22" s="138">
        <v>485464.516481644</v>
      </c>
      <c r="AN22" s="138">
        <v>485464.516481644</v>
      </c>
      <c r="AO22" s="86">
        <v>3504782.06018703</v>
      </c>
      <c r="AP22" s="138">
        <v>0</v>
      </c>
      <c r="AQ22" s="138">
        <v>0</v>
      </c>
      <c r="AR22" s="138">
        <v>0</v>
      </c>
      <c r="AS22" s="138">
        <v>0</v>
      </c>
      <c r="AT22" s="138">
        <v>0</v>
      </c>
      <c r="AU22" s="138">
        <v>741622.570426184</v>
      </c>
      <c r="AV22" s="138">
        <v>370811.285213092</v>
      </c>
      <c r="AW22" s="138">
        <v>9081.40418612018</v>
      </c>
      <c r="AX22" s="138">
        <v>0</v>
      </c>
      <c r="AY22" s="138">
        <v>0</v>
      </c>
      <c r="AZ22" s="138">
        <v>0</v>
      </c>
      <c r="BA22" s="138">
        <v>0</v>
      </c>
      <c r="BB22" s="86">
        <v>1121515.2598254</v>
      </c>
      <c r="BC22" s="138">
        <v>0</v>
      </c>
      <c r="BD22" s="138">
        <v>0</v>
      </c>
      <c r="BE22" s="138">
        <v>0</v>
      </c>
      <c r="BF22" s="138">
        <v>0</v>
      </c>
      <c r="BG22" s="138">
        <v>0</v>
      </c>
      <c r="BH22" s="138">
        <v>146854.679257356</v>
      </c>
      <c r="BI22" s="138">
        <v>416019.505705177</v>
      </c>
      <c r="BJ22" s="138">
        <v>244671.85852393</v>
      </c>
      <c r="BK22" s="138">
        <v>122207.018904471</v>
      </c>
      <c r="BL22" s="138">
        <v>61103.5094522354</v>
      </c>
      <c r="BM22" s="138">
        <v>61103.5094522354</v>
      </c>
      <c r="BN22" s="138">
        <v>0</v>
      </c>
      <c r="BO22" s="86">
        <v>1051960.0812954</v>
      </c>
      <c r="BP22" s="138">
        <v>0</v>
      </c>
      <c r="BQ22" s="138">
        <v>0</v>
      </c>
      <c r="BR22" s="138">
        <v>0</v>
      </c>
      <c r="BS22" s="138">
        <v>0</v>
      </c>
      <c r="BT22" s="138">
        <v>0</v>
      </c>
      <c r="BU22" s="138">
        <v>521718.851188218</v>
      </c>
      <c r="BV22" s="138">
        <v>338944.225356625</v>
      </c>
      <c r="BW22" s="138">
        <v>0</v>
      </c>
      <c r="BX22" s="138">
        <v>0</v>
      </c>
      <c r="BY22" s="138">
        <v>0</v>
      </c>
      <c r="BZ22" s="138">
        <v>0</v>
      </c>
      <c r="CA22" s="138">
        <v>0</v>
      </c>
      <c r="CB22" s="86">
        <v>860663.076544843</v>
      </c>
      <c r="CC22" s="138">
        <v>0</v>
      </c>
      <c r="CD22" s="138">
        <v>0</v>
      </c>
      <c r="CE22" s="138">
        <v>0</v>
      </c>
      <c r="CF22" s="138">
        <v>0</v>
      </c>
      <c r="CG22" s="138">
        <v>126098.361003217</v>
      </c>
      <c r="CH22" s="138">
        <v>79296.0837717351</v>
      </c>
      <c r="CI22" s="138">
        <v>135067.773035679</v>
      </c>
      <c r="CJ22" s="138">
        <v>0</v>
      </c>
      <c r="CK22" s="138">
        <v>0</v>
      </c>
      <c r="CL22" s="138">
        <v>0</v>
      </c>
      <c r="CM22" s="138">
        <v>0</v>
      </c>
      <c r="CN22" s="138">
        <v>0</v>
      </c>
      <c r="CO22" s="86">
        <v>340462.217810631</v>
      </c>
      <c r="CP22" s="138">
        <v>0</v>
      </c>
      <c r="CQ22" s="138">
        <v>0</v>
      </c>
      <c r="CR22" s="138">
        <v>0</v>
      </c>
      <c r="CS22" s="138">
        <v>0</v>
      </c>
      <c r="CT22" s="138">
        <v>0</v>
      </c>
      <c r="CU22" s="138">
        <v>233500.751085746</v>
      </c>
      <c r="CV22" s="138">
        <v>737939.493906834</v>
      </c>
      <c r="CW22" s="138">
        <v>528342.133082476</v>
      </c>
      <c r="CX22" s="138">
        <v>170977.316897706</v>
      </c>
      <c r="CY22" s="138">
        <v>163371.839744492</v>
      </c>
      <c r="CZ22" s="138">
        <v>93242.9284032379</v>
      </c>
      <c r="DA22" s="138">
        <v>0</v>
      </c>
      <c r="DB22" s="86">
        <v>1927374.46312049</v>
      </c>
      <c r="DC22" s="138">
        <v>0</v>
      </c>
      <c r="DD22" s="138">
        <v>0</v>
      </c>
      <c r="DE22" s="138">
        <v>0</v>
      </c>
      <c r="DF22" s="138">
        <v>0</v>
      </c>
      <c r="DG22" s="138">
        <v>0</v>
      </c>
      <c r="DH22" s="138">
        <v>26133.1845913715</v>
      </c>
      <c r="DI22" s="138">
        <v>31315.8077250709</v>
      </c>
      <c r="DJ22" s="138">
        <v>0</v>
      </c>
      <c r="DK22" s="138">
        <v>0</v>
      </c>
      <c r="DL22" s="138">
        <v>0</v>
      </c>
      <c r="DM22" s="138">
        <v>0</v>
      </c>
      <c r="DN22" s="138">
        <v>0</v>
      </c>
      <c r="DO22" s="86">
        <v>57448.9923164424</v>
      </c>
      <c r="DP22" s="138">
        <v>0</v>
      </c>
      <c r="DQ22" s="138">
        <v>0</v>
      </c>
      <c r="DR22" s="138">
        <v>0</v>
      </c>
      <c r="DS22" s="138">
        <v>0</v>
      </c>
      <c r="DT22" s="138">
        <v>0</v>
      </c>
      <c r="DU22" s="138">
        <v>238322.316057052</v>
      </c>
      <c r="DV22" s="138">
        <v>1279962.7706508</v>
      </c>
      <c r="DW22" s="138">
        <v>833186.86482505</v>
      </c>
      <c r="DX22" s="138">
        <v>371790.342979999</v>
      </c>
      <c r="DY22" s="138">
        <v>297432.274383999</v>
      </c>
      <c r="DZ22" s="138">
        <v>0</v>
      </c>
      <c r="EA22" s="138">
        <v>0</v>
      </c>
      <c r="EB22" s="85">
        <v>3020694.5688969</v>
      </c>
      <c r="EC22" s="87">
        <v>0</v>
      </c>
      <c r="ED22" s="85">
        <v>0</v>
      </c>
      <c r="EE22" s="85">
        <v>0</v>
      </c>
      <c r="EF22" s="85">
        <v>0</v>
      </c>
      <c r="EG22" s="85">
        <v>0</v>
      </c>
      <c r="EH22" s="85">
        <v>0</v>
      </c>
      <c r="EI22" s="85">
        <v>0</v>
      </c>
      <c r="EJ22" s="85">
        <v>0</v>
      </c>
      <c r="EK22" s="85">
        <v>0</v>
      </c>
      <c r="EL22" s="85">
        <v>0</v>
      </c>
      <c r="EM22" s="85">
        <v>0</v>
      </c>
      <c r="EN22" s="85">
        <v>0</v>
      </c>
      <c r="EO22" s="152">
        <v>0</v>
      </c>
      <c r="EP22" s="85">
        <v>0</v>
      </c>
      <c r="EQ22" s="85">
        <v>0</v>
      </c>
      <c r="ER22" s="85">
        <v>0</v>
      </c>
      <c r="ES22" s="85">
        <v>0</v>
      </c>
      <c r="ET22" s="85">
        <v>0</v>
      </c>
      <c r="EU22" s="85">
        <v>147332.142724824</v>
      </c>
      <c r="EV22" s="85">
        <v>211765.71014608</v>
      </c>
      <c r="EW22" s="85">
        <v>101363.583185878</v>
      </c>
      <c r="EX22" s="85">
        <v>55395.0236469321</v>
      </c>
      <c r="EY22" s="85">
        <v>36930.0157646214</v>
      </c>
      <c r="EZ22" s="85">
        <v>0</v>
      </c>
      <c r="FA22" s="85">
        <v>0</v>
      </c>
      <c r="FB22" s="85">
        <v>552786.475468335</v>
      </c>
      <c r="FC22" s="87">
        <v>0</v>
      </c>
      <c r="FD22" s="85">
        <v>0</v>
      </c>
      <c r="FE22" s="85">
        <v>0</v>
      </c>
      <c r="FF22" s="85">
        <v>0</v>
      </c>
      <c r="FG22" s="85">
        <v>0</v>
      </c>
      <c r="FH22" s="85">
        <v>0</v>
      </c>
      <c r="FI22" s="85">
        <v>0</v>
      </c>
      <c r="FJ22" s="85">
        <v>0</v>
      </c>
      <c r="FK22" s="85">
        <v>0</v>
      </c>
      <c r="FL22" s="85">
        <v>0</v>
      </c>
      <c r="FM22" s="85">
        <v>0</v>
      </c>
      <c r="FN22" s="85">
        <v>0</v>
      </c>
      <c r="FO22" s="86">
        <v>0</v>
      </c>
      <c r="FP22" s="87">
        <v>1233.03435160833</v>
      </c>
      <c r="FQ22" s="85">
        <v>0</v>
      </c>
      <c r="FR22" s="85">
        <v>0</v>
      </c>
      <c r="FS22" s="85">
        <v>0</v>
      </c>
      <c r="FT22" s="85">
        <v>0</v>
      </c>
      <c r="FU22" s="85">
        <v>4043699.52</v>
      </c>
      <c r="FV22" s="85">
        <v>2989006.08</v>
      </c>
      <c r="FW22" s="85">
        <v>783048</v>
      </c>
      <c r="FX22" s="85">
        <v>559320</v>
      </c>
      <c r="FY22" s="85">
        <v>0</v>
      </c>
      <c r="FZ22" s="85">
        <v>116430.6</v>
      </c>
      <c r="GA22" s="85">
        <v>31742</v>
      </c>
      <c r="GB22" s="152">
        <v>8524479.23435161</v>
      </c>
      <c r="GD22" s="153"/>
    </row>
    <row r="23" spans="1:186">
      <c r="A23" s="137" t="s">
        <v>71</v>
      </c>
      <c r="B23" s="151">
        <v>41043246.241168</v>
      </c>
      <c r="C23" s="138">
        <f t="shared" si="11"/>
        <v>2091651.38291506</v>
      </c>
      <c r="D23" s="138">
        <f t="shared" si="0"/>
        <v>2997803.9557169</v>
      </c>
      <c r="E23" s="138">
        <f t="shared" si="1"/>
        <v>2527575.32712124</v>
      </c>
      <c r="F23" s="138">
        <f t="shared" si="2"/>
        <v>1714451.9845582</v>
      </c>
      <c r="G23" s="138">
        <f t="shared" si="3"/>
        <v>1325819.99137493</v>
      </c>
      <c r="H23" s="138">
        <f t="shared" si="4"/>
        <v>7206034.88583456</v>
      </c>
      <c r="I23" s="138">
        <f t="shared" si="5"/>
        <v>5452017.44577957</v>
      </c>
      <c r="J23" s="138">
        <f t="shared" si="6"/>
        <v>2258952.62177548</v>
      </c>
      <c r="K23" s="138">
        <f t="shared" si="7"/>
        <v>8104561.25690773</v>
      </c>
      <c r="L23" s="138">
        <f t="shared" si="8"/>
        <v>4769058.48360821</v>
      </c>
      <c r="M23" s="138">
        <f t="shared" si="9"/>
        <v>1488722.78063326</v>
      </c>
      <c r="N23" s="138">
        <f t="shared" si="10"/>
        <v>6963424.72638787</v>
      </c>
      <c r="O23" s="86">
        <f t="shared" si="12"/>
        <v>46900074.842613</v>
      </c>
      <c r="P23" s="138">
        <v>264495.520931808</v>
      </c>
      <c r="Q23" s="138">
        <v>189446.715076915</v>
      </c>
      <c r="R23" s="138">
        <v>192777.637573905</v>
      </c>
      <c r="S23" s="138">
        <v>107123.42995679</v>
      </c>
      <c r="T23" s="138">
        <v>104377.282402889</v>
      </c>
      <c r="U23" s="138">
        <v>412602.582028503</v>
      </c>
      <c r="V23" s="138">
        <v>412602.582028503</v>
      </c>
      <c r="W23" s="138">
        <v>310357.368613152</v>
      </c>
      <c r="X23" s="138">
        <v>554166.902523327</v>
      </c>
      <c r="Y23" s="138">
        <v>443037.735452564</v>
      </c>
      <c r="Z23" s="138">
        <v>230435.962733637</v>
      </c>
      <c r="AA23" s="138">
        <v>213761.720036956</v>
      </c>
      <c r="AB23" s="86">
        <v>3435185.43935895</v>
      </c>
      <c r="AC23" s="138">
        <v>157827.662995973</v>
      </c>
      <c r="AD23" s="138">
        <v>152021.458987139</v>
      </c>
      <c r="AE23" s="138">
        <v>131083.05729118</v>
      </c>
      <c r="AF23" s="138">
        <v>84080.711671589</v>
      </c>
      <c r="AG23" s="138">
        <v>61439.5500796239</v>
      </c>
      <c r="AH23" s="138">
        <v>209449.167865784</v>
      </c>
      <c r="AI23" s="138">
        <v>120091.283420832</v>
      </c>
      <c r="AJ23" s="138">
        <v>120091.283420832</v>
      </c>
      <c r="AK23" s="138">
        <v>316321.34499564</v>
      </c>
      <c r="AL23" s="138">
        <v>284646.64742938</v>
      </c>
      <c r="AM23" s="138">
        <v>123213.939179351</v>
      </c>
      <c r="AN23" s="138">
        <v>105589.146225143</v>
      </c>
      <c r="AO23" s="86">
        <v>1865855.25356247</v>
      </c>
      <c r="AP23" s="138">
        <v>107015.993769568</v>
      </c>
      <c r="AQ23" s="138">
        <v>320206.295344971</v>
      </c>
      <c r="AR23" s="138">
        <v>158318.156867552</v>
      </c>
      <c r="AS23" s="138">
        <v>75687.1999655386</v>
      </c>
      <c r="AT23" s="138">
        <v>74487.9170736524</v>
      </c>
      <c r="AU23" s="138">
        <v>776660.383005616</v>
      </c>
      <c r="AV23" s="138">
        <v>628992.172080049</v>
      </c>
      <c r="AW23" s="138">
        <v>407489.855691697</v>
      </c>
      <c r="AX23" s="138">
        <v>1160960.22443633</v>
      </c>
      <c r="AY23" s="138">
        <v>812512.850960568</v>
      </c>
      <c r="AZ23" s="138">
        <v>164089.144923453</v>
      </c>
      <c r="BA23" s="138">
        <v>1021194.3614391</v>
      </c>
      <c r="BB23" s="86">
        <v>5707614.5555581</v>
      </c>
      <c r="BC23" s="138">
        <v>125791.308868985</v>
      </c>
      <c r="BD23" s="138">
        <v>206735.359107149</v>
      </c>
      <c r="BE23" s="138">
        <v>203428.831692222</v>
      </c>
      <c r="BF23" s="138">
        <v>70014.1792362873</v>
      </c>
      <c r="BG23" s="138">
        <v>59038.3551325917</v>
      </c>
      <c r="BH23" s="138">
        <v>352306.85061726</v>
      </c>
      <c r="BI23" s="138">
        <v>252530.233916774</v>
      </c>
      <c r="BJ23" s="138">
        <v>172708.940556386</v>
      </c>
      <c r="BK23" s="138">
        <v>520694.715990441</v>
      </c>
      <c r="BL23" s="138">
        <v>584582.68916455</v>
      </c>
      <c r="BM23" s="138">
        <v>220359.36510053</v>
      </c>
      <c r="BN23" s="138">
        <v>266070.977867962</v>
      </c>
      <c r="BO23" s="86">
        <v>3034261.80725114</v>
      </c>
      <c r="BP23" s="138">
        <v>390434.835317045</v>
      </c>
      <c r="BQ23" s="138">
        <v>636959.400785932</v>
      </c>
      <c r="BR23" s="138">
        <v>610553.209635622</v>
      </c>
      <c r="BS23" s="138">
        <v>524870.741708838</v>
      </c>
      <c r="BT23" s="138">
        <v>414257.15093529</v>
      </c>
      <c r="BU23" s="138">
        <v>1231607.26151721</v>
      </c>
      <c r="BV23" s="138">
        <v>806069.707698596</v>
      </c>
      <c r="BW23" s="138">
        <v>461185.159599895</v>
      </c>
      <c r="BX23" s="138">
        <v>1321680.42401154</v>
      </c>
      <c r="BY23" s="138">
        <v>709231.902051141</v>
      </c>
      <c r="BZ23" s="138">
        <v>176487.340165471</v>
      </c>
      <c r="CA23" s="138">
        <v>1284262.85377132</v>
      </c>
      <c r="CB23" s="86">
        <v>8567599.9871979</v>
      </c>
      <c r="CC23" s="138">
        <v>21380.1673257495</v>
      </c>
      <c r="CD23" s="138">
        <v>12911.9331412073</v>
      </c>
      <c r="CE23" s="138">
        <v>16535.8618881545</v>
      </c>
      <c r="CF23" s="138">
        <v>34273.361503772</v>
      </c>
      <c r="CG23" s="138">
        <v>32112.8269569314</v>
      </c>
      <c r="CH23" s="138">
        <v>114375.908509335</v>
      </c>
      <c r="CI23" s="138">
        <v>73164.5259755712</v>
      </c>
      <c r="CJ23" s="138">
        <v>63340.93241498</v>
      </c>
      <c r="CK23" s="138">
        <v>175963.793641692</v>
      </c>
      <c r="CL23" s="138">
        <v>191314.327809706</v>
      </c>
      <c r="CM23" s="138">
        <v>4093.16989004353</v>
      </c>
      <c r="CN23" s="138">
        <v>68339.9599406612</v>
      </c>
      <c r="CO23" s="86">
        <v>807806.768997803</v>
      </c>
      <c r="CP23" s="138">
        <v>36213.6739023474</v>
      </c>
      <c r="CQ23" s="138">
        <v>167136.242908329</v>
      </c>
      <c r="CR23" s="138">
        <v>142467.156999192</v>
      </c>
      <c r="CS23" s="138">
        <v>82091.4208759775</v>
      </c>
      <c r="CT23" s="138">
        <v>73777.652048991</v>
      </c>
      <c r="CU23" s="138">
        <v>497620.809944608</v>
      </c>
      <c r="CV23" s="138">
        <v>392170.588664471</v>
      </c>
      <c r="CW23" s="138">
        <v>150448.891162656</v>
      </c>
      <c r="CX23" s="138">
        <v>334563.102282293</v>
      </c>
      <c r="CY23" s="138">
        <v>420847.236187082</v>
      </c>
      <c r="CZ23" s="138">
        <v>65653.6442079761</v>
      </c>
      <c r="DA23" s="138">
        <v>76128.7200254284</v>
      </c>
      <c r="DB23" s="86">
        <v>2439119.13920935</v>
      </c>
      <c r="DC23" s="138">
        <v>26612.2000786018</v>
      </c>
      <c r="DD23" s="138">
        <v>152466.262433073</v>
      </c>
      <c r="DE23" s="138">
        <v>34718.802671492</v>
      </c>
      <c r="DF23" s="138">
        <v>30793.4310287268</v>
      </c>
      <c r="DG23" s="138">
        <v>29897.7729099244</v>
      </c>
      <c r="DH23" s="138">
        <v>127315.37360609</v>
      </c>
      <c r="DI23" s="138">
        <v>99725.6078314417</v>
      </c>
      <c r="DJ23" s="138">
        <v>51983.0304445419</v>
      </c>
      <c r="DK23" s="138">
        <v>118069.727983816</v>
      </c>
      <c r="DL23" s="138">
        <v>96446.5808806085</v>
      </c>
      <c r="DM23" s="138">
        <v>45928.3842039515</v>
      </c>
      <c r="DN23" s="138">
        <v>79021.2484812356</v>
      </c>
      <c r="DO23" s="86">
        <v>892978.422553504</v>
      </c>
      <c r="DP23" s="138">
        <v>594324.690809262</v>
      </c>
      <c r="DQ23" s="138">
        <v>329394.404768821</v>
      </c>
      <c r="DR23" s="138">
        <v>500090.086187816</v>
      </c>
      <c r="DS23" s="138">
        <v>441349.424106852</v>
      </c>
      <c r="DT23" s="138">
        <v>231949.893647097</v>
      </c>
      <c r="DU23" s="138">
        <v>656755.875356985</v>
      </c>
      <c r="DV23" s="138">
        <v>590299.528101028</v>
      </c>
      <c r="DW23" s="138">
        <v>316126.896819833</v>
      </c>
      <c r="DX23" s="138">
        <v>874254.794735908</v>
      </c>
      <c r="DY23" s="138">
        <v>885943.443873225</v>
      </c>
      <c r="DZ23" s="138">
        <v>279234.941141096</v>
      </c>
      <c r="EA23" s="138">
        <v>485680.54931058</v>
      </c>
      <c r="EB23" s="85">
        <v>6185404.5288585</v>
      </c>
      <c r="EC23" s="87">
        <v>24874.4855629704</v>
      </c>
      <c r="ED23" s="85">
        <v>38379.2811747609</v>
      </c>
      <c r="EE23" s="85">
        <v>0</v>
      </c>
      <c r="EF23" s="85">
        <v>0</v>
      </c>
      <c r="EG23" s="85">
        <v>0</v>
      </c>
      <c r="EH23" s="85">
        <v>0</v>
      </c>
      <c r="EI23" s="85">
        <v>0</v>
      </c>
      <c r="EJ23" s="85">
        <v>0</v>
      </c>
      <c r="EK23" s="85">
        <v>0</v>
      </c>
      <c r="EL23" s="85">
        <v>0</v>
      </c>
      <c r="EM23" s="85">
        <v>0</v>
      </c>
      <c r="EN23" s="85">
        <v>0</v>
      </c>
      <c r="EO23" s="152">
        <v>63253.7667377312</v>
      </c>
      <c r="EP23" s="85">
        <v>44895.9280368354</v>
      </c>
      <c r="EQ23" s="85">
        <v>62174.5617363825</v>
      </c>
      <c r="ER23" s="85">
        <v>64211.5552832181</v>
      </c>
      <c r="ES23" s="85">
        <v>40845.1544679014</v>
      </c>
      <c r="ET23" s="85">
        <v>31771.787885134</v>
      </c>
      <c r="EU23" s="85">
        <v>153474.243383164</v>
      </c>
      <c r="EV23" s="85">
        <v>136826.456062299</v>
      </c>
      <c r="EW23" s="85">
        <v>94269.5830515037</v>
      </c>
      <c r="EX23" s="85">
        <v>232339.62630674</v>
      </c>
      <c r="EY23" s="85">
        <v>264842.909799382</v>
      </c>
      <c r="EZ23" s="85">
        <v>103574.729087751</v>
      </c>
      <c r="FA23" s="85">
        <v>243323.029289483</v>
      </c>
      <c r="FB23" s="85">
        <v>1472549.56438979</v>
      </c>
      <c r="FC23" s="87">
        <v>0</v>
      </c>
      <c r="FD23" s="85">
        <v>0</v>
      </c>
      <c r="FE23" s="85">
        <v>0</v>
      </c>
      <c r="FF23" s="85">
        <v>0</v>
      </c>
      <c r="FG23" s="85">
        <v>0</v>
      </c>
      <c r="FH23" s="85">
        <v>0</v>
      </c>
      <c r="FI23" s="85">
        <v>0</v>
      </c>
      <c r="FJ23" s="85">
        <v>0</v>
      </c>
      <c r="FK23" s="85">
        <v>0</v>
      </c>
      <c r="FL23" s="85">
        <v>0</v>
      </c>
      <c r="FM23" s="85">
        <v>0</v>
      </c>
      <c r="FN23" s="85">
        <v>0</v>
      </c>
      <c r="FO23" s="86">
        <v>0</v>
      </c>
      <c r="FP23" s="87">
        <v>297784.915315917</v>
      </c>
      <c r="FQ23" s="85">
        <v>729972.040252221</v>
      </c>
      <c r="FR23" s="85">
        <v>473390.971030884</v>
      </c>
      <c r="FS23" s="85">
        <v>223322.930035927</v>
      </c>
      <c r="FT23" s="85">
        <v>212709.802302802</v>
      </c>
      <c r="FU23" s="85">
        <v>2673866.43</v>
      </c>
      <c r="FV23" s="85">
        <v>1939544.76</v>
      </c>
      <c r="FW23" s="85">
        <v>110950.68</v>
      </c>
      <c r="FX23" s="85">
        <v>2495546.6</v>
      </c>
      <c r="FY23" s="85">
        <v>75652.16</v>
      </c>
      <c r="FZ23" s="85">
        <v>75652.16</v>
      </c>
      <c r="GA23" s="85">
        <v>3120052.16</v>
      </c>
      <c r="GB23" s="152">
        <v>12428445.6089378</v>
      </c>
      <c r="GD23" s="153"/>
    </row>
    <row r="24" spans="1:186">
      <c r="A24" s="137" t="s">
        <v>73</v>
      </c>
      <c r="B24" s="151">
        <v>26636322.4157821</v>
      </c>
      <c r="C24" s="138">
        <f t="shared" si="11"/>
        <v>1943510.131195</v>
      </c>
      <c r="D24" s="138">
        <f t="shared" si="0"/>
        <v>897522.733106716</v>
      </c>
      <c r="E24" s="138">
        <f t="shared" si="1"/>
        <v>891973.914122963</v>
      </c>
      <c r="F24" s="138">
        <f t="shared" si="2"/>
        <v>916433.113117817</v>
      </c>
      <c r="G24" s="138">
        <f t="shared" si="3"/>
        <v>672292.982779501</v>
      </c>
      <c r="H24" s="138">
        <f t="shared" si="4"/>
        <v>2750065.13280031</v>
      </c>
      <c r="I24" s="138">
        <f t="shared" si="5"/>
        <v>2179692.65765008</v>
      </c>
      <c r="J24" s="138">
        <f t="shared" si="6"/>
        <v>1369346.73735383</v>
      </c>
      <c r="K24" s="138">
        <f t="shared" si="7"/>
        <v>610940.732907986</v>
      </c>
      <c r="L24" s="138">
        <f t="shared" si="8"/>
        <v>376790.134185847</v>
      </c>
      <c r="M24" s="138">
        <f t="shared" si="9"/>
        <v>6517754.67352436</v>
      </c>
      <c r="N24" s="138">
        <f t="shared" si="10"/>
        <v>3576027.4755454</v>
      </c>
      <c r="O24" s="86">
        <f t="shared" si="12"/>
        <v>22702350.4182898</v>
      </c>
      <c r="P24" s="138">
        <v>159790.982944926</v>
      </c>
      <c r="Q24" s="138">
        <v>87386.5060132892</v>
      </c>
      <c r="R24" s="138">
        <v>87607.8603573053</v>
      </c>
      <c r="S24" s="138">
        <v>58912.4762326667</v>
      </c>
      <c r="T24" s="138">
        <v>47696.4326836941</v>
      </c>
      <c r="U24" s="138">
        <v>244766.033512803</v>
      </c>
      <c r="V24" s="138">
        <v>175666.771644905</v>
      </c>
      <c r="W24" s="138">
        <v>112209.368010678</v>
      </c>
      <c r="X24" s="138">
        <v>51451.9488926162</v>
      </c>
      <c r="Y24" s="138">
        <v>0</v>
      </c>
      <c r="Z24" s="138">
        <v>160321.290027717</v>
      </c>
      <c r="AA24" s="138">
        <v>160321.290027717</v>
      </c>
      <c r="AB24" s="86">
        <v>1346130.96034832</v>
      </c>
      <c r="AC24" s="138">
        <v>35332.6854455502</v>
      </c>
      <c r="AD24" s="138">
        <v>11268.5945223149</v>
      </c>
      <c r="AE24" s="138">
        <v>7723.96661948754</v>
      </c>
      <c r="AF24" s="138">
        <v>2351.81188727493</v>
      </c>
      <c r="AG24" s="138">
        <v>1077.25380620533</v>
      </c>
      <c r="AH24" s="138">
        <v>77939.523283396</v>
      </c>
      <c r="AI24" s="138">
        <v>86411.2105968086</v>
      </c>
      <c r="AJ24" s="138">
        <v>84716.8731341261</v>
      </c>
      <c r="AK24" s="138">
        <v>84716.8731341261</v>
      </c>
      <c r="AL24" s="138">
        <v>67773.4985073009</v>
      </c>
      <c r="AM24" s="138">
        <v>158383.719337714</v>
      </c>
      <c r="AN24" s="138">
        <v>237575.579006571</v>
      </c>
      <c r="AO24" s="86">
        <v>855271.589280876</v>
      </c>
      <c r="AP24" s="138">
        <v>104280.858750829</v>
      </c>
      <c r="AQ24" s="138">
        <v>34707.4623470788</v>
      </c>
      <c r="AR24" s="138">
        <v>41287.5232278356</v>
      </c>
      <c r="AS24" s="138">
        <v>24891.5858253427</v>
      </c>
      <c r="AT24" s="138">
        <v>14690.6952021462</v>
      </c>
      <c r="AU24" s="138">
        <v>169818.442564403</v>
      </c>
      <c r="AV24" s="138">
        <v>169818.442564403</v>
      </c>
      <c r="AW24" s="138">
        <v>90833.1204414247</v>
      </c>
      <c r="AX24" s="138">
        <v>11847.7983184467</v>
      </c>
      <c r="AY24" s="138">
        <v>11847.7983184467</v>
      </c>
      <c r="AZ24" s="138">
        <v>897857.063871853</v>
      </c>
      <c r="BA24" s="138">
        <v>381018.325632366</v>
      </c>
      <c r="BB24" s="86">
        <v>1952899.11706457</v>
      </c>
      <c r="BC24" s="138">
        <v>86660.5317471788</v>
      </c>
      <c r="BD24" s="138">
        <v>45618.0387508983</v>
      </c>
      <c r="BE24" s="138">
        <v>35679.5170143221</v>
      </c>
      <c r="BF24" s="138">
        <v>16377.878176366</v>
      </c>
      <c r="BG24" s="138">
        <v>18201.9700778954</v>
      </c>
      <c r="BH24" s="138">
        <v>124883.19792605</v>
      </c>
      <c r="BI24" s="138">
        <v>82188.0875239814</v>
      </c>
      <c r="BJ24" s="138">
        <v>60840.5323229473</v>
      </c>
      <c r="BK24" s="138">
        <v>10673.7776005171</v>
      </c>
      <c r="BL24" s="138">
        <v>10673.7776005171</v>
      </c>
      <c r="BM24" s="138">
        <v>210227.011001488</v>
      </c>
      <c r="BN24" s="138">
        <v>509556.861102945</v>
      </c>
      <c r="BO24" s="86">
        <v>1211581.18084511</v>
      </c>
      <c r="BP24" s="138">
        <v>264428.238415278</v>
      </c>
      <c r="BQ24" s="138">
        <v>199350.664442321</v>
      </c>
      <c r="BR24" s="138">
        <v>198415.341112009</v>
      </c>
      <c r="BS24" s="138">
        <v>160709.68399427</v>
      </c>
      <c r="BT24" s="138">
        <v>146649.606861298</v>
      </c>
      <c r="BU24" s="138">
        <v>310588.510309127</v>
      </c>
      <c r="BV24" s="138">
        <v>306833.146895927</v>
      </c>
      <c r="BW24" s="138">
        <v>203560.653032918</v>
      </c>
      <c r="BX24" s="138">
        <v>198673.691586392</v>
      </c>
      <c r="BY24" s="138">
        <v>165441.219884252</v>
      </c>
      <c r="BZ24" s="138">
        <v>1139905.86778455</v>
      </c>
      <c r="CA24" s="138">
        <v>437816.18618623</v>
      </c>
      <c r="CB24" s="86">
        <v>3732372.81050457</v>
      </c>
      <c r="CC24" s="138">
        <v>31769.6260418277</v>
      </c>
      <c r="CD24" s="138">
        <v>13969.633764558</v>
      </c>
      <c r="CE24" s="138">
        <v>17848.6894113483</v>
      </c>
      <c r="CF24" s="138">
        <v>24650.9831844671</v>
      </c>
      <c r="CG24" s="138">
        <v>170411.396712561</v>
      </c>
      <c r="CH24" s="138">
        <v>144710.076743435</v>
      </c>
      <c r="CI24" s="138">
        <v>144364.071411005</v>
      </c>
      <c r="CJ24" s="138">
        <v>89068.0841510794</v>
      </c>
      <c r="CK24" s="138">
        <v>33823.6685752028</v>
      </c>
      <c r="CL24" s="138">
        <v>21128.9315006435</v>
      </c>
      <c r="CM24" s="138">
        <v>57191.3098419229</v>
      </c>
      <c r="CN24" s="138">
        <v>96786.1825895641</v>
      </c>
      <c r="CO24" s="86">
        <v>845722.653927615</v>
      </c>
      <c r="CP24" s="138">
        <v>101505.861024846</v>
      </c>
      <c r="CQ24" s="138">
        <v>62097.9183666994</v>
      </c>
      <c r="CR24" s="138">
        <v>58127.1164588133</v>
      </c>
      <c r="CS24" s="138">
        <v>32418.0224117711</v>
      </c>
      <c r="CT24" s="138">
        <v>36068.4456911287</v>
      </c>
      <c r="CU24" s="138">
        <v>147713.072889551</v>
      </c>
      <c r="CV24" s="138">
        <v>107424.790792447</v>
      </c>
      <c r="CW24" s="138">
        <v>100782.032266221</v>
      </c>
      <c r="CX24" s="138">
        <v>0</v>
      </c>
      <c r="CY24" s="138">
        <v>0</v>
      </c>
      <c r="CZ24" s="138">
        <v>190321.800063571</v>
      </c>
      <c r="DA24" s="138">
        <v>380643.600127142</v>
      </c>
      <c r="DB24" s="86">
        <v>1217102.66009219</v>
      </c>
      <c r="DC24" s="138">
        <v>13598.8584123556</v>
      </c>
      <c r="DD24" s="138">
        <v>53714.024268318</v>
      </c>
      <c r="DE24" s="138">
        <v>1999.68628418051</v>
      </c>
      <c r="DF24" s="138">
        <v>2106.7144028695</v>
      </c>
      <c r="DG24" s="138">
        <v>2701.34150036468</v>
      </c>
      <c r="DH24" s="138">
        <v>29610.2735727919</v>
      </c>
      <c r="DI24" s="138">
        <v>6833.14005525967</v>
      </c>
      <c r="DJ24" s="138">
        <v>1138.85667587661</v>
      </c>
      <c r="DK24" s="138">
        <v>1138.85667587661</v>
      </c>
      <c r="DL24" s="138">
        <v>1138.85667587661</v>
      </c>
      <c r="DM24" s="138">
        <v>33076.3591080685</v>
      </c>
      <c r="DN24" s="138">
        <v>49045.1103241645</v>
      </c>
      <c r="DO24" s="86">
        <v>196102.077956003</v>
      </c>
      <c r="DP24" s="138">
        <v>334282.887649378</v>
      </c>
      <c r="DQ24" s="138">
        <v>106677.45735247</v>
      </c>
      <c r="DR24" s="138">
        <v>84001.158045623</v>
      </c>
      <c r="DS24" s="138">
        <v>366459.426177397</v>
      </c>
      <c r="DT24" s="138">
        <v>55318.8841454069</v>
      </c>
      <c r="DU24" s="138">
        <v>148496.514204585</v>
      </c>
      <c r="DV24" s="138">
        <v>183567.167823407</v>
      </c>
      <c r="DW24" s="138">
        <v>96539.9903248486</v>
      </c>
      <c r="DX24" s="138">
        <v>58451.0893647036</v>
      </c>
      <c r="DY24" s="138">
        <v>0</v>
      </c>
      <c r="DZ24" s="138">
        <v>364260.411982935</v>
      </c>
      <c r="EA24" s="138">
        <v>242840.27465529</v>
      </c>
      <c r="EB24" s="85">
        <v>2040895.26172605</v>
      </c>
      <c r="EC24" s="87">
        <v>0</v>
      </c>
      <c r="ED24" s="85">
        <v>0</v>
      </c>
      <c r="EE24" s="85">
        <v>0</v>
      </c>
      <c r="EF24" s="85">
        <v>0</v>
      </c>
      <c r="EG24" s="85">
        <v>0</v>
      </c>
      <c r="EH24" s="85">
        <v>0</v>
      </c>
      <c r="EI24" s="85">
        <v>0</v>
      </c>
      <c r="EJ24" s="85">
        <v>0</v>
      </c>
      <c r="EK24" s="85">
        <v>0</v>
      </c>
      <c r="EL24" s="85">
        <v>0</v>
      </c>
      <c r="EM24" s="85">
        <v>0</v>
      </c>
      <c r="EN24" s="85">
        <v>0</v>
      </c>
      <c r="EO24" s="152">
        <v>0</v>
      </c>
      <c r="EP24" s="85">
        <v>80516.1501607686</v>
      </c>
      <c r="EQ24" s="85">
        <v>74884.875953515</v>
      </c>
      <c r="ER24" s="85">
        <v>69390.6683727332</v>
      </c>
      <c r="ES24" s="85">
        <v>52009.126891119</v>
      </c>
      <c r="ET24" s="85">
        <v>66414.65862929</v>
      </c>
      <c r="EU24" s="85">
        <v>75898.0097941695</v>
      </c>
      <c r="EV24" s="85">
        <v>166128.248341936</v>
      </c>
      <c r="EW24" s="85">
        <v>54998.686993711</v>
      </c>
      <c r="EX24" s="85">
        <v>87067.9287601052</v>
      </c>
      <c r="EY24" s="85">
        <v>52465.1516988103</v>
      </c>
      <c r="EZ24" s="85">
        <v>65223.0205045434</v>
      </c>
      <c r="FA24" s="85">
        <v>122737.245893414</v>
      </c>
      <c r="FB24" s="85">
        <v>967733.771994115</v>
      </c>
      <c r="FC24" s="87">
        <v>0</v>
      </c>
      <c r="FD24" s="85">
        <v>0</v>
      </c>
      <c r="FE24" s="85">
        <v>0</v>
      </c>
      <c r="FF24" s="85">
        <v>0</v>
      </c>
      <c r="FG24" s="85">
        <v>0</v>
      </c>
      <c r="FH24" s="85">
        <v>0</v>
      </c>
      <c r="FI24" s="85">
        <v>0</v>
      </c>
      <c r="FJ24" s="85">
        <v>0</v>
      </c>
      <c r="FK24" s="85">
        <v>0</v>
      </c>
      <c r="FL24" s="85">
        <v>0</v>
      </c>
      <c r="FM24" s="85">
        <v>0</v>
      </c>
      <c r="FN24" s="85">
        <v>0</v>
      </c>
      <c r="FO24" s="86">
        <v>0</v>
      </c>
      <c r="FP24" s="87">
        <v>731343.450602058</v>
      </c>
      <c r="FQ24" s="85">
        <v>207847.557325253</v>
      </c>
      <c r="FR24" s="85">
        <v>289892.387219305</v>
      </c>
      <c r="FS24" s="85">
        <v>175545.403934272</v>
      </c>
      <c r="FT24" s="85">
        <v>113062.297469511</v>
      </c>
      <c r="FU24" s="85">
        <v>1275641.478</v>
      </c>
      <c r="FV24" s="85">
        <v>750457.58</v>
      </c>
      <c r="FW24" s="85">
        <v>474658.54</v>
      </c>
      <c r="FX24" s="85">
        <v>73095.1</v>
      </c>
      <c r="FY24" s="85">
        <v>46320.9</v>
      </c>
      <c r="FZ24" s="85">
        <v>3240986.82</v>
      </c>
      <c r="GA24" s="85">
        <v>957686.82</v>
      </c>
      <c r="GB24" s="152">
        <v>8336538.3345504</v>
      </c>
      <c r="GD24" s="153"/>
    </row>
    <row r="25" spans="1:186">
      <c r="A25" s="137" t="s">
        <v>75</v>
      </c>
      <c r="B25" s="151">
        <v>12244943.7184999</v>
      </c>
      <c r="C25" s="138">
        <f t="shared" si="11"/>
        <v>2575344.97401406</v>
      </c>
      <c r="D25" s="138">
        <f t="shared" si="0"/>
        <v>3690123.47890019</v>
      </c>
      <c r="E25" s="138">
        <f t="shared" si="1"/>
        <v>3884441.35864676</v>
      </c>
      <c r="F25" s="138">
        <f t="shared" si="2"/>
        <v>4007178.47175534</v>
      </c>
      <c r="G25" s="138">
        <f t="shared" si="3"/>
        <v>2874773.2016958</v>
      </c>
      <c r="H25" s="138">
        <f t="shared" si="4"/>
        <v>2581581.37379585</v>
      </c>
      <c r="I25" s="138">
        <f t="shared" si="5"/>
        <v>2227313.02608514</v>
      </c>
      <c r="J25" s="138">
        <f t="shared" si="6"/>
        <v>7296155.66099545</v>
      </c>
      <c r="K25" s="138">
        <f t="shared" si="7"/>
        <v>4612585.32575235</v>
      </c>
      <c r="L25" s="138">
        <f t="shared" si="8"/>
        <v>3088281.97323853</v>
      </c>
      <c r="M25" s="138">
        <f t="shared" si="9"/>
        <v>1427886.09311652</v>
      </c>
      <c r="N25" s="138">
        <f t="shared" si="10"/>
        <v>531333.362807316</v>
      </c>
      <c r="O25" s="86">
        <f t="shared" si="12"/>
        <v>38796998.3008033</v>
      </c>
      <c r="P25" s="138">
        <v>0</v>
      </c>
      <c r="Q25" s="138">
        <v>0</v>
      </c>
      <c r="R25" s="138">
        <v>0</v>
      </c>
      <c r="S25" s="138">
        <v>0</v>
      </c>
      <c r="T25" s="138">
        <v>0</v>
      </c>
      <c r="U25" s="138">
        <v>0</v>
      </c>
      <c r="V25" s="138">
        <v>0</v>
      </c>
      <c r="W25" s="138">
        <v>0</v>
      </c>
      <c r="X25" s="138">
        <v>0</v>
      </c>
      <c r="Y25" s="138">
        <v>0</v>
      </c>
      <c r="Z25" s="138">
        <v>0</v>
      </c>
      <c r="AA25" s="138">
        <v>0</v>
      </c>
      <c r="AB25" s="86">
        <v>0</v>
      </c>
      <c r="AC25" s="138">
        <v>508514.459010481</v>
      </c>
      <c r="AD25" s="138">
        <v>901996.686872872</v>
      </c>
      <c r="AE25" s="138">
        <v>33128.2706314706</v>
      </c>
      <c r="AF25" s="138">
        <v>581324.952245192</v>
      </c>
      <c r="AG25" s="138">
        <v>896605.973315775</v>
      </c>
      <c r="AH25" s="138">
        <v>1193402.90849812</v>
      </c>
      <c r="AI25" s="138">
        <v>1193402.90849812</v>
      </c>
      <c r="AJ25" s="138">
        <v>1870933.26344279</v>
      </c>
      <c r="AK25" s="138">
        <v>2139817.25208589</v>
      </c>
      <c r="AL25" s="138">
        <v>1319864.32781428</v>
      </c>
      <c r="AM25" s="138">
        <v>659932.163907142</v>
      </c>
      <c r="AN25" s="138">
        <v>0</v>
      </c>
      <c r="AO25" s="86">
        <v>11298923.1663221</v>
      </c>
      <c r="AP25" s="138">
        <v>371799.263109724</v>
      </c>
      <c r="AQ25" s="138">
        <v>487.303180938854</v>
      </c>
      <c r="AR25" s="138">
        <v>694538.624822302</v>
      </c>
      <c r="AS25" s="138">
        <v>590723.133474107</v>
      </c>
      <c r="AT25" s="138">
        <v>232181.271285384</v>
      </c>
      <c r="AU25" s="138">
        <v>213260.369732041</v>
      </c>
      <c r="AV25" s="138">
        <v>157970.644245956</v>
      </c>
      <c r="AW25" s="138">
        <v>1019368.54131177</v>
      </c>
      <c r="AX25" s="138">
        <v>773254.856435821</v>
      </c>
      <c r="AY25" s="138">
        <v>773254.856435821</v>
      </c>
      <c r="AZ25" s="138">
        <v>364591.668060413</v>
      </c>
      <c r="BA25" s="138">
        <v>364591.668060413</v>
      </c>
      <c r="BB25" s="86">
        <v>5556022.20015469</v>
      </c>
      <c r="BC25" s="138">
        <v>127471.479319005</v>
      </c>
      <c r="BD25" s="138">
        <v>547211.239513835</v>
      </c>
      <c r="BE25" s="138">
        <v>409352.187685592</v>
      </c>
      <c r="BF25" s="138">
        <v>352746.040186201</v>
      </c>
      <c r="BG25" s="138">
        <v>157764.657207579</v>
      </c>
      <c r="BH25" s="138">
        <v>164824.783092042</v>
      </c>
      <c r="BI25" s="138">
        <v>132803.450290491</v>
      </c>
      <c r="BJ25" s="138">
        <v>345505.540155868</v>
      </c>
      <c r="BK25" s="138">
        <v>166294.361167476</v>
      </c>
      <c r="BL25" s="138">
        <v>66517.7444669904</v>
      </c>
      <c r="BM25" s="138">
        <v>0</v>
      </c>
      <c r="BN25" s="138">
        <v>0</v>
      </c>
      <c r="BO25" s="86">
        <v>2470491.48308508</v>
      </c>
      <c r="BP25" s="138">
        <v>87525.2634978902</v>
      </c>
      <c r="BQ25" s="138">
        <v>26369.178583775</v>
      </c>
      <c r="BR25" s="138">
        <v>190565.80114174</v>
      </c>
      <c r="BS25" s="138">
        <v>392148.430910648</v>
      </c>
      <c r="BT25" s="138">
        <v>129267.471010178</v>
      </c>
      <c r="BU25" s="138">
        <v>76046.1091173062</v>
      </c>
      <c r="BV25" s="138">
        <v>74168.4274107061</v>
      </c>
      <c r="BW25" s="138">
        <v>447459.714516324</v>
      </c>
      <c r="BX25" s="138">
        <v>263351.662545261</v>
      </c>
      <c r="BY25" s="138">
        <v>124328.381116369</v>
      </c>
      <c r="BZ25" s="138">
        <v>73134.3418331582</v>
      </c>
      <c r="CA25" s="138">
        <v>73134.3418331582</v>
      </c>
      <c r="CB25" s="86">
        <v>1957499.12351651</v>
      </c>
      <c r="CC25" s="138">
        <v>20634.5177694798</v>
      </c>
      <c r="CD25" s="138">
        <v>40741.3298884225</v>
      </c>
      <c r="CE25" s="138">
        <v>77194.4448699337</v>
      </c>
      <c r="CF25" s="138">
        <v>143247.71365955</v>
      </c>
      <c r="CG25" s="138">
        <v>59627.3992292998</v>
      </c>
      <c r="CH25" s="138">
        <v>38712.6743154272</v>
      </c>
      <c r="CI25" s="138">
        <v>46628.6806789974</v>
      </c>
      <c r="CJ25" s="138">
        <v>100071.118205436</v>
      </c>
      <c r="CK25" s="138">
        <v>125132.448495968</v>
      </c>
      <c r="CL25" s="138">
        <v>69458.044125047</v>
      </c>
      <c r="CM25" s="138">
        <v>0</v>
      </c>
      <c r="CN25" s="138">
        <v>0</v>
      </c>
      <c r="CO25" s="86">
        <v>721448.371237561</v>
      </c>
      <c r="CP25" s="138">
        <v>59632.7314474359</v>
      </c>
      <c r="CQ25" s="138">
        <v>534209.389997374</v>
      </c>
      <c r="CR25" s="138">
        <v>534431.145393782</v>
      </c>
      <c r="CS25" s="138">
        <v>506261.140014156</v>
      </c>
      <c r="CT25" s="138">
        <v>324407.422618571</v>
      </c>
      <c r="CU25" s="138">
        <v>312562.859245438</v>
      </c>
      <c r="CV25" s="138">
        <v>215550.503792928</v>
      </c>
      <c r="CW25" s="138">
        <v>622918.759606182</v>
      </c>
      <c r="CX25" s="138">
        <v>394905.440441983</v>
      </c>
      <c r="CY25" s="138">
        <v>165732.420210396</v>
      </c>
      <c r="CZ25" s="138">
        <v>0</v>
      </c>
      <c r="DA25" s="138">
        <v>0</v>
      </c>
      <c r="DB25" s="86">
        <v>3670611.81276825</v>
      </c>
      <c r="DC25" s="138">
        <v>79534.7395340842</v>
      </c>
      <c r="DD25" s="138">
        <v>78615.8517399695</v>
      </c>
      <c r="DE25" s="138">
        <v>57193.9049602854</v>
      </c>
      <c r="DF25" s="138">
        <v>18479.344548254</v>
      </c>
      <c r="DG25" s="138">
        <v>17325.7879188091</v>
      </c>
      <c r="DH25" s="138">
        <v>18117.1740756603</v>
      </c>
      <c r="DI25" s="138">
        <v>11388.5667587661</v>
      </c>
      <c r="DJ25" s="138">
        <v>62340.0241273328</v>
      </c>
      <c r="DK25" s="138">
        <v>42319.2538688063</v>
      </c>
      <c r="DL25" s="138">
        <v>21159.6269344031</v>
      </c>
      <c r="DM25" s="138">
        <v>10010.3851292633</v>
      </c>
      <c r="DN25" s="138">
        <v>1138.85667587661</v>
      </c>
      <c r="DO25" s="86">
        <v>417623.516271511</v>
      </c>
      <c r="DP25" s="138">
        <v>394562.419178648</v>
      </c>
      <c r="DQ25" s="138">
        <v>498038.695083088</v>
      </c>
      <c r="DR25" s="138">
        <v>495244.462759511</v>
      </c>
      <c r="DS25" s="138">
        <v>546775.661245731</v>
      </c>
      <c r="DT25" s="138">
        <v>600720.765579257</v>
      </c>
      <c r="DU25" s="138">
        <v>393125.147471678</v>
      </c>
      <c r="DV25" s="138">
        <v>240832.293056073</v>
      </c>
      <c r="DW25" s="138">
        <v>772382.672023764</v>
      </c>
      <c r="DX25" s="138">
        <v>531644.503105154</v>
      </c>
      <c r="DY25" s="138">
        <v>518655.37213522</v>
      </c>
      <c r="DZ25" s="138">
        <v>290906.334186544</v>
      </c>
      <c r="EA25" s="138">
        <v>63157.2962378681</v>
      </c>
      <c r="EB25" s="85">
        <v>5346045.62206254</v>
      </c>
      <c r="EC25" s="87">
        <v>0</v>
      </c>
      <c r="ED25" s="85">
        <v>0</v>
      </c>
      <c r="EE25" s="85">
        <v>0</v>
      </c>
      <c r="EF25" s="85">
        <v>0</v>
      </c>
      <c r="EG25" s="85">
        <v>0</v>
      </c>
      <c r="EH25" s="85">
        <v>0</v>
      </c>
      <c r="EI25" s="85">
        <v>0</v>
      </c>
      <c r="EJ25" s="85">
        <v>0</v>
      </c>
      <c r="EK25" s="85">
        <v>0</v>
      </c>
      <c r="EL25" s="85">
        <v>0</v>
      </c>
      <c r="EM25" s="85">
        <v>0</v>
      </c>
      <c r="EN25" s="85">
        <v>0</v>
      </c>
      <c r="EO25" s="152">
        <v>0</v>
      </c>
      <c r="EP25" s="85">
        <v>95642.9031224907</v>
      </c>
      <c r="EQ25" s="85">
        <v>0</v>
      </c>
      <c r="ER25" s="85">
        <v>181284.588375285</v>
      </c>
      <c r="ES25" s="85">
        <v>118374.642451958</v>
      </c>
      <c r="ET25" s="85">
        <v>72619.533964376</v>
      </c>
      <c r="EU25" s="85">
        <v>61572.228248132</v>
      </c>
      <c r="EV25" s="85">
        <v>46340.3113531006</v>
      </c>
      <c r="EW25" s="85">
        <v>125104.307605992</v>
      </c>
      <c r="EX25" s="85">
        <v>125104.307605992</v>
      </c>
      <c r="EY25" s="85">
        <v>0</v>
      </c>
      <c r="EZ25" s="85">
        <v>0</v>
      </c>
      <c r="FA25" s="85">
        <v>0</v>
      </c>
      <c r="FB25" s="85">
        <v>826042.822727325</v>
      </c>
      <c r="FC25" s="87">
        <v>0</v>
      </c>
      <c r="FD25" s="85">
        <v>0</v>
      </c>
      <c r="FE25" s="85">
        <v>0</v>
      </c>
      <c r="FF25" s="85">
        <v>0</v>
      </c>
      <c r="FG25" s="85">
        <v>0</v>
      </c>
      <c r="FH25" s="85">
        <v>0</v>
      </c>
      <c r="FI25" s="85">
        <v>0</v>
      </c>
      <c r="FJ25" s="85">
        <v>0</v>
      </c>
      <c r="FK25" s="85">
        <v>0</v>
      </c>
      <c r="FL25" s="85">
        <v>0</v>
      </c>
      <c r="FM25" s="85">
        <v>0</v>
      </c>
      <c r="FN25" s="85">
        <v>0</v>
      </c>
      <c r="FO25" s="86">
        <v>0</v>
      </c>
      <c r="FP25" s="87">
        <v>830027.198024819</v>
      </c>
      <c r="FQ25" s="85">
        <v>1062453.80403992</v>
      </c>
      <c r="FR25" s="85">
        <v>1211507.92800685</v>
      </c>
      <c r="FS25" s="85">
        <v>757097.413019543</v>
      </c>
      <c r="FT25" s="85">
        <v>384252.91956657</v>
      </c>
      <c r="FU25" s="85">
        <v>109957.12</v>
      </c>
      <c r="FV25" s="85">
        <v>108227.24</v>
      </c>
      <c r="FW25" s="85">
        <v>1930071.72</v>
      </c>
      <c r="FX25" s="85">
        <v>50761.24</v>
      </c>
      <c r="FY25" s="85">
        <v>29311.2</v>
      </c>
      <c r="FZ25" s="85">
        <v>29311.2</v>
      </c>
      <c r="GA25" s="85">
        <v>29311.2</v>
      </c>
      <c r="GB25" s="152">
        <v>6532290.1826577</v>
      </c>
      <c r="GD25" s="153"/>
    </row>
    <row r="26" spans="1:186">
      <c r="A26" s="137" t="s">
        <v>77</v>
      </c>
      <c r="B26" s="151">
        <v>50732265.5796771</v>
      </c>
      <c r="C26" s="138">
        <f t="shared" si="11"/>
        <v>6253294.05751373</v>
      </c>
      <c r="D26" s="138">
        <f t="shared" si="0"/>
        <v>4838250.07504996</v>
      </c>
      <c r="E26" s="138">
        <f t="shared" si="1"/>
        <v>3550502.45509201</v>
      </c>
      <c r="F26" s="138">
        <f t="shared" si="2"/>
        <v>2471684.25811296</v>
      </c>
      <c r="G26" s="138">
        <f t="shared" si="3"/>
        <v>2217084.27308483</v>
      </c>
      <c r="H26" s="138">
        <f t="shared" si="4"/>
        <v>1972341.98840914</v>
      </c>
      <c r="I26" s="138">
        <f t="shared" si="5"/>
        <v>10367378.8520255</v>
      </c>
      <c r="J26" s="138">
        <f t="shared" si="6"/>
        <v>8655319.24349602</v>
      </c>
      <c r="K26" s="138">
        <f t="shared" si="7"/>
        <v>5243147.16615245</v>
      </c>
      <c r="L26" s="138">
        <f t="shared" si="8"/>
        <v>3772465.63414804</v>
      </c>
      <c r="M26" s="138">
        <f t="shared" si="9"/>
        <v>8029732.06540714</v>
      </c>
      <c r="N26" s="138">
        <f t="shared" si="10"/>
        <v>4963325.3646207</v>
      </c>
      <c r="O26" s="86">
        <f t="shared" si="12"/>
        <v>62334525.4331125</v>
      </c>
      <c r="P26" s="138">
        <v>638093.697647681</v>
      </c>
      <c r="Q26" s="138">
        <v>530113.472486819</v>
      </c>
      <c r="R26" s="138">
        <v>594578.606688565</v>
      </c>
      <c r="S26" s="138">
        <v>487714.984008529</v>
      </c>
      <c r="T26" s="138">
        <v>311798.926305337</v>
      </c>
      <c r="U26" s="138">
        <v>298360.147109326</v>
      </c>
      <c r="V26" s="138">
        <v>1582965.08457204</v>
      </c>
      <c r="W26" s="138">
        <v>1916074.11837667</v>
      </c>
      <c r="X26" s="138">
        <v>1360892.39536896</v>
      </c>
      <c r="Y26" s="138">
        <v>1097409.03572386</v>
      </c>
      <c r="Z26" s="138">
        <v>1581683.83710386</v>
      </c>
      <c r="AA26" s="138">
        <v>1553924.75095347</v>
      </c>
      <c r="AB26" s="86">
        <v>11953609.0563451</v>
      </c>
      <c r="AC26" s="138">
        <v>1612863.39275869</v>
      </c>
      <c r="AD26" s="138">
        <v>1764809.27502894</v>
      </c>
      <c r="AE26" s="138">
        <v>1434556.0026821</v>
      </c>
      <c r="AF26" s="138">
        <v>979681.299138232</v>
      </c>
      <c r="AG26" s="138">
        <v>919457.350735725</v>
      </c>
      <c r="AH26" s="138">
        <v>990573.525284245</v>
      </c>
      <c r="AI26" s="138">
        <v>1851820.80945553</v>
      </c>
      <c r="AJ26" s="138">
        <v>1748359.81656515</v>
      </c>
      <c r="AK26" s="138">
        <v>728483.256902147</v>
      </c>
      <c r="AL26" s="138">
        <v>728483.256902147</v>
      </c>
      <c r="AM26" s="138">
        <v>1235556.71493684</v>
      </c>
      <c r="AN26" s="138">
        <v>1271366.98739692</v>
      </c>
      <c r="AO26" s="86">
        <v>15266011.6877867</v>
      </c>
      <c r="AP26" s="138">
        <v>337408.749964278</v>
      </c>
      <c r="AQ26" s="138">
        <v>223482.263100945</v>
      </c>
      <c r="AR26" s="138">
        <v>249438.913107481</v>
      </c>
      <c r="AS26" s="138">
        <v>159385.350763514</v>
      </c>
      <c r="AT26" s="138">
        <v>127846.517193401</v>
      </c>
      <c r="AU26" s="138">
        <v>106105.523909889</v>
      </c>
      <c r="AV26" s="138">
        <v>513623.997471921</v>
      </c>
      <c r="AW26" s="138">
        <v>445704.251878249</v>
      </c>
      <c r="AX26" s="138">
        <v>309864.760690905</v>
      </c>
      <c r="AY26" s="138">
        <v>309864.760690905</v>
      </c>
      <c r="AZ26" s="138">
        <v>578872.741834381</v>
      </c>
      <c r="BA26" s="138">
        <v>376258.219866742</v>
      </c>
      <c r="BB26" s="86">
        <v>3737856.05047261</v>
      </c>
      <c r="BC26" s="138">
        <v>208965.363366297</v>
      </c>
      <c r="BD26" s="138">
        <v>145195.938038269</v>
      </c>
      <c r="BE26" s="138">
        <v>124893.709605796</v>
      </c>
      <c r="BF26" s="138">
        <v>77134.7974873126</v>
      </c>
      <c r="BG26" s="138">
        <v>60203.4459230169</v>
      </c>
      <c r="BH26" s="138">
        <v>52100.4100848427</v>
      </c>
      <c r="BI26" s="138">
        <v>327452.933692384</v>
      </c>
      <c r="BJ26" s="138">
        <v>198037.24759684</v>
      </c>
      <c r="BK26" s="138">
        <v>96672.455292026</v>
      </c>
      <c r="BL26" s="138">
        <v>4888.28075617883</v>
      </c>
      <c r="BM26" s="138">
        <v>346820.425802308</v>
      </c>
      <c r="BN26" s="138">
        <v>255551.892696438</v>
      </c>
      <c r="BO26" s="86">
        <v>1897916.90034171</v>
      </c>
      <c r="BP26" s="138">
        <v>90371.3546168285</v>
      </c>
      <c r="BQ26" s="138">
        <v>58268.5607073448</v>
      </c>
      <c r="BR26" s="138">
        <v>40124.1759222915</v>
      </c>
      <c r="BS26" s="138">
        <v>38423.9185324734</v>
      </c>
      <c r="BT26" s="138">
        <v>39417.6031183051</v>
      </c>
      <c r="BU26" s="138">
        <v>18776.8170660015</v>
      </c>
      <c r="BV26" s="138">
        <v>786530.932838612</v>
      </c>
      <c r="BW26" s="138">
        <v>357848.03538829</v>
      </c>
      <c r="BX26" s="138">
        <v>218182.98593649</v>
      </c>
      <c r="BY26" s="138">
        <v>18776.8170660015</v>
      </c>
      <c r="BZ26" s="138">
        <v>982109.17088695</v>
      </c>
      <c r="CA26" s="138">
        <v>420165.29782473</v>
      </c>
      <c r="CB26" s="86">
        <v>3068995.66990432</v>
      </c>
      <c r="CC26" s="138">
        <v>170907.771529419</v>
      </c>
      <c r="CD26" s="138">
        <v>55370.5207514685</v>
      </c>
      <c r="CE26" s="138">
        <v>82046.181837111</v>
      </c>
      <c r="CF26" s="138">
        <v>86099.3225030544</v>
      </c>
      <c r="CG26" s="138">
        <v>37476.7823363743</v>
      </c>
      <c r="CH26" s="138">
        <v>62259.1586385647</v>
      </c>
      <c r="CI26" s="138">
        <v>159046.530757656</v>
      </c>
      <c r="CJ26" s="138">
        <v>141430.219853369</v>
      </c>
      <c r="CK26" s="138">
        <v>74600.2566822572</v>
      </c>
      <c r="CL26" s="138">
        <v>44666.7813650913</v>
      </c>
      <c r="CM26" s="138">
        <v>66623.7665866951</v>
      </c>
      <c r="CN26" s="138">
        <v>59221.1258548401</v>
      </c>
      <c r="CO26" s="86">
        <v>1039748.4186959</v>
      </c>
      <c r="CP26" s="138">
        <v>290077.612066639</v>
      </c>
      <c r="CQ26" s="138">
        <v>226823.477989605</v>
      </c>
      <c r="CR26" s="138">
        <v>167861.759698355</v>
      </c>
      <c r="CS26" s="138">
        <v>103880.470554198</v>
      </c>
      <c r="CT26" s="138">
        <v>96694.1092465758</v>
      </c>
      <c r="CU26" s="138">
        <v>80656.8631155122</v>
      </c>
      <c r="CV26" s="138">
        <v>547706.428849299</v>
      </c>
      <c r="CW26" s="138">
        <v>256531.199416716</v>
      </c>
      <c r="CX26" s="138">
        <v>110757.961252898</v>
      </c>
      <c r="CY26" s="138">
        <v>105045.830732762</v>
      </c>
      <c r="CZ26" s="138">
        <v>330776.337784904</v>
      </c>
      <c r="DA26" s="138">
        <v>261139.214040714</v>
      </c>
      <c r="DB26" s="86">
        <v>2577951.26474818</v>
      </c>
      <c r="DC26" s="138">
        <v>103362.261467759</v>
      </c>
      <c r="DD26" s="138">
        <v>70254.4982521842</v>
      </c>
      <c r="DE26" s="138">
        <v>24413.3949517132</v>
      </c>
      <c r="DF26" s="138">
        <v>22638.1908942781</v>
      </c>
      <c r="DG26" s="138">
        <v>19461.5696747224</v>
      </c>
      <c r="DH26" s="138">
        <v>9793.06706792448</v>
      </c>
      <c r="DI26" s="138">
        <v>103806.51092</v>
      </c>
      <c r="DJ26" s="138">
        <v>81282.4566637732</v>
      </c>
      <c r="DK26" s="138">
        <v>59737.7091143394</v>
      </c>
      <c r="DL26" s="138">
        <v>30358.5079105659</v>
      </c>
      <c r="DM26" s="138">
        <v>69283.1986440298</v>
      </c>
      <c r="DN26" s="138">
        <v>78966.2312505169</v>
      </c>
      <c r="DO26" s="86">
        <v>673357.596811806</v>
      </c>
      <c r="DP26" s="138">
        <v>554999.173203302</v>
      </c>
      <c r="DQ26" s="138">
        <v>300323.756035383</v>
      </c>
      <c r="DR26" s="138">
        <v>300714.919511657</v>
      </c>
      <c r="DS26" s="138">
        <v>225275.733645916</v>
      </c>
      <c r="DT26" s="138">
        <v>204581.785099845</v>
      </c>
      <c r="DU26" s="138">
        <v>156371.567039014</v>
      </c>
      <c r="DV26" s="138">
        <v>876797.715183042</v>
      </c>
      <c r="DW26" s="138">
        <v>726010.84696685</v>
      </c>
      <c r="DX26" s="138">
        <v>474699.399939863</v>
      </c>
      <c r="DY26" s="138">
        <v>460179.183000526</v>
      </c>
      <c r="DZ26" s="138">
        <v>899977.352769001</v>
      </c>
      <c r="EA26" s="138">
        <v>451105.616149065</v>
      </c>
      <c r="EB26" s="85">
        <v>5631037.04854346</v>
      </c>
      <c r="EC26" s="87">
        <v>0</v>
      </c>
      <c r="ED26" s="85">
        <v>0</v>
      </c>
      <c r="EE26" s="85">
        <v>0</v>
      </c>
      <c r="EF26" s="85">
        <v>0</v>
      </c>
      <c r="EG26" s="85">
        <v>0</v>
      </c>
      <c r="EH26" s="85">
        <v>0</v>
      </c>
      <c r="EI26" s="85">
        <v>0</v>
      </c>
      <c r="EJ26" s="85">
        <v>0</v>
      </c>
      <c r="EK26" s="85">
        <v>0</v>
      </c>
      <c r="EL26" s="85">
        <v>0</v>
      </c>
      <c r="EM26" s="85">
        <v>0</v>
      </c>
      <c r="EN26" s="85">
        <v>0</v>
      </c>
      <c r="EO26" s="152">
        <v>0</v>
      </c>
      <c r="EP26" s="85">
        <v>33355.7973818828</v>
      </c>
      <c r="EQ26" s="85">
        <v>95920.6709488639</v>
      </c>
      <c r="ER26" s="85">
        <v>45293.0504080949</v>
      </c>
      <c r="ES26" s="85">
        <v>24835.7697793191</v>
      </c>
      <c r="ET26" s="85">
        <v>67106.4216098492</v>
      </c>
      <c r="EU26" s="85">
        <v>33546.1590938232</v>
      </c>
      <c r="EV26" s="85">
        <v>80177.8882850221</v>
      </c>
      <c r="EW26" s="85">
        <v>86751.0307901122</v>
      </c>
      <c r="EX26" s="85">
        <v>66036.084972562</v>
      </c>
      <c r="EY26" s="85">
        <v>0</v>
      </c>
      <c r="EZ26" s="85">
        <v>68661.8990581721</v>
      </c>
      <c r="FA26" s="85">
        <v>102992.848587258</v>
      </c>
      <c r="FB26" s="85">
        <v>704677.62091496</v>
      </c>
      <c r="FC26" s="87">
        <v>0</v>
      </c>
      <c r="FD26" s="85">
        <v>0</v>
      </c>
      <c r="FE26" s="85">
        <v>0</v>
      </c>
      <c r="FF26" s="85">
        <v>0</v>
      </c>
      <c r="FG26" s="85">
        <v>0</v>
      </c>
      <c r="FH26" s="85">
        <v>0</v>
      </c>
      <c r="FI26" s="85">
        <v>0</v>
      </c>
      <c r="FJ26" s="85">
        <v>0</v>
      </c>
      <c r="FK26" s="85">
        <v>0</v>
      </c>
      <c r="FL26" s="85">
        <v>0</v>
      </c>
      <c r="FM26" s="85">
        <v>0</v>
      </c>
      <c r="FN26" s="85">
        <v>0</v>
      </c>
      <c r="FO26" s="86">
        <v>0</v>
      </c>
      <c r="FP26" s="87">
        <v>2212888.88351096</v>
      </c>
      <c r="FQ26" s="85">
        <v>1367687.64171013</v>
      </c>
      <c r="FR26" s="85">
        <v>486581.740678844</v>
      </c>
      <c r="FS26" s="85">
        <v>266614.420806133</v>
      </c>
      <c r="FT26" s="85">
        <v>333039.76184168</v>
      </c>
      <c r="FU26" s="85">
        <v>163798.75</v>
      </c>
      <c r="FV26" s="85">
        <v>3537450.02</v>
      </c>
      <c r="FW26" s="85">
        <v>2697290.02</v>
      </c>
      <c r="FX26" s="85">
        <v>1743219.9</v>
      </c>
      <c r="FY26" s="85">
        <v>972793.18</v>
      </c>
      <c r="FZ26" s="85">
        <v>1869366.62</v>
      </c>
      <c r="GA26" s="85">
        <v>132633.18</v>
      </c>
      <c r="GB26" s="152">
        <v>15783364.1185477</v>
      </c>
      <c r="GD26" s="153"/>
    </row>
    <row r="27" spans="1:186">
      <c r="A27" s="137" t="s">
        <v>79</v>
      </c>
      <c r="B27" s="151">
        <v>23479143.4672835</v>
      </c>
      <c r="C27" s="138">
        <f t="shared" si="11"/>
        <v>446006.668584596</v>
      </c>
      <c r="D27" s="138">
        <f t="shared" si="0"/>
        <v>278673.973597757</v>
      </c>
      <c r="E27" s="138">
        <f t="shared" si="1"/>
        <v>441328.635340708</v>
      </c>
      <c r="F27" s="138">
        <f t="shared" si="2"/>
        <v>384519.923180616</v>
      </c>
      <c r="G27" s="138">
        <f t="shared" si="3"/>
        <v>178320.818778998</v>
      </c>
      <c r="H27" s="138">
        <f t="shared" si="4"/>
        <v>125143.603802207</v>
      </c>
      <c r="I27" s="138">
        <f t="shared" si="5"/>
        <v>117485.014216022</v>
      </c>
      <c r="J27" s="138">
        <f t="shared" si="6"/>
        <v>114455.059715523</v>
      </c>
      <c r="K27" s="138">
        <f t="shared" si="7"/>
        <v>75957.0715406684</v>
      </c>
      <c r="L27" s="138">
        <f t="shared" si="8"/>
        <v>6805655.81188096</v>
      </c>
      <c r="M27" s="138">
        <f t="shared" si="9"/>
        <v>4098310.30344494</v>
      </c>
      <c r="N27" s="138">
        <f t="shared" si="10"/>
        <v>2676571.61680371</v>
      </c>
      <c r="O27" s="86">
        <f t="shared" si="12"/>
        <v>15742428.5008867</v>
      </c>
      <c r="P27" s="138">
        <v>95466.6476417599</v>
      </c>
      <c r="Q27" s="138">
        <v>75537.5563528206</v>
      </c>
      <c r="R27" s="138">
        <v>72092.5685695122</v>
      </c>
      <c r="S27" s="138">
        <v>216621.435010101</v>
      </c>
      <c r="T27" s="138">
        <v>62701.0450582893</v>
      </c>
      <c r="U27" s="138">
        <v>45020.4552810392</v>
      </c>
      <c r="V27" s="138">
        <v>45020.4552810392</v>
      </c>
      <c r="W27" s="138">
        <v>45020.4552810392</v>
      </c>
      <c r="X27" s="138">
        <v>45020.4552810392</v>
      </c>
      <c r="Y27" s="138">
        <v>2216096.05149657</v>
      </c>
      <c r="Z27" s="138">
        <v>1954820.00566034</v>
      </c>
      <c r="AA27" s="138">
        <v>1600909.70604137</v>
      </c>
      <c r="AB27" s="86">
        <v>6474326.83695493</v>
      </c>
      <c r="AC27" s="138">
        <v>42253.4458513831</v>
      </c>
      <c r="AD27" s="138">
        <v>35480.934393519</v>
      </c>
      <c r="AE27" s="138">
        <v>30094.209801262</v>
      </c>
      <c r="AF27" s="138">
        <v>30513.4616500983</v>
      </c>
      <c r="AG27" s="138">
        <v>28367.8639076269</v>
      </c>
      <c r="AH27" s="138">
        <v>19061.2964551784</v>
      </c>
      <c r="AI27" s="138">
        <v>19061.2964551784</v>
      </c>
      <c r="AJ27" s="138">
        <v>19061.2964551784</v>
      </c>
      <c r="AK27" s="138">
        <v>0</v>
      </c>
      <c r="AL27" s="138">
        <v>486201.18494368</v>
      </c>
      <c r="AM27" s="138">
        <v>486201.18494368</v>
      </c>
      <c r="AN27" s="138">
        <v>364650.88870776</v>
      </c>
      <c r="AO27" s="86">
        <v>1560947.06356455</v>
      </c>
      <c r="AP27" s="138">
        <v>18940.3879112136</v>
      </c>
      <c r="AQ27" s="138">
        <v>12567.6087247148</v>
      </c>
      <c r="AR27" s="138">
        <v>26754.7358476434</v>
      </c>
      <c r="AS27" s="138">
        <v>24793.8955059477</v>
      </c>
      <c r="AT27" s="138">
        <v>17085.0252098201</v>
      </c>
      <c r="AU27" s="138">
        <v>2961.94957961168</v>
      </c>
      <c r="AV27" s="138">
        <v>2961.94957961168</v>
      </c>
      <c r="AW27" s="138">
        <v>2961.94957961168</v>
      </c>
      <c r="AX27" s="138">
        <v>2961.94957961168</v>
      </c>
      <c r="AY27" s="138">
        <v>286278.865890294</v>
      </c>
      <c r="AZ27" s="138">
        <v>172952.099366021</v>
      </c>
      <c r="BA27" s="138">
        <v>116288.716103885</v>
      </c>
      <c r="BB27" s="86">
        <v>687509.132877986</v>
      </c>
      <c r="BC27" s="138">
        <v>23032.4546781797</v>
      </c>
      <c r="BD27" s="138">
        <v>11383.1710377959</v>
      </c>
      <c r="BE27" s="138">
        <v>18564.0137658282</v>
      </c>
      <c r="BF27" s="138">
        <v>14086.6995746064</v>
      </c>
      <c r="BG27" s="138">
        <v>9522.15376699197</v>
      </c>
      <c r="BH27" s="138">
        <v>6404.26656031024</v>
      </c>
      <c r="BI27" s="138">
        <v>6404.26656031024</v>
      </c>
      <c r="BJ27" s="138">
        <v>6404.26656031024</v>
      </c>
      <c r="BK27" s="138">
        <v>0</v>
      </c>
      <c r="BL27" s="138">
        <v>367549.21128737</v>
      </c>
      <c r="BM27" s="138">
        <v>168460.055173378</v>
      </c>
      <c r="BN27" s="138">
        <v>76572.7523515355</v>
      </c>
      <c r="BO27" s="86">
        <v>708383.311316617</v>
      </c>
      <c r="BP27" s="138">
        <v>13323.0782570129</v>
      </c>
      <c r="BQ27" s="138">
        <v>9867.32731958072</v>
      </c>
      <c r="BR27" s="138">
        <v>19917.4331371522</v>
      </c>
      <c r="BS27" s="138">
        <v>14080.8312119034</v>
      </c>
      <c r="BT27" s="138">
        <v>2619.96619389673</v>
      </c>
      <c r="BU27" s="138">
        <v>0</v>
      </c>
      <c r="BV27" s="138">
        <v>0</v>
      </c>
      <c r="BW27" s="138">
        <v>0</v>
      </c>
      <c r="BX27" s="138">
        <v>0</v>
      </c>
      <c r="BY27" s="138">
        <v>606164.637891571</v>
      </c>
      <c r="BZ27" s="138">
        <v>336758.132161984</v>
      </c>
      <c r="CA27" s="138">
        <v>134703.252864794</v>
      </c>
      <c r="CB27" s="86">
        <v>1137434.6590379</v>
      </c>
      <c r="CC27" s="138">
        <v>31173.7729582692</v>
      </c>
      <c r="CD27" s="138">
        <v>2070.56562946998</v>
      </c>
      <c r="CE27" s="138">
        <v>3093.9606399601</v>
      </c>
      <c r="CF27" s="138">
        <v>7638.91912509834</v>
      </c>
      <c r="CG27" s="138">
        <v>6572.81274913027</v>
      </c>
      <c r="CH27" s="138">
        <v>7763.38472715444</v>
      </c>
      <c r="CI27" s="138">
        <v>1298.59884024914</v>
      </c>
      <c r="CJ27" s="138">
        <v>0</v>
      </c>
      <c r="CK27" s="138">
        <v>0</v>
      </c>
      <c r="CL27" s="138">
        <v>124213.802110788</v>
      </c>
      <c r="CM27" s="138">
        <v>93160.3515830907</v>
      </c>
      <c r="CN27" s="138">
        <v>49685.520844315</v>
      </c>
      <c r="CO27" s="86">
        <v>326671.689207525</v>
      </c>
      <c r="CP27" s="138">
        <v>29391.3598600479</v>
      </c>
      <c r="CQ27" s="138">
        <v>18508.9294683913</v>
      </c>
      <c r="CR27" s="138">
        <v>17253.3978609571</v>
      </c>
      <c r="CS27" s="138">
        <v>14669.0845340869</v>
      </c>
      <c r="CT27" s="138">
        <v>9080.76162106064</v>
      </c>
      <c r="CU27" s="138">
        <v>11452.503666616</v>
      </c>
      <c r="CV27" s="138">
        <v>11452.503666616</v>
      </c>
      <c r="CW27" s="138">
        <v>11452.503666616</v>
      </c>
      <c r="CX27" s="138">
        <v>0</v>
      </c>
      <c r="CY27" s="138">
        <v>408970.565717999</v>
      </c>
      <c r="CZ27" s="138">
        <v>175273.099593428</v>
      </c>
      <c r="DA27" s="138">
        <v>73030.4581639284</v>
      </c>
      <c r="DB27" s="86">
        <v>780535.167819748</v>
      </c>
      <c r="DC27" s="138">
        <v>39765.9005131119</v>
      </c>
      <c r="DD27" s="138">
        <v>21072.7161101744</v>
      </c>
      <c r="DE27" s="138">
        <v>38213.2288154659</v>
      </c>
      <c r="DF27" s="138">
        <v>1282.34419403429</v>
      </c>
      <c r="DG27" s="138">
        <v>0</v>
      </c>
      <c r="DH27" s="138">
        <v>854.142506907459</v>
      </c>
      <c r="DI27" s="138">
        <v>0</v>
      </c>
      <c r="DJ27" s="138">
        <v>0</v>
      </c>
      <c r="DK27" s="138">
        <v>0</v>
      </c>
      <c r="DL27" s="138">
        <v>49020.3525703411</v>
      </c>
      <c r="DM27" s="138">
        <v>24510.1762851705</v>
      </c>
      <c r="DN27" s="138">
        <v>0</v>
      </c>
      <c r="DO27" s="86">
        <v>174718.860995206</v>
      </c>
      <c r="DP27" s="138">
        <v>59010.2844737903</v>
      </c>
      <c r="DQ27" s="138">
        <v>18403.7082290676</v>
      </c>
      <c r="DR27" s="138">
        <v>151447.840219819</v>
      </c>
      <c r="DS27" s="138">
        <v>963.018665141369</v>
      </c>
      <c r="DT27" s="138">
        <v>4605.07011526461</v>
      </c>
      <c r="DU27" s="138">
        <v>3896.73929098024</v>
      </c>
      <c r="DV27" s="138">
        <v>1948.36964549012</v>
      </c>
      <c r="DW27" s="138">
        <v>974.18482274506</v>
      </c>
      <c r="DX27" s="138">
        <v>0</v>
      </c>
      <c r="DY27" s="138">
        <v>372731.584354632</v>
      </c>
      <c r="DZ27" s="138">
        <v>372731.584354632</v>
      </c>
      <c r="EA27" s="138">
        <v>186365.792177316</v>
      </c>
      <c r="EB27" s="85">
        <v>1173078.17634888</v>
      </c>
      <c r="EC27" s="87">
        <v>0</v>
      </c>
      <c r="ED27" s="85">
        <v>0</v>
      </c>
      <c r="EE27" s="85">
        <v>0</v>
      </c>
      <c r="EF27" s="85">
        <v>0</v>
      </c>
      <c r="EG27" s="85">
        <v>0</v>
      </c>
      <c r="EH27" s="85">
        <v>0</v>
      </c>
      <c r="EI27" s="85">
        <v>0</v>
      </c>
      <c r="EJ27" s="85">
        <v>0</v>
      </c>
      <c r="EK27" s="85">
        <v>0</v>
      </c>
      <c r="EL27" s="85">
        <v>0</v>
      </c>
      <c r="EM27" s="85">
        <v>0</v>
      </c>
      <c r="EN27" s="85">
        <v>0</v>
      </c>
      <c r="EO27" s="152">
        <v>0</v>
      </c>
      <c r="EP27" s="85">
        <v>7928.91216877781</v>
      </c>
      <c r="EQ27" s="85">
        <v>25810.9370459468</v>
      </c>
      <c r="ER27" s="85">
        <v>7785.95325198062</v>
      </c>
      <c r="ES27" s="85">
        <v>11787.3474452772</v>
      </c>
      <c r="ET27" s="85">
        <v>6336.5793955406</v>
      </c>
      <c r="EU27" s="85">
        <v>4732.31773440932</v>
      </c>
      <c r="EV27" s="85">
        <v>3785.85418752745</v>
      </c>
      <c r="EW27" s="85">
        <v>3028.68335002196</v>
      </c>
      <c r="EX27" s="85">
        <v>2422.94668001757</v>
      </c>
      <c r="EY27" s="85">
        <v>117905.635617715</v>
      </c>
      <c r="EZ27" s="85">
        <v>86409.2543232081</v>
      </c>
      <c r="FA27" s="85">
        <v>57606.1695488054</v>
      </c>
      <c r="FB27" s="85">
        <v>335540.590749227</v>
      </c>
      <c r="FC27" s="87">
        <v>0</v>
      </c>
      <c r="FD27" s="85">
        <v>0</v>
      </c>
      <c r="FE27" s="85">
        <v>0</v>
      </c>
      <c r="FF27" s="85">
        <v>0</v>
      </c>
      <c r="FG27" s="85">
        <v>0</v>
      </c>
      <c r="FH27" s="85">
        <v>0</v>
      </c>
      <c r="FI27" s="85">
        <v>0</v>
      </c>
      <c r="FJ27" s="85">
        <v>0</v>
      </c>
      <c r="FK27" s="85">
        <v>0</v>
      </c>
      <c r="FL27" s="85">
        <v>0</v>
      </c>
      <c r="FM27" s="85">
        <v>0</v>
      </c>
      <c r="FN27" s="85">
        <v>0</v>
      </c>
      <c r="FO27" s="86">
        <v>0</v>
      </c>
      <c r="FP27" s="87">
        <v>85720.4242710503</v>
      </c>
      <c r="FQ27" s="85">
        <v>47970.5192862756</v>
      </c>
      <c r="FR27" s="85">
        <v>56111.2934311273</v>
      </c>
      <c r="FS27" s="85">
        <v>48082.8862643208</v>
      </c>
      <c r="FT27" s="85">
        <v>31429.540761377</v>
      </c>
      <c r="FU27" s="85">
        <v>22996.548</v>
      </c>
      <c r="FV27" s="85">
        <v>25551.72</v>
      </c>
      <c r="FW27" s="85">
        <v>25551.72</v>
      </c>
      <c r="FX27" s="85">
        <v>25551.72</v>
      </c>
      <c r="FY27" s="85">
        <v>1770523.92</v>
      </c>
      <c r="FZ27" s="85">
        <v>227034.36</v>
      </c>
      <c r="GA27" s="85">
        <v>16758.36</v>
      </c>
      <c r="GB27" s="152">
        <v>2383283.01201415</v>
      </c>
      <c r="GD27" s="153"/>
    </row>
    <row r="28" spans="1:186">
      <c r="A28" s="137" t="s">
        <v>81</v>
      </c>
      <c r="B28" s="151">
        <v>9889628.5929428</v>
      </c>
      <c r="C28" s="138">
        <f t="shared" si="11"/>
        <v>151742.344195733</v>
      </c>
      <c r="D28" s="138">
        <f t="shared" si="0"/>
        <v>124351.915794898</v>
      </c>
      <c r="E28" s="138">
        <f t="shared" si="1"/>
        <v>121319.166360444</v>
      </c>
      <c r="F28" s="138">
        <f t="shared" si="2"/>
        <v>97943.9692093303</v>
      </c>
      <c r="G28" s="138">
        <f t="shared" si="3"/>
        <v>70622.8684976282</v>
      </c>
      <c r="H28" s="138">
        <f t="shared" si="4"/>
        <v>112865.245185166</v>
      </c>
      <c r="I28" s="138">
        <f t="shared" si="5"/>
        <v>1403130.5271818</v>
      </c>
      <c r="J28" s="138">
        <f t="shared" si="6"/>
        <v>809237.148955786</v>
      </c>
      <c r="K28" s="138">
        <f t="shared" si="7"/>
        <v>1212596.61541553</v>
      </c>
      <c r="L28" s="138">
        <f t="shared" si="8"/>
        <v>175882.313197535</v>
      </c>
      <c r="M28" s="138">
        <f t="shared" si="9"/>
        <v>86909.1832237584</v>
      </c>
      <c r="N28" s="138">
        <f t="shared" si="10"/>
        <v>79398.4563973578</v>
      </c>
      <c r="O28" s="86">
        <f t="shared" si="12"/>
        <v>4445999.75361496</v>
      </c>
      <c r="P28" s="138">
        <v>19010.5164820103</v>
      </c>
      <c r="Q28" s="138">
        <v>18713.3649100575</v>
      </c>
      <c r="R28" s="138">
        <v>23884.8715279908</v>
      </c>
      <c r="S28" s="138">
        <v>22863.5438204065</v>
      </c>
      <c r="T28" s="138">
        <v>20660.6631441253</v>
      </c>
      <c r="U28" s="138">
        <v>22468.80095059</v>
      </c>
      <c r="V28" s="138">
        <v>99646.7242895143</v>
      </c>
      <c r="W28" s="138">
        <v>134246.021557904</v>
      </c>
      <c r="X28" s="138">
        <v>77788.784241488</v>
      </c>
      <c r="Y28" s="138">
        <v>64563.2677879749</v>
      </c>
      <c r="Z28" s="138">
        <v>0</v>
      </c>
      <c r="AA28" s="138">
        <v>0</v>
      </c>
      <c r="AB28" s="86">
        <v>503846.558712061</v>
      </c>
      <c r="AC28" s="138">
        <v>0</v>
      </c>
      <c r="AD28" s="138">
        <v>0</v>
      </c>
      <c r="AE28" s="138">
        <v>0</v>
      </c>
      <c r="AF28" s="138">
        <v>0</v>
      </c>
      <c r="AG28" s="138">
        <v>0</v>
      </c>
      <c r="AH28" s="138">
        <v>0</v>
      </c>
      <c r="AI28" s="138">
        <v>118603.622387777</v>
      </c>
      <c r="AJ28" s="138">
        <v>76245.1858207135</v>
      </c>
      <c r="AK28" s="138">
        <v>76245.1858207135</v>
      </c>
      <c r="AL28" s="138">
        <v>0</v>
      </c>
      <c r="AM28" s="138">
        <v>0</v>
      </c>
      <c r="AN28" s="138">
        <v>0</v>
      </c>
      <c r="AO28" s="86">
        <v>271093.994029204</v>
      </c>
      <c r="AP28" s="138">
        <v>7637.74671584808</v>
      </c>
      <c r="AQ28" s="138">
        <v>3826.24825733043</v>
      </c>
      <c r="AR28" s="138">
        <v>6228.68923540585</v>
      </c>
      <c r="AS28" s="138">
        <v>2009.88729351709</v>
      </c>
      <c r="AT28" s="138">
        <v>3897.32256715377</v>
      </c>
      <c r="AU28" s="138">
        <v>1959.3701888961</v>
      </c>
      <c r="AV28" s="138">
        <v>118067.793709674</v>
      </c>
      <c r="AW28" s="138">
        <v>54089.6827900616</v>
      </c>
      <c r="AX28" s="138">
        <v>25654.9668257895</v>
      </c>
      <c r="AY28" s="138">
        <v>1959.3701888961</v>
      </c>
      <c r="AZ28" s="138">
        <v>1959.3701888961</v>
      </c>
      <c r="BA28" s="138">
        <v>1959.3701888961</v>
      </c>
      <c r="BB28" s="86">
        <v>229249.818150365</v>
      </c>
      <c r="BC28" s="138">
        <v>3742.33102019093</v>
      </c>
      <c r="BD28" s="138">
        <v>2588.80036699165</v>
      </c>
      <c r="BE28" s="138">
        <v>2304.0251171021</v>
      </c>
      <c r="BF28" s="138">
        <v>254.590191531074</v>
      </c>
      <c r="BG28" s="138">
        <v>0</v>
      </c>
      <c r="BH28" s="138">
        <v>0</v>
      </c>
      <c r="BI28" s="138">
        <v>160106.664007756</v>
      </c>
      <c r="BJ28" s="138">
        <v>85390.2208041365</v>
      </c>
      <c r="BK28" s="138">
        <v>42695.1104020683</v>
      </c>
      <c r="BL28" s="138">
        <v>0</v>
      </c>
      <c r="BM28" s="138">
        <v>0</v>
      </c>
      <c r="BN28" s="138">
        <v>0</v>
      </c>
      <c r="BO28" s="86">
        <v>297081.741909776</v>
      </c>
      <c r="BP28" s="138">
        <v>36510.697766672</v>
      </c>
      <c r="BQ28" s="138">
        <v>30173.0101335423</v>
      </c>
      <c r="BR28" s="138">
        <v>31603.7219179066</v>
      </c>
      <c r="BS28" s="138">
        <v>25964.9653848219</v>
      </c>
      <c r="BT28" s="138">
        <v>21811.6152955631</v>
      </c>
      <c r="BU28" s="138">
        <v>11419.1621178564</v>
      </c>
      <c r="BV28" s="138">
        <v>197309.651071272</v>
      </c>
      <c r="BW28" s="138">
        <v>129713.109633666</v>
      </c>
      <c r="BX28" s="138">
        <v>88404.1120884627</v>
      </c>
      <c r="BY28" s="138">
        <v>83709.9078219623</v>
      </c>
      <c r="BZ28" s="138">
        <v>59300.0456361603</v>
      </c>
      <c r="CA28" s="138">
        <v>51789.3188097597</v>
      </c>
      <c r="CB28" s="86">
        <v>767709.317677645</v>
      </c>
      <c r="CC28" s="138">
        <v>0</v>
      </c>
      <c r="CD28" s="138">
        <v>0</v>
      </c>
      <c r="CE28" s="138">
        <v>0</v>
      </c>
      <c r="CF28" s="138">
        <v>0</v>
      </c>
      <c r="CG28" s="138">
        <v>0</v>
      </c>
      <c r="CH28" s="138">
        <v>0</v>
      </c>
      <c r="CI28" s="138">
        <v>4328.66280083048</v>
      </c>
      <c r="CJ28" s="138">
        <v>4328.66280083048</v>
      </c>
      <c r="CK28" s="138">
        <v>0</v>
      </c>
      <c r="CL28" s="138">
        <v>0</v>
      </c>
      <c r="CM28" s="138">
        <v>0</v>
      </c>
      <c r="CN28" s="138">
        <v>0</v>
      </c>
      <c r="CO28" s="86">
        <v>8657.32560166095</v>
      </c>
      <c r="CP28" s="138">
        <v>4874.69381060963</v>
      </c>
      <c r="CQ28" s="138">
        <v>5672.27890467067</v>
      </c>
      <c r="CR28" s="138">
        <v>4975.50329668078</v>
      </c>
      <c r="CS28" s="138">
        <v>3752.86088479482</v>
      </c>
      <c r="CT28" s="138">
        <v>986.705884959296</v>
      </c>
      <c r="CU28" s="138">
        <v>2525.32931092103</v>
      </c>
      <c r="CV28" s="138">
        <v>124253.63748174</v>
      </c>
      <c r="CW28" s="138">
        <v>49888.1008740035</v>
      </c>
      <c r="CX28" s="138">
        <v>47362.7715630825</v>
      </c>
      <c r="CY28" s="138">
        <v>0</v>
      </c>
      <c r="CZ28" s="138">
        <v>0</v>
      </c>
      <c r="DA28" s="138">
        <v>0</v>
      </c>
      <c r="DB28" s="86">
        <v>244291.882011462</v>
      </c>
      <c r="DC28" s="138">
        <v>385.78319903042</v>
      </c>
      <c r="DD28" s="138">
        <v>2324.00123333456</v>
      </c>
      <c r="DE28" s="138">
        <v>1323.89356377517</v>
      </c>
      <c r="DF28" s="138">
        <v>1465.54230594234</v>
      </c>
      <c r="DG28" s="138">
        <v>1543.01901378162</v>
      </c>
      <c r="DH28" s="138">
        <v>1412.56739870203</v>
      </c>
      <c r="DI28" s="138">
        <v>24189.7009162343</v>
      </c>
      <c r="DJ28" s="138">
        <v>12801.1341574681</v>
      </c>
      <c r="DK28" s="138">
        <v>1412.56739870203</v>
      </c>
      <c r="DL28" s="138">
        <v>1412.56739870203</v>
      </c>
      <c r="DM28" s="138">
        <v>1412.56739870203</v>
      </c>
      <c r="DN28" s="138">
        <v>1412.56739870203</v>
      </c>
      <c r="DO28" s="86">
        <v>51095.9113830766</v>
      </c>
      <c r="DP28" s="138">
        <v>6479.25792795144</v>
      </c>
      <c r="DQ28" s="138">
        <v>2743.61793739398</v>
      </c>
      <c r="DR28" s="138">
        <v>1676.64839821704</v>
      </c>
      <c r="DS28" s="138">
        <v>272.382129049485</v>
      </c>
      <c r="DT28" s="138">
        <v>545.223661054832</v>
      </c>
      <c r="DU28" s="138">
        <v>624.356778506496</v>
      </c>
      <c r="DV28" s="138">
        <v>195461.321327518</v>
      </c>
      <c r="DW28" s="138">
        <v>195461.321327518</v>
      </c>
      <c r="DX28" s="138">
        <v>129891.309699341</v>
      </c>
      <c r="DY28" s="138">
        <v>0</v>
      </c>
      <c r="DZ28" s="138">
        <v>0</v>
      </c>
      <c r="EA28" s="138">
        <v>0</v>
      </c>
      <c r="EB28" s="85">
        <v>533155.439186551</v>
      </c>
      <c r="EC28" s="87">
        <v>0</v>
      </c>
      <c r="ED28" s="85">
        <v>0</v>
      </c>
      <c r="EE28" s="85">
        <v>0</v>
      </c>
      <c r="EF28" s="85">
        <v>0</v>
      </c>
      <c r="EG28" s="85">
        <v>0</v>
      </c>
      <c r="EH28" s="85">
        <v>0</v>
      </c>
      <c r="EI28" s="85">
        <v>0</v>
      </c>
      <c r="EJ28" s="85">
        <v>0</v>
      </c>
      <c r="EK28" s="85">
        <v>0</v>
      </c>
      <c r="EL28" s="85">
        <v>0</v>
      </c>
      <c r="EM28" s="85">
        <v>0</v>
      </c>
      <c r="EN28" s="85">
        <v>0</v>
      </c>
      <c r="EO28" s="152">
        <v>0</v>
      </c>
      <c r="EP28" s="85">
        <v>1203.50162177932</v>
      </c>
      <c r="EQ28" s="85">
        <v>201.943320380566</v>
      </c>
      <c r="ER28" s="85">
        <v>774.048273343928</v>
      </c>
      <c r="ES28" s="85">
        <v>378.493486345344</v>
      </c>
      <c r="ET28" s="85">
        <v>0</v>
      </c>
      <c r="EU28" s="85">
        <v>36645.0184396938</v>
      </c>
      <c r="EV28" s="85">
        <v>30717.9091894839</v>
      </c>
      <c r="EW28" s="85">
        <v>30717.9091894839</v>
      </c>
      <c r="EX28" s="85">
        <v>14658.0073758775</v>
      </c>
      <c r="EY28" s="85">
        <v>0</v>
      </c>
      <c r="EZ28" s="85">
        <v>0</v>
      </c>
      <c r="FA28" s="85">
        <v>0</v>
      </c>
      <c r="FB28" s="85">
        <v>115296.830896388</v>
      </c>
      <c r="FC28" s="87">
        <v>0</v>
      </c>
      <c r="FD28" s="85">
        <v>0</v>
      </c>
      <c r="FE28" s="85">
        <v>0</v>
      </c>
      <c r="FF28" s="85">
        <v>0</v>
      </c>
      <c r="FG28" s="85">
        <v>0</v>
      </c>
      <c r="FH28" s="85">
        <v>0</v>
      </c>
      <c r="FI28" s="85">
        <v>0</v>
      </c>
      <c r="FJ28" s="85">
        <v>0</v>
      </c>
      <c r="FK28" s="85">
        <v>0</v>
      </c>
      <c r="FL28" s="85">
        <v>0</v>
      </c>
      <c r="FM28" s="85">
        <v>0</v>
      </c>
      <c r="FN28" s="85">
        <v>0</v>
      </c>
      <c r="FO28" s="86">
        <v>0</v>
      </c>
      <c r="FP28" s="87">
        <v>71897.8156516405</v>
      </c>
      <c r="FQ28" s="85">
        <v>58108.6507311965</v>
      </c>
      <c r="FR28" s="85">
        <v>48547.7650300217</v>
      </c>
      <c r="FS28" s="85">
        <v>40981.7037129218</v>
      </c>
      <c r="FT28" s="85">
        <v>21178.3189309903</v>
      </c>
      <c r="FU28" s="85">
        <v>35810.64</v>
      </c>
      <c r="FV28" s="85">
        <v>330444.84</v>
      </c>
      <c r="FW28" s="85">
        <v>36355.8</v>
      </c>
      <c r="FX28" s="85">
        <v>708483.8</v>
      </c>
      <c r="FY28" s="85">
        <v>24237.2</v>
      </c>
      <c r="FZ28" s="85">
        <v>24237.2</v>
      </c>
      <c r="GA28" s="85">
        <v>24237.2</v>
      </c>
      <c r="GB28" s="152">
        <v>1424520.93405677</v>
      </c>
      <c r="GD28" s="153"/>
    </row>
    <row r="29" spans="1:186">
      <c r="A29" s="137" t="s">
        <v>83</v>
      </c>
      <c r="B29" s="151">
        <v>57650346.8627511</v>
      </c>
      <c r="C29" s="138">
        <f t="shared" si="11"/>
        <v>8078336.65403241</v>
      </c>
      <c r="D29" s="138">
        <f t="shared" si="0"/>
        <v>6283316.04332748</v>
      </c>
      <c r="E29" s="138">
        <f t="shared" si="1"/>
        <v>6579389.70851304</v>
      </c>
      <c r="F29" s="138">
        <f t="shared" si="2"/>
        <v>19699950.0885276</v>
      </c>
      <c r="G29" s="138">
        <f t="shared" si="3"/>
        <v>11432867.3891951</v>
      </c>
      <c r="H29" s="138">
        <f t="shared" si="4"/>
        <v>10843981.2405144</v>
      </c>
      <c r="I29" s="138">
        <f t="shared" si="5"/>
        <v>8096520.45228765</v>
      </c>
      <c r="J29" s="138">
        <f t="shared" si="6"/>
        <v>9468195.29303808</v>
      </c>
      <c r="K29" s="138">
        <f t="shared" si="7"/>
        <v>10358653.3594252</v>
      </c>
      <c r="L29" s="138">
        <f t="shared" si="8"/>
        <v>5413672.9780017</v>
      </c>
      <c r="M29" s="138">
        <f t="shared" si="9"/>
        <v>4126251.17819134</v>
      </c>
      <c r="N29" s="138">
        <f t="shared" si="10"/>
        <v>3345451.77052598</v>
      </c>
      <c r="O29" s="86">
        <f t="shared" si="12"/>
        <v>103726586.15558</v>
      </c>
      <c r="P29" s="138">
        <v>1074505.95362015</v>
      </c>
      <c r="Q29" s="138">
        <v>899088.431095206</v>
      </c>
      <c r="R29" s="138">
        <v>928929.394081736</v>
      </c>
      <c r="S29" s="138">
        <v>1862582.18275497</v>
      </c>
      <c r="T29" s="138">
        <v>1714694.38431957</v>
      </c>
      <c r="U29" s="138">
        <v>2115953.83127445</v>
      </c>
      <c r="V29" s="138">
        <v>1824576.99664872</v>
      </c>
      <c r="W29" s="138">
        <v>1800069.24104719</v>
      </c>
      <c r="X29" s="138">
        <v>1939137.99673867</v>
      </c>
      <c r="Y29" s="138">
        <v>1287314.89196614</v>
      </c>
      <c r="Z29" s="138">
        <v>1104999.5478288</v>
      </c>
      <c r="AA29" s="138">
        <v>960436.379328836</v>
      </c>
      <c r="AB29" s="86">
        <v>17512289.2307044</v>
      </c>
      <c r="AC29" s="138">
        <v>607558.332382441</v>
      </c>
      <c r="AD29" s="138">
        <v>500253.281776951</v>
      </c>
      <c r="AE29" s="138">
        <v>543978.764591393</v>
      </c>
      <c r="AF29" s="138">
        <v>1567409.76312277</v>
      </c>
      <c r="AG29" s="138">
        <v>1351214.55335478</v>
      </c>
      <c r="AH29" s="138">
        <v>1366872.98404795</v>
      </c>
      <c r="AI29" s="138">
        <v>1294433.91861442</v>
      </c>
      <c r="AJ29" s="138">
        <v>1270737.74975227</v>
      </c>
      <c r="AK29" s="138">
        <v>1035617.73228581</v>
      </c>
      <c r="AL29" s="138">
        <v>982715.728355863</v>
      </c>
      <c r="AM29" s="138">
        <v>903081.867609784</v>
      </c>
      <c r="AN29" s="138">
        <v>818364.994475658</v>
      </c>
      <c r="AO29" s="86">
        <v>12242239.6703701</v>
      </c>
      <c r="AP29" s="138">
        <v>1587011.38358133</v>
      </c>
      <c r="AQ29" s="138">
        <v>1064172.64714281</v>
      </c>
      <c r="AR29" s="138">
        <v>1156590.09487226</v>
      </c>
      <c r="AS29" s="138">
        <v>2287068.23650853</v>
      </c>
      <c r="AT29" s="138">
        <v>1982533.641728</v>
      </c>
      <c r="AU29" s="138">
        <v>1796858.84255708</v>
      </c>
      <c r="AV29" s="138">
        <v>1338743.97424381</v>
      </c>
      <c r="AW29" s="138">
        <v>1072883.95883712</v>
      </c>
      <c r="AX29" s="138">
        <v>1056857.95144985</v>
      </c>
      <c r="AY29" s="138">
        <v>671375.238045313</v>
      </c>
      <c r="AZ29" s="138">
        <v>473911.932737868</v>
      </c>
      <c r="BA29" s="138">
        <v>276448.627430423</v>
      </c>
      <c r="BB29" s="86">
        <v>14764456.5291344</v>
      </c>
      <c r="BC29" s="138">
        <v>481507.972856414</v>
      </c>
      <c r="BD29" s="138">
        <v>396399.468525434</v>
      </c>
      <c r="BE29" s="138">
        <v>354637.198043449</v>
      </c>
      <c r="BF29" s="138">
        <v>1202073.21372076</v>
      </c>
      <c r="BG29" s="138">
        <v>656414.582804741</v>
      </c>
      <c r="BH29" s="138">
        <v>593245.465188158</v>
      </c>
      <c r="BI29" s="138">
        <v>441337.499917032</v>
      </c>
      <c r="BJ29" s="138">
        <v>662934.404449505</v>
      </c>
      <c r="BK29" s="138">
        <v>589223.46203434</v>
      </c>
      <c r="BL29" s="138">
        <v>234823.107211375</v>
      </c>
      <c r="BM29" s="138">
        <v>160106.664007756</v>
      </c>
      <c r="BN29" s="138">
        <v>80053.332003878</v>
      </c>
      <c r="BO29" s="86">
        <v>5852756.37076284</v>
      </c>
      <c r="BP29" s="138">
        <v>1208297.44836056</v>
      </c>
      <c r="BQ29" s="138">
        <v>943329.034594089</v>
      </c>
      <c r="BR29" s="138">
        <v>887461.801411482</v>
      </c>
      <c r="BS29" s="138">
        <v>2482117.40136287</v>
      </c>
      <c r="BT29" s="138">
        <v>1349745.75448442</v>
      </c>
      <c r="BU29" s="138">
        <v>1047589.91880734</v>
      </c>
      <c r="BV29" s="138">
        <v>607586.5055607</v>
      </c>
      <c r="BW29" s="138">
        <v>1174262.00045966</v>
      </c>
      <c r="BX29" s="138">
        <v>1032980.05842718</v>
      </c>
      <c r="BY29" s="138">
        <v>758113.989039812</v>
      </c>
      <c r="BZ29" s="138">
        <v>549221.899180545</v>
      </c>
      <c r="CA29" s="138">
        <v>469420.426650038</v>
      </c>
      <c r="CB29" s="86">
        <v>12510126.2383387</v>
      </c>
      <c r="CC29" s="138">
        <v>161959.961361918</v>
      </c>
      <c r="CD29" s="138">
        <v>64122.8981665891</v>
      </c>
      <c r="CE29" s="138">
        <v>67706.4765473951</v>
      </c>
      <c r="CF29" s="138">
        <v>250046.045551656</v>
      </c>
      <c r="CG29" s="138">
        <v>168323.117030224</v>
      </c>
      <c r="CH29" s="138">
        <v>164933.321295678</v>
      </c>
      <c r="CI29" s="138">
        <v>127627.245993233</v>
      </c>
      <c r="CJ29" s="138">
        <v>182058.797274831</v>
      </c>
      <c r="CK29" s="138">
        <v>193772.618709195</v>
      </c>
      <c r="CL29" s="138">
        <v>147174.535228236</v>
      </c>
      <c r="CM29" s="138">
        <v>90901.91881744</v>
      </c>
      <c r="CN29" s="138">
        <v>0</v>
      </c>
      <c r="CO29" s="86">
        <v>1618626.9359764</v>
      </c>
      <c r="CP29" s="138">
        <v>493226.535179375</v>
      </c>
      <c r="CQ29" s="138">
        <v>584784.390305803</v>
      </c>
      <c r="CR29" s="138">
        <v>579932.000088799</v>
      </c>
      <c r="CS29" s="138">
        <v>1989956.5507158</v>
      </c>
      <c r="CT29" s="138">
        <v>1104761.92099196</v>
      </c>
      <c r="CU29" s="138">
        <v>807096.751462615</v>
      </c>
      <c r="CV29" s="138">
        <v>589157.049428093</v>
      </c>
      <c r="CW29" s="138">
        <v>619356.049060827</v>
      </c>
      <c r="CX29" s="138">
        <v>460761.238637587</v>
      </c>
      <c r="CY29" s="138">
        <v>152700.048888214</v>
      </c>
      <c r="CZ29" s="138">
        <v>91620.0293329284</v>
      </c>
      <c r="DA29" s="138">
        <v>50900.0162960713</v>
      </c>
      <c r="DB29" s="86">
        <v>7524252.58038807</v>
      </c>
      <c r="DC29" s="138">
        <v>85052.9361546185</v>
      </c>
      <c r="DD29" s="138">
        <v>72983.110327758</v>
      </c>
      <c r="DE29" s="138">
        <v>63038.9151997629</v>
      </c>
      <c r="DF29" s="138">
        <v>100580.123205332</v>
      </c>
      <c r="DG29" s="138">
        <v>153124.808158565</v>
      </c>
      <c r="DH29" s="138">
        <v>149408.918031943</v>
      </c>
      <c r="DI29" s="138">
        <v>119109.5536444</v>
      </c>
      <c r="DJ29" s="138">
        <v>110266.90923714</v>
      </c>
      <c r="DK29" s="138">
        <v>70159.3480432247</v>
      </c>
      <c r="DL29" s="138">
        <v>39954.8883786711</v>
      </c>
      <c r="DM29" s="138">
        <v>20594.3248887687</v>
      </c>
      <c r="DN29" s="138">
        <v>8636.3297920643</v>
      </c>
      <c r="DO29" s="86">
        <v>992910.165062247</v>
      </c>
      <c r="DP29" s="138">
        <v>536077.927966549</v>
      </c>
      <c r="DQ29" s="138">
        <v>523560.461002174</v>
      </c>
      <c r="DR29" s="138">
        <v>608259.117767786</v>
      </c>
      <c r="DS29" s="138">
        <v>1242552.1226612</v>
      </c>
      <c r="DT29" s="138">
        <v>1358985.30838389</v>
      </c>
      <c r="DU29" s="138">
        <v>1085245.03000925</v>
      </c>
      <c r="DV29" s="138">
        <v>610859.37719426</v>
      </c>
      <c r="DW29" s="138">
        <v>646626.54943031</v>
      </c>
      <c r="DX29" s="138">
        <v>1022188.13285134</v>
      </c>
      <c r="DY29" s="138">
        <v>519565.238797365</v>
      </c>
      <c r="DZ29" s="138">
        <v>227309.791973847</v>
      </c>
      <c r="EA29" s="138">
        <v>194836.964549012</v>
      </c>
      <c r="EB29" s="85">
        <v>8576066.02258698</v>
      </c>
      <c r="EC29" s="87">
        <v>41138.5659709128</v>
      </c>
      <c r="ED29" s="85">
        <v>0</v>
      </c>
      <c r="EE29" s="85">
        <v>0</v>
      </c>
      <c r="EF29" s="85">
        <v>19356.6770898923</v>
      </c>
      <c r="EG29" s="85">
        <v>0</v>
      </c>
      <c r="EH29" s="85">
        <v>0</v>
      </c>
      <c r="EI29" s="85">
        <v>0</v>
      </c>
      <c r="EJ29" s="85">
        <v>0</v>
      </c>
      <c r="EK29" s="85">
        <v>0</v>
      </c>
      <c r="EL29" s="85">
        <v>0</v>
      </c>
      <c r="EM29" s="85">
        <v>0</v>
      </c>
      <c r="EN29" s="85">
        <v>0</v>
      </c>
      <c r="EO29" s="152">
        <v>60495.2430608051</v>
      </c>
      <c r="EP29" s="85">
        <v>37809.8798493283</v>
      </c>
      <c r="EQ29" s="85">
        <v>81590.6270264809</v>
      </c>
      <c r="ER29" s="85">
        <v>74547.3233368396</v>
      </c>
      <c r="ES29" s="85">
        <v>160305.196263215</v>
      </c>
      <c r="ET29" s="85">
        <v>179926.104932434</v>
      </c>
      <c r="EU29" s="85">
        <v>240656.357839943</v>
      </c>
      <c r="EV29" s="85">
        <v>205525.231042988</v>
      </c>
      <c r="EW29" s="85">
        <v>329385.73348923</v>
      </c>
      <c r="EX29" s="85">
        <v>266201.360247964</v>
      </c>
      <c r="EY29" s="85">
        <v>107066.012090709</v>
      </c>
      <c r="EZ29" s="85">
        <v>16059.9018136064</v>
      </c>
      <c r="FA29" s="85">
        <v>0</v>
      </c>
      <c r="FB29" s="85">
        <v>1699073.72793274</v>
      </c>
      <c r="FC29" s="87">
        <v>0</v>
      </c>
      <c r="FD29" s="85">
        <v>0</v>
      </c>
      <c r="FE29" s="85">
        <v>0</v>
      </c>
      <c r="FF29" s="85">
        <v>0</v>
      </c>
      <c r="FG29" s="85">
        <v>0</v>
      </c>
      <c r="FH29" s="85">
        <v>0</v>
      </c>
      <c r="FI29" s="85">
        <v>0</v>
      </c>
      <c r="FJ29" s="85">
        <v>0</v>
      </c>
      <c r="FK29" s="85">
        <v>0</v>
      </c>
      <c r="FL29" s="85">
        <v>0</v>
      </c>
      <c r="FM29" s="85">
        <v>0</v>
      </c>
      <c r="FN29" s="85">
        <v>0</v>
      </c>
      <c r="FO29" s="86">
        <v>0</v>
      </c>
      <c r="FP29" s="87">
        <v>1764189.75674882</v>
      </c>
      <c r="FQ29" s="85">
        <v>1153031.69336418</v>
      </c>
      <c r="FR29" s="85">
        <v>1314308.62257213</v>
      </c>
      <c r="FS29" s="85">
        <v>6535902.57557059</v>
      </c>
      <c r="FT29" s="85">
        <v>1413143.21300648</v>
      </c>
      <c r="FU29" s="85">
        <v>1476119.82</v>
      </c>
      <c r="FV29" s="85">
        <v>937563.1</v>
      </c>
      <c r="FW29" s="85">
        <v>1599613.9</v>
      </c>
      <c r="FX29" s="85">
        <v>2691753.46</v>
      </c>
      <c r="FY29" s="85">
        <v>512869.3</v>
      </c>
      <c r="FZ29" s="85">
        <v>488443.3</v>
      </c>
      <c r="GA29" s="85">
        <v>486354.7</v>
      </c>
      <c r="GB29" s="152">
        <v>20373293.4412622</v>
      </c>
      <c r="GD29" s="153"/>
    </row>
    <row r="30" spans="1:186">
      <c r="A30" s="137" t="s">
        <v>85</v>
      </c>
      <c r="B30" s="151">
        <v>9047663.7242151</v>
      </c>
      <c r="C30" s="138">
        <f t="shared" si="11"/>
        <v>511780.442077008</v>
      </c>
      <c r="D30" s="138">
        <f t="shared" si="0"/>
        <v>391731.865680767</v>
      </c>
      <c r="E30" s="138">
        <f t="shared" si="1"/>
        <v>274606.135260965</v>
      </c>
      <c r="F30" s="138">
        <f t="shared" si="2"/>
        <v>166226.686359749</v>
      </c>
      <c r="G30" s="138">
        <f t="shared" si="3"/>
        <v>86288.7040955773</v>
      </c>
      <c r="H30" s="138">
        <f t="shared" si="4"/>
        <v>68829.0635378982</v>
      </c>
      <c r="I30" s="138">
        <f t="shared" si="5"/>
        <v>60345.1998037377</v>
      </c>
      <c r="J30" s="138">
        <f t="shared" si="6"/>
        <v>46462.9397159871</v>
      </c>
      <c r="K30" s="138">
        <f t="shared" si="7"/>
        <v>39810.38414773</v>
      </c>
      <c r="L30" s="138">
        <f t="shared" si="8"/>
        <v>25154.0045206405</v>
      </c>
      <c r="M30" s="138">
        <f t="shared" si="9"/>
        <v>18471.6920865191</v>
      </c>
      <c r="N30" s="138">
        <f t="shared" si="10"/>
        <v>18471.6920865191</v>
      </c>
      <c r="O30" s="86">
        <f t="shared" si="12"/>
        <v>1708178.8093731</v>
      </c>
      <c r="P30" s="138">
        <v>67980.0061825021</v>
      </c>
      <c r="Q30" s="138">
        <v>22331.6341509908</v>
      </c>
      <c r="R30" s="138">
        <v>14077.2617943272</v>
      </c>
      <c r="S30" s="138">
        <v>12335.832480642</v>
      </c>
      <c r="T30" s="138">
        <v>6993.99513236262</v>
      </c>
      <c r="U30" s="138">
        <v>7074.64297273473</v>
      </c>
      <c r="V30" s="138">
        <v>7074.64297273473</v>
      </c>
      <c r="W30" s="138">
        <v>7074.64297273473</v>
      </c>
      <c r="X30" s="138">
        <v>7074.64297273473</v>
      </c>
      <c r="Y30" s="138">
        <v>0</v>
      </c>
      <c r="Z30" s="138">
        <v>0</v>
      </c>
      <c r="AA30" s="138">
        <v>0</v>
      </c>
      <c r="AB30" s="86">
        <v>152017.301631764</v>
      </c>
      <c r="AC30" s="138">
        <v>55750.053704976</v>
      </c>
      <c r="AD30" s="138">
        <v>44998.191439922</v>
      </c>
      <c r="AE30" s="138">
        <v>37235.2500175539</v>
      </c>
      <c r="AF30" s="138">
        <v>31729.6409603817</v>
      </c>
      <c r="AG30" s="138">
        <v>26787.8093269383</v>
      </c>
      <c r="AH30" s="138">
        <v>19061.2964551784</v>
      </c>
      <c r="AI30" s="138">
        <v>12707.5309701189</v>
      </c>
      <c r="AJ30" s="138">
        <v>0</v>
      </c>
      <c r="AK30" s="138">
        <v>0</v>
      </c>
      <c r="AL30" s="138">
        <v>0</v>
      </c>
      <c r="AM30" s="138">
        <v>0</v>
      </c>
      <c r="AN30" s="138">
        <v>0</v>
      </c>
      <c r="AO30" s="86">
        <v>228269.772875069</v>
      </c>
      <c r="AP30" s="138">
        <v>19223.1070427974</v>
      </c>
      <c r="AQ30" s="138">
        <v>18255.6169450173</v>
      </c>
      <c r="AR30" s="138">
        <v>19843.6184012669</v>
      </c>
      <c r="AS30" s="138">
        <v>5844.03618316114</v>
      </c>
      <c r="AT30" s="138">
        <v>4050.80082765948</v>
      </c>
      <c r="AU30" s="138">
        <v>2961.94957961168</v>
      </c>
      <c r="AV30" s="138">
        <v>2961.94957961168</v>
      </c>
      <c r="AW30" s="138">
        <v>2961.94957961168</v>
      </c>
      <c r="AX30" s="138">
        <v>2961.94957961168</v>
      </c>
      <c r="AY30" s="138">
        <v>2961.94957961168</v>
      </c>
      <c r="AZ30" s="138">
        <v>2961.94957961168</v>
      </c>
      <c r="BA30" s="138">
        <v>2961.94957961168</v>
      </c>
      <c r="BB30" s="86">
        <v>87950.8264571841</v>
      </c>
      <c r="BC30" s="138">
        <v>14601.9155052534</v>
      </c>
      <c r="BD30" s="138">
        <v>10262.3697402522</v>
      </c>
      <c r="BE30" s="138">
        <v>11155.4810758479</v>
      </c>
      <c r="BF30" s="138">
        <v>3394.19372040416</v>
      </c>
      <c r="BG30" s="138">
        <v>6067.0828474124</v>
      </c>
      <c r="BH30" s="138">
        <v>5603.73324027146</v>
      </c>
      <c r="BI30" s="138">
        <v>5603.73324027146</v>
      </c>
      <c r="BJ30" s="138">
        <v>5603.73324027146</v>
      </c>
      <c r="BK30" s="138">
        <v>0</v>
      </c>
      <c r="BL30" s="138">
        <v>0</v>
      </c>
      <c r="BM30" s="138">
        <v>0</v>
      </c>
      <c r="BN30" s="138">
        <v>0</v>
      </c>
      <c r="BO30" s="86">
        <v>62292.2426099845</v>
      </c>
      <c r="BP30" s="138">
        <v>253054.698617456</v>
      </c>
      <c r="BQ30" s="138">
        <v>235984.832495567</v>
      </c>
      <c r="BR30" s="138">
        <v>146114.233639779</v>
      </c>
      <c r="BS30" s="138">
        <v>79571.0703474685</v>
      </c>
      <c r="BT30" s="138">
        <v>13626.29730848</v>
      </c>
      <c r="BU30" s="138">
        <v>0</v>
      </c>
      <c r="BV30" s="138">
        <v>0</v>
      </c>
      <c r="BW30" s="138">
        <v>0</v>
      </c>
      <c r="BX30" s="138">
        <v>0</v>
      </c>
      <c r="BY30" s="138">
        <v>0</v>
      </c>
      <c r="BZ30" s="138">
        <v>0</v>
      </c>
      <c r="CA30" s="138">
        <v>0</v>
      </c>
      <c r="CB30" s="86">
        <v>728351.13240875</v>
      </c>
      <c r="CC30" s="138">
        <v>18785.5811333099</v>
      </c>
      <c r="CD30" s="138">
        <v>7839.87010561022</v>
      </c>
      <c r="CE30" s="138">
        <v>7881.95738646427</v>
      </c>
      <c r="CF30" s="138">
        <v>8840.10252039743</v>
      </c>
      <c r="CG30" s="138">
        <v>4913.85491635686</v>
      </c>
      <c r="CH30" s="138">
        <v>11016.4535249386</v>
      </c>
      <c r="CI30" s="138">
        <v>7542.15778274499</v>
      </c>
      <c r="CJ30" s="138">
        <v>7221.57117202071</v>
      </c>
      <c r="CK30" s="138">
        <v>6936.24908847609</v>
      </c>
      <c r="CL30" s="138">
        <v>6682.31243412139</v>
      </c>
      <c r="CM30" s="138">
        <v>0</v>
      </c>
      <c r="CN30" s="138">
        <v>0</v>
      </c>
      <c r="CO30" s="86">
        <v>87660.1100644404</v>
      </c>
      <c r="CP30" s="138">
        <v>25282.3820079676</v>
      </c>
      <c r="CQ30" s="138">
        <v>10883.5000907663</v>
      </c>
      <c r="CR30" s="138">
        <v>2976.49033707942</v>
      </c>
      <c r="CS30" s="138">
        <v>85.7619640523045</v>
      </c>
      <c r="CT30" s="138">
        <v>169.7338620759</v>
      </c>
      <c r="CU30" s="138">
        <v>763.50024444107</v>
      </c>
      <c r="CV30" s="138">
        <v>763.50024444107</v>
      </c>
      <c r="CW30" s="138">
        <v>763.50024444107</v>
      </c>
      <c r="CX30" s="138">
        <v>0</v>
      </c>
      <c r="CY30" s="138">
        <v>0</v>
      </c>
      <c r="CZ30" s="138">
        <v>0</v>
      </c>
      <c r="DA30" s="138">
        <v>0</v>
      </c>
      <c r="DB30" s="86">
        <v>41688.3689952647</v>
      </c>
      <c r="DC30" s="138">
        <v>4822.29527818168</v>
      </c>
      <c r="DD30" s="138">
        <v>5203.315596181</v>
      </c>
      <c r="DE30" s="138">
        <v>3999.40801954927</v>
      </c>
      <c r="DF30" s="138">
        <v>3205.8835931294</v>
      </c>
      <c r="DG30" s="138">
        <v>2980.77728125834</v>
      </c>
      <c r="DH30" s="138">
        <v>2562.42752072238</v>
      </c>
      <c r="DI30" s="138">
        <v>1708.28501381492</v>
      </c>
      <c r="DJ30" s="138">
        <v>854.142506907459</v>
      </c>
      <c r="DK30" s="138">
        <v>854.142506907459</v>
      </c>
      <c r="DL30" s="138">
        <v>854.142506907459</v>
      </c>
      <c r="DM30" s="138">
        <v>854.142506907459</v>
      </c>
      <c r="DN30" s="138">
        <v>854.142506907459</v>
      </c>
      <c r="DO30" s="86">
        <v>28753.1048373743</v>
      </c>
      <c r="DP30" s="138">
        <v>0</v>
      </c>
      <c r="DQ30" s="138">
        <v>0</v>
      </c>
      <c r="DR30" s="138">
        <v>0</v>
      </c>
      <c r="DS30" s="138">
        <v>0</v>
      </c>
      <c r="DT30" s="138">
        <v>0</v>
      </c>
      <c r="DU30" s="138">
        <v>0</v>
      </c>
      <c r="DV30" s="138">
        <v>0</v>
      </c>
      <c r="DW30" s="138">
        <v>0</v>
      </c>
      <c r="DX30" s="138">
        <v>0</v>
      </c>
      <c r="DY30" s="138">
        <v>0</v>
      </c>
      <c r="DZ30" s="138">
        <v>0</v>
      </c>
      <c r="EA30" s="138">
        <v>0</v>
      </c>
      <c r="EB30" s="85">
        <v>0</v>
      </c>
      <c r="EC30" s="87">
        <v>8037.51496171441</v>
      </c>
      <c r="ED30" s="85">
        <v>0</v>
      </c>
      <c r="EE30" s="85">
        <v>0</v>
      </c>
      <c r="EF30" s="85">
        <v>0</v>
      </c>
      <c r="EG30" s="85">
        <v>0</v>
      </c>
      <c r="EH30" s="85">
        <v>0</v>
      </c>
      <c r="EI30" s="85">
        <v>0</v>
      </c>
      <c r="EJ30" s="85">
        <v>0</v>
      </c>
      <c r="EK30" s="85">
        <v>0</v>
      </c>
      <c r="EL30" s="85">
        <v>0</v>
      </c>
      <c r="EM30" s="85">
        <v>0</v>
      </c>
      <c r="EN30" s="85">
        <v>0</v>
      </c>
      <c r="EO30" s="152">
        <v>8037.51496171441</v>
      </c>
      <c r="EP30" s="85">
        <v>0</v>
      </c>
      <c r="EQ30" s="85">
        <v>0</v>
      </c>
      <c r="ER30" s="85">
        <v>0</v>
      </c>
      <c r="ES30" s="85">
        <v>0</v>
      </c>
      <c r="ET30" s="85">
        <v>0</v>
      </c>
      <c r="EU30" s="85">
        <v>0</v>
      </c>
      <c r="EV30" s="85">
        <v>0</v>
      </c>
      <c r="EW30" s="85">
        <v>0</v>
      </c>
      <c r="EX30" s="85">
        <v>0</v>
      </c>
      <c r="EY30" s="85">
        <v>0</v>
      </c>
      <c r="EZ30" s="85">
        <v>0</v>
      </c>
      <c r="FA30" s="85">
        <v>0</v>
      </c>
      <c r="FB30" s="85">
        <v>0</v>
      </c>
      <c r="FC30" s="87">
        <v>0</v>
      </c>
      <c r="FD30" s="85">
        <v>0</v>
      </c>
      <c r="FE30" s="85">
        <v>0</v>
      </c>
      <c r="FF30" s="85">
        <v>0</v>
      </c>
      <c r="FG30" s="85">
        <v>0</v>
      </c>
      <c r="FH30" s="85">
        <v>0</v>
      </c>
      <c r="FI30" s="85">
        <v>0</v>
      </c>
      <c r="FJ30" s="85">
        <v>0</v>
      </c>
      <c r="FK30" s="85">
        <v>0</v>
      </c>
      <c r="FL30" s="85">
        <v>0</v>
      </c>
      <c r="FM30" s="85">
        <v>0</v>
      </c>
      <c r="FN30" s="85">
        <v>0</v>
      </c>
      <c r="FO30" s="86">
        <v>0</v>
      </c>
      <c r="FP30" s="87">
        <v>44242.8876428497</v>
      </c>
      <c r="FQ30" s="85">
        <v>35972.5351164601</v>
      </c>
      <c r="FR30" s="85">
        <v>31322.4345890976</v>
      </c>
      <c r="FS30" s="85">
        <v>21220.1645901123</v>
      </c>
      <c r="FT30" s="85">
        <v>20698.3525930335</v>
      </c>
      <c r="FU30" s="85">
        <v>19785.06</v>
      </c>
      <c r="FV30" s="85">
        <v>21983.4</v>
      </c>
      <c r="FW30" s="85">
        <v>21983.4</v>
      </c>
      <c r="FX30" s="85">
        <v>21983.4</v>
      </c>
      <c r="FY30" s="85">
        <v>14655.6</v>
      </c>
      <c r="FZ30" s="85">
        <v>14655.6</v>
      </c>
      <c r="GA30" s="85">
        <v>14655.6</v>
      </c>
      <c r="GB30" s="152">
        <v>283158.434531553</v>
      </c>
      <c r="GD30" s="153"/>
    </row>
    <row r="31" spans="1:186">
      <c r="A31" s="137" t="s">
        <v>87</v>
      </c>
      <c r="B31" s="151">
        <v>14385524.7004523</v>
      </c>
      <c r="C31" s="138">
        <f t="shared" si="11"/>
        <v>396420.927306207</v>
      </c>
      <c r="D31" s="138">
        <f t="shared" si="0"/>
        <v>283741.957747132</v>
      </c>
      <c r="E31" s="138">
        <f t="shared" si="1"/>
        <v>755093.026309346</v>
      </c>
      <c r="F31" s="138">
        <f t="shared" si="2"/>
        <v>485376.54222861</v>
      </c>
      <c r="G31" s="138">
        <f t="shared" si="3"/>
        <v>309374.22686777</v>
      </c>
      <c r="H31" s="138">
        <f t="shared" si="4"/>
        <v>237186.231207357</v>
      </c>
      <c r="I31" s="138">
        <f t="shared" si="5"/>
        <v>211471.22377253</v>
      </c>
      <c r="J31" s="138">
        <f t="shared" si="6"/>
        <v>178117.703221933</v>
      </c>
      <c r="K31" s="138">
        <f t="shared" si="7"/>
        <v>124277.517062438</v>
      </c>
      <c r="L31" s="138">
        <f t="shared" si="8"/>
        <v>75327.2109848643</v>
      </c>
      <c r="M31" s="138">
        <f t="shared" si="9"/>
        <v>75613.8735042498</v>
      </c>
      <c r="N31" s="138">
        <f t="shared" si="10"/>
        <v>75026.4629889514</v>
      </c>
      <c r="O31" s="86">
        <f t="shared" si="12"/>
        <v>3207026.90320139</v>
      </c>
      <c r="P31" s="138">
        <v>45334.1255534936</v>
      </c>
      <c r="Q31" s="138">
        <v>6693.12494295103</v>
      </c>
      <c r="R31" s="138">
        <v>20123.7741182007</v>
      </c>
      <c r="S31" s="138">
        <v>14191.1085316789</v>
      </c>
      <c r="T31" s="138">
        <v>13349.8435813034</v>
      </c>
      <c r="U31" s="138">
        <v>11005.0001798096</v>
      </c>
      <c r="V31" s="138">
        <v>9289.93521672237</v>
      </c>
      <c r="W31" s="138">
        <v>9289.93521672237</v>
      </c>
      <c r="X31" s="138">
        <v>9289.93521672237</v>
      </c>
      <c r="Y31" s="138">
        <v>9289.93521672237</v>
      </c>
      <c r="Z31" s="138">
        <v>9289.93521672237</v>
      </c>
      <c r="AA31" s="138">
        <v>9289.93521672237</v>
      </c>
      <c r="AB31" s="86">
        <v>166436.588207771</v>
      </c>
      <c r="AC31" s="138">
        <v>23388.7333197925</v>
      </c>
      <c r="AD31" s="138">
        <v>20719.3211768315</v>
      </c>
      <c r="AE31" s="138">
        <v>44221.2932687797</v>
      </c>
      <c r="AF31" s="138">
        <v>44256.7974454586</v>
      </c>
      <c r="AG31" s="138">
        <v>39212.0834833623</v>
      </c>
      <c r="AH31" s="138">
        <v>36428.2554476742</v>
      </c>
      <c r="AI31" s="138">
        <v>34733.9179849917</v>
      </c>
      <c r="AJ31" s="138">
        <v>26262.2306715791</v>
      </c>
      <c r="AK31" s="138">
        <v>26262.2306715791</v>
      </c>
      <c r="AL31" s="138">
        <v>847.168731341261</v>
      </c>
      <c r="AM31" s="138">
        <v>0</v>
      </c>
      <c r="AN31" s="138">
        <v>0</v>
      </c>
      <c r="AO31" s="86">
        <v>296332.03220139</v>
      </c>
      <c r="AP31" s="138">
        <v>5601.61690162625</v>
      </c>
      <c r="AQ31" s="138">
        <v>7837.37661126788</v>
      </c>
      <c r="AR31" s="138">
        <v>40351.8468847589</v>
      </c>
      <c r="AS31" s="138">
        <v>13657.4210494504</v>
      </c>
      <c r="AT31" s="138">
        <v>8738.13719041933</v>
      </c>
      <c r="AU31" s="138">
        <v>3949.2661061489</v>
      </c>
      <c r="AV31" s="138">
        <v>3949.2661061489</v>
      </c>
      <c r="AW31" s="138">
        <v>3949.2661061489</v>
      </c>
      <c r="AX31" s="138">
        <v>3949.2661061489</v>
      </c>
      <c r="AY31" s="138">
        <v>3949.2661061489</v>
      </c>
      <c r="AZ31" s="138">
        <v>3949.2661061489</v>
      </c>
      <c r="BA31" s="138">
        <v>3949.2661061489</v>
      </c>
      <c r="BB31" s="86">
        <v>103831.261380565</v>
      </c>
      <c r="BC31" s="138">
        <v>26563.0625989003</v>
      </c>
      <c r="BD31" s="138">
        <v>23856.0020472583</v>
      </c>
      <c r="BE31" s="138">
        <v>99601.7743828788</v>
      </c>
      <c r="BF31" s="138">
        <v>50211.6271574292</v>
      </c>
      <c r="BG31" s="138">
        <v>27445.673431798</v>
      </c>
      <c r="BH31" s="138">
        <v>20635.9700276663</v>
      </c>
      <c r="BI31" s="138">
        <v>20635.9700276663</v>
      </c>
      <c r="BJ31" s="138">
        <v>15299.0812274078</v>
      </c>
      <c r="BK31" s="138">
        <v>10673.7776005171</v>
      </c>
      <c r="BL31" s="138">
        <v>5336.88880025853</v>
      </c>
      <c r="BM31" s="138">
        <v>5336.88880025853</v>
      </c>
      <c r="BN31" s="138">
        <v>5336.88880025853</v>
      </c>
      <c r="BO31" s="86">
        <v>310933.604902298</v>
      </c>
      <c r="BP31" s="138">
        <v>70637.8242559447</v>
      </c>
      <c r="BQ31" s="138">
        <v>78814.175726061</v>
      </c>
      <c r="BR31" s="138">
        <v>119420.70643247</v>
      </c>
      <c r="BS31" s="138">
        <v>88681.4347615418</v>
      </c>
      <c r="BT31" s="138">
        <v>69404.1651129609</v>
      </c>
      <c r="BU31" s="138">
        <v>40890.6010779718</v>
      </c>
      <c r="BV31" s="138">
        <v>40890.6010779718</v>
      </c>
      <c r="BW31" s="138">
        <v>42395.2409479346</v>
      </c>
      <c r="BX31" s="138">
        <v>39951.7602246718</v>
      </c>
      <c r="BY31" s="138">
        <v>28156.1546728835</v>
      </c>
      <c r="BZ31" s="138">
        <v>30033.8363794836</v>
      </c>
      <c r="CA31" s="138">
        <v>30033.8363794836</v>
      </c>
      <c r="CB31" s="86">
        <v>679310.337049379</v>
      </c>
      <c r="CC31" s="138">
        <v>18671.6865925775</v>
      </c>
      <c r="CD31" s="138">
        <v>13538.5386105349</v>
      </c>
      <c r="CE31" s="138">
        <v>14437.1480860217</v>
      </c>
      <c r="CF31" s="138">
        <v>14128.1136812017</v>
      </c>
      <c r="CG31" s="138">
        <v>5229.85331463299</v>
      </c>
      <c r="CH31" s="138">
        <v>4391.42841144252</v>
      </c>
      <c r="CI31" s="138">
        <v>3038.72128618299</v>
      </c>
      <c r="CJ31" s="138">
        <v>3038.72128618299</v>
      </c>
      <c r="CK31" s="138">
        <v>2766.01552973067</v>
      </c>
      <c r="CL31" s="138">
        <v>2561.48621239143</v>
      </c>
      <c r="CM31" s="138">
        <v>2408.089224387</v>
      </c>
      <c r="CN31" s="138">
        <v>2293.04148338368</v>
      </c>
      <c r="CO31" s="86">
        <v>86502.84371867</v>
      </c>
      <c r="CP31" s="138">
        <v>21428.7603760508</v>
      </c>
      <c r="CQ31" s="138">
        <v>28086.4518471389</v>
      </c>
      <c r="CR31" s="138">
        <v>110727.489758175</v>
      </c>
      <c r="CS31" s="138">
        <v>52401.5933126333</v>
      </c>
      <c r="CT31" s="138">
        <v>40269.8700240797</v>
      </c>
      <c r="CU31" s="138">
        <v>24941.0079850749</v>
      </c>
      <c r="CV31" s="138">
        <v>24941.0079850749</v>
      </c>
      <c r="CW31" s="138">
        <v>24941.0079850749</v>
      </c>
      <c r="CX31" s="138">
        <v>0</v>
      </c>
      <c r="CY31" s="138">
        <v>0</v>
      </c>
      <c r="CZ31" s="138">
        <v>0</v>
      </c>
      <c r="DA31" s="138">
        <v>0</v>
      </c>
      <c r="DB31" s="86">
        <v>327737.189273303</v>
      </c>
      <c r="DC31" s="138">
        <v>5484.82133246905</v>
      </c>
      <c r="DD31" s="138">
        <v>3677.25205261569</v>
      </c>
      <c r="DE31" s="138">
        <v>52947.0008953813</v>
      </c>
      <c r="DF31" s="138">
        <v>7132.57771290808</v>
      </c>
      <c r="DG31" s="138">
        <v>28438.6940978088</v>
      </c>
      <c r="DH31" s="138">
        <v>3226.7605816504</v>
      </c>
      <c r="DI31" s="138">
        <v>3226.7605816504</v>
      </c>
      <c r="DJ31" s="138">
        <v>2087.90390577379</v>
      </c>
      <c r="DK31" s="138">
        <v>2087.90390577379</v>
      </c>
      <c r="DL31" s="138">
        <v>2087.90390577379</v>
      </c>
      <c r="DM31" s="138">
        <v>2087.90390577379</v>
      </c>
      <c r="DN31" s="138">
        <v>2087.90390577379</v>
      </c>
      <c r="DO31" s="86">
        <v>114573.386783353</v>
      </c>
      <c r="DP31" s="138">
        <v>48254.3218639099</v>
      </c>
      <c r="DQ31" s="138">
        <v>27445.5930313884</v>
      </c>
      <c r="DR31" s="138">
        <v>54030.641008587</v>
      </c>
      <c r="DS31" s="138">
        <v>98055.4322702522</v>
      </c>
      <c r="DT31" s="138">
        <v>45222.7912882529</v>
      </c>
      <c r="DU31" s="138">
        <v>53688.4080090611</v>
      </c>
      <c r="DV31" s="138">
        <v>34204.7115541599</v>
      </c>
      <c r="DW31" s="138">
        <v>26411.2329721994</v>
      </c>
      <c r="DX31" s="138">
        <v>6494.56548496706</v>
      </c>
      <c r="DY31" s="138">
        <v>0</v>
      </c>
      <c r="DZ31" s="138">
        <v>0</v>
      </c>
      <c r="EA31" s="138">
        <v>0</v>
      </c>
      <c r="EB31" s="85">
        <v>393807.697482778</v>
      </c>
      <c r="EC31" s="87">
        <v>31102.3845830122</v>
      </c>
      <c r="ED31" s="85">
        <v>0</v>
      </c>
      <c r="EE31" s="85">
        <v>0</v>
      </c>
      <c r="EF31" s="85">
        <v>0</v>
      </c>
      <c r="EG31" s="85">
        <v>0</v>
      </c>
      <c r="EH31" s="85">
        <v>0</v>
      </c>
      <c r="EI31" s="85">
        <v>0</v>
      </c>
      <c r="EJ31" s="85">
        <v>0</v>
      </c>
      <c r="EK31" s="85">
        <v>0</v>
      </c>
      <c r="EL31" s="85">
        <v>0</v>
      </c>
      <c r="EM31" s="85">
        <v>0</v>
      </c>
      <c r="EN31" s="85">
        <v>0</v>
      </c>
      <c r="EO31" s="152">
        <v>31102.3845830122</v>
      </c>
      <c r="EP31" s="85">
        <v>1628.25434242653</v>
      </c>
      <c r="EQ31" s="85">
        <v>29913.2425105146</v>
      </c>
      <c r="ER31" s="85">
        <v>10586.1900886087</v>
      </c>
      <c r="ES31" s="85">
        <v>4007.54985665929</v>
      </c>
      <c r="ET31" s="85">
        <v>2508.2877118262</v>
      </c>
      <c r="EU31" s="85">
        <v>3372.57938085734</v>
      </c>
      <c r="EV31" s="85">
        <v>5241.95195196112</v>
      </c>
      <c r="EW31" s="85">
        <v>3319.90290290871</v>
      </c>
      <c r="EX31" s="85">
        <v>2655.92232232697</v>
      </c>
      <c r="EY31" s="85">
        <v>2952.2673393445</v>
      </c>
      <c r="EZ31" s="85">
        <v>2361.8138714756</v>
      </c>
      <c r="FA31" s="85">
        <v>1889.45109718048</v>
      </c>
      <c r="FB31" s="85">
        <v>70437.41337609</v>
      </c>
      <c r="FC31" s="87">
        <v>0</v>
      </c>
      <c r="FD31" s="85">
        <v>0</v>
      </c>
      <c r="FE31" s="85">
        <v>0</v>
      </c>
      <c r="FF31" s="85">
        <v>0</v>
      </c>
      <c r="FG31" s="85">
        <v>0</v>
      </c>
      <c r="FH31" s="85">
        <v>0</v>
      </c>
      <c r="FI31" s="85">
        <v>0</v>
      </c>
      <c r="FJ31" s="85">
        <v>0</v>
      </c>
      <c r="FK31" s="85">
        <v>0</v>
      </c>
      <c r="FL31" s="85">
        <v>0</v>
      </c>
      <c r="FM31" s="85">
        <v>0</v>
      </c>
      <c r="FN31" s="85">
        <v>0</v>
      </c>
      <c r="FO31" s="86">
        <v>0</v>
      </c>
      <c r="FP31" s="87">
        <v>98325.3355860037</v>
      </c>
      <c r="FQ31" s="85">
        <v>43160.8791905696</v>
      </c>
      <c r="FR31" s="85">
        <v>188645.161385485</v>
      </c>
      <c r="FS31" s="85">
        <v>98652.8864493964</v>
      </c>
      <c r="FT31" s="85">
        <v>29554.8276313255</v>
      </c>
      <c r="FU31" s="85">
        <v>34656.954</v>
      </c>
      <c r="FV31" s="85">
        <v>31318.38</v>
      </c>
      <c r="FW31" s="85">
        <v>21123.18</v>
      </c>
      <c r="FX31" s="85">
        <v>20146.14</v>
      </c>
      <c r="FY31" s="85">
        <v>20146.14</v>
      </c>
      <c r="FZ31" s="85">
        <v>20146.14</v>
      </c>
      <c r="GA31" s="85">
        <v>20146.14</v>
      </c>
      <c r="GB31" s="152">
        <v>626022.16424278</v>
      </c>
      <c r="GD31" s="153"/>
    </row>
    <row r="32" spans="1:186">
      <c r="A32" s="137" t="s">
        <v>89</v>
      </c>
      <c r="B32" s="151">
        <v>16217760.6839869</v>
      </c>
      <c r="C32" s="138">
        <f t="shared" si="11"/>
        <v>391855.317108823</v>
      </c>
      <c r="D32" s="138">
        <f t="shared" si="0"/>
        <v>263423.102707089</v>
      </c>
      <c r="E32" s="138">
        <f t="shared" si="1"/>
        <v>212940.146467575</v>
      </c>
      <c r="F32" s="138">
        <f t="shared" si="2"/>
        <v>158966.502499578</v>
      </c>
      <c r="G32" s="138">
        <f t="shared" si="3"/>
        <v>125616.46213118</v>
      </c>
      <c r="H32" s="138">
        <f t="shared" si="4"/>
        <v>714222.406184985</v>
      </c>
      <c r="I32" s="138">
        <f t="shared" si="5"/>
        <v>2329906.98742695</v>
      </c>
      <c r="J32" s="138">
        <f t="shared" si="6"/>
        <v>2174379.45136201</v>
      </c>
      <c r="K32" s="138">
        <f t="shared" si="7"/>
        <v>1253471.84932784</v>
      </c>
      <c r="L32" s="138">
        <f t="shared" si="8"/>
        <v>246077.744535199</v>
      </c>
      <c r="M32" s="138">
        <f t="shared" si="9"/>
        <v>149867.012024563</v>
      </c>
      <c r="N32" s="138">
        <f t="shared" si="10"/>
        <v>51243.3692822784</v>
      </c>
      <c r="O32" s="86">
        <f t="shared" si="12"/>
        <v>8071970.35105807</v>
      </c>
      <c r="P32" s="138">
        <v>16380.9424980693</v>
      </c>
      <c r="Q32" s="138">
        <v>11224.4040516996</v>
      </c>
      <c r="R32" s="138">
        <v>13905.7215048553</v>
      </c>
      <c r="S32" s="138">
        <v>12329.2902964025</v>
      </c>
      <c r="T32" s="138">
        <v>13114.8395435365</v>
      </c>
      <c r="U32" s="138">
        <v>10253.1057575866</v>
      </c>
      <c r="V32" s="138">
        <v>181759.602066307</v>
      </c>
      <c r="W32" s="138">
        <v>296097.266272121</v>
      </c>
      <c r="X32" s="138">
        <v>296097.266272121</v>
      </c>
      <c r="Y32" s="138">
        <v>0</v>
      </c>
      <c r="Z32" s="138">
        <v>0</v>
      </c>
      <c r="AA32" s="138">
        <v>0</v>
      </c>
      <c r="AB32" s="86">
        <v>851162.438262699</v>
      </c>
      <c r="AC32" s="138">
        <v>38448.1929496671</v>
      </c>
      <c r="AD32" s="138">
        <v>27582.1797599585</v>
      </c>
      <c r="AE32" s="138">
        <v>24962.4090984794</v>
      </c>
      <c r="AF32" s="138">
        <v>17889.7323770549</v>
      </c>
      <c r="AG32" s="138">
        <v>9991.88440096811</v>
      </c>
      <c r="AH32" s="138">
        <v>25425.293446655</v>
      </c>
      <c r="AI32" s="138">
        <v>166620.082003532</v>
      </c>
      <c r="AJ32" s="138">
        <v>166620.082003532</v>
      </c>
      <c r="AK32" s="138">
        <v>123085.022198495</v>
      </c>
      <c r="AL32" s="138">
        <v>8103.35308239467</v>
      </c>
      <c r="AM32" s="138">
        <v>8103.35308239467</v>
      </c>
      <c r="AN32" s="138">
        <v>8103.35308239467</v>
      </c>
      <c r="AO32" s="86">
        <v>624934.937485525</v>
      </c>
      <c r="AP32" s="138">
        <v>44699.5117682033</v>
      </c>
      <c r="AQ32" s="138">
        <v>38950.8833310755</v>
      </c>
      <c r="AR32" s="138">
        <v>40019.925078913</v>
      </c>
      <c r="AS32" s="138">
        <v>25446.2533635655</v>
      </c>
      <c r="AT32" s="138">
        <v>24278.1570328142</v>
      </c>
      <c r="AU32" s="138">
        <v>61671.5105706586</v>
      </c>
      <c r="AV32" s="138">
        <v>310694.678930603</v>
      </c>
      <c r="AW32" s="138">
        <v>176858.438666668</v>
      </c>
      <c r="AX32" s="138">
        <v>176858.438666668</v>
      </c>
      <c r="AY32" s="138">
        <v>18887.7944207121</v>
      </c>
      <c r="AZ32" s="138">
        <v>18887.7944207121</v>
      </c>
      <c r="BA32" s="138">
        <v>18887.7944207121</v>
      </c>
      <c r="BB32" s="86">
        <v>956141.180671306</v>
      </c>
      <c r="BC32" s="138">
        <v>9389.22600721898</v>
      </c>
      <c r="BD32" s="138">
        <v>12150.8026957338</v>
      </c>
      <c r="BE32" s="138">
        <v>12131.7011845272</v>
      </c>
      <c r="BF32" s="138">
        <v>7173.82152222075</v>
      </c>
      <c r="BG32" s="138">
        <v>10158.436384474</v>
      </c>
      <c r="BH32" s="138">
        <v>66877.4043643991</v>
      </c>
      <c r="BI32" s="138">
        <v>170650.242147204</v>
      </c>
      <c r="BJ32" s="138">
        <v>269679.178774223</v>
      </c>
      <c r="BK32" s="138">
        <v>73710.9424151649</v>
      </c>
      <c r="BL32" s="138">
        <v>2552.42507838452</v>
      </c>
      <c r="BM32" s="138">
        <v>0</v>
      </c>
      <c r="BN32" s="138">
        <v>0</v>
      </c>
      <c r="BO32" s="86">
        <v>634474.180573551</v>
      </c>
      <c r="BP32" s="138">
        <v>116797.301769058</v>
      </c>
      <c r="BQ32" s="138">
        <v>88841.5472920627</v>
      </c>
      <c r="BR32" s="138">
        <v>33901.583367962</v>
      </c>
      <c r="BS32" s="138">
        <v>16271.3355643494</v>
      </c>
      <c r="BT32" s="138">
        <v>15048.2381394482</v>
      </c>
      <c r="BU32" s="138">
        <v>106830.564633124</v>
      </c>
      <c r="BV32" s="138">
        <v>200532.09757499</v>
      </c>
      <c r="BW32" s="138">
        <v>379250.885565696</v>
      </c>
      <c r="BX32" s="138">
        <v>113871.871032875</v>
      </c>
      <c r="BY32" s="138">
        <v>11225.2710720661</v>
      </c>
      <c r="BZ32" s="138">
        <v>11225.2710720661</v>
      </c>
      <c r="CA32" s="138">
        <v>11225.2710720661</v>
      </c>
      <c r="CB32" s="86">
        <v>1105021.23815576</v>
      </c>
      <c r="CC32" s="138">
        <v>43511.922521293</v>
      </c>
      <c r="CD32" s="138">
        <v>9034.02237711724</v>
      </c>
      <c r="CE32" s="138">
        <v>12094.8979397584</v>
      </c>
      <c r="CF32" s="138">
        <v>17881.565852529</v>
      </c>
      <c r="CG32" s="138">
        <v>17354.0952016322</v>
      </c>
      <c r="CH32" s="138">
        <v>16458.3787698667</v>
      </c>
      <c r="CI32" s="138">
        <v>44212.7036491703</v>
      </c>
      <c r="CJ32" s="138">
        <v>58147.5230231406</v>
      </c>
      <c r="CK32" s="138">
        <v>25625.8142758115</v>
      </c>
      <c r="CL32" s="138">
        <v>2677.41791721932</v>
      </c>
      <c r="CM32" s="138">
        <v>2562.14964028188</v>
      </c>
      <c r="CN32" s="138">
        <v>2465.95070710545</v>
      </c>
      <c r="CO32" s="86">
        <v>252026.441874926</v>
      </c>
      <c r="CP32" s="138">
        <v>30714.6976197908</v>
      </c>
      <c r="CQ32" s="138">
        <v>19715.5048282402</v>
      </c>
      <c r="CR32" s="138">
        <v>14629.3731610396</v>
      </c>
      <c r="CS32" s="138">
        <v>13290.0045980812</v>
      </c>
      <c r="CT32" s="138">
        <v>4705.51345345356</v>
      </c>
      <c r="CU32" s="138">
        <v>113934.891549684</v>
      </c>
      <c r="CV32" s="138">
        <v>325255.813870834</v>
      </c>
      <c r="CW32" s="138">
        <v>368775.494313601</v>
      </c>
      <c r="CX32" s="138">
        <v>135733.376789524</v>
      </c>
      <c r="CY32" s="138">
        <v>0</v>
      </c>
      <c r="CZ32" s="138">
        <v>0</v>
      </c>
      <c r="DA32" s="138">
        <v>0</v>
      </c>
      <c r="DB32" s="86">
        <v>1026754.67018425</v>
      </c>
      <c r="DC32" s="138">
        <v>9975.10171018865</v>
      </c>
      <c r="DD32" s="138">
        <v>8180.62618270925</v>
      </c>
      <c r="DE32" s="138">
        <v>6626.87747445577</v>
      </c>
      <c r="DF32" s="138">
        <v>3261.34089514047</v>
      </c>
      <c r="DG32" s="138">
        <v>7422.93789654621</v>
      </c>
      <c r="DH32" s="138">
        <v>17103.4815996687</v>
      </c>
      <c r="DI32" s="138">
        <v>32350.131662582</v>
      </c>
      <c r="DJ32" s="138">
        <v>32412.0260471405</v>
      </c>
      <c r="DK32" s="138">
        <v>20070.2857661733</v>
      </c>
      <c r="DL32" s="138">
        <v>16001.7615545272</v>
      </c>
      <c r="DM32" s="138">
        <v>11933.237342881</v>
      </c>
      <c r="DN32" s="138">
        <v>0</v>
      </c>
      <c r="DO32" s="86">
        <v>165337.808132013</v>
      </c>
      <c r="DP32" s="138">
        <v>0</v>
      </c>
      <c r="DQ32" s="138">
        <v>0</v>
      </c>
      <c r="DR32" s="138">
        <v>0</v>
      </c>
      <c r="DS32" s="138">
        <v>0</v>
      </c>
      <c r="DT32" s="138">
        <v>0</v>
      </c>
      <c r="DU32" s="138">
        <v>93810.3903384132</v>
      </c>
      <c r="DV32" s="138">
        <v>266998.803270868</v>
      </c>
      <c r="DW32" s="138">
        <v>346376.82586491</v>
      </c>
      <c r="DX32" s="138">
        <v>259782.619398683</v>
      </c>
      <c r="DY32" s="138">
        <v>173188.412932455</v>
      </c>
      <c r="DZ32" s="138">
        <v>86594.2064662275</v>
      </c>
      <c r="EA32" s="138">
        <v>0</v>
      </c>
      <c r="EB32" s="85">
        <v>1226751.25827156</v>
      </c>
      <c r="EC32" s="87">
        <v>0</v>
      </c>
      <c r="ED32" s="85">
        <v>0</v>
      </c>
      <c r="EE32" s="85">
        <v>0</v>
      </c>
      <c r="EF32" s="85">
        <v>0</v>
      </c>
      <c r="EG32" s="85">
        <v>0</v>
      </c>
      <c r="EH32" s="85">
        <v>0</v>
      </c>
      <c r="EI32" s="85">
        <v>0</v>
      </c>
      <c r="EJ32" s="85">
        <v>0</v>
      </c>
      <c r="EK32" s="85">
        <v>0</v>
      </c>
      <c r="EL32" s="85">
        <v>0</v>
      </c>
      <c r="EM32" s="85">
        <v>0</v>
      </c>
      <c r="EN32" s="85">
        <v>0</v>
      </c>
      <c r="EO32" s="152">
        <v>0</v>
      </c>
      <c r="EP32" s="85">
        <v>18534.4898260342</v>
      </c>
      <c r="EQ32" s="85">
        <v>2779.6822471159</v>
      </c>
      <c r="ER32" s="85">
        <v>14854.8473871939</v>
      </c>
      <c r="ES32" s="85">
        <v>9818.53241406197</v>
      </c>
      <c r="ET32" s="85">
        <v>10693.2979503575</v>
      </c>
      <c r="EU32" s="85">
        <v>30408.1051549292</v>
      </c>
      <c r="EV32" s="85">
        <v>30519.632250857</v>
      </c>
      <c r="EW32" s="85">
        <v>66072.5308309783</v>
      </c>
      <c r="EX32" s="85">
        <v>14547.0125123246</v>
      </c>
      <c r="EY32" s="85">
        <v>2880.30847744027</v>
      </c>
      <c r="EZ32" s="85">
        <v>0</v>
      </c>
      <c r="FA32" s="85">
        <v>0</v>
      </c>
      <c r="FB32" s="85">
        <v>201108.439051293</v>
      </c>
      <c r="FC32" s="87">
        <v>0</v>
      </c>
      <c r="FD32" s="85">
        <v>0</v>
      </c>
      <c r="FE32" s="85">
        <v>0</v>
      </c>
      <c r="FF32" s="85">
        <v>0</v>
      </c>
      <c r="FG32" s="85">
        <v>0</v>
      </c>
      <c r="FH32" s="85">
        <v>0</v>
      </c>
      <c r="FI32" s="85">
        <v>0</v>
      </c>
      <c r="FJ32" s="85">
        <v>0</v>
      </c>
      <c r="FK32" s="85">
        <v>0</v>
      </c>
      <c r="FL32" s="85">
        <v>0</v>
      </c>
      <c r="FM32" s="85">
        <v>0</v>
      </c>
      <c r="FN32" s="85">
        <v>0</v>
      </c>
      <c r="FO32" s="86">
        <v>0</v>
      </c>
      <c r="FP32" s="87">
        <v>63403.9304392989</v>
      </c>
      <c r="FQ32" s="85">
        <v>44963.449941376</v>
      </c>
      <c r="FR32" s="85">
        <v>39812.8102703901</v>
      </c>
      <c r="FS32" s="85">
        <v>35604.6256161721</v>
      </c>
      <c r="FT32" s="85">
        <v>12849.0621279497</v>
      </c>
      <c r="FU32" s="85">
        <v>171449.28</v>
      </c>
      <c r="FV32" s="85">
        <v>600313.2</v>
      </c>
      <c r="FW32" s="85">
        <v>14089.2</v>
      </c>
      <c r="FX32" s="85">
        <v>14089.2</v>
      </c>
      <c r="FY32" s="85">
        <v>10561</v>
      </c>
      <c r="FZ32" s="85">
        <v>10561</v>
      </c>
      <c r="GA32" s="85">
        <v>10561</v>
      </c>
      <c r="GB32" s="152">
        <v>1028257.75839519</v>
      </c>
      <c r="GD32" s="153"/>
    </row>
    <row r="33" spans="1:186">
      <c r="A33" s="137" t="s">
        <v>91</v>
      </c>
      <c r="B33" s="151">
        <v>5163581.04171685</v>
      </c>
      <c r="C33" s="138">
        <f t="shared" si="11"/>
        <v>216136.600329129</v>
      </c>
      <c r="D33" s="138">
        <f t="shared" si="0"/>
        <v>181936.587364653</v>
      </c>
      <c r="E33" s="138">
        <f t="shared" si="1"/>
        <v>236355.640508297</v>
      </c>
      <c r="F33" s="138">
        <f t="shared" si="2"/>
        <v>270061.448334834</v>
      </c>
      <c r="G33" s="138">
        <f t="shared" si="3"/>
        <v>241191.726724965</v>
      </c>
      <c r="H33" s="138">
        <f t="shared" si="4"/>
        <v>200090.912360174</v>
      </c>
      <c r="I33" s="138">
        <f t="shared" si="5"/>
        <v>200090.912360174</v>
      </c>
      <c r="J33" s="138">
        <f t="shared" si="6"/>
        <v>171506.496308721</v>
      </c>
      <c r="K33" s="138">
        <f t="shared" si="7"/>
        <v>171506.496308721</v>
      </c>
      <c r="L33" s="138">
        <f t="shared" si="8"/>
        <v>171506.496308721</v>
      </c>
      <c r="M33" s="138">
        <f t="shared" si="9"/>
        <v>171506.496308721</v>
      </c>
      <c r="N33" s="138">
        <f t="shared" si="10"/>
        <v>171506.496308721</v>
      </c>
      <c r="O33" s="86">
        <f t="shared" si="12"/>
        <v>2403396.30952583</v>
      </c>
      <c r="P33" s="138">
        <v>207907.679520803</v>
      </c>
      <c r="Q33" s="138">
        <v>175199.804344453</v>
      </c>
      <c r="R33" s="138">
        <v>229881.159743477</v>
      </c>
      <c r="S33" s="138">
        <v>264770.552418032</v>
      </c>
      <c r="T33" s="138">
        <v>235585.583751331</v>
      </c>
      <c r="U33" s="138">
        <v>200090.912360174</v>
      </c>
      <c r="V33" s="138">
        <v>200090.912360174</v>
      </c>
      <c r="W33" s="138">
        <v>171506.496308721</v>
      </c>
      <c r="X33" s="138">
        <v>171506.496308721</v>
      </c>
      <c r="Y33" s="138">
        <v>171506.496308721</v>
      </c>
      <c r="Z33" s="138">
        <v>171506.496308721</v>
      </c>
      <c r="AA33" s="138">
        <v>171506.496308721</v>
      </c>
      <c r="AB33" s="86">
        <v>2371059.08604205</v>
      </c>
      <c r="AC33" s="138">
        <v>0</v>
      </c>
      <c r="AD33" s="138">
        <v>0</v>
      </c>
      <c r="AE33" s="138">
        <v>0</v>
      </c>
      <c r="AF33" s="138">
        <v>0</v>
      </c>
      <c r="AG33" s="138">
        <v>0</v>
      </c>
      <c r="AH33" s="138">
        <v>0</v>
      </c>
      <c r="AI33" s="138">
        <v>0</v>
      </c>
      <c r="AJ33" s="138">
        <v>0</v>
      </c>
      <c r="AK33" s="138">
        <v>0</v>
      </c>
      <c r="AL33" s="138">
        <v>0</v>
      </c>
      <c r="AM33" s="138">
        <v>0</v>
      </c>
      <c r="AN33" s="138">
        <v>0</v>
      </c>
      <c r="AO33" s="86">
        <v>0</v>
      </c>
      <c r="AP33" s="138">
        <v>0</v>
      </c>
      <c r="AQ33" s="138">
        <v>0</v>
      </c>
      <c r="AR33" s="138">
        <v>0</v>
      </c>
      <c r="AS33" s="138">
        <v>0</v>
      </c>
      <c r="AT33" s="138">
        <v>0</v>
      </c>
      <c r="AU33" s="138">
        <v>0</v>
      </c>
      <c r="AV33" s="138">
        <v>0</v>
      </c>
      <c r="AW33" s="138">
        <v>0</v>
      </c>
      <c r="AX33" s="138">
        <v>0</v>
      </c>
      <c r="AY33" s="138">
        <v>0</v>
      </c>
      <c r="AZ33" s="138">
        <v>0</v>
      </c>
      <c r="BA33" s="138">
        <v>0</v>
      </c>
      <c r="BB33" s="86">
        <v>0</v>
      </c>
      <c r="BC33" s="138">
        <v>0</v>
      </c>
      <c r="BD33" s="138">
        <v>0</v>
      </c>
      <c r="BE33" s="138">
        <v>0</v>
      </c>
      <c r="BF33" s="138">
        <v>0</v>
      </c>
      <c r="BG33" s="138">
        <v>0</v>
      </c>
      <c r="BH33" s="138">
        <v>0</v>
      </c>
      <c r="BI33" s="138">
        <v>0</v>
      </c>
      <c r="BJ33" s="138">
        <v>0</v>
      </c>
      <c r="BK33" s="138">
        <v>0</v>
      </c>
      <c r="BL33" s="138">
        <v>0</v>
      </c>
      <c r="BM33" s="138">
        <v>0</v>
      </c>
      <c r="BN33" s="138">
        <v>0</v>
      </c>
      <c r="BO33" s="86">
        <v>0</v>
      </c>
      <c r="BP33" s="138">
        <v>0</v>
      </c>
      <c r="BQ33" s="138">
        <v>0</v>
      </c>
      <c r="BR33" s="138">
        <v>0</v>
      </c>
      <c r="BS33" s="138">
        <v>0</v>
      </c>
      <c r="BT33" s="138">
        <v>0</v>
      </c>
      <c r="BU33" s="138">
        <v>0</v>
      </c>
      <c r="BV33" s="138">
        <v>0</v>
      </c>
      <c r="BW33" s="138">
        <v>0</v>
      </c>
      <c r="BX33" s="138">
        <v>0</v>
      </c>
      <c r="BY33" s="138">
        <v>0</v>
      </c>
      <c r="BZ33" s="138">
        <v>0</v>
      </c>
      <c r="CA33" s="138">
        <v>0</v>
      </c>
      <c r="CB33" s="86">
        <v>0</v>
      </c>
      <c r="CC33" s="138">
        <v>0</v>
      </c>
      <c r="CD33" s="138">
        <v>0</v>
      </c>
      <c r="CE33" s="138">
        <v>0</v>
      </c>
      <c r="CF33" s="138">
        <v>0</v>
      </c>
      <c r="CG33" s="138">
        <v>0</v>
      </c>
      <c r="CH33" s="138">
        <v>0</v>
      </c>
      <c r="CI33" s="138">
        <v>0</v>
      </c>
      <c r="CJ33" s="138">
        <v>0</v>
      </c>
      <c r="CK33" s="138">
        <v>0</v>
      </c>
      <c r="CL33" s="138">
        <v>0</v>
      </c>
      <c r="CM33" s="138">
        <v>0</v>
      </c>
      <c r="CN33" s="138">
        <v>0</v>
      </c>
      <c r="CO33" s="86">
        <v>0</v>
      </c>
      <c r="CP33" s="138">
        <v>0</v>
      </c>
      <c r="CQ33" s="138">
        <v>0</v>
      </c>
      <c r="CR33" s="138">
        <v>0</v>
      </c>
      <c r="CS33" s="138">
        <v>0</v>
      </c>
      <c r="CT33" s="138">
        <v>0</v>
      </c>
      <c r="CU33" s="138">
        <v>0</v>
      </c>
      <c r="CV33" s="138">
        <v>0</v>
      </c>
      <c r="CW33" s="138">
        <v>0</v>
      </c>
      <c r="CX33" s="138">
        <v>0</v>
      </c>
      <c r="CY33" s="138">
        <v>0</v>
      </c>
      <c r="CZ33" s="138">
        <v>0</v>
      </c>
      <c r="DA33" s="138">
        <v>0</v>
      </c>
      <c r="DB33" s="86">
        <v>0</v>
      </c>
      <c r="DC33" s="138">
        <v>0</v>
      </c>
      <c r="DD33" s="138">
        <v>0</v>
      </c>
      <c r="DE33" s="138">
        <v>0</v>
      </c>
      <c r="DF33" s="138">
        <v>0</v>
      </c>
      <c r="DG33" s="138">
        <v>0</v>
      </c>
      <c r="DH33" s="138">
        <v>0</v>
      </c>
      <c r="DI33" s="138">
        <v>0</v>
      </c>
      <c r="DJ33" s="138">
        <v>0</v>
      </c>
      <c r="DK33" s="138">
        <v>0</v>
      </c>
      <c r="DL33" s="138">
        <v>0</v>
      </c>
      <c r="DM33" s="138">
        <v>0</v>
      </c>
      <c r="DN33" s="138">
        <v>0</v>
      </c>
      <c r="DO33" s="86">
        <v>0</v>
      </c>
      <c r="DP33" s="138">
        <v>0</v>
      </c>
      <c r="DQ33" s="138">
        <v>0</v>
      </c>
      <c r="DR33" s="138">
        <v>0</v>
      </c>
      <c r="DS33" s="138">
        <v>0</v>
      </c>
      <c r="DT33" s="138">
        <v>0</v>
      </c>
      <c r="DU33" s="138">
        <v>0</v>
      </c>
      <c r="DV33" s="138">
        <v>0</v>
      </c>
      <c r="DW33" s="138">
        <v>0</v>
      </c>
      <c r="DX33" s="138">
        <v>0</v>
      </c>
      <c r="DY33" s="138">
        <v>0</v>
      </c>
      <c r="DZ33" s="138">
        <v>0</v>
      </c>
      <c r="EA33" s="138">
        <v>0</v>
      </c>
      <c r="EB33" s="85">
        <v>0</v>
      </c>
      <c r="EC33" s="87">
        <v>0</v>
      </c>
      <c r="ED33" s="85">
        <v>0</v>
      </c>
      <c r="EE33" s="85">
        <v>0</v>
      </c>
      <c r="EF33" s="85">
        <v>0</v>
      </c>
      <c r="EG33" s="85">
        <v>0</v>
      </c>
      <c r="EH33" s="85">
        <v>0</v>
      </c>
      <c r="EI33" s="85">
        <v>0</v>
      </c>
      <c r="EJ33" s="85">
        <v>0</v>
      </c>
      <c r="EK33" s="85">
        <v>0</v>
      </c>
      <c r="EL33" s="85">
        <v>0</v>
      </c>
      <c r="EM33" s="85">
        <v>0</v>
      </c>
      <c r="EN33" s="85">
        <v>0</v>
      </c>
      <c r="EO33" s="152">
        <v>0</v>
      </c>
      <c r="EP33" s="85">
        <v>0</v>
      </c>
      <c r="EQ33" s="85">
        <v>0</v>
      </c>
      <c r="ER33" s="85">
        <v>0</v>
      </c>
      <c r="ES33" s="85">
        <v>0</v>
      </c>
      <c r="ET33" s="85">
        <v>0</v>
      </c>
      <c r="EU33" s="85">
        <v>0</v>
      </c>
      <c r="EV33" s="85">
        <v>0</v>
      </c>
      <c r="EW33" s="85">
        <v>0</v>
      </c>
      <c r="EX33" s="85">
        <v>0</v>
      </c>
      <c r="EY33" s="85">
        <v>0</v>
      </c>
      <c r="EZ33" s="85">
        <v>0</v>
      </c>
      <c r="FA33" s="85">
        <v>0</v>
      </c>
      <c r="FB33" s="85">
        <v>0</v>
      </c>
      <c r="FC33" s="87">
        <v>0</v>
      </c>
      <c r="FD33" s="85">
        <v>0</v>
      </c>
      <c r="FE33" s="85">
        <v>0</v>
      </c>
      <c r="FF33" s="85">
        <v>0</v>
      </c>
      <c r="FG33" s="85">
        <v>0</v>
      </c>
      <c r="FH33" s="85">
        <v>0</v>
      </c>
      <c r="FI33" s="85">
        <v>0</v>
      </c>
      <c r="FJ33" s="85">
        <v>0</v>
      </c>
      <c r="FK33" s="85">
        <v>0</v>
      </c>
      <c r="FL33" s="85">
        <v>0</v>
      </c>
      <c r="FM33" s="85">
        <v>0</v>
      </c>
      <c r="FN33" s="85">
        <v>0</v>
      </c>
      <c r="FO33" s="86">
        <v>0</v>
      </c>
      <c r="FP33" s="87">
        <v>8228.92080832603</v>
      </c>
      <c r="FQ33" s="85">
        <v>6736.78302019992</v>
      </c>
      <c r="FR33" s="85">
        <v>6474.48076481968</v>
      </c>
      <c r="FS33" s="85">
        <v>5290.89591680164</v>
      </c>
      <c r="FT33" s="85">
        <v>5606.14297363414</v>
      </c>
      <c r="FU33" s="85">
        <v>0</v>
      </c>
      <c r="FV33" s="85">
        <v>0</v>
      </c>
      <c r="FW33" s="85">
        <v>0</v>
      </c>
      <c r="FX33" s="85">
        <v>0</v>
      </c>
      <c r="FY33" s="85">
        <v>0</v>
      </c>
      <c r="FZ33" s="85">
        <v>0</v>
      </c>
      <c r="GA33" s="85">
        <v>0</v>
      </c>
      <c r="GB33" s="152">
        <v>32337.2234837814</v>
      </c>
      <c r="GD33" s="153"/>
    </row>
    <row r="34" spans="1:186">
      <c r="A34" s="137" t="s">
        <v>93</v>
      </c>
      <c r="B34" s="151">
        <v>3194447.97693158</v>
      </c>
      <c r="C34" s="138">
        <f t="shared" si="11"/>
        <v>2031680.13509317</v>
      </c>
      <c r="D34" s="138">
        <f t="shared" si="0"/>
        <v>1643995.93745536</v>
      </c>
      <c r="E34" s="138">
        <f t="shared" si="1"/>
        <v>911761.695725515</v>
      </c>
      <c r="F34" s="138">
        <f t="shared" si="2"/>
        <v>720360.549959728</v>
      </c>
      <c r="G34" s="138">
        <f t="shared" si="3"/>
        <v>342393.646440857</v>
      </c>
      <c r="H34" s="138">
        <f t="shared" si="4"/>
        <v>68843.8033132349</v>
      </c>
      <c r="I34" s="138">
        <f t="shared" si="5"/>
        <v>2343705.95282371</v>
      </c>
      <c r="J34" s="138">
        <f t="shared" si="6"/>
        <v>5529713.60039273</v>
      </c>
      <c r="K34" s="138">
        <f t="shared" si="7"/>
        <v>1773589.85698947</v>
      </c>
      <c r="L34" s="138">
        <f t="shared" si="8"/>
        <v>877924.07870724</v>
      </c>
      <c r="M34" s="138">
        <f t="shared" si="9"/>
        <v>662698.940502914</v>
      </c>
      <c r="N34" s="138">
        <f t="shared" si="10"/>
        <v>443120.922332367</v>
      </c>
      <c r="O34" s="86">
        <f t="shared" si="12"/>
        <v>17349789.1197363</v>
      </c>
      <c r="P34" s="138">
        <v>84829.9145913566</v>
      </c>
      <c r="Q34" s="138">
        <v>326594.8472593</v>
      </c>
      <c r="R34" s="138">
        <v>250590.081438122</v>
      </c>
      <c r="S34" s="138">
        <v>231866.651139556</v>
      </c>
      <c r="T34" s="138">
        <v>104830.147500146</v>
      </c>
      <c r="U34" s="138">
        <v>0</v>
      </c>
      <c r="V34" s="138">
        <v>279443.051518285</v>
      </c>
      <c r="W34" s="138">
        <v>536702.795981366</v>
      </c>
      <c r="X34" s="138">
        <v>420488.913963011</v>
      </c>
      <c r="Y34" s="138">
        <v>257259.744463081</v>
      </c>
      <c r="Z34" s="138">
        <v>257259.744463081</v>
      </c>
      <c r="AA34" s="138">
        <v>171506.496308721</v>
      </c>
      <c r="AB34" s="86">
        <v>2921372.38862603</v>
      </c>
      <c r="AC34" s="138">
        <v>185041.575933412</v>
      </c>
      <c r="AD34" s="138">
        <v>219205.759675877</v>
      </c>
      <c r="AE34" s="138">
        <v>169052.93377552</v>
      </c>
      <c r="AF34" s="138">
        <v>125675.842155376</v>
      </c>
      <c r="AG34" s="138">
        <v>103697.800764089</v>
      </c>
      <c r="AH34" s="138">
        <v>38122.5929103567</v>
      </c>
      <c r="AI34" s="138">
        <v>42358.4365670631</v>
      </c>
      <c r="AJ34" s="138">
        <v>211792.182835315</v>
      </c>
      <c r="AK34" s="138">
        <v>211792.182835315</v>
      </c>
      <c r="AL34" s="138">
        <v>169433.746268252</v>
      </c>
      <c r="AM34" s="138">
        <v>169433.746268252</v>
      </c>
      <c r="AN34" s="138">
        <v>127075.309701189</v>
      </c>
      <c r="AO34" s="86">
        <v>1772682.10969002</v>
      </c>
      <c r="AP34" s="138">
        <v>107128.814417903</v>
      </c>
      <c r="AQ34" s="138">
        <v>3999.30345515106</v>
      </c>
      <c r="AR34" s="138">
        <v>91095.7307310581</v>
      </c>
      <c r="AS34" s="138">
        <v>6063.76488165556</v>
      </c>
      <c r="AT34" s="138">
        <v>1494.68860673269</v>
      </c>
      <c r="AU34" s="138">
        <v>0</v>
      </c>
      <c r="AV34" s="138">
        <v>236955.966368934</v>
      </c>
      <c r="AW34" s="138">
        <v>0</v>
      </c>
      <c r="AX34" s="138">
        <v>0</v>
      </c>
      <c r="AY34" s="138">
        <v>0</v>
      </c>
      <c r="AZ34" s="138">
        <v>0</v>
      </c>
      <c r="BA34" s="138">
        <v>0</v>
      </c>
      <c r="BB34" s="86">
        <v>446738.268461435</v>
      </c>
      <c r="BC34" s="138">
        <v>65009.8344716989</v>
      </c>
      <c r="BD34" s="138">
        <v>82611.1855765969</v>
      </c>
      <c r="BE34" s="138">
        <v>0</v>
      </c>
      <c r="BF34" s="138">
        <v>0</v>
      </c>
      <c r="BG34" s="138">
        <v>0</v>
      </c>
      <c r="BH34" s="138">
        <v>0</v>
      </c>
      <c r="BI34" s="138">
        <v>32021.3328015512</v>
      </c>
      <c r="BJ34" s="138">
        <v>341560.883216546</v>
      </c>
      <c r="BK34" s="138">
        <v>192127.996809307</v>
      </c>
      <c r="BL34" s="138">
        <v>53368.8880025853</v>
      </c>
      <c r="BM34" s="138">
        <v>0</v>
      </c>
      <c r="BN34" s="138">
        <v>0</v>
      </c>
      <c r="BO34" s="86">
        <v>766700.120878285</v>
      </c>
      <c r="BP34" s="138">
        <v>0</v>
      </c>
      <c r="BQ34" s="138">
        <v>0</v>
      </c>
      <c r="BR34" s="138">
        <v>0</v>
      </c>
      <c r="BS34" s="138">
        <v>0</v>
      </c>
      <c r="BT34" s="138">
        <v>0</v>
      </c>
      <c r="BU34" s="138">
        <v>0</v>
      </c>
      <c r="BV34" s="138">
        <v>0</v>
      </c>
      <c r="BW34" s="138">
        <v>0</v>
      </c>
      <c r="BX34" s="138">
        <v>0</v>
      </c>
      <c r="BY34" s="138">
        <v>0</v>
      </c>
      <c r="BZ34" s="138">
        <v>0</v>
      </c>
      <c r="CA34" s="138">
        <v>0</v>
      </c>
      <c r="CB34" s="86">
        <v>0</v>
      </c>
      <c r="CC34" s="138">
        <v>13623.5421542323</v>
      </c>
      <c r="CD34" s="138">
        <v>13787.1925796692</v>
      </c>
      <c r="CE34" s="138">
        <v>2746.56155222857</v>
      </c>
      <c r="CF34" s="138">
        <v>14988.1701616717</v>
      </c>
      <c r="CG34" s="138">
        <v>8445.79268193895</v>
      </c>
      <c r="CH34" s="138">
        <v>16276.0612616226</v>
      </c>
      <c r="CI34" s="138">
        <v>25971.9768049828</v>
      </c>
      <c r="CJ34" s="138">
        <v>138517.209626575</v>
      </c>
      <c r="CK34" s="138">
        <v>121202.558423253</v>
      </c>
      <c r="CL34" s="138">
        <v>69258.6048132876</v>
      </c>
      <c r="CM34" s="138">
        <v>43286.6280083048</v>
      </c>
      <c r="CN34" s="138">
        <v>0</v>
      </c>
      <c r="CO34" s="86">
        <v>468104.298067767</v>
      </c>
      <c r="CP34" s="138">
        <v>191102.387615929</v>
      </c>
      <c r="CQ34" s="138">
        <v>199589.348438731</v>
      </c>
      <c r="CR34" s="138">
        <v>118039.102510464</v>
      </c>
      <c r="CS34" s="138">
        <v>5403.00373529518</v>
      </c>
      <c r="CT34" s="138">
        <v>0</v>
      </c>
      <c r="CU34" s="138">
        <v>1018.00032592143</v>
      </c>
      <c r="CV34" s="138">
        <v>108011.060178616</v>
      </c>
      <c r="CW34" s="138">
        <v>583365.69956845</v>
      </c>
      <c r="CX34" s="138">
        <v>250962.836747368</v>
      </c>
      <c r="CY34" s="138">
        <v>122160.039110571</v>
      </c>
      <c r="CZ34" s="138">
        <v>0</v>
      </c>
      <c r="DA34" s="138">
        <v>0</v>
      </c>
      <c r="DB34" s="86">
        <v>1579651.47823134</v>
      </c>
      <c r="DC34" s="138">
        <v>0</v>
      </c>
      <c r="DD34" s="138">
        <v>0</v>
      </c>
      <c r="DE34" s="138">
        <v>9271.36756369631</v>
      </c>
      <c r="DF34" s="138">
        <v>0</v>
      </c>
      <c r="DG34" s="138">
        <v>20609.4553024078</v>
      </c>
      <c r="DH34" s="138">
        <v>569.428337938306</v>
      </c>
      <c r="DI34" s="138">
        <v>11388.5667587661</v>
      </c>
      <c r="DJ34" s="138">
        <v>22777.1335175322</v>
      </c>
      <c r="DK34" s="138">
        <v>11388.5667587661</v>
      </c>
      <c r="DL34" s="138">
        <v>5694.28337938306</v>
      </c>
      <c r="DM34" s="138">
        <v>0</v>
      </c>
      <c r="DN34" s="138">
        <v>0</v>
      </c>
      <c r="DO34" s="86">
        <v>81698.80161849</v>
      </c>
      <c r="DP34" s="138">
        <v>0</v>
      </c>
      <c r="DQ34" s="138">
        <v>290303.306681054</v>
      </c>
      <c r="DR34" s="138">
        <v>6460.11941916519</v>
      </c>
      <c r="DS34" s="138">
        <v>165276.518511402</v>
      </c>
      <c r="DT34" s="138">
        <v>2141.89806985923</v>
      </c>
      <c r="DU34" s="138">
        <v>5195.65238797365</v>
      </c>
      <c r="DV34" s="138">
        <v>198084.247291495</v>
      </c>
      <c r="DW34" s="138">
        <v>521513.608442855</v>
      </c>
      <c r="DX34" s="138">
        <v>324728.274248353</v>
      </c>
      <c r="DY34" s="138">
        <v>0</v>
      </c>
      <c r="DZ34" s="138">
        <v>0</v>
      </c>
      <c r="EA34" s="138">
        <v>0</v>
      </c>
      <c r="EB34" s="85">
        <v>1513703.62505216</v>
      </c>
      <c r="EC34" s="87">
        <v>0</v>
      </c>
      <c r="ED34" s="85">
        <v>13290.892132833</v>
      </c>
      <c r="EE34" s="85">
        <v>0</v>
      </c>
      <c r="EF34" s="85">
        <v>0</v>
      </c>
      <c r="EG34" s="85">
        <v>0</v>
      </c>
      <c r="EH34" s="85">
        <v>0</v>
      </c>
      <c r="EI34" s="85">
        <v>0</v>
      </c>
      <c r="EJ34" s="85">
        <v>0</v>
      </c>
      <c r="EK34" s="85">
        <v>0</v>
      </c>
      <c r="EL34" s="85">
        <v>0</v>
      </c>
      <c r="EM34" s="85">
        <v>0</v>
      </c>
      <c r="EN34" s="85">
        <v>0</v>
      </c>
      <c r="EO34" s="152">
        <v>13290.892132833</v>
      </c>
      <c r="EP34" s="85">
        <v>100075.674230528</v>
      </c>
      <c r="EQ34" s="85">
        <v>87524.0891291848</v>
      </c>
      <c r="ER34" s="85">
        <v>110847.526069326</v>
      </c>
      <c r="ES34" s="85">
        <v>121623.958944879</v>
      </c>
      <c r="ET34" s="85">
        <v>71618.5026872646</v>
      </c>
      <c r="EU34" s="85">
        <v>5219.46808942207</v>
      </c>
      <c r="EV34" s="85">
        <v>40149.7545340159</v>
      </c>
      <c r="EW34" s="85">
        <v>240898.527204095</v>
      </c>
      <c r="EX34" s="85">
        <v>240898.527204095</v>
      </c>
      <c r="EY34" s="85">
        <v>200748.772670079</v>
      </c>
      <c r="EZ34" s="85">
        <v>192718.821763276</v>
      </c>
      <c r="FA34" s="85">
        <v>144539.116322457</v>
      </c>
      <c r="FB34" s="85">
        <v>1556862.73884862</v>
      </c>
      <c r="FC34" s="87">
        <v>0</v>
      </c>
      <c r="FD34" s="85">
        <v>0</v>
      </c>
      <c r="FE34" s="85">
        <v>0</v>
      </c>
      <c r="FF34" s="85">
        <v>0</v>
      </c>
      <c r="FG34" s="85">
        <v>0</v>
      </c>
      <c r="FH34" s="85">
        <v>0</v>
      </c>
      <c r="FI34" s="85">
        <v>0</v>
      </c>
      <c r="FJ34" s="85">
        <v>0</v>
      </c>
      <c r="FK34" s="85">
        <v>0</v>
      </c>
      <c r="FL34" s="85">
        <v>0</v>
      </c>
      <c r="FM34" s="85">
        <v>0</v>
      </c>
      <c r="FN34" s="85">
        <v>0</v>
      </c>
      <c r="FO34" s="86">
        <v>0</v>
      </c>
      <c r="FP34" s="87">
        <v>1284868.39167811</v>
      </c>
      <c r="FQ34" s="85">
        <v>407090.012526959</v>
      </c>
      <c r="FR34" s="85">
        <v>153658.272665935</v>
      </c>
      <c r="FS34" s="85">
        <v>49462.6404298932</v>
      </c>
      <c r="FT34" s="85">
        <v>29555.3608284188</v>
      </c>
      <c r="FU34" s="85">
        <v>2442.6</v>
      </c>
      <c r="FV34" s="85">
        <v>1369321.56</v>
      </c>
      <c r="FW34" s="85">
        <v>2932585.56</v>
      </c>
      <c r="FX34" s="85">
        <v>0</v>
      </c>
      <c r="FY34" s="85">
        <v>0</v>
      </c>
      <c r="FZ34" s="85">
        <v>0</v>
      </c>
      <c r="GA34" s="85">
        <v>0</v>
      </c>
      <c r="GB34" s="152">
        <v>6228984.39812931</v>
      </c>
      <c r="GD34" s="153"/>
    </row>
    <row r="35" spans="1:186">
      <c r="A35" s="137" t="s">
        <v>95</v>
      </c>
      <c r="B35" s="151">
        <v>15836665.9031425</v>
      </c>
      <c r="C35" s="138">
        <f t="shared" si="11"/>
        <v>1651950.23253588</v>
      </c>
      <c r="D35" s="138">
        <f t="shared" si="0"/>
        <v>976699.063867254</v>
      </c>
      <c r="E35" s="138">
        <f t="shared" si="1"/>
        <v>753946.34902829</v>
      </c>
      <c r="F35" s="138">
        <f t="shared" si="2"/>
        <v>1336748.23145108</v>
      </c>
      <c r="G35" s="138">
        <f t="shared" si="3"/>
        <v>1386864.36732403</v>
      </c>
      <c r="H35" s="138">
        <f t="shared" si="4"/>
        <v>1005079.83244285</v>
      </c>
      <c r="I35" s="138">
        <f t="shared" si="5"/>
        <v>673283.393535715</v>
      </c>
      <c r="J35" s="138">
        <f t="shared" si="6"/>
        <v>1056836.09571225</v>
      </c>
      <c r="K35" s="138">
        <f t="shared" si="7"/>
        <v>264685.449026871</v>
      </c>
      <c r="L35" s="138">
        <f t="shared" si="8"/>
        <v>195410.612916625</v>
      </c>
      <c r="M35" s="138">
        <f t="shared" si="9"/>
        <v>155390.412486589</v>
      </c>
      <c r="N35" s="138">
        <f t="shared" si="10"/>
        <v>3422656.52721055</v>
      </c>
      <c r="O35" s="86">
        <f t="shared" si="12"/>
        <v>12879550.567538</v>
      </c>
      <c r="P35" s="138">
        <v>176753.712198127</v>
      </c>
      <c r="Q35" s="138">
        <v>37869.3529142449</v>
      </c>
      <c r="R35" s="138">
        <v>67323.0572773414</v>
      </c>
      <c r="S35" s="138">
        <v>83935.6732169989</v>
      </c>
      <c r="T35" s="138">
        <v>105990.84079222</v>
      </c>
      <c r="U35" s="138">
        <v>217364.847873565</v>
      </c>
      <c r="V35" s="138">
        <v>105507.56524731</v>
      </c>
      <c r="W35" s="138">
        <v>1236.58669439983</v>
      </c>
      <c r="X35" s="138">
        <v>1236.58669439983</v>
      </c>
      <c r="Y35" s="138">
        <v>0</v>
      </c>
      <c r="Z35" s="138">
        <v>0</v>
      </c>
      <c r="AA35" s="138">
        <v>0</v>
      </c>
      <c r="AB35" s="86">
        <v>797218.222908607</v>
      </c>
      <c r="AC35" s="138">
        <v>68700.3310689863</v>
      </c>
      <c r="AD35" s="138">
        <v>79413.1866325705</v>
      </c>
      <c r="AE35" s="138">
        <v>55451.9867756071</v>
      </c>
      <c r="AF35" s="138">
        <v>64660.9777738276</v>
      </c>
      <c r="AG35" s="138">
        <v>106797.754336506</v>
      </c>
      <c r="AH35" s="138">
        <v>98549.8698101332</v>
      </c>
      <c r="AI35" s="138">
        <v>92083.5577544849</v>
      </c>
      <c r="AJ35" s="138">
        <v>33886.7492536504</v>
      </c>
      <c r="AK35" s="138">
        <v>0</v>
      </c>
      <c r="AL35" s="138">
        <v>0</v>
      </c>
      <c r="AM35" s="138">
        <v>0</v>
      </c>
      <c r="AN35" s="138">
        <v>0</v>
      </c>
      <c r="AO35" s="86">
        <v>599544.413405766</v>
      </c>
      <c r="AP35" s="138">
        <v>88556.3024142069</v>
      </c>
      <c r="AQ35" s="138">
        <v>34274.8772319427</v>
      </c>
      <c r="AR35" s="138">
        <v>33670.007798686</v>
      </c>
      <c r="AS35" s="138">
        <v>14514.2582017162</v>
      </c>
      <c r="AT35" s="138">
        <v>66010.3947787541</v>
      </c>
      <c r="AU35" s="138">
        <v>13955.9814330817</v>
      </c>
      <c r="AV35" s="138">
        <v>1898.31873218268</v>
      </c>
      <c r="AW35" s="138">
        <v>1898.31873218268</v>
      </c>
      <c r="AX35" s="138">
        <v>1898.31873218268</v>
      </c>
      <c r="AY35" s="138">
        <v>1898.31873218268</v>
      </c>
      <c r="AZ35" s="138">
        <v>1898.31873218268</v>
      </c>
      <c r="BA35" s="138">
        <v>740239.373360021</v>
      </c>
      <c r="BB35" s="86">
        <v>1000712.78887932</v>
      </c>
      <c r="BC35" s="138">
        <v>106331.02032177</v>
      </c>
      <c r="BD35" s="138">
        <v>85607.7528736089</v>
      </c>
      <c r="BE35" s="138">
        <v>50801.222054104</v>
      </c>
      <c r="BF35" s="138">
        <v>99356.7483117778</v>
      </c>
      <c r="BG35" s="138">
        <v>72681.8792654233</v>
      </c>
      <c r="BH35" s="138">
        <v>48240.8339814673</v>
      </c>
      <c r="BI35" s="138">
        <v>36020.1320910203</v>
      </c>
      <c r="BJ35" s="138">
        <v>19725.8629037575</v>
      </c>
      <c r="BK35" s="138">
        <v>10673.7776005171</v>
      </c>
      <c r="BL35" s="138">
        <v>10673.7776005171</v>
      </c>
      <c r="BM35" s="138">
        <v>10673.7776005171</v>
      </c>
      <c r="BN35" s="138">
        <v>130405.7176411</v>
      </c>
      <c r="BO35" s="86">
        <v>681192.50224558</v>
      </c>
      <c r="BP35" s="138">
        <v>208913.245546419</v>
      </c>
      <c r="BQ35" s="138">
        <v>169873.119857327</v>
      </c>
      <c r="BR35" s="138">
        <v>125729.294831875</v>
      </c>
      <c r="BS35" s="138">
        <v>180189.051748144</v>
      </c>
      <c r="BT35" s="138">
        <v>187909.994440849</v>
      </c>
      <c r="BU35" s="138">
        <v>103089.941474867</v>
      </c>
      <c r="BV35" s="138">
        <v>85174.8623901552</v>
      </c>
      <c r="BW35" s="138">
        <v>87772.5488574383</v>
      </c>
      <c r="BX35" s="138">
        <v>83074.9429936434</v>
      </c>
      <c r="BY35" s="138">
        <v>84733.7886076265</v>
      </c>
      <c r="BZ35" s="138">
        <v>88489.1520208268</v>
      </c>
      <c r="CA35" s="138">
        <v>648718.620046586</v>
      </c>
      <c r="CB35" s="86">
        <v>2053668.56281576</v>
      </c>
      <c r="CC35" s="138">
        <v>935.132195026433</v>
      </c>
      <c r="CD35" s="138">
        <v>2374.59427446734</v>
      </c>
      <c r="CE35" s="138">
        <v>1701.1486106845</v>
      </c>
      <c r="CF35" s="138">
        <v>22883.0424867523</v>
      </c>
      <c r="CG35" s="138">
        <v>20782.8054812275</v>
      </c>
      <c r="CH35" s="138">
        <v>22138.9868514625</v>
      </c>
      <c r="CI35" s="138">
        <v>8703.33071355383</v>
      </c>
      <c r="CJ35" s="138">
        <v>4328.66280083048</v>
      </c>
      <c r="CK35" s="138">
        <v>0</v>
      </c>
      <c r="CL35" s="138">
        <v>0</v>
      </c>
      <c r="CM35" s="138">
        <v>0</v>
      </c>
      <c r="CN35" s="138">
        <v>24278.1522307448</v>
      </c>
      <c r="CO35" s="86">
        <v>108125.85564475</v>
      </c>
      <c r="CP35" s="138">
        <v>64474.6239756212</v>
      </c>
      <c r="CQ35" s="138">
        <v>69725.4626879876</v>
      </c>
      <c r="CR35" s="138">
        <v>39885.9951262745</v>
      </c>
      <c r="CS35" s="138">
        <v>91539.3583696272</v>
      </c>
      <c r="CT35" s="138">
        <v>128284.034962449</v>
      </c>
      <c r="CU35" s="138">
        <v>61581.6188571273</v>
      </c>
      <c r="CV35" s="138">
        <v>48741.0567213811</v>
      </c>
      <c r="CW35" s="138">
        <v>35900.4945856348</v>
      </c>
      <c r="CX35" s="138">
        <v>0</v>
      </c>
      <c r="CY35" s="138">
        <v>0</v>
      </c>
      <c r="CZ35" s="138">
        <v>0</v>
      </c>
      <c r="DA35" s="138">
        <v>57096.5400190713</v>
      </c>
      <c r="DB35" s="86">
        <v>597229.185305174</v>
      </c>
      <c r="DC35" s="138">
        <v>52806.0547292351</v>
      </c>
      <c r="DD35" s="138">
        <v>34144.4747091635</v>
      </c>
      <c r="DE35" s="138">
        <v>19542.5338629764</v>
      </c>
      <c r="DF35" s="138">
        <v>22899.1722730829</v>
      </c>
      <c r="DG35" s="138">
        <v>34389.668814437</v>
      </c>
      <c r="DH35" s="138">
        <v>34979.9552909348</v>
      </c>
      <c r="DI35" s="138">
        <v>20802.0149347317</v>
      </c>
      <c r="DJ35" s="138">
        <v>10970.4358053042</v>
      </c>
      <c r="DK35" s="138">
        <v>6624.0745785287</v>
      </c>
      <c r="DL35" s="138">
        <v>4885.53008781851</v>
      </c>
      <c r="DM35" s="138">
        <v>3146.98559710832</v>
      </c>
      <c r="DN35" s="138">
        <v>40407.4051013322</v>
      </c>
      <c r="DO35" s="86">
        <v>285598.305784653</v>
      </c>
      <c r="DP35" s="138">
        <v>436529.077811327</v>
      </c>
      <c r="DQ35" s="138">
        <v>217309.841373689</v>
      </c>
      <c r="DR35" s="138">
        <v>157346.390834437</v>
      </c>
      <c r="DS35" s="138">
        <v>126587.011605267</v>
      </c>
      <c r="DT35" s="138">
        <v>290011.134015905</v>
      </c>
      <c r="DU35" s="138">
        <v>193323.134671477</v>
      </c>
      <c r="DV35" s="138">
        <v>103961.678563829</v>
      </c>
      <c r="DW35" s="138">
        <v>75862.486059788</v>
      </c>
      <c r="DX35" s="138">
        <v>42732.358408334</v>
      </c>
      <c r="DY35" s="138">
        <v>16408.9746311004</v>
      </c>
      <c r="DZ35" s="138">
        <v>0</v>
      </c>
      <c r="EA35" s="138">
        <v>364260.411982935</v>
      </c>
      <c r="EB35" s="85">
        <v>2024332.49995809</v>
      </c>
      <c r="EC35" s="87">
        <v>8573.34929249537</v>
      </c>
      <c r="ED35" s="85">
        <v>21265.4274125328</v>
      </c>
      <c r="EE35" s="85">
        <v>0</v>
      </c>
      <c r="EF35" s="85">
        <v>0</v>
      </c>
      <c r="EG35" s="85">
        <v>0</v>
      </c>
      <c r="EH35" s="85">
        <v>0</v>
      </c>
      <c r="EI35" s="85">
        <v>0</v>
      </c>
      <c r="EJ35" s="85">
        <v>0</v>
      </c>
      <c r="EK35" s="85">
        <v>0</v>
      </c>
      <c r="EL35" s="85">
        <v>0</v>
      </c>
      <c r="EM35" s="85">
        <v>0</v>
      </c>
      <c r="EN35" s="85">
        <v>0</v>
      </c>
      <c r="EO35" s="152">
        <v>29838.7767050282</v>
      </c>
      <c r="EP35" s="85">
        <v>14890.3009569835</v>
      </c>
      <c r="EQ35" s="85">
        <v>51049.3971476177</v>
      </c>
      <c r="ER35" s="85">
        <v>59520.891034395</v>
      </c>
      <c r="ES35" s="85">
        <v>113778.818359301</v>
      </c>
      <c r="ET35" s="85">
        <v>65677.7861688432</v>
      </c>
      <c r="EU35" s="85">
        <v>60910.2421987381</v>
      </c>
      <c r="EV35" s="85">
        <v>63177.2563870654</v>
      </c>
      <c r="EW35" s="85">
        <v>32575.6100192656</v>
      </c>
      <c r="EX35" s="85">
        <v>32575.6100192656</v>
      </c>
      <c r="EY35" s="85">
        <v>25188.76325738</v>
      </c>
      <c r="EZ35" s="85">
        <v>537.758535953828</v>
      </c>
      <c r="FA35" s="85">
        <v>430.206828763062</v>
      </c>
      <c r="FB35" s="85">
        <v>520312.640913572</v>
      </c>
      <c r="FC35" s="87">
        <v>0</v>
      </c>
      <c r="FD35" s="85">
        <v>0</v>
      </c>
      <c r="FE35" s="85">
        <v>0</v>
      </c>
      <c r="FF35" s="85">
        <v>0</v>
      </c>
      <c r="FG35" s="85">
        <v>0</v>
      </c>
      <c r="FH35" s="85">
        <v>0</v>
      </c>
      <c r="FI35" s="85">
        <v>0</v>
      </c>
      <c r="FJ35" s="85">
        <v>0</v>
      </c>
      <c r="FK35" s="85">
        <v>0</v>
      </c>
      <c r="FL35" s="85">
        <v>0</v>
      </c>
      <c r="FM35" s="85">
        <v>0</v>
      </c>
      <c r="FN35" s="85">
        <v>0</v>
      </c>
      <c r="FO35" s="86">
        <v>0</v>
      </c>
      <c r="FP35" s="87">
        <v>424487.082025686</v>
      </c>
      <c r="FQ35" s="85">
        <v>173791.576752103</v>
      </c>
      <c r="FR35" s="85">
        <v>142973.82082191</v>
      </c>
      <c r="FS35" s="85">
        <v>516404.11910459</v>
      </c>
      <c r="FT35" s="85">
        <v>308328.074267413</v>
      </c>
      <c r="FU35" s="85">
        <v>150944.42</v>
      </c>
      <c r="FV35" s="85">
        <v>107213.62</v>
      </c>
      <c r="FW35" s="85">
        <v>752678.34</v>
      </c>
      <c r="FX35" s="85">
        <v>85869.78</v>
      </c>
      <c r="FY35" s="85">
        <v>51621.46</v>
      </c>
      <c r="FZ35" s="85">
        <v>50644.42</v>
      </c>
      <c r="GA35" s="85">
        <v>1416820.1</v>
      </c>
      <c r="GB35" s="152">
        <v>4181776.8129717</v>
      </c>
      <c r="GD35" s="153"/>
    </row>
    <row r="36" spans="1:186">
      <c r="A36" s="137" t="s">
        <v>97</v>
      </c>
      <c r="B36" s="151">
        <v>3576864.54318362</v>
      </c>
      <c r="C36" s="138">
        <f t="shared" si="11"/>
        <v>28500.5626754101</v>
      </c>
      <c r="D36" s="138">
        <f t="shared" si="0"/>
        <v>21706.0509035846</v>
      </c>
      <c r="E36" s="138">
        <f t="shared" si="1"/>
        <v>20737.8711305063</v>
      </c>
      <c r="F36" s="138">
        <f t="shared" si="2"/>
        <v>2322839.96754694</v>
      </c>
      <c r="G36" s="138">
        <f t="shared" si="3"/>
        <v>1503177.55048308</v>
      </c>
      <c r="H36" s="138">
        <f t="shared" si="4"/>
        <v>3569360.58311695</v>
      </c>
      <c r="I36" s="138">
        <f t="shared" si="5"/>
        <v>1802458.19811718</v>
      </c>
      <c r="J36" s="138">
        <f t="shared" si="6"/>
        <v>1072729.12128193</v>
      </c>
      <c r="K36" s="138">
        <f t="shared" si="7"/>
        <v>527574.356853243</v>
      </c>
      <c r="L36" s="138">
        <f t="shared" si="8"/>
        <v>291876.199060159</v>
      </c>
      <c r="M36" s="138">
        <f t="shared" si="9"/>
        <v>206784.522075466</v>
      </c>
      <c r="N36" s="138">
        <f t="shared" si="10"/>
        <v>82181.049944239</v>
      </c>
      <c r="O36" s="86">
        <f t="shared" si="12"/>
        <v>11449926.0331887</v>
      </c>
      <c r="P36" s="138">
        <v>5027.13296275601</v>
      </c>
      <c r="Q36" s="138">
        <v>751.475939713793</v>
      </c>
      <c r="R36" s="138">
        <v>0</v>
      </c>
      <c r="S36" s="138">
        <v>230865.959660342</v>
      </c>
      <c r="T36" s="138">
        <v>227343.910369958</v>
      </c>
      <c r="U36" s="138">
        <v>534217.423052961</v>
      </c>
      <c r="V36" s="138">
        <v>430089.549354206</v>
      </c>
      <c r="W36" s="138">
        <v>352613.628008636</v>
      </c>
      <c r="X36" s="138">
        <v>312346.885397023</v>
      </c>
      <c r="Y36" s="138">
        <v>231160.929807406</v>
      </c>
      <c r="Z36" s="138">
        <v>202079.393476797</v>
      </c>
      <c r="AA36" s="138">
        <v>77475.9213455699</v>
      </c>
      <c r="AB36" s="86">
        <v>2603972.20937537</v>
      </c>
      <c r="AC36" s="138">
        <v>0</v>
      </c>
      <c r="AD36" s="138">
        <v>0</v>
      </c>
      <c r="AE36" s="138">
        <v>0</v>
      </c>
      <c r="AF36" s="138">
        <v>208146.056228068</v>
      </c>
      <c r="AG36" s="138">
        <v>298586.058985446</v>
      </c>
      <c r="AH36" s="138">
        <v>462443.627043023</v>
      </c>
      <c r="AI36" s="138">
        <v>462443.627043023</v>
      </c>
      <c r="AJ36" s="138">
        <v>360783.379282072</v>
      </c>
      <c r="AK36" s="138">
        <v>136467.832592147</v>
      </c>
      <c r="AL36" s="138">
        <v>0</v>
      </c>
      <c r="AM36" s="138">
        <v>0</v>
      </c>
      <c r="AN36" s="138">
        <v>0</v>
      </c>
      <c r="AO36" s="86">
        <v>1928870.58117378</v>
      </c>
      <c r="AP36" s="138">
        <v>0</v>
      </c>
      <c r="AQ36" s="138">
        <v>0</v>
      </c>
      <c r="AR36" s="138">
        <v>0</v>
      </c>
      <c r="AS36" s="138">
        <v>73604.136459058</v>
      </c>
      <c r="AT36" s="138">
        <v>52110.3776195541</v>
      </c>
      <c r="AU36" s="138">
        <v>109119.939585114</v>
      </c>
      <c r="AV36" s="138">
        <v>66278.987694499</v>
      </c>
      <c r="AW36" s="138">
        <v>0</v>
      </c>
      <c r="AX36" s="138">
        <v>0</v>
      </c>
      <c r="AY36" s="138">
        <v>0</v>
      </c>
      <c r="AZ36" s="138">
        <v>0</v>
      </c>
      <c r="BA36" s="138">
        <v>0</v>
      </c>
      <c r="BB36" s="86">
        <v>301113.441358225</v>
      </c>
      <c r="BC36" s="138">
        <v>0</v>
      </c>
      <c r="BD36" s="138">
        <v>0</v>
      </c>
      <c r="BE36" s="138">
        <v>0</v>
      </c>
      <c r="BF36" s="138">
        <v>140129.75097279</v>
      </c>
      <c r="BG36" s="138">
        <v>107877.983103097</v>
      </c>
      <c r="BH36" s="138">
        <v>121588.249188499</v>
      </c>
      <c r="BI36" s="138">
        <v>43971.3229412605</v>
      </c>
      <c r="BJ36" s="138">
        <v>0</v>
      </c>
      <c r="BK36" s="138">
        <v>0</v>
      </c>
      <c r="BL36" s="138">
        <v>0</v>
      </c>
      <c r="BM36" s="138">
        <v>0</v>
      </c>
      <c r="BN36" s="138">
        <v>0</v>
      </c>
      <c r="BO36" s="86">
        <v>413567.306205646</v>
      </c>
      <c r="BP36" s="138">
        <v>1088.22694482419</v>
      </c>
      <c r="BQ36" s="138">
        <v>253.293711118719</v>
      </c>
      <c r="BR36" s="138">
        <v>478.017810783369</v>
      </c>
      <c r="BS36" s="138">
        <v>334180.892772737</v>
      </c>
      <c r="BT36" s="138">
        <v>236052.936528328</v>
      </c>
      <c r="BU36" s="138">
        <v>438010.077232021</v>
      </c>
      <c r="BV36" s="138">
        <v>191819.473037843</v>
      </c>
      <c r="BW36" s="138">
        <v>29951.0641786492</v>
      </c>
      <c r="BX36" s="138">
        <v>0</v>
      </c>
      <c r="BY36" s="138">
        <v>0</v>
      </c>
      <c r="BZ36" s="138">
        <v>0</v>
      </c>
      <c r="CA36" s="138">
        <v>0</v>
      </c>
      <c r="CB36" s="86">
        <v>1231833.9822163</v>
      </c>
      <c r="CC36" s="138">
        <v>0</v>
      </c>
      <c r="CD36" s="138">
        <v>7727.58822636271</v>
      </c>
      <c r="CE36" s="138">
        <v>0</v>
      </c>
      <c r="CF36" s="138">
        <v>41978.5944476025</v>
      </c>
      <c r="CG36" s="138">
        <v>46553.8681959196</v>
      </c>
      <c r="CH36" s="138">
        <v>21442.3553108385</v>
      </c>
      <c r="CI36" s="138">
        <v>20273.9509372462</v>
      </c>
      <c r="CJ36" s="138">
        <v>1100.98597325471</v>
      </c>
      <c r="CK36" s="138">
        <v>0</v>
      </c>
      <c r="CL36" s="138">
        <v>0</v>
      </c>
      <c r="CM36" s="138">
        <v>0</v>
      </c>
      <c r="CN36" s="138">
        <v>0</v>
      </c>
      <c r="CO36" s="86">
        <v>139077.343091224</v>
      </c>
      <c r="CP36" s="138">
        <v>0</v>
      </c>
      <c r="CQ36" s="138">
        <v>0</v>
      </c>
      <c r="CR36" s="138">
        <v>0</v>
      </c>
      <c r="CS36" s="138">
        <v>467131.296745007</v>
      </c>
      <c r="CT36" s="138">
        <v>181111.824962807</v>
      </c>
      <c r="CU36" s="138">
        <v>366715.444803053</v>
      </c>
      <c r="CV36" s="138">
        <v>145011.292916662</v>
      </c>
      <c r="CW36" s="138">
        <v>45481.6840043146</v>
      </c>
      <c r="CX36" s="138">
        <v>0</v>
      </c>
      <c r="CY36" s="138">
        <v>0</v>
      </c>
      <c r="CZ36" s="138">
        <v>0</v>
      </c>
      <c r="DA36" s="138">
        <v>0</v>
      </c>
      <c r="DB36" s="86">
        <v>1205451.54343184</v>
      </c>
      <c r="DC36" s="138">
        <v>0</v>
      </c>
      <c r="DD36" s="138">
        <v>0</v>
      </c>
      <c r="DE36" s="138">
        <v>0</v>
      </c>
      <c r="DF36" s="138">
        <v>25739.1057357798</v>
      </c>
      <c r="DG36" s="138">
        <v>18927.4356936398</v>
      </c>
      <c r="DH36" s="138">
        <v>15869.7202008023</v>
      </c>
      <c r="DI36" s="138">
        <v>21427.8359341567</v>
      </c>
      <c r="DJ36" s="138">
        <v>13802.4477565481</v>
      </c>
      <c r="DK36" s="138">
        <v>1931.10479822556</v>
      </c>
      <c r="DL36" s="138">
        <v>1448.32859866917</v>
      </c>
      <c r="DM36" s="138">
        <v>1448.32859866917</v>
      </c>
      <c r="DN36" s="138">
        <v>1448.32859866917</v>
      </c>
      <c r="DO36" s="86">
        <v>102042.63591516</v>
      </c>
      <c r="DP36" s="138">
        <v>0</v>
      </c>
      <c r="DQ36" s="138">
        <v>0</v>
      </c>
      <c r="DR36" s="138">
        <v>0</v>
      </c>
      <c r="DS36" s="138">
        <v>155056.213763069</v>
      </c>
      <c r="DT36" s="138">
        <v>105814.472655821</v>
      </c>
      <c r="DU36" s="138">
        <v>252652.715985838</v>
      </c>
      <c r="DV36" s="138">
        <v>171188.27501136</v>
      </c>
      <c r="DW36" s="138">
        <v>154669.488886553</v>
      </c>
      <c r="DX36" s="138">
        <v>14866.9075123268</v>
      </c>
      <c r="DY36" s="138">
        <v>7158.14065408326</v>
      </c>
      <c r="DZ36" s="138">
        <v>0</v>
      </c>
      <c r="EA36" s="138">
        <v>0</v>
      </c>
      <c r="EB36" s="85">
        <v>861406.214469051</v>
      </c>
      <c r="EC36" s="87">
        <v>0</v>
      </c>
      <c r="ED36" s="85">
        <v>0</v>
      </c>
      <c r="EE36" s="85">
        <v>0</v>
      </c>
      <c r="EF36" s="85">
        <v>0</v>
      </c>
      <c r="EG36" s="85">
        <v>0</v>
      </c>
      <c r="EH36" s="85">
        <v>0</v>
      </c>
      <c r="EI36" s="85">
        <v>0</v>
      </c>
      <c r="EJ36" s="85">
        <v>0</v>
      </c>
      <c r="EK36" s="85">
        <v>0</v>
      </c>
      <c r="EL36" s="85">
        <v>0</v>
      </c>
      <c r="EM36" s="85">
        <v>0</v>
      </c>
      <c r="EN36" s="85">
        <v>0</v>
      </c>
      <c r="EO36" s="152">
        <v>0</v>
      </c>
      <c r="EP36" s="85">
        <v>0</v>
      </c>
      <c r="EQ36" s="85">
        <v>0</v>
      </c>
      <c r="ER36" s="85">
        <v>0</v>
      </c>
      <c r="ES36" s="85">
        <v>31968.7241668058</v>
      </c>
      <c r="ET36" s="85">
        <v>12469.9156220974</v>
      </c>
      <c r="EU36" s="85">
        <v>62498.4307148042</v>
      </c>
      <c r="EV36" s="85">
        <v>36155.5832469259</v>
      </c>
      <c r="EW36" s="85">
        <v>7209.58319190013</v>
      </c>
      <c r="EX36" s="85">
        <v>5767.6665535201</v>
      </c>
      <c r="EY36" s="85">
        <v>0</v>
      </c>
      <c r="EZ36" s="85">
        <v>0</v>
      </c>
      <c r="FA36" s="85">
        <v>0</v>
      </c>
      <c r="FB36" s="85">
        <v>156069.903496054</v>
      </c>
      <c r="FC36" s="87">
        <v>0</v>
      </c>
      <c r="FD36" s="85">
        <v>0</v>
      </c>
      <c r="FE36" s="85">
        <v>0</v>
      </c>
      <c r="FF36" s="85">
        <v>0</v>
      </c>
      <c r="FG36" s="85">
        <v>0</v>
      </c>
      <c r="FH36" s="85">
        <v>0</v>
      </c>
      <c r="FI36" s="85">
        <v>0</v>
      </c>
      <c r="FJ36" s="85">
        <v>0</v>
      </c>
      <c r="FK36" s="85">
        <v>0</v>
      </c>
      <c r="FL36" s="85">
        <v>0</v>
      </c>
      <c r="FM36" s="85">
        <v>0</v>
      </c>
      <c r="FN36" s="85">
        <v>0</v>
      </c>
      <c r="FO36" s="86">
        <v>0</v>
      </c>
      <c r="FP36" s="87">
        <v>22385.2027678299</v>
      </c>
      <c r="FQ36" s="85">
        <v>12973.6930263893</v>
      </c>
      <c r="FR36" s="85">
        <v>20259.8533197229</v>
      </c>
      <c r="FS36" s="85">
        <v>614039.236595683</v>
      </c>
      <c r="FT36" s="85">
        <v>216328.766746412</v>
      </c>
      <c r="FU36" s="85">
        <v>1184802.6</v>
      </c>
      <c r="FV36" s="85">
        <v>213798.3</v>
      </c>
      <c r="FW36" s="85">
        <v>107116.86</v>
      </c>
      <c r="FX36" s="85">
        <v>56193.96</v>
      </c>
      <c r="FY36" s="85">
        <v>52108.8</v>
      </c>
      <c r="FZ36" s="85">
        <v>3256.8</v>
      </c>
      <c r="GA36" s="85">
        <v>3256.8</v>
      </c>
      <c r="GB36" s="152">
        <v>2506520.87245604</v>
      </c>
      <c r="GD36" s="153"/>
    </row>
    <row r="37" spans="1:186">
      <c r="A37" s="137" t="s">
        <v>99</v>
      </c>
      <c r="B37" s="151">
        <v>3320366.2540562</v>
      </c>
      <c r="C37" s="138">
        <f t="shared" si="11"/>
        <v>30388.3797503508</v>
      </c>
      <c r="D37" s="138">
        <f t="shared" si="0"/>
        <v>17946.6988866388</v>
      </c>
      <c r="E37" s="138">
        <f t="shared" si="1"/>
        <v>16330.2185891026</v>
      </c>
      <c r="F37" s="138">
        <f t="shared" si="2"/>
        <v>16694.0652191063</v>
      </c>
      <c r="G37" s="138">
        <f t="shared" si="3"/>
        <v>15175.9972518597</v>
      </c>
      <c r="H37" s="138">
        <f t="shared" si="4"/>
        <v>15417.8343649826</v>
      </c>
      <c r="I37" s="138">
        <f t="shared" si="5"/>
        <v>13144.2963815542</v>
      </c>
      <c r="J37" s="138">
        <f t="shared" si="6"/>
        <v>11275.9549466224</v>
      </c>
      <c r="K37" s="138">
        <f t="shared" si="7"/>
        <v>8028.67220413891</v>
      </c>
      <c r="L37" s="138">
        <f t="shared" si="8"/>
        <v>8028.67220413891</v>
      </c>
      <c r="M37" s="138">
        <f t="shared" si="9"/>
        <v>8028.67220413891</v>
      </c>
      <c r="N37" s="138">
        <f t="shared" si="10"/>
        <v>8028.67220413891</v>
      </c>
      <c r="O37" s="86">
        <f t="shared" si="12"/>
        <v>168488.134206773</v>
      </c>
      <c r="P37" s="138">
        <v>0</v>
      </c>
      <c r="Q37" s="138">
        <v>0</v>
      </c>
      <c r="R37" s="138">
        <v>0</v>
      </c>
      <c r="S37" s="138">
        <v>0</v>
      </c>
      <c r="T37" s="138">
        <v>0</v>
      </c>
      <c r="U37" s="138">
        <v>0</v>
      </c>
      <c r="V37" s="138">
        <v>0</v>
      </c>
      <c r="W37" s="138">
        <v>0</v>
      </c>
      <c r="X37" s="138">
        <v>0</v>
      </c>
      <c r="Y37" s="138">
        <v>0</v>
      </c>
      <c r="Z37" s="138">
        <v>0</v>
      </c>
      <c r="AA37" s="138">
        <v>0</v>
      </c>
      <c r="AB37" s="86">
        <v>0</v>
      </c>
      <c r="AC37" s="138">
        <v>0</v>
      </c>
      <c r="AD37" s="138">
        <v>0</v>
      </c>
      <c r="AE37" s="138">
        <v>0</v>
      </c>
      <c r="AF37" s="138">
        <v>0</v>
      </c>
      <c r="AG37" s="138">
        <v>0</v>
      </c>
      <c r="AH37" s="138">
        <v>0</v>
      </c>
      <c r="AI37" s="138">
        <v>0</v>
      </c>
      <c r="AJ37" s="138">
        <v>0</v>
      </c>
      <c r="AK37" s="138">
        <v>0</v>
      </c>
      <c r="AL37" s="138">
        <v>0</v>
      </c>
      <c r="AM37" s="138">
        <v>0</v>
      </c>
      <c r="AN37" s="138">
        <v>0</v>
      </c>
      <c r="AO37" s="86">
        <v>0</v>
      </c>
      <c r="AP37" s="138">
        <v>6336.92254032558</v>
      </c>
      <c r="AQ37" s="138">
        <v>4663.04757217427</v>
      </c>
      <c r="AR37" s="138">
        <v>4344.49159758942</v>
      </c>
      <c r="AS37" s="138">
        <v>4647.23276150231</v>
      </c>
      <c r="AT37" s="138">
        <v>3554.75960774337</v>
      </c>
      <c r="AU37" s="138">
        <v>3949.2661061489</v>
      </c>
      <c r="AV37" s="138">
        <v>3949.2661061489</v>
      </c>
      <c r="AW37" s="138">
        <v>3949.2661061489</v>
      </c>
      <c r="AX37" s="138">
        <v>3949.2661061489</v>
      </c>
      <c r="AY37" s="138">
        <v>3949.2661061489</v>
      </c>
      <c r="AZ37" s="138">
        <v>3949.2661061489</v>
      </c>
      <c r="BA37" s="138">
        <v>3949.2661061489</v>
      </c>
      <c r="BB37" s="86">
        <v>51191.3168223773</v>
      </c>
      <c r="BC37" s="138">
        <v>1738.4064119241</v>
      </c>
      <c r="BD37" s="138">
        <v>1983.52577277615</v>
      </c>
      <c r="BE37" s="138">
        <v>851.592130790269</v>
      </c>
      <c r="BF37" s="138">
        <v>339.450303781632</v>
      </c>
      <c r="BG37" s="138">
        <v>926.893959771593</v>
      </c>
      <c r="BH37" s="138">
        <v>1067.37776005171</v>
      </c>
      <c r="BI37" s="138">
        <v>1067.37776005171</v>
      </c>
      <c r="BJ37" s="138">
        <v>1067.37776005171</v>
      </c>
      <c r="BK37" s="138">
        <v>1067.37776005171</v>
      </c>
      <c r="BL37" s="138">
        <v>1067.37776005171</v>
      </c>
      <c r="BM37" s="138">
        <v>1067.37776005171</v>
      </c>
      <c r="BN37" s="138">
        <v>1067.37776005171</v>
      </c>
      <c r="BO37" s="86">
        <v>13311.5128994057</v>
      </c>
      <c r="BP37" s="138">
        <v>83.709652942061</v>
      </c>
      <c r="BQ37" s="138">
        <v>0</v>
      </c>
      <c r="BR37" s="138">
        <v>0</v>
      </c>
      <c r="BS37" s="138">
        <v>239.191257850213</v>
      </c>
      <c r="BT37" s="138">
        <v>393.824405259582</v>
      </c>
      <c r="BU37" s="138">
        <v>0</v>
      </c>
      <c r="BV37" s="138">
        <v>0</v>
      </c>
      <c r="BW37" s="138">
        <v>0</v>
      </c>
      <c r="BX37" s="138">
        <v>0</v>
      </c>
      <c r="BY37" s="138">
        <v>0</v>
      </c>
      <c r="BZ37" s="138">
        <v>0</v>
      </c>
      <c r="CA37" s="138">
        <v>0</v>
      </c>
      <c r="CB37" s="86">
        <v>716.725316051856</v>
      </c>
      <c r="CC37" s="138">
        <v>0</v>
      </c>
      <c r="CD37" s="138">
        <v>0</v>
      </c>
      <c r="CE37" s="138">
        <v>0</v>
      </c>
      <c r="CF37" s="138">
        <v>0</v>
      </c>
      <c r="CG37" s="138">
        <v>0</v>
      </c>
      <c r="CH37" s="138">
        <v>0</v>
      </c>
      <c r="CI37" s="138">
        <v>0</v>
      </c>
      <c r="CJ37" s="138">
        <v>0</v>
      </c>
      <c r="CK37" s="138">
        <v>0</v>
      </c>
      <c r="CL37" s="138">
        <v>0</v>
      </c>
      <c r="CM37" s="138">
        <v>0</v>
      </c>
      <c r="CN37" s="138">
        <v>0</v>
      </c>
      <c r="CO37" s="86">
        <v>0</v>
      </c>
      <c r="CP37" s="138">
        <v>0</v>
      </c>
      <c r="CQ37" s="138">
        <v>0</v>
      </c>
      <c r="CR37" s="138">
        <v>0</v>
      </c>
      <c r="CS37" s="138">
        <v>0</v>
      </c>
      <c r="CT37" s="138">
        <v>0</v>
      </c>
      <c r="CU37" s="138">
        <v>0</v>
      </c>
      <c r="CV37" s="138">
        <v>0</v>
      </c>
      <c r="CW37" s="138">
        <v>0</v>
      </c>
      <c r="CX37" s="138">
        <v>0</v>
      </c>
      <c r="CY37" s="138">
        <v>0</v>
      </c>
      <c r="CZ37" s="138">
        <v>0</v>
      </c>
      <c r="DA37" s="138">
        <v>0</v>
      </c>
      <c r="DB37" s="86">
        <v>0</v>
      </c>
      <c r="DC37" s="138">
        <v>1253.78465291638</v>
      </c>
      <c r="DD37" s="138">
        <v>4257.26393212539</v>
      </c>
      <c r="DE37" s="138">
        <v>3726.71305950104</v>
      </c>
      <c r="DF37" s="138">
        <v>3022.68593027382</v>
      </c>
      <c r="DG37" s="138">
        <v>2701.32597893261</v>
      </c>
      <c r="DH37" s="138">
        <v>1708.28501381492</v>
      </c>
      <c r="DI37" s="138">
        <v>1138.85667587661</v>
      </c>
      <c r="DJ37" s="138">
        <v>569.428337938306</v>
      </c>
      <c r="DK37" s="138">
        <v>569.428337938306</v>
      </c>
      <c r="DL37" s="138">
        <v>569.428337938306</v>
      </c>
      <c r="DM37" s="138">
        <v>569.428337938306</v>
      </c>
      <c r="DN37" s="138">
        <v>569.428337938306</v>
      </c>
      <c r="DO37" s="86">
        <v>20656.0569331323</v>
      </c>
      <c r="DP37" s="138">
        <v>18137.8829171572</v>
      </c>
      <c r="DQ37" s="138">
        <v>5155.23594343359</v>
      </c>
      <c r="DR37" s="138">
        <v>6460.21510965125</v>
      </c>
      <c r="DS37" s="138">
        <v>7383.36429674766</v>
      </c>
      <c r="DT37" s="138">
        <v>7496.61217698236</v>
      </c>
      <c r="DU37" s="138">
        <v>6494.56548496706</v>
      </c>
      <c r="DV37" s="138">
        <v>4546.19583947695</v>
      </c>
      <c r="DW37" s="138">
        <v>3247.28274248353</v>
      </c>
      <c r="DX37" s="138">
        <v>0</v>
      </c>
      <c r="DY37" s="138">
        <v>0</v>
      </c>
      <c r="DZ37" s="138">
        <v>0</v>
      </c>
      <c r="EA37" s="138">
        <v>0</v>
      </c>
      <c r="EB37" s="85">
        <v>58921.3545108997</v>
      </c>
      <c r="EC37" s="87">
        <v>0</v>
      </c>
      <c r="ED37" s="85">
        <v>0</v>
      </c>
      <c r="EE37" s="85">
        <v>0</v>
      </c>
      <c r="EF37" s="85">
        <v>0</v>
      </c>
      <c r="EG37" s="85">
        <v>0</v>
      </c>
      <c r="EH37" s="85">
        <v>0</v>
      </c>
      <c r="EI37" s="85">
        <v>0</v>
      </c>
      <c r="EJ37" s="85">
        <v>0</v>
      </c>
      <c r="EK37" s="85">
        <v>0</v>
      </c>
      <c r="EL37" s="85">
        <v>0</v>
      </c>
      <c r="EM37" s="85">
        <v>0</v>
      </c>
      <c r="EN37" s="85">
        <v>0</v>
      </c>
      <c r="EO37" s="152">
        <v>0</v>
      </c>
      <c r="EP37" s="85">
        <v>0</v>
      </c>
      <c r="EQ37" s="85">
        <v>0</v>
      </c>
      <c r="ER37" s="85">
        <v>0</v>
      </c>
      <c r="ES37" s="85">
        <v>0</v>
      </c>
      <c r="ET37" s="85">
        <v>0</v>
      </c>
      <c r="EU37" s="85">
        <v>0</v>
      </c>
      <c r="EV37" s="85">
        <v>0</v>
      </c>
      <c r="EW37" s="85">
        <v>0</v>
      </c>
      <c r="EX37" s="85">
        <v>0</v>
      </c>
      <c r="EY37" s="85">
        <v>0</v>
      </c>
      <c r="EZ37" s="85">
        <v>0</v>
      </c>
      <c r="FA37" s="85">
        <v>0</v>
      </c>
      <c r="FB37" s="85">
        <v>0</v>
      </c>
      <c r="FC37" s="87">
        <v>0</v>
      </c>
      <c r="FD37" s="85">
        <v>0</v>
      </c>
      <c r="FE37" s="85">
        <v>0</v>
      </c>
      <c r="FF37" s="85">
        <v>0</v>
      </c>
      <c r="FG37" s="85">
        <v>0</v>
      </c>
      <c r="FH37" s="85">
        <v>0</v>
      </c>
      <c r="FI37" s="85">
        <v>0</v>
      </c>
      <c r="FJ37" s="85">
        <v>0</v>
      </c>
      <c r="FK37" s="85">
        <v>0</v>
      </c>
      <c r="FL37" s="85">
        <v>0</v>
      </c>
      <c r="FM37" s="85">
        <v>0</v>
      </c>
      <c r="FN37" s="85">
        <v>0</v>
      </c>
      <c r="FO37" s="86">
        <v>0</v>
      </c>
      <c r="FP37" s="87">
        <v>2837.67357508547</v>
      </c>
      <c r="FQ37" s="85">
        <v>1887.62566612942</v>
      </c>
      <c r="FR37" s="85">
        <v>947.20669157063</v>
      </c>
      <c r="FS37" s="85">
        <v>1062.14066895063</v>
      </c>
      <c r="FT37" s="85">
        <v>102.581123170206</v>
      </c>
      <c r="FU37" s="85">
        <v>2198.34</v>
      </c>
      <c r="FV37" s="85">
        <v>2442.6</v>
      </c>
      <c r="FW37" s="85">
        <v>2442.6</v>
      </c>
      <c r="FX37" s="85">
        <v>2442.6</v>
      </c>
      <c r="FY37" s="85">
        <v>2442.6</v>
      </c>
      <c r="FZ37" s="85">
        <v>2442.6</v>
      </c>
      <c r="GA37" s="85">
        <v>2442.6</v>
      </c>
      <c r="GB37" s="152">
        <v>23691.1677249064</v>
      </c>
      <c r="GD37" s="153"/>
    </row>
    <row r="38" spans="1:186">
      <c r="A38" s="137" t="s">
        <v>101</v>
      </c>
      <c r="B38" s="151">
        <v>510.362894602435</v>
      </c>
      <c r="C38" s="138">
        <f t="shared" si="11"/>
        <v>0</v>
      </c>
      <c r="D38" s="138">
        <f t="shared" si="0"/>
        <v>0</v>
      </c>
      <c r="E38" s="138">
        <f t="shared" si="1"/>
        <v>0</v>
      </c>
      <c r="F38" s="138">
        <f t="shared" si="2"/>
        <v>28950.8469829647</v>
      </c>
      <c r="G38" s="138">
        <f t="shared" si="3"/>
        <v>0</v>
      </c>
      <c r="H38" s="138">
        <f t="shared" si="4"/>
        <v>0</v>
      </c>
      <c r="I38" s="138">
        <f t="shared" si="5"/>
        <v>0</v>
      </c>
      <c r="J38" s="138">
        <f t="shared" si="6"/>
        <v>0</v>
      </c>
      <c r="K38" s="138">
        <f t="shared" si="7"/>
        <v>0</v>
      </c>
      <c r="L38" s="138">
        <f t="shared" si="8"/>
        <v>0</v>
      </c>
      <c r="M38" s="138">
        <f t="shared" si="9"/>
        <v>0</v>
      </c>
      <c r="N38" s="138">
        <f t="shared" si="10"/>
        <v>0</v>
      </c>
      <c r="O38" s="86">
        <f t="shared" si="12"/>
        <v>28950.8469829647</v>
      </c>
      <c r="P38" s="138">
        <v>0</v>
      </c>
      <c r="Q38" s="138">
        <v>0</v>
      </c>
      <c r="R38" s="138">
        <v>0</v>
      </c>
      <c r="S38" s="138">
        <v>0</v>
      </c>
      <c r="T38" s="138">
        <v>0</v>
      </c>
      <c r="U38" s="138">
        <v>0</v>
      </c>
      <c r="V38" s="138">
        <v>0</v>
      </c>
      <c r="W38" s="138">
        <v>0</v>
      </c>
      <c r="X38" s="138">
        <v>0</v>
      </c>
      <c r="Y38" s="138">
        <v>0</v>
      </c>
      <c r="Z38" s="138">
        <v>0</v>
      </c>
      <c r="AA38" s="138">
        <v>0</v>
      </c>
      <c r="AB38" s="86">
        <v>0</v>
      </c>
      <c r="AC38" s="138">
        <v>0</v>
      </c>
      <c r="AD38" s="138">
        <v>0</v>
      </c>
      <c r="AE38" s="138">
        <v>0</v>
      </c>
      <c r="AF38" s="138">
        <v>0</v>
      </c>
      <c r="AG38" s="138">
        <v>0</v>
      </c>
      <c r="AH38" s="138">
        <v>0</v>
      </c>
      <c r="AI38" s="138">
        <v>0</v>
      </c>
      <c r="AJ38" s="138">
        <v>0</v>
      </c>
      <c r="AK38" s="138">
        <v>0</v>
      </c>
      <c r="AL38" s="138">
        <v>0</v>
      </c>
      <c r="AM38" s="138">
        <v>0</v>
      </c>
      <c r="AN38" s="138">
        <v>0</v>
      </c>
      <c r="AO38" s="86">
        <v>0</v>
      </c>
      <c r="AP38" s="138">
        <v>0</v>
      </c>
      <c r="AQ38" s="138">
        <v>0</v>
      </c>
      <c r="AR38" s="138">
        <v>0</v>
      </c>
      <c r="AS38" s="138">
        <v>0</v>
      </c>
      <c r="AT38" s="138">
        <v>0</v>
      </c>
      <c r="AU38" s="138">
        <v>0</v>
      </c>
      <c r="AV38" s="138">
        <v>0</v>
      </c>
      <c r="AW38" s="138">
        <v>0</v>
      </c>
      <c r="AX38" s="138">
        <v>0</v>
      </c>
      <c r="AY38" s="138">
        <v>0</v>
      </c>
      <c r="AZ38" s="138">
        <v>0</v>
      </c>
      <c r="BA38" s="138">
        <v>0</v>
      </c>
      <c r="BB38" s="86">
        <v>0</v>
      </c>
      <c r="BC38" s="138">
        <v>0</v>
      </c>
      <c r="BD38" s="138">
        <v>0</v>
      </c>
      <c r="BE38" s="138">
        <v>0</v>
      </c>
      <c r="BF38" s="138">
        <v>0</v>
      </c>
      <c r="BG38" s="138">
        <v>0</v>
      </c>
      <c r="BH38" s="138">
        <v>0</v>
      </c>
      <c r="BI38" s="138">
        <v>0</v>
      </c>
      <c r="BJ38" s="138">
        <v>0</v>
      </c>
      <c r="BK38" s="138">
        <v>0</v>
      </c>
      <c r="BL38" s="138">
        <v>0</v>
      </c>
      <c r="BM38" s="138">
        <v>0</v>
      </c>
      <c r="BN38" s="138">
        <v>0</v>
      </c>
      <c r="BO38" s="86">
        <v>0</v>
      </c>
      <c r="BP38" s="138">
        <v>0</v>
      </c>
      <c r="BQ38" s="138">
        <v>0</v>
      </c>
      <c r="BR38" s="138">
        <v>0</v>
      </c>
      <c r="BS38" s="138">
        <v>0</v>
      </c>
      <c r="BT38" s="138">
        <v>0</v>
      </c>
      <c r="BU38" s="138">
        <v>0</v>
      </c>
      <c r="BV38" s="138">
        <v>0</v>
      </c>
      <c r="BW38" s="138">
        <v>0</v>
      </c>
      <c r="BX38" s="138">
        <v>0</v>
      </c>
      <c r="BY38" s="138">
        <v>0</v>
      </c>
      <c r="BZ38" s="138">
        <v>0</v>
      </c>
      <c r="CA38" s="138">
        <v>0</v>
      </c>
      <c r="CB38" s="86">
        <v>0</v>
      </c>
      <c r="CC38" s="138">
        <v>0</v>
      </c>
      <c r="CD38" s="138">
        <v>0</v>
      </c>
      <c r="CE38" s="138">
        <v>0</v>
      </c>
      <c r="CF38" s="138">
        <v>0</v>
      </c>
      <c r="CG38" s="138">
        <v>0</v>
      </c>
      <c r="CH38" s="138">
        <v>0</v>
      </c>
      <c r="CI38" s="138">
        <v>0</v>
      </c>
      <c r="CJ38" s="138">
        <v>0</v>
      </c>
      <c r="CK38" s="138">
        <v>0</v>
      </c>
      <c r="CL38" s="138">
        <v>0</v>
      </c>
      <c r="CM38" s="138">
        <v>0</v>
      </c>
      <c r="CN38" s="138">
        <v>0</v>
      </c>
      <c r="CO38" s="86">
        <v>0</v>
      </c>
      <c r="CP38" s="138">
        <v>0</v>
      </c>
      <c r="CQ38" s="138">
        <v>0</v>
      </c>
      <c r="CR38" s="138">
        <v>0</v>
      </c>
      <c r="CS38" s="138">
        <v>0</v>
      </c>
      <c r="CT38" s="138">
        <v>0</v>
      </c>
      <c r="CU38" s="138">
        <v>0</v>
      </c>
      <c r="CV38" s="138">
        <v>0</v>
      </c>
      <c r="CW38" s="138">
        <v>0</v>
      </c>
      <c r="CX38" s="138">
        <v>0</v>
      </c>
      <c r="CY38" s="138">
        <v>0</v>
      </c>
      <c r="CZ38" s="138">
        <v>0</v>
      </c>
      <c r="DA38" s="138">
        <v>0</v>
      </c>
      <c r="DB38" s="86">
        <v>0</v>
      </c>
      <c r="DC38" s="138">
        <v>0</v>
      </c>
      <c r="DD38" s="138">
        <v>0</v>
      </c>
      <c r="DE38" s="138">
        <v>0</v>
      </c>
      <c r="DF38" s="138">
        <v>0</v>
      </c>
      <c r="DG38" s="138">
        <v>0</v>
      </c>
      <c r="DH38" s="138">
        <v>0</v>
      </c>
      <c r="DI38" s="138">
        <v>0</v>
      </c>
      <c r="DJ38" s="138">
        <v>0</v>
      </c>
      <c r="DK38" s="138">
        <v>0</v>
      </c>
      <c r="DL38" s="138">
        <v>0</v>
      </c>
      <c r="DM38" s="138">
        <v>0</v>
      </c>
      <c r="DN38" s="138">
        <v>0</v>
      </c>
      <c r="DO38" s="86">
        <v>0</v>
      </c>
      <c r="DP38" s="138">
        <v>0</v>
      </c>
      <c r="DQ38" s="138">
        <v>0</v>
      </c>
      <c r="DR38" s="138">
        <v>0</v>
      </c>
      <c r="DS38" s="138">
        <v>0</v>
      </c>
      <c r="DT38" s="138">
        <v>0</v>
      </c>
      <c r="DU38" s="138">
        <v>0</v>
      </c>
      <c r="DV38" s="138">
        <v>0</v>
      </c>
      <c r="DW38" s="138">
        <v>0</v>
      </c>
      <c r="DX38" s="138">
        <v>0</v>
      </c>
      <c r="DY38" s="138">
        <v>0</v>
      </c>
      <c r="DZ38" s="138">
        <v>0</v>
      </c>
      <c r="EA38" s="138">
        <v>0</v>
      </c>
      <c r="EB38" s="85">
        <v>0</v>
      </c>
      <c r="EC38" s="87">
        <v>0</v>
      </c>
      <c r="ED38" s="85">
        <v>0</v>
      </c>
      <c r="EE38" s="85">
        <v>0</v>
      </c>
      <c r="EF38" s="85">
        <v>0</v>
      </c>
      <c r="EG38" s="85">
        <v>0</v>
      </c>
      <c r="EH38" s="85">
        <v>0</v>
      </c>
      <c r="EI38" s="85">
        <v>0</v>
      </c>
      <c r="EJ38" s="85">
        <v>0</v>
      </c>
      <c r="EK38" s="85">
        <v>0</v>
      </c>
      <c r="EL38" s="85">
        <v>0</v>
      </c>
      <c r="EM38" s="85">
        <v>0</v>
      </c>
      <c r="EN38" s="85">
        <v>0</v>
      </c>
      <c r="EO38" s="152">
        <v>0</v>
      </c>
      <c r="EP38" s="85">
        <v>0</v>
      </c>
      <c r="EQ38" s="85">
        <v>0</v>
      </c>
      <c r="ER38" s="85">
        <v>0</v>
      </c>
      <c r="ES38" s="85">
        <v>0</v>
      </c>
      <c r="ET38" s="85">
        <v>0</v>
      </c>
      <c r="EU38" s="85">
        <v>0</v>
      </c>
      <c r="EV38" s="85">
        <v>0</v>
      </c>
      <c r="EW38" s="85">
        <v>0</v>
      </c>
      <c r="EX38" s="85">
        <v>0</v>
      </c>
      <c r="EY38" s="85">
        <v>0</v>
      </c>
      <c r="EZ38" s="85">
        <v>0</v>
      </c>
      <c r="FA38" s="85">
        <v>0</v>
      </c>
      <c r="FB38" s="85">
        <v>0</v>
      </c>
      <c r="FC38" s="87">
        <v>0</v>
      </c>
      <c r="FD38" s="85">
        <v>0</v>
      </c>
      <c r="FE38" s="85">
        <v>0</v>
      </c>
      <c r="FF38" s="85">
        <v>0</v>
      </c>
      <c r="FG38" s="85">
        <v>0</v>
      </c>
      <c r="FH38" s="85">
        <v>0</v>
      </c>
      <c r="FI38" s="85">
        <v>0</v>
      </c>
      <c r="FJ38" s="85">
        <v>0</v>
      </c>
      <c r="FK38" s="85">
        <v>0</v>
      </c>
      <c r="FL38" s="85">
        <v>0</v>
      </c>
      <c r="FM38" s="85">
        <v>0</v>
      </c>
      <c r="FN38" s="85">
        <v>0</v>
      </c>
      <c r="FO38" s="86">
        <v>0</v>
      </c>
      <c r="FP38" s="87">
        <v>0</v>
      </c>
      <c r="FQ38" s="85">
        <v>0</v>
      </c>
      <c r="FR38" s="85">
        <v>0</v>
      </c>
      <c r="FS38" s="85">
        <v>28950.8469829647</v>
      </c>
      <c r="FT38" s="85">
        <v>0</v>
      </c>
      <c r="FU38" s="85">
        <v>0</v>
      </c>
      <c r="FV38" s="85">
        <v>0</v>
      </c>
      <c r="FW38" s="85">
        <v>0</v>
      </c>
      <c r="FX38" s="85">
        <v>0</v>
      </c>
      <c r="FY38" s="85">
        <v>0</v>
      </c>
      <c r="FZ38" s="85">
        <v>0</v>
      </c>
      <c r="GA38" s="85">
        <v>0</v>
      </c>
      <c r="GB38" s="152">
        <v>28950.8469829647</v>
      </c>
      <c r="GD38" s="153"/>
    </row>
    <row r="39" spans="1:186">
      <c r="A39" s="137" t="s">
        <v>103</v>
      </c>
      <c r="B39" s="151">
        <v>9913205.23579398</v>
      </c>
      <c r="C39" s="138">
        <f t="shared" si="11"/>
        <v>1071020.76247189</v>
      </c>
      <c r="D39" s="138">
        <f t="shared" si="0"/>
        <v>1112779.20901569</v>
      </c>
      <c r="E39" s="138">
        <f t="shared" si="1"/>
        <v>907389.243074198</v>
      </c>
      <c r="F39" s="138">
        <f t="shared" si="2"/>
        <v>707706.343267767</v>
      </c>
      <c r="G39" s="138">
        <f t="shared" si="3"/>
        <v>626424.896335793</v>
      </c>
      <c r="H39" s="138">
        <f t="shared" si="4"/>
        <v>489382.849057734</v>
      </c>
      <c r="I39" s="138">
        <f t="shared" si="5"/>
        <v>243277.3663233</v>
      </c>
      <c r="J39" s="138">
        <f t="shared" si="6"/>
        <v>80296.4434880669</v>
      </c>
      <c r="K39" s="138">
        <f t="shared" si="7"/>
        <v>59542.5738003032</v>
      </c>
      <c r="L39" s="138">
        <f t="shared" si="8"/>
        <v>32568</v>
      </c>
      <c r="M39" s="138">
        <f t="shared" si="9"/>
        <v>32568</v>
      </c>
      <c r="N39" s="138">
        <f t="shared" si="10"/>
        <v>32568</v>
      </c>
      <c r="O39" s="86">
        <f t="shared" si="12"/>
        <v>5395523.68683474</v>
      </c>
      <c r="P39" s="138">
        <v>0</v>
      </c>
      <c r="Q39" s="138">
        <v>0</v>
      </c>
      <c r="R39" s="138">
        <v>0</v>
      </c>
      <c r="S39" s="138">
        <v>0</v>
      </c>
      <c r="T39" s="138">
        <v>0</v>
      </c>
      <c r="U39" s="138">
        <v>0</v>
      </c>
      <c r="V39" s="138">
        <v>0</v>
      </c>
      <c r="W39" s="138">
        <v>0</v>
      </c>
      <c r="X39" s="138">
        <v>0</v>
      </c>
      <c r="Y39" s="138">
        <v>0</v>
      </c>
      <c r="Z39" s="138">
        <v>0</v>
      </c>
      <c r="AA39" s="138">
        <v>0</v>
      </c>
      <c r="AB39" s="86">
        <v>0</v>
      </c>
      <c r="AC39" s="138">
        <v>323765.255414682</v>
      </c>
      <c r="AD39" s="138">
        <v>367601.950296447</v>
      </c>
      <c r="AE39" s="138">
        <v>459722.661383254</v>
      </c>
      <c r="AF39" s="138">
        <v>397125.670047191</v>
      </c>
      <c r="AG39" s="138">
        <v>407134.436925152</v>
      </c>
      <c r="AH39" s="138">
        <v>282389.577113754</v>
      </c>
      <c r="AI39" s="138">
        <v>141194.788556877</v>
      </c>
      <c r="AJ39" s="138">
        <v>0</v>
      </c>
      <c r="AK39" s="138">
        <v>0</v>
      </c>
      <c r="AL39" s="138">
        <v>0</v>
      </c>
      <c r="AM39" s="138">
        <v>0</v>
      </c>
      <c r="AN39" s="138">
        <v>0</v>
      </c>
      <c r="AO39" s="86">
        <v>2378934.33973736</v>
      </c>
      <c r="AP39" s="138">
        <v>182870.513013535</v>
      </c>
      <c r="AQ39" s="138">
        <v>30478.8993761541</v>
      </c>
      <c r="AR39" s="138">
        <v>231.413620773466</v>
      </c>
      <c r="AS39" s="138">
        <v>0</v>
      </c>
      <c r="AT39" s="138">
        <v>0</v>
      </c>
      <c r="AU39" s="138">
        <v>0</v>
      </c>
      <c r="AV39" s="138">
        <v>0</v>
      </c>
      <c r="AW39" s="138">
        <v>0</v>
      </c>
      <c r="AX39" s="138">
        <v>0</v>
      </c>
      <c r="AY39" s="138">
        <v>0</v>
      </c>
      <c r="AZ39" s="138">
        <v>0</v>
      </c>
      <c r="BA39" s="138">
        <v>0</v>
      </c>
      <c r="BB39" s="86">
        <v>213580.826010463</v>
      </c>
      <c r="BC39" s="138">
        <v>118463.474710186</v>
      </c>
      <c r="BD39" s="138">
        <v>55190.6945709248</v>
      </c>
      <c r="BE39" s="138">
        <v>44025.2922631305</v>
      </c>
      <c r="BF39" s="138">
        <v>21384.202382872</v>
      </c>
      <c r="BG39" s="138">
        <v>17935.8237311693</v>
      </c>
      <c r="BH39" s="138">
        <v>21347.5552010341</v>
      </c>
      <c r="BI39" s="138">
        <v>21347.5552010341</v>
      </c>
      <c r="BJ39" s="138">
        <v>21347.5552010341</v>
      </c>
      <c r="BK39" s="138">
        <v>0</v>
      </c>
      <c r="BL39" s="138">
        <v>0</v>
      </c>
      <c r="BM39" s="138">
        <v>0</v>
      </c>
      <c r="BN39" s="138">
        <v>0</v>
      </c>
      <c r="BO39" s="86">
        <v>321042.153261385</v>
      </c>
      <c r="BP39" s="138">
        <v>58680.5640809453</v>
      </c>
      <c r="BQ39" s="138">
        <v>224671.090955076</v>
      </c>
      <c r="BR39" s="138">
        <v>72738.4347370015</v>
      </c>
      <c r="BS39" s="138">
        <v>71916.9580188832</v>
      </c>
      <c r="BT39" s="138">
        <v>5434.76413928773</v>
      </c>
      <c r="BU39" s="138">
        <v>0</v>
      </c>
      <c r="BV39" s="138">
        <v>0</v>
      </c>
      <c r="BW39" s="138">
        <v>0</v>
      </c>
      <c r="BX39" s="138">
        <v>0</v>
      </c>
      <c r="BY39" s="138">
        <v>0</v>
      </c>
      <c r="BZ39" s="138">
        <v>0</v>
      </c>
      <c r="CA39" s="138">
        <v>0</v>
      </c>
      <c r="CB39" s="86">
        <v>433441.811931193</v>
      </c>
      <c r="CC39" s="138">
        <v>18001.4299086875</v>
      </c>
      <c r="CD39" s="138">
        <v>7543.44947323762</v>
      </c>
      <c r="CE39" s="138">
        <v>15910.8742156101</v>
      </c>
      <c r="CF39" s="138">
        <v>26327.104296961</v>
      </c>
      <c r="CG39" s="138">
        <v>28517.7302110305</v>
      </c>
      <c r="CH39" s="138">
        <v>14428.8760027683</v>
      </c>
      <c r="CI39" s="138">
        <v>12371.3496518952</v>
      </c>
      <c r="CJ39" s="138">
        <v>10096.8882870328</v>
      </c>
      <c r="CK39" s="138">
        <v>10690.5738003032</v>
      </c>
      <c r="CL39" s="138">
        <v>0</v>
      </c>
      <c r="CM39" s="138">
        <v>0</v>
      </c>
      <c r="CN39" s="138">
        <v>0</v>
      </c>
      <c r="CO39" s="86">
        <v>143888.275847526</v>
      </c>
      <c r="CP39" s="138">
        <v>170903.146277848</v>
      </c>
      <c r="CQ39" s="138">
        <v>243035.578639774</v>
      </c>
      <c r="CR39" s="138">
        <v>187577.293972394</v>
      </c>
      <c r="CS39" s="138">
        <v>118595.363687558</v>
      </c>
      <c r="CT39" s="138">
        <v>120412.882731965</v>
      </c>
      <c r="CU39" s="138">
        <v>127250.040740178</v>
      </c>
      <c r="CV39" s="138">
        <v>19511.672913494</v>
      </c>
      <c r="CW39" s="138">
        <v>0</v>
      </c>
      <c r="CX39" s="138">
        <v>0</v>
      </c>
      <c r="CY39" s="138">
        <v>0</v>
      </c>
      <c r="CZ39" s="138">
        <v>0</v>
      </c>
      <c r="DA39" s="138">
        <v>0</v>
      </c>
      <c r="DB39" s="86">
        <v>987285.978963211</v>
      </c>
      <c r="DC39" s="138">
        <v>0</v>
      </c>
      <c r="DD39" s="138">
        <v>0</v>
      </c>
      <c r="DE39" s="138">
        <v>0</v>
      </c>
      <c r="DF39" s="138">
        <v>0</v>
      </c>
      <c r="DG39" s="138">
        <v>0</v>
      </c>
      <c r="DH39" s="138">
        <v>0</v>
      </c>
      <c r="DI39" s="138">
        <v>0</v>
      </c>
      <c r="DJ39" s="138">
        <v>0</v>
      </c>
      <c r="DK39" s="138">
        <v>0</v>
      </c>
      <c r="DL39" s="138">
        <v>0</v>
      </c>
      <c r="DM39" s="138">
        <v>0</v>
      </c>
      <c r="DN39" s="138">
        <v>0</v>
      </c>
      <c r="DO39" s="86">
        <v>0</v>
      </c>
      <c r="DP39" s="138">
        <v>0</v>
      </c>
      <c r="DQ39" s="138">
        <v>0</v>
      </c>
      <c r="DR39" s="138">
        <v>0</v>
      </c>
      <c r="DS39" s="138">
        <v>0</v>
      </c>
      <c r="DT39" s="138">
        <v>0</v>
      </c>
      <c r="DU39" s="138">
        <v>0</v>
      </c>
      <c r="DV39" s="138">
        <v>0</v>
      </c>
      <c r="DW39" s="138">
        <v>0</v>
      </c>
      <c r="DX39" s="138">
        <v>0</v>
      </c>
      <c r="DY39" s="138">
        <v>0</v>
      </c>
      <c r="DZ39" s="138">
        <v>0</v>
      </c>
      <c r="EA39" s="138">
        <v>0</v>
      </c>
      <c r="EB39" s="85">
        <v>0</v>
      </c>
      <c r="EC39" s="87">
        <v>0</v>
      </c>
      <c r="ED39" s="85">
        <v>0</v>
      </c>
      <c r="EE39" s="85">
        <v>0</v>
      </c>
      <c r="EF39" s="85">
        <v>0</v>
      </c>
      <c r="EG39" s="85">
        <v>0</v>
      </c>
      <c r="EH39" s="85">
        <v>0</v>
      </c>
      <c r="EI39" s="85">
        <v>0</v>
      </c>
      <c r="EJ39" s="85">
        <v>0</v>
      </c>
      <c r="EK39" s="85">
        <v>0</v>
      </c>
      <c r="EL39" s="85">
        <v>0</v>
      </c>
      <c r="EM39" s="85">
        <v>0</v>
      </c>
      <c r="EN39" s="85">
        <v>0</v>
      </c>
      <c r="EO39" s="152">
        <v>0</v>
      </c>
      <c r="EP39" s="85">
        <v>8566.0443635668</v>
      </c>
      <c r="EQ39" s="85">
        <v>17034.3878885326</v>
      </c>
      <c r="ER39" s="85">
        <v>19055.0999054441</v>
      </c>
      <c r="ES39" s="85">
        <v>12890.9374274326</v>
      </c>
      <c r="ET39" s="85">
        <v>2640.32261783332</v>
      </c>
      <c r="EU39" s="85">
        <v>0</v>
      </c>
      <c r="EV39" s="85">
        <v>0</v>
      </c>
      <c r="EW39" s="85">
        <v>0</v>
      </c>
      <c r="EX39" s="85">
        <v>0</v>
      </c>
      <c r="EY39" s="85">
        <v>0</v>
      </c>
      <c r="EZ39" s="85">
        <v>0</v>
      </c>
      <c r="FA39" s="85">
        <v>0</v>
      </c>
      <c r="FB39" s="85">
        <v>60186.7922028095</v>
      </c>
      <c r="FC39" s="87">
        <v>0</v>
      </c>
      <c r="FD39" s="85">
        <v>0</v>
      </c>
      <c r="FE39" s="85">
        <v>0</v>
      </c>
      <c r="FF39" s="85">
        <v>0</v>
      </c>
      <c r="FG39" s="85">
        <v>0</v>
      </c>
      <c r="FH39" s="85">
        <v>0</v>
      </c>
      <c r="FI39" s="85">
        <v>0</v>
      </c>
      <c r="FJ39" s="85">
        <v>0</v>
      </c>
      <c r="FK39" s="85">
        <v>0</v>
      </c>
      <c r="FL39" s="85">
        <v>0</v>
      </c>
      <c r="FM39" s="85">
        <v>0</v>
      </c>
      <c r="FN39" s="85">
        <v>0</v>
      </c>
      <c r="FO39" s="86">
        <v>0</v>
      </c>
      <c r="FP39" s="87">
        <v>189770.334702442</v>
      </c>
      <c r="FQ39" s="85">
        <v>167223.157815541</v>
      </c>
      <c r="FR39" s="85">
        <v>108128.172976591</v>
      </c>
      <c r="FS39" s="85">
        <v>59466.1074068696</v>
      </c>
      <c r="FT39" s="85">
        <v>44348.9359793545</v>
      </c>
      <c r="FU39" s="85">
        <v>43966.8</v>
      </c>
      <c r="FV39" s="85">
        <v>48852</v>
      </c>
      <c r="FW39" s="85">
        <v>48852</v>
      </c>
      <c r="FX39" s="85">
        <v>48852</v>
      </c>
      <c r="FY39" s="85">
        <v>32568</v>
      </c>
      <c r="FZ39" s="85">
        <v>32568</v>
      </c>
      <c r="GA39" s="85">
        <v>32568</v>
      </c>
      <c r="GB39" s="152">
        <v>857163.508880798</v>
      </c>
      <c r="GD39" s="153"/>
    </row>
    <row r="40" spans="1:186">
      <c r="A40" s="137" t="s">
        <v>105</v>
      </c>
      <c r="B40" s="151">
        <v>11408395.8152336</v>
      </c>
      <c r="C40" s="138">
        <f t="shared" si="11"/>
        <v>513403.794030619</v>
      </c>
      <c r="D40" s="138">
        <f t="shared" si="0"/>
        <v>285547.080567864</v>
      </c>
      <c r="E40" s="138">
        <f t="shared" si="1"/>
        <v>208203.564289616</v>
      </c>
      <c r="F40" s="138">
        <f t="shared" si="2"/>
        <v>171244.885904399</v>
      </c>
      <c r="G40" s="138">
        <f t="shared" si="3"/>
        <v>111640.958259128</v>
      </c>
      <c r="H40" s="138">
        <f t="shared" si="4"/>
        <v>84081.026696238</v>
      </c>
      <c r="I40" s="138">
        <f t="shared" si="5"/>
        <v>81551.5871728244</v>
      </c>
      <c r="J40" s="138">
        <f t="shared" si="6"/>
        <v>78506.223606417</v>
      </c>
      <c r="K40" s="138">
        <f t="shared" si="7"/>
        <v>69345.2100428193</v>
      </c>
      <c r="L40" s="138">
        <f t="shared" si="8"/>
        <v>70865.7240334901</v>
      </c>
      <c r="M40" s="138">
        <f t="shared" si="9"/>
        <v>67253.2277066615</v>
      </c>
      <c r="N40" s="138">
        <f t="shared" si="10"/>
        <v>67253.2277066615</v>
      </c>
      <c r="O40" s="86">
        <f t="shared" si="12"/>
        <v>1808896.51001674</v>
      </c>
      <c r="P40" s="138">
        <v>34874.2790170608</v>
      </c>
      <c r="Q40" s="138">
        <v>32279.6953096555</v>
      </c>
      <c r="R40" s="138">
        <v>59297.4199698415</v>
      </c>
      <c r="S40" s="138">
        <v>60374.3186285728</v>
      </c>
      <c r="T40" s="138">
        <v>43511.2657752155</v>
      </c>
      <c r="U40" s="138">
        <v>38855.1281522601</v>
      </c>
      <c r="V40" s="138">
        <v>38752.5970946842</v>
      </c>
      <c r="W40" s="138">
        <v>38752.5970946842</v>
      </c>
      <c r="X40" s="138">
        <v>34098.3084810889</v>
      </c>
      <c r="Y40" s="138">
        <v>34098.3084810889</v>
      </c>
      <c r="Z40" s="138">
        <v>34098.3084810889</v>
      </c>
      <c r="AA40" s="138">
        <v>34098.3084810889</v>
      </c>
      <c r="AB40" s="86">
        <v>483090.53496633</v>
      </c>
      <c r="AC40" s="138">
        <v>2525.84341686641</v>
      </c>
      <c r="AD40" s="138">
        <v>1213.50974543356</v>
      </c>
      <c r="AE40" s="138">
        <v>929.11077246682</v>
      </c>
      <c r="AF40" s="138">
        <v>1561.84051680328</v>
      </c>
      <c r="AG40" s="138">
        <v>76.3099176009839</v>
      </c>
      <c r="AH40" s="138">
        <v>0</v>
      </c>
      <c r="AI40" s="138">
        <v>0</v>
      </c>
      <c r="AJ40" s="138">
        <v>0</v>
      </c>
      <c r="AK40" s="138">
        <v>0</v>
      </c>
      <c r="AL40" s="138">
        <v>0</v>
      </c>
      <c r="AM40" s="138">
        <v>0</v>
      </c>
      <c r="AN40" s="138">
        <v>0</v>
      </c>
      <c r="AO40" s="86">
        <v>6306.61436917105</v>
      </c>
      <c r="AP40" s="138">
        <v>1708.76705657325</v>
      </c>
      <c r="AQ40" s="138">
        <v>2321.83156157937</v>
      </c>
      <c r="AR40" s="138">
        <v>1898.36419591896</v>
      </c>
      <c r="AS40" s="138">
        <v>1178.06362859662</v>
      </c>
      <c r="AT40" s="138">
        <v>528.341173827082</v>
      </c>
      <c r="AU40" s="138">
        <v>0</v>
      </c>
      <c r="AV40" s="138">
        <v>0</v>
      </c>
      <c r="AW40" s="138">
        <v>0</v>
      </c>
      <c r="AX40" s="138">
        <v>0</v>
      </c>
      <c r="AY40" s="138">
        <v>0</v>
      </c>
      <c r="AZ40" s="138">
        <v>0</v>
      </c>
      <c r="BA40" s="138">
        <v>0</v>
      </c>
      <c r="BB40" s="86">
        <v>7635.36761649529</v>
      </c>
      <c r="BC40" s="138">
        <v>14140.7999584777</v>
      </c>
      <c r="BD40" s="138">
        <v>12960.1145073084</v>
      </c>
      <c r="BE40" s="138">
        <v>2318.9125021202</v>
      </c>
      <c r="BF40" s="138">
        <v>673.354575298878</v>
      </c>
      <c r="BG40" s="138">
        <v>748.236982567928</v>
      </c>
      <c r="BH40" s="138">
        <v>611.035094522354</v>
      </c>
      <c r="BI40" s="138">
        <v>611.035094522354</v>
      </c>
      <c r="BJ40" s="138">
        <v>611.035094522354</v>
      </c>
      <c r="BK40" s="138">
        <v>0</v>
      </c>
      <c r="BL40" s="138">
        <v>0</v>
      </c>
      <c r="BM40" s="138">
        <v>0</v>
      </c>
      <c r="BN40" s="138">
        <v>0</v>
      </c>
      <c r="BO40" s="86">
        <v>32674.5238093402</v>
      </c>
      <c r="BP40" s="138">
        <v>91290.2713828789</v>
      </c>
      <c r="BQ40" s="138">
        <v>69891.3349723588</v>
      </c>
      <c r="BR40" s="138">
        <v>53940.7272274133</v>
      </c>
      <c r="BS40" s="138">
        <v>46533.3931542211</v>
      </c>
      <c r="BT40" s="138">
        <v>42860.55025053</v>
      </c>
      <c r="BU40" s="138">
        <v>24103.7184292911</v>
      </c>
      <c r="BV40" s="138">
        <v>23702.3299485324</v>
      </c>
      <c r="BW40" s="138">
        <v>24464.287742515</v>
      </c>
      <c r="BX40" s="138">
        <v>24284.0030859031</v>
      </c>
      <c r="BY40" s="138">
        <v>25804.5170765739</v>
      </c>
      <c r="BZ40" s="138">
        <v>22192.0207497453</v>
      </c>
      <c r="CA40" s="138">
        <v>22192.0207497453</v>
      </c>
      <c r="CB40" s="86">
        <v>471259.174769708</v>
      </c>
      <c r="CC40" s="138">
        <v>3814.20611230329</v>
      </c>
      <c r="CD40" s="138">
        <v>2788.27073140187</v>
      </c>
      <c r="CE40" s="138">
        <v>3735.38310097826</v>
      </c>
      <c r="CF40" s="138">
        <v>2028.47281707164</v>
      </c>
      <c r="CG40" s="138">
        <v>1549.23236801425</v>
      </c>
      <c r="CH40" s="138">
        <v>0</v>
      </c>
      <c r="CI40" s="138">
        <v>0</v>
      </c>
      <c r="CJ40" s="138">
        <v>0</v>
      </c>
      <c r="CK40" s="138">
        <v>0</v>
      </c>
      <c r="CL40" s="138">
        <v>0</v>
      </c>
      <c r="CM40" s="138">
        <v>0</v>
      </c>
      <c r="CN40" s="138">
        <v>0</v>
      </c>
      <c r="CO40" s="86">
        <v>13915.5651297693</v>
      </c>
      <c r="CP40" s="138">
        <v>0</v>
      </c>
      <c r="CQ40" s="138">
        <v>0</v>
      </c>
      <c r="CR40" s="138">
        <v>0</v>
      </c>
      <c r="CS40" s="138">
        <v>0</v>
      </c>
      <c r="CT40" s="138">
        <v>0</v>
      </c>
      <c r="CU40" s="138">
        <v>0</v>
      </c>
      <c r="CV40" s="138">
        <v>0</v>
      </c>
      <c r="CW40" s="138">
        <v>0</v>
      </c>
      <c r="CX40" s="138">
        <v>0</v>
      </c>
      <c r="CY40" s="138">
        <v>0</v>
      </c>
      <c r="CZ40" s="138">
        <v>0</v>
      </c>
      <c r="DA40" s="138">
        <v>0</v>
      </c>
      <c r="DB40" s="86">
        <v>0</v>
      </c>
      <c r="DC40" s="138">
        <v>15125.3072301394</v>
      </c>
      <c r="DD40" s="138">
        <v>10250.2484271748</v>
      </c>
      <c r="DE40" s="138">
        <v>4785.89139923625</v>
      </c>
      <c r="DF40" s="138">
        <v>1979.35494773359</v>
      </c>
      <c r="DG40" s="138">
        <v>2790.43152593131</v>
      </c>
      <c r="DH40" s="138">
        <v>1411.19196793406</v>
      </c>
      <c r="DI40" s="138">
        <v>1411.19196793406</v>
      </c>
      <c r="DJ40" s="138">
        <v>1411.19196793406</v>
      </c>
      <c r="DK40" s="138">
        <v>1192.49847582732</v>
      </c>
      <c r="DL40" s="138">
        <v>1192.49847582732</v>
      </c>
      <c r="DM40" s="138">
        <v>1192.49847582732</v>
      </c>
      <c r="DN40" s="138">
        <v>1192.49847582732</v>
      </c>
      <c r="DO40" s="86">
        <v>43934.8033373267</v>
      </c>
      <c r="DP40" s="138">
        <v>335667.574488636</v>
      </c>
      <c r="DQ40" s="138">
        <v>121211.896298331</v>
      </c>
      <c r="DR40" s="138">
        <v>67820.7890014802</v>
      </c>
      <c r="DS40" s="138">
        <v>35233.2596610915</v>
      </c>
      <c r="DT40" s="138">
        <v>10017.8258136674</v>
      </c>
      <c r="DU40" s="138">
        <v>10306.5930522303</v>
      </c>
      <c r="DV40" s="138">
        <v>7304.03306715137</v>
      </c>
      <c r="DW40" s="138">
        <v>3496.71170676125</v>
      </c>
      <c r="DX40" s="138">
        <v>0</v>
      </c>
      <c r="DY40" s="138">
        <v>0</v>
      </c>
      <c r="DZ40" s="138">
        <v>0</v>
      </c>
      <c r="EA40" s="138">
        <v>0</v>
      </c>
      <c r="EB40" s="85">
        <v>591058.68308935</v>
      </c>
      <c r="EC40" s="87">
        <v>0</v>
      </c>
      <c r="ED40" s="85">
        <v>0</v>
      </c>
      <c r="EE40" s="85">
        <v>0</v>
      </c>
      <c r="EF40" s="85">
        <v>0</v>
      </c>
      <c r="EG40" s="85">
        <v>0</v>
      </c>
      <c r="EH40" s="85">
        <v>0</v>
      </c>
      <c r="EI40" s="85">
        <v>0</v>
      </c>
      <c r="EJ40" s="85">
        <v>0</v>
      </c>
      <c r="EK40" s="85">
        <v>0</v>
      </c>
      <c r="EL40" s="85">
        <v>0</v>
      </c>
      <c r="EM40" s="85">
        <v>0</v>
      </c>
      <c r="EN40" s="85">
        <v>0</v>
      </c>
      <c r="EO40" s="152">
        <v>0</v>
      </c>
      <c r="EP40" s="85">
        <v>0</v>
      </c>
      <c r="EQ40" s="85">
        <v>7730.51645229161</v>
      </c>
      <c r="ER40" s="85">
        <v>0</v>
      </c>
      <c r="ES40" s="85">
        <v>0</v>
      </c>
      <c r="ET40" s="85">
        <v>0</v>
      </c>
      <c r="EU40" s="85">
        <v>0</v>
      </c>
      <c r="EV40" s="85">
        <v>0</v>
      </c>
      <c r="EW40" s="85">
        <v>0</v>
      </c>
      <c r="EX40" s="85">
        <v>0</v>
      </c>
      <c r="EY40" s="85">
        <v>0</v>
      </c>
      <c r="EZ40" s="85">
        <v>0</v>
      </c>
      <c r="FA40" s="85">
        <v>0</v>
      </c>
      <c r="FB40" s="85">
        <v>7730.51645229161</v>
      </c>
      <c r="FC40" s="87">
        <v>0</v>
      </c>
      <c r="FD40" s="85">
        <v>0</v>
      </c>
      <c r="FE40" s="85">
        <v>0</v>
      </c>
      <c r="FF40" s="85">
        <v>0</v>
      </c>
      <c r="FG40" s="85">
        <v>0</v>
      </c>
      <c r="FH40" s="85">
        <v>0</v>
      </c>
      <c r="FI40" s="85">
        <v>0</v>
      </c>
      <c r="FJ40" s="85">
        <v>0</v>
      </c>
      <c r="FK40" s="85">
        <v>0</v>
      </c>
      <c r="FL40" s="85">
        <v>0</v>
      </c>
      <c r="FM40" s="85">
        <v>0</v>
      </c>
      <c r="FN40" s="85">
        <v>0</v>
      </c>
      <c r="FO40" s="86">
        <v>0</v>
      </c>
      <c r="FP40" s="87">
        <v>14256.7453676833</v>
      </c>
      <c r="FQ40" s="85">
        <v>24899.6625623283</v>
      </c>
      <c r="FR40" s="85">
        <v>13476.9661201603</v>
      </c>
      <c r="FS40" s="85">
        <v>21682.82797501</v>
      </c>
      <c r="FT40" s="85">
        <v>9558.76445177382</v>
      </c>
      <c r="FU40" s="85">
        <v>8793.36</v>
      </c>
      <c r="FV40" s="85">
        <v>9770.4</v>
      </c>
      <c r="FW40" s="85">
        <v>9770.4</v>
      </c>
      <c r="FX40" s="85">
        <v>9770.4</v>
      </c>
      <c r="FY40" s="85">
        <v>9770.4</v>
      </c>
      <c r="FZ40" s="85">
        <v>9770.4</v>
      </c>
      <c r="GA40" s="85">
        <v>9770.4</v>
      </c>
      <c r="GB40" s="152">
        <v>151290.726476956</v>
      </c>
      <c r="GD40" s="153"/>
    </row>
    <row r="41" spans="1:186">
      <c r="A41" s="137" t="s">
        <v>107</v>
      </c>
      <c r="B41" s="151">
        <v>3868842.30297745</v>
      </c>
      <c r="C41" s="138">
        <f t="shared" si="11"/>
        <v>51226.872775361</v>
      </c>
      <c r="D41" s="138">
        <f t="shared" si="0"/>
        <v>31917.3554400511</v>
      </c>
      <c r="E41" s="138">
        <f t="shared" si="1"/>
        <v>32521.1253619582</v>
      </c>
      <c r="F41" s="138">
        <f t="shared" si="2"/>
        <v>26055.7947172201</v>
      </c>
      <c r="G41" s="138">
        <f t="shared" si="3"/>
        <v>12690.8131326795</v>
      </c>
      <c r="H41" s="138">
        <f t="shared" si="4"/>
        <v>40166.7222595035</v>
      </c>
      <c r="I41" s="138">
        <f t="shared" si="5"/>
        <v>2297262.56502426</v>
      </c>
      <c r="J41" s="138">
        <f t="shared" si="6"/>
        <v>1026530.04219532</v>
      </c>
      <c r="K41" s="138">
        <f t="shared" si="7"/>
        <v>636381.045930661</v>
      </c>
      <c r="L41" s="138">
        <f t="shared" si="8"/>
        <v>338867.492536504</v>
      </c>
      <c r="M41" s="138">
        <f t="shared" si="9"/>
        <v>254150.619402378</v>
      </c>
      <c r="N41" s="138">
        <f t="shared" si="10"/>
        <v>254150.619402378</v>
      </c>
      <c r="O41" s="86">
        <f t="shared" si="12"/>
        <v>5001921.06817827</v>
      </c>
      <c r="P41" s="138">
        <v>0</v>
      </c>
      <c r="Q41" s="138">
        <v>0</v>
      </c>
      <c r="R41" s="138">
        <v>0</v>
      </c>
      <c r="S41" s="138">
        <v>0</v>
      </c>
      <c r="T41" s="138">
        <v>0</v>
      </c>
      <c r="U41" s="138">
        <v>0</v>
      </c>
      <c r="V41" s="138">
        <v>154355.846677849</v>
      </c>
      <c r="W41" s="138">
        <v>128629.872231541</v>
      </c>
      <c r="X41" s="138">
        <v>102903.897785232</v>
      </c>
      <c r="Y41" s="138">
        <v>0</v>
      </c>
      <c r="Z41" s="138">
        <v>0</v>
      </c>
      <c r="AA41" s="138">
        <v>0</v>
      </c>
      <c r="AB41" s="86">
        <v>385889.616694622</v>
      </c>
      <c r="AC41" s="138">
        <v>5367.96541028131</v>
      </c>
      <c r="AD41" s="138">
        <v>313.127275323007</v>
      </c>
      <c r="AE41" s="138">
        <v>637.607637942068</v>
      </c>
      <c r="AF41" s="138">
        <v>450.164907348712</v>
      </c>
      <c r="AG41" s="138">
        <v>502.733943205865</v>
      </c>
      <c r="AH41" s="138">
        <v>0</v>
      </c>
      <c r="AI41" s="138">
        <v>423584.365670631</v>
      </c>
      <c r="AJ41" s="138">
        <v>423584.365670631</v>
      </c>
      <c r="AK41" s="138">
        <v>338867.492536504</v>
      </c>
      <c r="AL41" s="138">
        <v>338867.492536504</v>
      </c>
      <c r="AM41" s="138">
        <v>254150.619402378</v>
      </c>
      <c r="AN41" s="138">
        <v>254150.619402378</v>
      </c>
      <c r="AO41" s="86">
        <v>2040476.55439313</v>
      </c>
      <c r="AP41" s="138">
        <v>1252.04474374781</v>
      </c>
      <c r="AQ41" s="138">
        <v>648.920743274053</v>
      </c>
      <c r="AR41" s="138">
        <v>838.443448744318</v>
      </c>
      <c r="AS41" s="138">
        <v>627.931612354809</v>
      </c>
      <c r="AT41" s="138">
        <v>120.698539841148</v>
      </c>
      <c r="AU41" s="138">
        <v>0</v>
      </c>
      <c r="AV41" s="138">
        <v>23695.5966368934</v>
      </c>
      <c r="AW41" s="138">
        <v>15797.0644245956</v>
      </c>
      <c r="AX41" s="138">
        <v>7898.5322122978</v>
      </c>
      <c r="AY41" s="138">
        <v>0</v>
      </c>
      <c r="AZ41" s="138">
        <v>0</v>
      </c>
      <c r="BA41" s="138">
        <v>0</v>
      </c>
      <c r="BB41" s="86">
        <v>50879.232361749</v>
      </c>
      <c r="BC41" s="138">
        <v>0</v>
      </c>
      <c r="BD41" s="138">
        <v>0</v>
      </c>
      <c r="BE41" s="138">
        <v>0</v>
      </c>
      <c r="BF41" s="138">
        <v>0</v>
      </c>
      <c r="BG41" s="138">
        <v>0</v>
      </c>
      <c r="BH41" s="138">
        <v>0</v>
      </c>
      <c r="BI41" s="138">
        <v>85390.2208041365</v>
      </c>
      <c r="BJ41" s="138">
        <v>21347.5552010341</v>
      </c>
      <c r="BK41" s="138">
        <v>21347.5552010341</v>
      </c>
      <c r="BL41" s="138">
        <v>0</v>
      </c>
      <c r="BM41" s="138">
        <v>0</v>
      </c>
      <c r="BN41" s="138">
        <v>0</v>
      </c>
      <c r="BO41" s="86">
        <v>128085.331206205</v>
      </c>
      <c r="BP41" s="138">
        <v>22416.7394407443</v>
      </c>
      <c r="BQ41" s="138">
        <v>11091.6252165338</v>
      </c>
      <c r="BR41" s="138">
        <v>7983.78667162316</v>
      </c>
      <c r="BS41" s="138">
        <v>7117.04605346952</v>
      </c>
      <c r="BT41" s="138">
        <v>4245.03583717834</v>
      </c>
      <c r="BU41" s="138">
        <v>0</v>
      </c>
      <c r="BV41" s="138">
        <v>148336.854821412</v>
      </c>
      <c r="BW41" s="138">
        <v>78862.6316772065</v>
      </c>
      <c r="BX41" s="138">
        <v>0</v>
      </c>
      <c r="BY41" s="138">
        <v>0</v>
      </c>
      <c r="BZ41" s="138">
        <v>0</v>
      </c>
      <c r="CA41" s="138">
        <v>0</v>
      </c>
      <c r="CB41" s="86">
        <v>280053.719718168</v>
      </c>
      <c r="CC41" s="138">
        <v>12252.3451369893</v>
      </c>
      <c r="CD41" s="138">
        <v>5895.50231638503</v>
      </c>
      <c r="CE41" s="138">
        <v>12312.5738933311</v>
      </c>
      <c r="CF41" s="138">
        <v>8489.76437946617</v>
      </c>
      <c r="CG41" s="138">
        <v>7370.992317388</v>
      </c>
      <c r="CH41" s="138">
        <v>10850.7075077484</v>
      </c>
      <c r="CI41" s="138">
        <v>34629.3024066438</v>
      </c>
      <c r="CJ41" s="138">
        <v>30300.6396058133</v>
      </c>
      <c r="CK41" s="138">
        <v>0</v>
      </c>
      <c r="CL41" s="138">
        <v>0</v>
      </c>
      <c r="CM41" s="138">
        <v>0</v>
      </c>
      <c r="CN41" s="138">
        <v>0</v>
      </c>
      <c r="CO41" s="86">
        <v>122101.827563765</v>
      </c>
      <c r="CP41" s="138">
        <v>4604.17140609928</v>
      </c>
      <c r="CQ41" s="138">
        <v>5054.01037379867</v>
      </c>
      <c r="CR41" s="138">
        <v>2411.93055197417</v>
      </c>
      <c r="CS41" s="138">
        <v>1695.2625986564</v>
      </c>
      <c r="CT41" s="138">
        <v>72.9378443458685</v>
      </c>
      <c r="CU41" s="138">
        <v>0</v>
      </c>
      <c r="CV41" s="138">
        <v>135445.556163022</v>
      </c>
      <c r="CW41" s="138">
        <v>57542.7748222968</v>
      </c>
      <c r="CX41" s="138">
        <v>6642.75852622543</v>
      </c>
      <c r="CY41" s="138">
        <v>0</v>
      </c>
      <c r="CZ41" s="138">
        <v>0</v>
      </c>
      <c r="DA41" s="138">
        <v>0</v>
      </c>
      <c r="DB41" s="86">
        <v>213469.402286419</v>
      </c>
      <c r="DC41" s="138">
        <v>0</v>
      </c>
      <c r="DD41" s="138">
        <v>0</v>
      </c>
      <c r="DE41" s="138">
        <v>0</v>
      </c>
      <c r="DF41" s="138">
        <v>0</v>
      </c>
      <c r="DG41" s="138">
        <v>0</v>
      </c>
      <c r="DH41" s="138">
        <v>0</v>
      </c>
      <c r="DI41" s="138">
        <v>17082.8501381492</v>
      </c>
      <c r="DJ41" s="138">
        <v>11388.5667587661</v>
      </c>
      <c r="DK41" s="138">
        <v>0</v>
      </c>
      <c r="DL41" s="138">
        <v>0</v>
      </c>
      <c r="DM41" s="138">
        <v>0</v>
      </c>
      <c r="DN41" s="138">
        <v>0</v>
      </c>
      <c r="DO41" s="86">
        <v>28471.4168969153</v>
      </c>
      <c r="DP41" s="138">
        <v>1454.8417132216</v>
      </c>
      <c r="DQ41" s="138">
        <v>4881.47260155751</v>
      </c>
      <c r="DR41" s="138">
        <v>5967.12543272659</v>
      </c>
      <c r="DS41" s="138">
        <v>875.447143188105</v>
      </c>
      <c r="DT41" s="138">
        <v>0</v>
      </c>
      <c r="DU41" s="138">
        <v>0</v>
      </c>
      <c r="DV41" s="138">
        <v>129891.309699341</v>
      </c>
      <c r="DW41" s="138">
        <v>194836.964549012</v>
      </c>
      <c r="DX41" s="138">
        <v>103913.047759473</v>
      </c>
      <c r="DY41" s="138">
        <v>0</v>
      </c>
      <c r="DZ41" s="138">
        <v>0</v>
      </c>
      <c r="EA41" s="138">
        <v>0</v>
      </c>
      <c r="EB41" s="85">
        <v>441820.20889852</v>
      </c>
      <c r="EC41" s="87">
        <v>0</v>
      </c>
      <c r="ED41" s="85">
        <v>0</v>
      </c>
      <c r="EE41" s="85">
        <v>0</v>
      </c>
      <c r="EF41" s="85">
        <v>0</v>
      </c>
      <c r="EG41" s="85">
        <v>0</v>
      </c>
      <c r="EH41" s="85">
        <v>0</v>
      </c>
      <c r="EI41" s="85">
        <v>0</v>
      </c>
      <c r="EJ41" s="85">
        <v>0</v>
      </c>
      <c r="EK41" s="85">
        <v>0</v>
      </c>
      <c r="EL41" s="85">
        <v>0</v>
      </c>
      <c r="EM41" s="85">
        <v>0</v>
      </c>
      <c r="EN41" s="85">
        <v>0</v>
      </c>
      <c r="EO41" s="152">
        <v>0</v>
      </c>
      <c r="EP41" s="85">
        <v>0</v>
      </c>
      <c r="EQ41" s="85">
        <v>0</v>
      </c>
      <c r="ER41" s="85">
        <v>0</v>
      </c>
      <c r="ES41" s="85">
        <v>0</v>
      </c>
      <c r="ET41" s="85">
        <v>0</v>
      </c>
      <c r="EU41" s="85">
        <v>29316.0147517551</v>
      </c>
      <c r="EV41" s="85">
        <v>93555.6220061805</v>
      </c>
      <c r="EW41" s="85">
        <v>64239.6072544254</v>
      </c>
      <c r="EX41" s="85">
        <v>54807.7619098934</v>
      </c>
      <c r="EY41" s="85">
        <v>0</v>
      </c>
      <c r="EZ41" s="85">
        <v>0</v>
      </c>
      <c r="FA41" s="85">
        <v>0</v>
      </c>
      <c r="FB41" s="85">
        <v>241919.005922254</v>
      </c>
      <c r="FC41" s="87">
        <v>0</v>
      </c>
      <c r="FD41" s="85">
        <v>0</v>
      </c>
      <c r="FE41" s="85">
        <v>0</v>
      </c>
      <c r="FF41" s="85">
        <v>0</v>
      </c>
      <c r="FG41" s="85">
        <v>0</v>
      </c>
      <c r="FH41" s="85">
        <v>0</v>
      </c>
      <c r="FI41" s="85">
        <v>0</v>
      </c>
      <c r="FJ41" s="85">
        <v>0</v>
      </c>
      <c r="FK41" s="85">
        <v>0</v>
      </c>
      <c r="FL41" s="85">
        <v>0</v>
      </c>
      <c r="FM41" s="85">
        <v>0</v>
      </c>
      <c r="FN41" s="85">
        <v>0</v>
      </c>
      <c r="FO41" s="86">
        <v>0</v>
      </c>
      <c r="FP41" s="87">
        <v>3878.76492427737</v>
      </c>
      <c r="FQ41" s="85">
        <v>4032.69691317901</v>
      </c>
      <c r="FR41" s="85">
        <v>2369.65772561681</v>
      </c>
      <c r="FS41" s="85">
        <v>6800.17802273637</v>
      </c>
      <c r="FT41" s="85">
        <v>378.414650720304</v>
      </c>
      <c r="FU41" s="85">
        <v>0</v>
      </c>
      <c r="FV41" s="85">
        <v>1051295.04</v>
      </c>
      <c r="FW41" s="85">
        <v>0</v>
      </c>
      <c r="FX41" s="85">
        <v>0</v>
      </c>
      <c r="FY41" s="85">
        <v>0</v>
      </c>
      <c r="FZ41" s="85">
        <v>0</v>
      </c>
      <c r="GA41" s="85">
        <v>0</v>
      </c>
      <c r="GB41" s="152">
        <v>1068754.75223653</v>
      </c>
      <c r="GD41" s="153"/>
    </row>
    <row r="42" spans="1:186">
      <c r="A42" s="137" t="s">
        <v>109</v>
      </c>
      <c r="B42" s="151">
        <v>10708516.3639049</v>
      </c>
      <c r="C42" s="138">
        <f t="shared" si="11"/>
        <v>278001.440759548</v>
      </c>
      <c r="D42" s="138">
        <f t="shared" si="0"/>
        <v>218148.683697071</v>
      </c>
      <c r="E42" s="138">
        <f t="shared" si="1"/>
        <v>192177.318189858</v>
      </c>
      <c r="F42" s="138">
        <f t="shared" si="2"/>
        <v>162959.679060184</v>
      </c>
      <c r="G42" s="138">
        <f t="shared" si="3"/>
        <v>105777.950109911</v>
      </c>
      <c r="H42" s="138">
        <f t="shared" si="4"/>
        <v>85013.969650265</v>
      </c>
      <c r="I42" s="138">
        <f t="shared" si="5"/>
        <v>547228.546668168</v>
      </c>
      <c r="J42" s="138">
        <f t="shared" si="6"/>
        <v>456763.906124345</v>
      </c>
      <c r="K42" s="138">
        <f t="shared" si="7"/>
        <v>546760.489125779</v>
      </c>
      <c r="L42" s="138">
        <f t="shared" si="8"/>
        <v>212214.032234694</v>
      </c>
      <c r="M42" s="138">
        <f t="shared" si="9"/>
        <v>95257.9890384725</v>
      </c>
      <c r="N42" s="138">
        <f t="shared" si="10"/>
        <v>30161.6365530445</v>
      </c>
      <c r="O42" s="86">
        <f t="shared" si="12"/>
        <v>2930465.64121134</v>
      </c>
      <c r="P42" s="138">
        <v>16714.7655188937</v>
      </c>
      <c r="Q42" s="138">
        <v>10709.8785406188</v>
      </c>
      <c r="R42" s="138">
        <v>11096.4467026669</v>
      </c>
      <c r="S42" s="138">
        <v>14569.6689070899</v>
      </c>
      <c r="T42" s="138">
        <v>8017.67427748429</v>
      </c>
      <c r="U42" s="138">
        <v>3255.10216122167</v>
      </c>
      <c r="V42" s="138">
        <v>19618.6446834305</v>
      </c>
      <c r="W42" s="138">
        <v>35248.9347938847</v>
      </c>
      <c r="X42" s="138">
        <v>34775.6348614386</v>
      </c>
      <c r="Y42" s="138">
        <v>16363.5425222089</v>
      </c>
      <c r="Z42" s="138">
        <v>8181.77126110443</v>
      </c>
      <c r="AA42" s="138">
        <v>0</v>
      </c>
      <c r="AB42" s="86">
        <v>178552.064230042</v>
      </c>
      <c r="AC42" s="138">
        <v>21385.481990415</v>
      </c>
      <c r="AD42" s="138">
        <v>20505.3295856996</v>
      </c>
      <c r="AE42" s="138">
        <v>7304.8317998316</v>
      </c>
      <c r="AF42" s="138">
        <v>4441.71089599004</v>
      </c>
      <c r="AG42" s="138">
        <v>5193.17561309365</v>
      </c>
      <c r="AH42" s="138">
        <v>847.168731341261</v>
      </c>
      <c r="AI42" s="138">
        <v>6889.8964213189</v>
      </c>
      <c r="AJ42" s="138">
        <v>6466.31205564827</v>
      </c>
      <c r="AK42" s="138">
        <v>8082.89006956034</v>
      </c>
      <c r="AL42" s="138">
        <v>12932.6241112965</v>
      </c>
      <c r="AM42" s="138">
        <v>8082.89006956034</v>
      </c>
      <c r="AN42" s="138">
        <v>0</v>
      </c>
      <c r="AO42" s="86">
        <v>102132.311343756</v>
      </c>
      <c r="AP42" s="138">
        <v>18906.5474554617</v>
      </c>
      <c r="AQ42" s="138">
        <v>20561.2032900726</v>
      </c>
      <c r="AR42" s="138">
        <v>17774.3224115325</v>
      </c>
      <c r="AS42" s="138">
        <v>14969.0567223173</v>
      </c>
      <c r="AT42" s="138">
        <v>12100.9568515839</v>
      </c>
      <c r="AU42" s="138">
        <v>10448.3844590939</v>
      </c>
      <c r="AV42" s="138">
        <v>54278.5607342687</v>
      </c>
      <c r="AW42" s="138">
        <v>39206.4823581449</v>
      </c>
      <c r="AX42" s="138">
        <v>46742.5215462068</v>
      </c>
      <c r="AY42" s="138">
        <v>24134.4039820211</v>
      </c>
      <c r="AZ42" s="138">
        <v>16598.3647939592</v>
      </c>
      <c r="BA42" s="138">
        <v>7216.47296932764</v>
      </c>
      <c r="BB42" s="86">
        <v>282937.27757399</v>
      </c>
      <c r="BC42" s="138">
        <v>16965.1823172736</v>
      </c>
      <c r="BD42" s="138">
        <v>11625.7161324682</v>
      </c>
      <c r="BE42" s="138">
        <v>8084.41262760395</v>
      </c>
      <c r="BF42" s="138">
        <v>6649.12885822452</v>
      </c>
      <c r="BG42" s="138">
        <v>3464.22194836262</v>
      </c>
      <c r="BH42" s="138">
        <v>2085.76958425563</v>
      </c>
      <c r="BI42" s="138">
        <v>34674.3079587812</v>
      </c>
      <c r="BJ42" s="138">
        <v>34674.3079587812</v>
      </c>
      <c r="BK42" s="138">
        <v>54619.3184702787</v>
      </c>
      <c r="BL42" s="138">
        <v>22030.7800957532</v>
      </c>
      <c r="BM42" s="138">
        <v>11846.861853714</v>
      </c>
      <c r="BN42" s="138">
        <v>1662.94361167476</v>
      </c>
      <c r="BO42" s="86">
        <v>208382.951417172</v>
      </c>
      <c r="BP42" s="138">
        <v>54030.5717460945</v>
      </c>
      <c r="BQ42" s="138">
        <v>42764.5187046137</v>
      </c>
      <c r="BR42" s="138">
        <v>45290.2955960773</v>
      </c>
      <c r="BS42" s="138">
        <v>37486.0562014204</v>
      </c>
      <c r="BT42" s="138">
        <v>26390.3421141862</v>
      </c>
      <c r="BU42" s="138">
        <v>13006.5741886536</v>
      </c>
      <c r="BV42" s="138">
        <v>69618.2240963423</v>
      </c>
      <c r="BW42" s="138">
        <v>130558.973494248</v>
      </c>
      <c r="BX42" s="138">
        <v>193902.384447882</v>
      </c>
      <c r="BY42" s="138">
        <v>40754.5371861892</v>
      </c>
      <c r="BZ42" s="138">
        <v>5791.78632688018</v>
      </c>
      <c r="CA42" s="138">
        <v>5791.78632688018</v>
      </c>
      <c r="CB42" s="86">
        <v>665386.050429467</v>
      </c>
      <c r="CC42" s="138">
        <v>8050.93433052783</v>
      </c>
      <c r="CD42" s="138">
        <v>5626.64942440209</v>
      </c>
      <c r="CE42" s="138">
        <v>2409.06889012062</v>
      </c>
      <c r="CF42" s="138">
        <v>2029.50981586331</v>
      </c>
      <c r="CG42" s="138">
        <v>1449.61448677783</v>
      </c>
      <c r="CH42" s="138">
        <v>7887.19285240362</v>
      </c>
      <c r="CI42" s="138">
        <v>19329.8173018488</v>
      </c>
      <c r="CJ42" s="138">
        <v>33915.87687928</v>
      </c>
      <c r="CK42" s="138">
        <v>34608.3230718727</v>
      </c>
      <c r="CL42" s="138">
        <v>19425.395046406</v>
      </c>
      <c r="CM42" s="138">
        <v>7775.90783447573</v>
      </c>
      <c r="CN42" s="138">
        <v>0</v>
      </c>
      <c r="CO42" s="86">
        <v>142508.289933979</v>
      </c>
      <c r="CP42" s="138">
        <v>29592.752680094</v>
      </c>
      <c r="CQ42" s="138">
        <v>21304.180009905</v>
      </c>
      <c r="CR42" s="138">
        <v>16629.7522665214</v>
      </c>
      <c r="CS42" s="138">
        <v>11509.3244609309</v>
      </c>
      <c r="CT42" s="138">
        <v>9152.67697226147</v>
      </c>
      <c r="CU42" s="138">
        <v>6706.75335495336</v>
      </c>
      <c r="CV42" s="138">
        <v>64983.583606977</v>
      </c>
      <c r="CW42" s="138">
        <v>44579.3162048128</v>
      </c>
      <c r="CX42" s="138">
        <v>52092.6012189503</v>
      </c>
      <c r="CY42" s="138">
        <v>17126.5030677361</v>
      </c>
      <c r="CZ42" s="138">
        <v>13241.3810509345</v>
      </c>
      <c r="DA42" s="138">
        <v>1586.01500052976</v>
      </c>
      <c r="DB42" s="86">
        <v>288504.839894607</v>
      </c>
      <c r="DC42" s="138">
        <v>1815.63784044677</v>
      </c>
      <c r="DD42" s="138">
        <v>1641.18329222501</v>
      </c>
      <c r="DE42" s="138">
        <v>818.060694404425</v>
      </c>
      <c r="DF42" s="138">
        <v>1465.54142131453</v>
      </c>
      <c r="DG42" s="138">
        <v>465.74209429289</v>
      </c>
      <c r="DH42" s="138">
        <v>1708.28501381492</v>
      </c>
      <c r="DI42" s="138">
        <v>1138.85667587661</v>
      </c>
      <c r="DJ42" s="138">
        <v>569.428337938306</v>
      </c>
      <c r="DK42" s="138">
        <v>9262.15079148925</v>
      </c>
      <c r="DL42" s="138">
        <v>7088.97017810152</v>
      </c>
      <c r="DM42" s="138">
        <v>3829.19925801991</v>
      </c>
      <c r="DN42" s="138">
        <v>1656.01864463217</v>
      </c>
      <c r="DO42" s="86">
        <v>31459.0742425563</v>
      </c>
      <c r="DP42" s="138">
        <v>49570.666628669</v>
      </c>
      <c r="DQ42" s="138">
        <v>34366.6935338335</v>
      </c>
      <c r="DR42" s="138">
        <v>27800.4668941667</v>
      </c>
      <c r="DS42" s="138">
        <v>19386.1923782457</v>
      </c>
      <c r="DT42" s="138">
        <v>5023.61268762375</v>
      </c>
      <c r="DU42" s="138">
        <v>10033.6330535868</v>
      </c>
      <c r="DV42" s="138">
        <v>57854.9698274361</v>
      </c>
      <c r="DW42" s="138">
        <v>81337.3733889027</v>
      </c>
      <c r="DX42" s="138">
        <v>49572.0457306665</v>
      </c>
      <c r="DY42" s="138">
        <v>24786.0228653332</v>
      </c>
      <c r="DZ42" s="138">
        <v>0</v>
      </c>
      <c r="EA42" s="138">
        <v>0</v>
      </c>
      <c r="EB42" s="85">
        <v>359731.676988464</v>
      </c>
      <c r="EC42" s="87">
        <v>1278.9191493548</v>
      </c>
      <c r="ED42" s="85">
        <v>0</v>
      </c>
      <c r="EE42" s="85">
        <v>0</v>
      </c>
      <c r="EF42" s="85">
        <v>0</v>
      </c>
      <c r="EG42" s="85">
        <v>0</v>
      </c>
      <c r="EH42" s="85">
        <v>0</v>
      </c>
      <c r="EI42" s="85">
        <v>0</v>
      </c>
      <c r="EJ42" s="85">
        <v>0</v>
      </c>
      <c r="EK42" s="85">
        <v>0</v>
      </c>
      <c r="EL42" s="85">
        <v>0</v>
      </c>
      <c r="EM42" s="85">
        <v>0</v>
      </c>
      <c r="EN42" s="85">
        <v>0</v>
      </c>
      <c r="EO42" s="152">
        <v>1278.9191493548</v>
      </c>
      <c r="EP42" s="85">
        <v>23733.4030943935</v>
      </c>
      <c r="EQ42" s="85">
        <v>24828.1932715029</v>
      </c>
      <c r="ER42" s="85">
        <v>20359.6815906993</v>
      </c>
      <c r="ES42" s="85">
        <v>13593.8946003528</v>
      </c>
      <c r="ET42" s="85">
        <v>22645.7398406946</v>
      </c>
      <c r="EU42" s="85">
        <v>12145.7662509402</v>
      </c>
      <c r="EV42" s="85">
        <v>17646.9653618876</v>
      </c>
      <c r="EW42" s="85">
        <v>35452.1806527043</v>
      </c>
      <c r="EX42" s="85">
        <v>48765.6189174344</v>
      </c>
      <c r="EY42" s="85">
        <v>15322.8531796486</v>
      </c>
      <c r="EZ42" s="85">
        <v>7661.42658982429</v>
      </c>
      <c r="FA42" s="85">
        <v>0</v>
      </c>
      <c r="FB42" s="85">
        <v>242155.723350083</v>
      </c>
      <c r="FC42" s="87">
        <v>0</v>
      </c>
      <c r="FD42" s="85">
        <v>0</v>
      </c>
      <c r="FE42" s="85">
        <v>0</v>
      </c>
      <c r="FF42" s="85">
        <v>0</v>
      </c>
      <c r="FG42" s="85">
        <v>0</v>
      </c>
      <c r="FH42" s="85">
        <v>0</v>
      </c>
      <c r="FI42" s="85">
        <v>0</v>
      </c>
      <c r="FJ42" s="85">
        <v>0</v>
      </c>
      <c r="FK42" s="85">
        <v>0</v>
      </c>
      <c r="FL42" s="85">
        <v>0</v>
      </c>
      <c r="FM42" s="85">
        <v>0</v>
      </c>
      <c r="FN42" s="85">
        <v>0</v>
      </c>
      <c r="FO42" s="86">
        <v>0</v>
      </c>
      <c r="FP42" s="87">
        <v>35956.5780079238</v>
      </c>
      <c r="FQ42" s="85">
        <v>24215.13791173</v>
      </c>
      <c r="FR42" s="85">
        <v>34609.9787162329</v>
      </c>
      <c r="FS42" s="85">
        <v>36859.5947984342</v>
      </c>
      <c r="FT42" s="85">
        <v>11874.1932235495</v>
      </c>
      <c r="FU42" s="85">
        <v>16889.34</v>
      </c>
      <c r="FV42" s="85">
        <v>201194.72</v>
      </c>
      <c r="FW42" s="85">
        <v>14754.72</v>
      </c>
      <c r="FX42" s="85">
        <v>14337</v>
      </c>
      <c r="FY42" s="85">
        <v>12248.4</v>
      </c>
      <c r="FZ42" s="85">
        <v>12248.4</v>
      </c>
      <c r="GA42" s="85">
        <v>12248.4</v>
      </c>
      <c r="GB42" s="152">
        <v>427436.46265787</v>
      </c>
      <c r="GD42" s="153"/>
    </row>
    <row r="43" spans="1:186">
      <c r="A43" s="137" t="s">
        <v>111</v>
      </c>
      <c r="B43" s="151">
        <v>10122166.1370276</v>
      </c>
      <c r="C43" s="138">
        <f t="shared" si="11"/>
        <v>795386.950958581</v>
      </c>
      <c r="D43" s="138">
        <f t="shared" si="0"/>
        <v>1088835.85574873</v>
      </c>
      <c r="E43" s="138">
        <f t="shared" si="1"/>
        <v>1027000.59685265</v>
      </c>
      <c r="F43" s="138">
        <f t="shared" si="2"/>
        <v>670597.092430879</v>
      </c>
      <c r="G43" s="138">
        <f t="shared" si="3"/>
        <v>562776.34142023</v>
      </c>
      <c r="H43" s="138">
        <f t="shared" si="4"/>
        <v>450011.673071471</v>
      </c>
      <c r="I43" s="138">
        <f t="shared" si="5"/>
        <v>324549.847461355</v>
      </c>
      <c r="J43" s="138">
        <f t="shared" si="6"/>
        <v>311806.81833942</v>
      </c>
      <c r="K43" s="138">
        <f t="shared" si="7"/>
        <v>134381.474619822</v>
      </c>
      <c r="L43" s="138">
        <f t="shared" si="8"/>
        <v>237637.222936995</v>
      </c>
      <c r="M43" s="138">
        <f t="shared" si="9"/>
        <v>120227.222936995</v>
      </c>
      <c r="N43" s="138">
        <f t="shared" si="10"/>
        <v>103283.84831017</v>
      </c>
      <c r="O43" s="86">
        <f t="shared" si="12"/>
        <v>5826494.9450873</v>
      </c>
      <c r="P43" s="138">
        <v>0</v>
      </c>
      <c r="Q43" s="138">
        <v>80890.7366745904</v>
      </c>
      <c r="R43" s="138">
        <v>168506.286512829</v>
      </c>
      <c r="S43" s="138">
        <v>133765.23986873</v>
      </c>
      <c r="T43" s="138">
        <v>121573.945535177</v>
      </c>
      <c r="U43" s="138">
        <v>201263.548493012</v>
      </c>
      <c r="V43" s="138">
        <v>128629.872231541</v>
      </c>
      <c r="W43" s="138">
        <v>128629.872231541</v>
      </c>
      <c r="X43" s="138">
        <v>96472.4041736554</v>
      </c>
      <c r="Y43" s="138">
        <v>96472.4041736554</v>
      </c>
      <c r="Z43" s="138">
        <v>96472.4041736554</v>
      </c>
      <c r="AA43" s="138">
        <v>96472.4041736554</v>
      </c>
      <c r="AB43" s="86">
        <v>1349149.11824204</v>
      </c>
      <c r="AC43" s="138">
        <v>114280.005234848</v>
      </c>
      <c r="AD43" s="138">
        <v>135495.026205436</v>
      </c>
      <c r="AE43" s="138">
        <v>281951.275828252</v>
      </c>
      <c r="AF43" s="138">
        <v>177352.351268916</v>
      </c>
      <c r="AG43" s="138">
        <v>166108.673886881</v>
      </c>
      <c r="AH43" s="138">
        <v>145485.882348236</v>
      </c>
      <c r="AI43" s="138">
        <v>144921.103194008</v>
      </c>
      <c r="AJ43" s="138">
        <v>144921.103194008</v>
      </c>
      <c r="AK43" s="138">
        <v>17845.7934928192</v>
      </c>
      <c r="AL43" s="138">
        <v>16943.3746268252</v>
      </c>
      <c r="AM43" s="138">
        <v>16943.3746268252</v>
      </c>
      <c r="AN43" s="138">
        <v>0</v>
      </c>
      <c r="AO43" s="86">
        <v>1362247.96390706</v>
      </c>
      <c r="AP43" s="138">
        <v>83220.7000959308</v>
      </c>
      <c r="AQ43" s="138">
        <v>54089.2725572153</v>
      </c>
      <c r="AR43" s="138">
        <v>140120.537282225</v>
      </c>
      <c r="AS43" s="138">
        <v>54678.7735672917</v>
      </c>
      <c r="AT43" s="138">
        <v>35477.5955125395</v>
      </c>
      <c r="AU43" s="138">
        <v>10531.3762830637</v>
      </c>
      <c r="AV43" s="138">
        <v>10531.3762830637</v>
      </c>
      <c r="AW43" s="138">
        <v>10531.3762830637</v>
      </c>
      <c r="AX43" s="138">
        <v>7898.5322122978</v>
      </c>
      <c r="AY43" s="138">
        <v>0</v>
      </c>
      <c r="AZ43" s="138">
        <v>0</v>
      </c>
      <c r="BA43" s="138">
        <v>0</v>
      </c>
      <c r="BB43" s="86">
        <v>407079.540076691</v>
      </c>
      <c r="BC43" s="138">
        <v>10603.8199482235</v>
      </c>
      <c r="BD43" s="138">
        <v>78732.8750786116</v>
      </c>
      <c r="BE43" s="138">
        <v>67527.1189763299</v>
      </c>
      <c r="BF43" s="138">
        <v>28767.285080855</v>
      </c>
      <c r="BG43" s="138">
        <v>18511.1153398198</v>
      </c>
      <c r="BH43" s="138">
        <v>20813.8663210083</v>
      </c>
      <c r="BI43" s="138">
        <v>0</v>
      </c>
      <c r="BJ43" s="138">
        <v>0</v>
      </c>
      <c r="BK43" s="138">
        <v>0</v>
      </c>
      <c r="BL43" s="138">
        <v>0</v>
      </c>
      <c r="BM43" s="138">
        <v>0</v>
      </c>
      <c r="BN43" s="138">
        <v>0</v>
      </c>
      <c r="BO43" s="86">
        <v>224956.080744848</v>
      </c>
      <c r="BP43" s="138">
        <v>253054.685867913</v>
      </c>
      <c r="BQ43" s="138">
        <v>175110.037913976</v>
      </c>
      <c r="BR43" s="138">
        <v>19598.7495678392</v>
      </c>
      <c r="BS43" s="138">
        <v>797.305250000985</v>
      </c>
      <c r="BT43" s="138">
        <v>1102.70711002899</v>
      </c>
      <c r="BU43" s="138">
        <v>0</v>
      </c>
      <c r="BV43" s="138">
        <v>0</v>
      </c>
      <c r="BW43" s="138">
        <v>0</v>
      </c>
      <c r="BX43" s="138">
        <v>0</v>
      </c>
      <c r="BY43" s="138">
        <v>0</v>
      </c>
      <c r="BZ43" s="138">
        <v>0</v>
      </c>
      <c r="CA43" s="138">
        <v>0</v>
      </c>
      <c r="CB43" s="86">
        <v>449663.485709758</v>
      </c>
      <c r="CC43" s="138">
        <v>0</v>
      </c>
      <c r="CD43" s="138">
        <v>4136.46339666272</v>
      </c>
      <c r="CE43" s="138">
        <v>7094.38859677585</v>
      </c>
      <c r="CF43" s="138">
        <v>16619.4049586204</v>
      </c>
      <c r="CG43" s="138">
        <v>20008.280424059</v>
      </c>
      <c r="CH43" s="138">
        <v>3616.90250258281</v>
      </c>
      <c r="CI43" s="138">
        <v>0</v>
      </c>
      <c r="CJ43" s="138">
        <v>0</v>
      </c>
      <c r="CK43" s="138">
        <v>0</v>
      </c>
      <c r="CL43" s="138">
        <v>0</v>
      </c>
      <c r="CM43" s="138">
        <v>0</v>
      </c>
      <c r="CN43" s="138">
        <v>0</v>
      </c>
      <c r="CO43" s="86">
        <v>51475.4398787009</v>
      </c>
      <c r="CP43" s="138">
        <v>53067.1844331463</v>
      </c>
      <c r="CQ43" s="138">
        <v>91368.7386652237</v>
      </c>
      <c r="CR43" s="138">
        <v>65642.6264837625</v>
      </c>
      <c r="CS43" s="138">
        <v>37383.6056878437</v>
      </c>
      <c r="CT43" s="138">
        <v>28335.3300352249</v>
      </c>
      <c r="CU43" s="138">
        <v>20444.839878922</v>
      </c>
      <c r="CV43" s="138">
        <v>20444.839878922</v>
      </c>
      <c r="CW43" s="138">
        <v>18917.8393900398</v>
      </c>
      <c r="CX43" s="138">
        <v>5090.00162960713</v>
      </c>
      <c r="CY43" s="138">
        <v>5090.00162960713</v>
      </c>
      <c r="CZ43" s="138">
        <v>5090.00162960713</v>
      </c>
      <c r="DA43" s="138">
        <v>5090.00162960713</v>
      </c>
      <c r="DB43" s="86">
        <v>355965.010971513</v>
      </c>
      <c r="DC43" s="138">
        <v>13405.9737339198</v>
      </c>
      <c r="DD43" s="138">
        <v>17123.6762083769</v>
      </c>
      <c r="DE43" s="138">
        <v>20633.3175556747</v>
      </c>
      <c r="DF43" s="138">
        <v>10625.1979296791</v>
      </c>
      <c r="DG43" s="138">
        <v>33375.6128687629</v>
      </c>
      <c r="DH43" s="138">
        <v>2562.42752072238</v>
      </c>
      <c r="DI43" s="138">
        <v>1708.28501381492</v>
      </c>
      <c r="DJ43" s="138">
        <v>854.142506907459</v>
      </c>
      <c r="DK43" s="138">
        <v>854.142506907459</v>
      </c>
      <c r="DL43" s="138">
        <v>854.142506907459</v>
      </c>
      <c r="DM43" s="138">
        <v>854.142506907459</v>
      </c>
      <c r="DN43" s="138">
        <v>854.142506907459</v>
      </c>
      <c r="DO43" s="86">
        <v>103705.203365488</v>
      </c>
      <c r="DP43" s="138">
        <v>128351.674276591</v>
      </c>
      <c r="DQ43" s="138">
        <v>132424.373090032</v>
      </c>
      <c r="DR43" s="138">
        <v>99716.0646623484</v>
      </c>
      <c r="DS43" s="138">
        <v>91917.4000389926</v>
      </c>
      <c r="DT43" s="138">
        <v>61686.0790826081</v>
      </c>
      <c r="DU43" s="138">
        <v>38426.1791193885</v>
      </c>
      <c r="DV43" s="138">
        <v>9417.11995320224</v>
      </c>
      <c r="DW43" s="138">
        <v>1731.88412932455</v>
      </c>
      <c r="DX43" s="138">
        <v>0</v>
      </c>
      <c r="DY43" s="138">
        <v>0</v>
      </c>
      <c r="DZ43" s="138">
        <v>0</v>
      </c>
      <c r="EA43" s="138">
        <v>0</v>
      </c>
      <c r="EB43" s="85">
        <v>563670.774352488</v>
      </c>
      <c r="EC43" s="87">
        <v>0</v>
      </c>
      <c r="ED43" s="85">
        <v>0</v>
      </c>
      <c r="EE43" s="85">
        <v>0</v>
      </c>
      <c r="EF43" s="85">
        <v>0</v>
      </c>
      <c r="EG43" s="85">
        <v>0</v>
      </c>
      <c r="EH43" s="85">
        <v>0</v>
      </c>
      <c r="EI43" s="85">
        <v>0</v>
      </c>
      <c r="EJ43" s="85">
        <v>0</v>
      </c>
      <c r="EK43" s="85">
        <v>0</v>
      </c>
      <c r="EL43" s="85">
        <v>0</v>
      </c>
      <c r="EM43" s="85">
        <v>0</v>
      </c>
      <c r="EN43" s="85">
        <v>0</v>
      </c>
      <c r="EO43" s="152">
        <v>0</v>
      </c>
      <c r="EP43" s="85">
        <v>90629.8803012208</v>
      </c>
      <c r="EQ43" s="85">
        <v>33997.4781246599</v>
      </c>
      <c r="ER43" s="85">
        <v>32509.7413540916</v>
      </c>
      <c r="ES43" s="85">
        <v>53311.6515548401</v>
      </c>
      <c r="ET43" s="85">
        <v>30561.5708838725</v>
      </c>
      <c r="EU43" s="85">
        <v>5353.30060453545</v>
      </c>
      <c r="EV43" s="85">
        <v>8029.95090680318</v>
      </c>
      <c r="EW43" s="85">
        <v>5353.30060453545</v>
      </c>
      <c r="EX43" s="85">
        <v>5353.30060453545</v>
      </c>
      <c r="EY43" s="85">
        <v>0</v>
      </c>
      <c r="EZ43" s="85">
        <v>0</v>
      </c>
      <c r="FA43" s="85">
        <v>0</v>
      </c>
      <c r="FB43" s="85">
        <v>265100.174939094</v>
      </c>
      <c r="FC43" s="87">
        <v>0</v>
      </c>
      <c r="FD43" s="85">
        <v>0</v>
      </c>
      <c r="FE43" s="85">
        <v>0</v>
      </c>
      <c r="FF43" s="85">
        <v>0</v>
      </c>
      <c r="FG43" s="85">
        <v>0</v>
      </c>
      <c r="FH43" s="85">
        <v>0</v>
      </c>
      <c r="FI43" s="85">
        <v>0</v>
      </c>
      <c r="FJ43" s="85">
        <v>0</v>
      </c>
      <c r="FK43" s="85">
        <v>0</v>
      </c>
      <c r="FL43" s="85">
        <v>0</v>
      </c>
      <c r="FM43" s="85">
        <v>0</v>
      </c>
      <c r="FN43" s="85">
        <v>0</v>
      </c>
      <c r="FO43" s="86">
        <v>0</v>
      </c>
      <c r="FP43" s="87">
        <v>48773.0270667874</v>
      </c>
      <c r="FQ43" s="85">
        <v>285467.177833947</v>
      </c>
      <c r="FR43" s="85">
        <v>123700.490032518</v>
      </c>
      <c r="FS43" s="85">
        <v>65378.87722511</v>
      </c>
      <c r="FT43" s="85">
        <v>46035.4307412561</v>
      </c>
      <c r="FU43" s="85">
        <v>1513.35</v>
      </c>
      <c r="FV43" s="85">
        <v>867.3</v>
      </c>
      <c r="FW43" s="85">
        <v>867.3</v>
      </c>
      <c r="FX43" s="85">
        <v>867.3</v>
      </c>
      <c r="FY43" s="85">
        <v>118277.3</v>
      </c>
      <c r="FZ43" s="85">
        <v>867.3</v>
      </c>
      <c r="GA43" s="85">
        <v>867.3</v>
      </c>
      <c r="GB43" s="152">
        <v>693482.152899618</v>
      </c>
      <c r="GD43" s="153"/>
    </row>
    <row r="44" spans="1:186">
      <c r="A44" s="137" t="s">
        <v>113</v>
      </c>
      <c r="B44" s="151">
        <v>14138790.5977003</v>
      </c>
      <c r="C44" s="138">
        <f t="shared" si="11"/>
        <v>2175153.96708349</v>
      </c>
      <c r="D44" s="138">
        <f t="shared" si="0"/>
        <v>2009446.6046087</v>
      </c>
      <c r="E44" s="138">
        <f t="shared" si="1"/>
        <v>1248861.04479459</v>
      </c>
      <c r="F44" s="138">
        <f t="shared" si="2"/>
        <v>1124322.59063527</v>
      </c>
      <c r="G44" s="138">
        <f t="shared" si="3"/>
        <v>960324.124651337</v>
      </c>
      <c r="H44" s="138">
        <f t="shared" si="4"/>
        <v>2875783.29597231</v>
      </c>
      <c r="I44" s="138">
        <f t="shared" si="5"/>
        <v>2677188.92791057</v>
      </c>
      <c r="J44" s="138">
        <f t="shared" si="6"/>
        <v>1398764.61708027</v>
      </c>
      <c r="K44" s="138">
        <f t="shared" si="7"/>
        <v>747576.446261082</v>
      </c>
      <c r="L44" s="138">
        <f t="shared" si="8"/>
        <v>469743.333218842</v>
      </c>
      <c r="M44" s="138">
        <f t="shared" si="9"/>
        <v>661862.776244781</v>
      </c>
      <c r="N44" s="138">
        <f t="shared" si="10"/>
        <v>69074.235993693</v>
      </c>
      <c r="O44" s="86">
        <f t="shared" si="12"/>
        <v>16418101.9644549</v>
      </c>
      <c r="P44" s="138">
        <v>386834.832501856</v>
      </c>
      <c r="Q44" s="138">
        <v>660639.832192781</v>
      </c>
      <c r="R44" s="138">
        <v>300429.129222498</v>
      </c>
      <c r="S44" s="138">
        <v>311700.253767158</v>
      </c>
      <c r="T44" s="138">
        <v>228609.638654202</v>
      </c>
      <c r="U44" s="138">
        <v>826815.337184505</v>
      </c>
      <c r="V44" s="138">
        <v>641502.193298253</v>
      </c>
      <c r="W44" s="138">
        <v>514891.986434469</v>
      </c>
      <c r="X44" s="138">
        <v>296097.037804748</v>
      </c>
      <c r="Y44" s="138">
        <v>231533.770016773</v>
      </c>
      <c r="Z44" s="138">
        <v>489786.841168673</v>
      </c>
      <c r="AA44" s="138">
        <v>0</v>
      </c>
      <c r="AB44" s="86">
        <v>4888840.85224592</v>
      </c>
      <c r="AC44" s="138">
        <v>427213.54932328</v>
      </c>
      <c r="AD44" s="138">
        <v>280192.446334037</v>
      </c>
      <c r="AE44" s="138">
        <v>215177.096048237</v>
      </c>
      <c r="AF44" s="138">
        <v>206759.957140715</v>
      </c>
      <c r="AG44" s="138">
        <v>205469.233404937</v>
      </c>
      <c r="AH44" s="138">
        <v>294391.134141088</v>
      </c>
      <c r="AI44" s="138">
        <v>336749.570708151</v>
      </c>
      <c r="AJ44" s="138">
        <v>254150.619402378</v>
      </c>
      <c r="AK44" s="138">
        <v>211792.182835315</v>
      </c>
      <c r="AL44" s="138">
        <v>127075.309701189</v>
      </c>
      <c r="AM44" s="138">
        <v>84716.8731341261</v>
      </c>
      <c r="AN44" s="138">
        <v>0</v>
      </c>
      <c r="AO44" s="86">
        <v>2643687.97217346</v>
      </c>
      <c r="AP44" s="138">
        <v>133188.30583711</v>
      </c>
      <c r="AQ44" s="138">
        <v>126661.017066969</v>
      </c>
      <c r="AR44" s="138">
        <v>110679.144725834</v>
      </c>
      <c r="AS44" s="138">
        <v>64044.7436199462</v>
      </c>
      <c r="AT44" s="138">
        <v>67413.8550453355</v>
      </c>
      <c r="AU44" s="138">
        <v>296194.957961168</v>
      </c>
      <c r="AV44" s="138">
        <v>138224.313715212</v>
      </c>
      <c r="AW44" s="138">
        <v>59238.9915922335</v>
      </c>
      <c r="AX44" s="138">
        <v>59238.9915922335</v>
      </c>
      <c r="AY44" s="138">
        <v>59238.9915922335</v>
      </c>
      <c r="AZ44" s="138">
        <v>51340.4593799357</v>
      </c>
      <c r="BA44" s="138">
        <v>51340.4593799357</v>
      </c>
      <c r="BB44" s="86">
        <v>1216804.23150815</v>
      </c>
      <c r="BC44" s="138">
        <v>130892.724642375</v>
      </c>
      <c r="BD44" s="138">
        <v>73126.2717009241</v>
      </c>
      <c r="BE44" s="138">
        <v>55519.9756877674</v>
      </c>
      <c r="BF44" s="138">
        <v>24438.2154274478</v>
      </c>
      <c r="BG44" s="138">
        <v>16839.336586094</v>
      </c>
      <c r="BH44" s="138">
        <v>81120.7097639297</v>
      </c>
      <c r="BI44" s="138">
        <v>177184.708168583</v>
      </c>
      <c r="BJ44" s="138">
        <v>81120.7097639297</v>
      </c>
      <c r="BK44" s="138">
        <v>42695.1104020683</v>
      </c>
      <c r="BL44" s="138">
        <v>21347.5552010341</v>
      </c>
      <c r="BM44" s="138">
        <v>10673.7776005171</v>
      </c>
      <c r="BN44" s="138">
        <v>0</v>
      </c>
      <c r="BO44" s="86">
        <v>714959.09494467</v>
      </c>
      <c r="BP44" s="138">
        <v>230620.51194459</v>
      </c>
      <c r="BQ44" s="138">
        <v>285123.747480532</v>
      </c>
      <c r="BR44" s="138">
        <v>206503.868567206</v>
      </c>
      <c r="BS44" s="138">
        <v>178516.668202588</v>
      </c>
      <c r="BT44" s="138">
        <v>151622.148297148</v>
      </c>
      <c r="BU44" s="138">
        <v>249731.66697782</v>
      </c>
      <c r="BV44" s="138">
        <v>270386.165750422</v>
      </c>
      <c r="BW44" s="138">
        <v>78862.6316772065</v>
      </c>
      <c r="BX44" s="138">
        <v>0</v>
      </c>
      <c r="BY44" s="138">
        <v>0</v>
      </c>
      <c r="BZ44" s="138">
        <v>0</v>
      </c>
      <c r="CA44" s="138">
        <v>0</v>
      </c>
      <c r="CB44" s="86">
        <v>1651367.40889751</v>
      </c>
      <c r="CC44" s="138">
        <v>53533.1867213787</v>
      </c>
      <c r="CD44" s="138">
        <v>33424.3569313309</v>
      </c>
      <c r="CE44" s="138">
        <v>21254.6012064071</v>
      </c>
      <c r="CF44" s="138">
        <v>55727.2486728182</v>
      </c>
      <c r="CG44" s="138">
        <v>54702.9657383156</v>
      </c>
      <c r="CH44" s="138">
        <v>81234.9574029187</v>
      </c>
      <c r="CI44" s="138">
        <v>71535.4814465244</v>
      </c>
      <c r="CJ44" s="138">
        <v>39387.3685573167</v>
      </c>
      <c r="CK44" s="138">
        <v>34175.1391055807</v>
      </c>
      <c r="CL44" s="138">
        <v>16065.2779164438</v>
      </c>
      <c r="CM44" s="138">
        <v>15349.5889292103</v>
      </c>
      <c r="CN44" s="138">
        <v>14705.4688407002</v>
      </c>
      <c r="CO44" s="86">
        <v>491095.641468945</v>
      </c>
      <c r="CP44" s="138">
        <v>192510.726548406</v>
      </c>
      <c r="CQ44" s="138">
        <v>106334.080025943</v>
      </c>
      <c r="CR44" s="138">
        <v>58127.1164588133</v>
      </c>
      <c r="CS44" s="138">
        <v>38277.0455864448</v>
      </c>
      <c r="CT44" s="138">
        <v>34371.1070703697</v>
      </c>
      <c r="CU44" s="138">
        <v>124833.821964056</v>
      </c>
      <c r="CV44" s="138">
        <v>138982.800896011</v>
      </c>
      <c r="CW44" s="138">
        <v>91620.0293329284</v>
      </c>
      <c r="CX44" s="138">
        <v>0</v>
      </c>
      <c r="CY44" s="138">
        <v>0</v>
      </c>
      <c r="CZ44" s="138">
        <v>0</v>
      </c>
      <c r="DA44" s="138">
        <v>0</v>
      </c>
      <c r="DB44" s="86">
        <v>785056.727882971</v>
      </c>
      <c r="DC44" s="138">
        <v>25797.2153730507</v>
      </c>
      <c r="DD44" s="138">
        <v>69943.009194379</v>
      </c>
      <c r="DE44" s="138">
        <v>20451.5449975852</v>
      </c>
      <c r="DF44" s="138">
        <v>19418.4654381148</v>
      </c>
      <c r="DG44" s="138">
        <v>39523.4684923481</v>
      </c>
      <c r="DH44" s="138">
        <v>18221.7068140258</v>
      </c>
      <c r="DI44" s="138">
        <v>33026.8436004217</v>
      </c>
      <c r="DJ44" s="138">
        <v>2277.71335175322</v>
      </c>
      <c r="DK44" s="138">
        <v>1138.85667587661</v>
      </c>
      <c r="DL44" s="138">
        <v>1138.85667587661</v>
      </c>
      <c r="DM44" s="138">
        <v>1138.85667587661</v>
      </c>
      <c r="DN44" s="138">
        <v>1138.85667587661</v>
      </c>
      <c r="DO44" s="86">
        <v>233215.393965185</v>
      </c>
      <c r="DP44" s="138">
        <v>199516.298719623</v>
      </c>
      <c r="DQ44" s="138">
        <v>188057.411595709</v>
      </c>
      <c r="DR44" s="138">
        <v>159108.270369209</v>
      </c>
      <c r="DS44" s="138">
        <v>130011.37260496</v>
      </c>
      <c r="DT44" s="138">
        <v>111698.814772311</v>
      </c>
      <c r="DU44" s="138">
        <v>277967.40275659</v>
      </c>
      <c r="DV44" s="138">
        <v>251989.140816722</v>
      </c>
      <c r="DW44" s="138">
        <v>174054.354997117</v>
      </c>
      <c r="DX44" s="138">
        <v>19483.6964549012</v>
      </c>
      <c r="DY44" s="138">
        <v>10391.3047759473</v>
      </c>
      <c r="DZ44" s="138">
        <v>6494.56548496706</v>
      </c>
      <c r="EA44" s="138">
        <v>0</v>
      </c>
      <c r="EB44" s="85">
        <v>1528772.63334806</v>
      </c>
      <c r="EC44" s="87">
        <v>13395.858269524</v>
      </c>
      <c r="ED44" s="85">
        <v>21265.4274125328</v>
      </c>
      <c r="EE44" s="85">
        <v>0</v>
      </c>
      <c r="EF44" s="85">
        <v>0</v>
      </c>
      <c r="EG44" s="85">
        <v>0</v>
      </c>
      <c r="EH44" s="85">
        <v>0</v>
      </c>
      <c r="EI44" s="85">
        <v>0</v>
      </c>
      <c r="EJ44" s="85">
        <v>0</v>
      </c>
      <c r="EK44" s="85">
        <v>0</v>
      </c>
      <c r="EL44" s="85">
        <v>0</v>
      </c>
      <c r="EM44" s="85">
        <v>0</v>
      </c>
      <c r="EN44" s="85">
        <v>0</v>
      </c>
      <c r="EO44" s="152">
        <v>34661.2856820568</v>
      </c>
      <c r="EP44" s="85">
        <v>23361.932944766</v>
      </c>
      <c r="EQ44" s="85">
        <v>34744.6815735713</v>
      </c>
      <c r="ER44" s="85">
        <v>18235.5150871283</v>
      </c>
      <c r="ES44" s="85">
        <v>13267.7102710991</v>
      </c>
      <c r="ET44" s="85">
        <v>10626.0472089383</v>
      </c>
      <c r="EU44" s="85">
        <v>29277.2010062044</v>
      </c>
      <c r="EV44" s="85">
        <v>100509.289510274</v>
      </c>
      <c r="EW44" s="85">
        <v>83619.4119709405</v>
      </c>
      <c r="EX44" s="85">
        <v>82955.4313903588</v>
      </c>
      <c r="EY44" s="85">
        <v>2952.26733934451</v>
      </c>
      <c r="EZ44" s="85">
        <v>2361.8138714756</v>
      </c>
      <c r="FA44" s="85">
        <v>1889.45109718048</v>
      </c>
      <c r="FB44" s="85">
        <v>403800.753271281</v>
      </c>
      <c r="FC44" s="87">
        <v>0</v>
      </c>
      <c r="FD44" s="85">
        <v>0</v>
      </c>
      <c r="FE44" s="85">
        <v>0</v>
      </c>
      <c r="FF44" s="85">
        <v>0</v>
      </c>
      <c r="FG44" s="85">
        <v>0</v>
      </c>
      <c r="FH44" s="85">
        <v>0</v>
      </c>
      <c r="FI44" s="85">
        <v>0</v>
      </c>
      <c r="FJ44" s="85">
        <v>0</v>
      </c>
      <c r="FK44" s="85">
        <v>0</v>
      </c>
      <c r="FL44" s="85">
        <v>0</v>
      </c>
      <c r="FM44" s="85">
        <v>0</v>
      </c>
      <c r="FN44" s="85">
        <v>0</v>
      </c>
      <c r="FO44" s="86">
        <v>0</v>
      </c>
      <c r="FP44" s="87">
        <v>358288.824257535</v>
      </c>
      <c r="FQ44" s="85">
        <v>129934.323099986</v>
      </c>
      <c r="FR44" s="85">
        <v>83374.782423905</v>
      </c>
      <c r="FS44" s="85">
        <v>82160.9099039744</v>
      </c>
      <c r="FT44" s="85">
        <v>39447.5093813375</v>
      </c>
      <c r="FU44" s="85">
        <v>595994.4</v>
      </c>
      <c r="FV44" s="85">
        <v>517098.42</v>
      </c>
      <c r="FW44" s="85">
        <v>19540.8</v>
      </c>
      <c r="FX44" s="85">
        <v>0</v>
      </c>
      <c r="FY44" s="85">
        <v>0</v>
      </c>
      <c r="FZ44" s="85">
        <v>0</v>
      </c>
      <c r="GA44" s="85">
        <v>0</v>
      </c>
      <c r="GB44" s="152">
        <v>1825839.96906674</v>
      </c>
      <c r="GD44" s="153"/>
    </row>
    <row r="45" spans="1:186">
      <c r="A45" s="137" t="s">
        <v>115</v>
      </c>
      <c r="B45" s="151">
        <v>16452162.9957369</v>
      </c>
      <c r="C45" s="138">
        <f t="shared" si="11"/>
        <v>2815885.54001531</v>
      </c>
      <c r="D45" s="138">
        <f t="shared" si="0"/>
        <v>1611016.89297203</v>
      </c>
      <c r="E45" s="138">
        <f t="shared" si="1"/>
        <v>1370582.71900304</v>
      </c>
      <c r="F45" s="138">
        <f t="shared" si="2"/>
        <v>899264.283013661</v>
      </c>
      <c r="G45" s="138">
        <f t="shared" si="3"/>
        <v>1439625.49772014</v>
      </c>
      <c r="H45" s="138">
        <f t="shared" si="4"/>
        <v>1256016.43841784</v>
      </c>
      <c r="I45" s="138">
        <f t="shared" si="5"/>
        <v>965315.688242374</v>
      </c>
      <c r="J45" s="138">
        <f t="shared" si="6"/>
        <v>1961694.90806361</v>
      </c>
      <c r="K45" s="138">
        <f t="shared" si="7"/>
        <v>4775382.5194882</v>
      </c>
      <c r="L45" s="138">
        <f t="shared" si="8"/>
        <v>5133924.8694303</v>
      </c>
      <c r="M45" s="138">
        <f t="shared" si="9"/>
        <v>2000677.20339398</v>
      </c>
      <c r="N45" s="138">
        <f t="shared" si="10"/>
        <v>551248.504604052</v>
      </c>
      <c r="O45" s="86">
        <f t="shared" si="12"/>
        <v>24780635.0643646</v>
      </c>
      <c r="P45" s="138">
        <v>319217.374495977</v>
      </c>
      <c r="Q45" s="138">
        <v>182982.736286568</v>
      </c>
      <c r="R45" s="138">
        <v>125765.801534806</v>
      </c>
      <c r="S45" s="138">
        <v>74146.2189286317</v>
      </c>
      <c r="T45" s="138">
        <v>102275.409557572</v>
      </c>
      <c r="U45" s="138">
        <v>243622.61117727</v>
      </c>
      <c r="V45" s="138">
        <v>99868.3570806379</v>
      </c>
      <c r="W45" s="138">
        <v>431696.143417076</v>
      </c>
      <c r="X45" s="138">
        <v>731335.391678181</v>
      </c>
      <c r="Y45" s="138">
        <v>200401.612534646</v>
      </c>
      <c r="Z45" s="138">
        <v>48282.0959110073</v>
      </c>
      <c r="AA45" s="138">
        <v>48282.0959110073</v>
      </c>
      <c r="AB45" s="86">
        <v>2607875.84851338</v>
      </c>
      <c r="AC45" s="138">
        <v>192719.70917581</v>
      </c>
      <c r="AD45" s="138">
        <v>97485.3958055003</v>
      </c>
      <c r="AE45" s="138">
        <v>66475.3543270147</v>
      </c>
      <c r="AF45" s="138">
        <v>56523.2554508864</v>
      </c>
      <c r="AG45" s="138">
        <v>67864.2164298809</v>
      </c>
      <c r="AH45" s="138">
        <v>70672.0842752837</v>
      </c>
      <c r="AI45" s="138">
        <v>70672.0842752837</v>
      </c>
      <c r="AJ45" s="138">
        <v>31076.1544408552</v>
      </c>
      <c r="AK45" s="138">
        <v>327794.956291848</v>
      </c>
      <c r="AL45" s="138">
        <v>617696.505417085</v>
      </c>
      <c r="AM45" s="138">
        <v>0</v>
      </c>
      <c r="AN45" s="138">
        <v>0</v>
      </c>
      <c r="AO45" s="86">
        <v>1598979.71588945</v>
      </c>
      <c r="AP45" s="138">
        <v>177148.660201019</v>
      </c>
      <c r="AQ45" s="138">
        <v>102459.251555588</v>
      </c>
      <c r="AR45" s="138">
        <v>110344.972504608</v>
      </c>
      <c r="AS45" s="138">
        <v>67483.463470893</v>
      </c>
      <c r="AT45" s="138">
        <v>100753.197824776</v>
      </c>
      <c r="AU45" s="138">
        <v>81877.634884776</v>
      </c>
      <c r="AV45" s="138">
        <v>81877.634884776</v>
      </c>
      <c r="AW45" s="138">
        <v>81877.634884776</v>
      </c>
      <c r="AX45" s="138">
        <v>345619.92788672</v>
      </c>
      <c r="AY45" s="138">
        <v>442462.801098371</v>
      </c>
      <c r="AZ45" s="138">
        <v>457801.979597616</v>
      </c>
      <c r="BA45" s="138">
        <v>50283.5060355848</v>
      </c>
      <c r="BB45" s="86">
        <v>2099990.6648295</v>
      </c>
      <c r="BC45" s="138">
        <v>215864.743027681</v>
      </c>
      <c r="BD45" s="138">
        <v>129285.967253366</v>
      </c>
      <c r="BE45" s="138">
        <v>65405.3723494186</v>
      </c>
      <c r="BF45" s="138">
        <v>45626.5834661683</v>
      </c>
      <c r="BG45" s="138">
        <v>77599.5221790573</v>
      </c>
      <c r="BH45" s="138">
        <v>47950.7856771055</v>
      </c>
      <c r="BI45" s="138">
        <v>35481.2867966947</v>
      </c>
      <c r="BJ45" s="138">
        <v>255763.305682728</v>
      </c>
      <c r="BK45" s="138">
        <v>802931.052688171</v>
      </c>
      <c r="BL45" s="138">
        <v>464541.364265982</v>
      </c>
      <c r="BM45" s="138">
        <v>80811.3249059437</v>
      </c>
      <c r="BN45" s="138">
        <v>11973.1940040583</v>
      </c>
      <c r="BO45" s="86">
        <v>2233234.50229637</v>
      </c>
      <c r="BP45" s="138">
        <v>691073.027913555</v>
      </c>
      <c r="BQ45" s="138">
        <v>464144.407739689</v>
      </c>
      <c r="BR45" s="138">
        <v>389304.052755402</v>
      </c>
      <c r="BS45" s="138">
        <v>300550.796293615</v>
      </c>
      <c r="BT45" s="138">
        <v>403428.949751603</v>
      </c>
      <c r="BU45" s="138">
        <v>268236.356260257</v>
      </c>
      <c r="BV45" s="138">
        <v>249459.539194255</v>
      </c>
      <c r="BW45" s="138">
        <v>236767.045822466</v>
      </c>
      <c r="BX45" s="138">
        <v>594649.097183702</v>
      </c>
      <c r="BY45" s="138">
        <v>1709580.43763155</v>
      </c>
      <c r="BZ45" s="138">
        <v>963610.150933338</v>
      </c>
      <c r="CA45" s="138">
        <v>237028.968814148</v>
      </c>
      <c r="CB45" s="86">
        <v>6507832.83029358</v>
      </c>
      <c r="CC45" s="138">
        <v>15448.8795838171</v>
      </c>
      <c r="CD45" s="138">
        <v>8953.89546576701</v>
      </c>
      <c r="CE45" s="138">
        <v>12250.7201130698</v>
      </c>
      <c r="CF45" s="138">
        <v>19083.496778886</v>
      </c>
      <c r="CG45" s="138">
        <v>27914.1368697709</v>
      </c>
      <c r="CH45" s="138">
        <v>12770.5704165718</v>
      </c>
      <c r="CI45" s="138">
        <v>9936.8904922276</v>
      </c>
      <c r="CJ45" s="138">
        <v>109898.142939433</v>
      </c>
      <c r="CK45" s="138">
        <v>236783.634785811</v>
      </c>
      <c r="CL45" s="138">
        <v>182616.478355342</v>
      </c>
      <c r="CM45" s="138">
        <v>69911.2267593972</v>
      </c>
      <c r="CN45" s="138">
        <v>1154.31008022146</v>
      </c>
      <c r="CO45" s="86">
        <v>706722.382640316</v>
      </c>
      <c r="CP45" s="138">
        <v>196946.659118845</v>
      </c>
      <c r="CQ45" s="138">
        <v>133099.749555421</v>
      </c>
      <c r="CR45" s="138">
        <v>124231.158713705</v>
      </c>
      <c r="CS45" s="138">
        <v>85111.688597964</v>
      </c>
      <c r="CT45" s="138">
        <v>166442.797473078</v>
      </c>
      <c r="CU45" s="138">
        <v>114783.162713509</v>
      </c>
      <c r="CV45" s="138">
        <v>97960.4009280694</v>
      </c>
      <c r="CW45" s="138">
        <v>392737.886607926</v>
      </c>
      <c r="CX45" s="138">
        <v>867170.503364361</v>
      </c>
      <c r="CY45" s="138">
        <v>453231.449453713</v>
      </c>
      <c r="CZ45" s="138">
        <v>94865.8274735474</v>
      </c>
      <c r="DA45" s="138">
        <v>29212.1832655714</v>
      </c>
      <c r="DB45" s="86">
        <v>2755793.46726571</v>
      </c>
      <c r="DC45" s="138">
        <v>41676.1515968402</v>
      </c>
      <c r="DD45" s="138">
        <v>53254.9919544905</v>
      </c>
      <c r="DE45" s="138">
        <v>12333.8405221317</v>
      </c>
      <c r="DF45" s="138">
        <v>11082.9664306261</v>
      </c>
      <c r="DG45" s="138">
        <v>20727.5605277828</v>
      </c>
      <c r="DH45" s="138">
        <v>14730.8635249257</v>
      </c>
      <c r="DI45" s="138">
        <v>9036.58014554268</v>
      </c>
      <c r="DJ45" s="138">
        <v>50827.6685994496</v>
      </c>
      <c r="DK45" s="138">
        <v>83392.3674618345</v>
      </c>
      <c r="DL45" s="138">
        <v>60615.2339443023</v>
      </c>
      <c r="DM45" s="138">
        <v>19311.0479822556</v>
      </c>
      <c r="DN45" s="138">
        <v>11858.9640814108</v>
      </c>
      <c r="DO45" s="86">
        <v>388848.236771592</v>
      </c>
      <c r="DP45" s="138">
        <v>311466.131268394</v>
      </c>
      <c r="DQ45" s="138">
        <v>169853.557524111</v>
      </c>
      <c r="DR45" s="138">
        <v>266060.81689295</v>
      </c>
      <c r="DS45" s="138">
        <v>90504.5917280054</v>
      </c>
      <c r="DT45" s="138">
        <v>93452.0552372925</v>
      </c>
      <c r="DU45" s="138">
        <v>154688.313714045</v>
      </c>
      <c r="DV45" s="138">
        <v>92142.8243696885</v>
      </c>
      <c r="DW45" s="138">
        <v>226250.895427385</v>
      </c>
      <c r="DX45" s="138">
        <v>522068.940853889</v>
      </c>
      <c r="DY45" s="138">
        <v>471091.30800377</v>
      </c>
      <c r="DZ45" s="138">
        <v>0</v>
      </c>
      <c r="EA45" s="138">
        <v>0</v>
      </c>
      <c r="EB45" s="85">
        <v>2397579.43501953</v>
      </c>
      <c r="EC45" s="87">
        <v>7501.68063093345</v>
      </c>
      <c r="ED45" s="85">
        <v>38600.524911611</v>
      </c>
      <c r="EE45" s="85">
        <v>0</v>
      </c>
      <c r="EF45" s="85">
        <v>0</v>
      </c>
      <c r="EG45" s="85">
        <v>0</v>
      </c>
      <c r="EH45" s="85">
        <v>0</v>
      </c>
      <c r="EI45" s="85">
        <v>0</v>
      </c>
      <c r="EJ45" s="85">
        <v>0</v>
      </c>
      <c r="EK45" s="85">
        <v>0</v>
      </c>
      <c r="EL45" s="85">
        <v>0</v>
      </c>
      <c r="EM45" s="85">
        <v>0</v>
      </c>
      <c r="EN45" s="85">
        <v>0</v>
      </c>
      <c r="EO45" s="152">
        <v>46102.2055425444</v>
      </c>
      <c r="EP45" s="85">
        <v>17592.2568913806</v>
      </c>
      <c r="EQ45" s="85">
        <v>33486.9035007866</v>
      </c>
      <c r="ER45" s="85">
        <v>36420.0480814881</v>
      </c>
      <c r="ES45" s="85">
        <v>25693.0065932906</v>
      </c>
      <c r="ET45" s="85">
        <v>61156.4969423844</v>
      </c>
      <c r="EU45" s="85">
        <v>33285.7757741006</v>
      </c>
      <c r="EV45" s="85">
        <v>21810.6500751986</v>
      </c>
      <c r="EW45" s="85">
        <v>19054.5102415195</v>
      </c>
      <c r="EX45" s="85">
        <v>157431.927293681</v>
      </c>
      <c r="EY45" s="85">
        <v>470204.958725536</v>
      </c>
      <c r="EZ45" s="85">
        <v>212417.149830876</v>
      </c>
      <c r="FA45" s="85">
        <v>107788.88241205</v>
      </c>
      <c r="FB45" s="85">
        <v>1196342.56636229</v>
      </c>
      <c r="FC45" s="87">
        <v>0</v>
      </c>
      <c r="FD45" s="85">
        <v>0</v>
      </c>
      <c r="FE45" s="85">
        <v>0</v>
      </c>
      <c r="FF45" s="85">
        <v>0</v>
      </c>
      <c r="FG45" s="85">
        <v>0</v>
      </c>
      <c r="FH45" s="85">
        <v>0</v>
      </c>
      <c r="FI45" s="85">
        <v>0</v>
      </c>
      <c r="FJ45" s="85">
        <v>0</v>
      </c>
      <c r="FK45" s="85">
        <v>0</v>
      </c>
      <c r="FL45" s="85">
        <v>0</v>
      </c>
      <c r="FM45" s="85">
        <v>0</v>
      </c>
      <c r="FN45" s="85">
        <v>0</v>
      </c>
      <c r="FO45" s="86">
        <v>0</v>
      </c>
      <c r="FP45" s="87">
        <v>629230.266111059</v>
      </c>
      <c r="FQ45" s="85">
        <v>197409.511419137</v>
      </c>
      <c r="FR45" s="85">
        <v>161990.581208447</v>
      </c>
      <c r="FS45" s="85">
        <v>123458.215274694</v>
      </c>
      <c r="FT45" s="85">
        <v>318011.154926947</v>
      </c>
      <c r="FU45" s="85">
        <v>213398.28</v>
      </c>
      <c r="FV45" s="85">
        <v>197069.44</v>
      </c>
      <c r="FW45" s="85">
        <v>125745.52</v>
      </c>
      <c r="FX45" s="85">
        <v>106204.72</v>
      </c>
      <c r="FY45" s="85">
        <v>61482.72</v>
      </c>
      <c r="FZ45" s="85">
        <v>53666.4</v>
      </c>
      <c r="GA45" s="85">
        <v>53666.4</v>
      </c>
      <c r="GB45" s="152">
        <v>2241333.20894028</v>
      </c>
      <c r="GD45" s="153"/>
    </row>
    <row r="46" spans="1:186">
      <c r="A46" s="137" t="s">
        <v>117</v>
      </c>
      <c r="B46" s="151">
        <v>4327162.96034967</v>
      </c>
      <c r="C46" s="138">
        <f t="shared" si="11"/>
        <v>159035.079767928</v>
      </c>
      <c r="D46" s="138">
        <f t="shared" si="0"/>
        <v>88887.2136392378</v>
      </c>
      <c r="E46" s="138">
        <f t="shared" si="1"/>
        <v>76662.5265565824</v>
      </c>
      <c r="F46" s="138">
        <f t="shared" si="2"/>
        <v>57984.5350108192</v>
      </c>
      <c r="G46" s="138">
        <f t="shared" si="3"/>
        <v>51959.0877011146</v>
      </c>
      <c r="H46" s="138">
        <f t="shared" si="4"/>
        <v>42200.0529376979</v>
      </c>
      <c r="I46" s="138">
        <f t="shared" si="5"/>
        <v>41837.8871047702</v>
      </c>
      <c r="J46" s="138">
        <f t="shared" si="6"/>
        <v>41058.0012718426</v>
      </c>
      <c r="K46" s="138">
        <f t="shared" si="7"/>
        <v>21002.0066273916</v>
      </c>
      <c r="L46" s="138">
        <f t="shared" si="8"/>
        <v>21002.0066273916</v>
      </c>
      <c r="M46" s="138">
        <f t="shared" si="9"/>
        <v>22607.5605504266</v>
      </c>
      <c r="N46" s="138">
        <f t="shared" si="10"/>
        <v>22607.5605504266</v>
      </c>
      <c r="O46" s="86">
        <f t="shared" si="12"/>
        <v>646843.518345629</v>
      </c>
      <c r="P46" s="138">
        <v>11110.8153058241</v>
      </c>
      <c r="Q46" s="138">
        <v>6663.16616935573</v>
      </c>
      <c r="R46" s="138">
        <v>8659.42989071406</v>
      </c>
      <c r="S46" s="138">
        <v>3287.56758197049</v>
      </c>
      <c r="T46" s="138">
        <v>244.414590044873</v>
      </c>
      <c r="U46" s="138">
        <v>2933.0096470187</v>
      </c>
      <c r="V46" s="138">
        <v>1466.50482350935</v>
      </c>
      <c r="W46" s="138">
        <v>0</v>
      </c>
      <c r="X46" s="138">
        <v>0</v>
      </c>
      <c r="Y46" s="138">
        <v>0</v>
      </c>
      <c r="Z46" s="138">
        <v>0</v>
      </c>
      <c r="AA46" s="138">
        <v>0</v>
      </c>
      <c r="AB46" s="86">
        <v>34364.9080084373</v>
      </c>
      <c r="AC46" s="138">
        <v>0</v>
      </c>
      <c r="AD46" s="138">
        <v>0</v>
      </c>
      <c r="AE46" s="138">
        <v>0</v>
      </c>
      <c r="AF46" s="138">
        <v>0</v>
      </c>
      <c r="AG46" s="138">
        <v>0</v>
      </c>
      <c r="AH46" s="138">
        <v>0</v>
      </c>
      <c r="AI46" s="138">
        <v>0</v>
      </c>
      <c r="AJ46" s="138">
        <v>0</v>
      </c>
      <c r="AK46" s="138">
        <v>0</v>
      </c>
      <c r="AL46" s="138">
        <v>0</v>
      </c>
      <c r="AM46" s="138">
        <v>0</v>
      </c>
      <c r="AN46" s="138">
        <v>0</v>
      </c>
      <c r="AO46" s="86">
        <v>0</v>
      </c>
      <c r="AP46" s="138">
        <v>5817.29612186684</v>
      </c>
      <c r="AQ46" s="138">
        <v>3632.23757011147</v>
      </c>
      <c r="AR46" s="138">
        <v>2579.8270023529</v>
      </c>
      <c r="AS46" s="138">
        <v>1625.79410364717</v>
      </c>
      <c r="AT46" s="138">
        <v>4746.32509640733</v>
      </c>
      <c r="AU46" s="138">
        <v>2026.14521967639</v>
      </c>
      <c r="AV46" s="138">
        <v>2026.14521967639</v>
      </c>
      <c r="AW46" s="138">
        <v>2026.14521967639</v>
      </c>
      <c r="AX46" s="138">
        <v>2026.14521967639</v>
      </c>
      <c r="AY46" s="138">
        <v>2026.14521967639</v>
      </c>
      <c r="AZ46" s="138">
        <v>2026.14521967639</v>
      </c>
      <c r="BA46" s="138">
        <v>2026.14521967639</v>
      </c>
      <c r="BB46" s="86">
        <v>32584.4964321205</v>
      </c>
      <c r="BC46" s="138">
        <v>13065.820866206</v>
      </c>
      <c r="BD46" s="138">
        <v>4295.94191585139</v>
      </c>
      <c r="BE46" s="138">
        <v>2828.05175469778</v>
      </c>
      <c r="BF46" s="138">
        <v>1038.32055242007</v>
      </c>
      <c r="BG46" s="138">
        <v>147.315069108482</v>
      </c>
      <c r="BH46" s="138">
        <v>0</v>
      </c>
      <c r="BI46" s="138">
        <v>0</v>
      </c>
      <c r="BJ46" s="138">
        <v>0</v>
      </c>
      <c r="BK46" s="138">
        <v>0</v>
      </c>
      <c r="BL46" s="138">
        <v>0</v>
      </c>
      <c r="BM46" s="138">
        <v>0</v>
      </c>
      <c r="BN46" s="138">
        <v>0</v>
      </c>
      <c r="BO46" s="86">
        <v>21375.4501582838</v>
      </c>
      <c r="BP46" s="138">
        <v>38066.1559445575</v>
      </c>
      <c r="BQ46" s="138">
        <v>25027.3106751849</v>
      </c>
      <c r="BR46" s="138">
        <v>21737.3884527658</v>
      </c>
      <c r="BS46" s="138">
        <v>17658.3305502116</v>
      </c>
      <c r="BT46" s="138">
        <v>19036.3130459702</v>
      </c>
      <c r="BU46" s="138">
        <v>8027.76961517457</v>
      </c>
      <c r="BV46" s="138">
        <v>8027.76961517457</v>
      </c>
      <c r="BW46" s="138">
        <v>8027.76961517457</v>
      </c>
      <c r="BX46" s="138">
        <v>6422.21569213966</v>
      </c>
      <c r="BY46" s="138">
        <v>6422.21569213966</v>
      </c>
      <c r="BZ46" s="138">
        <v>8027.76961517457</v>
      </c>
      <c r="CA46" s="138">
        <v>8027.76961517457</v>
      </c>
      <c r="CB46" s="86">
        <v>174508.778128842</v>
      </c>
      <c r="CC46" s="138">
        <v>30024.9080114468</v>
      </c>
      <c r="CD46" s="138">
        <v>7480.93468670591</v>
      </c>
      <c r="CE46" s="138">
        <v>12120.5699016992</v>
      </c>
      <c r="CF46" s="138">
        <v>9799.81198089196</v>
      </c>
      <c r="CG46" s="138">
        <v>8301.35069250226</v>
      </c>
      <c r="CH46" s="138">
        <v>9685.12162417695</v>
      </c>
      <c r="CI46" s="138">
        <v>9685.12162417695</v>
      </c>
      <c r="CJ46" s="138">
        <v>9685.12162417695</v>
      </c>
      <c r="CK46" s="138">
        <v>7402.64073185502</v>
      </c>
      <c r="CL46" s="138">
        <v>7402.64073185502</v>
      </c>
      <c r="CM46" s="138">
        <v>7402.64073185502</v>
      </c>
      <c r="CN46" s="138">
        <v>7402.64073185502</v>
      </c>
      <c r="CO46" s="86">
        <v>126393.503073197</v>
      </c>
      <c r="CP46" s="138">
        <v>9208.34281219856</v>
      </c>
      <c r="CQ46" s="138">
        <v>13351.6393457069</v>
      </c>
      <c r="CR46" s="138">
        <v>8332.12372500167</v>
      </c>
      <c r="CS46" s="138">
        <v>5675.44435202359</v>
      </c>
      <c r="CT46" s="138">
        <v>2771.638085143</v>
      </c>
      <c r="CU46" s="138">
        <v>5222.78428081428</v>
      </c>
      <c r="CV46" s="138">
        <v>5222.78428081428</v>
      </c>
      <c r="CW46" s="138">
        <v>5222.78428081428</v>
      </c>
      <c r="CX46" s="138">
        <v>0</v>
      </c>
      <c r="CY46" s="138">
        <v>0</v>
      </c>
      <c r="CZ46" s="138">
        <v>0</v>
      </c>
      <c r="DA46" s="138">
        <v>0</v>
      </c>
      <c r="DB46" s="86">
        <v>55007.5411625166</v>
      </c>
      <c r="DC46" s="138">
        <v>2431.97065711902</v>
      </c>
      <c r="DD46" s="138">
        <v>2056.49413889327</v>
      </c>
      <c r="DE46" s="138">
        <v>553.236994199624</v>
      </c>
      <c r="DF46" s="138">
        <v>876.074324900951</v>
      </c>
      <c r="DG46" s="138">
        <v>647.945740832414</v>
      </c>
      <c r="DH46" s="138">
        <v>973.804983720581</v>
      </c>
      <c r="DI46" s="138">
        <v>973.804983720581</v>
      </c>
      <c r="DJ46" s="138">
        <v>973.804983720581</v>
      </c>
      <c r="DK46" s="138">
        <v>973.804983720581</v>
      </c>
      <c r="DL46" s="138">
        <v>973.804983720581</v>
      </c>
      <c r="DM46" s="138">
        <v>973.804983720581</v>
      </c>
      <c r="DN46" s="138">
        <v>973.804983720581</v>
      </c>
      <c r="DO46" s="86">
        <v>13382.3567419893</v>
      </c>
      <c r="DP46" s="138">
        <v>29192.820914455</v>
      </c>
      <c r="DQ46" s="138">
        <v>8493.61069166858</v>
      </c>
      <c r="DR46" s="138">
        <v>7672.00239121721</v>
      </c>
      <c r="DS46" s="138">
        <v>10116.0327223234</v>
      </c>
      <c r="DT46" s="138">
        <v>9735.12389235357</v>
      </c>
      <c r="DU46" s="138">
        <v>8885.31857653465</v>
      </c>
      <c r="DV46" s="138">
        <v>8885.31857653465</v>
      </c>
      <c r="DW46" s="138">
        <v>8885.31857653465</v>
      </c>
      <c r="DX46" s="138">
        <v>0</v>
      </c>
      <c r="DY46" s="138">
        <v>0</v>
      </c>
      <c r="DZ46" s="138">
        <v>0</v>
      </c>
      <c r="EA46" s="138">
        <v>0</v>
      </c>
      <c r="EB46" s="85">
        <v>91865.5463416217</v>
      </c>
      <c r="EC46" s="87">
        <v>0</v>
      </c>
      <c r="ED46" s="85">
        <v>0</v>
      </c>
      <c r="EE46" s="85">
        <v>0</v>
      </c>
      <c r="EF46" s="85">
        <v>0</v>
      </c>
      <c r="EG46" s="85">
        <v>0</v>
      </c>
      <c r="EH46" s="85">
        <v>0</v>
      </c>
      <c r="EI46" s="85">
        <v>0</v>
      </c>
      <c r="EJ46" s="85">
        <v>0</v>
      </c>
      <c r="EK46" s="85">
        <v>0</v>
      </c>
      <c r="EL46" s="85">
        <v>0</v>
      </c>
      <c r="EM46" s="85">
        <v>0</v>
      </c>
      <c r="EN46" s="85">
        <v>0</v>
      </c>
      <c r="EO46" s="152">
        <v>0</v>
      </c>
      <c r="EP46" s="85">
        <v>3634.08942673043</v>
      </c>
      <c r="EQ46" s="85">
        <v>5880.09451730792</v>
      </c>
      <c r="ER46" s="85">
        <v>2316.44328293734</v>
      </c>
      <c r="ES46" s="85">
        <v>795.945885477613</v>
      </c>
      <c r="ET46" s="85">
        <v>1754.70206066363</v>
      </c>
      <c r="EU46" s="85">
        <v>686.618990581721</v>
      </c>
      <c r="EV46" s="85">
        <v>1373.23798116344</v>
      </c>
      <c r="EW46" s="85">
        <v>2059.85697174516</v>
      </c>
      <c r="EX46" s="85">
        <v>0</v>
      </c>
      <c r="EY46" s="85">
        <v>0</v>
      </c>
      <c r="EZ46" s="85">
        <v>0</v>
      </c>
      <c r="FA46" s="85">
        <v>0</v>
      </c>
      <c r="FB46" s="85">
        <v>18500.9891166073</v>
      </c>
      <c r="FC46" s="87">
        <v>0</v>
      </c>
      <c r="FD46" s="85">
        <v>0</v>
      </c>
      <c r="FE46" s="85">
        <v>0</v>
      </c>
      <c r="FF46" s="85">
        <v>0</v>
      </c>
      <c r="FG46" s="85">
        <v>0</v>
      </c>
      <c r="FH46" s="85">
        <v>0</v>
      </c>
      <c r="FI46" s="85">
        <v>0</v>
      </c>
      <c r="FJ46" s="85">
        <v>0</v>
      </c>
      <c r="FK46" s="85">
        <v>0</v>
      </c>
      <c r="FL46" s="85">
        <v>0</v>
      </c>
      <c r="FM46" s="85">
        <v>0</v>
      </c>
      <c r="FN46" s="85">
        <v>0</v>
      </c>
      <c r="FO46" s="86">
        <v>0</v>
      </c>
      <c r="FP46" s="87">
        <v>16482.8597075233</v>
      </c>
      <c r="FQ46" s="85">
        <v>12005.7839284517</v>
      </c>
      <c r="FR46" s="85">
        <v>9863.45316099689</v>
      </c>
      <c r="FS46" s="85">
        <v>7111.21295695243</v>
      </c>
      <c r="FT46" s="85">
        <v>4573.95942808881</v>
      </c>
      <c r="FU46" s="85">
        <v>3759.48</v>
      </c>
      <c r="FV46" s="85">
        <v>4177.2</v>
      </c>
      <c r="FW46" s="85">
        <v>4177.2</v>
      </c>
      <c r="FX46" s="85">
        <v>4177.2</v>
      </c>
      <c r="FY46" s="85">
        <v>4177.2</v>
      </c>
      <c r="FZ46" s="85">
        <v>4177.2</v>
      </c>
      <c r="GA46" s="85">
        <v>4177.2</v>
      </c>
      <c r="GB46" s="152">
        <v>78859.9491820131</v>
      </c>
      <c r="GD46" s="153"/>
    </row>
    <row r="47" spans="1:186">
      <c r="A47" s="137" t="s">
        <v>119</v>
      </c>
      <c r="B47" s="151">
        <v>1567038.41518359</v>
      </c>
      <c r="C47" s="138">
        <f t="shared" si="11"/>
        <v>48062.3918025889</v>
      </c>
      <c r="D47" s="138">
        <f t="shared" si="0"/>
        <v>69867.7332579583</v>
      </c>
      <c r="E47" s="138">
        <f t="shared" si="1"/>
        <v>34490.7302306578</v>
      </c>
      <c r="F47" s="138">
        <f t="shared" si="2"/>
        <v>16745.3451697392</v>
      </c>
      <c r="G47" s="138">
        <f t="shared" si="3"/>
        <v>17676.9214095933</v>
      </c>
      <c r="H47" s="138">
        <f t="shared" si="4"/>
        <v>0</v>
      </c>
      <c r="I47" s="138">
        <f t="shared" si="5"/>
        <v>0</v>
      </c>
      <c r="J47" s="138">
        <f t="shared" si="6"/>
        <v>0</v>
      </c>
      <c r="K47" s="138">
        <f t="shared" si="7"/>
        <v>0</v>
      </c>
      <c r="L47" s="138">
        <f t="shared" si="8"/>
        <v>0</v>
      </c>
      <c r="M47" s="138">
        <f t="shared" si="9"/>
        <v>1680508.8</v>
      </c>
      <c r="N47" s="138">
        <f t="shared" si="10"/>
        <v>0</v>
      </c>
      <c r="O47" s="86">
        <f t="shared" si="12"/>
        <v>1867351.92187054</v>
      </c>
      <c r="P47" s="138">
        <v>0</v>
      </c>
      <c r="Q47" s="138">
        <v>0</v>
      </c>
      <c r="R47" s="138">
        <v>0</v>
      </c>
      <c r="S47" s="138">
        <v>0</v>
      </c>
      <c r="T47" s="138">
        <v>0</v>
      </c>
      <c r="U47" s="138">
        <v>0</v>
      </c>
      <c r="V47" s="138">
        <v>0</v>
      </c>
      <c r="W47" s="138">
        <v>0</v>
      </c>
      <c r="X47" s="138">
        <v>0</v>
      </c>
      <c r="Y47" s="138">
        <v>0</v>
      </c>
      <c r="Z47" s="138">
        <v>0</v>
      </c>
      <c r="AA47" s="138">
        <v>0</v>
      </c>
      <c r="AB47" s="86">
        <v>0</v>
      </c>
      <c r="AC47" s="138">
        <v>0</v>
      </c>
      <c r="AD47" s="138">
        <v>0</v>
      </c>
      <c r="AE47" s="138">
        <v>0</v>
      </c>
      <c r="AF47" s="138">
        <v>0</v>
      </c>
      <c r="AG47" s="138">
        <v>0</v>
      </c>
      <c r="AH47" s="138">
        <v>0</v>
      </c>
      <c r="AI47" s="138">
        <v>0</v>
      </c>
      <c r="AJ47" s="138">
        <v>0</v>
      </c>
      <c r="AK47" s="138">
        <v>0</v>
      </c>
      <c r="AL47" s="138">
        <v>0</v>
      </c>
      <c r="AM47" s="138">
        <v>0</v>
      </c>
      <c r="AN47" s="138">
        <v>0</v>
      </c>
      <c r="AO47" s="86">
        <v>0</v>
      </c>
      <c r="AP47" s="138">
        <v>0</v>
      </c>
      <c r="AQ47" s="138">
        <v>0</v>
      </c>
      <c r="AR47" s="138">
        <v>0</v>
      </c>
      <c r="AS47" s="138">
        <v>0</v>
      </c>
      <c r="AT47" s="138">
        <v>0</v>
      </c>
      <c r="AU47" s="138">
        <v>0</v>
      </c>
      <c r="AV47" s="138">
        <v>0</v>
      </c>
      <c r="AW47" s="138">
        <v>0</v>
      </c>
      <c r="AX47" s="138">
        <v>0</v>
      </c>
      <c r="AY47" s="138">
        <v>0</v>
      </c>
      <c r="AZ47" s="138">
        <v>0</v>
      </c>
      <c r="BA47" s="138">
        <v>0</v>
      </c>
      <c r="BB47" s="86">
        <v>0</v>
      </c>
      <c r="BC47" s="138">
        <v>309.909434660257</v>
      </c>
      <c r="BD47" s="138">
        <v>614.975619205995</v>
      </c>
      <c r="BE47" s="138">
        <v>910.901628912718</v>
      </c>
      <c r="BF47" s="138">
        <v>0</v>
      </c>
      <c r="BG47" s="138">
        <v>0</v>
      </c>
      <c r="BH47" s="138">
        <v>0</v>
      </c>
      <c r="BI47" s="138">
        <v>0</v>
      </c>
      <c r="BJ47" s="138">
        <v>0</v>
      </c>
      <c r="BK47" s="138">
        <v>0</v>
      </c>
      <c r="BL47" s="138">
        <v>0</v>
      </c>
      <c r="BM47" s="138">
        <v>0</v>
      </c>
      <c r="BN47" s="138">
        <v>0</v>
      </c>
      <c r="BO47" s="86">
        <v>1835.78668277897</v>
      </c>
      <c r="BP47" s="138">
        <v>37880.891224962</v>
      </c>
      <c r="BQ47" s="138">
        <v>61905.7348406632</v>
      </c>
      <c r="BR47" s="138">
        <v>24856.936292072</v>
      </c>
      <c r="BS47" s="138">
        <v>12198.7720904393</v>
      </c>
      <c r="BT47" s="138">
        <v>9530.53300562926</v>
      </c>
      <c r="BU47" s="138">
        <v>0</v>
      </c>
      <c r="BV47" s="138">
        <v>0</v>
      </c>
      <c r="BW47" s="138">
        <v>0</v>
      </c>
      <c r="BX47" s="138">
        <v>0</v>
      </c>
      <c r="BY47" s="138">
        <v>0</v>
      </c>
      <c r="BZ47" s="138">
        <v>0</v>
      </c>
      <c r="CA47" s="138">
        <v>0</v>
      </c>
      <c r="CB47" s="86">
        <v>146372.867453766</v>
      </c>
      <c r="CC47" s="138">
        <v>7146.96843692025</v>
      </c>
      <c r="CD47" s="138">
        <v>7026.43244520669</v>
      </c>
      <c r="CE47" s="138">
        <v>8722.89230967313</v>
      </c>
      <c r="CF47" s="138">
        <v>4422.17466226975</v>
      </c>
      <c r="CG47" s="138">
        <v>8022.95383714222</v>
      </c>
      <c r="CH47" s="138">
        <v>0</v>
      </c>
      <c r="CI47" s="138">
        <v>0</v>
      </c>
      <c r="CJ47" s="138">
        <v>0</v>
      </c>
      <c r="CK47" s="138">
        <v>0</v>
      </c>
      <c r="CL47" s="138">
        <v>0</v>
      </c>
      <c r="CM47" s="138">
        <v>0</v>
      </c>
      <c r="CN47" s="138">
        <v>0</v>
      </c>
      <c r="CO47" s="86">
        <v>35341.421691212</v>
      </c>
      <c r="CP47" s="138">
        <v>0</v>
      </c>
      <c r="CQ47" s="138">
        <v>0</v>
      </c>
      <c r="CR47" s="138">
        <v>0</v>
      </c>
      <c r="CS47" s="138">
        <v>0</v>
      </c>
      <c r="CT47" s="138">
        <v>0</v>
      </c>
      <c r="CU47" s="138">
        <v>0</v>
      </c>
      <c r="CV47" s="138">
        <v>0</v>
      </c>
      <c r="CW47" s="138">
        <v>0</v>
      </c>
      <c r="CX47" s="138">
        <v>0</v>
      </c>
      <c r="CY47" s="138">
        <v>0</v>
      </c>
      <c r="CZ47" s="138">
        <v>0</v>
      </c>
      <c r="DA47" s="138">
        <v>0</v>
      </c>
      <c r="DB47" s="86">
        <v>0</v>
      </c>
      <c r="DC47" s="138">
        <v>0</v>
      </c>
      <c r="DD47" s="138">
        <v>0</v>
      </c>
      <c r="DE47" s="138">
        <v>0</v>
      </c>
      <c r="DF47" s="138">
        <v>0</v>
      </c>
      <c r="DG47" s="138">
        <v>0</v>
      </c>
      <c r="DH47" s="138">
        <v>0</v>
      </c>
      <c r="DI47" s="138">
        <v>0</v>
      </c>
      <c r="DJ47" s="138">
        <v>0</v>
      </c>
      <c r="DK47" s="138">
        <v>0</v>
      </c>
      <c r="DL47" s="138">
        <v>0</v>
      </c>
      <c r="DM47" s="138">
        <v>0</v>
      </c>
      <c r="DN47" s="138">
        <v>0</v>
      </c>
      <c r="DO47" s="86">
        <v>0</v>
      </c>
      <c r="DP47" s="138">
        <v>2647.93742722349</v>
      </c>
      <c r="DQ47" s="138">
        <v>205.031520058195</v>
      </c>
      <c r="DR47" s="138">
        <v>0</v>
      </c>
      <c r="DS47" s="138">
        <v>0</v>
      </c>
      <c r="DT47" s="138">
        <v>0</v>
      </c>
      <c r="DU47" s="138">
        <v>0</v>
      </c>
      <c r="DV47" s="138">
        <v>0</v>
      </c>
      <c r="DW47" s="138">
        <v>0</v>
      </c>
      <c r="DX47" s="138">
        <v>0</v>
      </c>
      <c r="DY47" s="138">
        <v>0</v>
      </c>
      <c r="DZ47" s="138">
        <v>0</v>
      </c>
      <c r="EA47" s="138">
        <v>0</v>
      </c>
      <c r="EB47" s="85">
        <v>2852.96894728169</v>
      </c>
      <c r="EC47" s="87">
        <v>0</v>
      </c>
      <c r="ED47" s="85">
        <v>0</v>
      </c>
      <c r="EE47" s="85">
        <v>0</v>
      </c>
      <c r="EF47" s="85">
        <v>0</v>
      </c>
      <c r="EG47" s="85">
        <v>0</v>
      </c>
      <c r="EH47" s="85">
        <v>0</v>
      </c>
      <c r="EI47" s="85">
        <v>0</v>
      </c>
      <c r="EJ47" s="85">
        <v>0</v>
      </c>
      <c r="EK47" s="85">
        <v>0</v>
      </c>
      <c r="EL47" s="85">
        <v>0</v>
      </c>
      <c r="EM47" s="85">
        <v>0</v>
      </c>
      <c r="EN47" s="85">
        <v>0</v>
      </c>
      <c r="EO47" s="152">
        <v>0</v>
      </c>
      <c r="EP47" s="85">
        <v>0</v>
      </c>
      <c r="EQ47" s="85">
        <v>0</v>
      </c>
      <c r="ER47" s="85">
        <v>0</v>
      </c>
      <c r="ES47" s="85">
        <v>0</v>
      </c>
      <c r="ET47" s="85">
        <v>0</v>
      </c>
      <c r="EU47" s="85">
        <v>0</v>
      </c>
      <c r="EV47" s="85">
        <v>0</v>
      </c>
      <c r="EW47" s="85">
        <v>0</v>
      </c>
      <c r="EX47" s="85">
        <v>0</v>
      </c>
      <c r="EY47" s="85">
        <v>0</v>
      </c>
      <c r="EZ47" s="85">
        <v>0</v>
      </c>
      <c r="FA47" s="85">
        <v>0</v>
      </c>
      <c r="FB47" s="85">
        <v>0</v>
      </c>
      <c r="FC47" s="87">
        <v>0</v>
      </c>
      <c r="FD47" s="85">
        <v>0</v>
      </c>
      <c r="FE47" s="85">
        <v>0</v>
      </c>
      <c r="FF47" s="85">
        <v>0</v>
      </c>
      <c r="FG47" s="85">
        <v>0</v>
      </c>
      <c r="FH47" s="85">
        <v>0</v>
      </c>
      <c r="FI47" s="85">
        <v>0</v>
      </c>
      <c r="FJ47" s="85">
        <v>0</v>
      </c>
      <c r="FK47" s="85">
        <v>0</v>
      </c>
      <c r="FL47" s="85">
        <v>0</v>
      </c>
      <c r="FM47" s="85">
        <v>0</v>
      </c>
      <c r="FN47" s="85">
        <v>0</v>
      </c>
      <c r="FO47" s="86">
        <v>0</v>
      </c>
      <c r="FP47" s="87">
        <v>76.685278822881</v>
      </c>
      <c r="FQ47" s="85">
        <v>115.558832824186</v>
      </c>
      <c r="FR47" s="85">
        <v>0</v>
      </c>
      <c r="FS47" s="85">
        <v>124.398417030143</v>
      </c>
      <c r="FT47" s="85">
        <v>123.434566821817</v>
      </c>
      <c r="FU47" s="85">
        <v>0</v>
      </c>
      <c r="FV47" s="85">
        <v>0</v>
      </c>
      <c r="FW47" s="85">
        <v>0</v>
      </c>
      <c r="FX47" s="85">
        <v>0</v>
      </c>
      <c r="FY47" s="85">
        <v>0</v>
      </c>
      <c r="FZ47" s="85">
        <v>1680508.8</v>
      </c>
      <c r="GA47" s="85">
        <v>0</v>
      </c>
      <c r="GB47" s="152">
        <v>1680948.8770955</v>
      </c>
      <c r="GD47" s="153"/>
    </row>
    <row r="48" spans="1:186">
      <c r="A48" s="137" t="s">
        <v>121</v>
      </c>
      <c r="B48" s="151">
        <v>6068677.88893381</v>
      </c>
      <c r="C48" s="138">
        <f t="shared" si="11"/>
        <v>458418.115152281</v>
      </c>
      <c r="D48" s="138">
        <f t="shared" si="0"/>
        <v>231068.59816858</v>
      </c>
      <c r="E48" s="138">
        <f t="shared" si="1"/>
        <v>195002.810545432</v>
      </c>
      <c r="F48" s="138">
        <f t="shared" si="2"/>
        <v>463516.647715812</v>
      </c>
      <c r="G48" s="138">
        <f t="shared" si="3"/>
        <v>137864.458231704</v>
      </c>
      <c r="H48" s="138">
        <f t="shared" si="4"/>
        <v>366697.257433986</v>
      </c>
      <c r="I48" s="138">
        <f t="shared" si="5"/>
        <v>174234.879167291</v>
      </c>
      <c r="J48" s="138">
        <f t="shared" si="6"/>
        <v>67694.2018576301</v>
      </c>
      <c r="K48" s="138">
        <f t="shared" si="7"/>
        <v>48560.8018548302</v>
      </c>
      <c r="L48" s="138">
        <f t="shared" si="8"/>
        <v>49751.7959243645</v>
      </c>
      <c r="M48" s="138">
        <f t="shared" si="9"/>
        <v>49249.3925350375</v>
      </c>
      <c r="N48" s="138">
        <f t="shared" si="10"/>
        <v>48847.4698235759</v>
      </c>
      <c r="O48" s="86">
        <f t="shared" si="12"/>
        <v>2290906.42841052</v>
      </c>
      <c r="P48" s="138">
        <v>133148.767438183</v>
      </c>
      <c r="Q48" s="138">
        <v>35398.4915325336</v>
      </c>
      <c r="R48" s="138">
        <v>22803.8488130998</v>
      </c>
      <c r="S48" s="138">
        <v>22737.2031848034</v>
      </c>
      <c r="T48" s="138">
        <v>15414.867283754</v>
      </c>
      <c r="U48" s="138">
        <v>14578.0521862413</v>
      </c>
      <c r="V48" s="138">
        <v>14578.0521862413</v>
      </c>
      <c r="W48" s="138">
        <v>12862.9872231541</v>
      </c>
      <c r="X48" s="138">
        <v>12862.9872231541</v>
      </c>
      <c r="Y48" s="138">
        <v>12862.9872231541</v>
      </c>
      <c r="Z48" s="138">
        <v>12862.9872231541</v>
      </c>
      <c r="AA48" s="138">
        <v>12862.9872231541</v>
      </c>
      <c r="AB48" s="86">
        <v>322974.218740627</v>
      </c>
      <c r="AC48" s="138">
        <v>0</v>
      </c>
      <c r="AD48" s="138">
        <v>0</v>
      </c>
      <c r="AE48" s="138">
        <v>0</v>
      </c>
      <c r="AF48" s="138">
        <v>0</v>
      </c>
      <c r="AG48" s="138">
        <v>0</v>
      </c>
      <c r="AH48" s="138">
        <v>0</v>
      </c>
      <c r="AI48" s="138">
        <v>0</v>
      </c>
      <c r="AJ48" s="138">
        <v>0</v>
      </c>
      <c r="AK48" s="138">
        <v>0</v>
      </c>
      <c r="AL48" s="138">
        <v>0</v>
      </c>
      <c r="AM48" s="138">
        <v>0</v>
      </c>
      <c r="AN48" s="138">
        <v>0</v>
      </c>
      <c r="AO48" s="86">
        <v>0</v>
      </c>
      <c r="AP48" s="138">
        <v>25939.9331175346</v>
      </c>
      <c r="AQ48" s="138">
        <v>11491.511330566</v>
      </c>
      <c r="AR48" s="138">
        <v>8435.17389077891</v>
      </c>
      <c r="AS48" s="138">
        <v>4133.10398507039</v>
      </c>
      <c r="AT48" s="138">
        <v>3961.42543817764</v>
      </c>
      <c r="AU48" s="138">
        <v>0</v>
      </c>
      <c r="AV48" s="138">
        <v>0</v>
      </c>
      <c r="AW48" s="138">
        <v>0</v>
      </c>
      <c r="AX48" s="138">
        <v>0</v>
      </c>
      <c r="AY48" s="138">
        <v>0</v>
      </c>
      <c r="AZ48" s="138">
        <v>0</v>
      </c>
      <c r="BA48" s="138">
        <v>0</v>
      </c>
      <c r="BB48" s="86">
        <v>53961.1477621275</v>
      </c>
      <c r="BC48" s="138">
        <v>27392.9800992382</v>
      </c>
      <c r="BD48" s="138">
        <v>17089.346522334</v>
      </c>
      <c r="BE48" s="138">
        <v>9537.66281535942</v>
      </c>
      <c r="BF48" s="138">
        <v>6958.03423937405</v>
      </c>
      <c r="BG48" s="138">
        <v>5554.72181177171</v>
      </c>
      <c r="BH48" s="138">
        <v>6404.26656031024</v>
      </c>
      <c r="BI48" s="138">
        <v>6404.26656031024</v>
      </c>
      <c r="BJ48" s="138">
        <v>6404.26656031024</v>
      </c>
      <c r="BK48" s="138">
        <v>0</v>
      </c>
      <c r="BL48" s="138">
        <v>0</v>
      </c>
      <c r="BM48" s="138">
        <v>0</v>
      </c>
      <c r="BN48" s="138">
        <v>0</v>
      </c>
      <c r="BO48" s="86">
        <v>85745.5451690081</v>
      </c>
      <c r="BP48" s="138">
        <v>55063.4238474512</v>
      </c>
      <c r="BQ48" s="138">
        <v>51518.5153172313</v>
      </c>
      <c r="BR48" s="138">
        <v>50716.0652012299</v>
      </c>
      <c r="BS48" s="138">
        <v>41550.1063963357</v>
      </c>
      <c r="BT48" s="138">
        <v>36499.1712352472</v>
      </c>
      <c r="BU48" s="138">
        <v>25768.2333720985</v>
      </c>
      <c r="BV48" s="138">
        <v>25768.2333720985</v>
      </c>
      <c r="BW48" s="138">
        <v>27645.9150786986</v>
      </c>
      <c r="BX48" s="138">
        <v>26707.0742253986</v>
      </c>
      <c r="BY48" s="138">
        <v>27645.9150786986</v>
      </c>
      <c r="BZ48" s="138">
        <v>27645.9150786986</v>
      </c>
      <c r="CA48" s="138">
        <v>27645.9150786986</v>
      </c>
      <c r="CB48" s="86">
        <v>424174.483281886</v>
      </c>
      <c r="CC48" s="138">
        <v>4248.86121782164</v>
      </c>
      <c r="CD48" s="138">
        <v>689.453782130396</v>
      </c>
      <c r="CE48" s="138">
        <v>3281.27885429057</v>
      </c>
      <c r="CF48" s="138">
        <v>3517.34849642194</v>
      </c>
      <c r="CG48" s="138">
        <v>2476.51513405788</v>
      </c>
      <c r="CH48" s="138">
        <v>4008.60409676907</v>
      </c>
      <c r="CI48" s="138">
        <v>4396.34734644346</v>
      </c>
      <c r="CJ48" s="138">
        <v>0</v>
      </c>
      <c r="CK48" s="138">
        <v>0</v>
      </c>
      <c r="CL48" s="138">
        <v>0</v>
      </c>
      <c r="CM48" s="138">
        <v>0</v>
      </c>
      <c r="CN48" s="138">
        <v>0</v>
      </c>
      <c r="CO48" s="86">
        <v>22618.408927935</v>
      </c>
      <c r="CP48" s="138">
        <v>26304.5122925451</v>
      </c>
      <c r="CQ48" s="138">
        <v>8777.01620223091</v>
      </c>
      <c r="CR48" s="138">
        <v>5954.00528356919</v>
      </c>
      <c r="CS48" s="138">
        <v>4116.57427451061</v>
      </c>
      <c r="CT48" s="138">
        <v>3649.27803463185</v>
      </c>
      <c r="CU48" s="138">
        <v>5090.00162960713</v>
      </c>
      <c r="CV48" s="138">
        <v>5090.00162960713</v>
      </c>
      <c r="CW48" s="138">
        <v>5090.00162960713</v>
      </c>
      <c r="CX48" s="138">
        <v>0</v>
      </c>
      <c r="CY48" s="138">
        <v>0</v>
      </c>
      <c r="CZ48" s="138">
        <v>0</v>
      </c>
      <c r="DA48" s="138">
        <v>0</v>
      </c>
      <c r="DB48" s="86">
        <v>64071.3909763091</v>
      </c>
      <c r="DC48" s="138">
        <v>2893.36932666413</v>
      </c>
      <c r="DD48" s="138">
        <v>2365.15160003025</v>
      </c>
      <c r="DE48" s="138">
        <v>1545.22514139345</v>
      </c>
      <c r="DF48" s="138">
        <v>1099.15612665242</v>
      </c>
      <c r="DG48" s="138">
        <v>26668.8524717733</v>
      </c>
      <c r="DH48" s="138">
        <v>1138.85667587661</v>
      </c>
      <c r="DI48" s="138">
        <v>1138.85667587661</v>
      </c>
      <c r="DJ48" s="138">
        <v>1138.85667587661</v>
      </c>
      <c r="DK48" s="138">
        <v>1138.85667587661</v>
      </c>
      <c r="DL48" s="138">
        <v>1138.85667587661</v>
      </c>
      <c r="DM48" s="138">
        <v>1138.85667587661</v>
      </c>
      <c r="DN48" s="138">
        <v>1138.85667587661</v>
      </c>
      <c r="DO48" s="86">
        <v>42543.7513976499</v>
      </c>
      <c r="DP48" s="138">
        <v>92638.4299141071</v>
      </c>
      <c r="DQ48" s="138">
        <v>51337.2496053246</v>
      </c>
      <c r="DR48" s="138">
        <v>35322.705015105</v>
      </c>
      <c r="DS48" s="138">
        <v>353024.161326566</v>
      </c>
      <c r="DT48" s="138">
        <v>20084.8985704647</v>
      </c>
      <c r="DU48" s="138">
        <v>16526.6298029295</v>
      </c>
      <c r="DV48" s="138">
        <v>10032.0643179624</v>
      </c>
      <c r="DW48" s="138">
        <v>6135.32502698217</v>
      </c>
      <c r="DX48" s="138">
        <v>0</v>
      </c>
      <c r="DY48" s="138">
        <v>0</v>
      </c>
      <c r="DZ48" s="138">
        <v>0</v>
      </c>
      <c r="EA48" s="138">
        <v>0</v>
      </c>
      <c r="EB48" s="85">
        <v>585101.463579442</v>
      </c>
      <c r="EC48" s="87">
        <v>5358.34330780961</v>
      </c>
      <c r="ED48" s="85">
        <v>0</v>
      </c>
      <c r="EE48" s="85">
        <v>0</v>
      </c>
      <c r="EF48" s="85">
        <v>0</v>
      </c>
      <c r="EG48" s="85">
        <v>0</v>
      </c>
      <c r="EH48" s="85">
        <v>0</v>
      </c>
      <c r="EI48" s="85">
        <v>0</v>
      </c>
      <c r="EJ48" s="85">
        <v>0</v>
      </c>
      <c r="EK48" s="85">
        <v>0</v>
      </c>
      <c r="EL48" s="85">
        <v>0</v>
      </c>
      <c r="EM48" s="85">
        <v>0</v>
      </c>
      <c r="EN48" s="85">
        <v>0</v>
      </c>
      <c r="EO48" s="152">
        <v>5358.34330780961</v>
      </c>
      <c r="EP48" s="85">
        <v>12318.1138010751</v>
      </c>
      <c r="EQ48" s="85">
        <v>12021.4381369603</v>
      </c>
      <c r="ER48" s="85">
        <v>13318.069163574</v>
      </c>
      <c r="ES48" s="85">
        <v>8950.18843566694</v>
      </c>
      <c r="ET48" s="85">
        <v>9439.08732210398</v>
      </c>
      <c r="EU48" s="85">
        <v>11158.9551101542</v>
      </c>
      <c r="EV48" s="85">
        <v>3531.03707875159</v>
      </c>
      <c r="EW48" s="85">
        <v>2824.82966300127</v>
      </c>
      <c r="EX48" s="85">
        <v>2259.86373040102</v>
      </c>
      <c r="EY48" s="85">
        <v>2512.01694663523</v>
      </c>
      <c r="EZ48" s="85">
        <v>2009.61355730819</v>
      </c>
      <c r="FA48" s="85">
        <v>1607.69084584655</v>
      </c>
      <c r="FB48" s="85">
        <v>81950.9037914784</v>
      </c>
      <c r="FC48" s="87">
        <v>0</v>
      </c>
      <c r="FD48" s="85">
        <v>0</v>
      </c>
      <c r="FE48" s="85">
        <v>0</v>
      </c>
      <c r="FF48" s="85">
        <v>0</v>
      </c>
      <c r="FG48" s="85">
        <v>0</v>
      </c>
      <c r="FH48" s="85">
        <v>0</v>
      </c>
      <c r="FI48" s="85">
        <v>0</v>
      </c>
      <c r="FJ48" s="85">
        <v>0</v>
      </c>
      <c r="FK48" s="85">
        <v>0</v>
      </c>
      <c r="FL48" s="85">
        <v>0</v>
      </c>
      <c r="FM48" s="85">
        <v>0</v>
      </c>
      <c r="FN48" s="85">
        <v>0</v>
      </c>
      <c r="FO48" s="86">
        <v>0</v>
      </c>
      <c r="FP48" s="87">
        <v>73111.3807898514</v>
      </c>
      <c r="FQ48" s="85">
        <v>40380.4241392385</v>
      </c>
      <c r="FR48" s="85">
        <v>44088.7763670319</v>
      </c>
      <c r="FS48" s="85">
        <v>17430.7712504099</v>
      </c>
      <c r="FT48" s="85">
        <v>14115.6409297214</v>
      </c>
      <c r="FU48" s="85">
        <v>282023.658</v>
      </c>
      <c r="FV48" s="85">
        <v>103296.02</v>
      </c>
      <c r="FW48" s="85">
        <v>5592.02</v>
      </c>
      <c r="FX48" s="85">
        <v>5592.02</v>
      </c>
      <c r="FY48" s="85">
        <v>5592.02</v>
      </c>
      <c r="FZ48" s="85">
        <v>5592.02</v>
      </c>
      <c r="GA48" s="85">
        <v>5592.02</v>
      </c>
      <c r="GB48" s="152">
        <v>602406.771476253</v>
      </c>
      <c r="GD48" s="153"/>
    </row>
    <row r="49" spans="1:186">
      <c r="A49" s="137" t="s">
        <v>123</v>
      </c>
      <c r="B49" s="151">
        <v>480753.548957469</v>
      </c>
      <c r="C49" s="138">
        <f t="shared" si="11"/>
        <v>2240.7961704685</v>
      </c>
      <c r="D49" s="138">
        <f t="shared" si="0"/>
        <v>1628.7328016295</v>
      </c>
      <c r="E49" s="138">
        <f t="shared" si="1"/>
        <v>1481.5045384443</v>
      </c>
      <c r="F49" s="138">
        <f t="shared" si="2"/>
        <v>957.642479569769</v>
      </c>
      <c r="G49" s="138">
        <f t="shared" si="3"/>
        <v>868.525039891625</v>
      </c>
      <c r="H49" s="138">
        <f t="shared" si="4"/>
        <v>0</v>
      </c>
      <c r="I49" s="138">
        <f t="shared" si="5"/>
        <v>0</v>
      </c>
      <c r="J49" s="138">
        <f t="shared" si="6"/>
        <v>0</v>
      </c>
      <c r="K49" s="138">
        <f t="shared" si="7"/>
        <v>0</v>
      </c>
      <c r="L49" s="138">
        <f t="shared" si="8"/>
        <v>0</v>
      </c>
      <c r="M49" s="138">
        <f t="shared" si="9"/>
        <v>0</v>
      </c>
      <c r="N49" s="138">
        <f t="shared" si="10"/>
        <v>0</v>
      </c>
      <c r="O49" s="86">
        <f t="shared" si="12"/>
        <v>7177.2010300037</v>
      </c>
      <c r="P49" s="138">
        <v>157.226787525977</v>
      </c>
      <c r="Q49" s="138">
        <v>0</v>
      </c>
      <c r="R49" s="138">
        <v>0</v>
      </c>
      <c r="S49" s="138">
        <v>0</v>
      </c>
      <c r="T49" s="138">
        <v>0</v>
      </c>
      <c r="U49" s="138">
        <v>0</v>
      </c>
      <c r="V49" s="138">
        <v>0</v>
      </c>
      <c r="W49" s="138">
        <v>0</v>
      </c>
      <c r="X49" s="138">
        <v>0</v>
      </c>
      <c r="Y49" s="138">
        <v>0</v>
      </c>
      <c r="Z49" s="138">
        <v>0</v>
      </c>
      <c r="AA49" s="138">
        <v>0</v>
      </c>
      <c r="AB49" s="86">
        <v>157.226787525977</v>
      </c>
      <c r="AC49" s="138">
        <v>0</v>
      </c>
      <c r="AD49" s="138">
        <v>0</v>
      </c>
      <c r="AE49" s="138">
        <v>0</v>
      </c>
      <c r="AF49" s="138">
        <v>0</v>
      </c>
      <c r="AG49" s="138">
        <v>0</v>
      </c>
      <c r="AH49" s="138">
        <v>0</v>
      </c>
      <c r="AI49" s="138">
        <v>0</v>
      </c>
      <c r="AJ49" s="138">
        <v>0</v>
      </c>
      <c r="AK49" s="138">
        <v>0</v>
      </c>
      <c r="AL49" s="138">
        <v>0</v>
      </c>
      <c r="AM49" s="138">
        <v>0</v>
      </c>
      <c r="AN49" s="138">
        <v>0</v>
      </c>
      <c r="AO49" s="86">
        <v>0</v>
      </c>
      <c r="AP49" s="138">
        <v>0</v>
      </c>
      <c r="AQ49" s="138">
        <v>0</v>
      </c>
      <c r="AR49" s="138">
        <v>0</v>
      </c>
      <c r="AS49" s="138">
        <v>0</v>
      </c>
      <c r="AT49" s="138">
        <v>0</v>
      </c>
      <c r="AU49" s="138">
        <v>0</v>
      </c>
      <c r="AV49" s="138">
        <v>0</v>
      </c>
      <c r="AW49" s="138">
        <v>0</v>
      </c>
      <c r="AX49" s="138">
        <v>0</v>
      </c>
      <c r="AY49" s="138">
        <v>0</v>
      </c>
      <c r="AZ49" s="138">
        <v>0</v>
      </c>
      <c r="BA49" s="138">
        <v>0</v>
      </c>
      <c r="BB49" s="86">
        <v>0</v>
      </c>
      <c r="BC49" s="138">
        <v>0</v>
      </c>
      <c r="BD49" s="138">
        <v>0</v>
      </c>
      <c r="BE49" s="138">
        <v>0</v>
      </c>
      <c r="BF49" s="138">
        <v>0</v>
      </c>
      <c r="BG49" s="138">
        <v>0</v>
      </c>
      <c r="BH49" s="138">
        <v>0</v>
      </c>
      <c r="BI49" s="138">
        <v>0</v>
      </c>
      <c r="BJ49" s="138">
        <v>0</v>
      </c>
      <c r="BK49" s="138">
        <v>0</v>
      </c>
      <c r="BL49" s="138">
        <v>0</v>
      </c>
      <c r="BM49" s="138">
        <v>0</v>
      </c>
      <c r="BN49" s="138">
        <v>0</v>
      </c>
      <c r="BO49" s="86">
        <v>0</v>
      </c>
      <c r="BP49" s="138">
        <v>0</v>
      </c>
      <c r="BQ49" s="138">
        <v>0</v>
      </c>
      <c r="BR49" s="138">
        <v>0</v>
      </c>
      <c r="BS49" s="138">
        <v>0</v>
      </c>
      <c r="BT49" s="138">
        <v>0</v>
      </c>
      <c r="BU49" s="138">
        <v>0</v>
      </c>
      <c r="BV49" s="138">
        <v>0</v>
      </c>
      <c r="BW49" s="138">
        <v>0</v>
      </c>
      <c r="BX49" s="138">
        <v>0</v>
      </c>
      <c r="BY49" s="138">
        <v>0</v>
      </c>
      <c r="BZ49" s="138">
        <v>0</v>
      </c>
      <c r="CA49" s="138">
        <v>0</v>
      </c>
      <c r="CB49" s="86">
        <v>0</v>
      </c>
      <c r="CC49" s="138">
        <v>0</v>
      </c>
      <c r="CD49" s="138">
        <v>0</v>
      </c>
      <c r="CE49" s="138">
        <v>0</v>
      </c>
      <c r="CF49" s="138">
        <v>0</v>
      </c>
      <c r="CG49" s="138">
        <v>0</v>
      </c>
      <c r="CH49" s="138">
        <v>0</v>
      </c>
      <c r="CI49" s="138">
        <v>0</v>
      </c>
      <c r="CJ49" s="138">
        <v>0</v>
      </c>
      <c r="CK49" s="138">
        <v>0</v>
      </c>
      <c r="CL49" s="138">
        <v>0</v>
      </c>
      <c r="CM49" s="138">
        <v>0</v>
      </c>
      <c r="CN49" s="138">
        <v>0</v>
      </c>
      <c r="CO49" s="86">
        <v>0</v>
      </c>
      <c r="CP49" s="138">
        <v>0</v>
      </c>
      <c r="CQ49" s="138">
        <v>0</v>
      </c>
      <c r="CR49" s="138">
        <v>0</v>
      </c>
      <c r="CS49" s="138">
        <v>516.293912106042</v>
      </c>
      <c r="CT49" s="138">
        <v>0</v>
      </c>
      <c r="CU49" s="138">
        <v>0</v>
      </c>
      <c r="CV49" s="138">
        <v>0</v>
      </c>
      <c r="CW49" s="138">
        <v>0</v>
      </c>
      <c r="CX49" s="138">
        <v>0</v>
      </c>
      <c r="CY49" s="138">
        <v>0</v>
      </c>
      <c r="CZ49" s="138">
        <v>0</v>
      </c>
      <c r="DA49" s="138">
        <v>0</v>
      </c>
      <c r="DB49" s="86">
        <v>516.293912106042</v>
      </c>
      <c r="DC49" s="138">
        <v>0</v>
      </c>
      <c r="DD49" s="138">
        <v>0</v>
      </c>
      <c r="DE49" s="138">
        <v>0</v>
      </c>
      <c r="DF49" s="138">
        <v>0</v>
      </c>
      <c r="DG49" s="138">
        <v>0</v>
      </c>
      <c r="DH49" s="138">
        <v>0</v>
      </c>
      <c r="DI49" s="138">
        <v>0</v>
      </c>
      <c r="DJ49" s="138">
        <v>0</v>
      </c>
      <c r="DK49" s="138">
        <v>0</v>
      </c>
      <c r="DL49" s="138">
        <v>0</v>
      </c>
      <c r="DM49" s="138">
        <v>0</v>
      </c>
      <c r="DN49" s="138">
        <v>0</v>
      </c>
      <c r="DO49" s="86">
        <v>0</v>
      </c>
      <c r="DP49" s="138">
        <v>0</v>
      </c>
      <c r="DQ49" s="138">
        <v>0</v>
      </c>
      <c r="DR49" s="138">
        <v>0</v>
      </c>
      <c r="DS49" s="138">
        <v>0</v>
      </c>
      <c r="DT49" s="138">
        <v>0</v>
      </c>
      <c r="DU49" s="138">
        <v>0</v>
      </c>
      <c r="DV49" s="138">
        <v>0</v>
      </c>
      <c r="DW49" s="138">
        <v>0</v>
      </c>
      <c r="DX49" s="138">
        <v>0</v>
      </c>
      <c r="DY49" s="138">
        <v>0</v>
      </c>
      <c r="DZ49" s="138">
        <v>0</v>
      </c>
      <c r="EA49" s="138">
        <v>0</v>
      </c>
      <c r="EB49" s="85">
        <v>0</v>
      </c>
      <c r="EC49" s="87">
        <v>0</v>
      </c>
      <c r="ED49" s="85">
        <v>0</v>
      </c>
      <c r="EE49" s="85">
        <v>0</v>
      </c>
      <c r="EF49" s="85">
        <v>0</v>
      </c>
      <c r="EG49" s="85">
        <v>0</v>
      </c>
      <c r="EH49" s="85">
        <v>0</v>
      </c>
      <c r="EI49" s="85">
        <v>0</v>
      </c>
      <c r="EJ49" s="85">
        <v>0</v>
      </c>
      <c r="EK49" s="85">
        <v>0</v>
      </c>
      <c r="EL49" s="85">
        <v>0</v>
      </c>
      <c r="EM49" s="85">
        <v>0</v>
      </c>
      <c r="EN49" s="85">
        <v>0</v>
      </c>
      <c r="EO49" s="152">
        <v>0</v>
      </c>
      <c r="EP49" s="85">
        <v>0</v>
      </c>
      <c r="EQ49" s="85">
        <v>0</v>
      </c>
      <c r="ER49" s="85">
        <v>0</v>
      </c>
      <c r="ES49" s="85">
        <v>0</v>
      </c>
      <c r="ET49" s="85">
        <v>0</v>
      </c>
      <c r="EU49" s="85">
        <v>0</v>
      </c>
      <c r="EV49" s="85">
        <v>0</v>
      </c>
      <c r="EW49" s="85">
        <v>0</v>
      </c>
      <c r="EX49" s="85">
        <v>0</v>
      </c>
      <c r="EY49" s="85">
        <v>0</v>
      </c>
      <c r="EZ49" s="85">
        <v>0</v>
      </c>
      <c r="FA49" s="85">
        <v>0</v>
      </c>
      <c r="FB49" s="85">
        <v>0</v>
      </c>
      <c r="FC49" s="87">
        <v>0</v>
      </c>
      <c r="FD49" s="85">
        <v>0</v>
      </c>
      <c r="FE49" s="85">
        <v>0</v>
      </c>
      <c r="FF49" s="85">
        <v>0</v>
      </c>
      <c r="FG49" s="85">
        <v>0</v>
      </c>
      <c r="FH49" s="85">
        <v>0</v>
      </c>
      <c r="FI49" s="85">
        <v>0</v>
      </c>
      <c r="FJ49" s="85">
        <v>0</v>
      </c>
      <c r="FK49" s="85">
        <v>0</v>
      </c>
      <c r="FL49" s="85">
        <v>0</v>
      </c>
      <c r="FM49" s="85">
        <v>0</v>
      </c>
      <c r="FN49" s="85">
        <v>0</v>
      </c>
      <c r="FO49" s="86">
        <v>0</v>
      </c>
      <c r="FP49" s="87">
        <v>2083.56938294252</v>
      </c>
      <c r="FQ49" s="85">
        <v>1628.7328016295</v>
      </c>
      <c r="FR49" s="85">
        <v>1481.5045384443</v>
      </c>
      <c r="FS49" s="85">
        <v>441.348567463728</v>
      </c>
      <c r="FT49" s="85">
        <v>868.525039891625</v>
      </c>
      <c r="FU49" s="85">
        <v>0</v>
      </c>
      <c r="FV49" s="85">
        <v>0</v>
      </c>
      <c r="FW49" s="85">
        <v>0</v>
      </c>
      <c r="FX49" s="85">
        <v>0</v>
      </c>
      <c r="FY49" s="85">
        <v>0</v>
      </c>
      <c r="FZ49" s="85">
        <v>0</v>
      </c>
      <c r="GA49" s="85">
        <v>0</v>
      </c>
      <c r="GB49" s="152">
        <v>6503.68033037168</v>
      </c>
      <c r="GD49" s="153"/>
    </row>
    <row r="50" spans="1:186">
      <c r="A50" s="137" t="s">
        <v>125</v>
      </c>
      <c r="B50" s="151">
        <v>1998294.48741256</v>
      </c>
      <c r="C50" s="138">
        <f t="shared" si="11"/>
        <v>61964.979099683</v>
      </c>
      <c r="D50" s="138">
        <f t="shared" si="0"/>
        <v>52819.3723210836</v>
      </c>
      <c r="E50" s="138">
        <f t="shared" si="1"/>
        <v>45571.5619582269</v>
      </c>
      <c r="F50" s="138">
        <f t="shared" si="2"/>
        <v>35231.8393031495</v>
      </c>
      <c r="G50" s="138">
        <f t="shared" si="3"/>
        <v>25978.8391150322</v>
      </c>
      <c r="H50" s="138">
        <f t="shared" si="4"/>
        <v>27255.939260029</v>
      </c>
      <c r="I50" s="138">
        <f t="shared" si="5"/>
        <v>28469.2014315506</v>
      </c>
      <c r="J50" s="138">
        <f t="shared" si="6"/>
        <v>29272.1965222309</v>
      </c>
      <c r="K50" s="138">
        <f t="shared" si="7"/>
        <v>11999.9769967724</v>
      </c>
      <c r="L50" s="138">
        <f t="shared" si="8"/>
        <v>4323.63966368934</v>
      </c>
      <c r="M50" s="138">
        <f t="shared" si="9"/>
        <v>4323.63966368934</v>
      </c>
      <c r="N50" s="138">
        <f t="shared" si="10"/>
        <v>4323.63966368934</v>
      </c>
      <c r="O50" s="86">
        <f t="shared" si="12"/>
        <v>331534.824998826</v>
      </c>
      <c r="P50" s="138">
        <v>3747.77401470749</v>
      </c>
      <c r="Q50" s="138">
        <v>7596.06017375903</v>
      </c>
      <c r="R50" s="138">
        <v>4627.83098069028</v>
      </c>
      <c r="S50" s="138">
        <v>5904.28323283979</v>
      </c>
      <c r="T50" s="138">
        <v>5346.77790923192</v>
      </c>
      <c r="U50" s="138">
        <v>4287.66240771802</v>
      </c>
      <c r="V50" s="138">
        <v>4287.66240771802</v>
      </c>
      <c r="W50" s="138">
        <v>4287.66240771802</v>
      </c>
      <c r="X50" s="138">
        <v>4287.66240771802</v>
      </c>
      <c r="Y50" s="138">
        <v>0</v>
      </c>
      <c r="Z50" s="138">
        <v>0</v>
      </c>
      <c r="AA50" s="138">
        <v>0</v>
      </c>
      <c r="AB50" s="86">
        <v>44373.3759421006</v>
      </c>
      <c r="AC50" s="138">
        <v>6978.30198934385</v>
      </c>
      <c r="AD50" s="138">
        <v>5710.45261289276</v>
      </c>
      <c r="AE50" s="138">
        <v>3570.48516760263</v>
      </c>
      <c r="AF50" s="138">
        <v>4703.64470671714</v>
      </c>
      <c r="AG50" s="138">
        <v>4596.30272179171</v>
      </c>
      <c r="AH50" s="138">
        <v>3388.67492536504</v>
      </c>
      <c r="AI50" s="138">
        <v>3388.67492536504</v>
      </c>
      <c r="AJ50" s="138">
        <v>3388.67492536504</v>
      </c>
      <c r="AK50" s="138">
        <v>3388.67492536504</v>
      </c>
      <c r="AL50" s="138">
        <v>0</v>
      </c>
      <c r="AM50" s="138">
        <v>0</v>
      </c>
      <c r="AN50" s="138">
        <v>0</v>
      </c>
      <c r="AO50" s="86">
        <v>39113.8868998083</v>
      </c>
      <c r="AP50" s="138">
        <v>5572.53627278974</v>
      </c>
      <c r="AQ50" s="138">
        <v>4910.98713489572</v>
      </c>
      <c r="AR50" s="138">
        <v>3776.76641259559</v>
      </c>
      <c r="AS50" s="138">
        <v>2513.38360389084</v>
      </c>
      <c r="AT50" s="138">
        <v>2106.15250358675</v>
      </c>
      <c r="AU50" s="138">
        <v>2369.55966368934</v>
      </c>
      <c r="AV50" s="138">
        <v>2369.55966368934</v>
      </c>
      <c r="AW50" s="138">
        <v>2369.55966368934</v>
      </c>
      <c r="AX50" s="138">
        <v>2369.55966368934</v>
      </c>
      <c r="AY50" s="138">
        <v>2369.55966368934</v>
      </c>
      <c r="AZ50" s="138">
        <v>2369.55966368934</v>
      </c>
      <c r="BA50" s="138">
        <v>2369.55966368934</v>
      </c>
      <c r="BB50" s="86">
        <v>35466.743573584</v>
      </c>
      <c r="BC50" s="138">
        <v>5301.92981286488</v>
      </c>
      <c r="BD50" s="138">
        <v>4311.89053101403</v>
      </c>
      <c r="BE50" s="138">
        <v>2214.01723216196</v>
      </c>
      <c r="BF50" s="138">
        <v>84.8487225990117</v>
      </c>
      <c r="BG50" s="138">
        <v>0</v>
      </c>
      <c r="BH50" s="138">
        <v>0</v>
      </c>
      <c r="BI50" s="138">
        <v>0</v>
      </c>
      <c r="BJ50" s="138">
        <v>0</v>
      </c>
      <c r="BK50" s="138">
        <v>0</v>
      </c>
      <c r="BL50" s="138">
        <v>0</v>
      </c>
      <c r="BM50" s="138">
        <v>0</v>
      </c>
      <c r="BN50" s="138">
        <v>0</v>
      </c>
      <c r="BO50" s="86">
        <v>11912.6862986399</v>
      </c>
      <c r="BP50" s="138">
        <v>0</v>
      </c>
      <c r="BQ50" s="138">
        <v>0</v>
      </c>
      <c r="BR50" s="138">
        <v>0</v>
      </c>
      <c r="BS50" s="138">
        <v>0</v>
      </c>
      <c r="BT50" s="138">
        <v>0</v>
      </c>
      <c r="BU50" s="138">
        <v>0</v>
      </c>
      <c r="BV50" s="138">
        <v>0</v>
      </c>
      <c r="BW50" s="138">
        <v>0</v>
      </c>
      <c r="BX50" s="138">
        <v>0</v>
      </c>
      <c r="BY50" s="138">
        <v>0</v>
      </c>
      <c r="BZ50" s="138">
        <v>0</v>
      </c>
      <c r="CA50" s="138">
        <v>0</v>
      </c>
      <c r="CB50" s="86">
        <v>0</v>
      </c>
      <c r="CC50" s="138">
        <v>677.052081997113</v>
      </c>
      <c r="CD50" s="138">
        <v>3180.92791670263</v>
      </c>
      <c r="CE50" s="138">
        <v>6554.7268682236</v>
      </c>
      <c r="CF50" s="138">
        <v>4805.29384942597</v>
      </c>
      <c r="CG50" s="138">
        <v>1950.58900069335</v>
      </c>
      <c r="CH50" s="138">
        <v>826.381080158547</v>
      </c>
      <c r="CI50" s="138">
        <v>1041.24016099976</v>
      </c>
      <c r="CJ50" s="138">
        <v>1041.24016099976</v>
      </c>
      <c r="CK50" s="138">
        <v>0</v>
      </c>
      <c r="CL50" s="138">
        <v>0</v>
      </c>
      <c r="CM50" s="138">
        <v>0</v>
      </c>
      <c r="CN50" s="138">
        <v>0</v>
      </c>
      <c r="CO50" s="86">
        <v>20077.4511192008</v>
      </c>
      <c r="CP50" s="138">
        <v>24107.8844759995</v>
      </c>
      <c r="CQ50" s="138">
        <v>21064.8388853542</v>
      </c>
      <c r="CR50" s="138">
        <v>17433.7291171794</v>
      </c>
      <c r="CS50" s="138">
        <v>11234.8172908519</v>
      </c>
      <c r="CT50" s="138">
        <v>8147.22537964319</v>
      </c>
      <c r="CU50" s="138">
        <v>12216.0039110571</v>
      </c>
      <c r="CV50" s="138">
        <v>12216.0039110571</v>
      </c>
      <c r="CW50" s="138">
        <v>12216.0039110571</v>
      </c>
      <c r="CX50" s="138">
        <v>0</v>
      </c>
      <c r="CY50" s="138">
        <v>0</v>
      </c>
      <c r="CZ50" s="138">
        <v>0</v>
      </c>
      <c r="DA50" s="138">
        <v>0</v>
      </c>
      <c r="DB50" s="86">
        <v>118636.5068822</v>
      </c>
      <c r="DC50" s="138">
        <v>0</v>
      </c>
      <c r="DD50" s="138">
        <v>0</v>
      </c>
      <c r="DE50" s="138">
        <v>0</v>
      </c>
      <c r="DF50" s="138">
        <v>0</v>
      </c>
      <c r="DG50" s="138">
        <v>0</v>
      </c>
      <c r="DH50" s="138">
        <v>0</v>
      </c>
      <c r="DI50" s="138">
        <v>0</v>
      </c>
      <c r="DJ50" s="138">
        <v>0</v>
      </c>
      <c r="DK50" s="138">
        <v>0</v>
      </c>
      <c r="DL50" s="138">
        <v>0</v>
      </c>
      <c r="DM50" s="138">
        <v>0</v>
      </c>
      <c r="DN50" s="138">
        <v>0</v>
      </c>
      <c r="DO50" s="86">
        <v>0</v>
      </c>
      <c r="DP50" s="138">
        <v>0</v>
      </c>
      <c r="DQ50" s="138">
        <v>0</v>
      </c>
      <c r="DR50" s="138">
        <v>0</v>
      </c>
      <c r="DS50" s="138">
        <v>0</v>
      </c>
      <c r="DT50" s="138">
        <v>0</v>
      </c>
      <c r="DU50" s="138">
        <v>0</v>
      </c>
      <c r="DV50" s="138">
        <v>0</v>
      </c>
      <c r="DW50" s="138">
        <v>0</v>
      </c>
      <c r="DX50" s="138">
        <v>0</v>
      </c>
      <c r="DY50" s="138">
        <v>0</v>
      </c>
      <c r="DZ50" s="138">
        <v>0</v>
      </c>
      <c r="EA50" s="138">
        <v>0</v>
      </c>
      <c r="EB50" s="85">
        <v>0</v>
      </c>
      <c r="EC50" s="87">
        <v>0</v>
      </c>
      <c r="ED50" s="85">
        <v>0</v>
      </c>
      <c r="EE50" s="85">
        <v>0</v>
      </c>
      <c r="EF50" s="85">
        <v>0</v>
      </c>
      <c r="EG50" s="85">
        <v>0</v>
      </c>
      <c r="EH50" s="85">
        <v>0</v>
      </c>
      <c r="EI50" s="85">
        <v>0</v>
      </c>
      <c r="EJ50" s="85">
        <v>0</v>
      </c>
      <c r="EK50" s="85">
        <v>0</v>
      </c>
      <c r="EL50" s="85">
        <v>0</v>
      </c>
      <c r="EM50" s="85">
        <v>0</v>
      </c>
      <c r="EN50" s="85">
        <v>0</v>
      </c>
      <c r="EO50" s="152">
        <v>0</v>
      </c>
      <c r="EP50" s="85">
        <v>6159.05276250207</v>
      </c>
      <c r="EQ50" s="85">
        <v>2708.39113710222</v>
      </c>
      <c r="ER50" s="85">
        <v>1912.33668335422</v>
      </c>
      <c r="ES50" s="85">
        <v>2738.49316488393</v>
      </c>
      <c r="ET50" s="85">
        <v>1320.14010864078</v>
      </c>
      <c r="EU50" s="85">
        <v>2408.98527204095</v>
      </c>
      <c r="EV50" s="85">
        <v>3211.98036272127</v>
      </c>
      <c r="EW50" s="85">
        <v>4014.97545340159</v>
      </c>
      <c r="EX50" s="85">
        <v>0</v>
      </c>
      <c r="EY50" s="85">
        <v>0</v>
      </c>
      <c r="EZ50" s="85">
        <v>0</v>
      </c>
      <c r="FA50" s="85">
        <v>0</v>
      </c>
      <c r="FB50" s="85">
        <v>24474.354944647</v>
      </c>
      <c r="FC50" s="87">
        <v>0</v>
      </c>
      <c r="FD50" s="85">
        <v>0</v>
      </c>
      <c r="FE50" s="85">
        <v>0</v>
      </c>
      <c r="FF50" s="85">
        <v>0</v>
      </c>
      <c r="FG50" s="85">
        <v>0</v>
      </c>
      <c r="FH50" s="85">
        <v>0</v>
      </c>
      <c r="FI50" s="85">
        <v>0</v>
      </c>
      <c r="FJ50" s="85">
        <v>0</v>
      </c>
      <c r="FK50" s="85">
        <v>0</v>
      </c>
      <c r="FL50" s="85">
        <v>0</v>
      </c>
      <c r="FM50" s="85">
        <v>0</v>
      </c>
      <c r="FN50" s="85">
        <v>0</v>
      </c>
      <c r="FO50" s="86">
        <v>0</v>
      </c>
      <c r="FP50" s="87">
        <v>9420.44768947833</v>
      </c>
      <c r="FQ50" s="85">
        <v>3335.82392936301</v>
      </c>
      <c r="FR50" s="85">
        <v>5481.66949641916</v>
      </c>
      <c r="FS50" s="85">
        <v>3247.07473194093</v>
      </c>
      <c r="FT50" s="85">
        <v>2511.65149144448</v>
      </c>
      <c r="FU50" s="85">
        <v>1758.672</v>
      </c>
      <c r="FV50" s="85">
        <v>1954.08</v>
      </c>
      <c r="FW50" s="85">
        <v>1954.08</v>
      </c>
      <c r="FX50" s="85">
        <v>1954.08</v>
      </c>
      <c r="FY50" s="85">
        <v>1954.08</v>
      </c>
      <c r="FZ50" s="85">
        <v>1954.08</v>
      </c>
      <c r="GA50" s="85">
        <v>1954.08</v>
      </c>
      <c r="GB50" s="152">
        <v>37479.8193386459</v>
      </c>
      <c r="GD50" s="153"/>
    </row>
    <row r="51" spans="1:186">
      <c r="A51" s="137" t="s">
        <v>127</v>
      </c>
      <c r="B51" s="151">
        <v>589300.823787342</v>
      </c>
      <c r="C51" s="138">
        <f t="shared" si="11"/>
        <v>0</v>
      </c>
      <c r="D51" s="138">
        <f t="shared" si="0"/>
        <v>1288.74157314341</v>
      </c>
      <c r="E51" s="138">
        <f t="shared" si="1"/>
        <v>0</v>
      </c>
      <c r="F51" s="138">
        <f t="shared" si="2"/>
        <v>0</v>
      </c>
      <c r="G51" s="138">
        <f t="shared" si="3"/>
        <v>0</v>
      </c>
      <c r="H51" s="138">
        <f t="shared" si="4"/>
        <v>0</v>
      </c>
      <c r="I51" s="138">
        <f t="shared" si="5"/>
        <v>0</v>
      </c>
      <c r="J51" s="138">
        <f t="shared" si="6"/>
        <v>0</v>
      </c>
      <c r="K51" s="138">
        <f t="shared" si="7"/>
        <v>0</v>
      </c>
      <c r="L51" s="138">
        <f t="shared" si="8"/>
        <v>0</v>
      </c>
      <c r="M51" s="138">
        <f t="shared" si="9"/>
        <v>0</v>
      </c>
      <c r="N51" s="138">
        <f t="shared" si="10"/>
        <v>0</v>
      </c>
      <c r="O51" s="86">
        <f t="shared" si="12"/>
        <v>1288.74157314341</v>
      </c>
      <c r="P51" s="138">
        <v>0</v>
      </c>
      <c r="Q51" s="138">
        <v>0</v>
      </c>
      <c r="R51" s="138">
        <v>0</v>
      </c>
      <c r="S51" s="138">
        <v>0</v>
      </c>
      <c r="T51" s="138">
        <v>0</v>
      </c>
      <c r="U51" s="138">
        <v>0</v>
      </c>
      <c r="V51" s="138">
        <v>0</v>
      </c>
      <c r="W51" s="138">
        <v>0</v>
      </c>
      <c r="X51" s="138">
        <v>0</v>
      </c>
      <c r="Y51" s="138">
        <v>0</v>
      </c>
      <c r="Z51" s="138">
        <v>0</v>
      </c>
      <c r="AA51" s="138">
        <v>0</v>
      </c>
      <c r="AB51" s="86">
        <v>0</v>
      </c>
      <c r="AC51" s="138">
        <v>0</v>
      </c>
      <c r="AD51" s="138">
        <v>0</v>
      </c>
      <c r="AE51" s="138">
        <v>0</v>
      </c>
      <c r="AF51" s="138">
        <v>0</v>
      </c>
      <c r="AG51" s="138">
        <v>0</v>
      </c>
      <c r="AH51" s="138">
        <v>0</v>
      </c>
      <c r="AI51" s="138">
        <v>0</v>
      </c>
      <c r="AJ51" s="138">
        <v>0</v>
      </c>
      <c r="AK51" s="138">
        <v>0</v>
      </c>
      <c r="AL51" s="138">
        <v>0</v>
      </c>
      <c r="AM51" s="138">
        <v>0</v>
      </c>
      <c r="AN51" s="138">
        <v>0</v>
      </c>
      <c r="AO51" s="86">
        <v>0</v>
      </c>
      <c r="AP51" s="138">
        <v>0</v>
      </c>
      <c r="AQ51" s="138">
        <v>0</v>
      </c>
      <c r="AR51" s="138">
        <v>0</v>
      </c>
      <c r="AS51" s="138">
        <v>0</v>
      </c>
      <c r="AT51" s="138">
        <v>0</v>
      </c>
      <c r="AU51" s="138">
        <v>0</v>
      </c>
      <c r="AV51" s="138">
        <v>0</v>
      </c>
      <c r="AW51" s="138">
        <v>0</v>
      </c>
      <c r="AX51" s="138">
        <v>0</v>
      </c>
      <c r="AY51" s="138">
        <v>0</v>
      </c>
      <c r="AZ51" s="138">
        <v>0</v>
      </c>
      <c r="BA51" s="138">
        <v>0</v>
      </c>
      <c r="BB51" s="86">
        <v>0</v>
      </c>
      <c r="BC51" s="138">
        <v>0</v>
      </c>
      <c r="BD51" s="138">
        <v>0</v>
      </c>
      <c r="BE51" s="138">
        <v>0</v>
      </c>
      <c r="BF51" s="138">
        <v>0</v>
      </c>
      <c r="BG51" s="138">
        <v>0</v>
      </c>
      <c r="BH51" s="138">
        <v>0</v>
      </c>
      <c r="BI51" s="138">
        <v>0</v>
      </c>
      <c r="BJ51" s="138">
        <v>0</v>
      </c>
      <c r="BK51" s="138">
        <v>0</v>
      </c>
      <c r="BL51" s="138">
        <v>0</v>
      </c>
      <c r="BM51" s="138">
        <v>0</v>
      </c>
      <c r="BN51" s="138">
        <v>0</v>
      </c>
      <c r="BO51" s="86">
        <v>0</v>
      </c>
      <c r="BP51" s="138">
        <v>0</v>
      </c>
      <c r="BQ51" s="138">
        <v>0</v>
      </c>
      <c r="BR51" s="138">
        <v>0</v>
      </c>
      <c r="BS51" s="138">
        <v>0</v>
      </c>
      <c r="BT51" s="138">
        <v>0</v>
      </c>
      <c r="BU51" s="138">
        <v>0</v>
      </c>
      <c r="BV51" s="138">
        <v>0</v>
      </c>
      <c r="BW51" s="138">
        <v>0</v>
      </c>
      <c r="BX51" s="138">
        <v>0</v>
      </c>
      <c r="BY51" s="138">
        <v>0</v>
      </c>
      <c r="BZ51" s="138">
        <v>0</v>
      </c>
      <c r="CA51" s="138">
        <v>0</v>
      </c>
      <c r="CB51" s="86">
        <v>0</v>
      </c>
      <c r="CC51" s="138">
        <v>0</v>
      </c>
      <c r="CD51" s="138">
        <v>0</v>
      </c>
      <c r="CE51" s="138">
        <v>0</v>
      </c>
      <c r="CF51" s="138">
        <v>0</v>
      </c>
      <c r="CG51" s="138">
        <v>0</v>
      </c>
      <c r="CH51" s="138">
        <v>0</v>
      </c>
      <c r="CI51" s="138">
        <v>0</v>
      </c>
      <c r="CJ51" s="138">
        <v>0</v>
      </c>
      <c r="CK51" s="138">
        <v>0</v>
      </c>
      <c r="CL51" s="138">
        <v>0</v>
      </c>
      <c r="CM51" s="138">
        <v>0</v>
      </c>
      <c r="CN51" s="138">
        <v>0</v>
      </c>
      <c r="CO51" s="86">
        <v>0</v>
      </c>
      <c r="CP51" s="138">
        <v>0</v>
      </c>
      <c r="CQ51" s="138">
        <v>0</v>
      </c>
      <c r="CR51" s="138">
        <v>0</v>
      </c>
      <c r="CS51" s="138">
        <v>0</v>
      </c>
      <c r="CT51" s="138">
        <v>0</v>
      </c>
      <c r="CU51" s="138">
        <v>0</v>
      </c>
      <c r="CV51" s="138">
        <v>0</v>
      </c>
      <c r="CW51" s="138">
        <v>0</v>
      </c>
      <c r="CX51" s="138">
        <v>0</v>
      </c>
      <c r="CY51" s="138">
        <v>0</v>
      </c>
      <c r="CZ51" s="138">
        <v>0</v>
      </c>
      <c r="DA51" s="138">
        <v>0</v>
      </c>
      <c r="DB51" s="86">
        <v>0</v>
      </c>
      <c r="DC51" s="138">
        <v>0</v>
      </c>
      <c r="DD51" s="138">
        <v>0</v>
      </c>
      <c r="DE51" s="138">
        <v>0</v>
      </c>
      <c r="DF51" s="138">
        <v>0</v>
      </c>
      <c r="DG51" s="138">
        <v>0</v>
      </c>
      <c r="DH51" s="138">
        <v>0</v>
      </c>
      <c r="DI51" s="138">
        <v>0</v>
      </c>
      <c r="DJ51" s="138">
        <v>0</v>
      </c>
      <c r="DK51" s="138">
        <v>0</v>
      </c>
      <c r="DL51" s="138">
        <v>0</v>
      </c>
      <c r="DM51" s="138">
        <v>0</v>
      </c>
      <c r="DN51" s="138">
        <v>0</v>
      </c>
      <c r="DO51" s="86">
        <v>0</v>
      </c>
      <c r="DP51" s="138">
        <v>0</v>
      </c>
      <c r="DQ51" s="138">
        <v>0</v>
      </c>
      <c r="DR51" s="138">
        <v>0</v>
      </c>
      <c r="DS51" s="138">
        <v>0</v>
      </c>
      <c r="DT51" s="138">
        <v>0</v>
      </c>
      <c r="DU51" s="138">
        <v>0</v>
      </c>
      <c r="DV51" s="138">
        <v>0</v>
      </c>
      <c r="DW51" s="138">
        <v>0</v>
      </c>
      <c r="DX51" s="138">
        <v>0</v>
      </c>
      <c r="DY51" s="138">
        <v>0</v>
      </c>
      <c r="DZ51" s="138">
        <v>0</v>
      </c>
      <c r="EA51" s="138">
        <v>0</v>
      </c>
      <c r="EB51" s="85">
        <v>0</v>
      </c>
      <c r="EC51" s="87">
        <v>0</v>
      </c>
      <c r="ED51" s="85">
        <v>0</v>
      </c>
      <c r="EE51" s="85">
        <v>0</v>
      </c>
      <c r="EF51" s="85">
        <v>0</v>
      </c>
      <c r="EG51" s="85">
        <v>0</v>
      </c>
      <c r="EH51" s="85">
        <v>0</v>
      </c>
      <c r="EI51" s="85">
        <v>0</v>
      </c>
      <c r="EJ51" s="85">
        <v>0</v>
      </c>
      <c r="EK51" s="85">
        <v>0</v>
      </c>
      <c r="EL51" s="85">
        <v>0</v>
      </c>
      <c r="EM51" s="85">
        <v>0</v>
      </c>
      <c r="EN51" s="85">
        <v>0</v>
      </c>
      <c r="EO51" s="152">
        <v>0</v>
      </c>
      <c r="EP51" s="85">
        <v>0</v>
      </c>
      <c r="EQ51" s="85">
        <v>0</v>
      </c>
      <c r="ER51" s="85">
        <v>0</v>
      </c>
      <c r="ES51" s="85">
        <v>0</v>
      </c>
      <c r="ET51" s="85">
        <v>0</v>
      </c>
      <c r="EU51" s="85">
        <v>0</v>
      </c>
      <c r="EV51" s="85">
        <v>0</v>
      </c>
      <c r="EW51" s="85">
        <v>0</v>
      </c>
      <c r="EX51" s="85">
        <v>0</v>
      </c>
      <c r="EY51" s="85">
        <v>0</v>
      </c>
      <c r="EZ51" s="85">
        <v>0</v>
      </c>
      <c r="FA51" s="85">
        <v>0</v>
      </c>
      <c r="FB51" s="85">
        <v>0</v>
      </c>
      <c r="FC51" s="87">
        <v>0</v>
      </c>
      <c r="FD51" s="85">
        <v>0</v>
      </c>
      <c r="FE51" s="85">
        <v>0</v>
      </c>
      <c r="FF51" s="85">
        <v>0</v>
      </c>
      <c r="FG51" s="85">
        <v>0</v>
      </c>
      <c r="FH51" s="85">
        <v>0</v>
      </c>
      <c r="FI51" s="85">
        <v>0</v>
      </c>
      <c r="FJ51" s="85">
        <v>0</v>
      </c>
      <c r="FK51" s="85">
        <v>0</v>
      </c>
      <c r="FL51" s="85">
        <v>0</v>
      </c>
      <c r="FM51" s="85">
        <v>0</v>
      </c>
      <c r="FN51" s="85">
        <v>0</v>
      </c>
      <c r="FO51" s="86">
        <v>0</v>
      </c>
      <c r="FP51" s="87">
        <v>0</v>
      </c>
      <c r="FQ51" s="85">
        <v>1288.74157314341</v>
      </c>
      <c r="FR51" s="85">
        <v>0</v>
      </c>
      <c r="FS51" s="85">
        <v>0</v>
      </c>
      <c r="FT51" s="85">
        <v>0</v>
      </c>
      <c r="FU51" s="85">
        <v>0</v>
      </c>
      <c r="FV51" s="85">
        <v>0</v>
      </c>
      <c r="FW51" s="85">
        <v>0</v>
      </c>
      <c r="FX51" s="85">
        <v>0</v>
      </c>
      <c r="FY51" s="85">
        <v>0</v>
      </c>
      <c r="FZ51" s="85">
        <v>0</v>
      </c>
      <c r="GA51" s="85">
        <v>0</v>
      </c>
      <c r="GB51" s="152">
        <v>1288.74157314341</v>
      </c>
      <c r="GD51" s="153"/>
    </row>
    <row r="52" spans="1:186">
      <c r="A52" s="137" t="s">
        <v>129</v>
      </c>
      <c r="B52" s="151">
        <v>283926.842356884</v>
      </c>
      <c r="C52" s="138">
        <f t="shared" si="11"/>
        <v>0</v>
      </c>
      <c r="D52" s="138">
        <f t="shared" si="0"/>
        <v>0</v>
      </c>
      <c r="E52" s="138">
        <f t="shared" si="1"/>
        <v>0</v>
      </c>
      <c r="F52" s="138">
        <f t="shared" si="2"/>
        <v>0</v>
      </c>
      <c r="G52" s="138">
        <f t="shared" si="3"/>
        <v>0</v>
      </c>
      <c r="H52" s="138">
        <f t="shared" si="4"/>
        <v>0</v>
      </c>
      <c r="I52" s="138">
        <f t="shared" si="5"/>
        <v>0</v>
      </c>
      <c r="J52" s="138">
        <f t="shared" si="6"/>
        <v>0</v>
      </c>
      <c r="K52" s="138">
        <f t="shared" si="7"/>
        <v>0</v>
      </c>
      <c r="L52" s="138">
        <f t="shared" si="8"/>
        <v>0</v>
      </c>
      <c r="M52" s="138">
        <f t="shared" si="9"/>
        <v>0</v>
      </c>
      <c r="N52" s="138">
        <f t="shared" si="10"/>
        <v>0</v>
      </c>
      <c r="O52" s="86">
        <f t="shared" si="12"/>
        <v>0</v>
      </c>
      <c r="P52" s="138">
        <v>0</v>
      </c>
      <c r="Q52" s="138">
        <v>0</v>
      </c>
      <c r="R52" s="138">
        <v>0</v>
      </c>
      <c r="S52" s="138">
        <v>0</v>
      </c>
      <c r="T52" s="138">
        <v>0</v>
      </c>
      <c r="U52" s="138">
        <v>0</v>
      </c>
      <c r="V52" s="138">
        <v>0</v>
      </c>
      <c r="W52" s="138">
        <v>0</v>
      </c>
      <c r="X52" s="138">
        <v>0</v>
      </c>
      <c r="Y52" s="138">
        <v>0</v>
      </c>
      <c r="Z52" s="138">
        <v>0</v>
      </c>
      <c r="AA52" s="138">
        <v>0</v>
      </c>
      <c r="AB52" s="86">
        <v>0</v>
      </c>
      <c r="AC52" s="138">
        <v>0</v>
      </c>
      <c r="AD52" s="138">
        <v>0</v>
      </c>
      <c r="AE52" s="138">
        <v>0</v>
      </c>
      <c r="AF52" s="138">
        <v>0</v>
      </c>
      <c r="AG52" s="138">
        <v>0</v>
      </c>
      <c r="AH52" s="138">
        <v>0</v>
      </c>
      <c r="AI52" s="138">
        <v>0</v>
      </c>
      <c r="AJ52" s="138">
        <v>0</v>
      </c>
      <c r="AK52" s="138">
        <v>0</v>
      </c>
      <c r="AL52" s="138">
        <v>0</v>
      </c>
      <c r="AM52" s="138">
        <v>0</v>
      </c>
      <c r="AN52" s="138">
        <v>0</v>
      </c>
      <c r="AO52" s="86">
        <v>0</v>
      </c>
      <c r="AP52" s="138">
        <v>0</v>
      </c>
      <c r="AQ52" s="138">
        <v>0</v>
      </c>
      <c r="AR52" s="138">
        <v>0</v>
      </c>
      <c r="AS52" s="138">
        <v>0</v>
      </c>
      <c r="AT52" s="138">
        <v>0</v>
      </c>
      <c r="AU52" s="138">
        <v>0</v>
      </c>
      <c r="AV52" s="138">
        <v>0</v>
      </c>
      <c r="AW52" s="138">
        <v>0</v>
      </c>
      <c r="AX52" s="138">
        <v>0</v>
      </c>
      <c r="AY52" s="138">
        <v>0</v>
      </c>
      <c r="AZ52" s="138">
        <v>0</v>
      </c>
      <c r="BA52" s="138">
        <v>0</v>
      </c>
      <c r="BB52" s="86">
        <v>0</v>
      </c>
      <c r="BC52" s="138">
        <v>0</v>
      </c>
      <c r="BD52" s="138">
        <v>0</v>
      </c>
      <c r="BE52" s="138">
        <v>0</v>
      </c>
      <c r="BF52" s="138">
        <v>0</v>
      </c>
      <c r="BG52" s="138">
        <v>0</v>
      </c>
      <c r="BH52" s="138">
        <v>0</v>
      </c>
      <c r="BI52" s="138">
        <v>0</v>
      </c>
      <c r="BJ52" s="138">
        <v>0</v>
      </c>
      <c r="BK52" s="138">
        <v>0</v>
      </c>
      <c r="BL52" s="138">
        <v>0</v>
      </c>
      <c r="BM52" s="138">
        <v>0</v>
      </c>
      <c r="BN52" s="138">
        <v>0</v>
      </c>
      <c r="BO52" s="86">
        <v>0</v>
      </c>
      <c r="BP52" s="138">
        <v>0</v>
      </c>
      <c r="BQ52" s="138">
        <v>0</v>
      </c>
      <c r="BR52" s="138">
        <v>0</v>
      </c>
      <c r="BS52" s="138">
        <v>0</v>
      </c>
      <c r="BT52" s="138">
        <v>0</v>
      </c>
      <c r="BU52" s="138">
        <v>0</v>
      </c>
      <c r="BV52" s="138">
        <v>0</v>
      </c>
      <c r="BW52" s="138">
        <v>0</v>
      </c>
      <c r="BX52" s="138">
        <v>0</v>
      </c>
      <c r="BY52" s="138">
        <v>0</v>
      </c>
      <c r="BZ52" s="138">
        <v>0</v>
      </c>
      <c r="CA52" s="138">
        <v>0</v>
      </c>
      <c r="CB52" s="86">
        <v>0</v>
      </c>
      <c r="CC52" s="138">
        <v>0</v>
      </c>
      <c r="CD52" s="138">
        <v>0</v>
      </c>
      <c r="CE52" s="138">
        <v>0</v>
      </c>
      <c r="CF52" s="138">
        <v>0</v>
      </c>
      <c r="CG52" s="138">
        <v>0</v>
      </c>
      <c r="CH52" s="138">
        <v>0</v>
      </c>
      <c r="CI52" s="138">
        <v>0</v>
      </c>
      <c r="CJ52" s="138">
        <v>0</v>
      </c>
      <c r="CK52" s="138">
        <v>0</v>
      </c>
      <c r="CL52" s="138">
        <v>0</v>
      </c>
      <c r="CM52" s="138">
        <v>0</v>
      </c>
      <c r="CN52" s="138">
        <v>0</v>
      </c>
      <c r="CO52" s="86">
        <v>0</v>
      </c>
      <c r="CP52" s="138">
        <v>0</v>
      </c>
      <c r="CQ52" s="138">
        <v>0</v>
      </c>
      <c r="CR52" s="138">
        <v>0</v>
      </c>
      <c r="CS52" s="138">
        <v>0</v>
      </c>
      <c r="CT52" s="138">
        <v>0</v>
      </c>
      <c r="CU52" s="138">
        <v>0</v>
      </c>
      <c r="CV52" s="138">
        <v>0</v>
      </c>
      <c r="CW52" s="138">
        <v>0</v>
      </c>
      <c r="CX52" s="138">
        <v>0</v>
      </c>
      <c r="CY52" s="138">
        <v>0</v>
      </c>
      <c r="CZ52" s="138">
        <v>0</v>
      </c>
      <c r="DA52" s="138">
        <v>0</v>
      </c>
      <c r="DB52" s="86">
        <v>0</v>
      </c>
      <c r="DC52" s="138">
        <v>0</v>
      </c>
      <c r="DD52" s="138">
        <v>0</v>
      </c>
      <c r="DE52" s="138">
        <v>0</v>
      </c>
      <c r="DF52" s="138">
        <v>0</v>
      </c>
      <c r="DG52" s="138">
        <v>0</v>
      </c>
      <c r="DH52" s="138">
        <v>0</v>
      </c>
      <c r="DI52" s="138">
        <v>0</v>
      </c>
      <c r="DJ52" s="138">
        <v>0</v>
      </c>
      <c r="DK52" s="138">
        <v>0</v>
      </c>
      <c r="DL52" s="138">
        <v>0</v>
      </c>
      <c r="DM52" s="138">
        <v>0</v>
      </c>
      <c r="DN52" s="138">
        <v>0</v>
      </c>
      <c r="DO52" s="86">
        <v>0</v>
      </c>
      <c r="DP52" s="138">
        <v>0</v>
      </c>
      <c r="DQ52" s="138">
        <v>0</v>
      </c>
      <c r="DR52" s="138">
        <v>0</v>
      </c>
      <c r="DS52" s="138">
        <v>0</v>
      </c>
      <c r="DT52" s="138">
        <v>0</v>
      </c>
      <c r="DU52" s="138">
        <v>0</v>
      </c>
      <c r="DV52" s="138">
        <v>0</v>
      </c>
      <c r="DW52" s="138">
        <v>0</v>
      </c>
      <c r="DX52" s="138">
        <v>0</v>
      </c>
      <c r="DY52" s="138">
        <v>0</v>
      </c>
      <c r="DZ52" s="138">
        <v>0</v>
      </c>
      <c r="EA52" s="138">
        <v>0</v>
      </c>
      <c r="EB52" s="85">
        <v>0</v>
      </c>
      <c r="EC52" s="87">
        <v>0</v>
      </c>
      <c r="ED52" s="85">
        <v>0</v>
      </c>
      <c r="EE52" s="85">
        <v>0</v>
      </c>
      <c r="EF52" s="85">
        <v>0</v>
      </c>
      <c r="EG52" s="85">
        <v>0</v>
      </c>
      <c r="EH52" s="85">
        <v>0</v>
      </c>
      <c r="EI52" s="85">
        <v>0</v>
      </c>
      <c r="EJ52" s="85">
        <v>0</v>
      </c>
      <c r="EK52" s="85">
        <v>0</v>
      </c>
      <c r="EL52" s="85">
        <v>0</v>
      </c>
      <c r="EM52" s="85">
        <v>0</v>
      </c>
      <c r="EN52" s="85">
        <v>0</v>
      </c>
      <c r="EO52" s="152">
        <v>0</v>
      </c>
      <c r="EP52" s="85">
        <v>0</v>
      </c>
      <c r="EQ52" s="85">
        <v>0</v>
      </c>
      <c r="ER52" s="85">
        <v>0</v>
      </c>
      <c r="ES52" s="85">
        <v>0</v>
      </c>
      <c r="ET52" s="85">
        <v>0</v>
      </c>
      <c r="EU52" s="85">
        <v>0</v>
      </c>
      <c r="EV52" s="85">
        <v>0</v>
      </c>
      <c r="EW52" s="85">
        <v>0</v>
      </c>
      <c r="EX52" s="85">
        <v>0</v>
      </c>
      <c r="EY52" s="85">
        <v>0</v>
      </c>
      <c r="EZ52" s="85">
        <v>0</v>
      </c>
      <c r="FA52" s="85">
        <v>0</v>
      </c>
      <c r="FB52" s="85">
        <v>0</v>
      </c>
      <c r="FC52" s="87">
        <v>0</v>
      </c>
      <c r="FD52" s="85">
        <v>0</v>
      </c>
      <c r="FE52" s="85">
        <v>0</v>
      </c>
      <c r="FF52" s="85">
        <v>0</v>
      </c>
      <c r="FG52" s="85">
        <v>0</v>
      </c>
      <c r="FH52" s="85">
        <v>0</v>
      </c>
      <c r="FI52" s="85">
        <v>0</v>
      </c>
      <c r="FJ52" s="85">
        <v>0</v>
      </c>
      <c r="FK52" s="85">
        <v>0</v>
      </c>
      <c r="FL52" s="85">
        <v>0</v>
      </c>
      <c r="FM52" s="85">
        <v>0</v>
      </c>
      <c r="FN52" s="85">
        <v>0</v>
      </c>
      <c r="FO52" s="86">
        <v>0</v>
      </c>
      <c r="FP52" s="87">
        <v>0</v>
      </c>
      <c r="FQ52" s="85">
        <v>0</v>
      </c>
      <c r="FR52" s="85">
        <v>0</v>
      </c>
      <c r="FS52" s="85">
        <v>0</v>
      </c>
      <c r="FT52" s="85">
        <v>0</v>
      </c>
      <c r="FU52" s="85">
        <v>0</v>
      </c>
      <c r="FV52" s="85">
        <v>0</v>
      </c>
      <c r="FW52" s="85">
        <v>0</v>
      </c>
      <c r="FX52" s="85">
        <v>0</v>
      </c>
      <c r="FY52" s="85">
        <v>0</v>
      </c>
      <c r="FZ52" s="85">
        <v>0</v>
      </c>
      <c r="GA52" s="85">
        <v>0</v>
      </c>
      <c r="GB52" s="152">
        <v>0</v>
      </c>
      <c r="GD52" s="153"/>
    </row>
    <row r="53" spans="1:186">
      <c r="A53" s="137" t="s">
        <v>131</v>
      </c>
      <c r="B53" s="151">
        <v>1149345.87713395</v>
      </c>
      <c r="C53" s="138">
        <f t="shared" si="11"/>
        <v>18889.0908359589</v>
      </c>
      <c r="D53" s="138">
        <f t="shared" si="0"/>
        <v>18541.1490746738</v>
      </c>
      <c r="E53" s="138">
        <f t="shared" si="1"/>
        <v>19137.8829998839</v>
      </c>
      <c r="F53" s="138">
        <f t="shared" si="2"/>
        <v>34781.7180655643</v>
      </c>
      <c r="G53" s="138">
        <f t="shared" si="3"/>
        <v>13107.5046179561</v>
      </c>
      <c r="H53" s="138">
        <f t="shared" si="4"/>
        <v>12956.9129447097</v>
      </c>
      <c r="I53" s="138">
        <f t="shared" si="5"/>
        <v>12780.3035024359</v>
      </c>
      <c r="J53" s="138">
        <f t="shared" si="6"/>
        <v>13108.4363752668</v>
      </c>
      <c r="K53" s="138">
        <f t="shared" si="7"/>
        <v>8432.2674252718</v>
      </c>
      <c r="L53" s="138">
        <f t="shared" si="8"/>
        <v>8341.84339082757</v>
      </c>
      <c r="M53" s="138">
        <f t="shared" si="9"/>
        <v>10147.1858698723</v>
      </c>
      <c r="N53" s="138">
        <f t="shared" si="10"/>
        <v>9857.82895965081</v>
      </c>
      <c r="O53" s="86">
        <f t="shared" si="12"/>
        <v>180082.124062072</v>
      </c>
      <c r="P53" s="138">
        <v>0</v>
      </c>
      <c r="Q53" s="138">
        <v>0</v>
      </c>
      <c r="R53" s="138">
        <v>0</v>
      </c>
      <c r="S53" s="138">
        <v>0</v>
      </c>
      <c r="T53" s="138">
        <v>0</v>
      </c>
      <c r="U53" s="138">
        <v>0</v>
      </c>
      <c r="V53" s="138">
        <v>0</v>
      </c>
      <c r="W53" s="138">
        <v>0</v>
      </c>
      <c r="X53" s="138">
        <v>0</v>
      </c>
      <c r="Y53" s="138">
        <v>0</v>
      </c>
      <c r="Z53" s="138">
        <v>0</v>
      </c>
      <c r="AA53" s="138">
        <v>0</v>
      </c>
      <c r="AB53" s="86">
        <v>0</v>
      </c>
      <c r="AC53" s="138">
        <v>0</v>
      </c>
      <c r="AD53" s="138">
        <v>0</v>
      </c>
      <c r="AE53" s="138">
        <v>0</v>
      </c>
      <c r="AF53" s="138">
        <v>0</v>
      </c>
      <c r="AG53" s="138">
        <v>0</v>
      </c>
      <c r="AH53" s="138">
        <v>0</v>
      </c>
      <c r="AI53" s="138">
        <v>0</v>
      </c>
      <c r="AJ53" s="138">
        <v>0</v>
      </c>
      <c r="AK53" s="138">
        <v>0</v>
      </c>
      <c r="AL53" s="138">
        <v>0</v>
      </c>
      <c r="AM53" s="138">
        <v>0</v>
      </c>
      <c r="AN53" s="138">
        <v>0</v>
      </c>
      <c r="AO53" s="86">
        <v>0</v>
      </c>
      <c r="AP53" s="138">
        <v>361.525448433784</v>
      </c>
      <c r="AQ53" s="138">
        <v>146.109328958216</v>
      </c>
      <c r="AR53" s="138">
        <v>0</v>
      </c>
      <c r="AS53" s="138">
        <v>131.510354959481</v>
      </c>
      <c r="AT53" s="138">
        <v>0</v>
      </c>
      <c r="AU53" s="138">
        <v>0</v>
      </c>
      <c r="AV53" s="138">
        <v>0</v>
      </c>
      <c r="AW53" s="138">
        <v>0</v>
      </c>
      <c r="AX53" s="138">
        <v>0</v>
      </c>
      <c r="AY53" s="138">
        <v>0</v>
      </c>
      <c r="AZ53" s="138">
        <v>0</v>
      </c>
      <c r="BA53" s="138">
        <v>0</v>
      </c>
      <c r="BB53" s="86">
        <v>639.14513235148</v>
      </c>
      <c r="BC53" s="138">
        <v>0</v>
      </c>
      <c r="BD53" s="138">
        <v>258.719880997289</v>
      </c>
      <c r="BE53" s="138">
        <v>0</v>
      </c>
      <c r="BF53" s="138">
        <v>0</v>
      </c>
      <c r="BG53" s="138">
        <v>0</v>
      </c>
      <c r="BH53" s="138">
        <v>0</v>
      </c>
      <c r="BI53" s="138">
        <v>0</v>
      </c>
      <c r="BJ53" s="138">
        <v>0</v>
      </c>
      <c r="BK53" s="138">
        <v>0</v>
      </c>
      <c r="BL53" s="138">
        <v>0</v>
      </c>
      <c r="BM53" s="138">
        <v>0</v>
      </c>
      <c r="BN53" s="138">
        <v>0</v>
      </c>
      <c r="BO53" s="86">
        <v>258.719880997289</v>
      </c>
      <c r="BP53" s="138">
        <v>9710.33455473458</v>
      </c>
      <c r="BQ53" s="138">
        <v>10469.4496114173</v>
      </c>
      <c r="BR53" s="138">
        <v>13304.8425306145</v>
      </c>
      <c r="BS53" s="138">
        <v>24525.5707690168</v>
      </c>
      <c r="BT53" s="138">
        <v>10475.7101546001</v>
      </c>
      <c r="BU53" s="138">
        <v>9388.40853300077</v>
      </c>
      <c r="BV53" s="138">
        <v>9388.40853300077</v>
      </c>
      <c r="BW53" s="138">
        <v>9857.82895965081</v>
      </c>
      <c r="BX53" s="138">
        <v>7980.14725305065</v>
      </c>
      <c r="BY53" s="138">
        <v>7980.14725305065</v>
      </c>
      <c r="BZ53" s="138">
        <v>9857.82895965081</v>
      </c>
      <c r="CA53" s="138">
        <v>9857.82895965081</v>
      </c>
      <c r="CB53" s="86">
        <v>132796.506071439</v>
      </c>
      <c r="CC53" s="138">
        <v>1278.88138912753</v>
      </c>
      <c r="CD53" s="138">
        <v>517.524524159917</v>
      </c>
      <c r="CE53" s="138">
        <v>1031.04745554863</v>
      </c>
      <c r="CF53" s="138">
        <v>1237.70356422951</v>
      </c>
      <c r="CG53" s="138">
        <v>722.878402627844</v>
      </c>
      <c r="CH53" s="138">
        <v>883.047211369417</v>
      </c>
      <c r="CI53" s="138">
        <v>706.437769095534</v>
      </c>
      <c r="CJ53" s="138">
        <v>565.150215276427</v>
      </c>
      <c r="CK53" s="138">
        <v>452.120172221142</v>
      </c>
      <c r="CL53" s="138">
        <v>361.696137776914</v>
      </c>
      <c r="CM53" s="138">
        <v>289.356910221531</v>
      </c>
      <c r="CN53" s="138">
        <v>0</v>
      </c>
      <c r="CO53" s="86">
        <v>8045.8437516544</v>
      </c>
      <c r="CP53" s="138">
        <v>3425.08874863108</v>
      </c>
      <c r="CQ53" s="138">
        <v>3510.80648089236</v>
      </c>
      <c r="CR53" s="138">
        <v>1870.93678330706</v>
      </c>
      <c r="CS53" s="138">
        <v>3516.24052614448</v>
      </c>
      <c r="CT53" s="138">
        <v>933.536241417448</v>
      </c>
      <c r="CU53" s="138">
        <v>2036.00065184285</v>
      </c>
      <c r="CV53" s="138">
        <v>2036.00065184285</v>
      </c>
      <c r="CW53" s="138">
        <v>2036.00065184285</v>
      </c>
      <c r="CX53" s="138">
        <v>0</v>
      </c>
      <c r="CY53" s="138">
        <v>0</v>
      </c>
      <c r="CZ53" s="138">
        <v>0</v>
      </c>
      <c r="DA53" s="138">
        <v>0</v>
      </c>
      <c r="DB53" s="86">
        <v>19364.610735921</v>
      </c>
      <c r="DC53" s="138">
        <v>0</v>
      </c>
      <c r="DD53" s="138">
        <v>0</v>
      </c>
      <c r="DE53" s="138">
        <v>0</v>
      </c>
      <c r="DF53" s="138">
        <v>0</v>
      </c>
      <c r="DG53" s="138">
        <v>0</v>
      </c>
      <c r="DH53" s="138">
        <v>0</v>
      </c>
      <c r="DI53" s="138">
        <v>0</v>
      </c>
      <c r="DJ53" s="138">
        <v>0</v>
      </c>
      <c r="DK53" s="138">
        <v>0</v>
      </c>
      <c r="DL53" s="138">
        <v>0</v>
      </c>
      <c r="DM53" s="138">
        <v>0</v>
      </c>
      <c r="DN53" s="138">
        <v>0</v>
      </c>
      <c r="DO53" s="86">
        <v>0</v>
      </c>
      <c r="DP53" s="138">
        <v>960.195530726257</v>
      </c>
      <c r="DQ53" s="138">
        <v>644.370786571703</v>
      </c>
      <c r="DR53" s="138">
        <v>729.363626822973</v>
      </c>
      <c r="DS53" s="138">
        <v>107.00024804603</v>
      </c>
      <c r="DT53" s="138">
        <v>107.089833767372</v>
      </c>
      <c r="DU53" s="138">
        <v>649.456548496706</v>
      </c>
      <c r="DV53" s="138">
        <v>649.456548496706</v>
      </c>
      <c r="DW53" s="138">
        <v>649.456548496706</v>
      </c>
      <c r="DX53" s="138">
        <v>0</v>
      </c>
      <c r="DY53" s="138">
        <v>0</v>
      </c>
      <c r="DZ53" s="138">
        <v>0</v>
      </c>
      <c r="EA53" s="138">
        <v>0</v>
      </c>
      <c r="EB53" s="85">
        <v>4496.38967142445</v>
      </c>
      <c r="EC53" s="87">
        <v>0</v>
      </c>
      <c r="ED53" s="85">
        <v>0</v>
      </c>
      <c r="EE53" s="85">
        <v>0</v>
      </c>
      <c r="EF53" s="85">
        <v>0</v>
      </c>
      <c r="EG53" s="85">
        <v>0</v>
      </c>
      <c r="EH53" s="85">
        <v>0</v>
      </c>
      <c r="EI53" s="85">
        <v>0</v>
      </c>
      <c r="EJ53" s="85">
        <v>0</v>
      </c>
      <c r="EK53" s="85">
        <v>0</v>
      </c>
      <c r="EL53" s="85">
        <v>0</v>
      </c>
      <c r="EM53" s="85">
        <v>0</v>
      </c>
      <c r="EN53" s="85">
        <v>0</v>
      </c>
      <c r="EO53" s="152">
        <v>0</v>
      </c>
      <c r="EP53" s="85">
        <v>0</v>
      </c>
      <c r="EQ53" s="85">
        <v>0</v>
      </c>
      <c r="ER53" s="85">
        <v>0</v>
      </c>
      <c r="ES53" s="85">
        <v>0</v>
      </c>
      <c r="ET53" s="85">
        <v>0</v>
      </c>
      <c r="EU53" s="85">
        <v>0</v>
      </c>
      <c r="EV53" s="85">
        <v>0</v>
      </c>
      <c r="EW53" s="85">
        <v>0</v>
      </c>
      <c r="EX53" s="85">
        <v>0</v>
      </c>
      <c r="EY53" s="85">
        <v>0</v>
      </c>
      <c r="EZ53" s="85">
        <v>0</v>
      </c>
      <c r="FA53" s="85">
        <v>0</v>
      </c>
      <c r="FB53" s="85">
        <v>0</v>
      </c>
      <c r="FC53" s="87">
        <v>0</v>
      </c>
      <c r="FD53" s="85">
        <v>0</v>
      </c>
      <c r="FE53" s="85">
        <v>0</v>
      </c>
      <c r="FF53" s="85">
        <v>0</v>
      </c>
      <c r="FG53" s="85">
        <v>0</v>
      </c>
      <c r="FH53" s="85">
        <v>0</v>
      </c>
      <c r="FI53" s="85">
        <v>0</v>
      </c>
      <c r="FJ53" s="85">
        <v>0</v>
      </c>
      <c r="FK53" s="85">
        <v>0</v>
      </c>
      <c r="FL53" s="85">
        <v>0</v>
      </c>
      <c r="FM53" s="85">
        <v>0</v>
      </c>
      <c r="FN53" s="85">
        <v>0</v>
      </c>
      <c r="FO53" s="86">
        <v>0</v>
      </c>
      <c r="FP53" s="87">
        <v>3153.0651643057</v>
      </c>
      <c r="FQ53" s="85">
        <v>2994.16846167701</v>
      </c>
      <c r="FR53" s="85">
        <v>2201.69260359076</v>
      </c>
      <c r="FS53" s="85">
        <v>5263.69260316799</v>
      </c>
      <c r="FT53" s="85">
        <v>868.289985543289</v>
      </c>
      <c r="FU53" s="85">
        <v>0</v>
      </c>
      <c r="FV53" s="85">
        <v>0</v>
      </c>
      <c r="FW53" s="85">
        <v>0</v>
      </c>
      <c r="FX53" s="85">
        <v>0</v>
      </c>
      <c r="FY53" s="85">
        <v>0</v>
      </c>
      <c r="FZ53" s="85">
        <v>0</v>
      </c>
      <c r="GA53" s="85">
        <v>0</v>
      </c>
      <c r="GB53" s="152">
        <v>14480.9088182847</v>
      </c>
      <c r="GD53" s="153"/>
    </row>
    <row r="54" spans="1:186">
      <c r="A54" s="137" t="s">
        <v>306</v>
      </c>
      <c r="B54" s="151">
        <v>1380154.04662911</v>
      </c>
      <c r="C54" s="138">
        <f t="shared" si="11"/>
        <v>274725.799222972</v>
      </c>
      <c r="D54" s="138">
        <f t="shared" si="0"/>
        <v>143122.164686346</v>
      </c>
      <c r="E54" s="138">
        <f t="shared" si="1"/>
        <v>77588.9161575293</v>
      </c>
      <c r="F54" s="138">
        <f t="shared" si="2"/>
        <v>33686.7776751645</v>
      </c>
      <c r="G54" s="138">
        <f t="shared" si="3"/>
        <v>21444.4233862377</v>
      </c>
      <c r="H54" s="138">
        <f t="shared" si="4"/>
        <v>0</v>
      </c>
      <c r="I54" s="138">
        <f t="shared" si="5"/>
        <v>0</v>
      </c>
      <c r="J54" s="138">
        <f t="shared" si="6"/>
        <v>0</v>
      </c>
      <c r="K54" s="138">
        <f t="shared" si="7"/>
        <v>0</v>
      </c>
      <c r="L54" s="138">
        <f t="shared" si="8"/>
        <v>0</v>
      </c>
      <c r="M54" s="138">
        <f t="shared" si="9"/>
        <v>0</v>
      </c>
      <c r="N54" s="138">
        <f t="shared" si="10"/>
        <v>0</v>
      </c>
      <c r="O54" s="86">
        <f t="shared" si="12"/>
        <v>550568.08112825</v>
      </c>
      <c r="P54" s="138">
        <v>30922.9938976876</v>
      </c>
      <c r="Q54" s="138">
        <v>12584.0582154042</v>
      </c>
      <c r="R54" s="138">
        <v>10594.0595616208</v>
      </c>
      <c r="S54" s="138">
        <v>6647.87561241623</v>
      </c>
      <c r="T54" s="138">
        <v>1847.39197076059</v>
      </c>
      <c r="U54" s="138">
        <v>0</v>
      </c>
      <c r="V54" s="138">
        <v>0</v>
      </c>
      <c r="W54" s="138">
        <v>0</v>
      </c>
      <c r="X54" s="138">
        <v>0</v>
      </c>
      <c r="Y54" s="138">
        <v>0</v>
      </c>
      <c r="Z54" s="138">
        <v>0</v>
      </c>
      <c r="AA54" s="138">
        <v>0</v>
      </c>
      <c r="AB54" s="86">
        <v>62596.3792578894</v>
      </c>
      <c r="AC54" s="138">
        <v>15298.7630228224</v>
      </c>
      <c r="AD54" s="138">
        <v>10793.0873283219</v>
      </c>
      <c r="AE54" s="138">
        <v>6503.61517369381</v>
      </c>
      <c r="AF54" s="138">
        <v>1350.50196200116</v>
      </c>
      <c r="AG54" s="138">
        <v>0</v>
      </c>
      <c r="AH54" s="138">
        <v>0</v>
      </c>
      <c r="AI54" s="138">
        <v>0</v>
      </c>
      <c r="AJ54" s="138">
        <v>0</v>
      </c>
      <c r="AK54" s="138">
        <v>0</v>
      </c>
      <c r="AL54" s="138">
        <v>0</v>
      </c>
      <c r="AM54" s="138">
        <v>0</v>
      </c>
      <c r="AN54" s="138">
        <v>0</v>
      </c>
      <c r="AO54" s="86">
        <v>33945.9674868392</v>
      </c>
      <c r="AP54" s="138">
        <v>8073.77541807767</v>
      </c>
      <c r="AQ54" s="138">
        <v>5031.99754600002</v>
      </c>
      <c r="AR54" s="138">
        <v>2774.6544849993</v>
      </c>
      <c r="AS54" s="138">
        <v>1943.03555707309</v>
      </c>
      <c r="AT54" s="138">
        <v>1867.41340555564</v>
      </c>
      <c r="AU54" s="138">
        <v>0</v>
      </c>
      <c r="AV54" s="138">
        <v>0</v>
      </c>
      <c r="AW54" s="138">
        <v>0</v>
      </c>
      <c r="AX54" s="138">
        <v>0</v>
      </c>
      <c r="AY54" s="138">
        <v>0</v>
      </c>
      <c r="AZ54" s="138">
        <v>0</v>
      </c>
      <c r="BA54" s="138">
        <v>0</v>
      </c>
      <c r="BB54" s="86">
        <v>19690.8764117057</v>
      </c>
      <c r="BC54" s="138">
        <v>17666.5025042612</v>
      </c>
      <c r="BD54" s="138">
        <v>12118.3815096519</v>
      </c>
      <c r="BE54" s="138">
        <v>5342.16240912404</v>
      </c>
      <c r="BF54" s="138">
        <v>3620.00928872954</v>
      </c>
      <c r="BG54" s="138">
        <v>211.463469808372</v>
      </c>
      <c r="BH54" s="138">
        <v>0</v>
      </c>
      <c r="BI54" s="138">
        <v>0</v>
      </c>
      <c r="BJ54" s="138">
        <v>0</v>
      </c>
      <c r="BK54" s="138">
        <v>0</v>
      </c>
      <c r="BL54" s="138">
        <v>0</v>
      </c>
      <c r="BM54" s="138">
        <v>0</v>
      </c>
      <c r="BN54" s="138">
        <v>0</v>
      </c>
      <c r="BO54" s="86">
        <v>38958.5191815751</v>
      </c>
      <c r="BP54" s="138">
        <v>47417.2395034677</v>
      </c>
      <c r="BQ54" s="138">
        <v>39193.831427839</v>
      </c>
      <c r="BR54" s="138">
        <v>21573.7352687258</v>
      </c>
      <c r="BS54" s="138">
        <v>9252.94729088329</v>
      </c>
      <c r="BT54" s="138">
        <v>7617.38824779611</v>
      </c>
      <c r="BU54" s="138">
        <v>0</v>
      </c>
      <c r="BV54" s="138">
        <v>0</v>
      </c>
      <c r="BW54" s="138">
        <v>0</v>
      </c>
      <c r="BX54" s="138">
        <v>0</v>
      </c>
      <c r="BY54" s="138">
        <v>0</v>
      </c>
      <c r="BZ54" s="138">
        <v>0</v>
      </c>
      <c r="CA54" s="138">
        <v>0</v>
      </c>
      <c r="CB54" s="86">
        <v>125055.141738712</v>
      </c>
      <c r="CC54" s="138">
        <v>3925.80414267775</v>
      </c>
      <c r="CD54" s="138">
        <v>1218.8244443801</v>
      </c>
      <c r="CE54" s="138">
        <v>606.98863677398</v>
      </c>
      <c r="CF54" s="138">
        <v>1000.44509715558</v>
      </c>
      <c r="CG54" s="138">
        <v>992.251793910557</v>
      </c>
      <c r="CH54" s="138">
        <v>0</v>
      </c>
      <c r="CI54" s="138">
        <v>0</v>
      </c>
      <c r="CJ54" s="138">
        <v>0</v>
      </c>
      <c r="CK54" s="138">
        <v>0</v>
      </c>
      <c r="CL54" s="138">
        <v>0</v>
      </c>
      <c r="CM54" s="138">
        <v>0</v>
      </c>
      <c r="CN54" s="138">
        <v>0</v>
      </c>
      <c r="CO54" s="86">
        <v>7744.31411489797</v>
      </c>
      <c r="CP54" s="138">
        <v>70446.573588619</v>
      </c>
      <c r="CQ54" s="138">
        <v>35935.0077812302</v>
      </c>
      <c r="CR54" s="138">
        <v>3797.20247477326</v>
      </c>
      <c r="CS54" s="138">
        <v>1351.52589133029</v>
      </c>
      <c r="CT54" s="138">
        <v>1337.42103370649</v>
      </c>
      <c r="CU54" s="138">
        <v>0</v>
      </c>
      <c r="CV54" s="138">
        <v>0</v>
      </c>
      <c r="CW54" s="138">
        <v>0</v>
      </c>
      <c r="CX54" s="138">
        <v>0</v>
      </c>
      <c r="CY54" s="138">
        <v>0</v>
      </c>
      <c r="CZ54" s="138">
        <v>0</v>
      </c>
      <c r="DA54" s="138">
        <v>0</v>
      </c>
      <c r="DB54" s="86">
        <v>112867.730769659</v>
      </c>
      <c r="DC54" s="138">
        <v>1979.06379963658</v>
      </c>
      <c r="DD54" s="138">
        <v>1455.99102941985</v>
      </c>
      <c r="DE54" s="138">
        <v>699.444758447983</v>
      </c>
      <c r="DF54" s="138">
        <v>704.835881541247</v>
      </c>
      <c r="DG54" s="138">
        <v>238.922510425762</v>
      </c>
      <c r="DH54" s="138">
        <v>0</v>
      </c>
      <c r="DI54" s="138">
        <v>0</v>
      </c>
      <c r="DJ54" s="138">
        <v>0</v>
      </c>
      <c r="DK54" s="138">
        <v>0</v>
      </c>
      <c r="DL54" s="138">
        <v>0</v>
      </c>
      <c r="DM54" s="138">
        <v>0</v>
      </c>
      <c r="DN54" s="138">
        <v>0</v>
      </c>
      <c r="DO54" s="86">
        <v>5078.25797947142</v>
      </c>
      <c r="DP54" s="138">
        <v>22881.1924942165</v>
      </c>
      <c r="DQ54" s="138">
        <v>8475.04513036755</v>
      </c>
      <c r="DR54" s="138">
        <v>10808.3279850016</v>
      </c>
      <c r="DS54" s="138">
        <v>1361.91856707153</v>
      </c>
      <c r="DT54" s="138">
        <v>1363.04535841734</v>
      </c>
      <c r="DU54" s="138">
        <v>0</v>
      </c>
      <c r="DV54" s="138">
        <v>0</v>
      </c>
      <c r="DW54" s="138">
        <v>0</v>
      </c>
      <c r="DX54" s="138">
        <v>0</v>
      </c>
      <c r="DY54" s="138">
        <v>0</v>
      </c>
      <c r="DZ54" s="138">
        <v>0</v>
      </c>
      <c r="EA54" s="138">
        <v>0</v>
      </c>
      <c r="EB54" s="85">
        <v>44889.5295350745</v>
      </c>
      <c r="EC54" s="87">
        <v>0</v>
      </c>
      <c r="ED54" s="85">
        <v>0</v>
      </c>
      <c r="EE54" s="85">
        <v>0</v>
      </c>
      <c r="EF54" s="85">
        <v>0</v>
      </c>
      <c r="EG54" s="85">
        <v>0</v>
      </c>
      <c r="EH54" s="85">
        <v>0</v>
      </c>
      <c r="EI54" s="85">
        <v>0</v>
      </c>
      <c r="EJ54" s="85">
        <v>0</v>
      </c>
      <c r="EK54" s="85">
        <v>0</v>
      </c>
      <c r="EL54" s="85">
        <v>0</v>
      </c>
      <c r="EM54" s="85">
        <v>0</v>
      </c>
      <c r="EN54" s="85">
        <v>0</v>
      </c>
      <c r="EO54" s="152">
        <v>0</v>
      </c>
      <c r="EP54" s="85">
        <v>3008.7566201255</v>
      </c>
      <c r="EQ54" s="85">
        <v>2625.26328927627</v>
      </c>
      <c r="ER54" s="85">
        <v>1161.07231017873</v>
      </c>
      <c r="ES54" s="85">
        <v>1513.97448169596</v>
      </c>
      <c r="ET54" s="85">
        <v>1496.14751991677</v>
      </c>
      <c r="EU54" s="85">
        <v>0</v>
      </c>
      <c r="EV54" s="85">
        <v>0</v>
      </c>
      <c r="EW54" s="85">
        <v>0</v>
      </c>
      <c r="EX54" s="85">
        <v>0</v>
      </c>
      <c r="EY54" s="85">
        <v>0</v>
      </c>
      <c r="EZ54" s="85">
        <v>0</v>
      </c>
      <c r="FA54" s="85">
        <v>0</v>
      </c>
      <c r="FB54" s="85">
        <v>9805.21422119323</v>
      </c>
      <c r="FC54" s="87">
        <v>0</v>
      </c>
      <c r="FD54" s="85">
        <v>0</v>
      </c>
      <c r="FE54" s="85">
        <v>0</v>
      </c>
      <c r="FF54" s="85">
        <v>0</v>
      </c>
      <c r="FG54" s="85">
        <v>0</v>
      </c>
      <c r="FH54" s="85">
        <v>0</v>
      </c>
      <c r="FI54" s="85">
        <v>0</v>
      </c>
      <c r="FJ54" s="85">
        <v>0</v>
      </c>
      <c r="FK54" s="85">
        <v>0</v>
      </c>
      <c r="FL54" s="85">
        <v>0</v>
      </c>
      <c r="FM54" s="85">
        <v>0</v>
      </c>
      <c r="FN54" s="85">
        <v>0</v>
      </c>
      <c r="FO54" s="86">
        <v>0</v>
      </c>
      <c r="FP54" s="87">
        <v>53105.1342313802</v>
      </c>
      <c r="FQ54" s="85">
        <v>13690.6769844551</v>
      </c>
      <c r="FR54" s="85">
        <v>13727.65309419</v>
      </c>
      <c r="FS54" s="85">
        <v>4939.70804526662</v>
      </c>
      <c r="FT54" s="85">
        <v>4472.97807594011</v>
      </c>
      <c r="FU54" s="85">
        <v>0</v>
      </c>
      <c r="FV54" s="85">
        <v>0</v>
      </c>
      <c r="FW54" s="85">
        <v>0</v>
      </c>
      <c r="FX54" s="85">
        <v>0</v>
      </c>
      <c r="FY54" s="85">
        <v>0</v>
      </c>
      <c r="FZ54" s="85">
        <v>0</v>
      </c>
      <c r="GA54" s="85">
        <v>0</v>
      </c>
      <c r="GB54" s="152">
        <v>89936.150431232</v>
      </c>
      <c r="GD54" s="153"/>
    </row>
    <row r="55" spans="1:186">
      <c r="A55" s="137" t="s">
        <v>135</v>
      </c>
      <c r="B55" s="151">
        <v>370621.830433846</v>
      </c>
      <c r="C55" s="138">
        <f t="shared" si="11"/>
        <v>225.650977570685</v>
      </c>
      <c r="D55" s="138">
        <f t="shared" si="0"/>
        <v>0</v>
      </c>
      <c r="E55" s="138">
        <f t="shared" si="1"/>
        <v>0</v>
      </c>
      <c r="F55" s="138">
        <f t="shared" si="2"/>
        <v>0</v>
      </c>
      <c r="G55" s="138">
        <f t="shared" si="3"/>
        <v>0</v>
      </c>
      <c r="H55" s="138">
        <f t="shared" si="4"/>
        <v>0</v>
      </c>
      <c r="I55" s="138">
        <f t="shared" si="5"/>
        <v>0</v>
      </c>
      <c r="J55" s="138">
        <f t="shared" si="6"/>
        <v>0</v>
      </c>
      <c r="K55" s="138">
        <f t="shared" si="7"/>
        <v>0</v>
      </c>
      <c r="L55" s="138">
        <f t="shared" si="8"/>
        <v>0</v>
      </c>
      <c r="M55" s="138">
        <f t="shared" si="9"/>
        <v>0</v>
      </c>
      <c r="N55" s="138">
        <f t="shared" si="10"/>
        <v>0</v>
      </c>
      <c r="O55" s="86">
        <f t="shared" si="12"/>
        <v>225.650977570685</v>
      </c>
      <c r="P55" s="138">
        <v>0</v>
      </c>
      <c r="Q55" s="138">
        <v>0</v>
      </c>
      <c r="R55" s="138">
        <v>0</v>
      </c>
      <c r="S55" s="138">
        <v>0</v>
      </c>
      <c r="T55" s="138">
        <v>0</v>
      </c>
      <c r="U55" s="138">
        <v>0</v>
      </c>
      <c r="V55" s="138">
        <v>0</v>
      </c>
      <c r="W55" s="138">
        <v>0</v>
      </c>
      <c r="X55" s="138">
        <v>0</v>
      </c>
      <c r="Y55" s="138">
        <v>0</v>
      </c>
      <c r="Z55" s="138">
        <v>0</v>
      </c>
      <c r="AA55" s="138">
        <v>0</v>
      </c>
      <c r="AB55" s="86">
        <v>0</v>
      </c>
      <c r="AC55" s="138">
        <v>0</v>
      </c>
      <c r="AD55" s="138">
        <v>0</v>
      </c>
      <c r="AE55" s="138">
        <v>0</v>
      </c>
      <c r="AF55" s="138">
        <v>0</v>
      </c>
      <c r="AG55" s="138">
        <v>0</v>
      </c>
      <c r="AH55" s="138">
        <v>0</v>
      </c>
      <c r="AI55" s="138">
        <v>0</v>
      </c>
      <c r="AJ55" s="138">
        <v>0</v>
      </c>
      <c r="AK55" s="138">
        <v>0</v>
      </c>
      <c r="AL55" s="138">
        <v>0</v>
      </c>
      <c r="AM55" s="138">
        <v>0</v>
      </c>
      <c r="AN55" s="138">
        <v>0</v>
      </c>
      <c r="AO55" s="86">
        <v>0</v>
      </c>
      <c r="AP55" s="138">
        <v>0</v>
      </c>
      <c r="AQ55" s="138">
        <v>0</v>
      </c>
      <c r="AR55" s="138">
        <v>0</v>
      </c>
      <c r="AS55" s="138">
        <v>0</v>
      </c>
      <c r="AT55" s="138">
        <v>0</v>
      </c>
      <c r="AU55" s="138">
        <v>0</v>
      </c>
      <c r="AV55" s="138">
        <v>0</v>
      </c>
      <c r="AW55" s="138">
        <v>0</v>
      </c>
      <c r="AX55" s="138">
        <v>0</v>
      </c>
      <c r="AY55" s="138">
        <v>0</v>
      </c>
      <c r="AZ55" s="138">
        <v>0</v>
      </c>
      <c r="BA55" s="138">
        <v>0</v>
      </c>
      <c r="BB55" s="86">
        <v>0</v>
      </c>
      <c r="BC55" s="138">
        <v>0</v>
      </c>
      <c r="BD55" s="138">
        <v>0</v>
      </c>
      <c r="BE55" s="138">
        <v>0</v>
      </c>
      <c r="BF55" s="138">
        <v>0</v>
      </c>
      <c r="BG55" s="138">
        <v>0</v>
      </c>
      <c r="BH55" s="138">
        <v>0</v>
      </c>
      <c r="BI55" s="138">
        <v>0</v>
      </c>
      <c r="BJ55" s="138">
        <v>0</v>
      </c>
      <c r="BK55" s="138">
        <v>0</v>
      </c>
      <c r="BL55" s="138">
        <v>0</v>
      </c>
      <c r="BM55" s="138">
        <v>0</v>
      </c>
      <c r="BN55" s="138">
        <v>0</v>
      </c>
      <c r="BO55" s="86">
        <v>0</v>
      </c>
      <c r="BP55" s="138">
        <v>0</v>
      </c>
      <c r="BQ55" s="138">
        <v>0</v>
      </c>
      <c r="BR55" s="138">
        <v>0</v>
      </c>
      <c r="BS55" s="138">
        <v>0</v>
      </c>
      <c r="BT55" s="138">
        <v>0</v>
      </c>
      <c r="BU55" s="138">
        <v>0</v>
      </c>
      <c r="BV55" s="138">
        <v>0</v>
      </c>
      <c r="BW55" s="138">
        <v>0</v>
      </c>
      <c r="BX55" s="138">
        <v>0</v>
      </c>
      <c r="BY55" s="138">
        <v>0</v>
      </c>
      <c r="BZ55" s="138">
        <v>0</v>
      </c>
      <c r="CA55" s="138">
        <v>0</v>
      </c>
      <c r="CB55" s="86">
        <v>0</v>
      </c>
      <c r="CC55" s="138">
        <v>225.650977570685</v>
      </c>
      <c r="CD55" s="138">
        <v>0</v>
      </c>
      <c r="CE55" s="138">
        <v>0</v>
      </c>
      <c r="CF55" s="138">
        <v>0</v>
      </c>
      <c r="CG55" s="138">
        <v>0</v>
      </c>
      <c r="CH55" s="138">
        <v>0</v>
      </c>
      <c r="CI55" s="138">
        <v>0</v>
      </c>
      <c r="CJ55" s="138">
        <v>0</v>
      </c>
      <c r="CK55" s="138">
        <v>0</v>
      </c>
      <c r="CL55" s="138">
        <v>0</v>
      </c>
      <c r="CM55" s="138">
        <v>0</v>
      </c>
      <c r="CN55" s="138">
        <v>0</v>
      </c>
      <c r="CO55" s="86">
        <v>225.650977570685</v>
      </c>
      <c r="CP55" s="138">
        <v>0</v>
      </c>
      <c r="CQ55" s="138">
        <v>0</v>
      </c>
      <c r="CR55" s="138">
        <v>0</v>
      </c>
      <c r="CS55" s="138">
        <v>0</v>
      </c>
      <c r="CT55" s="138">
        <v>0</v>
      </c>
      <c r="CU55" s="138">
        <v>0</v>
      </c>
      <c r="CV55" s="138">
        <v>0</v>
      </c>
      <c r="CW55" s="138">
        <v>0</v>
      </c>
      <c r="CX55" s="138">
        <v>0</v>
      </c>
      <c r="CY55" s="138">
        <v>0</v>
      </c>
      <c r="CZ55" s="138">
        <v>0</v>
      </c>
      <c r="DA55" s="138">
        <v>0</v>
      </c>
      <c r="DB55" s="86">
        <v>0</v>
      </c>
      <c r="DC55" s="138">
        <v>0</v>
      </c>
      <c r="DD55" s="138">
        <v>0</v>
      </c>
      <c r="DE55" s="138">
        <v>0</v>
      </c>
      <c r="DF55" s="138">
        <v>0</v>
      </c>
      <c r="DG55" s="138">
        <v>0</v>
      </c>
      <c r="DH55" s="138">
        <v>0</v>
      </c>
      <c r="DI55" s="138">
        <v>0</v>
      </c>
      <c r="DJ55" s="138">
        <v>0</v>
      </c>
      <c r="DK55" s="138">
        <v>0</v>
      </c>
      <c r="DL55" s="138">
        <v>0</v>
      </c>
      <c r="DM55" s="138">
        <v>0</v>
      </c>
      <c r="DN55" s="138">
        <v>0</v>
      </c>
      <c r="DO55" s="86">
        <v>0</v>
      </c>
      <c r="DP55" s="138">
        <v>0</v>
      </c>
      <c r="DQ55" s="138">
        <v>0</v>
      </c>
      <c r="DR55" s="138">
        <v>0</v>
      </c>
      <c r="DS55" s="138">
        <v>0</v>
      </c>
      <c r="DT55" s="138">
        <v>0</v>
      </c>
      <c r="DU55" s="138">
        <v>0</v>
      </c>
      <c r="DV55" s="138">
        <v>0</v>
      </c>
      <c r="DW55" s="138">
        <v>0</v>
      </c>
      <c r="DX55" s="138">
        <v>0</v>
      </c>
      <c r="DY55" s="138">
        <v>0</v>
      </c>
      <c r="DZ55" s="138">
        <v>0</v>
      </c>
      <c r="EA55" s="138">
        <v>0</v>
      </c>
      <c r="EB55" s="85">
        <v>0</v>
      </c>
      <c r="EC55" s="87">
        <v>0</v>
      </c>
      <c r="ED55" s="85">
        <v>0</v>
      </c>
      <c r="EE55" s="85">
        <v>0</v>
      </c>
      <c r="EF55" s="85">
        <v>0</v>
      </c>
      <c r="EG55" s="85">
        <v>0</v>
      </c>
      <c r="EH55" s="85">
        <v>0</v>
      </c>
      <c r="EI55" s="85">
        <v>0</v>
      </c>
      <c r="EJ55" s="85">
        <v>0</v>
      </c>
      <c r="EK55" s="85">
        <v>0</v>
      </c>
      <c r="EL55" s="85">
        <v>0</v>
      </c>
      <c r="EM55" s="85">
        <v>0</v>
      </c>
      <c r="EN55" s="85">
        <v>0</v>
      </c>
      <c r="EO55" s="152">
        <v>0</v>
      </c>
      <c r="EP55" s="85">
        <v>0</v>
      </c>
      <c r="EQ55" s="85">
        <v>0</v>
      </c>
      <c r="ER55" s="85">
        <v>0</v>
      </c>
      <c r="ES55" s="85">
        <v>0</v>
      </c>
      <c r="ET55" s="85">
        <v>0</v>
      </c>
      <c r="EU55" s="85">
        <v>0</v>
      </c>
      <c r="EV55" s="85">
        <v>0</v>
      </c>
      <c r="EW55" s="85">
        <v>0</v>
      </c>
      <c r="EX55" s="85">
        <v>0</v>
      </c>
      <c r="EY55" s="85">
        <v>0</v>
      </c>
      <c r="EZ55" s="85">
        <v>0</v>
      </c>
      <c r="FA55" s="85">
        <v>0</v>
      </c>
      <c r="FB55" s="85">
        <v>0</v>
      </c>
      <c r="FC55" s="87">
        <v>0</v>
      </c>
      <c r="FD55" s="85">
        <v>0</v>
      </c>
      <c r="FE55" s="85">
        <v>0</v>
      </c>
      <c r="FF55" s="85">
        <v>0</v>
      </c>
      <c r="FG55" s="85">
        <v>0</v>
      </c>
      <c r="FH55" s="85">
        <v>0</v>
      </c>
      <c r="FI55" s="85">
        <v>0</v>
      </c>
      <c r="FJ55" s="85">
        <v>0</v>
      </c>
      <c r="FK55" s="85">
        <v>0</v>
      </c>
      <c r="FL55" s="85">
        <v>0</v>
      </c>
      <c r="FM55" s="85">
        <v>0</v>
      </c>
      <c r="FN55" s="85">
        <v>0</v>
      </c>
      <c r="FO55" s="86">
        <v>0</v>
      </c>
      <c r="FP55" s="87">
        <v>0</v>
      </c>
      <c r="FQ55" s="85">
        <v>0</v>
      </c>
      <c r="FR55" s="85">
        <v>0</v>
      </c>
      <c r="FS55" s="85">
        <v>0</v>
      </c>
      <c r="FT55" s="85">
        <v>0</v>
      </c>
      <c r="FU55" s="85">
        <v>0</v>
      </c>
      <c r="FV55" s="85">
        <v>0</v>
      </c>
      <c r="FW55" s="85">
        <v>0</v>
      </c>
      <c r="FX55" s="85">
        <v>0</v>
      </c>
      <c r="FY55" s="85">
        <v>0</v>
      </c>
      <c r="FZ55" s="85">
        <v>0</v>
      </c>
      <c r="GA55" s="85">
        <v>0</v>
      </c>
      <c r="GB55" s="152">
        <v>0</v>
      </c>
      <c r="GD55" s="153"/>
    </row>
    <row r="56" spans="1:186">
      <c r="A56" s="137" t="s">
        <v>137</v>
      </c>
      <c r="B56" s="151">
        <v>1664636.39277826</v>
      </c>
      <c r="C56" s="138">
        <f t="shared" si="11"/>
        <v>11669.6925762731</v>
      </c>
      <c r="D56" s="138">
        <f t="shared" si="0"/>
        <v>8788.05420208747</v>
      </c>
      <c r="E56" s="138">
        <f t="shared" si="1"/>
        <v>10903.2812911923</v>
      </c>
      <c r="F56" s="138">
        <f t="shared" si="2"/>
        <v>10626.6027391171</v>
      </c>
      <c r="G56" s="138">
        <f t="shared" si="3"/>
        <v>8145.23979334048</v>
      </c>
      <c r="H56" s="138">
        <f t="shared" si="4"/>
        <v>15921.1653776129</v>
      </c>
      <c r="I56" s="138">
        <f t="shared" si="5"/>
        <v>7783.13474680154</v>
      </c>
      <c r="J56" s="138">
        <f t="shared" si="6"/>
        <v>7783.13474680154</v>
      </c>
      <c r="K56" s="138">
        <f t="shared" si="7"/>
        <v>0</v>
      </c>
      <c r="L56" s="138">
        <f t="shared" si="8"/>
        <v>0</v>
      </c>
      <c r="M56" s="138">
        <f t="shared" si="9"/>
        <v>0</v>
      </c>
      <c r="N56" s="138">
        <f t="shared" si="10"/>
        <v>0</v>
      </c>
      <c r="O56" s="86">
        <f t="shared" si="12"/>
        <v>81620.3054732264</v>
      </c>
      <c r="P56" s="138">
        <v>0</v>
      </c>
      <c r="Q56" s="138">
        <v>0</v>
      </c>
      <c r="R56" s="138">
        <v>0</v>
      </c>
      <c r="S56" s="138">
        <v>0</v>
      </c>
      <c r="T56" s="138">
        <v>0</v>
      </c>
      <c r="U56" s="138">
        <v>0</v>
      </c>
      <c r="V56" s="138">
        <v>0</v>
      </c>
      <c r="W56" s="138">
        <v>0</v>
      </c>
      <c r="X56" s="138">
        <v>0</v>
      </c>
      <c r="Y56" s="138">
        <v>0</v>
      </c>
      <c r="Z56" s="138">
        <v>0</v>
      </c>
      <c r="AA56" s="138">
        <v>0</v>
      </c>
      <c r="AB56" s="86">
        <v>0</v>
      </c>
      <c r="AC56" s="138">
        <v>0</v>
      </c>
      <c r="AD56" s="138">
        <v>0</v>
      </c>
      <c r="AE56" s="138">
        <v>0</v>
      </c>
      <c r="AF56" s="138">
        <v>0</v>
      </c>
      <c r="AG56" s="138">
        <v>0</v>
      </c>
      <c r="AH56" s="138">
        <v>0</v>
      </c>
      <c r="AI56" s="138">
        <v>0</v>
      </c>
      <c r="AJ56" s="138">
        <v>0</v>
      </c>
      <c r="AK56" s="138">
        <v>0</v>
      </c>
      <c r="AL56" s="138">
        <v>0</v>
      </c>
      <c r="AM56" s="138">
        <v>0</v>
      </c>
      <c r="AN56" s="138">
        <v>0</v>
      </c>
      <c r="AO56" s="86">
        <v>0</v>
      </c>
      <c r="AP56" s="138">
        <v>0</v>
      </c>
      <c r="AQ56" s="138">
        <v>0</v>
      </c>
      <c r="AR56" s="138">
        <v>0</v>
      </c>
      <c r="AS56" s="138">
        <v>0</v>
      </c>
      <c r="AT56" s="138">
        <v>0</v>
      </c>
      <c r="AU56" s="138">
        <v>0</v>
      </c>
      <c r="AV56" s="138">
        <v>0</v>
      </c>
      <c r="AW56" s="138">
        <v>0</v>
      </c>
      <c r="AX56" s="138">
        <v>0</v>
      </c>
      <c r="AY56" s="138">
        <v>0</v>
      </c>
      <c r="AZ56" s="138">
        <v>0</v>
      </c>
      <c r="BA56" s="138">
        <v>0</v>
      </c>
      <c r="BB56" s="86">
        <v>0</v>
      </c>
      <c r="BC56" s="138">
        <v>782.210576024714</v>
      </c>
      <c r="BD56" s="138">
        <v>258.722610189793</v>
      </c>
      <c r="BE56" s="138">
        <v>4513.32601784462</v>
      </c>
      <c r="BF56" s="138">
        <v>3309.6630489577</v>
      </c>
      <c r="BG56" s="138">
        <v>2612.35911249288</v>
      </c>
      <c r="BH56" s="138">
        <v>3202.13328015512</v>
      </c>
      <c r="BI56" s="138">
        <v>3202.13328015512</v>
      </c>
      <c r="BJ56" s="138">
        <v>3202.13328015512</v>
      </c>
      <c r="BK56" s="138">
        <v>0</v>
      </c>
      <c r="BL56" s="138">
        <v>0</v>
      </c>
      <c r="BM56" s="138">
        <v>0</v>
      </c>
      <c r="BN56" s="138">
        <v>0</v>
      </c>
      <c r="BO56" s="86">
        <v>21082.6812059751</v>
      </c>
      <c r="BP56" s="138">
        <v>0</v>
      </c>
      <c r="BQ56" s="138">
        <v>0</v>
      </c>
      <c r="BR56" s="138">
        <v>0</v>
      </c>
      <c r="BS56" s="138">
        <v>0</v>
      </c>
      <c r="BT56" s="138">
        <v>0</v>
      </c>
      <c r="BU56" s="138">
        <v>0</v>
      </c>
      <c r="BV56" s="138">
        <v>0</v>
      </c>
      <c r="BW56" s="138">
        <v>0</v>
      </c>
      <c r="BX56" s="138">
        <v>0</v>
      </c>
      <c r="BY56" s="138">
        <v>0</v>
      </c>
      <c r="BZ56" s="138">
        <v>0</v>
      </c>
      <c r="CA56" s="138">
        <v>0</v>
      </c>
      <c r="CB56" s="86">
        <v>0</v>
      </c>
      <c r="CC56" s="138">
        <v>0</v>
      </c>
      <c r="CD56" s="138">
        <v>0</v>
      </c>
      <c r="CE56" s="138">
        <v>0</v>
      </c>
      <c r="CF56" s="138">
        <v>0</v>
      </c>
      <c r="CG56" s="138">
        <v>0</v>
      </c>
      <c r="CH56" s="138">
        <v>8138.03063081132</v>
      </c>
      <c r="CI56" s="138">
        <v>0</v>
      </c>
      <c r="CJ56" s="138">
        <v>0</v>
      </c>
      <c r="CK56" s="138">
        <v>0</v>
      </c>
      <c r="CL56" s="138">
        <v>0</v>
      </c>
      <c r="CM56" s="138">
        <v>0</v>
      </c>
      <c r="CN56" s="138">
        <v>0</v>
      </c>
      <c r="CO56" s="86">
        <v>8138.03063081132</v>
      </c>
      <c r="CP56" s="138">
        <v>4303.31663289546</v>
      </c>
      <c r="CQ56" s="138">
        <v>6231.68150358395</v>
      </c>
      <c r="CR56" s="138">
        <v>5442.72518780236</v>
      </c>
      <c r="CS56" s="138">
        <v>5066.84439025482</v>
      </c>
      <c r="CT56" s="138">
        <v>4328.21348293544</v>
      </c>
      <c r="CU56" s="138">
        <v>4581.00146664642</v>
      </c>
      <c r="CV56" s="138">
        <v>4581.00146664642</v>
      </c>
      <c r="CW56" s="138">
        <v>4581.00146664642</v>
      </c>
      <c r="CX56" s="138">
        <v>0</v>
      </c>
      <c r="CY56" s="138">
        <v>0</v>
      </c>
      <c r="CZ56" s="138">
        <v>0</v>
      </c>
      <c r="DA56" s="138">
        <v>0</v>
      </c>
      <c r="DB56" s="86">
        <v>39115.7855974113</v>
      </c>
      <c r="DC56" s="138">
        <v>0</v>
      </c>
      <c r="DD56" s="138">
        <v>0</v>
      </c>
      <c r="DE56" s="138">
        <v>0</v>
      </c>
      <c r="DF56" s="138">
        <v>0</v>
      </c>
      <c r="DG56" s="138">
        <v>0</v>
      </c>
      <c r="DH56" s="138">
        <v>0</v>
      </c>
      <c r="DI56" s="138">
        <v>0</v>
      </c>
      <c r="DJ56" s="138">
        <v>0</v>
      </c>
      <c r="DK56" s="138">
        <v>0</v>
      </c>
      <c r="DL56" s="138">
        <v>0</v>
      </c>
      <c r="DM56" s="138">
        <v>0</v>
      </c>
      <c r="DN56" s="138">
        <v>0</v>
      </c>
      <c r="DO56" s="86">
        <v>0</v>
      </c>
      <c r="DP56" s="138">
        <v>2774.01076381357</v>
      </c>
      <c r="DQ56" s="138">
        <v>214.790262190568</v>
      </c>
      <c r="DR56" s="138">
        <v>416.787452447731</v>
      </c>
      <c r="DS56" s="138">
        <v>107.004895290686</v>
      </c>
      <c r="DT56" s="138">
        <v>107.096012383471</v>
      </c>
      <c r="DU56" s="138">
        <v>0</v>
      </c>
      <c r="DV56" s="138">
        <v>0</v>
      </c>
      <c r="DW56" s="138">
        <v>0</v>
      </c>
      <c r="DX56" s="138">
        <v>0</v>
      </c>
      <c r="DY56" s="138">
        <v>0</v>
      </c>
      <c r="DZ56" s="138">
        <v>0</v>
      </c>
      <c r="EA56" s="138">
        <v>0</v>
      </c>
      <c r="EB56" s="85">
        <v>3619.68938612602</v>
      </c>
      <c r="EC56" s="87">
        <v>0</v>
      </c>
      <c r="ED56" s="85">
        <v>0</v>
      </c>
      <c r="EE56" s="85">
        <v>0</v>
      </c>
      <c r="EF56" s="85">
        <v>0</v>
      </c>
      <c r="EG56" s="85">
        <v>0</v>
      </c>
      <c r="EH56" s="85">
        <v>0</v>
      </c>
      <c r="EI56" s="85">
        <v>0</v>
      </c>
      <c r="EJ56" s="85">
        <v>0</v>
      </c>
      <c r="EK56" s="85">
        <v>0</v>
      </c>
      <c r="EL56" s="85">
        <v>0</v>
      </c>
      <c r="EM56" s="85">
        <v>0</v>
      </c>
      <c r="EN56" s="85">
        <v>0</v>
      </c>
      <c r="EO56" s="152">
        <v>0</v>
      </c>
      <c r="EP56" s="85">
        <v>0</v>
      </c>
      <c r="EQ56" s="85">
        <v>0</v>
      </c>
      <c r="ER56" s="85">
        <v>0</v>
      </c>
      <c r="ES56" s="85">
        <v>0</v>
      </c>
      <c r="ET56" s="85">
        <v>0</v>
      </c>
      <c r="EU56" s="85">
        <v>0</v>
      </c>
      <c r="EV56" s="85">
        <v>0</v>
      </c>
      <c r="EW56" s="85">
        <v>0</v>
      </c>
      <c r="EX56" s="85">
        <v>0</v>
      </c>
      <c r="EY56" s="85">
        <v>0</v>
      </c>
      <c r="EZ56" s="85">
        <v>0</v>
      </c>
      <c r="FA56" s="85">
        <v>0</v>
      </c>
      <c r="FB56" s="85">
        <v>0</v>
      </c>
      <c r="FC56" s="87">
        <v>0</v>
      </c>
      <c r="FD56" s="85">
        <v>0</v>
      </c>
      <c r="FE56" s="85">
        <v>0</v>
      </c>
      <c r="FF56" s="85">
        <v>0</v>
      </c>
      <c r="FG56" s="85">
        <v>0</v>
      </c>
      <c r="FH56" s="85">
        <v>0</v>
      </c>
      <c r="FI56" s="85">
        <v>0</v>
      </c>
      <c r="FJ56" s="85">
        <v>0</v>
      </c>
      <c r="FK56" s="85">
        <v>0</v>
      </c>
      <c r="FL56" s="85">
        <v>0</v>
      </c>
      <c r="FM56" s="85">
        <v>0</v>
      </c>
      <c r="FN56" s="85">
        <v>0</v>
      </c>
      <c r="FO56" s="86">
        <v>0</v>
      </c>
      <c r="FP56" s="87">
        <v>3810.15460353932</v>
      </c>
      <c r="FQ56" s="85">
        <v>2082.85982612317</v>
      </c>
      <c r="FR56" s="85">
        <v>530.442633097563</v>
      </c>
      <c r="FS56" s="85">
        <v>2143.0904046139</v>
      </c>
      <c r="FT56" s="85">
        <v>1097.57118552869</v>
      </c>
      <c r="FU56" s="85">
        <v>0</v>
      </c>
      <c r="FV56" s="85">
        <v>0</v>
      </c>
      <c r="FW56" s="85">
        <v>0</v>
      </c>
      <c r="FX56" s="85">
        <v>0</v>
      </c>
      <c r="FY56" s="85">
        <v>0</v>
      </c>
      <c r="FZ56" s="85">
        <v>0</v>
      </c>
      <c r="GA56" s="85">
        <v>0</v>
      </c>
      <c r="GB56" s="152">
        <v>9664.11865290265</v>
      </c>
      <c r="GD56" s="153"/>
    </row>
    <row r="57" spans="1:186">
      <c r="A57" s="137" t="s">
        <v>139</v>
      </c>
      <c r="B57" s="151">
        <v>530651.60242519</v>
      </c>
      <c r="C57" s="138">
        <f t="shared" si="11"/>
        <v>2859.856815528</v>
      </c>
      <c r="D57" s="138">
        <f t="shared" si="0"/>
        <v>2764.38016330204</v>
      </c>
      <c r="E57" s="138">
        <f t="shared" si="1"/>
        <v>4171.32084465477</v>
      </c>
      <c r="F57" s="138">
        <f t="shared" si="2"/>
        <v>1092.74803482972</v>
      </c>
      <c r="G57" s="138">
        <f t="shared" si="3"/>
        <v>650.310306623563</v>
      </c>
      <c r="H57" s="138">
        <f t="shared" si="4"/>
        <v>0</v>
      </c>
      <c r="I57" s="138">
        <f t="shared" si="5"/>
        <v>0</v>
      </c>
      <c r="J57" s="138">
        <f t="shared" si="6"/>
        <v>0</v>
      </c>
      <c r="K57" s="138">
        <f t="shared" si="7"/>
        <v>0</v>
      </c>
      <c r="L57" s="138">
        <f t="shared" si="8"/>
        <v>0</v>
      </c>
      <c r="M57" s="138">
        <f t="shared" si="9"/>
        <v>0</v>
      </c>
      <c r="N57" s="138">
        <f t="shared" si="10"/>
        <v>0</v>
      </c>
      <c r="O57" s="86">
        <f t="shared" si="12"/>
        <v>11538.6161649381</v>
      </c>
      <c r="P57" s="138">
        <v>0</v>
      </c>
      <c r="Q57" s="138">
        <v>0</v>
      </c>
      <c r="R57" s="138">
        <v>0</v>
      </c>
      <c r="S57" s="138">
        <v>0</v>
      </c>
      <c r="T57" s="138">
        <v>0</v>
      </c>
      <c r="U57" s="138">
        <v>0</v>
      </c>
      <c r="V57" s="138">
        <v>0</v>
      </c>
      <c r="W57" s="138">
        <v>0</v>
      </c>
      <c r="X57" s="138">
        <v>0</v>
      </c>
      <c r="Y57" s="138">
        <v>0</v>
      </c>
      <c r="Z57" s="138">
        <v>0</v>
      </c>
      <c r="AA57" s="138">
        <v>0</v>
      </c>
      <c r="AB57" s="86">
        <v>0</v>
      </c>
      <c r="AC57" s="138">
        <v>0</v>
      </c>
      <c r="AD57" s="138">
        <v>0</v>
      </c>
      <c r="AE57" s="138">
        <v>0</v>
      </c>
      <c r="AF57" s="138">
        <v>0</v>
      </c>
      <c r="AG57" s="138">
        <v>0</v>
      </c>
      <c r="AH57" s="138">
        <v>0</v>
      </c>
      <c r="AI57" s="138">
        <v>0</v>
      </c>
      <c r="AJ57" s="138">
        <v>0</v>
      </c>
      <c r="AK57" s="138">
        <v>0</v>
      </c>
      <c r="AL57" s="138">
        <v>0</v>
      </c>
      <c r="AM57" s="138">
        <v>0</v>
      </c>
      <c r="AN57" s="138">
        <v>0</v>
      </c>
      <c r="AO57" s="86">
        <v>0</v>
      </c>
      <c r="AP57" s="138">
        <v>0</v>
      </c>
      <c r="AQ57" s="138">
        <v>0</v>
      </c>
      <c r="AR57" s="138">
        <v>0</v>
      </c>
      <c r="AS57" s="138">
        <v>0</v>
      </c>
      <c r="AT57" s="138">
        <v>0</v>
      </c>
      <c r="AU57" s="138">
        <v>0</v>
      </c>
      <c r="AV57" s="138">
        <v>0</v>
      </c>
      <c r="AW57" s="138">
        <v>0</v>
      </c>
      <c r="AX57" s="138">
        <v>0</v>
      </c>
      <c r="AY57" s="138">
        <v>0</v>
      </c>
      <c r="AZ57" s="138">
        <v>0</v>
      </c>
      <c r="BA57" s="138">
        <v>0</v>
      </c>
      <c r="BB57" s="86">
        <v>0</v>
      </c>
      <c r="BC57" s="138">
        <v>0</v>
      </c>
      <c r="BD57" s="138">
        <v>0</v>
      </c>
      <c r="BE57" s="138">
        <v>0</v>
      </c>
      <c r="BF57" s="138">
        <v>0</v>
      </c>
      <c r="BG57" s="138">
        <v>0</v>
      </c>
      <c r="BH57" s="138">
        <v>0</v>
      </c>
      <c r="BI57" s="138">
        <v>0</v>
      </c>
      <c r="BJ57" s="138">
        <v>0</v>
      </c>
      <c r="BK57" s="138">
        <v>0</v>
      </c>
      <c r="BL57" s="138">
        <v>0</v>
      </c>
      <c r="BM57" s="138">
        <v>0</v>
      </c>
      <c r="BN57" s="138">
        <v>0</v>
      </c>
      <c r="BO57" s="86">
        <v>0</v>
      </c>
      <c r="BP57" s="138">
        <v>0</v>
      </c>
      <c r="BQ57" s="138">
        <v>0</v>
      </c>
      <c r="BR57" s="138">
        <v>0</v>
      </c>
      <c r="BS57" s="138">
        <v>0</v>
      </c>
      <c r="BT57" s="138">
        <v>0</v>
      </c>
      <c r="BU57" s="138">
        <v>0</v>
      </c>
      <c r="BV57" s="138">
        <v>0</v>
      </c>
      <c r="BW57" s="138">
        <v>0</v>
      </c>
      <c r="BX57" s="138">
        <v>0</v>
      </c>
      <c r="BY57" s="138">
        <v>0</v>
      </c>
      <c r="BZ57" s="138">
        <v>0</v>
      </c>
      <c r="CA57" s="138">
        <v>0</v>
      </c>
      <c r="CB57" s="86">
        <v>0</v>
      </c>
      <c r="CC57" s="138">
        <v>2859.856815528</v>
      </c>
      <c r="CD57" s="138">
        <v>2588.83983925742</v>
      </c>
      <c r="CE57" s="138">
        <v>3831.15052041712</v>
      </c>
      <c r="CF57" s="138">
        <v>1092.74803482972</v>
      </c>
      <c r="CG57" s="138">
        <v>650.310306623563</v>
      </c>
      <c r="CH57" s="138">
        <v>0</v>
      </c>
      <c r="CI57" s="138">
        <v>0</v>
      </c>
      <c r="CJ57" s="138">
        <v>0</v>
      </c>
      <c r="CK57" s="138">
        <v>0</v>
      </c>
      <c r="CL57" s="138">
        <v>0</v>
      </c>
      <c r="CM57" s="138">
        <v>0</v>
      </c>
      <c r="CN57" s="138">
        <v>0</v>
      </c>
      <c r="CO57" s="86">
        <v>11022.9055166558</v>
      </c>
      <c r="CP57" s="138">
        <v>0</v>
      </c>
      <c r="CQ57" s="138">
        <v>175.540324044618</v>
      </c>
      <c r="CR57" s="138">
        <v>340.170324237648</v>
      </c>
      <c r="CS57" s="138">
        <v>0</v>
      </c>
      <c r="CT57" s="138">
        <v>0</v>
      </c>
      <c r="CU57" s="138">
        <v>0</v>
      </c>
      <c r="CV57" s="138">
        <v>0</v>
      </c>
      <c r="CW57" s="138">
        <v>0</v>
      </c>
      <c r="CX57" s="138">
        <v>0</v>
      </c>
      <c r="CY57" s="138">
        <v>0</v>
      </c>
      <c r="CZ57" s="138">
        <v>0</v>
      </c>
      <c r="DA57" s="138">
        <v>0</v>
      </c>
      <c r="DB57" s="86">
        <v>515.710648282266</v>
      </c>
      <c r="DC57" s="138">
        <v>0</v>
      </c>
      <c r="DD57" s="138">
        <v>0</v>
      </c>
      <c r="DE57" s="138">
        <v>0</v>
      </c>
      <c r="DF57" s="138">
        <v>0</v>
      </c>
      <c r="DG57" s="138">
        <v>0</v>
      </c>
      <c r="DH57" s="138">
        <v>0</v>
      </c>
      <c r="DI57" s="138">
        <v>0</v>
      </c>
      <c r="DJ57" s="138">
        <v>0</v>
      </c>
      <c r="DK57" s="138">
        <v>0</v>
      </c>
      <c r="DL57" s="138">
        <v>0</v>
      </c>
      <c r="DM57" s="138">
        <v>0</v>
      </c>
      <c r="DN57" s="138">
        <v>0</v>
      </c>
      <c r="DO57" s="86">
        <v>0</v>
      </c>
      <c r="DP57" s="138">
        <v>0</v>
      </c>
      <c r="DQ57" s="138">
        <v>0</v>
      </c>
      <c r="DR57" s="138">
        <v>0</v>
      </c>
      <c r="DS57" s="138">
        <v>0</v>
      </c>
      <c r="DT57" s="138">
        <v>0</v>
      </c>
      <c r="DU57" s="138">
        <v>0</v>
      </c>
      <c r="DV57" s="138">
        <v>0</v>
      </c>
      <c r="DW57" s="138">
        <v>0</v>
      </c>
      <c r="DX57" s="138">
        <v>0</v>
      </c>
      <c r="DY57" s="138">
        <v>0</v>
      </c>
      <c r="DZ57" s="138">
        <v>0</v>
      </c>
      <c r="EA57" s="138">
        <v>0</v>
      </c>
      <c r="EB57" s="85">
        <v>0</v>
      </c>
      <c r="EC57" s="87">
        <v>0</v>
      </c>
      <c r="ED57" s="85">
        <v>0</v>
      </c>
      <c r="EE57" s="85">
        <v>0</v>
      </c>
      <c r="EF57" s="85">
        <v>0</v>
      </c>
      <c r="EG57" s="85">
        <v>0</v>
      </c>
      <c r="EH57" s="85">
        <v>0</v>
      </c>
      <c r="EI57" s="85">
        <v>0</v>
      </c>
      <c r="EJ57" s="85">
        <v>0</v>
      </c>
      <c r="EK57" s="85">
        <v>0</v>
      </c>
      <c r="EL57" s="85">
        <v>0</v>
      </c>
      <c r="EM57" s="85">
        <v>0</v>
      </c>
      <c r="EN57" s="85">
        <v>0</v>
      </c>
      <c r="EO57" s="152">
        <v>0</v>
      </c>
      <c r="EP57" s="85">
        <v>0</v>
      </c>
      <c r="EQ57" s="85">
        <v>0</v>
      </c>
      <c r="ER57" s="85">
        <v>0</v>
      </c>
      <c r="ES57" s="85">
        <v>0</v>
      </c>
      <c r="ET57" s="85">
        <v>0</v>
      </c>
      <c r="EU57" s="85">
        <v>0</v>
      </c>
      <c r="EV57" s="85">
        <v>0</v>
      </c>
      <c r="EW57" s="85">
        <v>0</v>
      </c>
      <c r="EX57" s="85">
        <v>0</v>
      </c>
      <c r="EY57" s="85">
        <v>0</v>
      </c>
      <c r="EZ57" s="85">
        <v>0</v>
      </c>
      <c r="FA57" s="85">
        <v>0</v>
      </c>
      <c r="FB57" s="85">
        <v>0</v>
      </c>
      <c r="FC57" s="87">
        <v>0</v>
      </c>
      <c r="FD57" s="85">
        <v>0</v>
      </c>
      <c r="FE57" s="85">
        <v>0</v>
      </c>
      <c r="FF57" s="85">
        <v>0</v>
      </c>
      <c r="FG57" s="85">
        <v>0</v>
      </c>
      <c r="FH57" s="85">
        <v>0</v>
      </c>
      <c r="FI57" s="85">
        <v>0</v>
      </c>
      <c r="FJ57" s="85">
        <v>0</v>
      </c>
      <c r="FK57" s="85">
        <v>0</v>
      </c>
      <c r="FL57" s="85">
        <v>0</v>
      </c>
      <c r="FM57" s="85">
        <v>0</v>
      </c>
      <c r="FN57" s="85">
        <v>0</v>
      </c>
      <c r="FO57" s="86">
        <v>0</v>
      </c>
      <c r="FP57" s="87">
        <v>0</v>
      </c>
      <c r="FQ57" s="85">
        <v>0</v>
      </c>
      <c r="FR57" s="85">
        <v>0</v>
      </c>
      <c r="FS57" s="85">
        <v>0</v>
      </c>
      <c r="FT57" s="85">
        <v>0</v>
      </c>
      <c r="FU57" s="85">
        <v>0</v>
      </c>
      <c r="FV57" s="85">
        <v>0</v>
      </c>
      <c r="FW57" s="85">
        <v>0</v>
      </c>
      <c r="FX57" s="85">
        <v>0</v>
      </c>
      <c r="FY57" s="85">
        <v>0</v>
      </c>
      <c r="FZ57" s="85">
        <v>0</v>
      </c>
      <c r="GA57" s="85">
        <v>0</v>
      </c>
      <c r="GB57" s="152">
        <v>0</v>
      </c>
      <c r="GD57" s="153"/>
    </row>
    <row r="58" spans="1:186">
      <c r="A58" s="137" t="s">
        <v>141</v>
      </c>
      <c r="B58" s="151">
        <v>2275692.38041064</v>
      </c>
      <c r="C58" s="138">
        <f t="shared" si="11"/>
        <v>15495.7826399366</v>
      </c>
      <c r="D58" s="138">
        <f t="shared" si="0"/>
        <v>42462.4114489708</v>
      </c>
      <c r="E58" s="138">
        <f t="shared" si="1"/>
        <v>8520.13738581872</v>
      </c>
      <c r="F58" s="138">
        <f t="shared" si="2"/>
        <v>19118.2441113168</v>
      </c>
      <c r="G58" s="138">
        <f t="shared" si="3"/>
        <v>4493.22430292297</v>
      </c>
      <c r="H58" s="138">
        <f t="shared" si="4"/>
        <v>0</v>
      </c>
      <c r="I58" s="138">
        <f t="shared" si="5"/>
        <v>0</v>
      </c>
      <c r="J58" s="138">
        <f t="shared" si="6"/>
        <v>0</v>
      </c>
      <c r="K58" s="138">
        <f t="shared" si="7"/>
        <v>0</v>
      </c>
      <c r="L58" s="138">
        <f t="shared" si="8"/>
        <v>0</v>
      </c>
      <c r="M58" s="138">
        <f t="shared" si="9"/>
        <v>0</v>
      </c>
      <c r="N58" s="138">
        <f t="shared" si="10"/>
        <v>0</v>
      </c>
      <c r="O58" s="86">
        <f t="shared" si="12"/>
        <v>90089.7998889659</v>
      </c>
      <c r="P58" s="138">
        <v>7214.08822942942</v>
      </c>
      <c r="Q58" s="138">
        <v>11143.5724812509</v>
      </c>
      <c r="R58" s="138">
        <v>0</v>
      </c>
      <c r="S58" s="138">
        <v>0</v>
      </c>
      <c r="T58" s="138">
        <v>0</v>
      </c>
      <c r="U58" s="138">
        <v>0</v>
      </c>
      <c r="V58" s="138">
        <v>0</v>
      </c>
      <c r="W58" s="138">
        <v>0</v>
      </c>
      <c r="X58" s="138">
        <v>0</v>
      </c>
      <c r="Y58" s="138">
        <v>0</v>
      </c>
      <c r="Z58" s="138">
        <v>0</v>
      </c>
      <c r="AA58" s="138">
        <v>0</v>
      </c>
      <c r="AB58" s="86">
        <v>18357.6607106803</v>
      </c>
      <c r="AC58" s="138">
        <v>0</v>
      </c>
      <c r="AD58" s="138">
        <v>0</v>
      </c>
      <c r="AE58" s="138">
        <v>0</v>
      </c>
      <c r="AF58" s="138">
        <v>0</v>
      </c>
      <c r="AG58" s="138">
        <v>0</v>
      </c>
      <c r="AH58" s="138">
        <v>0</v>
      </c>
      <c r="AI58" s="138">
        <v>0</v>
      </c>
      <c r="AJ58" s="138">
        <v>0</v>
      </c>
      <c r="AK58" s="138">
        <v>0</v>
      </c>
      <c r="AL58" s="138">
        <v>0</v>
      </c>
      <c r="AM58" s="138">
        <v>0</v>
      </c>
      <c r="AN58" s="138">
        <v>0</v>
      </c>
      <c r="AO58" s="86">
        <v>0</v>
      </c>
      <c r="AP58" s="138">
        <v>5928.27113173218</v>
      </c>
      <c r="AQ58" s="138">
        <v>496.597856519007</v>
      </c>
      <c r="AR58" s="138">
        <v>1481.7306754608</v>
      </c>
      <c r="AS58" s="138">
        <v>859.319463532534</v>
      </c>
      <c r="AT58" s="138">
        <v>1044.15750039853</v>
      </c>
      <c r="AU58" s="138">
        <v>0</v>
      </c>
      <c r="AV58" s="138">
        <v>0</v>
      </c>
      <c r="AW58" s="138">
        <v>0</v>
      </c>
      <c r="AX58" s="138">
        <v>0</v>
      </c>
      <c r="AY58" s="138">
        <v>0</v>
      </c>
      <c r="AZ58" s="138">
        <v>0</v>
      </c>
      <c r="BA58" s="138">
        <v>0</v>
      </c>
      <c r="BB58" s="86">
        <v>9810.07662764306</v>
      </c>
      <c r="BC58" s="138">
        <v>0</v>
      </c>
      <c r="BD58" s="138">
        <v>0</v>
      </c>
      <c r="BE58" s="138">
        <v>0</v>
      </c>
      <c r="BF58" s="138">
        <v>0</v>
      </c>
      <c r="BG58" s="138">
        <v>0</v>
      </c>
      <c r="BH58" s="138">
        <v>0</v>
      </c>
      <c r="BI58" s="138">
        <v>0</v>
      </c>
      <c r="BJ58" s="138">
        <v>0</v>
      </c>
      <c r="BK58" s="138">
        <v>0</v>
      </c>
      <c r="BL58" s="138">
        <v>0</v>
      </c>
      <c r="BM58" s="138">
        <v>0</v>
      </c>
      <c r="BN58" s="138">
        <v>0</v>
      </c>
      <c r="BO58" s="86">
        <v>0</v>
      </c>
      <c r="BP58" s="138">
        <v>0</v>
      </c>
      <c r="BQ58" s="138">
        <v>0</v>
      </c>
      <c r="BR58" s="138">
        <v>0</v>
      </c>
      <c r="BS58" s="138">
        <v>0</v>
      </c>
      <c r="BT58" s="138">
        <v>0</v>
      </c>
      <c r="BU58" s="138">
        <v>0</v>
      </c>
      <c r="BV58" s="138">
        <v>0</v>
      </c>
      <c r="BW58" s="138">
        <v>0</v>
      </c>
      <c r="BX58" s="138">
        <v>0</v>
      </c>
      <c r="BY58" s="138">
        <v>0</v>
      </c>
      <c r="BZ58" s="138">
        <v>0</v>
      </c>
      <c r="CA58" s="138">
        <v>0</v>
      </c>
      <c r="CB58" s="86">
        <v>0</v>
      </c>
      <c r="CC58" s="138">
        <v>0</v>
      </c>
      <c r="CD58" s="138">
        <v>0</v>
      </c>
      <c r="CE58" s="138">
        <v>0</v>
      </c>
      <c r="CF58" s="138">
        <v>0</v>
      </c>
      <c r="CG58" s="138">
        <v>0</v>
      </c>
      <c r="CH58" s="138">
        <v>0</v>
      </c>
      <c r="CI58" s="138">
        <v>0</v>
      </c>
      <c r="CJ58" s="138">
        <v>0</v>
      </c>
      <c r="CK58" s="138">
        <v>0</v>
      </c>
      <c r="CL58" s="138">
        <v>0</v>
      </c>
      <c r="CM58" s="138">
        <v>0</v>
      </c>
      <c r="CN58" s="138">
        <v>0</v>
      </c>
      <c r="CO58" s="86">
        <v>0</v>
      </c>
      <c r="CP58" s="138">
        <v>0</v>
      </c>
      <c r="CQ58" s="138">
        <v>0</v>
      </c>
      <c r="CR58" s="138">
        <v>0</v>
      </c>
      <c r="CS58" s="138">
        <v>0</v>
      </c>
      <c r="CT58" s="138">
        <v>0</v>
      </c>
      <c r="CU58" s="138">
        <v>0</v>
      </c>
      <c r="CV58" s="138">
        <v>0</v>
      </c>
      <c r="CW58" s="138">
        <v>0</v>
      </c>
      <c r="CX58" s="138">
        <v>0</v>
      </c>
      <c r="CY58" s="138">
        <v>0</v>
      </c>
      <c r="CZ58" s="138">
        <v>0</v>
      </c>
      <c r="DA58" s="138">
        <v>0</v>
      </c>
      <c r="DB58" s="86">
        <v>0</v>
      </c>
      <c r="DC58" s="138">
        <v>0</v>
      </c>
      <c r="DD58" s="138">
        <v>0</v>
      </c>
      <c r="DE58" s="138">
        <v>0</v>
      </c>
      <c r="DF58" s="138">
        <v>0</v>
      </c>
      <c r="DG58" s="138">
        <v>0</v>
      </c>
      <c r="DH58" s="138">
        <v>0</v>
      </c>
      <c r="DI58" s="138">
        <v>0</v>
      </c>
      <c r="DJ58" s="138">
        <v>0</v>
      </c>
      <c r="DK58" s="138">
        <v>0</v>
      </c>
      <c r="DL58" s="138">
        <v>0</v>
      </c>
      <c r="DM58" s="138">
        <v>0</v>
      </c>
      <c r="DN58" s="138">
        <v>0</v>
      </c>
      <c r="DO58" s="86">
        <v>0</v>
      </c>
      <c r="DP58" s="138">
        <v>0</v>
      </c>
      <c r="DQ58" s="138">
        <v>0</v>
      </c>
      <c r="DR58" s="138">
        <v>0</v>
      </c>
      <c r="DS58" s="138">
        <v>0</v>
      </c>
      <c r="DT58" s="138">
        <v>0</v>
      </c>
      <c r="DU58" s="138">
        <v>0</v>
      </c>
      <c r="DV58" s="138">
        <v>0</v>
      </c>
      <c r="DW58" s="138">
        <v>0</v>
      </c>
      <c r="DX58" s="138">
        <v>0</v>
      </c>
      <c r="DY58" s="138">
        <v>0</v>
      </c>
      <c r="DZ58" s="138">
        <v>0</v>
      </c>
      <c r="EA58" s="138">
        <v>0</v>
      </c>
      <c r="EB58" s="85">
        <v>0</v>
      </c>
      <c r="EC58" s="87">
        <v>0</v>
      </c>
      <c r="ED58" s="85">
        <v>0</v>
      </c>
      <c r="EE58" s="85">
        <v>0</v>
      </c>
      <c r="EF58" s="85">
        <v>0</v>
      </c>
      <c r="EG58" s="85">
        <v>0</v>
      </c>
      <c r="EH58" s="85">
        <v>0</v>
      </c>
      <c r="EI58" s="85">
        <v>0</v>
      </c>
      <c r="EJ58" s="85">
        <v>0</v>
      </c>
      <c r="EK58" s="85">
        <v>0</v>
      </c>
      <c r="EL58" s="85">
        <v>0</v>
      </c>
      <c r="EM58" s="85">
        <v>0</v>
      </c>
      <c r="EN58" s="85">
        <v>0</v>
      </c>
      <c r="EO58" s="152">
        <v>0</v>
      </c>
      <c r="EP58" s="85">
        <v>0</v>
      </c>
      <c r="EQ58" s="85">
        <v>23785.0031451316</v>
      </c>
      <c r="ER58" s="85">
        <v>0</v>
      </c>
      <c r="ES58" s="85">
        <v>11303.1877994899</v>
      </c>
      <c r="ET58" s="85">
        <v>0</v>
      </c>
      <c r="EU58" s="85">
        <v>0</v>
      </c>
      <c r="EV58" s="85">
        <v>0</v>
      </c>
      <c r="EW58" s="85">
        <v>0</v>
      </c>
      <c r="EX58" s="85">
        <v>0</v>
      </c>
      <c r="EY58" s="85">
        <v>0</v>
      </c>
      <c r="EZ58" s="85">
        <v>0</v>
      </c>
      <c r="FA58" s="85">
        <v>0</v>
      </c>
      <c r="FB58" s="85">
        <v>35088.1909446214</v>
      </c>
      <c r="FC58" s="87">
        <v>0</v>
      </c>
      <c r="FD58" s="85">
        <v>0</v>
      </c>
      <c r="FE58" s="85">
        <v>0</v>
      </c>
      <c r="FF58" s="85">
        <v>0</v>
      </c>
      <c r="FG58" s="85">
        <v>0</v>
      </c>
      <c r="FH58" s="85">
        <v>0</v>
      </c>
      <c r="FI58" s="85">
        <v>0</v>
      </c>
      <c r="FJ58" s="85">
        <v>0</v>
      </c>
      <c r="FK58" s="85">
        <v>0</v>
      </c>
      <c r="FL58" s="85">
        <v>0</v>
      </c>
      <c r="FM58" s="85">
        <v>0</v>
      </c>
      <c r="FN58" s="85">
        <v>0</v>
      </c>
      <c r="FO58" s="86">
        <v>0</v>
      </c>
      <c r="FP58" s="87">
        <v>2353.42327877495</v>
      </c>
      <c r="FQ58" s="85">
        <v>7037.23796606943</v>
      </c>
      <c r="FR58" s="85">
        <v>7038.40671035792</v>
      </c>
      <c r="FS58" s="85">
        <v>6955.73684829443</v>
      </c>
      <c r="FT58" s="85">
        <v>3449.06680252444</v>
      </c>
      <c r="FU58" s="85">
        <v>0</v>
      </c>
      <c r="FV58" s="85">
        <v>0</v>
      </c>
      <c r="FW58" s="85">
        <v>0</v>
      </c>
      <c r="FX58" s="85">
        <v>0</v>
      </c>
      <c r="FY58" s="85">
        <v>0</v>
      </c>
      <c r="FZ58" s="85">
        <v>0</v>
      </c>
      <c r="GA58" s="85">
        <v>0</v>
      </c>
      <c r="GB58" s="152">
        <v>26833.8716060212</v>
      </c>
      <c r="GD58" s="153"/>
    </row>
    <row r="59" spans="1:186">
      <c r="A59" s="137" t="s">
        <v>143</v>
      </c>
      <c r="B59" s="151">
        <v>437687.410587044</v>
      </c>
      <c r="C59" s="138">
        <f t="shared" si="11"/>
        <v>5577.90623956137</v>
      </c>
      <c r="D59" s="138">
        <f t="shared" si="0"/>
        <v>6099.88441467983</v>
      </c>
      <c r="E59" s="138">
        <f t="shared" si="1"/>
        <v>2946.85761514177</v>
      </c>
      <c r="F59" s="138">
        <f t="shared" si="2"/>
        <v>2244.97940562539</v>
      </c>
      <c r="G59" s="138">
        <f t="shared" si="3"/>
        <v>1821.09488303763</v>
      </c>
      <c r="H59" s="138">
        <f t="shared" si="4"/>
        <v>0</v>
      </c>
      <c r="I59" s="138">
        <f t="shared" si="5"/>
        <v>0</v>
      </c>
      <c r="J59" s="138">
        <f t="shared" si="6"/>
        <v>0</v>
      </c>
      <c r="K59" s="138">
        <f t="shared" si="7"/>
        <v>0</v>
      </c>
      <c r="L59" s="138">
        <f t="shared" si="8"/>
        <v>0</v>
      </c>
      <c r="M59" s="138">
        <f t="shared" si="9"/>
        <v>0</v>
      </c>
      <c r="N59" s="138">
        <f t="shared" si="10"/>
        <v>0</v>
      </c>
      <c r="O59" s="86">
        <f t="shared" si="12"/>
        <v>18690.722558046</v>
      </c>
      <c r="P59" s="138">
        <v>0</v>
      </c>
      <c r="Q59" s="138">
        <v>0</v>
      </c>
      <c r="R59" s="138">
        <v>0</v>
      </c>
      <c r="S59" s="138">
        <v>0</v>
      </c>
      <c r="T59" s="138">
        <v>0</v>
      </c>
      <c r="U59" s="138">
        <v>0</v>
      </c>
      <c r="V59" s="138">
        <v>0</v>
      </c>
      <c r="W59" s="138">
        <v>0</v>
      </c>
      <c r="X59" s="138">
        <v>0</v>
      </c>
      <c r="Y59" s="138">
        <v>0</v>
      </c>
      <c r="Z59" s="138">
        <v>0</v>
      </c>
      <c r="AA59" s="138">
        <v>0</v>
      </c>
      <c r="AB59" s="86">
        <v>0</v>
      </c>
      <c r="AC59" s="138">
        <v>0</v>
      </c>
      <c r="AD59" s="138">
        <v>0</v>
      </c>
      <c r="AE59" s="138">
        <v>0</v>
      </c>
      <c r="AF59" s="138">
        <v>0</v>
      </c>
      <c r="AG59" s="138">
        <v>0</v>
      </c>
      <c r="AH59" s="138">
        <v>0</v>
      </c>
      <c r="AI59" s="138">
        <v>0</v>
      </c>
      <c r="AJ59" s="138">
        <v>0</v>
      </c>
      <c r="AK59" s="138">
        <v>0</v>
      </c>
      <c r="AL59" s="138">
        <v>0</v>
      </c>
      <c r="AM59" s="138">
        <v>0</v>
      </c>
      <c r="AN59" s="138">
        <v>0</v>
      </c>
      <c r="AO59" s="86">
        <v>0</v>
      </c>
      <c r="AP59" s="138">
        <v>370.93016838735</v>
      </c>
      <c r="AQ59" s="138">
        <v>0</v>
      </c>
      <c r="AR59" s="138">
        <v>0</v>
      </c>
      <c r="AS59" s="138">
        <v>0</v>
      </c>
      <c r="AT59" s="138">
        <v>0</v>
      </c>
      <c r="AU59" s="138">
        <v>0</v>
      </c>
      <c r="AV59" s="138">
        <v>0</v>
      </c>
      <c r="AW59" s="138">
        <v>0</v>
      </c>
      <c r="AX59" s="138">
        <v>0</v>
      </c>
      <c r="AY59" s="138">
        <v>0</v>
      </c>
      <c r="AZ59" s="138">
        <v>0</v>
      </c>
      <c r="BA59" s="138">
        <v>0</v>
      </c>
      <c r="BB59" s="86">
        <v>370.93016838735</v>
      </c>
      <c r="BC59" s="138">
        <v>2259.63551857663</v>
      </c>
      <c r="BD59" s="138">
        <v>1552.23394978194</v>
      </c>
      <c r="BE59" s="138">
        <v>0</v>
      </c>
      <c r="BF59" s="138">
        <v>424.264877500156</v>
      </c>
      <c r="BG59" s="138">
        <v>84.2549267935966</v>
      </c>
      <c r="BH59" s="138">
        <v>0</v>
      </c>
      <c r="BI59" s="138">
        <v>0</v>
      </c>
      <c r="BJ59" s="138">
        <v>0</v>
      </c>
      <c r="BK59" s="138">
        <v>0</v>
      </c>
      <c r="BL59" s="138">
        <v>0</v>
      </c>
      <c r="BM59" s="138">
        <v>0</v>
      </c>
      <c r="BN59" s="138">
        <v>0</v>
      </c>
      <c r="BO59" s="86">
        <v>4320.38927265232</v>
      </c>
      <c r="BP59" s="138">
        <v>0</v>
      </c>
      <c r="BQ59" s="138">
        <v>0</v>
      </c>
      <c r="BR59" s="138">
        <v>0</v>
      </c>
      <c r="BS59" s="138">
        <v>0</v>
      </c>
      <c r="BT59" s="138">
        <v>0</v>
      </c>
      <c r="BU59" s="138">
        <v>0</v>
      </c>
      <c r="BV59" s="138">
        <v>0</v>
      </c>
      <c r="BW59" s="138">
        <v>0</v>
      </c>
      <c r="BX59" s="138">
        <v>0</v>
      </c>
      <c r="BY59" s="138">
        <v>0</v>
      </c>
      <c r="BZ59" s="138">
        <v>0</v>
      </c>
      <c r="CA59" s="138">
        <v>0</v>
      </c>
      <c r="CB59" s="86">
        <v>0</v>
      </c>
      <c r="CC59" s="138">
        <v>2859.51776417096</v>
      </c>
      <c r="CD59" s="138">
        <v>3845.48916871942</v>
      </c>
      <c r="CE59" s="138">
        <v>2946.85761514177</v>
      </c>
      <c r="CF59" s="138">
        <v>1820.71452812523</v>
      </c>
      <c r="CG59" s="138">
        <v>1662.09138326225</v>
      </c>
      <c r="CH59" s="138">
        <v>0</v>
      </c>
      <c r="CI59" s="138">
        <v>0</v>
      </c>
      <c r="CJ59" s="138">
        <v>0</v>
      </c>
      <c r="CK59" s="138">
        <v>0</v>
      </c>
      <c r="CL59" s="138">
        <v>0</v>
      </c>
      <c r="CM59" s="138">
        <v>0</v>
      </c>
      <c r="CN59" s="138">
        <v>0</v>
      </c>
      <c r="CO59" s="86">
        <v>13134.6704594196</v>
      </c>
      <c r="CP59" s="138">
        <v>87.8227884264378</v>
      </c>
      <c r="CQ59" s="138">
        <v>702.161296178473</v>
      </c>
      <c r="CR59" s="138">
        <v>0</v>
      </c>
      <c r="CS59" s="138">
        <v>0</v>
      </c>
      <c r="CT59" s="138">
        <v>0</v>
      </c>
      <c r="CU59" s="138">
        <v>0</v>
      </c>
      <c r="CV59" s="138">
        <v>0</v>
      </c>
      <c r="CW59" s="138">
        <v>0</v>
      </c>
      <c r="CX59" s="138">
        <v>0</v>
      </c>
      <c r="CY59" s="138">
        <v>0</v>
      </c>
      <c r="CZ59" s="138">
        <v>0</v>
      </c>
      <c r="DA59" s="138">
        <v>0</v>
      </c>
      <c r="DB59" s="86">
        <v>789.984084604911</v>
      </c>
      <c r="DC59" s="138">
        <v>0</v>
      </c>
      <c r="DD59" s="138">
        <v>0</v>
      </c>
      <c r="DE59" s="138">
        <v>0</v>
      </c>
      <c r="DF59" s="138">
        <v>0</v>
      </c>
      <c r="DG59" s="138">
        <v>0</v>
      </c>
      <c r="DH59" s="138">
        <v>0</v>
      </c>
      <c r="DI59" s="138">
        <v>0</v>
      </c>
      <c r="DJ59" s="138">
        <v>0</v>
      </c>
      <c r="DK59" s="138">
        <v>0</v>
      </c>
      <c r="DL59" s="138">
        <v>0</v>
      </c>
      <c r="DM59" s="138">
        <v>0</v>
      </c>
      <c r="DN59" s="138">
        <v>0</v>
      </c>
      <c r="DO59" s="86">
        <v>0</v>
      </c>
      <c r="DP59" s="138">
        <v>0</v>
      </c>
      <c r="DQ59" s="138">
        <v>0</v>
      </c>
      <c r="DR59" s="138">
        <v>0</v>
      </c>
      <c r="DS59" s="138">
        <v>0</v>
      </c>
      <c r="DT59" s="138">
        <v>0</v>
      </c>
      <c r="DU59" s="138">
        <v>0</v>
      </c>
      <c r="DV59" s="138">
        <v>0</v>
      </c>
      <c r="DW59" s="138">
        <v>0</v>
      </c>
      <c r="DX59" s="138">
        <v>0</v>
      </c>
      <c r="DY59" s="138">
        <v>0</v>
      </c>
      <c r="DZ59" s="138">
        <v>0</v>
      </c>
      <c r="EA59" s="138">
        <v>0</v>
      </c>
      <c r="EB59" s="85">
        <v>0</v>
      </c>
      <c r="EC59" s="87">
        <v>0</v>
      </c>
      <c r="ED59" s="85">
        <v>0</v>
      </c>
      <c r="EE59" s="85">
        <v>0</v>
      </c>
      <c r="EF59" s="85">
        <v>0</v>
      </c>
      <c r="EG59" s="85">
        <v>0</v>
      </c>
      <c r="EH59" s="85">
        <v>0</v>
      </c>
      <c r="EI59" s="85">
        <v>0</v>
      </c>
      <c r="EJ59" s="85">
        <v>0</v>
      </c>
      <c r="EK59" s="85">
        <v>0</v>
      </c>
      <c r="EL59" s="85">
        <v>0</v>
      </c>
      <c r="EM59" s="85">
        <v>0</v>
      </c>
      <c r="EN59" s="85">
        <v>0</v>
      </c>
      <c r="EO59" s="152">
        <v>0</v>
      </c>
      <c r="EP59" s="85">
        <v>0</v>
      </c>
      <c r="EQ59" s="85">
        <v>0</v>
      </c>
      <c r="ER59" s="85">
        <v>0</v>
      </c>
      <c r="ES59" s="85">
        <v>0</v>
      </c>
      <c r="ET59" s="85">
        <v>0</v>
      </c>
      <c r="EU59" s="85">
        <v>0</v>
      </c>
      <c r="EV59" s="85">
        <v>0</v>
      </c>
      <c r="EW59" s="85">
        <v>0</v>
      </c>
      <c r="EX59" s="85">
        <v>0</v>
      </c>
      <c r="EY59" s="85">
        <v>0</v>
      </c>
      <c r="EZ59" s="85">
        <v>0</v>
      </c>
      <c r="FA59" s="85">
        <v>0</v>
      </c>
      <c r="FB59" s="85">
        <v>0</v>
      </c>
      <c r="FC59" s="87">
        <v>0</v>
      </c>
      <c r="FD59" s="85">
        <v>0</v>
      </c>
      <c r="FE59" s="85">
        <v>0</v>
      </c>
      <c r="FF59" s="85">
        <v>0</v>
      </c>
      <c r="FG59" s="85">
        <v>0</v>
      </c>
      <c r="FH59" s="85">
        <v>0</v>
      </c>
      <c r="FI59" s="85">
        <v>0</v>
      </c>
      <c r="FJ59" s="85">
        <v>0</v>
      </c>
      <c r="FK59" s="85">
        <v>0</v>
      </c>
      <c r="FL59" s="85">
        <v>0</v>
      </c>
      <c r="FM59" s="85">
        <v>0</v>
      </c>
      <c r="FN59" s="85">
        <v>0</v>
      </c>
      <c r="FO59" s="86">
        <v>0</v>
      </c>
      <c r="FP59" s="87">
        <v>0</v>
      </c>
      <c r="FQ59" s="85">
        <v>0</v>
      </c>
      <c r="FR59" s="85">
        <v>0</v>
      </c>
      <c r="FS59" s="85">
        <v>0</v>
      </c>
      <c r="FT59" s="85">
        <v>74.7485729817885</v>
      </c>
      <c r="FU59" s="85">
        <v>0</v>
      </c>
      <c r="FV59" s="85">
        <v>0</v>
      </c>
      <c r="FW59" s="85">
        <v>0</v>
      </c>
      <c r="FX59" s="85">
        <v>0</v>
      </c>
      <c r="FY59" s="85">
        <v>0</v>
      </c>
      <c r="FZ59" s="85">
        <v>0</v>
      </c>
      <c r="GA59" s="85">
        <v>0</v>
      </c>
      <c r="GB59" s="152">
        <v>74.7485729817885</v>
      </c>
      <c r="GD59" s="153"/>
    </row>
    <row r="60" spans="1:186">
      <c r="A60" s="137" t="s">
        <v>145</v>
      </c>
      <c r="B60" s="151">
        <v>0</v>
      </c>
      <c r="C60" s="138">
        <f t="shared" si="11"/>
        <v>0</v>
      </c>
      <c r="D60" s="138">
        <f t="shared" si="0"/>
        <v>0</v>
      </c>
      <c r="E60" s="138">
        <f t="shared" si="1"/>
        <v>0</v>
      </c>
      <c r="F60" s="138">
        <f t="shared" si="2"/>
        <v>0</v>
      </c>
      <c r="G60" s="138">
        <f t="shared" si="3"/>
        <v>0</v>
      </c>
      <c r="H60" s="138">
        <f t="shared" si="4"/>
        <v>0</v>
      </c>
      <c r="I60" s="138">
        <f t="shared" si="5"/>
        <v>0</v>
      </c>
      <c r="J60" s="138">
        <f t="shared" si="6"/>
        <v>0</v>
      </c>
      <c r="K60" s="138">
        <f t="shared" si="7"/>
        <v>0</v>
      </c>
      <c r="L60" s="138">
        <f t="shared" si="8"/>
        <v>0</v>
      </c>
      <c r="M60" s="138">
        <f t="shared" si="9"/>
        <v>0</v>
      </c>
      <c r="N60" s="138">
        <f t="shared" si="10"/>
        <v>0</v>
      </c>
      <c r="O60" s="86">
        <f t="shared" si="12"/>
        <v>0</v>
      </c>
      <c r="P60" s="138">
        <v>0</v>
      </c>
      <c r="Q60" s="138">
        <v>0</v>
      </c>
      <c r="R60" s="138">
        <v>0</v>
      </c>
      <c r="S60" s="138">
        <v>0</v>
      </c>
      <c r="T60" s="138">
        <v>0</v>
      </c>
      <c r="U60" s="138">
        <v>0</v>
      </c>
      <c r="V60" s="138">
        <v>0</v>
      </c>
      <c r="W60" s="138">
        <v>0</v>
      </c>
      <c r="X60" s="138">
        <v>0</v>
      </c>
      <c r="Y60" s="138">
        <v>0</v>
      </c>
      <c r="Z60" s="138">
        <v>0</v>
      </c>
      <c r="AA60" s="138">
        <v>0</v>
      </c>
      <c r="AB60" s="86">
        <v>0</v>
      </c>
      <c r="AC60" s="138">
        <v>0</v>
      </c>
      <c r="AD60" s="138">
        <v>0</v>
      </c>
      <c r="AE60" s="138">
        <v>0</v>
      </c>
      <c r="AF60" s="138">
        <v>0</v>
      </c>
      <c r="AG60" s="138">
        <v>0</v>
      </c>
      <c r="AH60" s="138">
        <v>0</v>
      </c>
      <c r="AI60" s="138">
        <v>0</v>
      </c>
      <c r="AJ60" s="138">
        <v>0</v>
      </c>
      <c r="AK60" s="138">
        <v>0</v>
      </c>
      <c r="AL60" s="138">
        <v>0</v>
      </c>
      <c r="AM60" s="138">
        <v>0</v>
      </c>
      <c r="AN60" s="138">
        <v>0</v>
      </c>
      <c r="AO60" s="86">
        <v>0</v>
      </c>
      <c r="AP60" s="138">
        <v>0</v>
      </c>
      <c r="AQ60" s="138">
        <v>0</v>
      </c>
      <c r="AR60" s="138">
        <v>0</v>
      </c>
      <c r="AS60" s="138">
        <v>0</v>
      </c>
      <c r="AT60" s="138">
        <v>0</v>
      </c>
      <c r="AU60" s="138">
        <v>0</v>
      </c>
      <c r="AV60" s="138">
        <v>0</v>
      </c>
      <c r="AW60" s="138">
        <v>0</v>
      </c>
      <c r="AX60" s="138">
        <v>0</v>
      </c>
      <c r="AY60" s="138">
        <v>0</v>
      </c>
      <c r="AZ60" s="138">
        <v>0</v>
      </c>
      <c r="BA60" s="138">
        <v>0</v>
      </c>
      <c r="BB60" s="86">
        <v>0</v>
      </c>
      <c r="BC60" s="138">
        <v>0</v>
      </c>
      <c r="BD60" s="138">
        <v>0</v>
      </c>
      <c r="BE60" s="138">
        <v>0</v>
      </c>
      <c r="BF60" s="138">
        <v>0</v>
      </c>
      <c r="BG60" s="138">
        <v>0</v>
      </c>
      <c r="BH60" s="138">
        <v>0</v>
      </c>
      <c r="BI60" s="138">
        <v>0</v>
      </c>
      <c r="BJ60" s="138">
        <v>0</v>
      </c>
      <c r="BK60" s="138">
        <v>0</v>
      </c>
      <c r="BL60" s="138">
        <v>0</v>
      </c>
      <c r="BM60" s="138">
        <v>0</v>
      </c>
      <c r="BN60" s="138">
        <v>0</v>
      </c>
      <c r="BO60" s="86">
        <v>0</v>
      </c>
      <c r="BP60" s="138">
        <v>0</v>
      </c>
      <c r="BQ60" s="138">
        <v>0</v>
      </c>
      <c r="BR60" s="138">
        <v>0</v>
      </c>
      <c r="BS60" s="138">
        <v>0</v>
      </c>
      <c r="BT60" s="138">
        <v>0</v>
      </c>
      <c r="BU60" s="138">
        <v>0</v>
      </c>
      <c r="BV60" s="138">
        <v>0</v>
      </c>
      <c r="BW60" s="138">
        <v>0</v>
      </c>
      <c r="BX60" s="138">
        <v>0</v>
      </c>
      <c r="BY60" s="138">
        <v>0</v>
      </c>
      <c r="BZ60" s="138">
        <v>0</v>
      </c>
      <c r="CA60" s="138">
        <v>0</v>
      </c>
      <c r="CB60" s="86">
        <v>0</v>
      </c>
      <c r="CC60" s="138">
        <v>0</v>
      </c>
      <c r="CD60" s="138">
        <v>0</v>
      </c>
      <c r="CE60" s="138">
        <v>0</v>
      </c>
      <c r="CF60" s="138">
        <v>0</v>
      </c>
      <c r="CG60" s="138">
        <v>0</v>
      </c>
      <c r="CH60" s="138">
        <v>0</v>
      </c>
      <c r="CI60" s="138">
        <v>0</v>
      </c>
      <c r="CJ60" s="138">
        <v>0</v>
      </c>
      <c r="CK60" s="138">
        <v>0</v>
      </c>
      <c r="CL60" s="138">
        <v>0</v>
      </c>
      <c r="CM60" s="138">
        <v>0</v>
      </c>
      <c r="CN60" s="138">
        <v>0</v>
      </c>
      <c r="CO60" s="86">
        <v>0</v>
      </c>
      <c r="CP60" s="138">
        <v>0</v>
      </c>
      <c r="CQ60" s="138">
        <v>0</v>
      </c>
      <c r="CR60" s="138">
        <v>0</v>
      </c>
      <c r="CS60" s="138">
        <v>0</v>
      </c>
      <c r="CT60" s="138">
        <v>0</v>
      </c>
      <c r="CU60" s="138">
        <v>0</v>
      </c>
      <c r="CV60" s="138">
        <v>0</v>
      </c>
      <c r="CW60" s="138">
        <v>0</v>
      </c>
      <c r="CX60" s="138">
        <v>0</v>
      </c>
      <c r="CY60" s="138">
        <v>0</v>
      </c>
      <c r="CZ60" s="138">
        <v>0</v>
      </c>
      <c r="DA60" s="138">
        <v>0</v>
      </c>
      <c r="DB60" s="86">
        <v>0</v>
      </c>
      <c r="DC60" s="138">
        <v>0</v>
      </c>
      <c r="DD60" s="138">
        <v>0</v>
      </c>
      <c r="DE60" s="138">
        <v>0</v>
      </c>
      <c r="DF60" s="138">
        <v>0</v>
      </c>
      <c r="DG60" s="138">
        <v>0</v>
      </c>
      <c r="DH60" s="138">
        <v>0</v>
      </c>
      <c r="DI60" s="138">
        <v>0</v>
      </c>
      <c r="DJ60" s="138">
        <v>0</v>
      </c>
      <c r="DK60" s="138">
        <v>0</v>
      </c>
      <c r="DL60" s="138">
        <v>0</v>
      </c>
      <c r="DM60" s="138">
        <v>0</v>
      </c>
      <c r="DN60" s="138">
        <v>0</v>
      </c>
      <c r="DO60" s="86">
        <v>0</v>
      </c>
      <c r="DP60" s="138">
        <v>0</v>
      </c>
      <c r="DQ60" s="138">
        <v>0</v>
      </c>
      <c r="DR60" s="138">
        <v>0</v>
      </c>
      <c r="DS60" s="138">
        <v>0</v>
      </c>
      <c r="DT60" s="138">
        <v>0</v>
      </c>
      <c r="DU60" s="138">
        <v>0</v>
      </c>
      <c r="DV60" s="138">
        <v>0</v>
      </c>
      <c r="DW60" s="138">
        <v>0</v>
      </c>
      <c r="DX60" s="138">
        <v>0</v>
      </c>
      <c r="DY60" s="138">
        <v>0</v>
      </c>
      <c r="DZ60" s="138">
        <v>0</v>
      </c>
      <c r="EA60" s="138">
        <v>0</v>
      </c>
      <c r="EB60" s="85">
        <v>0</v>
      </c>
      <c r="EC60" s="87">
        <v>0</v>
      </c>
      <c r="ED60" s="85">
        <v>0</v>
      </c>
      <c r="EE60" s="85">
        <v>0</v>
      </c>
      <c r="EF60" s="85">
        <v>0</v>
      </c>
      <c r="EG60" s="85">
        <v>0</v>
      </c>
      <c r="EH60" s="85">
        <v>0</v>
      </c>
      <c r="EI60" s="85">
        <v>0</v>
      </c>
      <c r="EJ60" s="85">
        <v>0</v>
      </c>
      <c r="EK60" s="85">
        <v>0</v>
      </c>
      <c r="EL60" s="85">
        <v>0</v>
      </c>
      <c r="EM60" s="85">
        <v>0</v>
      </c>
      <c r="EN60" s="85">
        <v>0</v>
      </c>
      <c r="EO60" s="152">
        <v>0</v>
      </c>
      <c r="EP60" s="85">
        <v>0</v>
      </c>
      <c r="EQ60" s="85">
        <v>0</v>
      </c>
      <c r="ER60" s="85">
        <v>0</v>
      </c>
      <c r="ES60" s="85">
        <v>0</v>
      </c>
      <c r="ET60" s="85">
        <v>0</v>
      </c>
      <c r="EU60" s="85">
        <v>0</v>
      </c>
      <c r="EV60" s="85">
        <v>0</v>
      </c>
      <c r="EW60" s="85">
        <v>0</v>
      </c>
      <c r="EX60" s="85">
        <v>0</v>
      </c>
      <c r="EY60" s="85">
        <v>0</v>
      </c>
      <c r="EZ60" s="85">
        <v>0</v>
      </c>
      <c r="FA60" s="85">
        <v>0</v>
      </c>
      <c r="FB60" s="85">
        <v>0</v>
      </c>
      <c r="FC60" s="87">
        <v>0</v>
      </c>
      <c r="FD60" s="85">
        <v>0</v>
      </c>
      <c r="FE60" s="85">
        <v>0</v>
      </c>
      <c r="FF60" s="85">
        <v>0</v>
      </c>
      <c r="FG60" s="85">
        <v>0</v>
      </c>
      <c r="FH60" s="85">
        <v>0</v>
      </c>
      <c r="FI60" s="85">
        <v>0</v>
      </c>
      <c r="FJ60" s="85">
        <v>0</v>
      </c>
      <c r="FK60" s="85">
        <v>0</v>
      </c>
      <c r="FL60" s="85">
        <v>0</v>
      </c>
      <c r="FM60" s="85">
        <v>0</v>
      </c>
      <c r="FN60" s="85">
        <v>0</v>
      </c>
      <c r="FO60" s="86">
        <v>0</v>
      </c>
      <c r="FP60" s="87">
        <v>0</v>
      </c>
      <c r="FQ60" s="85">
        <v>0</v>
      </c>
      <c r="FR60" s="85">
        <v>0</v>
      </c>
      <c r="FS60" s="85">
        <v>0</v>
      </c>
      <c r="FT60" s="85">
        <v>0</v>
      </c>
      <c r="FU60" s="85">
        <v>0</v>
      </c>
      <c r="FV60" s="85">
        <v>0</v>
      </c>
      <c r="FW60" s="85">
        <v>0</v>
      </c>
      <c r="FX60" s="85">
        <v>0</v>
      </c>
      <c r="FY60" s="85">
        <v>0</v>
      </c>
      <c r="FZ60" s="85">
        <v>0</v>
      </c>
      <c r="GA60" s="85">
        <v>0</v>
      </c>
      <c r="GB60" s="152">
        <v>0</v>
      </c>
      <c r="GD60" s="153"/>
    </row>
    <row r="61" spans="1:186">
      <c r="A61" s="137" t="s">
        <v>147</v>
      </c>
      <c r="B61" s="151">
        <v>257023.623930102</v>
      </c>
      <c r="C61" s="138">
        <f t="shared" si="11"/>
        <v>837.097282093685</v>
      </c>
      <c r="D61" s="138">
        <f t="shared" si="0"/>
        <v>0</v>
      </c>
      <c r="E61" s="138">
        <f t="shared" si="1"/>
        <v>0</v>
      </c>
      <c r="F61" s="138">
        <f t="shared" si="2"/>
        <v>0</v>
      </c>
      <c r="G61" s="138">
        <f t="shared" si="3"/>
        <v>0</v>
      </c>
      <c r="H61" s="138">
        <f t="shared" si="4"/>
        <v>0</v>
      </c>
      <c r="I61" s="138">
        <f t="shared" si="5"/>
        <v>0</v>
      </c>
      <c r="J61" s="138">
        <f t="shared" si="6"/>
        <v>0</v>
      </c>
      <c r="K61" s="138">
        <f t="shared" si="7"/>
        <v>0</v>
      </c>
      <c r="L61" s="138">
        <f t="shared" si="8"/>
        <v>0</v>
      </c>
      <c r="M61" s="138">
        <f t="shared" si="9"/>
        <v>0</v>
      </c>
      <c r="N61" s="138">
        <f t="shared" si="10"/>
        <v>0</v>
      </c>
      <c r="O61" s="86">
        <f t="shared" si="12"/>
        <v>837.097282093685</v>
      </c>
      <c r="P61" s="138">
        <v>0</v>
      </c>
      <c r="Q61" s="138">
        <v>0</v>
      </c>
      <c r="R61" s="138">
        <v>0</v>
      </c>
      <c r="S61" s="138">
        <v>0</v>
      </c>
      <c r="T61" s="138">
        <v>0</v>
      </c>
      <c r="U61" s="138">
        <v>0</v>
      </c>
      <c r="V61" s="138">
        <v>0</v>
      </c>
      <c r="W61" s="138">
        <v>0</v>
      </c>
      <c r="X61" s="138">
        <v>0</v>
      </c>
      <c r="Y61" s="138">
        <v>0</v>
      </c>
      <c r="Z61" s="138">
        <v>0</v>
      </c>
      <c r="AA61" s="138">
        <v>0</v>
      </c>
      <c r="AB61" s="86">
        <v>0</v>
      </c>
      <c r="AC61" s="138">
        <v>0</v>
      </c>
      <c r="AD61" s="138">
        <v>0</v>
      </c>
      <c r="AE61" s="138">
        <v>0</v>
      </c>
      <c r="AF61" s="138">
        <v>0</v>
      </c>
      <c r="AG61" s="138">
        <v>0</v>
      </c>
      <c r="AH61" s="138">
        <v>0</v>
      </c>
      <c r="AI61" s="138">
        <v>0</v>
      </c>
      <c r="AJ61" s="138">
        <v>0</v>
      </c>
      <c r="AK61" s="138">
        <v>0</v>
      </c>
      <c r="AL61" s="138">
        <v>0</v>
      </c>
      <c r="AM61" s="138">
        <v>0</v>
      </c>
      <c r="AN61" s="138">
        <v>0</v>
      </c>
      <c r="AO61" s="86">
        <v>0</v>
      </c>
      <c r="AP61" s="138">
        <v>0</v>
      </c>
      <c r="AQ61" s="138">
        <v>0</v>
      </c>
      <c r="AR61" s="138">
        <v>0</v>
      </c>
      <c r="AS61" s="138">
        <v>0</v>
      </c>
      <c r="AT61" s="138">
        <v>0</v>
      </c>
      <c r="AU61" s="138">
        <v>0</v>
      </c>
      <c r="AV61" s="138">
        <v>0</v>
      </c>
      <c r="AW61" s="138">
        <v>0</v>
      </c>
      <c r="AX61" s="138">
        <v>0</v>
      </c>
      <c r="AY61" s="138">
        <v>0</v>
      </c>
      <c r="AZ61" s="138">
        <v>0</v>
      </c>
      <c r="BA61" s="138">
        <v>0</v>
      </c>
      <c r="BB61" s="86">
        <v>0</v>
      </c>
      <c r="BC61" s="138">
        <v>0</v>
      </c>
      <c r="BD61" s="138">
        <v>0</v>
      </c>
      <c r="BE61" s="138">
        <v>0</v>
      </c>
      <c r="BF61" s="138">
        <v>0</v>
      </c>
      <c r="BG61" s="138">
        <v>0</v>
      </c>
      <c r="BH61" s="138">
        <v>0</v>
      </c>
      <c r="BI61" s="138">
        <v>0</v>
      </c>
      <c r="BJ61" s="138">
        <v>0</v>
      </c>
      <c r="BK61" s="138">
        <v>0</v>
      </c>
      <c r="BL61" s="138">
        <v>0</v>
      </c>
      <c r="BM61" s="138">
        <v>0</v>
      </c>
      <c r="BN61" s="138">
        <v>0</v>
      </c>
      <c r="BO61" s="86">
        <v>0</v>
      </c>
      <c r="BP61" s="138">
        <v>837.097282093685</v>
      </c>
      <c r="BQ61" s="138">
        <v>0</v>
      </c>
      <c r="BR61" s="138">
        <v>0</v>
      </c>
      <c r="BS61" s="138">
        <v>0</v>
      </c>
      <c r="BT61" s="138">
        <v>0</v>
      </c>
      <c r="BU61" s="138">
        <v>0</v>
      </c>
      <c r="BV61" s="138">
        <v>0</v>
      </c>
      <c r="BW61" s="138">
        <v>0</v>
      </c>
      <c r="BX61" s="138">
        <v>0</v>
      </c>
      <c r="BY61" s="138">
        <v>0</v>
      </c>
      <c r="BZ61" s="138">
        <v>0</v>
      </c>
      <c r="CA61" s="138">
        <v>0</v>
      </c>
      <c r="CB61" s="86">
        <v>837.097282093685</v>
      </c>
      <c r="CC61" s="138">
        <v>0</v>
      </c>
      <c r="CD61" s="138">
        <v>0</v>
      </c>
      <c r="CE61" s="138">
        <v>0</v>
      </c>
      <c r="CF61" s="138">
        <v>0</v>
      </c>
      <c r="CG61" s="138">
        <v>0</v>
      </c>
      <c r="CH61" s="138">
        <v>0</v>
      </c>
      <c r="CI61" s="138">
        <v>0</v>
      </c>
      <c r="CJ61" s="138">
        <v>0</v>
      </c>
      <c r="CK61" s="138">
        <v>0</v>
      </c>
      <c r="CL61" s="138">
        <v>0</v>
      </c>
      <c r="CM61" s="138">
        <v>0</v>
      </c>
      <c r="CN61" s="138">
        <v>0</v>
      </c>
      <c r="CO61" s="86">
        <v>0</v>
      </c>
      <c r="CP61" s="138">
        <v>0</v>
      </c>
      <c r="CQ61" s="138">
        <v>0</v>
      </c>
      <c r="CR61" s="138">
        <v>0</v>
      </c>
      <c r="CS61" s="138">
        <v>0</v>
      </c>
      <c r="CT61" s="138">
        <v>0</v>
      </c>
      <c r="CU61" s="138">
        <v>0</v>
      </c>
      <c r="CV61" s="138">
        <v>0</v>
      </c>
      <c r="CW61" s="138">
        <v>0</v>
      </c>
      <c r="CX61" s="138">
        <v>0</v>
      </c>
      <c r="CY61" s="138">
        <v>0</v>
      </c>
      <c r="CZ61" s="138">
        <v>0</v>
      </c>
      <c r="DA61" s="138">
        <v>0</v>
      </c>
      <c r="DB61" s="86">
        <v>0</v>
      </c>
      <c r="DC61" s="138">
        <v>0</v>
      </c>
      <c r="DD61" s="138">
        <v>0</v>
      </c>
      <c r="DE61" s="138">
        <v>0</v>
      </c>
      <c r="DF61" s="138">
        <v>0</v>
      </c>
      <c r="DG61" s="138">
        <v>0</v>
      </c>
      <c r="DH61" s="138">
        <v>0</v>
      </c>
      <c r="DI61" s="138">
        <v>0</v>
      </c>
      <c r="DJ61" s="138">
        <v>0</v>
      </c>
      <c r="DK61" s="138">
        <v>0</v>
      </c>
      <c r="DL61" s="138">
        <v>0</v>
      </c>
      <c r="DM61" s="138">
        <v>0</v>
      </c>
      <c r="DN61" s="138">
        <v>0</v>
      </c>
      <c r="DO61" s="86">
        <v>0</v>
      </c>
      <c r="DP61" s="138">
        <v>0</v>
      </c>
      <c r="DQ61" s="138">
        <v>0</v>
      </c>
      <c r="DR61" s="138">
        <v>0</v>
      </c>
      <c r="DS61" s="138">
        <v>0</v>
      </c>
      <c r="DT61" s="138">
        <v>0</v>
      </c>
      <c r="DU61" s="138">
        <v>0</v>
      </c>
      <c r="DV61" s="138">
        <v>0</v>
      </c>
      <c r="DW61" s="138">
        <v>0</v>
      </c>
      <c r="DX61" s="138">
        <v>0</v>
      </c>
      <c r="DY61" s="138">
        <v>0</v>
      </c>
      <c r="DZ61" s="138">
        <v>0</v>
      </c>
      <c r="EA61" s="138">
        <v>0</v>
      </c>
      <c r="EB61" s="85">
        <v>0</v>
      </c>
      <c r="EC61" s="87">
        <v>0</v>
      </c>
      <c r="ED61" s="85">
        <v>0</v>
      </c>
      <c r="EE61" s="85">
        <v>0</v>
      </c>
      <c r="EF61" s="85">
        <v>0</v>
      </c>
      <c r="EG61" s="85">
        <v>0</v>
      </c>
      <c r="EH61" s="85">
        <v>0</v>
      </c>
      <c r="EI61" s="85">
        <v>0</v>
      </c>
      <c r="EJ61" s="85">
        <v>0</v>
      </c>
      <c r="EK61" s="85">
        <v>0</v>
      </c>
      <c r="EL61" s="85">
        <v>0</v>
      </c>
      <c r="EM61" s="85">
        <v>0</v>
      </c>
      <c r="EN61" s="85">
        <v>0</v>
      </c>
      <c r="EO61" s="152">
        <v>0</v>
      </c>
      <c r="EP61" s="85">
        <v>0</v>
      </c>
      <c r="EQ61" s="85">
        <v>0</v>
      </c>
      <c r="ER61" s="85">
        <v>0</v>
      </c>
      <c r="ES61" s="85">
        <v>0</v>
      </c>
      <c r="ET61" s="85">
        <v>0</v>
      </c>
      <c r="EU61" s="85">
        <v>0</v>
      </c>
      <c r="EV61" s="85">
        <v>0</v>
      </c>
      <c r="EW61" s="85">
        <v>0</v>
      </c>
      <c r="EX61" s="85">
        <v>0</v>
      </c>
      <c r="EY61" s="85">
        <v>0</v>
      </c>
      <c r="EZ61" s="85">
        <v>0</v>
      </c>
      <c r="FA61" s="85">
        <v>0</v>
      </c>
      <c r="FB61" s="85">
        <v>0</v>
      </c>
      <c r="FC61" s="87">
        <v>0</v>
      </c>
      <c r="FD61" s="85">
        <v>0</v>
      </c>
      <c r="FE61" s="85">
        <v>0</v>
      </c>
      <c r="FF61" s="85">
        <v>0</v>
      </c>
      <c r="FG61" s="85">
        <v>0</v>
      </c>
      <c r="FH61" s="85">
        <v>0</v>
      </c>
      <c r="FI61" s="85">
        <v>0</v>
      </c>
      <c r="FJ61" s="85">
        <v>0</v>
      </c>
      <c r="FK61" s="85">
        <v>0</v>
      </c>
      <c r="FL61" s="85">
        <v>0</v>
      </c>
      <c r="FM61" s="85">
        <v>0</v>
      </c>
      <c r="FN61" s="85">
        <v>0</v>
      </c>
      <c r="FO61" s="86">
        <v>0</v>
      </c>
      <c r="FP61" s="87">
        <v>0</v>
      </c>
      <c r="FQ61" s="85">
        <v>0</v>
      </c>
      <c r="FR61" s="85">
        <v>0</v>
      </c>
      <c r="FS61" s="85">
        <v>0</v>
      </c>
      <c r="FT61" s="85">
        <v>0</v>
      </c>
      <c r="FU61" s="85">
        <v>0</v>
      </c>
      <c r="FV61" s="85">
        <v>0</v>
      </c>
      <c r="FW61" s="85">
        <v>0</v>
      </c>
      <c r="FX61" s="85">
        <v>0</v>
      </c>
      <c r="FY61" s="85">
        <v>0</v>
      </c>
      <c r="FZ61" s="85">
        <v>0</v>
      </c>
      <c r="GA61" s="85">
        <v>0</v>
      </c>
      <c r="GB61" s="152">
        <v>0</v>
      </c>
      <c r="GD61" s="153"/>
    </row>
    <row r="62" spans="1:186">
      <c r="A62" s="137" t="s">
        <v>149</v>
      </c>
      <c r="B62" s="151">
        <v>0</v>
      </c>
      <c r="C62" s="138">
        <f t="shared" si="11"/>
        <v>0</v>
      </c>
      <c r="D62" s="138">
        <f t="shared" si="0"/>
        <v>0</v>
      </c>
      <c r="E62" s="138">
        <f t="shared" si="1"/>
        <v>0</v>
      </c>
      <c r="F62" s="138">
        <f t="shared" si="2"/>
        <v>0</v>
      </c>
      <c r="G62" s="138">
        <f t="shared" si="3"/>
        <v>0</v>
      </c>
      <c r="H62" s="138">
        <f t="shared" si="4"/>
        <v>0</v>
      </c>
      <c r="I62" s="138">
        <f t="shared" si="5"/>
        <v>0</v>
      </c>
      <c r="J62" s="138">
        <f t="shared" si="6"/>
        <v>0</v>
      </c>
      <c r="K62" s="138">
        <f t="shared" si="7"/>
        <v>0</v>
      </c>
      <c r="L62" s="138">
        <f t="shared" si="8"/>
        <v>0</v>
      </c>
      <c r="M62" s="138">
        <f t="shared" si="9"/>
        <v>0</v>
      </c>
      <c r="N62" s="138">
        <f t="shared" si="10"/>
        <v>0</v>
      </c>
      <c r="O62" s="86">
        <f t="shared" si="12"/>
        <v>0</v>
      </c>
      <c r="P62" s="138">
        <v>0</v>
      </c>
      <c r="Q62" s="138">
        <v>0</v>
      </c>
      <c r="R62" s="138">
        <v>0</v>
      </c>
      <c r="S62" s="138">
        <v>0</v>
      </c>
      <c r="T62" s="138">
        <v>0</v>
      </c>
      <c r="U62" s="138">
        <v>0</v>
      </c>
      <c r="V62" s="138">
        <v>0</v>
      </c>
      <c r="W62" s="138">
        <v>0</v>
      </c>
      <c r="X62" s="138">
        <v>0</v>
      </c>
      <c r="Y62" s="138">
        <v>0</v>
      </c>
      <c r="Z62" s="138">
        <v>0</v>
      </c>
      <c r="AA62" s="138">
        <v>0</v>
      </c>
      <c r="AB62" s="86">
        <v>0</v>
      </c>
      <c r="AC62" s="138">
        <v>0</v>
      </c>
      <c r="AD62" s="138">
        <v>0</v>
      </c>
      <c r="AE62" s="138">
        <v>0</v>
      </c>
      <c r="AF62" s="138">
        <v>0</v>
      </c>
      <c r="AG62" s="138">
        <v>0</v>
      </c>
      <c r="AH62" s="138">
        <v>0</v>
      </c>
      <c r="AI62" s="138">
        <v>0</v>
      </c>
      <c r="AJ62" s="138">
        <v>0</v>
      </c>
      <c r="AK62" s="138">
        <v>0</v>
      </c>
      <c r="AL62" s="138">
        <v>0</v>
      </c>
      <c r="AM62" s="138">
        <v>0</v>
      </c>
      <c r="AN62" s="138">
        <v>0</v>
      </c>
      <c r="AO62" s="86">
        <v>0</v>
      </c>
      <c r="AP62" s="138">
        <v>0</v>
      </c>
      <c r="AQ62" s="138">
        <v>0</v>
      </c>
      <c r="AR62" s="138">
        <v>0</v>
      </c>
      <c r="AS62" s="138">
        <v>0</v>
      </c>
      <c r="AT62" s="138">
        <v>0</v>
      </c>
      <c r="AU62" s="138">
        <v>0</v>
      </c>
      <c r="AV62" s="138">
        <v>0</v>
      </c>
      <c r="AW62" s="138">
        <v>0</v>
      </c>
      <c r="AX62" s="138">
        <v>0</v>
      </c>
      <c r="AY62" s="138">
        <v>0</v>
      </c>
      <c r="AZ62" s="138">
        <v>0</v>
      </c>
      <c r="BA62" s="138">
        <v>0</v>
      </c>
      <c r="BB62" s="86">
        <v>0</v>
      </c>
      <c r="BC62" s="138">
        <v>0</v>
      </c>
      <c r="BD62" s="138">
        <v>0</v>
      </c>
      <c r="BE62" s="138">
        <v>0</v>
      </c>
      <c r="BF62" s="138">
        <v>0</v>
      </c>
      <c r="BG62" s="138">
        <v>0</v>
      </c>
      <c r="BH62" s="138">
        <v>0</v>
      </c>
      <c r="BI62" s="138">
        <v>0</v>
      </c>
      <c r="BJ62" s="138">
        <v>0</v>
      </c>
      <c r="BK62" s="138">
        <v>0</v>
      </c>
      <c r="BL62" s="138">
        <v>0</v>
      </c>
      <c r="BM62" s="138">
        <v>0</v>
      </c>
      <c r="BN62" s="138">
        <v>0</v>
      </c>
      <c r="BO62" s="86">
        <v>0</v>
      </c>
      <c r="BP62" s="138">
        <v>0</v>
      </c>
      <c r="BQ62" s="138">
        <v>0</v>
      </c>
      <c r="BR62" s="138">
        <v>0</v>
      </c>
      <c r="BS62" s="138">
        <v>0</v>
      </c>
      <c r="BT62" s="138">
        <v>0</v>
      </c>
      <c r="BU62" s="138">
        <v>0</v>
      </c>
      <c r="BV62" s="138">
        <v>0</v>
      </c>
      <c r="BW62" s="138">
        <v>0</v>
      </c>
      <c r="BX62" s="138">
        <v>0</v>
      </c>
      <c r="BY62" s="138">
        <v>0</v>
      </c>
      <c r="BZ62" s="138">
        <v>0</v>
      </c>
      <c r="CA62" s="138">
        <v>0</v>
      </c>
      <c r="CB62" s="86">
        <v>0</v>
      </c>
      <c r="CC62" s="138">
        <v>0</v>
      </c>
      <c r="CD62" s="138">
        <v>0</v>
      </c>
      <c r="CE62" s="138">
        <v>0</v>
      </c>
      <c r="CF62" s="138">
        <v>0</v>
      </c>
      <c r="CG62" s="138">
        <v>0</v>
      </c>
      <c r="CH62" s="138">
        <v>0</v>
      </c>
      <c r="CI62" s="138">
        <v>0</v>
      </c>
      <c r="CJ62" s="138">
        <v>0</v>
      </c>
      <c r="CK62" s="138">
        <v>0</v>
      </c>
      <c r="CL62" s="138">
        <v>0</v>
      </c>
      <c r="CM62" s="138">
        <v>0</v>
      </c>
      <c r="CN62" s="138">
        <v>0</v>
      </c>
      <c r="CO62" s="86">
        <v>0</v>
      </c>
      <c r="CP62" s="138">
        <v>0</v>
      </c>
      <c r="CQ62" s="138">
        <v>0</v>
      </c>
      <c r="CR62" s="138">
        <v>0</v>
      </c>
      <c r="CS62" s="138">
        <v>0</v>
      </c>
      <c r="CT62" s="138">
        <v>0</v>
      </c>
      <c r="CU62" s="138">
        <v>0</v>
      </c>
      <c r="CV62" s="138">
        <v>0</v>
      </c>
      <c r="CW62" s="138">
        <v>0</v>
      </c>
      <c r="CX62" s="138">
        <v>0</v>
      </c>
      <c r="CY62" s="138">
        <v>0</v>
      </c>
      <c r="CZ62" s="138">
        <v>0</v>
      </c>
      <c r="DA62" s="138">
        <v>0</v>
      </c>
      <c r="DB62" s="86">
        <v>0</v>
      </c>
      <c r="DC62" s="138">
        <v>0</v>
      </c>
      <c r="DD62" s="138">
        <v>0</v>
      </c>
      <c r="DE62" s="138">
        <v>0</v>
      </c>
      <c r="DF62" s="138">
        <v>0</v>
      </c>
      <c r="DG62" s="138">
        <v>0</v>
      </c>
      <c r="DH62" s="138">
        <v>0</v>
      </c>
      <c r="DI62" s="138">
        <v>0</v>
      </c>
      <c r="DJ62" s="138">
        <v>0</v>
      </c>
      <c r="DK62" s="138">
        <v>0</v>
      </c>
      <c r="DL62" s="138">
        <v>0</v>
      </c>
      <c r="DM62" s="138">
        <v>0</v>
      </c>
      <c r="DN62" s="138">
        <v>0</v>
      </c>
      <c r="DO62" s="86">
        <v>0</v>
      </c>
      <c r="DP62" s="138">
        <v>0</v>
      </c>
      <c r="DQ62" s="138">
        <v>0</v>
      </c>
      <c r="DR62" s="138">
        <v>0</v>
      </c>
      <c r="DS62" s="138">
        <v>0</v>
      </c>
      <c r="DT62" s="138">
        <v>0</v>
      </c>
      <c r="DU62" s="138">
        <v>0</v>
      </c>
      <c r="DV62" s="138">
        <v>0</v>
      </c>
      <c r="DW62" s="138">
        <v>0</v>
      </c>
      <c r="DX62" s="138">
        <v>0</v>
      </c>
      <c r="DY62" s="138">
        <v>0</v>
      </c>
      <c r="DZ62" s="138">
        <v>0</v>
      </c>
      <c r="EA62" s="138">
        <v>0</v>
      </c>
      <c r="EB62" s="85">
        <v>0</v>
      </c>
      <c r="EC62" s="87">
        <v>0</v>
      </c>
      <c r="ED62" s="85">
        <v>0</v>
      </c>
      <c r="EE62" s="85">
        <v>0</v>
      </c>
      <c r="EF62" s="85">
        <v>0</v>
      </c>
      <c r="EG62" s="85">
        <v>0</v>
      </c>
      <c r="EH62" s="85">
        <v>0</v>
      </c>
      <c r="EI62" s="85">
        <v>0</v>
      </c>
      <c r="EJ62" s="85">
        <v>0</v>
      </c>
      <c r="EK62" s="85">
        <v>0</v>
      </c>
      <c r="EL62" s="85">
        <v>0</v>
      </c>
      <c r="EM62" s="85">
        <v>0</v>
      </c>
      <c r="EN62" s="85">
        <v>0</v>
      </c>
      <c r="EO62" s="152">
        <v>0</v>
      </c>
      <c r="EP62" s="85">
        <v>0</v>
      </c>
      <c r="EQ62" s="85">
        <v>0</v>
      </c>
      <c r="ER62" s="85">
        <v>0</v>
      </c>
      <c r="ES62" s="85">
        <v>0</v>
      </c>
      <c r="ET62" s="85">
        <v>0</v>
      </c>
      <c r="EU62" s="85">
        <v>0</v>
      </c>
      <c r="EV62" s="85">
        <v>0</v>
      </c>
      <c r="EW62" s="85">
        <v>0</v>
      </c>
      <c r="EX62" s="85">
        <v>0</v>
      </c>
      <c r="EY62" s="85">
        <v>0</v>
      </c>
      <c r="EZ62" s="85">
        <v>0</v>
      </c>
      <c r="FA62" s="85">
        <v>0</v>
      </c>
      <c r="FB62" s="85">
        <v>0</v>
      </c>
      <c r="FC62" s="87">
        <v>0</v>
      </c>
      <c r="FD62" s="85">
        <v>0</v>
      </c>
      <c r="FE62" s="85">
        <v>0</v>
      </c>
      <c r="FF62" s="85">
        <v>0</v>
      </c>
      <c r="FG62" s="85">
        <v>0</v>
      </c>
      <c r="FH62" s="85">
        <v>0</v>
      </c>
      <c r="FI62" s="85">
        <v>0</v>
      </c>
      <c r="FJ62" s="85">
        <v>0</v>
      </c>
      <c r="FK62" s="85">
        <v>0</v>
      </c>
      <c r="FL62" s="85">
        <v>0</v>
      </c>
      <c r="FM62" s="85">
        <v>0</v>
      </c>
      <c r="FN62" s="85">
        <v>0</v>
      </c>
      <c r="FO62" s="86">
        <v>0</v>
      </c>
      <c r="FP62" s="87">
        <v>0</v>
      </c>
      <c r="FQ62" s="85">
        <v>0</v>
      </c>
      <c r="FR62" s="85">
        <v>0</v>
      </c>
      <c r="FS62" s="85">
        <v>0</v>
      </c>
      <c r="FT62" s="85">
        <v>0</v>
      </c>
      <c r="FU62" s="85">
        <v>0</v>
      </c>
      <c r="FV62" s="85">
        <v>0</v>
      </c>
      <c r="FW62" s="85">
        <v>0</v>
      </c>
      <c r="FX62" s="85">
        <v>0</v>
      </c>
      <c r="FY62" s="85">
        <v>0</v>
      </c>
      <c r="FZ62" s="85">
        <v>0</v>
      </c>
      <c r="GA62" s="85">
        <v>0</v>
      </c>
      <c r="GB62" s="152">
        <v>0</v>
      </c>
      <c r="GD62" s="153"/>
    </row>
    <row r="63" spans="1:186">
      <c r="A63" s="137" t="s">
        <v>151</v>
      </c>
      <c r="B63" s="151">
        <v>310239.672612739</v>
      </c>
      <c r="C63" s="138">
        <f t="shared" si="11"/>
        <v>2885.06132321535</v>
      </c>
      <c r="D63" s="138">
        <f t="shared" si="0"/>
        <v>5443.03659793393</v>
      </c>
      <c r="E63" s="138">
        <f t="shared" si="1"/>
        <v>2601.76248328393</v>
      </c>
      <c r="F63" s="138">
        <f t="shared" si="2"/>
        <v>2215.09677118363</v>
      </c>
      <c r="G63" s="138">
        <f t="shared" si="3"/>
        <v>1452.00333339835</v>
      </c>
      <c r="H63" s="138">
        <f t="shared" si="4"/>
        <v>0</v>
      </c>
      <c r="I63" s="138">
        <f t="shared" si="5"/>
        <v>0</v>
      </c>
      <c r="J63" s="138">
        <f t="shared" si="6"/>
        <v>0</v>
      </c>
      <c r="K63" s="138">
        <f t="shared" si="7"/>
        <v>0</v>
      </c>
      <c r="L63" s="138">
        <f t="shared" si="8"/>
        <v>0</v>
      </c>
      <c r="M63" s="138">
        <f t="shared" si="9"/>
        <v>0</v>
      </c>
      <c r="N63" s="138">
        <f t="shared" si="10"/>
        <v>0</v>
      </c>
      <c r="O63" s="86">
        <f t="shared" si="12"/>
        <v>14596.9605090152</v>
      </c>
      <c r="P63" s="138">
        <v>0</v>
      </c>
      <c r="Q63" s="138">
        <v>0</v>
      </c>
      <c r="R63" s="138">
        <v>0</v>
      </c>
      <c r="S63" s="138">
        <v>0</v>
      </c>
      <c r="T63" s="138">
        <v>0</v>
      </c>
      <c r="U63" s="138">
        <v>0</v>
      </c>
      <c r="V63" s="138">
        <v>0</v>
      </c>
      <c r="W63" s="138">
        <v>0</v>
      </c>
      <c r="X63" s="138">
        <v>0</v>
      </c>
      <c r="Y63" s="138">
        <v>0</v>
      </c>
      <c r="Z63" s="138">
        <v>0</v>
      </c>
      <c r="AA63" s="138">
        <v>0</v>
      </c>
      <c r="AB63" s="86">
        <v>0</v>
      </c>
      <c r="AC63" s="138">
        <v>0</v>
      </c>
      <c r="AD63" s="138">
        <v>0</v>
      </c>
      <c r="AE63" s="138">
        <v>0</v>
      </c>
      <c r="AF63" s="138">
        <v>0</v>
      </c>
      <c r="AG63" s="138">
        <v>0</v>
      </c>
      <c r="AH63" s="138">
        <v>0</v>
      </c>
      <c r="AI63" s="138">
        <v>0</v>
      </c>
      <c r="AJ63" s="138">
        <v>0</v>
      </c>
      <c r="AK63" s="138">
        <v>0</v>
      </c>
      <c r="AL63" s="138">
        <v>0</v>
      </c>
      <c r="AM63" s="138">
        <v>0</v>
      </c>
      <c r="AN63" s="138">
        <v>0</v>
      </c>
      <c r="AO63" s="86">
        <v>0</v>
      </c>
      <c r="AP63" s="138">
        <v>0</v>
      </c>
      <c r="AQ63" s="138">
        <v>0</v>
      </c>
      <c r="AR63" s="138">
        <v>0</v>
      </c>
      <c r="AS63" s="138">
        <v>0</v>
      </c>
      <c r="AT63" s="138">
        <v>0</v>
      </c>
      <c r="AU63" s="138">
        <v>0</v>
      </c>
      <c r="AV63" s="138">
        <v>0</v>
      </c>
      <c r="AW63" s="138">
        <v>0</v>
      </c>
      <c r="AX63" s="138">
        <v>0</v>
      </c>
      <c r="AY63" s="138">
        <v>0</v>
      </c>
      <c r="AZ63" s="138">
        <v>0</v>
      </c>
      <c r="BA63" s="138">
        <v>0</v>
      </c>
      <c r="BB63" s="86">
        <v>0</v>
      </c>
      <c r="BC63" s="138">
        <v>0</v>
      </c>
      <c r="BD63" s="138">
        <v>0</v>
      </c>
      <c r="BE63" s="138">
        <v>0</v>
      </c>
      <c r="BF63" s="138">
        <v>0</v>
      </c>
      <c r="BG63" s="138">
        <v>0</v>
      </c>
      <c r="BH63" s="138">
        <v>0</v>
      </c>
      <c r="BI63" s="138">
        <v>0</v>
      </c>
      <c r="BJ63" s="138">
        <v>0</v>
      </c>
      <c r="BK63" s="138">
        <v>0</v>
      </c>
      <c r="BL63" s="138">
        <v>0</v>
      </c>
      <c r="BM63" s="138">
        <v>0</v>
      </c>
      <c r="BN63" s="138">
        <v>0</v>
      </c>
      <c r="BO63" s="86">
        <v>0</v>
      </c>
      <c r="BP63" s="138">
        <v>0</v>
      </c>
      <c r="BQ63" s="138">
        <v>0</v>
      </c>
      <c r="BR63" s="138">
        <v>0</v>
      </c>
      <c r="BS63" s="138">
        <v>0</v>
      </c>
      <c r="BT63" s="138">
        <v>0</v>
      </c>
      <c r="BU63" s="138">
        <v>0</v>
      </c>
      <c r="BV63" s="138">
        <v>0</v>
      </c>
      <c r="BW63" s="138">
        <v>0</v>
      </c>
      <c r="BX63" s="138">
        <v>0</v>
      </c>
      <c r="BY63" s="138">
        <v>0</v>
      </c>
      <c r="BZ63" s="138">
        <v>0</v>
      </c>
      <c r="CA63" s="138">
        <v>0</v>
      </c>
      <c r="CB63" s="86">
        <v>0</v>
      </c>
      <c r="CC63" s="138">
        <v>300.740705944521</v>
      </c>
      <c r="CD63" s="138">
        <v>887.606096433457</v>
      </c>
      <c r="CE63" s="138">
        <v>294.740047495271</v>
      </c>
      <c r="CF63" s="138">
        <v>291.147442116162</v>
      </c>
      <c r="CG63" s="138">
        <v>577.648679127736</v>
      </c>
      <c r="CH63" s="138">
        <v>0</v>
      </c>
      <c r="CI63" s="138">
        <v>0</v>
      </c>
      <c r="CJ63" s="138">
        <v>0</v>
      </c>
      <c r="CK63" s="138">
        <v>0</v>
      </c>
      <c r="CL63" s="138">
        <v>0</v>
      </c>
      <c r="CM63" s="138">
        <v>0</v>
      </c>
      <c r="CN63" s="138">
        <v>0</v>
      </c>
      <c r="CO63" s="86">
        <v>2351.88297111715</v>
      </c>
      <c r="CP63" s="138">
        <v>0</v>
      </c>
      <c r="CQ63" s="138">
        <v>0</v>
      </c>
      <c r="CR63" s="138">
        <v>0</v>
      </c>
      <c r="CS63" s="138">
        <v>0</v>
      </c>
      <c r="CT63" s="138">
        <v>0</v>
      </c>
      <c r="CU63" s="138">
        <v>0</v>
      </c>
      <c r="CV63" s="138">
        <v>0</v>
      </c>
      <c r="CW63" s="138">
        <v>0</v>
      </c>
      <c r="CX63" s="138">
        <v>0</v>
      </c>
      <c r="CY63" s="138">
        <v>0</v>
      </c>
      <c r="CZ63" s="138">
        <v>0</v>
      </c>
      <c r="DA63" s="138">
        <v>0</v>
      </c>
      <c r="DB63" s="86">
        <v>0</v>
      </c>
      <c r="DC63" s="138">
        <v>0</v>
      </c>
      <c r="DD63" s="138">
        <v>94.6062804998935</v>
      </c>
      <c r="DE63" s="138">
        <v>90.8959183408497</v>
      </c>
      <c r="DF63" s="138">
        <v>0</v>
      </c>
      <c r="DG63" s="138">
        <v>0</v>
      </c>
      <c r="DH63" s="138">
        <v>0</v>
      </c>
      <c r="DI63" s="138">
        <v>0</v>
      </c>
      <c r="DJ63" s="138">
        <v>0</v>
      </c>
      <c r="DK63" s="138">
        <v>0</v>
      </c>
      <c r="DL63" s="138">
        <v>0</v>
      </c>
      <c r="DM63" s="138">
        <v>0</v>
      </c>
      <c r="DN63" s="138">
        <v>0</v>
      </c>
      <c r="DO63" s="86">
        <v>185.502198840743</v>
      </c>
      <c r="DP63" s="138">
        <v>0</v>
      </c>
      <c r="DQ63" s="138">
        <v>0</v>
      </c>
      <c r="DR63" s="138">
        <v>0</v>
      </c>
      <c r="DS63" s="138">
        <v>0</v>
      </c>
      <c r="DT63" s="138">
        <v>0</v>
      </c>
      <c r="DU63" s="138">
        <v>0</v>
      </c>
      <c r="DV63" s="138">
        <v>0</v>
      </c>
      <c r="DW63" s="138">
        <v>0</v>
      </c>
      <c r="DX63" s="138">
        <v>0</v>
      </c>
      <c r="DY63" s="138">
        <v>0</v>
      </c>
      <c r="DZ63" s="138">
        <v>0</v>
      </c>
      <c r="EA63" s="138">
        <v>0</v>
      </c>
      <c r="EB63" s="85">
        <v>0</v>
      </c>
      <c r="EC63" s="87">
        <v>0</v>
      </c>
      <c r="ED63" s="85">
        <v>0</v>
      </c>
      <c r="EE63" s="85">
        <v>0</v>
      </c>
      <c r="EF63" s="85">
        <v>0</v>
      </c>
      <c r="EG63" s="85">
        <v>0</v>
      </c>
      <c r="EH63" s="85">
        <v>0</v>
      </c>
      <c r="EI63" s="85">
        <v>0</v>
      </c>
      <c r="EJ63" s="85">
        <v>0</v>
      </c>
      <c r="EK63" s="85">
        <v>0</v>
      </c>
      <c r="EL63" s="85">
        <v>0</v>
      </c>
      <c r="EM63" s="85">
        <v>0</v>
      </c>
      <c r="EN63" s="85">
        <v>0</v>
      </c>
      <c r="EO63" s="152">
        <v>0</v>
      </c>
      <c r="EP63" s="85">
        <v>0</v>
      </c>
      <c r="EQ63" s="85">
        <v>0</v>
      </c>
      <c r="ER63" s="85">
        <v>0</v>
      </c>
      <c r="ES63" s="85">
        <v>0</v>
      </c>
      <c r="ET63" s="85">
        <v>0</v>
      </c>
      <c r="EU63" s="85">
        <v>0</v>
      </c>
      <c r="EV63" s="85">
        <v>0</v>
      </c>
      <c r="EW63" s="85">
        <v>0</v>
      </c>
      <c r="EX63" s="85">
        <v>0</v>
      </c>
      <c r="EY63" s="85">
        <v>0</v>
      </c>
      <c r="EZ63" s="85">
        <v>0</v>
      </c>
      <c r="FA63" s="85">
        <v>0</v>
      </c>
      <c r="FB63" s="85">
        <v>0</v>
      </c>
      <c r="FC63" s="87">
        <v>0</v>
      </c>
      <c r="FD63" s="85">
        <v>0</v>
      </c>
      <c r="FE63" s="85">
        <v>0</v>
      </c>
      <c r="FF63" s="85">
        <v>0</v>
      </c>
      <c r="FG63" s="85">
        <v>0</v>
      </c>
      <c r="FH63" s="85">
        <v>0</v>
      </c>
      <c r="FI63" s="85">
        <v>0</v>
      </c>
      <c r="FJ63" s="85">
        <v>0</v>
      </c>
      <c r="FK63" s="85">
        <v>0</v>
      </c>
      <c r="FL63" s="85">
        <v>0</v>
      </c>
      <c r="FM63" s="85">
        <v>0</v>
      </c>
      <c r="FN63" s="85">
        <v>0</v>
      </c>
      <c r="FO63" s="86">
        <v>0</v>
      </c>
      <c r="FP63" s="87">
        <v>2584.32061727083</v>
      </c>
      <c r="FQ63" s="85">
        <v>4460.82422100058</v>
      </c>
      <c r="FR63" s="85">
        <v>2216.12651744781</v>
      </c>
      <c r="FS63" s="85">
        <v>1923.94932906747</v>
      </c>
      <c r="FT63" s="85">
        <v>874.354654270615</v>
      </c>
      <c r="FU63" s="85">
        <v>0</v>
      </c>
      <c r="FV63" s="85">
        <v>0</v>
      </c>
      <c r="FW63" s="85">
        <v>0</v>
      </c>
      <c r="FX63" s="85">
        <v>0</v>
      </c>
      <c r="FY63" s="85">
        <v>0</v>
      </c>
      <c r="FZ63" s="85">
        <v>0</v>
      </c>
      <c r="GA63" s="85">
        <v>0</v>
      </c>
      <c r="GB63" s="152">
        <v>12059.5753390573</v>
      </c>
      <c r="GD63" s="153"/>
    </row>
    <row r="64" spans="1:186">
      <c r="A64" s="137" t="s">
        <v>153</v>
      </c>
      <c r="B64" s="151">
        <v>564826.170842236</v>
      </c>
      <c r="C64" s="138">
        <f t="shared" si="11"/>
        <v>3203.31939097211</v>
      </c>
      <c r="D64" s="138">
        <f t="shared" si="0"/>
        <v>1930.85186312111</v>
      </c>
      <c r="E64" s="138">
        <f t="shared" si="1"/>
        <v>2467.89779514197</v>
      </c>
      <c r="F64" s="138">
        <f t="shared" si="2"/>
        <v>581.683090010757</v>
      </c>
      <c r="G64" s="138">
        <f t="shared" si="3"/>
        <v>466.55664604054</v>
      </c>
      <c r="H64" s="138">
        <f t="shared" si="4"/>
        <v>0</v>
      </c>
      <c r="I64" s="138">
        <f t="shared" si="5"/>
        <v>0</v>
      </c>
      <c r="J64" s="138">
        <f t="shared" si="6"/>
        <v>0</v>
      </c>
      <c r="K64" s="138">
        <f t="shared" si="7"/>
        <v>0</v>
      </c>
      <c r="L64" s="138">
        <f t="shared" si="8"/>
        <v>0</v>
      </c>
      <c r="M64" s="138">
        <f t="shared" si="9"/>
        <v>0</v>
      </c>
      <c r="N64" s="138">
        <f t="shared" si="10"/>
        <v>0</v>
      </c>
      <c r="O64" s="86">
        <f t="shared" si="12"/>
        <v>8650.30878528649</v>
      </c>
      <c r="P64" s="138">
        <v>1817.61646180167</v>
      </c>
      <c r="Q64" s="138">
        <v>1159.98947220105</v>
      </c>
      <c r="R64" s="138">
        <v>1627.41472739539</v>
      </c>
      <c r="S64" s="138">
        <v>0</v>
      </c>
      <c r="T64" s="138">
        <v>217.131091704751</v>
      </c>
      <c r="U64" s="138">
        <v>0</v>
      </c>
      <c r="V64" s="138">
        <v>0</v>
      </c>
      <c r="W64" s="138">
        <v>0</v>
      </c>
      <c r="X64" s="138">
        <v>0</v>
      </c>
      <c r="Y64" s="138">
        <v>0</v>
      </c>
      <c r="Z64" s="138">
        <v>0</v>
      </c>
      <c r="AA64" s="138">
        <v>0</v>
      </c>
      <c r="AB64" s="86">
        <v>4822.15175310286</v>
      </c>
      <c r="AC64" s="138">
        <v>0</v>
      </c>
      <c r="AD64" s="138">
        <v>0</v>
      </c>
      <c r="AE64" s="138">
        <v>0</v>
      </c>
      <c r="AF64" s="138">
        <v>0</v>
      </c>
      <c r="AG64" s="138">
        <v>0</v>
      </c>
      <c r="AH64" s="138">
        <v>0</v>
      </c>
      <c r="AI64" s="138">
        <v>0</v>
      </c>
      <c r="AJ64" s="138">
        <v>0</v>
      </c>
      <c r="AK64" s="138">
        <v>0</v>
      </c>
      <c r="AL64" s="138">
        <v>0</v>
      </c>
      <c r="AM64" s="138">
        <v>0</v>
      </c>
      <c r="AN64" s="138">
        <v>0</v>
      </c>
      <c r="AO64" s="86">
        <v>0</v>
      </c>
      <c r="AP64" s="138">
        <v>0</v>
      </c>
      <c r="AQ64" s="138">
        <v>0</v>
      </c>
      <c r="AR64" s="138">
        <v>68.2559384735202</v>
      </c>
      <c r="AS64" s="138">
        <v>0</v>
      </c>
      <c r="AT64" s="138">
        <v>0</v>
      </c>
      <c r="AU64" s="138">
        <v>0</v>
      </c>
      <c r="AV64" s="138">
        <v>0</v>
      </c>
      <c r="AW64" s="138">
        <v>0</v>
      </c>
      <c r="AX64" s="138">
        <v>0</v>
      </c>
      <c r="AY64" s="138">
        <v>0</v>
      </c>
      <c r="AZ64" s="138">
        <v>0</v>
      </c>
      <c r="BA64" s="138">
        <v>0</v>
      </c>
      <c r="BB64" s="86">
        <v>68.2559384735202</v>
      </c>
      <c r="BC64" s="138">
        <v>260.700220235278</v>
      </c>
      <c r="BD64" s="138">
        <v>603.681836897383</v>
      </c>
      <c r="BE64" s="138">
        <v>596.061375869581</v>
      </c>
      <c r="BF64" s="138">
        <v>424.310946021105</v>
      </c>
      <c r="BG64" s="138">
        <v>84.2734482121576</v>
      </c>
      <c r="BH64" s="138">
        <v>0</v>
      </c>
      <c r="BI64" s="138">
        <v>0</v>
      </c>
      <c r="BJ64" s="138">
        <v>0</v>
      </c>
      <c r="BK64" s="138">
        <v>0</v>
      </c>
      <c r="BL64" s="138">
        <v>0</v>
      </c>
      <c r="BM64" s="138">
        <v>0</v>
      </c>
      <c r="BN64" s="138">
        <v>0</v>
      </c>
      <c r="BO64" s="86">
        <v>1969.0278272355</v>
      </c>
      <c r="BP64" s="138">
        <v>0</v>
      </c>
      <c r="BQ64" s="138">
        <v>0</v>
      </c>
      <c r="BR64" s="138">
        <v>0</v>
      </c>
      <c r="BS64" s="138">
        <v>0</v>
      </c>
      <c r="BT64" s="138">
        <v>0</v>
      </c>
      <c r="BU64" s="138">
        <v>0</v>
      </c>
      <c r="BV64" s="138">
        <v>0</v>
      </c>
      <c r="BW64" s="138">
        <v>0</v>
      </c>
      <c r="BX64" s="138">
        <v>0</v>
      </c>
      <c r="BY64" s="138">
        <v>0</v>
      </c>
      <c r="BZ64" s="138">
        <v>0</v>
      </c>
      <c r="CA64" s="138">
        <v>0</v>
      </c>
      <c r="CB64" s="86">
        <v>0</v>
      </c>
      <c r="CC64" s="138">
        <v>0</v>
      </c>
      <c r="CD64" s="138">
        <v>0</v>
      </c>
      <c r="CE64" s="138">
        <v>0</v>
      </c>
      <c r="CF64" s="138">
        <v>0</v>
      </c>
      <c r="CG64" s="138">
        <v>0</v>
      </c>
      <c r="CH64" s="138">
        <v>0</v>
      </c>
      <c r="CI64" s="138">
        <v>0</v>
      </c>
      <c r="CJ64" s="138">
        <v>0</v>
      </c>
      <c r="CK64" s="138">
        <v>0</v>
      </c>
      <c r="CL64" s="138">
        <v>0</v>
      </c>
      <c r="CM64" s="138">
        <v>0</v>
      </c>
      <c r="CN64" s="138">
        <v>0</v>
      </c>
      <c r="CO64" s="86">
        <v>0</v>
      </c>
      <c r="CP64" s="138">
        <v>0</v>
      </c>
      <c r="CQ64" s="138">
        <v>0</v>
      </c>
      <c r="CR64" s="138">
        <v>0</v>
      </c>
      <c r="CS64" s="138">
        <v>0</v>
      </c>
      <c r="CT64" s="138">
        <v>0</v>
      </c>
      <c r="CU64" s="138">
        <v>0</v>
      </c>
      <c r="CV64" s="138">
        <v>0</v>
      </c>
      <c r="CW64" s="138">
        <v>0</v>
      </c>
      <c r="CX64" s="138">
        <v>0</v>
      </c>
      <c r="CY64" s="138">
        <v>0</v>
      </c>
      <c r="CZ64" s="138">
        <v>0</v>
      </c>
      <c r="DA64" s="138">
        <v>0</v>
      </c>
      <c r="DB64" s="86">
        <v>0</v>
      </c>
      <c r="DC64" s="138">
        <v>96.4444429016033</v>
      </c>
      <c r="DD64" s="138">
        <v>0</v>
      </c>
      <c r="DE64" s="138">
        <v>0</v>
      </c>
      <c r="DF64" s="138">
        <v>91.5964809849642</v>
      </c>
      <c r="DG64" s="138">
        <v>93.1486088109049</v>
      </c>
      <c r="DH64" s="138">
        <v>0</v>
      </c>
      <c r="DI64" s="138">
        <v>0</v>
      </c>
      <c r="DJ64" s="138">
        <v>0</v>
      </c>
      <c r="DK64" s="138">
        <v>0</v>
      </c>
      <c r="DL64" s="138">
        <v>0</v>
      </c>
      <c r="DM64" s="138">
        <v>0</v>
      </c>
      <c r="DN64" s="138">
        <v>0</v>
      </c>
      <c r="DO64" s="86">
        <v>281.189532697472</v>
      </c>
      <c r="DP64" s="138">
        <v>960.223333752142</v>
      </c>
      <c r="DQ64" s="138">
        <v>107.399662839697</v>
      </c>
      <c r="DR64" s="138">
        <v>104.197268465976</v>
      </c>
      <c r="DS64" s="138">
        <v>0</v>
      </c>
      <c r="DT64" s="138">
        <v>0</v>
      </c>
      <c r="DU64" s="138">
        <v>0</v>
      </c>
      <c r="DV64" s="138">
        <v>0</v>
      </c>
      <c r="DW64" s="138">
        <v>0</v>
      </c>
      <c r="DX64" s="138">
        <v>0</v>
      </c>
      <c r="DY64" s="138">
        <v>0</v>
      </c>
      <c r="DZ64" s="138">
        <v>0</v>
      </c>
      <c r="EA64" s="138">
        <v>0</v>
      </c>
      <c r="EB64" s="85">
        <v>1171.82026505781</v>
      </c>
      <c r="EC64" s="87">
        <v>0</v>
      </c>
      <c r="ED64" s="85">
        <v>0</v>
      </c>
      <c r="EE64" s="85">
        <v>0</v>
      </c>
      <c r="EF64" s="85">
        <v>0</v>
      </c>
      <c r="EG64" s="85">
        <v>0</v>
      </c>
      <c r="EH64" s="85">
        <v>0</v>
      </c>
      <c r="EI64" s="85">
        <v>0</v>
      </c>
      <c r="EJ64" s="85">
        <v>0</v>
      </c>
      <c r="EK64" s="85">
        <v>0</v>
      </c>
      <c r="EL64" s="85">
        <v>0</v>
      </c>
      <c r="EM64" s="85">
        <v>0</v>
      </c>
      <c r="EN64" s="85">
        <v>0</v>
      </c>
      <c r="EO64" s="152">
        <v>0</v>
      </c>
      <c r="EP64" s="85">
        <v>0</v>
      </c>
      <c r="EQ64" s="85">
        <v>0</v>
      </c>
      <c r="ER64" s="85">
        <v>0</v>
      </c>
      <c r="ES64" s="85">
        <v>0</v>
      </c>
      <c r="ET64" s="85">
        <v>0</v>
      </c>
      <c r="EU64" s="85">
        <v>0</v>
      </c>
      <c r="EV64" s="85">
        <v>0</v>
      </c>
      <c r="EW64" s="85">
        <v>0</v>
      </c>
      <c r="EX64" s="85">
        <v>0</v>
      </c>
      <c r="EY64" s="85">
        <v>0</v>
      </c>
      <c r="EZ64" s="85">
        <v>0</v>
      </c>
      <c r="FA64" s="85">
        <v>0</v>
      </c>
      <c r="FB64" s="85">
        <v>0</v>
      </c>
      <c r="FC64" s="87">
        <v>0</v>
      </c>
      <c r="FD64" s="85">
        <v>0</v>
      </c>
      <c r="FE64" s="85">
        <v>0</v>
      </c>
      <c r="FF64" s="85">
        <v>0</v>
      </c>
      <c r="FG64" s="85">
        <v>0</v>
      </c>
      <c r="FH64" s="85">
        <v>0</v>
      </c>
      <c r="FI64" s="85">
        <v>0</v>
      </c>
      <c r="FJ64" s="85">
        <v>0</v>
      </c>
      <c r="FK64" s="85">
        <v>0</v>
      </c>
      <c r="FL64" s="85">
        <v>0</v>
      </c>
      <c r="FM64" s="85">
        <v>0</v>
      </c>
      <c r="FN64" s="85">
        <v>0</v>
      </c>
      <c r="FO64" s="86">
        <v>0</v>
      </c>
      <c r="FP64" s="87">
        <v>68.334932281422</v>
      </c>
      <c r="FQ64" s="85">
        <v>59.7808911829769</v>
      </c>
      <c r="FR64" s="85">
        <v>71.9684849374997</v>
      </c>
      <c r="FS64" s="85">
        <v>65.7756630046883</v>
      </c>
      <c r="FT64" s="85">
        <v>72.0034973127266</v>
      </c>
      <c r="FU64" s="85">
        <v>0</v>
      </c>
      <c r="FV64" s="85">
        <v>0</v>
      </c>
      <c r="FW64" s="85">
        <v>0</v>
      </c>
      <c r="FX64" s="85">
        <v>0</v>
      </c>
      <c r="FY64" s="85">
        <v>0</v>
      </c>
      <c r="FZ64" s="85">
        <v>0</v>
      </c>
      <c r="GA64" s="85">
        <v>0</v>
      </c>
      <c r="GB64" s="152">
        <v>337.863468719314</v>
      </c>
      <c r="GD64" s="153"/>
    </row>
    <row r="65" spans="1:186">
      <c r="A65" s="137" t="s">
        <v>155</v>
      </c>
      <c r="B65" s="151">
        <v>367240.496440736</v>
      </c>
      <c r="C65" s="138">
        <f t="shared" si="11"/>
        <v>5608.5518634311</v>
      </c>
      <c r="D65" s="138">
        <f t="shared" si="0"/>
        <v>7261.06976237188</v>
      </c>
      <c r="E65" s="138">
        <f t="shared" si="1"/>
        <v>1752.73382626628</v>
      </c>
      <c r="F65" s="138">
        <f t="shared" si="2"/>
        <v>0</v>
      </c>
      <c r="G65" s="138">
        <f t="shared" si="3"/>
        <v>0</v>
      </c>
      <c r="H65" s="138">
        <f t="shared" si="4"/>
        <v>0</v>
      </c>
      <c r="I65" s="138">
        <f t="shared" si="5"/>
        <v>0</v>
      </c>
      <c r="J65" s="138">
        <f t="shared" si="6"/>
        <v>0</v>
      </c>
      <c r="K65" s="138">
        <f t="shared" si="7"/>
        <v>0</v>
      </c>
      <c r="L65" s="138">
        <f t="shared" si="8"/>
        <v>0</v>
      </c>
      <c r="M65" s="138">
        <f t="shared" si="9"/>
        <v>0</v>
      </c>
      <c r="N65" s="138">
        <f t="shared" si="10"/>
        <v>0</v>
      </c>
      <c r="O65" s="86">
        <f t="shared" si="12"/>
        <v>14622.3554520693</v>
      </c>
      <c r="P65" s="138">
        <v>0</v>
      </c>
      <c r="Q65" s="138">
        <v>0</v>
      </c>
      <c r="R65" s="138">
        <v>0</v>
      </c>
      <c r="S65" s="138">
        <v>0</v>
      </c>
      <c r="T65" s="138">
        <v>0</v>
      </c>
      <c r="U65" s="138">
        <v>0</v>
      </c>
      <c r="V65" s="138">
        <v>0</v>
      </c>
      <c r="W65" s="138">
        <v>0</v>
      </c>
      <c r="X65" s="138">
        <v>0</v>
      </c>
      <c r="Y65" s="138">
        <v>0</v>
      </c>
      <c r="Z65" s="138">
        <v>0</v>
      </c>
      <c r="AA65" s="138">
        <v>0</v>
      </c>
      <c r="AB65" s="86">
        <v>0</v>
      </c>
      <c r="AC65" s="138">
        <v>0</v>
      </c>
      <c r="AD65" s="138">
        <v>0</v>
      </c>
      <c r="AE65" s="138">
        <v>0</v>
      </c>
      <c r="AF65" s="138">
        <v>0</v>
      </c>
      <c r="AG65" s="138">
        <v>0</v>
      </c>
      <c r="AH65" s="138">
        <v>0</v>
      </c>
      <c r="AI65" s="138">
        <v>0</v>
      </c>
      <c r="AJ65" s="138">
        <v>0</v>
      </c>
      <c r="AK65" s="138">
        <v>0</v>
      </c>
      <c r="AL65" s="138">
        <v>0</v>
      </c>
      <c r="AM65" s="138">
        <v>0</v>
      </c>
      <c r="AN65" s="138">
        <v>0</v>
      </c>
      <c r="AO65" s="86">
        <v>0</v>
      </c>
      <c r="AP65" s="138">
        <v>0</v>
      </c>
      <c r="AQ65" s="138">
        <v>0</v>
      </c>
      <c r="AR65" s="138">
        <v>0</v>
      </c>
      <c r="AS65" s="138">
        <v>0</v>
      </c>
      <c r="AT65" s="138">
        <v>0</v>
      </c>
      <c r="AU65" s="138">
        <v>0</v>
      </c>
      <c r="AV65" s="138">
        <v>0</v>
      </c>
      <c r="AW65" s="138">
        <v>0</v>
      </c>
      <c r="AX65" s="138">
        <v>0</v>
      </c>
      <c r="AY65" s="138">
        <v>0</v>
      </c>
      <c r="AZ65" s="138">
        <v>0</v>
      </c>
      <c r="BA65" s="138">
        <v>0</v>
      </c>
      <c r="BB65" s="86">
        <v>0</v>
      </c>
      <c r="BC65" s="138">
        <v>0</v>
      </c>
      <c r="BD65" s="138">
        <v>0</v>
      </c>
      <c r="BE65" s="138">
        <v>0</v>
      </c>
      <c r="BF65" s="138">
        <v>0</v>
      </c>
      <c r="BG65" s="138">
        <v>0</v>
      </c>
      <c r="BH65" s="138">
        <v>0</v>
      </c>
      <c r="BI65" s="138">
        <v>0</v>
      </c>
      <c r="BJ65" s="138">
        <v>0</v>
      </c>
      <c r="BK65" s="138">
        <v>0</v>
      </c>
      <c r="BL65" s="138">
        <v>0</v>
      </c>
      <c r="BM65" s="138">
        <v>0</v>
      </c>
      <c r="BN65" s="138">
        <v>0</v>
      </c>
      <c r="BO65" s="86">
        <v>0</v>
      </c>
      <c r="BP65" s="138">
        <v>5608.5518634311</v>
      </c>
      <c r="BQ65" s="138">
        <v>7261.06976237188</v>
      </c>
      <c r="BR65" s="138">
        <v>1752.73382626628</v>
      </c>
      <c r="BS65" s="138">
        <v>0</v>
      </c>
      <c r="BT65" s="138">
        <v>0</v>
      </c>
      <c r="BU65" s="138">
        <v>0</v>
      </c>
      <c r="BV65" s="138">
        <v>0</v>
      </c>
      <c r="BW65" s="138">
        <v>0</v>
      </c>
      <c r="BX65" s="138">
        <v>0</v>
      </c>
      <c r="BY65" s="138">
        <v>0</v>
      </c>
      <c r="BZ65" s="138">
        <v>0</v>
      </c>
      <c r="CA65" s="138">
        <v>0</v>
      </c>
      <c r="CB65" s="86">
        <v>14622.3554520693</v>
      </c>
      <c r="CC65" s="138">
        <v>0</v>
      </c>
      <c r="CD65" s="138">
        <v>0</v>
      </c>
      <c r="CE65" s="138">
        <v>0</v>
      </c>
      <c r="CF65" s="138">
        <v>0</v>
      </c>
      <c r="CG65" s="138">
        <v>0</v>
      </c>
      <c r="CH65" s="138">
        <v>0</v>
      </c>
      <c r="CI65" s="138">
        <v>0</v>
      </c>
      <c r="CJ65" s="138">
        <v>0</v>
      </c>
      <c r="CK65" s="138">
        <v>0</v>
      </c>
      <c r="CL65" s="138">
        <v>0</v>
      </c>
      <c r="CM65" s="138">
        <v>0</v>
      </c>
      <c r="CN65" s="138">
        <v>0</v>
      </c>
      <c r="CO65" s="86">
        <v>0</v>
      </c>
      <c r="CP65" s="138">
        <v>0</v>
      </c>
      <c r="CQ65" s="138">
        <v>0</v>
      </c>
      <c r="CR65" s="138">
        <v>0</v>
      </c>
      <c r="CS65" s="138">
        <v>0</v>
      </c>
      <c r="CT65" s="138">
        <v>0</v>
      </c>
      <c r="CU65" s="138">
        <v>0</v>
      </c>
      <c r="CV65" s="138">
        <v>0</v>
      </c>
      <c r="CW65" s="138">
        <v>0</v>
      </c>
      <c r="CX65" s="138">
        <v>0</v>
      </c>
      <c r="CY65" s="138">
        <v>0</v>
      </c>
      <c r="CZ65" s="138">
        <v>0</v>
      </c>
      <c r="DA65" s="138">
        <v>0</v>
      </c>
      <c r="DB65" s="86">
        <v>0</v>
      </c>
      <c r="DC65" s="138">
        <v>0</v>
      </c>
      <c r="DD65" s="138">
        <v>0</v>
      </c>
      <c r="DE65" s="138">
        <v>0</v>
      </c>
      <c r="DF65" s="138">
        <v>0</v>
      </c>
      <c r="DG65" s="138">
        <v>0</v>
      </c>
      <c r="DH65" s="138">
        <v>0</v>
      </c>
      <c r="DI65" s="138">
        <v>0</v>
      </c>
      <c r="DJ65" s="138">
        <v>0</v>
      </c>
      <c r="DK65" s="138">
        <v>0</v>
      </c>
      <c r="DL65" s="138">
        <v>0</v>
      </c>
      <c r="DM65" s="138">
        <v>0</v>
      </c>
      <c r="DN65" s="138">
        <v>0</v>
      </c>
      <c r="DO65" s="86">
        <v>0</v>
      </c>
      <c r="DP65" s="138">
        <v>0</v>
      </c>
      <c r="DQ65" s="138">
        <v>0</v>
      </c>
      <c r="DR65" s="138">
        <v>0</v>
      </c>
      <c r="DS65" s="138">
        <v>0</v>
      </c>
      <c r="DT65" s="138">
        <v>0</v>
      </c>
      <c r="DU65" s="138">
        <v>0</v>
      </c>
      <c r="DV65" s="138">
        <v>0</v>
      </c>
      <c r="DW65" s="138">
        <v>0</v>
      </c>
      <c r="DX65" s="138">
        <v>0</v>
      </c>
      <c r="DY65" s="138">
        <v>0</v>
      </c>
      <c r="DZ65" s="138">
        <v>0</v>
      </c>
      <c r="EA65" s="138">
        <v>0</v>
      </c>
      <c r="EB65" s="85">
        <v>0</v>
      </c>
      <c r="EC65" s="87">
        <v>0</v>
      </c>
      <c r="ED65" s="85">
        <v>0</v>
      </c>
      <c r="EE65" s="85">
        <v>0</v>
      </c>
      <c r="EF65" s="85">
        <v>0</v>
      </c>
      <c r="EG65" s="85">
        <v>0</v>
      </c>
      <c r="EH65" s="85">
        <v>0</v>
      </c>
      <c r="EI65" s="85">
        <v>0</v>
      </c>
      <c r="EJ65" s="85">
        <v>0</v>
      </c>
      <c r="EK65" s="85">
        <v>0</v>
      </c>
      <c r="EL65" s="85">
        <v>0</v>
      </c>
      <c r="EM65" s="85">
        <v>0</v>
      </c>
      <c r="EN65" s="85">
        <v>0</v>
      </c>
      <c r="EO65" s="152">
        <v>0</v>
      </c>
      <c r="EP65" s="85">
        <v>0</v>
      </c>
      <c r="EQ65" s="85">
        <v>0</v>
      </c>
      <c r="ER65" s="85">
        <v>0</v>
      </c>
      <c r="ES65" s="85">
        <v>0</v>
      </c>
      <c r="ET65" s="85">
        <v>0</v>
      </c>
      <c r="EU65" s="85">
        <v>0</v>
      </c>
      <c r="EV65" s="85">
        <v>0</v>
      </c>
      <c r="EW65" s="85">
        <v>0</v>
      </c>
      <c r="EX65" s="85">
        <v>0</v>
      </c>
      <c r="EY65" s="85">
        <v>0</v>
      </c>
      <c r="EZ65" s="85">
        <v>0</v>
      </c>
      <c r="FA65" s="85">
        <v>0</v>
      </c>
      <c r="FB65" s="85">
        <v>0</v>
      </c>
      <c r="FC65" s="87">
        <v>0</v>
      </c>
      <c r="FD65" s="85">
        <v>0</v>
      </c>
      <c r="FE65" s="85">
        <v>0</v>
      </c>
      <c r="FF65" s="85">
        <v>0</v>
      </c>
      <c r="FG65" s="85">
        <v>0</v>
      </c>
      <c r="FH65" s="85">
        <v>0</v>
      </c>
      <c r="FI65" s="85">
        <v>0</v>
      </c>
      <c r="FJ65" s="85">
        <v>0</v>
      </c>
      <c r="FK65" s="85">
        <v>0</v>
      </c>
      <c r="FL65" s="85">
        <v>0</v>
      </c>
      <c r="FM65" s="85">
        <v>0</v>
      </c>
      <c r="FN65" s="85">
        <v>0</v>
      </c>
      <c r="FO65" s="86">
        <v>0</v>
      </c>
      <c r="FP65" s="87">
        <v>0</v>
      </c>
      <c r="FQ65" s="85">
        <v>0</v>
      </c>
      <c r="FR65" s="85">
        <v>0</v>
      </c>
      <c r="FS65" s="85">
        <v>0</v>
      </c>
      <c r="FT65" s="85">
        <v>0</v>
      </c>
      <c r="FU65" s="85">
        <v>0</v>
      </c>
      <c r="FV65" s="85">
        <v>0</v>
      </c>
      <c r="FW65" s="85">
        <v>0</v>
      </c>
      <c r="FX65" s="85">
        <v>0</v>
      </c>
      <c r="FY65" s="85">
        <v>0</v>
      </c>
      <c r="FZ65" s="85">
        <v>0</v>
      </c>
      <c r="GA65" s="85">
        <v>0</v>
      </c>
      <c r="GB65" s="152">
        <v>0</v>
      </c>
      <c r="GD65" s="153"/>
    </row>
    <row r="66" spans="1:186">
      <c r="A66" s="137" t="s">
        <v>157</v>
      </c>
      <c r="B66" s="151">
        <v>247067.093248807</v>
      </c>
      <c r="C66" s="138">
        <f t="shared" si="11"/>
        <v>79.1242385415964</v>
      </c>
      <c r="D66" s="138">
        <f t="shared" si="0"/>
        <v>1623.97293378444</v>
      </c>
      <c r="E66" s="138">
        <f t="shared" si="1"/>
        <v>304.68144775622</v>
      </c>
      <c r="F66" s="138">
        <f t="shared" si="2"/>
        <v>63.7054721637009</v>
      </c>
      <c r="G66" s="138">
        <f t="shared" si="3"/>
        <v>0</v>
      </c>
      <c r="H66" s="138">
        <f t="shared" si="4"/>
        <v>0</v>
      </c>
      <c r="I66" s="138">
        <f t="shared" si="5"/>
        <v>0</v>
      </c>
      <c r="J66" s="138">
        <f t="shared" si="6"/>
        <v>0</v>
      </c>
      <c r="K66" s="138">
        <f t="shared" si="7"/>
        <v>0</v>
      </c>
      <c r="L66" s="138">
        <f t="shared" si="8"/>
        <v>0</v>
      </c>
      <c r="M66" s="138">
        <f t="shared" si="9"/>
        <v>0</v>
      </c>
      <c r="N66" s="138">
        <f t="shared" si="10"/>
        <v>0</v>
      </c>
      <c r="O66" s="86">
        <f t="shared" si="12"/>
        <v>2071.48409224595</v>
      </c>
      <c r="P66" s="138">
        <v>0</v>
      </c>
      <c r="Q66" s="138">
        <v>0</v>
      </c>
      <c r="R66" s="138">
        <v>0</v>
      </c>
      <c r="S66" s="138">
        <v>0</v>
      </c>
      <c r="T66" s="138">
        <v>0</v>
      </c>
      <c r="U66" s="138">
        <v>0</v>
      </c>
      <c r="V66" s="138">
        <v>0</v>
      </c>
      <c r="W66" s="138">
        <v>0</v>
      </c>
      <c r="X66" s="138">
        <v>0</v>
      </c>
      <c r="Y66" s="138">
        <v>0</v>
      </c>
      <c r="Z66" s="138">
        <v>0</v>
      </c>
      <c r="AA66" s="138">
        <v>0</v>
      </c>
      <c r="AB66" s="86">
        <v>0</v>
      </c>
      <c r="AC66" s="138">
        <v>0</v>
      </c>
      <c r="AD66" s="138">
        <v>0</v>
      </c>
      <c r="AE66" s="138">
        <v>0</v>
      </c>
      <c r="AF66" s="138">
        <v>0</v>
      </c>
      <c r="AG66" s="138">
        <v>0</v>
      </c>
      <c r="AH66" s="138">
        <v>0</v>
      </c>
      <c r="AI66" s="138">
        <v>0</v>
      </c>
      <c r="AJ66" s="138">
        <v>0</v>
      </c>
      <c r="AK66" s="138">
        <v>0</v>
      </c>
      <c r="AL66" s="138">
        <v>0</v>
      </c>
      <c r="AM66" s="138">
        <v>0</v>
      </c>
      <c r="AN66" s="138">
        <v>0</v>
      </c>
      <c r="AO66" s="86">
        <v>0</v>
      </c>
      <c r="AP66" s="138">
        <v>0</v>
      </c>
      <c r="AQ66" s="138">
        <v>0</v>
      </c>
      <c r="AR66" s="138">
        <v>0</v>
      </c>
      <c r="AS66" s="138">
        <v>0</v>
      </c>
      <c r="AT66" s="138">
        <v>0</v>
      </c>
      <c r="AU66" s="138">
        <v>0</v>
      </c>
      <c r="AV66" s="138">
        <v>0</v>
      </c>
      <c r="AW66" s="138">
        <v>0</v>
      </c>
      <c r="AX66" s="138">
        <v>0</v>
      </c>
      <c r="AY66" s="138">
        <v>0</v>
      </c>
      <c r="AZ66" s="138">
        <v>0</v>
      </c>
      <c r="BA66" s="138">
        <v>0</v>
      </c>
      <c r="BB66" s="86">
        <v>0</v>
      </c>
      <c r="BC66" s="138">
        <v>0</v>
      </c>
      <c r="BD66" s="138">
        <v>0</v>
      </c>
      <c r="BE66" s="138">
        <v>0</v>
      </c>
      <c r="BF66" s="138">
        <v>0</v>
      </c>
      <c r="BG66" s="138">
        <v>0</v>
      </c>
      <c r="BH66" s="138">
        <v>0</v>
      </c>
      <c r="BI66" s="138">
        <v>0</v>
      </c>
      <c r="BJ66" s="138">
        <v>0</v>
      </c>
      <c r="BK66" s="138">
        <v>0</v>
      </c>
      <c r="BL66" s="138">
        <v>0</v>
      </c>
      <c r="BM66" s="138">
        <v>0</v>
      </c>
      <c r="BN66" s="138">
        <v>0</v>
      </c>
      <c r="BO66" s="86">
        <v>0</v>
      </c>
      <c r="BP66" s="138">
        <v>0</v>
      </c>
      <c r="BQ66" s="138">
        <v>0</v>
      </c>
      <c r="BR66" s="138">
        <v>0</v>
      </c>
      <c r="BS66" s="138">
        <v>0</v>
      </c>
      <c r="BT66" s="138">
        <v>0</v>
      </c>
      <c r="BU66" s="138">
        <v>0</v>
      </c>
      <c r="BV66" s="138">
        <v>0</v>
      </c>
      <c r="BW66" s="138">
        <v>0</v>
      </c>
      <c r="BX66" s="138">
        <v>0</v>
      </c>
      <c r="BY66" s="138">
        <v>0</v>
      </c>
      <c r="BZ66" s="138">
        <v>0</v>
      </c>
      <c r="CA66" s="138">
        <v>0</v>
      </c>
      <c r="CB66" s="86">
        <v>0</v>
      </c>
      <c r="CC66" s="138">
        <v>0</v>
      </c>
      <c r="CD66" s="138">
        <v>0</v>
      </c>
      <c r="CE66" s="138">
        <v>0</v>
      </c>
      <c r="CF66" s="138">
        <v>0</v>
      </c>
      <c r="CG66" s="138">
        <v>0</v>
      </c>
      <c r="CH66" s="138">
        <v>0</v>
      </c>
      <c r="CI66" s="138">
        <v>0</v>
      </c>
      <c r="CJ66" s="138">
        <v>0</v>
      </c>
      <c r="CK66" s="138">
        <v>0</v>
      </c>
      <c r="CL66" s="138">
        <v>0</v>
      </c>
      <c r="CM66" s="138">
        <v>0</v>
      </c>
      <c r="CN66" s="138">
        <v>0</v>
      </c>
      <c r="CO66" s="86">
        <v>0</v>
      </c>
      <c r="CP66" s="138">
        <v>0</v>
      </c>
      <c r="CQ66" s="138">
        <v>0</v>
      </c>
      <c r="CR66" s="138">
        <v>0</v>
      </c>
      <c r="CS66" s="138">
        <v>0</v>
      </c>
      <c r="CT66" s="138">
        <v>0</v>
      </c>
      <c r="CU66" s="138">
        <v>0</v>
      </c>
      <c r="CV66" s="138">
        <v>0</v>
      </c>
      <c r="CW66" s="138">
        <v>0</v>
      </c>
      <c r="CX66" s="138">
        <v>0</v>
      </c>
      <c r="CY66" s="138">
        <v>0</v>
      </c>
      <c r="CZ66" s="138">
        <v>0</v>
      </c>
      <c r="DA66" s="138">
        <v>0</v>
      </c>
      <c r="DB66" s="86">
        <v>0</v>
      </c>
      <c r="DC66" s="138">
        <v>0</v>
      </c>
      <c r="DD66" s="138">
        <v>0</v>
      </c>
      <c r="DE66" s="138">
        <v>0</v>
      </c>
      <c r="DF66" s="138">
        <v>63.7054721637009</v>
      </c>
      <c r="DG66" s="138">
        <v>0</v>
      </c>
      <c r="DH66" s="138">
        <v>0</v>
      </c>
      <c r="DI66" s="138">
        <v>0</v>
      </c>
      <c r="DJ66" s="138">
        <v>0</v>
      </c>
      <c r="DK66" s="138">
        <v>0</v>
      </c>
      <c r="DL66" s="138">
        <v>0</v>
      </c>
      <c r="DM66" s="138">
        <v>0</v>
      </c>
      <c r="DN66" s="138">
        <v>0</v>
      </c>
      <c r="DO66" s="86">
        <v>63.7054721637009</v>
      </c>
      <c r="DP66" s="138">
        <v>0</v>
      </c>
      <c r="DQ66" s="138">
        <v>0</v>
      </c>
      <c r="DR66" s="138">
        <v>0</v>
      </c>
      <c r="DS66" s="138">
        <v>0</v>
      </c>
      <c r="DT66" s="138">
        <v>0</v>
      </c>
      <c r="DU66" s="138">
        <v>0</v>
      </c>
      <c r="DV66" s="138">
        <v>0</v>
      </c>
      <c r="DW66" s="138">
        <v>0</v>
      </c>
      <c r="DX66" s="138">
        <v>0</v>
      </c>
      <c r="DY66" s="138">
        <v>0</v>
      </c>
      <c r="DZ66" s="138">
        <v>0</v>
      </c>
      <c r="EA66" s="138">
        <v>0</v>
      </c>
      <c r="EB66" s="85">
        <v>0</v>
      </c>
      <c r="EC66" s="87">
        <v>0</v>
      </c>
      <c r="ED66" s="85">
        <v>0</v>
      </c>
      <c r="EE66" s="85">
        <v>0</v>
      </c>
      <c r="EF66" s="85">
        <v>0</v>
      </c>
      <c r="EG66" s="85">
        <v>0</v>
      </c>
      <c r="EH66" s="85">
        <v>0</v>
      </c>
      <c r="EI66" s="85">
        <v>0</v>
      </c>
      <c r="EJ66" s="85">
        <v>0</v>
      </c>
      <c r="EK66" s="85">
        <v>0</v>
      </c>
      <c r="EL66" s="85">
        <v>0</v>
      </c>
      <c r="EM66" s="85">
        <v>0</v>
      </c>
      <c r="EN66" s="85">
        <v>0</v>
      </c>
      <c r="EO66" s="152">
        <v>0</v>
      </c>
      <c r="EP66" s="85">
        <v>0</v>
      </c>
      <c r="EQ66" s="85">
        <v>0</v>
      </c>
      <c r="ER66" s="85">
        <v>0</v>
      </c>
      <c r="ES66" s="85">
        <v>0</v>
      </c>
      <c r="ET66" s="85">
        <v>0</v>
      </c>
      <c r="EU66" s="85">
        <v>0</v>
      </c>
      <c r="EV66" s="85">
        <v>0</v>
      </c>
      <c r="EW66" s="85">
        <v>0</v>
      </c>
      <c r="EX66" s="85">
        <v>0</v>
      </c>
      <c r="EY66" s="85">
        <v>0</v>
      </c>
      <c r="EZ66" s="85">
        <v>0</v>
      </c>
      <c r="FA66" s="85">
        <v>0</v>
      </c>
      <c r="FB66" s="85">
        <v>0</v>
      </c>
      <c r="FC66" s="87">
        <v>0</v>
      </c>
      <c r="FD66" s="85">
        <v>0</v>
      </c>
      <c r="FE66" s="85">
        <v>0</v>
      </c>
      <c r="FF66" s="85">
        <v>0</v>
      </c>
      <c r="FG66" s="85">
        <v>0</v>
      </c>
      <c r="FH66" s="85">
        <v>0</v>
      </c>
      <c r="FI66" s="85">
        <v>0</v>
      </c>
      <c r="FJ66" s="85">
        <v>0</v>
      </c>
      <c r="FK66" s="85">
        <v>0</v>
      </c>
      <c r="FL66" s="85">
        <v>0</v>
      </c>
      <c r="FM66" s="85">
        <v>0</v>
      </c>
      <c r="FN66" s="85">
        <v>0</v>
      </c>
      <c r="FO66" s="86">
        <v>0</v>
      </c>
      <c r="FP66" s="87">
        <v>79.1242385415964</v>
      </c>
      <c r="FQ66" s="85">
        <v>1623.97293378444</v>
      </c>
      <c r="FR66" s="85">
        <v>304.68144775622</v>
      </c>
      <c r="FS66" s="85">
        <v>0</v>
      </c>
      <c r="FT66" s="85">
        <v>0</v>
      </c>
      <c r="FU66" s="85">
        <v>0</v>
      </c>
      <c r="FV66" s="85">
        <v>0</v>
      </c>
      <c r="FW66" s="85">
        <v>0</v>
      </c>
      <c r="FX66" s="85">
        <v>0</v>
      </c>
      <c r="FY66" s="85">
        <v>0</v>
      </c>
      <c r="FZ66" s="85">
        <v>0</v>
      </c>
      <c r="GA66" s="85">
        <v>0</v>
      </c>
      <c r="GB66" s="152">
        <v>2007.77862008225</v>
      </c>
      <c r="GD66" s="153"/>
    </row>
    <row r="67" spans="1:186">
      <c r="A67" s="137" t="s">
        <v>159</v>
      </c>
      <c r="B67" s="151">
        <v>243590.466466253</v>
      </c>
      <c r="C67" s="138">
        <f t="shared" si="11"/>
        <v>602.480623103783</v>
      </c>
      <c r="D67" s="138">
        <f t="shared" ref="D67:D130" si="13">Q67+AD67+AQ67+BD67+BQ67+CD67+CQ67+DD67+DQ67+ED67+EQ67+FQ67+FD67</f>
        <v>164.519087012441</v>
      </c>
      <c r="E67" s="138">
        <f t="shared" ref="E67:E130" si="14">R67+AE67+AR67+BE67+BR67+CE67+CR67+DE67+DR67+EE67+ER67+FR67+FE67</f>
        <v>502.335024810003</v>
      </c>
      <c r="F67" s="138">
        <f t="shared" ref="F67:F130" si="15">S67+AF67+AS67+BF67+BS67+CF67+CS67+DF67+DS67+EF67+ES67+FS67+FF67</f>
        <v>159.287186856799</v>
      </c>
      <c r="G67" s="138">
        <f t="shared" ref="G67:G130" si="16">T67+AG67+AT67+BG67+BT67+CG67+CT67+DG67+DT67+EG67+ET67+FT67+FG67</f>
        <v>242.982674696414</v>
      </c>
      <c r="H67" s="138">
        <f t="shared" ref="H67:H130" si="17">U67+AH67+AU67+BH67+BU67+CH67+CU67+DH67+DU67+EH67+EU67+FU67+FH67</f>
        <v>0</v>
      </c>
      <c r="I67" s="138">
        <f t="shared" ref="I67:I130" si="18">V67+AI67+AV67+BI67+BV67+CI67+CV67+DI67+DV67+EI67+EV67+FV67+FI67</f>
        <v>0</v>
      </c>
      <c r="J67" s="138">
        <f t="shared" ref="J67:J130" si="19">W67+AJ67+AW67+BJ67+BW67+CJ67+CW67+DJ67+DW67+EJ67+EW67+FW67+FJ67</f>
        <v>0</v>
      </c>
      <c r="K67" s="138">
        <f t="shared" ref="K67:K130" si="20">X67+AK67+AX67+BK67+BX67+CK67+CX67+DK67+DX67+EK67+EX67+FX67+FK67</f>
        <v>0</v>
      </c>
      <c r="L67" s="138">
        <f t="shared" ref="L67:L130" si="21">Y67+AL67+AY67+BL67+BY67+CL67+CY67+DL67+DY67+EL67+EY67+FY67+FL67</f>
        <v>0</v>
      </c>
      <c r="M67" s="138">
        <f t="shared" ref="M67:M130" si="22">Z67+AM67+AZ67+BM67+BZ67+CM67+CZ67+DM67+DZ67+EM67+EZ67+FZ67+FM67</f>
        <v>0</v>
      </c>
      <c r="N67" s="138">
        <f t="shared" ref="N67:N130" si="23">AA67+AN67+BA67+BN67+CA67+CN67+DA67+DN67+EA67+EN67+FA67+GA67+FN67</f>
        <v>0</v>
      </c>
      <c r="O67" s="86">
        <f t="shared" si="12"/>
        <v>1671.60459647944</v>
      </c>
      <c r="P67" s="138">
        <v>267.044305077888</v>
      </c>
      <c r="Q67" s="138">
        <v>0</v>
      </c>
      <c r="R67" s="138">
        <v>0</v>
      </c>
      <c r="S67" s="138">
        <v>0</v>
      </c>
      <c r="T67" s="138">
        <v>0</v>
      </c>
      <c r="U67" s="138">
        <v>0</v>
      </c>
      <c r="V67" s="138">
        <v>0</v>
      </c>
      <c r="W67" s="138">
        <v>0</v>
      </c>
      <c r="X67" s="138">
        <v>0</v>
      </c>
      <c r="Y67" s="138">
        <v>0</v>
      </c>
      <c r="Z67" s="138">
        <v>0</v>
      </c>
      <c r="AA67" s="138">
        <v>0</v>
      </c>
      <c r="AB67" s="86">
        <v>267.044305077888</v>
      </c>
      <c r="AC67" s="138">
        <v>0</v>
      </c>
      <c r="AD67" s="138">
        <v>0</v>
      </c>
      <c r="AE67" s="138">
        <v>0</v>
      </c>
      <c r="AF67" s="138">
        <v>0</v>
      </c>
      <c r="AG67" s="138">
        <v>0</v>
      </c>
      <c r="AH67" s="138">
        <v>0</v>
      </c>
      <c r="AI67" s="138">
        <v>0</v>
      </c>
      <c r="AJ67" s="138">
        <v>0</v>
      </c>
      <c r="AK67" s="138">
        <v>0</v>
      </c>
      <c r="AL67" s="138">
        <v>0</v>
      </c>
      <c r="AM67" s="138">
        <v>0</v>
      </c>
      <c r="AN67" s="138">
        <v>0</v>
      </c>
      <c r="AO67" s="86">
        <v>0</v>
      </c>
      <c r="AP67" s="138">
        <v>0</v>
      </c>
      <c r="AQ67" s="138">
        <v>0</v>
      </c>
      <c r="AR67" s="138">
        <v>0</v>
      </c>
      <c r="AS67" s="138">
        <v>0</v>
      </c>
      <c r="AT67" s="138">
        <v>0</v>
      </c>
      <c r="AU67" s="138">
        <v>0</v>
      </c>
      <c r="AV67" s="138">
        <v>0</v>
      </c>
      <c r="AW67" s="138">
        <v>0</v>
      </c>
      <c r="AX67" s="138">
        <v>0</v>
      </c>
      <c r="AY67" s="138">
        <v>0</v>
      </c>
      <c r="AZ67" s="138">
        <v>0</v>
      </c>
      <c r="BA67" s="138">
        <v>0</v>
      </c>
      <c r="BB67" s="86">
        <v>0</v>
      </c>
      <c r="BC67" s="138">
        <v>0</v>
      </c>
      <c r="BD67" s="138">
        <v>0</v>
      </c>
      <c r="BE67" s="138">
        <v>0</v>
      </c>
      <c r="BF67" s="138">
        <v>0</v>
      </c>
      <c r="BG67" s="138">
        <v>0</v>
      </c>
      <c r="BH67" s="138">
        <v>0</v>
      </c>
      <c r="BI67" s="138">
        <v>0</v>
      </c>
      <c r="BJ67" s="138">
        <v>0</v>
      </c>
      <c r="BK67" s="138">
        <v>0</v>
      </c>
      <c r="BL67" s="138">
        <v>0</v>
      </c>
      <c r="BM67" s="138">
        <v>0</v>
      </c>
      <c r="BN67" s="138">
        <v>0</v>
      </c>
      <c r="BO67" s="86">
        <v>0</v>
      </c>
      <c r="BP67" s="138">
        <v>0</v>
      </c>
      <c r="BQ67" s="138">
        <v>0</v>
      </c>
      <c r="BR67" s="138">
        <v>0</v>
      </c>
      <c r="BS67" s="138">
        <v>0</v>
      </c>
      <c r="BT67" s="138">
        <v>0</v>
      </c>
      <c r="BU67" s="138">
        <v>0</v>
      </c>
      <c r="BV67" s="138">
        <v>0</v>
      </c>
      <c r="BW67" s="138">
        <v>0</v>
      </c>
      <c r="BX67" s="138">
        <v>0</v>
      </c>
      <c r="BY67" s="138">
        <v>0</v>
      </c>
      <c r="BZ67" s="138">
        <v>0</v>
      </c>
      <c r="CA67" s="138">
        <v>0</v>
      </c>
      <c r="CB67" s="86">
        <v>0</v>
      </c>
      <c r="CC67" s="138">
        <v>0</v>
      </c>
      <c r="CD67" s="138">
        <v>0</v>
      </c>
      <c r="CE67" s="138">
        <v>0</v>
      </c>
      <c r="CF67" s="138">
        <v>0</v>
      </c>
      <c r="CG67" s="138">
        <v>0</v>
      </c>
      <c r="CH67" s="138">
        <v>0</v>
      </c>
      <c r="CI67" s="138">
        <v>0</v>
      </c>
      <c r="CJ67" s="138">
        <v>0</v>
      </c>
      <c r="CK67" s="138">
        <v>0</v>
      </c>
      <c r="CL67" s="138">
        <v>0</v>
      </c>
      <c r="CM67" s="138">
        <v>0</v>
      </c>
      <c r="CN67" s="138">
        <v>0</v>
      </c>
      <c r="CO67" s="86">
        <v>0</v>
      </c>
      <c r="CP67" s="138">
        <v>0</v>
      </c>
      <c r="CQ67" s="138">
        <v>0</v>
      </c>
      <c r="CR67" s="138">
        <v>0</v>
      </c>
      <c r="CS67" s="138">
        <v>0</v>
      </c>
      <c r="CT67" s="138">
        <v>0</v>
      </c>
      <c r="CU67" s="138">
        <v>0</v>
      </c>
      <c r="CV67" s="138">
        <v>0</v>
      </c>
      <c r="CW67" s="138">
        <v>0</v>
      </c>
      <c r="CX67" s="138">
        <v>0</v>
      </c>
      <c r="CY67" s="138">
        <v>0</v>
      </c>
      <c r="CZ67" s="138">
        <v>0</v>
      </c>
      <c r="DA67" s="138">
        <v>0</v>
      </c>
      <c r="DB67" s="86">
        <v>0</v>
      </c>
      <c r="DC67" s="138">
        <v>335.436318025895</v>
      </c>
      <c r="DD67" s="138">
        <v>164.519087012441</v>
      </c>
      <c r="DE67" s="138">
        <v>237.100235429628</v>
      </c>
      <c r="DF67" s="138">
        <v>159.287186856799</v>
      </c>
      <c r="DG67" s="138">
        <v>242.982674696414</v>
      </c>
      <c r="DH67" s="138">
        <v>0</v>
      </c>
      <c r="DI67" s="138">
        <v>0</v>
      </c>
      <c r="DJ67" s="138">
        <v>0</v>
      </c>
      <c r="DK67" s="138">
        <v>0</v>
      </c>
      <c r="DL67" s="138">
        <v>0</v>
      </c>
      <c r="DM67" s="138">
        <v>0</v>
      </c>
      <c r="DN67" s="138">
        <v>0</v>
      </c>
      <c r="DO67" s="86">
        <v>1139.32550202118</v>
      </c>
      <c r="DP67" s="138">
        <v>0</v>
      </c>
      <c r="DQ67" s="138">
        <v>0</v>
      </c>
      <c r="DR67" s="138">
        <v>265.234789380376</v>
      </c>
      <c r="DS67" s="138">
        <v>0</v>
      </c>
      <c r="DT67" s="138">
        <v>0</v>
      </c>
      <c r="DU67" s="138">
        <v>0</v>
      </c>
      <c r="DV67" s="138">
        <v>0</v>
      </c>
      <c r="DW67" s="138">
        <v>0</v>
      </c>
      <c r="DX67" s="138">
        <v>0</v>
      </c>
      <c r="DY67" s="138">
        <v>0</v>
      </c>
      <c r="DZ67" s="138">
        <v>0</v>
      </c>
      <c r="EA67" s="138">
        <v>0</v>
      </c>
      <c r="EB67" s="85">
        <v>265.234789380376</v>
      </c>
      <c r="EC67" s="87">
        <v>0</v>
      </c>
      <c r="ED67" s="85">
        <v>0</v>
      </c>
      <c r="EE67" s="85">
        <v>0</v>
      </c>
      <c r="EF67" s="85">
        <v>0</v>
      </c>
      <c r="EG67" s="85">
        <v>0</v>
      </c>
      <c r="EH67" s="85">
        <v>0</v>
      </c>
      <c r="EI67" s="85">
        <v>0</v>
      </c>
      <c r="EJ67" s="85">
        <v>0</v>
      </c>
      <c r="EK67" s="85">
        <v>0</v>
      </c>
      <c r="EL67" s="85">
        <v>0</v>
      </c>
      <c r="EM67" s="85">
        <v>0</v>
      </c>
      <c r="EN67" s="85">
        <v>0</v>
      </c>
      <c r="EO67" s="152">
        <v>0</v>
      </c>
      <c r="EP67" s="85">
        <v>0</v>
      </c>
      <c r="EQ67" s="85">
        <v>0</v>
      </c>
      <c r="ER67" s="85">
        <v>0</v>
      </c>
      <c r="ES67" s="85">
        <v>0</v>
      </c>
      <c r="ET67" s="85">
        <v>0</v>
      </c>
      <c r="EU67" s="85">
        <v>0</v>
      </c>
      <c r="EV67" s="85">
        <v>0</v>
      </c>
      <c r="EW67" s="85">
        <v>0</v>
      </c>
      <c r="EX67" s="85">
        <v>0</v>
      </c>
      <c r="EY67" s="85">
        <v>0</v>
      </c>
      <c r="EZ67" s="85">
        <v>0</v>
      </c>
      <c r="FA67" s="85">
        <v>0</v>
      </c>
      <c r="FB67" s="85">
        <v>0</v>
      </c>
      <c r="FC67" s="87">
        <v>0</v>
      </c>
      <c r="FD67" s="85">
        <v>0</v>
      </c>
      <c r="FE67" s="85">
        <v>0</v>
      </c>
      <c r="FF67" s="85">
        <v>0</v>
      </c>
      <c r="FG67" s="85">
        <v>0</v>
      </c>
      <c r="FH67" s="85">
        <v>0</v>
      </c>
      <c r="FI67" s="85">
        <v>0</v>
      </c>
      <c r="FJ67" s="85">
        <v>0</v>
      </c>
      <c r="FK67" s="85">
        <v>0</v>
      </c>
      <c r="FL67" s="85">
        <v>0</v>
      </c>
      <c r="FM67" s="85">
        <v>0</v>
      </c>
      <c r="FN67" s="85">
        <v>0</v>
      </c>
      <c r="FO67" s="86">
        <v>0</v>
      </c>
      <c r="FP67" s="87">
        <v>0</v>
      </c>
      <c r="FQ67" s="85">
        <v>0</v>
      </c>
      <c r="FR67" s="85">
        <v>0</v>
      </c>
      <c r="FS67" s="85">
        <v>0</v>
      </c>
      <c r="FT67" s="85">
        <v>0</v>
      </c>
      <c r="FU67" s="85">
        <v>0</v>
      </c>
      <c r="FV67" s="85">
        <v>0</v>
      </c>
      <c r="FW67" s="85">
        <v>0</v>
      </c>
      <c r="FX67" s="85">
        <v>0</v>
      </c>
      <c r="FY67" s="85">
        <v>0</v>
      </c>
      <c r="FZ67" s="85">
        <v>0</v>
      </c>
      <c r="GA67" s="85">
        <v>0</v>
      </c>
      <c r="GB67" s="152">
        <v>0</v>
      </c>
      <c r="GD67" s="153"/>
    </row>
    <row r="68" spans="1:186">
      <c r="A68" s="137" t="s">
        <v>161</v>
      </c>
      <c r="B68" s="151">
        <v>233192.819205995</v>
      </c>
      <c r="C68" s="138">
        <f t="shared" ref="C68:C131" si="24">P68+AC68+AP68+BC68+BP68+CC68+CP68+DC68+DP68+EC68+EP68+FP68+FC68</f>
        <v>4626.18901831154</v>
      </c>
      <c r="D68" s="138">
        <f t="shared" si="13"/>
        <v>2948.820325253</v>
      </c>
      <c r="E68" s="138">
        <f t="shared" si="14"/>
        <v>2926.74968045295</v>
      </c>
      <c r="F68" s="138">
        <f t="shared" si="15"/>
        <v>7581.65208925232</v>
      </c>
      <c r="G68" s="138">
        <f t="shared" si="16"/>
        <v>2978.73349112937</v>
      </c>
      <c r="H68" s="138">
        <f t="shared" si="17"/>
        <v>0</v>
      </c>
      <c r="I68" s="138">
        <f t="shared" si="18"/>
        <v>0</v>
      </c>
      <c r="J68" s="138">
        <f t="shared" si="19"/>
        <v>0</v>
      </c>
      <c r="K68" s="138">
        <f t="shared" si="20"/>
        <v>0</v>
      </c>
      <c r="L68" s="138">
        <f t="shared" si="21"/>
        <v>0</v>
      </c>
      <c r="M68" s="138">
        <f t="shared" si="22"/>
        <v>0</v>
      </c>
      <c r="N68" s="138">
        <f t="shared" si="23"/>
        <v>0</v>
      </c>
      <c r="O68" s="86">
        <f t="shared" ref="O68:O131" si="25">SUM(C68:N68)</f>
        <v>21062.1446043992</v>
      </c>
      <c r="P68" s="138">
        <v>0</v>
      </c>
      <c r="Q68" s="138">
        <v>0</v>
      </c>
      <c r="R68" s="138">
        <v>0</v>
      </c>
      <c r="S68" s="138">
        <v>0</v>
      </c>
      <c r="T68" s="138">
        <v>0</v>
      </c>
      <c r="U68" s="138">
        <v>0</v>
      </c>
      <c r="V68" s="138">
        <v>0</v>
      </c>
      <c r="W68" s="138">
        <v>0</v>
      </c>
      <c r="X68" s="138">
        <v>0</v>
      </c>
      <c r="Y68" s="138">
        <v>0</v>
      </c>
      <c r="Z68" s="138">
        <v>0</v>
      </c>
      <c r="AA68" s="138">
        <v>0</v>
      </c>
      <c r="AB68" s="86">
        <v>0</v>
      </c>
      <c r="AC68" s="138">
        <v>0</v>
      </c>
      <c r="AD68" s="138">
        <v>0</v>
      </c>
      <c r="AE68" s="138">
        <v>0</v>
      </c>
      <c r="AF68" s="138">
        <v>0</v>
      </c>
      <c r="AG68" s="138">
        <v>0</v>
      </c>
      <c r="AH68" s="138">
        <v>0</v>
      </c>
      <c r="AI68" s="138">
        <v>0</v>
      </c>
      <c r="AJ68" s="138">
        <v>0</v>
      </c>
      <c r="AK68" s="138">
        <v>0</v>
      </c>
      <c r="AL68" s="138">
        <v>0</v>
      </c>
      <c r="AM68" s="138">
        <v>0</v>
      </c>
      <c r="AN68" s="138">
        <v>0</v>
      </c>
      <c r="AO68" s="86">
        <v>0</v>
      </c>
      <c r="AP68" s="138">
        <v>0</v>
      </c>
      <c r="AQ68" s="138">
        <v>0</v>
      </c>
      <c r="AR68" s="138">
        <v>0</v>
      </c>
      <c r="AS68" s="138">
        <v>0</v>
      </c>
      <c r="AT68" s="138">
        <v>0</v>
      </c>
      <c r="AU68" s="138">
        <v>0</v>
      </c>
      <c r="AV68" s="138">
        <v>0</v>
      </c>
      <c r="AW68" s="138">
        <v>0</v>
      </c>
      <c r="AX68" s="138">
        <v>0</v>
      </c>
      <c r="AY68" s="138">
        <v>0</v>
      </c>
      <c r="AZ68" s="138">
        <v>0</v>
      </c>
      <c r="BA68" s="138">
        <v>0</v>
      </c>
      <c r="BB68" s="86">
        <v>0</v>
      </c>
      <c r="BC68" s="138">
        <v>0</v>
      </c>
      <c r="BD68" s="138">
        <v>0</v>
      </c>
      <c r="BE68" s="138">
        <v>0</v>
      </c>
      <c r="BF68" s="138">
        <v>0</v>
      </c>
      <c r="BG68" s="138">
        <v>0</v>
      </c>
      <c r="BH68" s="138">
        <v>0</v>
      </c>
      <c r="BI68" s="138">
        <v>0</v>
      </c>
      <c r="BJ68" s="138">
        <v>0</v>
      </c>
      <c r="BK68" s="138">
        <v>0</v>
      </c>
      <c r="BL68" s="138">
        <v>0</v>
      </c>
      <c r="BM68" s="138">
        <v>0</v>
      </c>
      <c r="BN68" s="138">
        <v>0</v>
      </c>
      <c r="BO68" s="86">
        <v>0</v>
      </c>
      <c r="BP68" s="138">
        <v>0</v>
      </c>
      <c r="BQ68" s="138">
        <v>0</v>
      </c>
      <c r="BR68" s="138">
        <v>0</v>
      </c>
      <c r="BS68" s="138">
        <v>0</v>
      </c>
      <c r="BT68" s="138">
        <v>0</v>
      </c>
      <c r="BU68" s="138">
        <v>0</v>
      </c>
      <c r="BV68" s="138">
        <v>0</v>
      </c>
      <c r="BW68" s="138">
        <v>0</v>
      </c>
      <c r="BX68" s="138">
        <v>0</v>
      </c>
      <c r="BY68" s="138">
        <v>0</v>
      </c>
      <c r="BZ68" s="138">
        <v>0</v>
      </c>
      <c r="CA68" s="138">
        <v>0</v>
      </c>
      <c r="CB68" s="86">
        <v>0</v>
      </c>
      <c r="CC68" s="138">
        <v>2783.79821780141</v>
      </c>
      <c r="CD68" s="138">
        <v>2071.26721220792</v>
      </c>
      <c r="CE68" s="138">
        <v>2504.43547567902</v>
      </c>
      <c r="CF68" s="138">
        <v>2549.09100673413</v>
      </c>
      <c r="CG68" s="138">
        <v>1517.91127564448</v>
      </c>
      <c r="CH68" s="138">
        <v>0</v>
      </c>
      <c r="CI68" s="138">
        <v>0</v>
      </c>
      <c r="CJ68" s="138">
        <v>0</v>
      </c>
      <c r="CK68" s="138">
        <v>0</v>
      </c>
      <c r="CL68" s="138">
        <v>0</v>
      </c>
      <c r="CM68" s="138">
        <v>0</v>
      </c>
      <c r="CN68" s="138">
        <v>0</v>
      </c>
      <c r="CO68" s="86">
        <v>11426.503188067</v>
      </c>
      <c r="CP68" s="138">
        <v>0</v>
      </c>
      <c r="CQ68" s="138">
        <v>0</v>
      </c>
      <c r="CR68" s="138">
        <v>0</v>
      </c>
      <c r="CS68" s="138">
        <v>0</v>
      </c>
      <c r="CT68" s="138">
        <v>0</v>
      </c>
      <c r="CU68" s="138">
        <v>0</v>
      </c>
      <c r="CV68" s="138">
        <v>0</v>
      </c>
      <c r="CW68" s="138">
        <v>0</v>
      </c>
      <c r="CX68" s="138">
        <v>0</v>
      </c>
      <c r="CY68" s="138">
        <v>0</v>
      </c>
      <c r="CZ68" s="138">
        <v>0</v>
      </c>
      <c r="DA68" s="138">
        <v>0</v>
      </c>
      <c r="DB68" s="86">
        <v>0</v>
      </c>
      <c r="DC68" s="138">
        <v>1253.79499694731</v>
      </c>
      <c r="DD68" s="138">
        <v>378.424891033205</v>
      </c>
      <c r="DE68" s="138">
        <v>181.789536232621</v>
      </c>
      <c r="DF68" s="138">
        <v>1557.14110555084</v>
      </c>
      <c r="DG68" s="138">
        <v>465.754923602544</v>
      </c>
      <c r="DH68" s="138">
        <v>0</v>
      </c>
      <c r="DI68" s="138">
        <v>0</v>
      </c>
      <c r="DJ68" s="138">
        <v>0</v>
      </c>
      <c r="DK68" s="138">
        <v>0</v>
      </c>
      <c r="DL68" s="138">
        <v>0</v>
      </c>
      <c r="DM68" s="138">
        <v>0</v>
      </c>
      <c r="DN68" s="138">
        <v>0</v>
      </c>
      <c r="DO68" s="86">
        <v>3836.90545336652</v>
      </c>
      <c r="DP68" s="138">
        <v>0</v>
      </c>
      <c r="DQ68" s="138">
        <v>0</v>
      </c>
      <c r="DR68" s="138">
        <v>0</v>
      </c>
      <c r="DS68" s="138">
        <v>0</v>
      </c>
      <c r="DT68" s="138">
        <v>0</v>
      </c>
      <c r="DU68" s="138">
        <v>0</v>
      </c>
      <c r="DV68" s="138">
        <v>0</v>
      </c>
      <c r="DW68" s="138">
        <v>0</v>
      </c>
      <c r="DX68" s="138">
        <v>0</v>
      </c>
      <c r="DY68" s="138">
        <v>0</v>
      </c>
      <c r="DZ68" s="138">
        <v>0</v>
      </c>
      <c r="EA68" s="138">
        <v>0</v>
      </c>
      <c r="EB68" s="85">
        <v>0</v>
      </c>
      <c r="EC68" s="87">
        <v>0</v>
      </c>
      <c r="ED68" s="85">
        <v>0</v>
      </c>
      <c r="EE68" s="85">
        <v>0</v>
      </c>
      <c r="EF68" s="85">
        <v>0</v>
      </c>
      <c r="EG68" s="85">
        <v>0</v>
      </c>
      <c r="EH68" s="85">
        <v>0</v>
      </c>
      <c r="EI68" s="85">
        <v>0</v>
      </c>
      <c r="EJ68" s="85">
        <v>0</v>
      </c>
      <c r="EK68" s="85">
        <v>0</v>
      </c>
      <c r="EL68" s="85">
        <v>0</v>
      </c>
      <c r="EM68" s="85">
        <v>0</v>
      </c>
      <c r="EN68" s="85">
        <v>0</v>
      </c>
      <c r="EO68" s="152">
        <v>0</v>
      </c>
      <c r="EP68" s="85">
        <v>0</v>
      </c>
      <c r="EQ68" s="85">
        <v>0</v>
      </c>
      <c r="ER68" s="85">
        <v>0</v>
      </c>
      <c r="ES68" s="85">
        <v>0</v>
      </c>
      <c r="ET68" s="85">
        <v>0</v>
      </c>
      <c r="EU68" s="85">
        <v>0</v>
      </c>
      <c r="EV68" s="85">
        <v>0</v>
      </c>
      <c r="EW68" s="85">
        <v>0</v>
      </c>
      <c r="EX68" s="85">
        <v>0</v>
      </c>
      <c r="EY68" s="85">
        <v>0</v>
      </c>
      <c r="EZ68" s="85">
        <v>0</v>
      </c>
      <c r="FA68" s="85">
        <v>0</v>
      </c>
      <c r="FB68" s="85">
        <v>0</v>
      </c>
      <c r="FC68" s="87">
        <v>0</v>
      </c>
      <c r="FD68" s="85">
        <v>0</v>
      </c>
      <c r="FE68" s="85">
        <v>0</v>
      </c>
      <c r="FF68" s="85">
        <v>0</v>
      </c>
      <c r="FG68" s="85">
        <v>0</v>
      </c>
      <c r="FH68" s="85">
        <v>0</v>
      </c>
      <c r="FI68" s="85">
        <v>0</v>
      </c>
      <c r="FJ68" s="85">
        <v>0</v>
      </c>
      <c r="FK68" s="85">
        <v>0</v>
      </c>
      <c r="FL68" s="85">
        <v>0</v>
      </c>
      <c r="FM68" s="85">
        <v>0</v>
      </c>
      <c r="FN68" s="85">
        <v>0</v>
      </c>
      <c r="FO68" s="86">
        <v>0</v>
      </c>
      <c r="FP68" s="87">
        <v>588.595803562808</v>
      </c>
      <c r="FQ68" s="85">
        <v>499.12822201188</v>
      </c>
      <c r="FR68" s="85">
        <v>240.524668541305</v>
      </c>
      <c r="FS68" s="85">
        <v>3475.41997696735</v>
      </c>
      <c r="FT68" s="85">
        <v>995.067291882346</v>
      </c>
      <c r="FU68" s="85">
        <v>0</v>
      </c>
      <c r="FV68" s="85">
        <v>0</v>
      </c>
      <c r="FW68" s="85">
        <v>0</v>
      </c>
      <c r="FX68" s="85">
        <v>0</v>
      </c>
      <c r="FY68" s="85">
        <v>0</v>
      </c>
      <c r="FZ68" s="85">
        <v>0</v>
      </c>
      <c r="GA68" s="85">
        <v>0</v>
      </c>
      <c r="GB68" s="152">
        <v>5798.73596296569</v>
      </c>
      <c r="GD68" s="153"/>
    </row>
    <row r="69" spans="1:186">
      <c r="A69" s="137" t="s">
        <v>163</v>
      </c>
      <c r="B69" s="151">
        <v>209085.182931985</v>
      </c>
      <c r="C69" s="138">
        <f t="shared" si="24"/>
        <v>4777.19101049577</v>
      </c>
      <c r="D69" s="138">
        <f t="shared" si="13"/>
        <v>1929.9146124934</v>
      </c>
      <c r="E69" s="138">
        <f t="shared" si="14"/>
        <v>3750.1873445391</v>
      </c>
      <c r="F69" s="138">
        <f t="shared" si="15"/>
        <v>1598.25253019491</v>
      </c>
      <c r="G69" s="138">
        <f t="shared" si="16"/>
        <v>1734.44701950687</v>
      </c>
      <c r="H69" s="138">
        <f t="shared" si="17"/>
        <v>0</v>
      </c>
      <c r="I69" s="138">
        <f t="shared" si="18"/>
        <v>0</v>
      </c>
      <c r="J69" s="138">
        <f t="shared" si="19"/>
        <v>0</v>
      </c>
      <c r="K69" s="138">
        <f t="shared" si="20"/>
        <v>0</v>
      </c>
      <c r="L69" s="138">
        <f t="shared" si="21"/>
        <v>0</v>
      </c>
      <c r="M69" s="138">
        <f t="shared" si="22"/>
        <v>0</v>
      </c>
      <c r="N69" s="138">
        <f t="shared" si="23"/>
        <v>0</v>
      </c>
      <c r="O69" s="86">
        <f t="shared" si="25"/>
        <v>13789.99251723</v>
      </c>
      <c r="P69" s="138">
        <v>79.1242385415964</v>
      </c>
      <c r="Q69" s="138">
        <v>154.664088931851</v>
      </c>
      <c r="R69" s="138">
        <v>0</v>
      </c>
      <c r="S69" s="138">
        <v>0</v>
      </c>
      <c r="T69" s="138">
        <v>0</v>
      </c>
      <c r="U69" s="138">
        <v>0</v>
      </c>
      <c r="V69" s="138">
        <v>0</v>
      </c>
      <c r="W69" s="138">
        <v>0</v>
      </c>
      <c r="X69" s="138">
        <v>0</v>
      </c>
      <c r="Y69" s="138">
        <v>0</v>
      </c>
      <c r="Z69" s="138">
        <v>0</v>
      </c>
      <c r="AA69" s="138">
        <v>0</v>
      </c>
      <c r="AB69" s="86">
        <v>233.788327473448</v>
      </c>
      <c r="AC69" s="138">
        <v>0</v>
      </c>
      <c r="AD69" s="138">
        <v>0</v>
      </c>
      <c r="AE69" s="138">
        <v>0</v>
      </c>
      <c r="AF69" s="138">
        <v>0</v>
      </c>
      <c r="AG69" s="138">
        <v>0</v>
      </c>
      <c r="AH69" s="138">
        <v>0</v>
      </c>
      <c r="AI69" s="138">
        <v>0</v>
      </c>
      <c r="AJ69" s="138">
        <v>0</v>
      </c>
      <c r="AK69" s="138">
        <v>0</v>
      </c>
      <c r="AL69" s="138">
        <v>0</v>
      </c>
      <c r="AM69" s="138">
        <v>0</v>
      </c>
      <c r="AN69" s="138">
        <v>0</v>
      </c>
      <c r="AO69" s="86">
        <v>0</v>
      </c>
      <c r="AP69" s="138">
        <v>0</v>
      </c>
      <c r="AQ69" s="138">
        <v>0</v>
      </c>
      <c r="AR69" s="138">
        <v>0</v>
      </c>
      <c r="AS69" s="138">
        <v>0</v>
      </c>
      <c r="AT69" s="138">
        <v>0</v>
      </c>
      <c r="AU69" s="138">
        <v>0</v>
      </c>
      <c r="AV69" s="138">
        <v>0</v>
      </c>
      <c r="AW69" s="138">
        <v>0</v>
      </c>
      <c r="AX69" s="138">
        <v>0</v>
      </c>
      <c r="AY69" s="138">
        <v>0</v>
      </c>
      <c r="AZ69" s="138">
        <v>0</v>
      </c>
      <c r="BA69" s="138">
        <v>0</v>
      </c>
      <c r="BB69" s="86">
        <v>0</v>
      </c>
      <c r="BC69" s="138">
        <v>0</v>
      </c>
      <c r="BD69" s="138">
        <v>0</v>
      </c>
      <c r="BE69" s="138">
        <v>0</v>
      </c>
      <c r="BF69" s="138">
        <v>0</v>
      </c>
      <c r="BG69" s="138">
        <v>0</v>
      </c>
      <c r="BH69" s="138">
        <v>0</v>
      </c>
      <c r="BI69" s="138">
        <v>0</v>
      </c>
      <c r="BJ69" s="138">
        <v>0</v>
      </c>
      <c r="BK69" s="138">
        <v>0</v>
      </c>
      <c r="BL69" s="138">
        <v>0</v>
      </c>
      <c r="BM69" s="138">
        <v>0</v>
      </c>
      <c r="BN69" s="138">
        <v>0</v>
      </c>
      <c r="BO69" s="86">
        <v>0</v>
      </c>
      <c r="BP69" s="138">
        <v>1004.51713416196</v>
      </c>
      <c r="BQ69" s="138">
        <v>0</v>
      </c>
      <c r="BR69" s="138">
        <v>0</v>
      </c>
      <c r="BS69" s="138">
        <v>0</v>
      </c>
      <c r="BT69" s="138">
        <v>0</v>
      </c>
      <c r="BU69" s="138">
        <v>0</v>
      </c>
      <c r="BV69" s="138">
        <v>0</v>
      </c>
      <c r="BW69" s="138">
        <v>0</v>
      </c>
      <c r="BX69" s="138">
        <v>0</v>
      </c>
      <c r="BY69" s="138">
        <v>0</v>
      </c>
      <c r="BZ69" s="138">
        <v>0</v>
      </c>
      <c r="CA69" s="138">
        <v>0</v>
      </c>
      <c r="CB69" s="86">
        <v>1004.51713416196</v>
      </c>
      <c r="CC69" s="138">
        <v>3310.1232436778</v>
      </c>
      <c r="CD69" s="138">
        <v>1775.25052356155</v>
      </c>
      <c r="CE69" s="138">
        <v>3167.2324005802</v>
      </c>
      <c r="CF69" s="138">
        <v>1310.75572269898</v>
      </c>
      <c r="CG69" s="138">
        <v>1734.44701950687</v>
      </c>
      <c r="CH69" s="138">
        <v>0</v>
      </c>
      <c r="CI69" s="138">
        <v>0</v>
      </c>
      <c r="CJ69" s="138">
        <v>0</v>
      </c>
      <c r="CK69" s="138">
        <v>0</v>
      </c>
      <c r="CL69" s="138">
        <v>0</v>
      </c>
      <c r="CM69" s="138">
        <v>0</v>
      </c>
      <c r="CN69" s="138">
        <v>0</v>
      </c>
      <c r="CO69" s="86">
        <v>11297.8089100254</v>
      </c>
      <c r="CP69" s="138">
        <v>0</v>
      </c>
      <c r="CQ69" s="138">
        <v>0</v>
      </c>
      <c r="CR69" s="138">
        <v>0</v>
      </c>
      <c r="CS69" s="138">
        <v>0</v>
      </c>
      <c r="CT69" s="138">
        <v>0</v>
      </c>
      <c r="CU69" s="138">
        <v>0</v>
      </c>
      <c r="CV69" s="138">
        <v>0</v>
      </c>
      <c r="CW69" s="138">
        <v>0</v>
      </c>
      <c r="CX69" s="138">
        <v>0</v>
      </c>
      <c r="CY69" s="138">
        <v>0</v>
      </c>
      <c r="CZ69" s="138">
        <v>0</v>
      </c>
      <c r="DA69" s="138">
        <v>0</v>
      </c>
      <c r="DB69" s="86">
        <v>0</v>
      </c>
      <c r="DC69" s="138">
        <v>0</v>
      </c>
      <c r="DD69" s="138">
        <v>0</v>
      </c>
      <c r="DE69" s="138">
        <v>0</v>
      </c>
      <c r="DF69" s="138">
        <v>0</v>
      </c>
      <c r="DG69" s="138">
        <v>0</v>
      </c>
      <c r="DH69" s="138">
        <v>0</v>
      </c>
      <c r="DI69" s="138">
        <v>0</v>
      </c>
      <c r="DJ69" s="138">
        <v>0</v>
      </c>
      <c r="DK69" s="138">
        <v>0</v>
      </c>
      <c r="DL69" s="138">
        <v>0</v>
      </c>
      <c r="DM69" s="138">
        <v>0</v>
      </c>
      <c r="DN69" s="138">
        <v>0</v>
      </c>
      <c r="DO69" s="86">
        <v>0</v>
      </c>
      <c r="DP69" s="138">
        <v>0</v>
      </c>
      <c r="DQ69" s="138">
        <v>0</v>
      </c>
      <c r="DR69" s="138">
        <v>0</v>
      </c>
      <c r="DS69" s="138">
        <v>214.000496092059</v>
      </c>
      <c r="DT69" s="138">
        <v>0</v>
      </c>
      <c r="DU69" s="138">
        <v>0</v>
      </c>
      <c r="DV69" s="138">
        <v>0</v>
      </c>
      <c r="DW69" s="138">
        <v>0</v>
      </c>
      <c r="DX69" s="138">
        <v>0</v>
      </c>
      <c r="DY69" s="138">
        <v>0</v>
      </c>
      <c r="DZ69" s="138">
        <v>0</v>
      </c>
      <c r="EA69" s="138">
        <v>0</v>
      </c>
      <c r="EB69" s="85">
        <v>214.000496092059</v>
      </c>
      <c r="EC69" s="87">
        <v>0</v>
      </c>
      <c r="ED69" s="85">
        <v>0</v>
      </c>
      <c r="EE69" s="85">
        <v>0</v>
      </c>
      <c r="EF69" s="85">
        <v>0</v>
      </c>
      <c r="EG69" s="85">
        <v>0</v>
      </c>
      <c r="EH69" s="85">
        <v>0</v>
      </c>
      <c r="EI69" s="85">
        <v>0</v>
      </c>
      <c r="EJ69" s="85">
        <v>0</v>
      </c>
      <c r="EK69" s="85">
        <v>0</v>
      </c>
      <c r="EL69" s="85">
        <v>0</v>
      </c>
      <c r="EM69" s="85">
        <v>0</v>
      </c>
      <c r="EN69" s="85">
        <v>0</v>
      </c>
      <c r="EO69" s="152">
        <v>0</v>
      </c>
      <c r="EP69" s="85">
        <v>0</v>
      </c>
      <c r="EQ69" s="85">
        <v>0</v>
      </c>
      <c r="ER69" s="85">
        <v>0</v>
      </c>
      <c r="ES69" s="85">
        <v>0</v>
      </c>
      <c r="ET69" s="85">
        <v>0</v>
      </c>
      <c r="EU69" s="85">
        <v>0</v>
      </c>
      <c r="EV69" s="85">
        <v>0</v>
      </c>
      <c r="EW69" s="85">
        <v>0</v>
      </c>
      <c r="EX69" s="85">
        <v>0</v>
      </c>
      <c r="EY69" s="85">
        <v>0</v>
      </c>
      <c r="EZ69" s="85">
        <v>0</v>
      </c>
      <c r="FA69" s="85">
        <v>0</v>
      </c>
      <c r="FB69" s="85">
        <v>0</v>
      </c>
      <c r="FC69" s="87">
        <v>0</v>
      </c>
      <c r="FD69" s="85">
        <v>0</v>
      </c>
      <c r="FE69" s="85">
        <v>0</v>
      </c>
      <c r="FF69" s="85">
        <v>0</v>
      </c>
      <c r="FG69" s="85">
        <v>0</v>
      </c>
      <c r="FH69" s="85">
        <v>0</v>
      </c>
      <c r="FI69" s="85">
        <v>0</v>
      </c>
      <c r="FJ69" s="85">
        <v>0</v>
      </c>
      <c r="FK69" s="85">
        <v>0</v>
      </c>
      <c r="FL69" s="85">
        <v>0</v>
      </c>
      <c r="FM69" s="85">
        <v>0</v>
      </c>
      <c r="FN69" s="85">
        <v>0</v>
      </c>
      <c r="FO69" s="86">
        <v>0</v>
      </c>
      <c r="FP69" s="87">
        <v>383.426394114405</v>
      </c>
      <c r="FQ69" s="85">
        <v>0</v>
      </c>
      <c r="FR69" s="85">
        <v>582.954943958902</v>
      </c>
      <c r="FS69" s="85">
        <v>73.4963114038714</v>
      </c>
      <c r="FT69" s="85">
        <v>0</v>
      </c>
      <c r="FU69" s="85">
        <v>0</v>
      </c>
      <c r="FV69" s="85">
        <v>0</v>
      </c>
      <c r="FW69" s="85">
        <v>0</v>
      </c>
      <c r="FX69" s="85">
        <v>0</v>
      </c>
      <c r="FY69" s="85">
        <v>0</v>
      </c>
      <c r="FZ69" s="85">
        <v>0</v>
      </c>
      <c r="GA69" s="85">
        <v>0</v>
      </c>
      <c r="GB69" s="152">
        <v>1039.87764947718</v>
      </c>
      <c r="GD69" s="153"/>
    </row>
    <row r="70" spans="1:186">
      <c r="A70" s="137" t="s">
        <v>165</v>
      </c>
      <c r="B70" s="151">
        <v>1092726.84150138</v>
      </c>
      <c r="C70" s="138">
        <f t="shared" si="24"/>
        <v>73360.6625601277</v>
      </c>
      <c r="D70" s="138">
        <f t="shared" si="13"/>
        <v>70482.4373151616</v>
      </c>
      <c r="E70" s="138">
        <f t="shared" si="14"/>
        <v>49285.5259792812</v>
      </c>
      <c r="F70" s="138">
        <f t="shared" si="15"/>
        <v>33018.456654783</v>
      </c>
      <c r="G70" s="138">
        <f t="shared" si="16"/>
        <v>33172.2062953025</v>
      </c>
      <c r="H70" s="138">
        <f t="shared" si="17"/>
        <v>27373.3531648414</v>
      </c>
      <c r="I70" s="138">
        <f t="shared" si="18"/>
        <v>6736.86110119191</v>
      </c>
      <c r="J70" s="138">
        <f t="shared" si="19"/>
        <v>3560.02455022374</v>
      </c>
      <c r="K70" s="138">
        <f t="shared" si="20"/>
        <v>269.512625394763</v>
      </c>
      <c r="L70" s="138">
        <f t="shared" si="21"/>
        <v>239.866236601339</v>
      </c>
      <c r="M70" s="138">
        <f t="shared" si="22"/>
        <v>213.480950575192</v>
      </c>
      <c r="N70" s="138">
        <f t="shared" si="23"/>
        <v>189.99804601192</v>
      </c>
      <c r="O70" s="86">
        <f t="shared" si="25"/>
        <v>297902.385479496</v>
      </c>
      <c r="P70" s="138">
        <v>0</v>
      </c>
      <c r="Q70" s="138">
        <v>0</v>
      </c>
      <c r="R70" s="138">
        <v>0</v>
      </c>
      <c r="S70" s="138">
        <v>0</v>
      </c>
      <c r="T70" s="138">
        <v>0</v>
      </c>
      <c r="U70" s="138">
        <v>0</v>
      </c>
      <c r="V70" s="138">
        <v>0</v>
      </c>
      <c r="W70" s="138">
        <v>0</v>
      </c>
      <c r="X70" s="138">
        <v>0</v>
      </c>
      <c r="Y70" s="138">
        <v>0</v>
      </c>
      <c r="Z70" s="138">
        <v>0</v>
      </c>
      <c r="AA70" s="138">
        <v>0</v>
      </c>
      <c r="AB70" s="86">
        <v>0</v>
      </c>
      <c r="AC70" s="138">
        <v>46164.4229560498</v>
      </c>
      <c r="AD70" s="138">
        <v>42753.4021272225</v>
      </c>
      <c r="AE70" s="138">
        <v>21933.3076192714</v>
      </c>
      <c r="AF70" s="138">
        <v>11742.5131016602</v>
      </c>
      <c r="AG70" s="138">
        <v>16805.4010543408</v>
      </c>
      <c r="AH70" s="138">
        <v>14487.8130867056</v>
      </c>
      <c r="AI70" s="138">
        <v>1780.28211658671</v>
      </c>
      <c r="AJ70" s="138">
        <v>1780.28211658671</v>
      </c>
      <c r="AK70" s="138">
        <v>0</v>
      </c>
      <c r="AL70" s="138">
        <v>0</v>
      </c>
      <c r="AM70" s="138">
        <v>0</v>
      </c>
      <c r="AN70" s="138">
        <v>0</v>
      </c>
      <c r="AO70" s="86">
        <v>157447.424178424</v>
      </c>
      <c r="AP70" s="138">
        <v>0</v>
      </c>
      <c r="AQ70" s="138">
        <v>0</v>
      </c>
      <c r="AR70" s="138">
        <v>0</v>
      </c>
      <c r="AS70" s="138">
        <v>0</v>
      </c>
      <c r="AT70" s="138">
        <v>0</v>
      </c>
      <c r="AU70" s="138">
        <v>0</v>
      </c>
      <c r="AV70" s="138">
        <v>0</v>
      </c>
      <c r="AW70" s="138">
        <v>0</v>
      </c>
      <c r="AX70" s="138">
        <v>0</v>
      </c>
      <c r="AY70" s="138">
        <v>0</v>
      </c>
      <c r="AZ70" s="138">
        <v>0</v>
      </c>
      <c r="BA70" s="138">
        <v>0</v>
      </c>
      <c r="BB70" s="86">
        <v>0</v>
      </c>
      <c r="BC70" s="138">
        <v>1303.81657112613</v>
      </c>
      <c r="BD70" s="138">
        <v>515.607524854657</v>
      </c>
      <c r="BE70" s="138">
        <v>957.583566870499</v>
      </c>
      <c r="BF70" s="138">
        <v>264.069358931657</v>
      </c>
      <c r="BG70" s="138">
        <v>0</v>
      </c>
      <c r="BH70" s="138">
        <v>0</v>
      </c>
      <c r="BI70" s="138">
        <v>0</v>
      </c>
      <c r="BJ70" s="138">
        <v>0</v>
      </c>
      <c r="BK70" s="138">
        <v>0</v>
      </c>
      <c r="BL70" s="138">
        <v>0</v>
      </c>
      <c r="BM70" s="138">
        <v>0</v>
      </c>
      <c r="BN70" s="138">
        <v>0</v>
      </c>
      <c r="BO70" s="86">
        <v>3041.07702178294</v>
      </c>
      <c r="BP70" s="138">
        <v>0</v>
      </c>
      <c r="BQ70" s="138">
        <v>0</v>
      </c>
      <c r="BR70" s="138">
        <v>0</v>
      </c>
      <c r="BS70" s="138">
        <v>0</v>
      </c>
      <c r="BT70" s="138">
        <v>0</v>
      </c>
      <c r="BU70" s="138">
        <v>0</v>
      </c>
      <c r="BV70" s="138">
        <v>0</v>
      </c>
      <c r="BW70" s="138">
        <v>0</v>
      </c>
      <c r="BX70" s="138">
        <v>0</v>
      </c>
      <c r="BY70" s="138">
        <v>0</v>
      </c>
      <c r="BZ70" s="138">
        <v>0</v>
      </c>
      <c r="CA70" s="138">
        <v>0</v>
      </c>
      <c r="CB70" s="86">
        <v>0</v>
      </c>
      <c r="CC70" s="138">
        <v>8117.69194664519</v>
      </c>
      <c r="CD70" s="138">
        <v>2603.41368232606</v>
      </c>
      <c r="CE70" s="138">
        <v>3362.83073680629</v>
      </c>
      <c r="CF70" s="138">
        <v>4103.05277270079</v>
      </c>
      <c r="CG70" s="138">
        <v>5038.25375096685</v>
      </c>
      <c r="CH70" s="138">
        <v>8032.85292108824</v>
      </c>
      <c r="CI70" s="138">
        <v>2092.42958488857</v>
      </c>
      <c r="CJ70" s="138">
        <v>302.823174600856</v>
      </c>
      <c r="CK70" s="138">
        <v>269.512625394763</v>
      </c>
      <c r="CL70" s="138">
        <v>239.866236601339</v>
      </c>
      <c r="CM70" s="138">
        <v>213.480950575192</v>
      </c>
      <c r="CN70" s="138">
        <v>189.99804601192</v>
      </c>
      <c r="CO70" s="86">
        <v>34566.2064286061</v>
      </c>
      <c r="CP70" s="138">
        <v>11439.1827190147</v>
      </c>
      <c r="CQ70" s="138">
        <v>7548.23393391858</v>
      </c>
      <c r="CR70" s="138">
        <v>4337.17163403001</v>
      </c>
      <c r="CS70" s="138">
        <v>2229.81106535992</v>
      </c>
      <c r="CT70" s="138">
        <v>1018.4031724554</v>
      </c>
      <c r="CU70" s="138">
        <v>2545.00081480357</v>
      </c>
      <c r="CV70" s="138">
        <v>1018.00032592143</v>
      </c>
      <c r="CW70" s="138">
        <v>0</v>
      </c>
      <c r="CX70" s="138">
        <v>0</v>
      </c>
      <c r="CY70" s="138">
        <v>0</v>
      </c>
      <c r="CZ70" s="138">
        <v>0</v>
      </c>
      <c r="DA70" s="138">
        <v>0</v>
      </c>
      <c r="DB70" s="86">
        <v>30135.8036655036</v>
      </c>
      <c r="DC70" s="138">
        <v>0</v>
      </c>
      <c r="DD70" s="138">
        <v>0</v>
      </c>
      <c r="DE70" s="138">
        <v>0</v>
      </c>
      <c r="DF70" s="138">
        <v>0</v>
      </c>
      <c r="DG70" s="138">
        <v>0</v>
      </c>
      <c r="DH70" s="138">
        <v>0</v>
      </c>
      <c r="DI70" s="138">
        <v>0</v>
      </c>
      <c r="DJ70" s="138">
        <v>0</v>
      </c>
      <c r="DK70" s="138">
        <v>0</v>
      </c>
      <c r="DL70" s="138">
        <v>0</v>
      </c>
      <c r="DM70" s="138">
        <v>0</v>
      </c>
      <c r="DN70" s="138">
        <v>0</v>
      </c>
      <c r="DO70" s="86">
        <v>0</v>
      </c>
      <c r="DP70" s="138">
        <v>0</v>
      </c>
      <c r="DQ70" s="138">
        <v>0</v>
      </c>
      <c r="DR70" s="138">
        <v>0</v>
      </c>
      <c r="DS70" s="138">
        <v>0</v>
      </c>
      <c r="DT70" s="138">
        <v>0</v>
      </c>
      <c r="DU70" s="138">
        <v>0</v>
      </c>
      <c r="DV70" s="138">
        <v>0</v>
      </c>
      <c r="DW70" s="138">
        <v>0</v>
      </c>
      <c r="DX70" s="138">
        <v>0</v>
      </c>
      <c r="DY70" s="138">
        <v>0</v>
      </c>
      <c r="DZ70" s="138">
        <v>0</v>
      </c>
      <c r="EA70" s="138">
        <v>0</v>
      </c>
      <c r="EB70" s="85">
        <v>0</v>
      </c>
      <c r="EC70" s="87">
        <v>0</v>
      </c>
      <c r="ED70" s="85">
        <v>0</v>
      </c>
      <c r="EE70" s="85">
        <v>0</v>
      </c>
      <c r="EF70" s="85">
        <v>0</v>
      </c>
      <c r="EG70" s="85">
        <v>0</v>
      </c>
      <c r="EH70" s="85">
        <v>0</v>
      </c>
      <c r="EI70" s="85">
        <v>0</v>
      </c>
      <c r="EJ70" s="85">
        <v>0</v>
      </c>
      <c r="EK70" s="85">
        <v>0</v>
      </c>
      <c r="EL70" s="85">
        <v>0</v>
      </c>
      <c r="EM70" s="85">
        <v>0</v>
      </c>
      <c r="EN70" s="85">
        <v>0</v>
      </c>
      <c r="EO70" s="152">
        <v>0</v>
      </c>
      <c r="EP70" s="85">
        <v>389.37184832428</v>
      </c>
      <c r="EQ70" s="85">
        <v>9622.03892755934</v>
      </c>
      <c r="ER70" s="85">
        <v>11064.3442708623</v>
      </c>
      <c r="ES70" s="85">
        <v>9451.76894738988</v>
      </c>
      <c r="ET70" s="85">
        <v>7524.95920890405</v>
      </c>
      <c r="EU70" s="85">
        <v>2307.68634224401</v>
      </c>
      <c r="EV70" s="85">
        <v>1846.14907379521</v>
      </c>
      <c r="EW70" s="85">
        <v>1476.91925903617</v>
      </c>
      <c r="EX70" s="85">
        <v>0</v>
      </c>
      <c r="EY70" s="85">
        <v>0</v>
      </c>
      <c r="EZ70" s="85">
        <v>0</v>
      </c>
      <c r="FA70" s="85">
        <v>0</v>
      </c>
      <c r="FB70" s="85">
        <v>43683.2378781152</v>
      </c>
      <c r="FC70" s="87">
        <v>0</v>
      </c>
      <c r="FD70" s="85">
        <v>0</v>
      </c>
      <c r="FE70" s="85">
        <v>0</v>
      </c>
      <c r="FF70" s="85">
        <v>0</v>
      </c>
      <c r="FG70" s="85">
        <v>0</v>
      </c>
      <c r="FH70" s="85">
        <v>0</v>
      </c>
      <c r="FI70" s="85">
        <v>0</v>
      </c>
      <c r="FJ70" s="85">
        <v>0</v>
      </c>
      <c r="FK70" s="85">
        <v>0</v>
      </c>
      <c r="FL70" s="85">
        <v>0</v>
      </c>
      <c r="FM70" s="85">
        <v>0</v>
      </c>
      <c r="FN70" s="85">
        <v>0</v>
      </c>
      <c r="FO70" s="86">
        <v>0</v>
      </c>
      <c r="FP70" s="87">
        <v>5946.17651896762</v>
      </c>
      <c r="FQ70" s="85">
        <v>7439.74111928046</v>
      </c>
      <c r="FR70" s="85">
        <v>7630.28815144077</v>
      </c>
      <c r="FS70" s="85">
        <v>5227.24140874055</v>
      </c>
      <c r="FT70" s="85">
        <v>2785.18910863535</v>
      </c>
      <c r="FU70" s="85">
        <v>0</v>
      </c>
      <c r="FV70" s="85">
        <v>0</v>
      </c>
      <c r="FW70" s="85">
        <v>0</v>
      </c>
      <c r="FX70" s="85">
        <v>0</v>
      </c>
      <c r="FY70" s="85">
        <v>0</v>
      </c>
      <c r="FZ70" s="85">
        <v>0</v>
      </c>
      <c r="GA70" s="85">
        <v>0</v>
      </c>
      <c r="GB70" s="152">
        <v>29028.6363070647</v>
      </c>
      <c r="GD70" s="153"/>
    </row>
    <row r="71" spans="1:186">
      <c r="A71" s="137" t="s">
        <v>167</v>
      </c>
      <c r="B71" s="151">
        <v>238019.027690359</v>
      </c>
      <c r="C71" s="138">
        <f t="shared" si="24"/>
        <v>772.107974210303</v>
      </c>
      <c r="D71" s="138">
        <f t="shared" si="13"/>
        <v>473.032296900929</v>
      </c>
      <c r="E71" s="138">
        <f t="shared" si="14"/>
        <v>272.687223119213</v>
      </c>
      <c r="F71" s="138">
        <f t="shared" si="15"/>
        <v>6580.33549735953</v>
      </c>
      <c r="G71" s="138">
        <f t="shared" si="16"/>
        <v>0</v>
      </c>
      <c r="H71" s="138">
        <f t="shared" si="17"/>
        <v>0</v>
      </c>
      <c r="I71" s="138">
        <f t="shared" si="18"/>
        <v>0</v>
      </c>
      <c r="J71" s="138">
        <f t="shared" si="19"/>
        <v>0</v>
      </c>
      <c r="K71" s="138">
        <f t="shared" si="20"/>
        <v>0</v>
      </c>
      <c r="L71" s="138">
        <f t="shared" si="21"/>
        <v>0</v>
      </c>
      <c r="M71" s="138">
        <f t="shared" si="22"/>
        <v>0</v>
      </c>
      <c r="N71" s="138">
        <f t="shared" si="23"/>
        <v>0</v>
      </c>
      <c r="O71" s="86">
        <f t="shared" si="25"/>
        <v>8098.16299158997</v>
      </c>
      <c r="P71" s="138">
        <v>0</v>
      </c>
      <c r="Q71" s="138">
        <v>0</v>
      </c>
      <c r="R71" s="138">
        <v>0</v>
      </c>
      <c r="S71" s="138">
        <v>0</v>
      </c>
      <c r="T71" s="138">
        <v>0</v>
      </c>
      <c r="U71" s="138">
        <v>0</v>
      </c>
      <c r="V71" s="138">
        <v>0</v>
      </c>
      <c r="W71" s="138">
        <v>0</v>
      </c>
      <c r="X71" s="138">
        <v>0</v>
      </c>
      <c r="Y71" s="138">
        <v>0</v>
      </c>
      <c r="Z71" s="138">
        <v>0</v>
      </c>
      <c r="AA71" s="138">
        <v>0</v>
      </c>
      <c r="AB71" s="86">
        <v>0</v>
      </c>
      <c r="AC71" s="138">
        <v>0</v>
      </c>
      <c r="AD71" s="138">
        <v>0</v>
      </c>
      <c r="AE71" s="138">
        <v>0</v>
      </c>
      <c r="AF71" s="138">
        <v>0</v>
      </c>
      <c r="AG71" s="138">
        <v>0</v>
      </c>
      <c r="AH71" s="138">
        <v>0</v>
      </c>
      <c r="AI71" s="138">
        <v>0</v>
      </c>
      <c r="AJ71" s="138">
        <v>0</v>
      </c>
      <c r="AK71" s="138">
        <v>0</v>
      </c>
      <c r="AL71" s="138">
        <v>0</v>
      </c>
      <c r="AM71" s="138">
        <v>0</v>
      </c>
      <c r="AN71" s="138">
        <v>0</v>
      </c>
      <c r="AO71" s="86">
        <v>0</v>
      </c>
      <c r="AP71" s="138">
        <v>0</v>
      </c>
      <c r="AQ71" s="138">
        <v>0</v>
      </c>
      <c r="AR71" s="138">
        <v>0</v>
      </c>
      <c r="AS71" s="138">
        <v>0</v>
      </c>
      <c r="AT71" s="138">
        <v>0</v>
      </c>
      <c r="AU71" s="138">
        <v>0</v>
      </c>
      <c r="AV71" s="138">
        <v>0</v>
      </c>
      <c r="AW71" s="138">
        <v>0</v>
      </c>
      <c r="AX71" s="138">
        <v>0</v>
      </c>
      <c r="AY71" s="138">
        <v>0</v>
      </c>
      <c r="AZ71" s="138">
        <v>0</v>
      </c>
      <c r="BA71" s="138">
        <v>0</v>
      </c>
      <c r="BB71" s="86">
        <v>0</v>
      </c>
      <c r="BC71" s="138">
        <v>0</v>
      </c>
      <c r="BD71" s="138">
        <v>0</v>
      </c>
      <c r="BE71" s="138">
        <v>0</v>
      </c>
      <c r="BF71" s="138">
        <v>0</v>
      </c>
      <c r="BG71" s="138">
        <v>0</v>
      </c>
      <c r="BH71" s="138">
        <v>0</v>
      </c>
      <c r="BI71" s="138">
        <v>0</v>
      </c>
      <c r="BJ71" s="138">
        <v>0</v>
      </c>
      <c r="BK71" s="138">
        <v>0</v>
      </c>
      <c r="BL71" s="138">
        <v>0</v>
      </c>
      <c r="BM71" s="138">
        <v>0</v>
      </c>
      <c r="BN71" s="138">
        <v>0</v>
      </c>
      <c r="BO71" s="86">
        <v>0</v>
      </c>
      <c r="BP71" s="138">
        <v>0</v>
      </c>
      <c r="BQ71" s="138">
        <v>0</v>
      </c>
      <c r="BR71" s="138">
        <v>0</v>
      </c>
      <c r="BS71" s="138">
        <v>0</v>
      </c>
      <c r="BT71" s="138">
        <v>0</v>
      </c>
      <c r="BU71" s="138">
        <v>0</v>
      </c>
      <c r="BV71" s="138">
        <v>0</v>
      </c>
      <c r="BW71" s="138">
        <v>0</v>
      </c>
      <c r="BX71" s="138">
        <v>0</v>
      </c>
      <c r="BY71" s="138">
        <v>0</v>
      </c>
      <c r="BZ71" s="138">
        <v>0</v>
      </c>
      <c r="CA71" s="138">
        <v>0</v>
      </c>
      <c r="CB71" s="86">
        <v>0</v>
      </c>
      <c r="CC71" s="138">
        <v>0</v>
      </c>
      <c r="CD71" s="138">
        <v>0</v>
      </c>
      <c r="CE71" s="138">
        <v>0</v>
      </c>
      <c r="CF71" s="138">
        <v>0</v>
      </c>
      <c r="CG71" s="138">
        <v>0</v>
      </c>
      <c r="CH71" s="138">
        <v>0</v>
      </c>
      <c r="CI71" s="138">
        <v>0</v>
      </c>
      <c r="CJ71" s="138">
        <v>0</v>
      </c>
      <c r="CK71" s="138">
        <v>0</v>
      </c>
      <c r="CL71" s="138">
        <v>0</v>
      </c>
      <c r="CM71" s="138">
        <v>0</v>
      </c>
      <c r="CN71" s="138">
        <v>0</v>
      </c>
      <c r="CO71" s="86">
        <v>0</v>
      </c>
      <c r="CP71" s="138">
        <v>0</v>
      </c>
      <c r="CQ71" s="138">
        <v>0</v>
      </c>
      <c r="CR71" s="138">
        <v>0</v>
      </c>
      <c r="CS71" s="138">
        <v>0</v>
      </c>
      <c r="CT71" s="138">
        <v>0</v>
      </c>
      <c r="CU71" s="138">
        <v>0</v>
      </c>
      <c r="CV71" s="138">
        <v>0</v>
      </c>
      <c r="CW71" s="138">
        <v>0</v>
      </c>
      <c r="CX71" s="138">
        <v>0</v>
      </c>
      <c r="CY71" s="138">
        <v>0</v>
      </c>
      <c r="CZ71" s="138">
        <v>0</v>
      </c>
      <c r="DA71" s="138">
        <v>0</v>
      </c>
      <c r="DB71" s="86">
        <v>0</v>
      </c>
      <c r="DC71" s="138">
        <v>675.120096722069</v>
      </c>
      <c r="DD71" s="138">
        <v>473.032296900929</v>
      </c>
      <c r="DE71" s="138">
        <v>272.687223119213</v>
      </c>
      <c r="DF71" s="138">
        <v>792.500974304652</v>
      </c>
      <c r="DG71" s="138">
        <v>0</v>
      </c>
      <c r="DH71" s="138">
        <v>0</v>
      </c>
      <c r="DI71" s="138">
        <v>0</v>
      </c>
      <c r="DJ71" s="138">
        <v>0</v>
      </c>
      <c r="DK71" s="138">
        <v>0</v>
      </c>
      <c r="DL71" s="138">
        <v>0</v>
      </c>
      <c r="DM71" s="138">
        <v>0</v>
      </c>
      <c r="DN71" s="138">
        <v>0</v>
      </c>
      <c r="DO71" s="86">
        <v>2213.34059104686</v>
      </c>
      <c r="DP71" s="138">
        <v>96.9878774882348</v>
      </c>
      <c r="DQ71" s="138">
        <v>0</v>
      </c>
      <c r="DR71" s="138">
        <v>0</v>
      </c>
      <c r="DS71" s="138">
        <v>0</v>
      </c>
      <c r="DT71" s="138">
        <v>0</v>
      </c>
      <c r="DU71" s="138">
        <v>0</v>
      </c>
      <c r="DV71" s="138">
        <v>0</v>
      </c>
      <c r="DW71" s="138">
        <v>0</v>
      </c>
      <c r="DX71" s="138">
        <v>0</v>
      </c>
      <c r="DY71" s="138">
        <v>0</v>
      </c>
      <c r="DZ71" s="138">
        <v>0</v>
      </c>
      <c r="EA71" s="138">
        <v>0</v>
      </c>
      <c r="EB71" s="85">
        <v>96.9878774882348</v>
      </c>
      <c r="EC71" s="87">
        <v>0</v>
      </c>
      <c r="ED71" s="85">
        <v>0</v>
      </c>
      <c r="EE71" s="85">
        <v>0</v>
      </c>
      <c r="EF71" s="85">
        <v>0</v>
      </c>
      <c r="EG71" s="85">
        <v>0</v>
      </c>
      <c r="EH71" s="85">
        <v>0</v>
      </c>
      <c r="EI71" s="85">
        <v>0</v>
      </c>
      <c r="EJ71" s="85">
        <v>0</v>
      </c>
      <c r="EK71" s="85">
        <v>0</v>
      </c>
      <c r="EL71" s="85">
        <v>0</v>
      </c>
      <c r="EM71" s="85">
        <v>0</v>
      </c>
      <c r="EN71" s="85">
        <v>0</v>
      </c>
      <c r="EO71" s="152">
        <v>0</v>
      </c>
      <c r="EP71" s="85">
        <v>0</v>
      </c>
      <c r="EQ71" s="85">
        <v>0</v>
      </c>
      <c r="ER71" s="85">
        <v>0</v>
      </c>
      <c r="ES71" s="85">
        <v>0</v>
      </c>
      <c r="ET71" s="85">
        <v>0</v>
      </c>
      <c r="EU71" s="85">
        <v>0</v>
      </c>
      <c r="EV71" s="85">
        <v>0</v>
      </c>
      <c r="EW71" s="85">
        <v>0</v>
      </c>
      <c r="EX71" s="85">
        <v>0</v>
      </c>
      <c r="EY71" s="85">
        <v>0</v>
      </c>
      <c r="EZ71" s="85">
        <v>0</v>
      </c>
      <c r="FA71" s="85">
        <v>0</v>
      </c>
      <c r="FB71" s="85">
        <v>0</v>
      </c>
      <c r="FC71" s="87">
        <v>0</v>
      </c>
      <c r="FD71" s="85">
        <v>0</v>
      </c>
      <c r="FE71" s="85">
        <v>0</v>
      </c>
      <c r="FF71" s="85">
        <v>0</v>
      </c>
      <c r="FG71" s="85">
        <v>0</v>
      </c>
      <c r="FH71" s="85">
        <v>0</v>
      </c>
      <c r="FI71" s="85">
        <v>0</v>
      </c>
      <c r="FJ71" s="85">
        <v>0</v>
      </c>
      <c r="FK71" s="85">
        <v>0</v>
      </c>
      <c r="FL71" s="85">
        <v>0</v>
      </c>
      <c r="FM71" s="85">
        <v>0</v>
      </c>
      <c r="FN71" s="85">
        <v>0</v>
      </c>
      <c r="FO71" s="86">
        <v>0</v>
      </c>
      <c r="FP71" s="87">
        <v>0</v>
      </c>
      <c r="FQ71" s="85">
        <v>0</v>
      </c>
      <c r="FR71" s="85">
        <v>0</v>
      </c>
      <c r="FS71" s="85">
        <v>5787.83452305487</v>
      </c>
      <c r="FT71" s="85">
        <v>0</v>
      </c>
      <c r="FU71" s="85">
        <v>0</v>
      </c>
      <c r="FV71" s="85">
        <v>0</v>
      </c>
      <c r="FW71" s="85">
        <v>0</v>
      </c>
      <c r="FX71" s="85">
        <v>0</v>
      </c>
      <c r="FY71" s="85">
        <v>0</v>
      </c>
      <c r="FZ71" s="85">
        <v>0</v>
      </c>
      <c r="GA71" s="85">
        <v>0</v>
      </c>
      <c r="GB71" s="152">
        <v>5787.83452305487</v>
      </c>
      <c r="GD71" s="153"/>
    </row>
    <row r="72" spans="1:186">
      <c r="A72" s="137" t="s">
        <v>169</v>
      </c>
      <c r="B72" s="151">
        <v>385495.952439782</v>
      </c>
      <c r="C72" s="138">
        <f t="shared" si="24"/>
        <v>0</v>
      </c>
      <c r="D72" s="138">
        <f t="shared" si="13"/>
        <v>0</v>
      </c>
      <c r="E72" s="138">
        <f t="shared" si="14"/>
        <v>0</v>
      </c>
      <c r="F72" s="138">
        <f t="shared" si="15"/>
        <v>0</v>
      </c>
      <c r="G72" s="138">
        <f t="shared" si="16"/>
        <v>0</v>
      </c>
      <c r="H72" s="138">
        <f t="shared" si="17"/>
        <v>0</v>
      </c>
      <c r="I72" s="138">
        <f t="shared" si="18"/>
        <v>0</v>
      </c>
      <c r="J72" s="138">
        <f t="shared" si="19"/>
        <v>0</v>
      </c>
      <c r="K72" s="138">
        <f t="shared" si="20"/>
        <v>0</v>
      </c>
      <c r="L72" s="138">
        <f t="shared" si="21"/>
        <v>0</v>
      </c>
      <c r="M72" s="138">
        <f t="shared" si="22"/>
        <v>0</v>
      </c>
      <c r="N72" s="138">
        <f t="shared" si="23"/>
        <v>0</v>
      </c>
      <c r="O72" s="86">
        <f t="shared" si="25"/>
        <v>0</v>
      </c>
      <c r="P72" s="138">
        <v>0</v>
      </c>
      <c r="Q72" s="138">
        <v>0</v>
      </c>
      <c r="R72" s="138">
        <v>0</v>
      </c>
      <c r="S72" s="138">
        <v>0</v>
      </c>
      <c r="T72" s="138">
        <v>0</v>
      </c>
      <c r="U72" s="138">
        <v>0</v>
      </c>
      <c r="V72" s="138">
        <v>0</v>
      </c>
      <c r="W72" s="138">
        <v>0</v>
      </c>
      <c r="X72" s="138">
        <v>0</v>
      </c>
      <c r="Y72" s="138">
        <v>0</v>
      </c>
      <c r="Z72" s="138">
        <v>0</v>
      </c>
      <c r="AA72" s="138">
        <v>0</v>
      </c>
      <c r="AB72" s="86">
        <v>0</v>
      </c>
      <c r="AC72" s="138">
        <v>0</v>
      </c>
      <c r="AD72" s="138">
        <v>0</v>
      </c>
      <c r="AE72" s="138">
        <v>0</v>
      </c>
      <c r="AF72" s="138">
        <v>0</v>
      </c>
      <c r="AG72" s="138">
        <v>0</v>
      </c>
      <c r="AH72" s="138">
        <v>0</v>
      </c>
      <c r="AI72" s="138">
        <v>0</v>
      </c>
      <c r="AJ72" s="138">
        <v>0</v>
      </c>
      <c r="AK72" s="138">
        <v>0</v>
      </c>
      <c r="AL72" s="138">
        <v>0</v>
      </c>
      <c r="AM72" s="138">
        <v>0</v>
      </c>
      <c r="AN72" s="138">
        <v>0</v>
      </c>
      <c r="AO72" s="86">
        <v>0</v>
      </c>
      <c r="AP72" s="138">
        <v>0</v>
      </c>
      <c r="AQ72" s="138">
        <v>0</v>
      </c>
      <c r="AR72" s="138">
        <v>0</v>
      </c>
      <c r="AS72" s="138">
        <v>0</v>
      </c>
      <c r="AT72" s="138">
        <v>0</v>
      </c>
      <c r="AU72" s="138">
        <v>0</v>
      </c>
      <c r="AV72" s="138">
        <v>0</v>
      </c>
      <c r="AW72" s="138">
        <v>0</v>
      </c>
      <c r="AX72" s="138">
        <v>0</v>
      </c>
      <c r="AY72" s="138">
        <v>0</v>
      </c>
      <c r="AZ72" s="138">
        <v>0</v>
      </c>
      <c r="BA72" s="138">
        <v>0</v>
      </c>
      <c r="BB72" s="86">
        <v>0</v>
      </c>
      <c r="BC72" s="138">
        <v>0</v>
      </c>
      <c r="BD72" s="138">
        <v>0</v>
      </c>
      <c r="BE72" s="138">
        <v>0</v>
      </c>
      <c r="BF72" s="138">
        <v>0</v>
      </c>
      <c r="BG72" s="138">
        <v>0</v>
      </c>
      <c r="BH72" s="138">
        <v>0</v>
      </c>
      <c r="BI72" s="138">
        <v>0</v>
      </c>
      <c r="BJ72" s="138">
        <v>0</v>
      </c>
      <c r="BK72" s="138">
        <v>0</v>
      </c>
      <c r="BL72" s="138">
        <v>0</v>
      </c>
      <c r="BM72" s="138">
        <v>0</v>
      </c>
      <c r="BN72" s="138">
        <v>0</v>
      </c>
      <c r="BO72" s="86">
        <v>0</v>
      </c>
      <c r="BP72" s="138">
        <v>0</v>
      </c>
      <c r="BQ72" s="138">
        <v>0</v>
      </c>
      <c r="BR72" s="138">
        <v>0</v>
      </c>
      <c r="BS72" s="138">
        <v>0</v>
      </c>
      <c r="BT72" s="138">
        <v>0</v>
      </c>
      <c r="BU72" s="138">
        <v>0</v>
      </c>
      <c r="BV72" s="138">
        <v>0</v>
      </c>
      <c r="BW72" s="138">
        <v>0</v>
      </c>
      <c r="BX72" s="138">
        <v>0</v>
      </c>
      <c r="BY72" s="138">
        <v>0</v>
      </c>
      <c r="BZ72" s="138">
        <v>0</v>
      </c>
      <c r="CA72" s="138">
        <v>0</v>
      </c>
      <c r="CB72" s="86">
        <v>0</v>
      </c>
      <c r="CC72" s="138">
        <v>0</v>
      </c>
      <c r="CD72" s="138">
        <v>0</v>
      </c>
      <c r="CE72" s="138">
        <v>0</v>
      </c>
      <c r="CF72" s="138">
        <v>0</v>
      </c>
      <c r="CG72" s="138">
        <v>0</v>
      </c>
      <c r="CH72" s="138">
        <v>0</v>
      </c>
      <c r="CI72" s="138">
        <v>0</v>
      </c>
      <c r="CJ72" s="138">
        <v>0</v>
      </c>
      <c r="CK72" s="138">
        <v>0</v>
      </c>
      <c r="CL72" s="138">
        <v>0</v>
      </c>
      <c r="CM72" s="138">
        <v>0</v>
      </c>
      <c r="CN72" s="138">
        <v>0</v>
      </c>
      <c r="CO72" s="86">
        <v>0</v>
      </c>
      <c r="CP72" s="138">
        <v>0</v>
      </c>
      <c r="CQ72" s="138">
        <v>0</v>
      </c>
      <c r="CR72" s="138">
        <v>0</v>
      </c>
      <c r="CS72" s="138">
        <v>0</v>
      </c>
      <c r="CT72" s="138">
        <v>0</v>
      </c>
      <c r="CU72" s="138">
        <v>0</v>
      </c>
      <c r="CV72" s="138">
        <v>0</v>
      </c>
      <c r="CW72" s="138">
        <v>0</v>
      </c>
      <c r="CX72" s="138">
        <v>0</v>
      </c>
      <c r="CY72" s="138">
        <v>0</v>
      </c>
      <c r="CZ72" s="138">
        <v>0</v>
      </c>
      <c r="DA72" s="138">
        <v>0</v>
      </c>
      <c r="DB72" s="86">
        <v>0</v>
      </c>
      <c r="DC72" s="138">
        <v>0</v>
      </c>
      <c r="DD72" s="138">
        <v>0</v>
      </c>
      <c r="DE72" s="138">
        <v>0</v>
      </c>
      <c r="DF72" s="138">
        <v>0</v>
      </c>
      <c r="DG72" s="138">
        <v>0</v>
      </c>
      <c r="DH72" s="138">
        <v>0</v>
      </c>
      <c r="DI72" s="138">
        <v>0</v>
      </c>
      <c r="DJ72" s="138">
        <v>0</v>
      </c>
      <c r="DK72" s="138">
        <v>0</v>
      </c>
      <c r="DL72" s="138">
        <v>0</v>
      </c>
      <c r="DM72" s="138">
        <v>0</v>
      </c>
      <c r="DN72" s="138">
        <v>0</v>
      </c>
      <c r="DO72" s="86">
        <v>0</v>
      </c>
      <c r="DP72" s="138">
        <v>0</v>
      </c>
      <c r="DQ72" s="138">
        <v>0</v>
      </c>
      <c r="DR72" s="138">
        <v>0</v>
      </c>
      <c r="DS72" s="138">
        <v>0</v>
      </c>
      <c r="DT72" s="138">
        <v>0</v>
      </c>
      <c r="DU72" s="138">
        <v>0</v>
      </c>
      <c r="DV72" s="138">
        <v>0</v>
      </c>
      <c r="DW72" s="138">
        <v>0</v>
      </c>
      <c r="DX72" s="138">
        <v>0</v>
      </c>
      <c r="DY72" s="138">
        <v>0</v>
      </c>
      <c r="DZ72" s="138">
        <v>0</v>
      </c>
      <c r="EA72" s="138">
        <v>0</v>
      </c>
      <c r="EB72" s="85">
        <v>0</v>
      </c>
      <c r="EC72" s="87">
        <v>0</v>
      </c>
      <c r="ED72" s="85">
        <v>0</v>
      </c>
      <c r="EE72" s="85">
        <v>0</v>
      </c>
      <c r="EF72" s="85">
        <v>0</v>
      </c>
      <c r="EG72" s="85">
        <v>0</v>
      </c>
      <c r="EH72" s="85">
        <v>0</v>
      </c>
      <c r="EI72" s="85">
        <v>0</v>
      </c>
      <c r="EJ72" s="85">
        <v>0</v>
      </c>
      <c r="EK72" s="85">
        <v>0</v>
      </c>
      <c r="EL72" s="85">
        <v>0</v>
      </c>
      <c r="EM72" s="85">
        <v>0</v>
      </c>
      <c r="EN72" s="85">
        <v>0</v>
      </c>
      <c r="EO72" s="152">
        <v>0</v>
      </c>
      <c r="EP72" s="85">
        <v>0</v>
      </c>
      <c r="EQ72" s="85">
        <v>0</v>
      </c>
      <c r="ER72" s="85">
        <v>0</v>
      </c>
      <c r="ES72" s="85">
        <v>0</v>
      </c>
      <c r="ET72" s="85">
        <v>0</v>
      </c>
      <c r="EU72" s="85">
        <v>0</v>
      </c>
      <c r="EV72" s="85">
        <v>0</v>
      </c>
      <c r="EW72" s="85">
        <v>0</v>
      </c>
      <c r="EX72" s="85">
        <v>0</v>
      </c>
      <c r="EY72" s="85">
        <v>0</v>
      </c>
      <c r="EZ72" s="85">
        <v>0</v>
      </c>
      <c r="FA72" s="85">
        <v>0</v>
      </c>
      <c r="FB72" s="85">
        <v>0</v>
      </c>
      <c r="FC72" s="87">
        <v>0</v>
      </c>
      <c r="FD72" s="85">
        <v>0</v>
      </c>
      <c r="FE72" s="85">
        <v>0</v>
      </c>
      <c r="FF72" s="85">
        <v>0</v>
      </c>
      <c r="FG72" s="85">
        <v>0</v>
      </c>
      <c r="FH72" s="85">
        <v>0</v>
      </c>
      <c r="FI72" s="85">
        <v>0</v>
      </c>
      <c r="FJ72" s="85">
        <v>0</v>
      </c>
      <c r="FK72" s="85">
        <v>0</v>
      </c>
      <c r="FL72" s="85">
        <v>0</v>
      </c>
      <c r="FM72" s="85">
        <v>0</v>
      </c>
      <c r="FN72" s="85">
        <v>0</v>
      </c>
      <c r="FO72" s="86">
        <v>0</v>
      </c>
      <c r="FP72" s="87">
        <v>0</v>
      </c>
      <c r="FQ72" s="85">
        <v>0</v>
      </c>
      <c r="FR72" s="85">
        <v>0</v>
      </c>
      <c r="FS72" s="85">
        <v>0</v>
      </c>
      <c r="FT72" s="85">
        <v>0</v>
      </c>
      <c r="FU72" s="85">
        <v>0</v>
      </c>
      <c r="FV72" s="85">
        <v>0</v>
      </c>
      <c r="FW72" s="85">
        <v>0</v>
      </c>
      <c r="FX72" s="85">
        <v>0</v>
      </c>
      <c r="FY72" s="85">
        <v>0</v>
      </c>
      <c r="FZ72" s="85">
        <v>0</v>
      </c>
      <c r="GA72" s="85">
        <v>0</v>
      </c>
      <c r="GB72" s="152">
        <v>0</v>
      </c>
      <c r="GD72" s="153"/>
    </row>
    <row r="73" spans="1:186">
      <c r="A73" s="137" t="s">
        <v>171</v>
      </c>
      <c r="B73" s="151">
        <v>283868.478829384</v>
      </c>
      <c r="C73" s="138">
        <f t="shared" si="24"/>
        <v>1506.77762173533</v>
      </c>
      <c r="D73" s="138">
        <f t="shared" si="13"/>
        <v>77.3320444659256</v>
      </c>
      <c r="E73" s="138">
        <f t="shared" si="14"/>
        <v>0</v>
      </c>
      <c r="F73" s="138">
        <f t="shared" si="15"/>
        <v>277.896172534311</v>
      </c>
      <c r="G73" s="138">
        <f t="shared" si="16"/>
        <v>0</v>
      </c>
      <c r="H73" s="138">
        <f t="shared" si="17"/>
        <v>0</v>
      </c>
      <c r="I73" s="138">
        <f t="shared" si="18"/>
        <v>0</v>
      </c>
      <c r="J73" s="138">
        <f t="shared" si="19"/>
        <v>0</v>
      </c>
      <c r="K73" s="138">
        <f t="shared" si="20"/>
        <v>0</v>
      </c>
      <c r="L73" s="138">
        <f t="shared" si="21"/>
        <v>0</v>
      </c>
      <c r="M73" s="138">
        <f t="shared" si="22"/>
        <v>0</v>
      </c>
      <c r="N73" s="138">
        <f t="shared" si="23"/>
        <v>0</v>
      </c>
      <c r="O73" s="86">
        <f t="shared" si="25"/>
        <v>1862.00583873557</v>
      </c>
      <c r="P73" s="138">
        <v>0</v>
      </c>
      <c r="Q73" s="138">
        <v>0</v>
      </c>
      <c r="R73" s="138">
        <v>0</v>
      </c>
      <c r="S73" s="138">
        <v>0</v>
      </c>
      <c r="T73" s="138">
        <v>0</v>
      </c>
      <c r="U73" s="138">
        <v>0</v>
      </c>
      <c r="V73" s="138">
        <v>0</v>
      </c>
      <c r="W73" s="138">
        <v>0</v>
      </c>
      <c r="X73" s="138">
        <v>0</v>
      </c>
      <c r="Y73" s="138">
        <v>0</v>
      </c>
      <c r="Z73" s="138">
        <v>0</v>
      </c>
      <c r="AA73" s="138">
        <v>0</v>
      </c>
      <c r="AB73" s="86">
        <v>0</v>
      </c>
      <c r="AC73" s="138">
        <v>0</v>
      </c>
      <c r="AD73" s="138">
        <v>0</v>
      </c>
      <c r="AE73" s="138">
        <v>0</v>
      </c>
      <c r="AF73" s="138">
        <v>0</v>
      </c>
      <c r="AG73" s="138">
        <v>0</v>
      </c>
      <c r="AH73" s="138">
        <v>0</v>
      </c>
      <c r="AI73" s="138">
        <v>0</v>
      </c>
      <c r="AJ73" s="138">
        <v>0</v>
      </c>
      <c r="AK73" s="138">
        <v>0</v>
      </c>
      <c r="AL73" s="138">
        <v>0</v>
      </c>
      <c r="AM73" s="138">
        <v>0</v>
      </c>
      <c r="AN73" s="138">
        <v>0</v>
      </c>
      <c r="AO73" s="86">
        <v>0</v>
      </c>
      <c r="AP73" s="138">
        <v>0</v>
      </c>
      <c r="AQ73" s="138">
        <v>0</v>
      </c>
      <c r="AR73" s="138">
        <v>0</v>
      </c>
      <c r="AS73" s="138">
        <v>0</v>
      </c>
      <c r="AT73" s="138">
        <v>0</v>
      </c>
      <c r="AU73" s="138">
        <v>0</v>
      </c>
      <c r="AV73" s="138">
        <v>0</v>
      </c>
      <c r="AW73" s="138">
        <v>0</v>
      </c>
      <c r="AX73" s="138">
        <v>0</v>
      </c>
      <c r="AY73" s="138">
        <v>0</v>
      </c>
      <c r="AZ73" s="138">
        <v>0</v>
      </c>
      <c r="BA73" s="138">
        <v>0</v>
      </c>
      <c r="BB73" s="86">
        <v>0</v>
      </c>
      <c r="BC73" s="138">
        <v>0</v>
      </c>
      <c r="BD73" s="138">
        <v>0</v>
      </c>
      <c r="BE73" s="138">
        <v>0</v>
      </c>
      <c r="BF73" s="138">
        <v>0</v>
      </c>
      <c r="BG73" s="138">
        <v>0</v>
      </c>
      <c r="BH73" s="138">
        <v>0</v>
      </c>
      <c r="BI73" s="138">
        <v>0</v>
      </c>
      <c r="BJ73" s="138">
        <v>0</v>
      </c>
      <c r="BK73" s="138">
        <v>0</v>
      </c>
      <c r="BL73" s="138">
        <v>0</v>
      </c>
      <c r="BM73" s="138">
        <v>0</v>
      </c>
      <c r="BN73" s="138">
        <v>0</v>
      </c>
      <c r="BO73" s="86">
        <v>0</v>
      </c>
      <c r="BP73" s="138">
        <v>1506.77762173533</v>
      </c>
      <c r="BQ73" s="138">
        <v>0</v>
      </c>
      <c r="BR73" s="138">
        <v>0</v>
      </c>
      <c r="BS73" s="138">
        <v>0</v>
      </c>
      <c r="BT73" s="138">
        <v>0</v>
      </c>
      <c r="BU73" s="138">
        <v>0</v>
      </c>
      <c r="BV73" s="138">
        <v>0</v>
      </c>
      <c r="BW73" s="138">
        <v>0</v>
      </c>
      <c r="BX73" s="138">
        <v>0</v>
      </c>
      <c r="BY73" s="138">
        <v>0</v>
      </c>
      <c r="BZ73" s="138">
        <v>0</v>
      </c>
      <c r="CA73" s="138">
        <v>0</v>
      </c>
      <c r="CB73" s="86">
        <v>1506.77762173533</v>
      </c>
      <c r="CC73" s="138">
        <v>0</v>
      </c>
      <c r="CD73" s="138">
        <v>0</v>
      </c>
      <c r="CE73" s="138">
        <v>0</v>
      </c>
      <c r="CF73" s="138">
        <v>0</v>
      </c>
      <c r="CG73" s="138">
        <v>0</v>
      </c>
      <c r="CH73" s="138">
        <v>0</v>
      </c>
      <c r="CI73" s="138">
        <v>0</v>
      </c>
      <c r="CJ73" s="138">
        <v>0</v>
      </c>
      <c r="CK73" s="138">
        <v>0</v>
      </c>
      <c r="CL73" s="138">
        <v>0</v>
      </c>
      <c r="CM73" s="138">
        <v>0</v>
      </c>
      <c r="CN73" s="138">
        <v>0</v>
      </c>
      <c r="CO73" s="86">
        <v>0</v>
      </c>
      <c r="CP73" s="138">
        <v>0</v>
      </c>
      <c r="CQ73" s="138">
        <v>0</v>
      </c>
      <c r="CR73" s="138">
        <v>0</v>
      </c>
      <c r="CS73" s="138">
        <v>0</v>
      </c>
      <c r="CT73" s="138">
        <v>0</v>
      </c>
      <c r="CU73" s="138">
        <v>0</v>
      </c>
      <c r="CV73" s="138">
        <v>0</v>
      </c>
      <c r="CW73" s="138">
        <v>0</v>
      </c>
      <c r="CX73" s="138">
        <v>0</v>
      </c>
      <c r="CY73" s="138">
        <v>0</v>
      </c>
      <c r="CZ73" s="138">
        <v>0</v>
      </c>
      <c r="DA73" s="138">
        <v>0</v>
      </c>
      <c r="DB73" s="86">
        <v>0</v>
      </c>
      <c r="DC73" s="138">
        <v>0</v>
      </c>
      <c r="DD73" s="138">
        <v>0</v>
      </c>
      <c r="DE73" s="138">
        <v>0</v>
      </c>
      <c r="DF73" s="138">
        <v>0</v>
      </c>
      <c r="DG73" s="138">
        <v>0</v>
      </c>
      <c r="DH73" s="138">
        <v>0</v>
      </c>
      <c r="DI73" s="138">
        <v>0</v>
      </c>
      <c r="DJ73" s="138">
        <v>0</v>
      </c>
      <c r="DK73" s="138">
        <v>0</v>
      </c>
      <c r="DL73" s="138">
        <v>0</v>
      </c>
      <c r="DM73" s="138">
        <v>0</v>
      </c>
      <c r="DN73" s="138">
        <v>0</v>
      </c>
      <c r="DO73" s="86">
        <v>0</v>
      </c>
      <c r="DP73" s="138">
        <v>0</v>
      </c>
      <c r="DQ73" s="138">
        <v>0</v>
      </c>
      <c r="DR73" s="138">
        <v>0</v>
      </c>
      <c r="DS73" s="138">
        <v>0</v>
      </c>
      <c r="DT73" s="138">
        <v>0</v>
      </c>
      <c r="DU73" s="138">
        <v>0</v>
      </c>
      <c r="DV73" s="138">
        <v>0</v>
      </c>
      <c r="DW73" s="138">
        <v>0</v>
      </c>
      <c r="DX73" s="138">
        <v>0</v>
      </c>
      <c r="DY73" s="138">
        <v>0</v>
      </c>
      <c r="DZ73" s="138">
        <v>0</v>
      </c>
      <c r="EA73" s="138">
        <v>0</v>
      </c>
      <c r="EB73" s="85">
        <v>0</v>
      </c>
      <c r="EC73" s="87">
        <v>0</v>
      </c>
      <c r="ED73" s="85">
        <v>0</v>
      </c>
      <c r="EE73" s="85">
        <v>0</v>
      </c>
      <c r="EF73" s="85">
        <v>0</v>
      </c>
      <c r="EG73" s="85">
        <v>0</v>
      </c>
      <c r="EH73" s="85">
        <v>0</v>
      </c>
      <c r="EI73" s="85">
        <v>0</v>
      </c>
      <c r="EJ73" s="85">
        <v>0</v>
      </c>
      <c r="EK73" s="85">
        <v>0</v>
      </c>
      <c r="EL73" s="85">
        <v>0</v>
      </c>
      <c r="EM73" s="85">
        <v>0</v>
      </c>
      <c r="EN73" s="85">
        <v>0</v>
      </c>
      <c r="EO73" s="152">
        <v>0</v>
      </c>
      <c r="EP73" s="85">
        <v>0</v>
      </c>
      <c r="EQ73" s="85">
        <v>0</v>
      </c>
      <c r="ER73" s="85">
        <v>0</v>
      </c>
      <c r="ES73" s="85">
        <v>0</v>
      </c>
      <c r="ET73" s="85">
        <v>0</v>
      </c>
      <c r="EU73" s="85">
        <v>0</v>
      </c>
      <c r="EV73" s="85">
        <v>0</v>
      </c>
      <c r="EW73" s="85">
        <v>0</v>
      </c>
      <c r="EX73" s="85">
        <v>0</v>
      </c>
      <c r="EY73" s="85">
        <v>0</v>
      </c>
      <c r="EZ73" s="85">
        <v>0</v>
      </c>
      <c r="FA73" s="85">
        <v>0</v>
      </c>
      <c r="FB73" s="85">
        <v>0</v>
      </c>
      <c r="FC73" s="87">
        <v>0</v>
      </c>
      <c r="FD73" s="85">
        <v>0</v>
      </c>
      <c r="FE73" s="85">
        <v>0</v>
      </c>
      <c r="FF73" s="85">
        <v>0</v>
      </c>
      <c r="FG73" s="85">
        <v>0</v>
      </c>
      <c r="FH73" s="85">
        <v>0</v>
      </c>
      <c r="FI73" s="85">
        <v>0</v>
      </c>
      <c r="FJ73" s="85">
        <v>0</v>
      </c>
      <c r="FK73" s="85">
        <v>0</v>
      </c>
      <c r="FL73" s="85">
        <v>0</v>
      </c>
      <c r="FM73" s="85">
        <v>0</v>
      </c>
      <c r="FN73" s="85">
        <v>0</v>
      </c>
      <c r="FO73" s="86">
        <v>0</v>
      </c>
      <c r="FP73" s="87">
        <v>0</v>
      </c>
      <c r="FQ73" s="85">
        <v>77.3320444659256</v>
      </c>
      <c r="FR73" s="85">
        <v>0</v>
      </c>
      <c r="FS73" s="85">
        <v>277.896172534311</v>
      </c>
      <c r="FT73" s="85">
        <v>0</v>
      </c>
      <c r="FU73" s="85">
        <v>0</v>
      </c>
      <c r="FV73" s="85">
        <v>0</v>
      </c>
      <c r="FW73" s="85">
        <v>0</v>
      </c>
      <c r="FX73" s="85">
        <v>0</v>
      </c>
      <c r="FY73" s="85">
        <v>0</v>
      </c>
      <c r="FZ73" s="85">
        <v>0</v>
      </c>
      <c r="GA73" s="85">
        <v>0</v>
      </c>
      <c r="GB73" s="152">
        <v>355.228217000236</v>
      </c>
      <c r="GD73" s="153"/>
    </row>
    <row r="74" spans="1:186">
      <c r="A74" s="137" t="s">
        <v>173</v>
      </c>
      <c r="B74" s="151">
        <v>204304.859370841</v>
      </c>
      <c r="C74" s="138">
        <f t="shared" si="24"/>
        <v>1806.71072131859</v>
      </c>
      <c r="D74" s="138">
        <f t="shared" si="13"/>
        <v>259.678187225867</v>
      </c>
      <c r="E74" s="138">
        <f t="shared" si="14"/>
        <v>956.175298804781</v>
      </c>
      <c r="F74" s="138">
        <f t="shared" si="15"/>
        <v>1365.32604313794</v>
      </c>
      <c r="G74" s="138">
        <f t="shared" si="16"/>
        <v>0</v>
      </c>
      <c r="H74" s="138">
        <f t="shared" si="17"/>
        <v>0</v>
      </c>
      <c r="I74" s="138">
        <f t="shared" si="18"/>
        <v>0</v>
      </c>
      <c r="J74" s="138">
        <f t="shared" si="19"/>
        <v>0</v>
      </c>
      <c r="K74" s="138">
        <f t="shared" si="20"/>
        <v>0</v>
      </c>
      <c r="L74" s="138">
        <f t="shared" si="21"/>
        <v>0</v>
      </c>
      <c r="M74" s="138">
        <f t="shared" si="22"/>
        <v>0</v>
      </c>
      <c r="N74" s="138">
        <f t="shared" si="23"/>
        <v>0</v>
      </c>
      <c r="O74" s="86">
        <f t="shared" si="25"/>
        <v>4387.89025048718</v>
      </c>
      <c r="P74" s="138">
        <v>279.407467350012</v>
      </c>
      <c r="Q74" s="138">
        <v>0</v>
      </c>
      <c r="R74" s="138">
        <v>0</v>
      </c>
      <c r="S74" s="138">
        <v>0</v>
      </c>
      <c r="T74" s="138">
        <v>0</v>
      </c>
      <c r="U74" s="138">
        <v>0</v>
      </c>
      <c r="V74" s="138">
        <v>0</v>
      </c>
      <c r="W74" s="138">
        <v>0</v>
      </c>
      <c r="X74" s="138">
        <v>0</v>
      </c>
      <c r="Y74" s="138">
        <v>0</v>
      </c>
      <c r="Z74" s="138">
        <v>0</v>
      </c>
      <c r="AA74" s="138">
        <v>0</v>
      </c>
      <c r="AB74" s="86">
        <v>279.407467350012</v>
      </c>
      <c r="AC74" s="138">
        <v>0</v>
      </c>
      <c r="AD74" s="138">
        <v>0</v>
      </c>
      <c r="AE74" s="138">
        <v>0</v>
      </c>
      <c r="AF74" s="138">
        <v>0</v>
      </c>
      <c r="AG74" s="138">
        <v>0</v>
      </c>
      <c r="AH74" s="138">
        <v>0</v>
      </c>
      <c r="AI74" s="138">
        <v>0</v>
      </c>
      <c r="AJ74" s="138">
        <v>0</v>
      </c>
      <c r="AK74" s="138">
        <v>0</v>
      </c>
      <c r="AL74" s="138">
        <v>0</v>
      </c>
      <c r="AM74" s="138">
        <v>0</v>
      </c>
      <c r="AN74" s="138">
        <v>0</v>
      </c>
      <c r="AO74" s="86">
        <v>0</v>
      </c>
      <c r="AP74" s="138">
        <v>0</v>
      </c>
      <c r="AQ74" s="138">
        <v>0</v>
      </c>
      <c r="AR74" s="138">
        <v>0</v>
      </c>
      <c r="AS74" s="138">
        <v>0</v>
      </c>
      <c r="AT74" s="138">
        <v>0</v>
      </c>
      <c r="AU74" s="138">
        <v>0</v>
      </c>
      <c r="AV74" s="138">
        <v>0</v>
      </c>
      <c r="AW74" s="138">
        <v>0</v>
      </c>
      <c r="AX74" s="138">
        <v>0</v>
      </c>
      <c r="AY74" s="138">
        <v>0</v>
      </c>
      <c r="AZ74" s="138">
        <v>0</v>
      </c>
      <c r="BA74" s="138">
        <v>0</v>
      </c>
      <c r="BB74" s="86">
        <v>0</v>
      </c>
      <c r="BC74" s="138">
        <v>0</v>
      </c>
      <c r="BD74" s="138">
        <v>0</v>
      </c>
      <c r="BE74" s="138">
        <v>0</v>
      </c>
      <c r="BF74" s="138">
        <v>0</v>
      </c>
      <c r="BG74" s="138">
        <v>0</v>
      </c>
      <c r="BH74" s="138">
        <v>0</v>
      </c>
      <c r="BI74" s="138">
        <v>0</v>
      </c>
      <c r="BJ74" s="138">
        <v>0</v>
      </c>
      <c r="BK74" s="138">
        <v>0</v>
      </c>
      <c r="BL74" s="138">
        <v>0</v>
      </c>
      <c r="BM74" s="138">
        <v>0</v>
      </c>
      <c r="BN74" s="138">
        <v>0</v>
      </c>
      <c r="BO74" s="86">
        <v>0</v>
      </c>
      <c r="BP74" s="138">
        <v>0</v>
      </c>
      <c r="BQ74" s="138">
        <v>0</v>
      </c>
      <c r="BR74" s="138">
        <v>0</v>
      </c>
      <c r="BS74" s="138">
        <v>0</v>
      </c>
      <c r="BT74" s="138">
        <v>0</v>
      </c>
      <c r="BU74" s="138">
        <v>0</v>
      </c>
      <c r="BV74" s="138">
        <v>0</v>
      </c>
      <c r="BW74" s="138">
        <v>0</v>
      </c>
      <c r="BX74" s="138">
        <v>0</v>
      </c>
      <c r="BY74" s="138">
        <v>0</v>
      </c>
      <c r="BZ74" s="138">
        <v>0</v>
      </c>
      <c r="CA74" s="138">
        <v>0</v>
      </c>
      <c r="CB74" s="86">
        <v>0</v>
      </c>
      <c r="CC74" s="138">
        <v>0</v>
      </c>
      <c r="CD74" s="138">
        <v>0</v>
      </c>
      <c r="CE74" s="138">
        <v>0</v>
      </c>
      <c r="CF74" s="138">
        <v>0</v>
      </c>
      <c r="CG74" s="138">
        <v>0</v>
      </c>
      <c r="CH74" s="138">
        <v>0</v>
      </c>
      <c r="CI74" s="138">
        <v>0</v>
      </c>
      <c r="CJ74" s="138">
        <v>0</v>
      </c>
      <c r="CK74" s="138">
        <v>0</v>
      </c>
      <c r="CL74" s="138">
        <v>0</v>
      </c>
      <c r="CM74" s="138">
        <v>0</v>
      </c>
      <c r="CN74" s="138">
        <v>0</v>
      </c>
      <c r="CO74" s="86">
        <v>0</v>
      </c>
      <c r="CP74" s="138">
        <v>0</v>
      </c>
      <c r="CQ74" s="138">
        <v>0</v>
      </c>
      <c r="CR74" s="138">
        <v>0</v>
      </c>
      <c r="CS74" s="138">
        <v>0</v>
      </c>
      <c r="CT74" s="138">
        <v>0</v>
      </c>
      <c r="CU74" s="138">
        <v>0</v>
      </c>
      <c r="CV74" s="138">
        <v>0</v>
      </c>
      <c r="CW74" s="138">
        <v>0</v>
      </c>
      <c r="CX74" s="138">
        <v>0</v>
      </c>
      <c r="CY74" s="138">
        <v>0</v>
      </c>
      <c r="CZ74" s="138">
        <v>0</v>
      </c>
      <c r="DA74" s="138">
        <v>0</v>
      </c>
      <c r="DB74" s="86">
        <v>0</v>
      </c>
      <c r="DC74" s="138">
        <v>0</v>
      </c>
      <c r="DD74" s="138">
        <v>0</v>
      </c>
      <c r="DE74" s="138">
        <v>0</v>
      </c>
      <c r="DF74" s="138">
        <v>0</v>
      </c>
      <c r="DG74" s="138">
        <v>0</v>
      </c>
      <c r="DH74" s="138">
        <v>0</v>
      </c>
      <c r="DI74" s="138">
        <v>0</v>
      </c>
      <c r="DJ74" s="138">
        <v>0</v>
      </c>
      <c r="DK74" s="138">
        <v>0</v>
      </c>
      <c r="DL74" s="138">
        <v>0</v>
      </c>
      <c r="DM74" s="138">
        <v>0</v>
      </c>
      <c r="DN74" s="138">
        <v>0</v>
      </c>
      <c r="DO74" s="86">
        <v>0</v>
      </c>
      <c r="DP74" s="138">
        <v>0</v>
      </c>
      <c r="DQ74" s="138">
        <v>107.395131095284</v>
      </c>
      <c r="DR74" s="138">
        <v>0</v>
      </c>
      <c r="DS74" s="138">
        <v>875.511949850622</v>
      </c>
      <c r="DT74" s="138">
        <v>0</v>
      </c>
      <c r="DU74" s="138">
        <v>0</v>
      </c>
      <c r="DV74" s="138">
        <v>0</v>
      </c>
      <c r="DW74" s="138">
        <v>0</v>
      </c>
      <c r="DX74" s="138">
        <v>0</v>
      </c>
      <c r="DY74" s="138">
        <v>0</v>
      </c>
      <c r="DZ74" s="138">
        <v>0</v>
      </c>
      <c r="EA74" s="138">
        <v>0</v>
      </c>
      <c r="EB74" s="85">
        <v>982.907080945906</v>
      </c>
      <c r="EC74" s="87">
        <v>0</v>
      </c>
      <c r="ED74" s="85">
        <v>0</v>
      </c>
      <c r="EE74" s="85">
        <v>0</v>
      </c>
      <c r="EF74" s="85">
        <v>0</v>
      </c>
      <c r="EG74" s="85">
        <v>0</v>
      </c>
      <c r="EH74" s="85">
        <v>0</v>
      </c>
      <c r="EI74" s="85">
        <v>0</v>
      </c>
      <c r="EJ74" s="85">
        <v>0</v>
      </c>
      <c r="EK74" s="85">
        <v>0</v>
      </c>
      <c r="EL74" s="85">
        <v>0</v>
      </c>
      <c r="EM74" s="85">
        <v>0</v>
      </c>
      <c r="EN74" s="85">
        <v>0</v>
      </c>
      <c r="EO74" s="152">
        <v>0</v>
      </c>
      <c r="EP74" s="85">
        <v>0</v>
      </c>
      <c r="EQ74" s="85">
        <v>0</v>
      </c>
      <c r="ER74" s="85">
        <v>0</v>
      </c>
      <c r="ES74" s="85">
        <v>0</v>
      </c>
      <c r="ET74" s="85">
        <v>0</v>
      </c>
      <c r="EU74" s="85">
        <v>0</v>
      </c>
      <c r="EV74" s="85">
        <v>0</v>
      </c>
      <c r="EW74" s="85">
        <v>0</v>
      </c>
      <c r="EX74" s="85">
        <v>0</v>
      </c>
      <c r="EY74" s="85">
        <v>0</v>
      </c>
      <c r="EZ74" s="85">
        <v>0</v>
      </c>
      <c r="FA74" s="85">
        <v>0</v>
      </c>
      <c r="FB74" s="85">
        <v>0</v>
      </c>
      <c r="FC74" s="87">
        <v>0</v>
      </c>
      <c r="FD74" s="85">
        <v>0</v>
      </c>
      <c r="FE74" s="85">
        <v>0</v>
      </c>
      <c r="FF74" s="85">
        <v>0</v>
      </c>
      <c r="FG74" s="85">
        <v>0</v>
      </c>
      <c r="FH74" s="85">
        <v>0</v>
      </c>
      <c r="FI74" s="85">
        <v>0</v>
      </c>
      <c r="FJ74" s="85">
        <v>0</v>
      </c>
      <c r="FK74" s="85">
        <v>0</v>
      </c>
      <c r="FL74" s="85">
        <v>0</v>
      </c>
      <c r="FM74" s="85">
        <v>0</v>
      </c>
      <c r="FN74" s="85">
        <v>0</v>
      </c>
      <c r="FO74" s="86">
        <v>0</v>
      </c>
      <c r="FP74" s="87">
        <v>1527.30325396858</v>
      </c>
      <c r="FQ74" s="85">
        <v>152.283056130583</v>
      </c>
      <c r="FR74" s="85">
        <v>956.175298804781</v>
      </c>
      <c r="FS74" s="85">
        <v>489.81409328732</v>
      </c>
      <c r="FT74" s="85">
        <v>0</v>
      </c>
      <c r="FU74" s="85">
        <v>0</v>
      </c>
      <c r="FV74" s="85">
        <v>0</v>
      </c>
      <c r="FW74" s="85">
        <v>0</v>
      </c>
      <c r="FX74" s="85">
        <v>0</v>
      </c>
      <c r="FY74" s="85">
        <v>0</v>
      </c>
      <c r="FZ74" s="85">
        <v>0</v>
      </c>
      <c r="GA74" s="85">
        <v>0</v>
      </c>
      <c r="GB74" s="152">
        <v>3125.57570219126</v>
      </c>
      <c r="GD74" s="153"/>
    </row>
    <row r="75" spans="1:186">
      <c r="A75" s="137" t="s">
        <v>175</v>
      </c>
      <c r="B75" s="151">
        <v>241414.437860003</v>
      </c>
      <c r="C75" s="138">
        <f t="shared" si="24"/>
        <v>2027.58341422428</v>
      </c>
      <c r="D75" s="138">
        <f t="shared" si="13"/>
        <v>760.289858973117</v>
      </c>
      <c r="E75" s="138">
        <f t="shared" si="14"/>
        <v>1299.80774333432</v>
      </c>
      <c r="F75" s="138">
        <f t="shared" si="15"/>
        <v>1165.26043420129</v>
      </c>
      <c r="G75" s="138">
        <f t="shared" si="16"/>
        <v>1228.5951883335</v>
      </c>
      <c r="H75" s="138">
        <f t="shared" si="17"/>
        <v>0</v>
      </c>
      <c r="I75" s="138">
        <f t="shared" si="18"/>
        <v>0</v>
      </c>
      <c r="J75" s="138">
        <f t="shared" si="19"/>
        <v>0</v>
      </c>
      <c r="K75" s="138">
        <f t="shared" si="20"/>
        <v>0</v>
      </c>
      <c r="L75" s="138">
        <f t="shared" si="21"/>
        <v>0</v>
      </c>
      <c r="M75" s="138">
        <f t="shared" si="22"/>
        <v>0</v>
      </c>
      <c r="N75" s="138">
        <f t="shared" si="23"/>
        <v>0</v>
      </c>
      <c r="O75" s="86">
        <f t="shared" si="25"/>
        <v>6481.53663906651</v>
      </c>
      <c r="P75" s="138">
        <v>0</v>
      </c>
      <c r="Q75" s="138">
        <v>0</v>
      </c>
      <c r="R75" s="138">
        <v>0</v>
      </c>
      <c r="S75" s="138">
        <v>0</v>
      </c>
      <c r="T75" s="138">
        <v>0</v>
      </c>
      <c r="U75" s="138">
        <v>0</v>
      </c>
      <c r="V75" s="138">
        <v>0</v>
      </c>
      <c r="W75" s="138">
        <v>0</v>
      </c>
      <c r="X75" s="138">
        <v>0</v>
      </c>
      <c r="Y75" s="138">
        <v>0</v>
      </c>
      <c r="Z75" s="138">
        <v>0</v>
      </c>
      <c r="AA75" s="138">
        <v>0</v>
      </c>
      <c r="AB75" s="86">
        <v>0</v>
      </c>
      <c r="AC75" s="138">
        <v>0</v>
      </c>
      <c r="AD75" s="138">
        <v>0</v>
      </c>
      <c r="AE75" s="138">
        <v>0</v>
      </c>
      <c r="AF75" s="138">
        <v>0</v>
      </c>
      <c r="AG75" s="138">
        <v>0</v>
      </c>
      <c r="AH75" s="138">
        <v>0</v>
      </c>
      <c r="AI75" s="138">
        <v>0</v>
      </c>
      <c r="AJ75" s="138">
        <v>0</v>
      </c>
      <c r="AK75" s="138">
        <v>0</v>
      </c>
      <c r="AL75" s="138">
        <v>0</v>
      </c>
      <c r="AM75" s="138">
        <v>0</v>
      </c>
      <c r="AN75" s="138">
        <v>0</v>
      </c>
      <c r="AO75" s="86">
        <v>0</v>
      </c>
      <c r="AP75" s="138">
        <v>0</v>
      </c>
      <c r="AQ75" s="138">
        <v>0</v>
      </c>
      <c r="AR75" s="138">
        <v>0</v>
      </c>
      <c r="AS75" s="138">
        <v>0</v>
      </c>
      <c r="AT75" s="138">
        <v>0</v>
      </c>
      <c r="AU75" s="138">
        <v>0</v>
      </c>
      <c r="AV75" s="138">
        <v>0</v>
      </c>
      <c r="AW75" s="138">
        <v>0</v>
      </c>
      <c r="AX75" s="138">
        <v>0</v>
      </c>
      <c r="AY75" s="138">
        <v>0</v>
      </c>
      <c r="AZ75" s="138">
        <v>0</v>
      </c>
      <c r="BA75" s="138">
        <v>0</v>
      </c>
      <c r="BB75" s="86">
        <v>0</v>
      </c>
      <c r="BC75" s="138">
        <v>0</v>
      </c>
      <c r="BD75" s="138">
        <v>0</v>
      </c>
      <c r="BE75" s="138">
        <v>0</v>
      </c>
      <c r="BF75" s="138">
        <v>0</v>
      </c>
      <c r="BG75" s="138">
        <v>0</v>
      </c>
      <c r="BH75" s="138">
        <v>0</v>
      </c>
      <c r="BI75" s="138">
        <v>0</v>
      </c>
      <c r="BJ75" s="138">
        <v>0</v>
      </c>
      <c r="BK75" s="138">
        <v>0</v>
      </c>
      <c r="BL75" s="138">
        <v>0</v>
      </c>
      <c r="BM75" s="138">
        <v>0</v>
      </c>
      <c r="BN75" s="138">
        <v>0</v>
      </c>
      <c r="BO75" s="86">
        <v>0</v>
      </c>
      <c r="BP75" s="138">
        <v>83.709652942061</v>
      </c>
      <c r="BQ75" s="138">
        <v>0</v>
      </c>
      <c r="BR75" s="138">
        <v>0</v>
      </c>
      <c r="BS75" s="138">
        <v>0</v>
      </c>
      <c r="BT75" s="138">
        <v>0</v>
      </c>
      <c r="BU75" s="138">
        <v>0</v>
      </c>
      <c r="BV75" s="138">
        <v>0</v>
      </c>
      <c r="BW75" s="138">
        <v>0</v>
      </c>
      <c r="BX75" s="138">
        <v>0</v>
      </c>
      <c r="BY75" s="138">
        <v>0</v>
      </c>
      <c r="BZ75" s="138">
        <v>0</v>
      </c>
      <c r="CA75" s="138">
        <v>0</v>
      </c>
      <c r="CB75" s="86">
        <v>83.709652942061</v>
      </c>
      <c r="CC75" s="138">
        <v>1730.48680435885</v>
      </c>
      <c r="CD75" s="138">
        <v>665.683866972301</v>
      </c>
      <c r="CE75" s="138">
        <v>1104.71706888226</v>
      </c>
      <c r="CF75" s="138">
        <v>1165.26043420129</v>
      </c>
      <c r="CG75" s="138">
        <v>1228.5951883335</v>
      </c>
      <c r="CH75" s="138">
        <v>0</v>
      </c>
      <c r="CI75" s="138">
        <v>0</v>
      </c>
      <c r="CJ75" s="138">
        <v>0</v>
      </c>
      <c r="CK75" s="138">
        <v>0</v>
      </c>
      <c r="CL75" s="138">
        <v>0</v>
      </c>
      <c r="CM75" s="138">
        <v>0</v>
      </c>
      <c r="CN75" s="138">
        <v>0</v>
      </c>
      <c r="CO75" s="86">
        <v>5894.7433627482</v>
      </c>
      <c r="CP75" s="138">
        <v>0</v>
      </c>
      <c r="CQ75" s="138">
        <v>0</v>
      </c>
      <c r="CR75" s="138">
        <v>0</v>
      </c>
      <c r="CS75" s="138">
        <v>0</v>
      </c>
      <c r="CT75" s="138">
        <v>0</v>
      </c>
      <c r="CU75" s="138">
        <v>0</v>
      </c>
      <c r="CV75" s="138">
        <v>0</v>
      </c>
      <c r="CW75" s="138">
        <v>0</v>
      </c>
      <c r="CX75" s="138">
        <v>0</v>
      </c>
      <c r="CY75" s="138">
        <v>0</v>
      </c>
      <c r="CZ75" s="138">
        <v>0</v>
      </c>
      <c r="DA75" s="138">
        <v>0</v>
      </c>
      <c r="DB75" s="86">
        <v>0</v>
      </c>
      <c r="DC75" s="138">
        <v>0</v>
      </c>
      <c r="DD75" s="138">
        <v>94.6059920008165</v>
      </c>
      <c r="DE75" s="138">
        <v>90.8952482320367</v>
      </c>
      <c r="DF75" s="138">
        <v>0</v>
      </c>
      <c r="DG75" s="138">
        <v>0</v>
      </c>
      <c r="DH75" s="138">
        <v>0</v>
      </c>
      <c r="DI75" s="138">
        <v>0</v>
      </c>
      <c r="DJ75" s="138">
        <v>0</v>
      </c>
      <c r="DK75" s="138">
        <v>0</v>
      </c>
      <c r="DL75" s="138">
        <v>0</v>
      </c>
      <c r="DM75" s="138">
        <v>0</v>
      </c>
      <c r="DN75" s="138">
        <v>0</v>
      </c>
      <c r="DO75" s="86">
        <v>185.501240232853</v>
      </c>
      <c r="DP75" s="138">
        <v>213.386956923369</v>
      </c>
      <c r="DQ75" s="138">
        <v>0</v>
      </c>
      <c r="DR75" s="138">
        <v>104.195426220031</v>
      </c>
      <c r="DS75" s="138">
        <v>0</v>
      </c>
      <c r="DT75" s="138">
        <v>0</v>
      </c>
      <c r="DU75" s="138">
        <v>0</v>
      </c>
      <c r="DV75" s="138">
        <v>0</v>
      </c>
      <c r="DW75" s="138">
        <v>0</v>
      </c>
      <c r="DX75" s="138">
        <v>0</v>
      </c>
      <c r="DY75" s="138">
        <v>0</v>
      </c>
      <c r="DZ75" s="138">
        <v>0</v>
      </c>
      <c r="EA75" s="138">
        <v>0</v>
      </c>
      <c r="EB75" s="85">
        <v>317.5823831434</v>
      </c>
      <c r="EC75" s="87">
        <v>0</v>
      </c>
      <c r="ED75" s="85">
        <v>0</v>
      </c>
      <c r="EE75" s="85">
        <v>0</v>
      </c>
      <c r="EF75" s="85">
        <v>0</v>
      </c>
      <c r="EG75" s="85">
        <v>0</v>
      </c>
      <c r="EH75" s="85">
        <v>0</v>
      </c>
      <c r="EI75" s="85">
        <v>0</v>
      </c>
      <c r="EJ75" s="85">
        <v>0</v>
      </c>
      <c r="EK75" s="85">
        <v>0</v>
      </c>
      <c r="EL75" s="85">
        <v>0</v>
      </c>
      <c r="EM75" s="85">
        <v>0</v>
      </c>
      <c r="EN75" s="85">
        <v>0</v>
      </c>
      <c r="EO75" s="152">
        <v>0</v>
      </c>
      <c r="EP75" s="85">
        <v>0</v>
      </c>
      <c r="EQ75" s="85">
        <v>0</v>
      </c>
      <c r="ER75" s="85">
        <v>0</v>
      </c>
      <c r="ES75" s="85">
        <v>0</v>
      </c>
      <c r="ET75" s="85">
        <v>0</v>
      </c>
      <c r="EU75" s="85">
        <v>0</v>
      </c>
      <c r="EV75" s="85">
        <v>0</v>
      </c>
      <c r="EW75" s="85">
        <v>0</v>
      </c>
      <c r="EX75" s="85">
        <v>0</v>
      </c>
      <c r="EY75" s="85">
        <v>0</v>
      </c>
      <c r="EZ75" s="85">
        <v>0</v>
      </c>
      <c r="FA75" s="85">
        <v>0</v>
      </c>
      <c r="FB75" s="85">
        <v>0</v>
      </c>
      <c r="FC75" s="87">
        <v>0</v>
      </c>
      <c r="FD75" s="85">
        <v>0</v>
      </c>
      <c r="FE75" s="85">
        <v>0</v>
      </c>
      <c r="FF75" s="85">
        <v>0</v>
      </c>
      <c r="FG75" s="85">
        <v>0</v>
      </c>
      <c r="FH75" s="85">
        <v>0</v>
      </c>
      <c r="FI75" s="85">
        <v>0</v>
      </c>
      <c r="FJ75" s="85">
        <v>0</v>
      </c>
      <c r="FK75" s="85">
        <v>0</v>
      </c>
      <c r="FL75" s="85">
        <v>0</v>
      </c>
      <c r="FM75" s="85">
        <v>0</v>
      </c>
      <c r="FN75" s="85">
        <v>0</v>
      </c>
      <c r="FO75" s="86">
        <v>0</v>
      </c>
      <c r="FP75" s="87">
        <v>0</v>
      </c>
      <c r="FQ75" s="85">
        <v>0</v>
      </c>
      <c r="FR75" s="85">
        <v>0</v>
      </c>
      <c r="FS75" s="85">
        <v>0</v>
      </c>
      <c r="FT75" s="85">
        <v>0</v>
      </c>
      <c r="FU75" s="85">
        <v>0</v>
      </c>
      <c r="FV75" s="85">
        <v>0</v>
      </c>
      <c r="FW75" s="85">
        <v>0</v>
      </c>
      <c r="FX75" s="85">
        <v>0</v>
      </c>
      <c r="FY75" s="85">
        <v>0</v>
      </c>
      <c r="FZ75" s="85">
        <v>0</v>
      </c>
      <c r="GA75" s="85">
        <v>0</v>
      </c>
      <c r="GB75" s="152">
        <v>0</v>
      </c>
      <c r="GD75" s="153"/>
    </row>
    <row r="76" spans="1:186">
      <c r="A76" s="137" t="s">
        <v>177</v>
      </c>
      <c r="B76" s="151">
        <v>165874.190168992</v>
      </c>
      <c r="C76" s="138">
        <f t="shared" si="24"/>
        <v>0</v>
      </c>
      <c r="D76" s="138">
        <f t="shared" si="13"/>
        <v>0</v>
      </c>
      <c r="E76" s="138">
        <f t="shared" si="14"/>
        <v>0</v>
      </c>
      <c r="F76" s="138">
        <f t="shared" si="15"/>
        <v>0</v>
      </c>
      <c r="G76" s="138">
        <f t="shared" si="16"/>
        <v>0</v>
      </c>
      <c r="H76" s="138">
        <f t="shared" si="17"/>
        <v>0</v>
      </c>
      <c r="I76" s="138">
        <f t="shared" si="18"/>
        <v>0</v>
      </c>
      <c r="J76" s="138">
        <f t="shared" si="19"/>
        <v>0</v>
      </c>
      <c r="K76" s="138">
        <f t="shared" si="20"/>
        <v>0</v>
      </c>
      <c r="L76" s="138">
        <f t="shared" si="21"/>
        <v>0</v>
      </c>
      <c r="M76" s="138">
        <f t="shared" si="22"/>
        <v>0</v>
      </c>
      <c r="N76" s="138">
        <f t="shared" si="23"/>
        <v>0</v>
      </c>
      <c r="O76" s="86">
        <f t="shared" si="25"/>
        <v>0</v>
      </c>
      <c r="P76" s="138">
        <v>0</v>
      </c>
      <c r="Q76" s="138">
        <v>0</v>
      </c>
      <c r="R76" s="138">
        <v>0</v>
      </c>
      <c r="S76" s="138">
        <v>0</v>
      </c>
      <c r="T76" s="138">
        <v>0</v>
      </c>
      <c r="U76" s="138">
        <v>0</v>
      </c>
      <c r="V76" s="138">
        <v>0</v>
      </c>
      <c r="W76" s="138">
        <v>0</v>
      </c>
      <c r="X76" s="138">
        <v>0</v>
      </c>
      <c r="Y76" s="138">
        <v>0</v>
      </c>
      <c r="Z76" s="138">
        <v>0</v>
      </c>
      <c r="AA76" s="138">
        <v>0</v>
      </c>
      <c r="AB76" s="86">
        <v>0</v>
      </c>
      <c r="AC76" s="138">
        <v>0</v>
      </c>
      <c r="AD76" s="138">
        <v>0</v>
      </c>
      <c r="AE76" s="138">
        <v>0</v>
      </c>
      <c r="AF76" s="138">
        <v>0</v>
      </c>
      <c r="AG76" s="138">
        <v>0</v>
      </c>
      <c r="AH76" s="138">
        <v>0</v>
      </c>
      <c r="AI76" s="138">
        <v>0</v>
      </c>
      <c r="AJ76" s="138">
        <v>0</v>
      </c>
      <c r="AK76" s="138">
        <v>0</v>
      </c>
      <c r="AL76" s="138">
        <v>0</v>
      </c>
      <c r="AM76" s="138">
        <v>0</v>
      </c>
      <c r="AN76" s="138">
        <v>0</v>
      </c>
      <c r="AO76" s="86">
        <v>0</v>
      </c>
      <c r="AP76" s="138">
        <v>0</v>
      </c>
      <c r="AQ76" s="138">
        <v>0</v>
      </c>
      <c r="AR76" s="138">
        <v>0</v>
      </c>
      <c r="AS76" s="138">
        <v>0</v>
      </c>
      <c r="AT76" s="138">
        <v>0</v>
      </c>
      <c r="AU76" s="138">
        <v>0</v>
      </c>
      <c r="AV76" s="138">
        <v>0</v>
      </c>
      <c r="AW76" s="138">
        <v>0</v>
      </c>
      <c r="AX76" s="138">
        <v>0</v>
      </c>
      <c r="AY76" s="138">
        <v>0</v>
      </c>
      <c r="AZ76" s="138">
        <v>0</v>
      </c>
      <c r="BA76" s="138">
        <v>0</v>
      </c>
      <c r="BB76" s="86">
        <v>0</v>
      </c>
      <c r="BC76" s="138">
        <v>0</v>
      </c>
      <c r="BD76" s="138">
        <v>0</v>
      </c>
      <c r="BE76" s="138">
        <v>0</v>
      </c>
      <c r="BF76" s="138">
        <v>0</v>
      </c>
      <c r="BG76" s="138">
        <v>0</v>
      </c>
      <c r="BH76" s="138">
        <v>0</v>
      </c>
      <c r="BI76" s="138">
        <v>0</v>
      </c>
      <c r="BJ76" s="138">
        <v>0</v>
      </c>
      <c r="BK76" s="138">
        <v>0</v>
      </c>
      <c r="BL76" s="138">
        <v>0</v>
      </c>
      <c r="BM76" s="138">
        <v>0</v>
      </c>
      <c r="BN76" s="138">
        <v>0</v>
      </c>
      <c r="BO76" s="86">
        <v>0</v>
      </c>
      <c r="BP76" s="138">
        <v>0</v>
      </c>
      <c r="BQ76" s="138">
        <v>0</v>
      </c>
      <c r="BR76" s="138">
        <v>0</v>
      </c>
      <c r="BS76" s="138">
        <v>0</v>
      </c>
      <c r="BT76" s="138">
        <v>0</v>
      </c>
      <c r="BU76" s="138">
        <v>0</v>
      </c>
      <c r="BV76" s="138">
        <v>0</v>
      </c>
      <c r="BW76" s="138">
        <v>0</v>
      </c>
      <c r="BX76" s="138">
        <v>0</v>
      </c>
      <c r="BY76" s="138">
        <v>0</v>
      </c>
      <c r="BZ76" s="138">
        <v>0</v>
      </c>
      <c r="CA76" s="138">
        <v>0</v>
      </c>
      <c r="CB76" s="86">
        <v>0</v>
      </c>
      <c r="CC76" s="138">
        <v>0</v>
      </c>
      <c r="CD76" s="138">
        <v>0</v>
      </c>
      <c r="CE76" s="138">
        <v>0</v>
      </c>
      <c r="CF76" s="138">
        <v>0</v>
      </c>
      <c r="CG76" s="138">
        <v>0</v>
      </c>
      <c r="CH76" s="138">
        <v>0</v>
      </c>
      <c r="CI76" s="138">
        <v>0</v>
      </c>
      <c r="CJ76" s="138">
        <v>0</v>
      </c>
      <c r="CK76" s="138">
        <v>0</v>
      </c>
      <c r="CL76" s="138">
        <v>0</v>
      </c>
      <c r="CM76" s="138">
        <v>0</v>
      </c>
      <c r="CN76" s="138">
        <v>0</v>
      </c>
      <c r="CO76" s="86">
        <v>0</v>
      </c>
      <c r="CP76" s="138">
        <v>0</v>
      </c>
      <c r="CQ76" s="138">
        <v>0</v>
      </c>
      <c r="CR76" s="138">
        <v>0</v>
      </c>
      <c r="CS76" s="138">
        <v>0</v>
      </c>
      <c r="CT76" s="138">
        <v>0</v>
      </c>
      <c r="CU76" s="138">
        <v>0</v>
      </c>
      <c r="CV76" s="138">
        <v>0</v>
      </c>
      <c r="CW76" s="138">
        <v>0</v>
      </c>
      <c r="CX76" s="138">
        <v>0</v>
      </c>
      <c r="CY76" s="138">
        <v>0</v>
      </c>
      <c r="CZ76" s="138">
        <v>0</v>
      </c>
      <c r="DA76" s="138">
        <v>0</v>
      </c>
      <c r="DB76" s="86">
        <v>0</v>
      </c>
      <c r="DC76" s="138">
        <v>0</v>
      </c>
      <c r="DD76" s="138">
        <v>0</v>
      </c>
      <c r="DE76" s="138">
        <v>0</v>
      </c>
      <c r="DF76" s="138">
        <v>0</v>
      </c>
      <c r="DG76" s="138">
        <v>0</v>
      </c>
      <c r="DH76" s="138">
        <v>0</v>
      </c>
      <c r="DI76" s="138">
        <v>0</v>
      </c>
      <c r="DJ76" s="138">
        <v>0</v>
      </c>
      <c r="DK76" s="138">
        <v>0</v>
      </c>
      <c r="DL76" s="138">
        <v>0</v>
      </c>
      <c r="DM76" s="138">
        <v>0</v>
      </c>
      <c r="DN76" s="138">
        <v>0</v>
      </c>
      <c r="DO76" s="86">
        <v>0</v>
      </c>
      <c r="DP76" s="138">
        <v>0</v>
      </c>
      <c r="DQ76" s="138">
        <v>0</v>
      </c>
      <c r="DR76" s="138">
        <v>0</v>
      </c>
      <c r="DS76" s="138">
        <v>0</v>
      </c>
      <c r="DT76" s="138">
        <v>0</v>
      </c>
      <c r="DU76" s="138">
        <v>0</v>
      </c>
      <c r="DV76" s="138">
        <v>0</v>
      </c>
      <c r="DW76" s="138">
        <v>0</v>
      </c>
      <c r="DX76" s="138">
        <v>0</v>
      </c>
      <c r="DY76" s="138">
        <v>0</v>
      </c>
      <c r="DZ76" s="138">
        <v>0</v>
      </c>
      <c r="EA76" s="138">
        <v>0</v>
      </c>
      <c r="EB76" s="85">
        <v>0</v>
      </c>
      <c r="EC76" s="87">
        <v>0</v>
      </c>
      <c r="ED76" s="85">
        <v>0</v>
      </c>
      <c r="EE76" s="85">
        <v>0</v>
      </c>
      <c r="EF76" s="85">
        <v>0</v>
      </c>
      <c r="EG76" s="85">
        <v>0</v>
      </c>
      <c r="EH76" s="85">
        <v>0</v>
      </c>
      <c r="EI76" s="85">
        <v>0</v>
      </c>
      <c r="EJ76" s="85">
        <v>0</v>
      </c>
      <c r="EK76" s="85">
        <v>0</v>
      </c>
      <c r="EL76" s="85">
        <v>0</v>
      </c>
      <c r="EM76" s="85">
        <v>0</v>
      </c>
      <c r="EN76" s="85">
        <v>0</v>
      </c>
      <c r="EO76" s="152">
        <v>0</v>
      </c>
      <c r="EP76" s="85">
        <v>0</v>
      </c>
      <c r="EQ76" s="85">
        <v>0</v>
      </c>
      <c r="ER76" s="85">
        <v>0</v>
      </c>
      <c r="ES76" s="85">
        <v>0</v>
      </c>
      <c r="ET76" s="85">
        <v>0</v>
      </c>
      <c r="EU76" s="85">
        <v>0</v>
      </c>
      <c r="EV76" s="85">
        <v>0</v>
      </c>
      <c r="EW76" s="85">
        <v>0</v>
      </c>
      <c r="EX76" s="85">
        <v>0</v>
      </c>
      <c r="EY76" s="85">
        <v>0</v>
      </c>
      <c r="EZ76" s="85">
        <v>0</v>
      </c>
      <c r="FA76" s="85">
        <v>0</v>
      </c>
      <c r="FB76" s="85">
        <v>0</v>
      </c>
      <c r="FC76" s="87">
        <v>0</v>
      </c>
      <c r="FD76" s="85">
        <v>0</v>
      </c>
      <c r="FE76" s="85">
        <v>0</v>
      </c>
      <c r="FF76" s="85">
        <v>0</v>
      </c>
      <c r="FG76" s="85">
        <v>0</v>
      </c>
      <c r="FH76" s="85">
        <v>0</v>
      </c>
      <c r="FI76" s="85">
        <v>0</v>
      </c>
      <c r="FJ76" s="85">
        <v>0</v>
      </c>
      <c r="FK76" s="85">
        <v>0</v>
      </c>
      <c r="FL76" s="85">
        <v>0</v>
      </c>
      <c r="FM76" s="85">
        <v>0</v>
      </c>
      <c r="FN76" s="85">
        <v>0</v>
      </c>
      <c r="FO76" s="86">
        <v>0</v>
      </c>
      <c r="FP76" s="87">
        <v>0</v>
      </c>
      <c r="FQ76" s="85">
        <v>0</v>
      </c>
      <c r="FR76" s="85">
        <v>0</v>
      </c>
      <c r="FS76" s="85">
        <v>0</v>
      </c>
      <c r="FT76" s="85">
        <v>0</v>
      </c>
      <c r="FU76" s="85">
        <v>0</v>
      </c>
      <c r="FV76" s="85">
        <v>0</v>
      </c>
      <c r="FW76" s="85">
        <v>0</v>
      </c>
      <c r="FX76" s="85">
        <v>0</v>
      </c>
      <c r="FY76" s="85">
        <v>0</v>
      </c>
      <c r="FZ76" s="85">
        <v>0</v>
      </c>
      <c r="GA76" s="85">
        <v>0</v>
      </c>
      <c r="GB76" s="152">
        <v>0</v>
      </c>
      <c r="GD76" s="153"/>
    </row>
    <row r="77" spans="1:186">
      <c r="A77" s="137" t="s">
        <v>179</v>
      </c>
      <c r="B77" s="151">
        <v>160857.783909887</v>
      </c>
      <c r="C77" s="138">
        <f t="shared" si="24"/>
        <v>2076.29417397089</v>
      </c>
      <c r="D77" s="138">
        <f t="shared" si="13"/>
        <v>2437.31810109121</v>
      </c>
      <c r="E77" s="138">
        <f t="shared" si="14"/>
        <v>516.08487662839</v>
      </c>
      <c r="F77" s="138">
        <f t="shared" si="15"/>
        <v>2931.84240501002</v>
      </c>
      <c r="G77" s="138">
        <f t="shared" si="16"/>
        <v>589.84418616659</v>
      </c>
      <c r="H77" s="138">
        <f t="shared" si="17"/>
        <v>0</v>
      </c>
      <c r="I77" s="138">
        <f t="shared" si="18"/>
        <v>0</v>
      </c>
      <c r="J77" s="138">
        <f t="shared" si="19"/>
        <v>0</v>
      </c>
      <c r="K77" s="138">
        <f t="shared" si="20"/>
        <v>0</v>
      </c>
      <c r="L77" s="138">
        <f t="shared" si="21"/>
        <v>0</v>
      </c>
      <c r="M77" s="138">
        <f t="shared" si="22"/>
        <v>0</v>
      </c>
      <c r="N77" s="138">
        <f t="shared" si="23"/>
        <v>0</v>
      </c>
      <c r="O77" s="86">
        <f t="shared" si="25"/>
        <v>8551.38374286709</v>
      </c>
      <c r="P77" s="138">
        <v>93.9600332681458</v>
      </c>
      <c r="Q77" s="138">
        <v>367.327211213146</v>
      </c>
      <c r="R77" s="138">
        <v>0</v>
      </c>
      <c r="S77" s="138">
        <v>0</v>
      </c>
      <c r="T77" s="138">
        <v>0</v>
      </c>
      <c r="U77" s="138">
        <v>0</v>
      </c>
      <c r="V77" s="138">
        <v>0</v>
      </c>
      <c r="W77" s="138">
        <v>0</v>
      </c>
      <c r="X77" s="138">
        <v>0</v>
      </c>
      <c r="Y77" s="138">
        <v>0</v>
      </c>
      <c r="Z77" s="138">
        <v>0</v>
      </c>
      <c r="AA77" s="138">
        <v>0</v>
      </c>
      <c r="AB77" s="86">
        <v>461.287244481292</v>
      </c>
      <c r="AC77" s="138">
        <v>0</v>
      </c>
      <c r="AD77" s="138">
        <v>0</v>
      </c>
      <c r="AE77" s="138">
        <v>0</v>
      </c>
      <c r="AF77" s="138">
        <v>0</v>
      </c>
      <c r="AG77" s="138">
        <v>0</v>
      </c>
      <c r="AH77" s="138">
        <v>0</v>
      </c>
      <c r="AI77" s="138">
        <v>0</v>
      </c>
      <c r="AJ77" s="138">
        <v>0</v>
      </c>
      <c r="AK77" s="138">
        <v>0</v>
      </c>
      <c r="AL77" s="138">
        <v>0</v>
      </c>
      <c r="AM77" s="138">
        <v>0</v>
      </c>
      <c r="AN77" s="138">
        <v>0</v>
      </c>
      <c r="AO77" s="86">
        <v>0</v>
      </c>
      <c r="AP77" s="138">
        <v>0</v>
      </c>
      <c r="AQ77" s="138">
        <v>0</v>
      </c>
      <c r="AR77" s="138">
        <v>0</v>
      </c>
      <c r="AS77" s="138">
        <v>0</v>
      </c>
      <c r="AT77" s="138">
        <v>0</v>
      </c>
      <c r="AU77" s="138">
        <v>0</v>
      </c>
      <c r="AV77" s="138">
        <v>0</v>
      </c>
      <c r="AW77" s="138">
        <v>0</v>
      </c>
      <c r="AX77" s="138">
        <v>0</v>
      </c>
      <c r="AY77" s="138">
        <v>0</v>
      </c>
      <c r="AZ77" s="138">
        <v>0</v>
      </c>
      <c r="BA77" s="138">
        <v>0</v>
      </c>
      <c r="BB77" s="86">
        <v>0</v>
      </c>
      <c r="BC77" s="138">
        <v>0</v>
      </c>
      <c r="BD77" s="138">
        <v>0</v>
      </c>
      <c r="BE77" s="138">
        <v>0</v>
      </c>
      <c r="BF77" s="138">
        <v>0</v>
      </c>
      <c r="BG77" s="138">
        <v>0</v>
      </c>
      <c r="BH77" s="138">
        <v>0</v>
      </c>
      <c r="BI77" s="138">
        <v>0</v>
      </c>
      <c r="BJ77" s="138">
        <v>0</v>
      </c>
      <c r="BK77" s="138">
        <v>0</v>
      </c>
      <c r="BL77" s="138">
        <v>0</v>
      </c>
      <c r="BM77" s="138">
        <v>0</v>
      </c>
      <c r="BN77" s="138">
        <v>0</v>
      </c>
      <c r="BO77" s="86">
        <v>0</v>
      </c>
      <c r="BP77" s="138">
        <v>969.272502605259</v>
      </c>
      <c r="BQ77" s="138">
        <v>0</v>
      </c>
      <c r="BR77" s="138">
        <v>0</v>
      </c>
      <c r="BS77" s="138">
        <v>0</v>
      </c>
      <c r="BT77" s="138">
        <v>0</v>
      </c>
      <c r="BU77" s="138">
        <v>0</v>
      </c>
      <c r="BV77" s="138">
        <v>0</v>
      </c>
      <c r="BW77" s="138">
        <v>0</v>
      </c>
      <c r="BX77" s="138">
        <v>0</v>
      </c>
      <c r="BY77" s="138">
        <v>0</v>
      </c>
      <c r="BZ77" s="138">
        <v>0</v>
      </c>
      <c r="CA77" s="138">
        <v>0</v>
      </c>
      <c r="CB77" s="86">
        <v>969.272502605259</v>
      </c>
      <c r="CC77" s="138">
        <v>0</v>
      </c>
      <c r="CD77" s="138">
        <v>0</v>
      </c>
      <c r="CE77" s="138">
        <v>0</v>
      </c>
      <c r="CF77" s="138">
        <v>0</v>
      </c>
      <c r="CG77" s="138">
        <v>0</v>
      </c>
      <c r="CH77" s="138">
        <v>0</v>
      </c>
      <c r="CI77" s="138">
        <v>0</v>
      </c>
      <c r="CJ77" s="138">
        <v>0</v>
      </c>
      <c r="CK77" s="138">
        <v>0</v>
      </c>
      <c r="CL77" s="138">
        <v>0</v>
      </c>
      <c r="CM77" s="138">
        <v>0</v>
      </c>
      <c r="CN77" s="138">
        <v>0</v>
      </c>
      <c r="CO77" s="86">
        <v>0</v>
      </c>
      <c r="CP77" s="138">
        <v>0</v>
      </c>
      <c r="CQ77" s="138">
        <v>0</v>
      </c>
      <c r="CR77" s="138">
        <v>0</v>
      </c>
      <c r="CS77" s="138">
        <v>0</v>
      </c>
      <c r="CT77" s="138">
        <v>0</v>
      </c>
      <c r="CU77" s="138">
        <v>0</v>
      </c>
      <c r="CV77" s="138">
        <v>0</v>
      </c>
      <c r="CW77" s="138">
        <v>0</v>
      </c>
      <c r="CX77" s="138">
        <v>0</v>
      </c>
      <c r="CY77" s="138">
        <v>0</v>
      </c>
      <c r="CZ77" s="138">
        <v>0</v>
      </c>
      <c r="DA77" s="138">
        <v>0</v>
      </c>
      <c r="DB77" s="86">
        <v>0</v>
      </c>
      <c r="DC77" s="138">
        <v>243.235033681657</v>
      </c>
      <c r="DD77" s="138">
        <v>238.597315838687</v>
      </c>
      <c r="DE77" s="138">
        <v>0</v>
      </c>
      <c r="DF77" s="138">
        <v>1509.32298877319</v>
      </c>
      <c r="DG77" s="138">
        <v>0</v>
      </c>
      <c r="DH77" s="138">
        <v>0</v>
      </c>
      <c r="DI77" s="138">
        <v>0</v>
      </c>
      <c r="DJ77" s="138">
        <v>0</v>
      </c>
      <c r="DK77" s="138">
        <v>0</v>
      </c>
      <c r="DL77" s="138">
        <v>0</v>
      </c>
      <c r="DM77" s="138">
        <v>0</v>
      </c>
      <c r="DN77" s="138">
        <v>0</v>
      </c>
      <c r="DO77" s="86">
        <v>1991.15533829353</v>
      </c>
      <c r="DP77" s="138">
        <v>581.906537879534</v>
      </c>
      <c r="DQ77" s="138">
        <v>439.32135176886</v>
      </c>
      <c r="DR77" s="138">
        <v>426.221052779945</v>
      </c>
      <c r="DS77" s="138">
        <v>1167.31593541007</v>
      </c>
      <c r="DT77" s="138">
        <v>146.024534087221</v>
      </c>
      <c r="DU77" s="138">
        <v>0</v>
      </c>
      <c r="DV77" s="138">
        <v>0</v>
      </c>
      <c r="DW77" s="138">
        <v>0</v>
      </c>
      <c r="DX77" s="138">
        <v>0</v>
      </c>
      <c r="DY77" s="138">
        <v>0</v>
      </c>
      <c r="DZ77" s="138">
        <v>0</v>
      </c>
      <c r="EA77" s="138">
        <v>0</v>
      </c>
      <c r="EB77" s="85">
        <v>2760.78941192563</v>
      </c>
      <c r="EC77" s="87">
        <v>0</v>
      </c>
      <c r="ED77" s="85">
        <v>0</v>
      </c>
      <c r="EE77" s="85">
        <v>0</v>
      </c>
      <c r="EF77" s="85">
        <v>0</v>
      </c>
      <c r="EG77" s="85">
        <v>0</v>
      </c>
      <c r="EH77" s="85">
        <v>0</v>
      </c>
      <c r="EI77" s="85">
        <v>0</v>
      </c>
      <c r="EJ77" s="85">
        <v>0</v>
      </c>
      <c r="EK77" s="85">
        <v>0</v>
      </c>
      <c r="EL77" s="85">
        <v>0</v>
      </c>
      <c r="EM77" s="85">
        <v>0</v>
      </c>
      <c r="EN77" s="85">
        <v>0</v>
      </c>
      <c r="EO77" s="152">
        <v>0</v>
      </c>
      <c r="EP77" s="85">
        <v>0</v>
      </c>
      <c r="EQ77" s="85">
        <v>0</v>
      </c>
      <c r="ER77" s="85">
        <v>0</v>
      </c>
      <c r="ES77" s="85">
        <v>0</v>
      </c>
      <c r="ET77" s="85">
        <v>0</v>
      </c>
      <c r="EU77" s="85">
        <v>0</v>
      </c>
      <c r="EV77" s="85">
        <v>0</v>
      </c>
      <c r="EW77" s="85">
        <v>0</v>
      </c>
      <c r="EX77" s="85">
        <v>0</v>
      </c>
      <c r="EY77" s="85">
        <v>0</v>
      </c>
      <c r="EZ77" s="85">
        <v>0</v>
      </c>
      <c r="FA77" s="85">
        <v>0</v>
      </c>
      <c r="FB77" s="85">
        <v>0</v>
      </c>
      <c r="FC77" s="87">
        <v>0</v>
      </c>
      <c r="FD77" s="85">
        <v>0</v>
      </c>
      <c r="FE77" s="85">
        <v>0</v>
      </c>
      <c r="FF77" s="85">
        <v>0</v>
      </c>
      <c r="FG77" s="85">
        <v>0</v>
      </c>
      <c r="FH77" s="85">
        <v>0</v>
      </c>
      <c r="FI77" s="85">
        <v>0</v>
      </c>
      <c r="FJ77" s="85">
        <v>0</v>
      </c>
      <c r="FK77" s="85">
        <v>0</v>
      </c>
      <c r="FL77" s="85">
        <v>0</v>
      </c>
      <c r="FM77" s="85">
        <v>0</v>
      </c>
      <c r="FN77" s="85">
        <v>0</v>
      </c>
      <c r="FO77" s="86">
        <v>0</v>
      </c>
      <c r="FP77" s="87">
        <v>187.920066536292</v>
      </c>
      <c r="FQ77" s="85">
        <v>1392.07222227051</v>
      </c>
      <c r="FR77" s="85">
        <v>89.8638238484444</v>
      </c>
      <c r="FS77" s="85">
        <v>255.203480826765</v>
      </c>
      <c r="FT77" s="85">
        <v>443.819652079369</v>
      </c>
      <c r="FU77" s="85">
        <v>0</v>
      </c>
      <c r="FV77" s="85">
        <v>0</v>
      </c>
      <c r="FW77" s="85">
        <v>0</v>
      </c>
      <c r="FX77" s="85">
        <v>0</v>
      </c>
      <c r="FY77" s="85">
        <v>0</v>
      </c>
      <c r="FZ77" s="85">
        <v>0</v>
      </c>
      <c r="GA77" s="85">
        <v>0</v>
      </c>
      <c r="GB77" s="152">
        <v>2368.87924556138</v>
      </c>
      <c r="GD77" s="153"/>
    </row>
    <row r="78" spans="1:186">
      <c r="A78" s="137" t="s">
        <v>181</v>
      </c>
      <c r="B78" s="151">
        <v>198293.845996062</v>
      </c>
      <c r="C78" s="138">
        <f t="shared" si="24"/>
        <v>367.728839951062</v>
      </c>
      <c r="D78" s="138">
        <f t="shared" si="13"/>
        <v>202.546058136823</v>
      </c>
      <c r="E78" s="138">
        <f t="shared" si="14"/>
        <v>658.485177151817</v>
      </c>
      <c r="F78" s="138">
        <f t="shared" si="15"/>
        <v>136.610155598967</v>
      </c>
      <c r="G78" s="138">
        <f t="shared" si="16"/>
        <v>0</v>
      </c>
      <c r="H78" s="138">
        <f t="shared" si="17"/>
        <v>0</v>
      </c>
      <c r="I78" s="138">
        <f t="shared" si="18"/>
        <v>0</v>
      </c>
      <c r="J78" s="138">
        <f t="shared" si="19"/>
        <v>0</v>
      </c>
      <c r="K78" s="138">
        <f t="shared" si="20"/>
        <v>0</v>
      </c>
      <c r="L78" s="138">
        <f t="shared" si="21"/>
        <v>0</v>
      </c>
      <c r="M78" s="138">
        <f t="shared" si="22"/>
        <v>0</v>
      </c>
      <c r="N78" s="138">
        <f t="shared" si="23"/>
        <v>0</v>
      </c>
      <c r="O78" s="86">
        <f t="shared" si="25"/>
        <v>1365.37023083867</v>
      </c>
      <c r="P78" s="138">
        <v>0</v>
      </c>
      <c r="Q78" s="138">
        <v>0</v>
      </c>
      <c r="R78" s="138">
        <v>0</v>
      </c>
      <c r="S78" s="138">
        <v>0</v>
      </c>
      <c r="T78" s="138">
        <v>0</v>
      </c>
      <c r="U78" s="138">
        <v>0</v>
      </c>
      <c r="V78" s="138">
        <v>0</v>
      </c>
      <c r="W78" s="138">
        <v>0</v>
      </c>
      <c r="X78" s="138">
        <v>0</v>
      </c>
      <c r="Y78" s="138">
        <v>0</v>
      </c>
      <c r="Z78" s="138">
        <v>0</v>
      </c>
      <c r="AA78" s="138">
        <v>0</v>
      </c>
      <c r="AB78" s="86">
        <v>0</v>
      </c>
      <c r="AC78" s="138">
        <v>0</v>
      </c>
      <c r="AD78" s="138">
        <v>0</v>
      </c>
      <c r="AE78" s="138">
        <v>0</v>
      </c>
      <c r="AF78" s="138">
        <v>0</v>
      </c>
      <c r="AG78" s="138">
        <v>0</v>
      </c>
      <c r="AH78" s="138">
        <v>0</v>
      </c>
      <c r="AI78" s="138">
        <v>0</v>
      </c>
      <c r="AJ78" s="138">
        <v>0</v>
      </c>
      <c r="AK78" s="138">
        <v>0</v>
      </c>
      <c r="AL78" s="138">
        <v>0</v>
      </c>
      <c r="AM78" s="138">
        <v>0</v>
      </c>
      <c r="AN78" s="138">
        <v>0</v>
      </c>
      <c r="AO78" s="86">
        <v>0</v>
      </c>
      <c r="AP78" s="138">
        <v>0</v>
      </c>
      <c r="AQ78" s="138">
        <v>0</v>
      </c>
      <c r="AR78" s="138">
        <v>0</v>
      </c>
      <c r="AS78" s="138">
        <v>0</v>
      </c>
      <c r="AT78" s="138">
        <v>0</v>
      </c>
      <c r="AU78" s="138">
        <v>0</v>
      </c>
      <c r="AV78" s="138">
        <v>0</v>
      </c>
      <c r="AW78" s="138">
        <v>0</v>
      </c>
      <c r="AX78" s="138">
        <v>0</v>
      </c>
      <c r="AY78" s="138">
        <v>0</v>
      </c>
      <c r="AZ78" s="138">
        <v>0</v>
      </c>
      <c r="BA78" s="138">
        <v>0</v>
      </c>
      <c r="BB78" s="86">
        <v>0</v>
      </c>
      <c r="BC78" s="138">
        <v>0</v>
      </c>
      <c r="BD78" s="138">
        <v>0</v>
      </c>
      <c r="BE78" s="138">
        <v>0</v>
      </c>
      <c r="BF78" s="138">
        <v>0</v>
      </c>
      <c r="BG78" s="138">
        <v>0</v>
      </c>
      <c r="BH78" s="138">
        <v>0</v>
      </c>
      <c r="BI78" s="138">
        <v>0</v>
      </c>
      <c r="BJ78" s="138">
        <v>0</v>
      </c>
      <c r="BK78" s="138">
        <v>0</v>
      </c>
      <c r="BL78" s="138">
        <v>0</v>
      </c>
      <c r="BM78" s="138">
        <v>0</v>
      </c>
      <c r="BN78" s="138">
        <v>0</v>
      </c>
      <c r="BO78" s="86">
        <v>0</v>
      </c>
      <c r="BP78" s="138">
        <v>0</v>
      </c>
      <c r="BQ78" s="138">
        <v>0</v>
      </c>
      <c r="BR78" s="138">
        <v>0</v>
      </c>
      <c r="BS78" s="138">
        <v>0</v>
      </c>
      <c r="BT78" s="138">
        <v>0</v>
      </c>
      <c r="BU78" s="138">
        <v>0</v>
      </c>
      <c r="BV78" s="138">
        <v>0</v>
      </c>
      <c r="BW78" s="138">
        <v>0</v>
      </c>
      <c r="BX78" s="138">
        <v>0</v>
      </c>
      <c r="BY78" s="138">
        <v>0</v>
      </c>
      <c r="BZ78" s="138">
        <v>0</v>
      </c>
      <c r="CA78" s="138">
        <v>0</v>
      </c>
      <c r="CB78" s="86">
        <v>0</v>
      </c>
      <c r="CC78" s="138">
        <v>0</v>
      </c>
      <c r="CD78" s="138">
        <v>0</v>
      </c>
      <c r="CE78" s="138">
        <v>0</v>
      </c>
      <c r="CF78" s="138">
        <v>0</v>
      </c>
      <c r="CG78" s="138">
        <v>0</v>
      </c>
      <c r="CH78" s="138">
        <v>0</v>
      </c>
      <c r="CI78" s="138">
        <v>0</v>
      </c>
      <c r="CJ78" s="138">
        <v>0</v>
      </c>
      <c r="CK78" s="138">
        <v>0</v>
      </c>
      <c r="CL78" s="138">
        <v>0</v>
      </c>
      <c r="CM78" s="138">
        <v>0</v>
      </c>
      <c r="CN78" s="138">
        <v>0</v>
      </c>
      <c r="CO78" s="86">
        <v>0</v>
      </c>
      <c r="CP78" s="138">
        <v>0</v>
      </c>
      <c r="CQ78" s="138">
        <v>0</v>
      </c>
      <c r="CR78" s="138">
        <v>0</v>
      </c>
      <c r="CS78" s="138">
        <v>0</v>
      </c>
      <c r="CT78" s="138">
        <v>0</v>
      </c>
      <c r="CU78" s="138">
        <v>0</v>
      </c>
      <c r="CV78" s="138">
        <v>0</v>
      </c>
      <c r="CW78" s="138">
        <v>0</v>
      </c>
      <c r="CX78" s="138">
        <v>0</v>
      </c>
      <c r="CY78" s="138">
        <v>0</v>
      </c>
      <c r="CZ78" s="138">
        <v>0</v>
      </c>
      <c r="DA78" s="138">
        <v>0</v>
      </c>
      <c r="DB78" s="86">
        <v>0</v>
      </c>
      <c r="DC78" s="138">
        <v>0</v>
      </c>
      <c r="DD78" s="138">
        <v>0</v>
      </c>
      <c r="DE78" s="138">
        <v>0</v>
      </c>
      <c r="DF78" s="138">
        <v>0</v>
      </c>
      <c r="DG78" s="138">
        <v>0</v>
      </c>
      <c r="DH78" s="138">
        <v>0</v>
      </c>
      <c r="DI78" s="138">
        <v>0</v>
      </c>
      <c r="DJ78" s="138">
        <v>0</v>
      </c>
      <c r="DK78" s="138">
        <v>0</v>
      </c>
      <c r="DL78" s="138">
        <v>0</v>
      </c>
      <c r="DM78" s="138">
        <v>0</v>
      </c>
      <c r="DN78" s="138">
        <v>0</v>
      </c>
      <c r="DO78" s="86">
        <v>0</v>
      </c>
      <c r="DP78" s="138">
        <v>0</v>
      </c>
      <c r="DQ78" s="138">
        <v>0</v>
      </c>
      <c r="DR78" s="138">
        <v>0</v>
      </c>
      <c r="DS78" s="138">
        <v>0</v>
      </c>
      <c r="DT78" s="138">
        <v>0</v>
      </c>
      <c r="DU78" s="138">
        <v>0</v>
      </c>
      <c r="DV78" s="138">
        <v>0</v>
      </c>
      <c r="DW78" s="138">
        <v>0</v>
      </c>
      <c r="DX78" s="138">
        <v>0</v>
      </c>
      <c r="DY78" s="138">
        <v>0</v>
      </c>
      <c r="DZ78" s="138">
        <v>0</v>
      </c>
      <c r="EA78" s="138">
        <v>0</v>
      </c>
      <c r="EB78" s="85">
        <v>0</v>
      </c>
      <c r="EC78" s="87">
        <v>0</v>
      </c>
      <c r="ED78" s="85">
        <v>0</v>
      </c>
      <c r="EE78" s="85">
        <v>0</v>
      </c>
      <c r="EF78" s="85">
        <v>0</v>
      </c>
      <c r="EG78" s="85">
        <v>0</v>
      </c>
      <c r="EH78" s="85">
        <v>0</v>
      </c>
      <c r="EI78" s="85">
        <v>0</v>
      </c>
      <c r="EJ78" s="85">
        <v>0</v>
      </c>
      <c r="EK78" s="85">
        <v>0</v>
      </c>
      <c r="EL78" s="85">
        <v>0</v>
      </c>
      <c r="EM78" s="85">
        <v>0</v>
      </c>
      <c r="EN78" s="85">
        <v>0</v>
      </c>
      <c r="EO78" s="152">
        <v>0</v>
      </c>
      <c r="EP78" s="85">
        <v>0</v>
      </c>
      <c r="EQ78" s="85">
        <v>0</v>
      </c>
      <c r="ER78" s="85">
        <v>0</v>
      </c>
      <c r="ES78" s="85">
        <v>0</v>
      </c>
      <c r="ET78" s="85">
        <v>0</v>
      </c>
      <c r="EU78" s="85">
        <v>0</v>
      </c>
      <c r="EV78" s="85">
        <v>0</v>
      </c>
      <c r="EW78" s="85">
        <v>0</v>
      </c>
      <c r="EX78" s="85">
        <v>0</v>
      </c>
      <c r="EY78" s="85">
        <v>0</v>
      </c>
      <c r="EZ78" s="85">
        <v>0</v>
      </c>
      <c r="FA78" s="85">
        <v>0</v>
      </c>
      <c r="FB78" s="85">
        <v>0</v>
      </c>
      <c r="FC78" s="87">
        <v>0</v>
      </c>
      <c r="FD78" s="85">
        <v>0</v>
      </c>
      <c r="FE78" s="85">
        <v>0</v>
      </c>
      <c r="FF78" s="85">
        <v>0</v>
      </c>
      <c r="FG78" s="85">
        <v>0</v>
      </c>
      <c r="FH78" s="85">
        <v>0</v>
      </c>
      <c r="FI78" s="85">
        <v>0</v>
      </c>
      <c r="FJ78" s="85">
        <v>0</v>
      </c>
      <c r="FK78" s="85">
        <v>0</v>
      </c>
      <c r="FL78" s="85">
        <v>0</v>
      </c>
      <c r="FM78" s="85">
        <v>0</v>
      </c>
      <c r="FN78" s="85">
        <v>0</v>
      </c>
      <c r="FO78" s="86">
        <v>0</v>
      </c>
      <c r="FP78" s="87">
        <v>367.728839951062</v>
      </c>
      <c r="FQ78" s="85">
        <v>202.546058136823</v>
      </c>
      <c r="FR78" s="85">
        <v>658.485177151817</v>
      </c>
      <c r="FS78" s="85">
        <v>136.610155598967</v>
      </c>
      <c r="FT78" s="85">
        <v>0</v>
      </c>
      <c r="FU78" s="85">
        <v>0</v>
      </c>
      <c r="FV78" s="85">
        <v>0</v>
      </c>
      <c r="FW78" s="85">
        <v>0</v>
      </c>
      <c r="FX78" s="85">
        <v>0</v>
      </c>
      <c r="FY78" s="85">
        <v>0</v>
      </c>
      <c r="FZ78" s="85">
        <v>0</v>
      </c>
      <c r="GA78" s="85">
        <v>0</v>
      </c>
      <c r="GB78" s="152">
        <v>1365.37023083867</v>
      </c>
      <c r="GD78" s="153"/>
    </row>
    <row r="79" spans="1:186">
      <c r="A79" s="137" t="s">
        <v>183</v>
      </c>
      <c r="B79" s="151">
        <v>89501.6258662407</v>
      </c>
      <c r="C79" s="138">
        <f t="shared" si="24"/>
        <v>4367.37155121138</v>
      </c>
      <c r="D79" s="138">
        <f t="shared" si="13"/>
        <v>3076.88515302425</v>
      </c>
      <c r="E79" s="138">
        <f t="shared" si="14"/>
        <v>1981.26063719795</v>
      </c>
      <c r="F79" s="138">
        <f t="shared" si="15"/>
        <v>660.924327047667</v>
      </c>
      <c r="G79" s="138">
        <f t="shared" si="16"/>
        <v>870.55839131521</v>
      </c>
      <c r="H79" s="138">
        <f t="shared" si="17"/>
        <v>0</v>
      </c>
      <c r="I79" s="138">
        <f t="shared" si="18"/>
        <v>0</v>
      </c>
      <c r="J79" s="138">
        <f t="shared" si="19"/>
        <v>0</v>
      </c>
      <c r="K79" s="138">
        <f t="shared" si="20"/>
        <v>0</v>
      </c>
      <c r="L79" s="138">
        <f t="shared" si="21"/>
        <v>0</v>
      </c>
      <c r="M79" s="138">
        <f t="shared" si="22"/>
        <v>0</v>
      </c>
      <c r="N79" s="138">
        <f t="shared" si="23"/>
        <v>0</v>
      </c>
      <c r="O79" s="86">
        <f t="shared" si="25"/>
        <v>10957.0000597965</v>
      </c>
      <c r="P79" s="138">
        <v>0</v>
      </c>
      <c r="Q79" s="138">
        <v>0</v>
      </c>
      <c r="R79" s="138">
        <v>0</v>
      </c>
      <c r="S79" s="138">
        <v>0</v>
      </c>
      <c r="T79" s="138">
        <v>0</v>
      </c>
      <c r="U79" s="138">
        <v>0</v>
      </c>
      <c r="V79" s="138">
        <v>0</v>
      </c>
      <c r="W79" s="138">
        <v>0</v>
      </c>
      <c r="X79" s="138">
        <v>0</v>
      </c>
      <c r="Y79" s="138">
        <v>0</v>
      </c>
      <c r="Z79" s="138">
        <v>0</v>
      </c>
      <c r="AA79" s="138">
        <v>0</v>
      </c>
      <c r="AB79" s="86">
        <v>0</v>
      </c>
      <c r="AC79" s="138">
        <v>0</v>
      </c>
      <c r="AD79" s="138">
        <v>0</v>
      </c>
      <c r="AE79" s="138">
        <v>0</v>
      </c>
      <c r="AF79" s="138">
        <v>0</v>
      </c>
      <c r="AG79" s="138">
        <v>0</v>
      </c>
      <c r="AH79" s="138">
        <v>0</v>
      </c>
      <c r="AI79" s="138">
        <v>0</v>
      </c>
      <c r="AJ79" s="138">
        <v>0</v>
      </c>
      <c r="AK79" s="138">
        <v>0</v>
      </c>
      <c r="AL79" s="138">
        <v>0</v>
      </c>
      <c r="AM79" s="138">
        <v>0</v>
      </c>
      <c r="AN79" s="138">
        <v>0</v>
      </c>
      <c r="AO79" s="86">
        <v>0</v>
      </c>
      <c r="AP79" s="138">
        <v>203.908223059306</v>
      </c>
      <c r="AQ79" s="138">
        <v>200.798346555759</v>
      </c>
      <c r="AR79" s="138">
        <v>0</v>
      </c>
      <c r="AS79" s="138">
        <v>0</v>
      </c>
      <c r="AT79" s="138">
        <v>0</v>
      </c>
      <c r="AU79" s="138">
        <v>0</v>
      </c>
      <c r="AV79" s="138">
        <v>0</v>
      </c>
      <c r="AW79" s="138">
        <v>0</v>
      </c>
      <c r="AX79" s="138">
        <v>0</v>
      </c>
      <c r="AY79" s="138">
        <v>0</v>
      </c>
      <c r="AZ79" s="138">
        <v>0</v>
      </c>
      <c r="BA79" s="138">
        <v>0</v>
      </c>
      <c r="BB79" s="86">
        <v>404.706569615065</v>
      </c>
      <c r="BC79" s="138">
        <v>0</v>
      </c>
      <c r="BD79" s="138">
        <v>0</v>
      </c>
      <c r="BE79" s="138">
        <v>0</v>
      </c>
      <c r="BF79" s="138">
        <v>0</v>
      </c>
      <c r="BG79" s="138">
        <v>0</v>
      </c>
      <c r="BH79" s="138">
        <v>0</v>
      </c>
      <c r="BI79" s="138">
        <v>0</v>
      </c>
      <c r="BJ79" s="138">
        <v>0</v>
      </c>
      <c r="BK79" s="138">
        <v>0</v>
      </c>
      <c r="BL79" s="138">
        <v>0</v>
      </c>
      <c r="BM79" s="138">
        <v>0</v>
      </c>
      <c r="BN79" s="138">
        <v>0</v>
      </c>
      <c r="BO79" s="86">
        <v>0</v>
      </c>
      <c r="BP79" s="138">
        <v>4163.46332815207</v>
      </c>
      <c r="BQ79" s="138">
        <v>1866.37216370553</v>
      </c>
      <c r="BR79" s="138">
        <v>1981.26063719795</v>
      </c>
      <c r="BS79" s="138">
        <v>660.924327047667</v>
      </c>
      <c r="BT79" s="138">
        <v>870.55839131521</v>
      </c>
      <c r="BU79" s="138">
        <v>0</v>
      </c>
      <c r="BV79" s="138">
        <v>0</v>
      </c>
      <c r="BW79" s="138">
        <v>0</v>
      </c>
      <c r="BX79" s="138">
        <v>0</v>
      </c>
      <c r="BY79" s="138">
        <v>0</v>
      </c>
      <c r="BZ79" s="138">
        <v>0</v>
      </c>
      <c r="CA79" s="138">
        <v>0</v>
      </c>
      <c r="CB79" s="86">
        <v>9542.57884741843</v>
      </c>
      <c r="CC79" s="138">
        <v>0</v>
      </c>
      <c r="CD79" s="138">
        <v>0</v>
      </c>
      <c r="CE79" s="138">
        <v>0</v>
      </c>
      <c r="CF79" s="138">
        <v>0</v>
      </c>
      <c r="CG79" s="138">
        <v>0</v>
      </c>
      <c r="CH79" s="138">
        <v>0</v>
      </c>
      <c r="CI79" s="138">
        <v>0</v>
      </c>
      <c r="CJ79" s="138">
        <v>0</v>
      </c>
      <c r="CK79" s="138">
        <v>0</v>
      </c>
      <c r="CL79" s="138">
        <v>0</v>
      </c>
      <c r="CM79" s="138">
        <v>0</v>
      </c>
      <c r="CN79" s="138">
        <v>0</v>
      </c>
      <c r="CO79" s="86">
        <v>0</v>
      </c>
      <c r="CP79" s="138">
        <v>0</v>
      </c>
      <c r="CQ79" s="138">
        <v>0</v>
      </c>
      <c r="CR79" s="138">
        <v>0</v>
      </c>
      <c r="CS79" s="138">
        <v>0</v>
      </c>
      <c r="CT79" s="138">
        <v>0</v>
      </c>
      <c r="CU79" s="138">
        <v>0</v>
      </c>
      <c r="CV79" s="138">
        <v>0</v>
      </c>
      <c r="CW79" s="138">
        <v>0</v>
      </c>
      <c r="CX79" s="138">
        <v>0</v>
      </c>
      <c r="CY79" s="138">
        <v>0</v>
      </c>
      <c r="CZ79" s="138">
        <v>0</v>
      </c>
      <c r="DA79" s="138">
        <v>0</v>
      </c>
      <c r="DB79" s="86">
        <v>0</v>
      </c>
      <c r="DC79" s="138">
        <v>0</v>
      </c>
      <c r="DD79" s="138">
        <v>0</v>
      </c>
      <c r="DE79" s="138">
        <v>0</v>
      </c>
      <c r="DF79" s="138">
        <v>0</v>
      </c>
      <c r="DG79" s="138">
        <v>0</v>
      </c>
      <c r="DH79" s="138">
        <v>0</v>
      </c>
      <c r="DI79" s="138">
        <v>0</v>
      </c>
      <c r="DJ79" s="138">
        <v>0</v>
      </c>
      <c r="DK79" s="138">
        <v>0</v>
      </c>
      <c r="DL79" s="138">
        <v>0</v>
      </c>
      <c r="DM79" s="138">
        <v>0</v>
      </c>
      <c r="DN79" s="138">
        <v>0</v>
      </c>
      <c r="DO79" s="86">
        <v>0</v>
      </c>
      <c r="DP79" s="138">
        <v>0</v>
      </c>
      <c r="DQ79" s="138">
        <v>0</v>
      </c>
      <c r="DR79" s="138">
        <v>0</v>
      </c>
      <c r="DS79" s="138">
        <v>0</v>
      </c>
      <c r="DT79" s="138">
        <v>0</v>
      </c>
      <c r="DU79" s="138">
        <v>0</v>
      </c>
      <c r="DV79" s="138">
        <v>0</v>
      </c>
      <c r="DW79" s="138">
        <v>0</v>
      </c>
      <c r="DX79" s="138">
        <v>0</v>
      </c>
      <c r="DY79" s="138">
        <v>0</v>
      </c>
      <c r="DZ79" s="138">
        <v>0</v>
      </c>
      <c r="EA79" s="138">
        <v>0</v>
      </c>
      <c r="EB79" s="85">
        <v>0</v>
      </c>
      <c r="EC79" s="87">
        <v>0</v>
      </c>
      <c r="ED79" s="85">
        <v>0</v>
      </c>
      <c r="EE79" s="85">
        <v>0</v>
      </c>
      <c r="EF79" s="85">
        <v>0</v>
      </c>
      <c r="EG79" s="85">
        <v>0</v>
      </c>
      <c r="EH79" s="85">
        <v>0</v>
      </c>
      <c r="EI79" s="85">
        <v>0</v>
      </c>
      <c r="EJ79" s="85">
        <v>0</v>
      </c>
      <c r="EK79" s="85">
        <v>0</v>
      </c>
      <c r="EL79" s="85">
        <v>0</v>
      </c>
      <c r="EM79" s="85">
        <v>0</v>
      </c>
      <c r="EN79" s="85">
        <v>0</v>
      </c>
      <c r="EO79" s="152">
        <v>0</v>
      </c>
      <c r="EP79" s="85">
        <v>0</v>
      </c>
      <c r="EQ79" s="85">
        <v>0</v>
      </c>
      <c r="ER79" s="85">
        <v>0</v>
      </c>
      <c r="ES79" s="85">
        <v>0</v>
      </c>
      <c r="ET79" s="85">
        <v>0</v>
      </c>
      <c r="EU79" s="85">
        <v>0</v>
      </c>
      <c r="EV79" s="85">
        <v>0</v>
      </c>
      <c r="EW79" s="85">
        <v>0</v>
      </c>
      <c r="EX79" s="85">
        <v>0</v>
      </c>
      <c r="EY79" s="85">
        <v>0</v>
      </c>
      <c r="EZ79" s="85">
        <v>0</v>
      </c>
      <c r="FA79" s="85">
        <v>0</v>
      </c>
      <c r="FB79" s="85">
        <v>0</v>
      </c>
      <c r="FC79" s="87">
        <v>0</v>
      </c>
      <c r="FD79" s="85">
        <v>0</v>
      </c>
      <c r="FE79" s="85">
        <v>0</v>
      </c>
      <c r="FF79" s="85">
        <v>0</v>
      </c>
      <c r="FG79" s="85">
        <v>0</v>
      </c>
      <c r="FH79" s="85">
        <v>0</v>
      </c>
      <c r="FI79" s="85">
        <v>0</v>
      </c>
      <c r="FJ79" s="85">
        <v>0</v>
      </c>
      <c r="FK79" s="85">
        <v>0</v>
      </c>
      <c r="FL79" s="85">
        <v>0</v>
      </c>
      <c r="FM79" s="85">
        <v>0</v>
      </c>
      <c r="FN79" s="85">
        <v>0</v>
      </c>
      <c r="FO79" s="86">
        <v>0</v>
      </c>
      <c r="FP79" s="87">
        <v>0</v>
      </c>
      <c r="FQ79" s="85">
        <v>1009.71464276296</v>
      </c>
      <c r="FR79" s="85">
        <v>0</v>
      </c>
      <c r="FS79" s="85">
        <v>0</v>
      </c>
      <c r="FT79" s="85">
        <v>0</v>
      </c>
      <c r="FU79" s="85">
        <v>0</v>
      </c>
      <c r="FV79" s="85">
        <v>0</v>
      </c>
      <c r="FW79" s="85">
        <v>0</v>
      </c>
      <c r="FX79" s="85">
        <v>0</v>
      </c>
      <c r="FY79" s="85">
        <v>0</v>
      </c>
      <c r="FZ79" s="85">
        <v>0</v>
      </c>
      <c r="GA79" s="85">
        <v>0</v>
      </c>
      <c r="GB79" s="152">
        <v>1009.71464276296</v>
      </c>
      <c r="GD79" s="153"/>
    </row>
    <row r="80" spans="1:186">
      <c r="A80" s="137" t="s">
        <v>185</v>
      </c>
      <c r="B80" s="151">
        <v>150019.117058598</v>
      </c>
      <c r="C80" s="138">
        <f t="shared" si="24"/>
        <v>24066.3422696027</v>
      </c>
      <c r="D80" s="138">
        <f t="shared" si="13"/>
        <v>5143.69359290756</v>
      </c>
      <c r="E80" s="138">
        <f t="shared" si="14"/>
        <v>36655.9425449399</v>
      </c>
      <c r="F80" s="138">
        <f t="shared" si="15"/>
        <v>15910.8833796253</v>
      </c>
      <c r="G80" s="138">
        <f t="shared" si="16"/>
        <v>3877.97656043243</v>
      </c>
      <c r="H80" s="138">
        <f t="shared" si="17"/>
        <v>3164.76</v>
      </c>
      <c r="I80" s="138">
        <f t="shared" si="18"/>
        <v>3516.4</v>
      </c>
      <c r="J80" s="138">
        <f t="shared" si="19"/>
        <v>3516.4</v>
      </c>
      <c r="K80" s="138">
        <f t="shared" si="20"/>
        <v>3516.4</v>
      </c>
      <c r="L80" s="138">
        <f t="shared" si="21"/>
        <v>3516.4</v>
      </c>
      <c r="M80" s="138">
        <f t="shared" si="22"/>
        <v>3516.4</v>
      </c>
      <c r="N80" s="138">
        <f t="shared" si="23"/>
        <v>3516.4</v>
      </c>
      <c r="O80" s="86">
        <f t="shared" si="25"/>
        <v>109917.998347508</v>
      </c>
      <c r="P80" s="138">
        <v>0</v>
      </c>
      <c r="Q80" s="138">
        <v>0</v>
      </c>
      <c r="R80" s="138">
        <v>0</v>
      </c>
      <c r="S80" s="138">
        <v>0</v>
      </c>
      <c r="T80" s="138">
        <v>0</v>
      </c>
      <c r="U80" s="138">
        <v>0</v>
      </c>
      <c r="V80" s="138">
        <v>0</v>
      </c>
      <c r="W80" s="138">
        <v>0</v>
      </c>
      <c r="X80" s="138">
        <v>0</v>
      </c>
      <c r="Y80" s="138">
        <v>0</v>
      </c>
      <c r="Z80" s="138">
        <v>0</v>
      </c>
      <c r="AA80" s="138">
        <v>0</v>
      </c>
      <c r="AB80" s="86">
        <v>0</v>
      </c>
      <c r="AC80" s="138">
        <v>0</v>
      </c>
      <c r="AD80" s="138">
        <v>0</v>
      </c>
      <c r="AE80" s="138">
        <v>0</v>
      </c>
      <c r="AF80" s="138">
        <v>0</v>
      </c>
      <c r="AG80" s="138">
        <v>0</v>
      </c>
      <c r="AH80" s="138">
        <v>0</v>
      </c>
      <c r="AI80" s="138">
        <v>0</v>
      </c>
      <c r="AJ80" s="138">
        <v>0</v>
      </c>
      <c r="AK80" s="138">
        <v>0</v>
      </c>
      <c r="AL80" s="138">
        <v>0</v>
      </c>
      <c r="AM80" s="138">
        <v>0</v>
      </c>
      <c r="AN80" s="138">
        <v>0</v>
      </c>
      <c r="AO80" s="86">
        <v>0</v>
      </c>
      <c r="AP80" s="138">
        <v>0</v>
      </c>
      <c r="AQ80" s="138">
        <v>0</v>
      </c>
      <c r="AR80" s="138">
        <v>0</v>
      </c>
      <c r="AS80" s="138">
        <v>0</v>
      </c>
      <c r="AT80" s="138">
        <v>0</v>
      </c>
      <c r="AU80" s="138">
        <v>0</v>
      </c>
      <c r="AV80" s="138">
        <v>0</v>
      </c>
      <c r="AW80" s="138">
        <v>0</v>
      </c>
      <c r="AX80" s="138">
        <v>0</v>
      </c>
      <c r="AY80" s="138">
        <v>0</v>
      </c>
      <c r="AZ80" s="138">
        <v>0</v>
      </c>
      <c r="BA80" s="138">
        <v>0</v>
      </c>
      <c r="BB80" s="86">
        <v>0</v>
      </c>
      <c r="BC80" s="138">
        <v>0</v>
      </c>
      <c r="BD80" s="138">
        <v>0</v>
      </c>
      <c r="BE80" s="138">
        <v>0</v>
      </c>
      <c r="BF80" s="138">
        <v>0</v>
      </c>
      <c r="BG80" s="138">
        <v>0</v>
      </c>
      <c r="BH80" s="138">
        <v>0</v>
      </c>
      <c r="BI80" s="138">
        <v>0</v>
      </c>
      <c r="BJ80" s="138">
        <v>0</v>
      </c>
      <c r="BK80" s="138">
        <v>0</v>
      </c>
      <c r="BL80" s="138">
        <v>0</v>
      </c>
      <c r="BM80" s="138">
        <v>0</v>
      </c>
      <c r="BN80" s="138">
        <v>0</v>
      </c>
      <c r="BO80" s="86">
        <v>0</v>
      </c>
      <c r="BP80" s="138">
        <v>0</v>
      </c>
      <c r="BQ80" s="138">
        <v>0</v>
      </c>
      <c r="BR80" s="138">
        <v>0</v>
      </c>
      <c r="BS80" s="138">
        <v>0</v>
      </c>
      <c r="BT80" s="138">
        <v>0</v>
      </c>
      <c r="BU80" s="138">
        <v>0</v>
      </c>
      <c r="BV80" s="138">
        <v>0</v>
      </c>
      <c r="BW80" s="138">
        <v>0</v>
      </c>
      <c r="BX80" s="138">
        <v>0</v>
      </c>
      <c r="BY80" s="138">
        <v>0</v>
      </c>
      <c r="BZ80" s="138">
        <v>0</v>
      </c>
      <c r="CA80" s="138">
        <v>0</v>
      </c>
      <c r="CB80" s="86">
        <v>0</v>
      </c>
      <c r="CC80" s="138">
        <v>0</v>
      </c>
      <c r="CD80" s="138">
        <v>0</v>
      </c>
      <c r="CE80" s="138">
        <v>0</v>
      </c>
      <c r="CF80" s="138">
        <v>0</v>
      </c>
      <c r="CG80" s="138">
        <v>0</v>
      </c>
      <c r="CH80" s="138">
        <v>0</v>
      </c>
      <c r="CI80" s="138">
        <v>0</v>
      </c>
      <c r="CJ80" s="138">
        <v>0</v>
      </c>
      <c r="CK80" s="138">
        <v>0</v>
      </c>
      <c r="CL80" s="138">
        <v>0</v>
      </c>
      <c r="CM80" s="138">
        <v>0</v>
      </c>
      <c r="CN80" s="138">
        <v>0</v>
      </c>
      <c r="CO80" s="86">
        <v>0</v>
      </c>
      <c r="CP80" s="138">
        <v>0</v>
      </c>
      <c r="CQ80" s="138">
        <v>0</v>
      </c>
      <c r="CR80" s="138">
        <v>0</v>
      </c>
      <c r="CS80" s="138">
        <v>0</v>
      </c>
      <c r="CT80" s="138">
        <v>0</v>
      </c>
      <c r="CU80" s="138">
        <v>0</v>
      </c>
      <c r="CV80" s="138">
        <v>0</v>
      </c>
      <c r="CW80" s="138">
        <v>0</v>
      </c>
      <c r="CX80" s="138">
        <v>0</v>
      </c>
      <c r="CY80" s="138">
        <v>0</v>
      </c>
      <c r="CZ80" s="138">
        <v>0</v>
      </c>
      <c r="DA80" s="138">
        <v>0</v>
      </c>
      <c r="DB80" s="86">
        <v>0</v>
      </c>
      <c r="DC80" s="138">
        <v>0</v>
      </c>
      <c r="DD80" s="138">
        <v>0</v>
      </c>
      <c r="DE80" s="138">
        <v>0</v>
      </c>
      <c r="DF80" s="138">
        <v>0</v>
      </c>
      <c r="DG80" s="138">
        <v>0</v>
      </c>
      <c r="DH80" s="138">
        <v>0</v>
      </c>
      <c r="DI80" s="138">
        <v>0</v>
      </c>
      <c r="DJ80" s="138">
        <v>0</v>
      </c>
      <c r="DK80" s="138">
        <v>0</v>
      </c>
      <c r="DL80" s="138">
        <v>0</v>
      </c>
      <c r="DM80" s="138">
        <v>0</v>
      </c>
      <c r="DN80" s="138">
        <v>0</v>
      </c>
      <c r="DO80" s="86">
        <v>0</v>
      </c>
      <c r="DP80" s="138">
        <v>0</v>
      </c>
      <c r="DQ80" s="138">
        <v>0</v>
      </c>
      <c r="DR80" s="138">
        <v>0</v>
      </c>
      <c r="DS80" s="138">
        <v>0</v>
      </c>
      <c r="DT80" s="138">
        <v>0</v>
      </c>
      <c r="DU80" s="138">
        <v>0</v>
      </c>
      <c r="DV80" s="138">
        <v>0</v>
      </c>
      <c r="DW80" s="138">
        <v>0</v>
      </c>
      <c r="DX80" s="138">
        <v>0</v>
      </c>
      <c r="DY80" s="138">
        <v>0</v>
      </c>
      <c r="DZ80" s="138">
        <v>0</v>
      </c>
      <c r="EA80" s="138">
        <v>0</v>
      </c>
      <c r="EB80" s="85">
        <v>0</v>
      </c>
      <c r="EC80" s="87">
        <v>0</v>
      </c>
      <c r="ED80" s="85">
        <v>0</v>
      </c>
      <c r="EE80" s="85">
        <v>0</v>
      </c>
      <c r="EF80" s="85">
        <v>0</v>
      </c>
      <c r="EG80" s="85">
        <v>0</v>
      </c>
      <c r="EH80" s="85">
        <v>0</v>
      </c>
      <c r="EI80" s="85">
        <v>0</v>
      </c>
      <c r="EJ80" s="85">
        <v>0</v>
      </c>
      <c r="EK80" s="85">
        <v>0</v>
      </c>
      <c r="EL80" s="85">
        <v>0</v>
      </c>
      <c r="EM80" s="85">
        <v>0</v>
      </c>
      <c r="EN80" s="85">
        <v>0</v>
      </c>
      <c r="EO80" s="152">
        <v>0</v>
      </c>
      <c r="EP80" s="85">
        <v>0</v>
      </c>
      <c r="EQ80" s="85">
        <v>0</v>
      </c>
      <c r="ER80" s="85">
        <v>0</v>
      </c>
      <c r="ES80" s="85">
        <v>0</v>
      </c>
      <c r="ET80" s="85">
        <v>0</v>
      </c>
      <c r="EU80" s="85">
        <v>0</v>
      </c>
      <c r="EV80" s="85">
        <v>0</v>
      </c>
      <c r="EW80" s="85">
        <v>0</v>
      </c>
      <c r="EX80" s="85">
        <v>0</v>
      </c>
      <c r="EY80" s="85">
        <v>0</v>
      </c>
      <c r="EZ80" s="85">
        <v>0</v>
      </c>
      <c r="FA80" s="85">
        <v>0</v>
      </c>
      <c r="FB80" s="85">
        <v>0</v>
      </c>
      <c r="FC80" s="87">
        <v>0</v>
      </c>
      <c r="FD80" s="85">
        <v>0</v>
      </c>
      <c r="FE80" s="85">
        <v>0</v>
      </c>
      <c r="FF80" s="85">
        <v>0</v>
      </c>
      <c r="FG80" s="85">
        <v>0</v>
      </c>
      <c r="FH80" s="85">
        <v>0</v>
      </c>
      <c r="FI80" s="85">
        <v>0</v>
      </c>
      <c r="FJ80" s="85">
        <v>0</v>
      </c>
      <c r="FK80" s="85">
        <v>0</v>
      </c>
      <c r="FL80" s="85">
        <v>0</v>
      </c>
      <c r="FM80" s="85">
        <v>0</v>
      </c>
      <c r="FN80" s="85">
        <v>0</v>
      </c>
      <c r="FO80" s="86">
        <v>0</v>
      </c>
      <c r="FP80" s="87">
        <v>24066.3422696027</v>
      </c>
      <c r="FQ80" s="85">
        <v>5143.69359290756</v>
      </c>
      <c r="FR80" s="85">
        <v>36655.9425449399</v>
      </c>
      <c r="FS80" s="85">
        <v>15910.8833796253</v>
      </c>
      <c r="FT80" s="85">
        <v>3877.97656043243</v>
      </c>
      <c r="FU80" s="85">
        <v>3164.76</v>
      </c>
      <c r="FV80" s="85">
        <v>3516.4</v>
      </c>
      <c r="FW80" s="85">
        <v>3516.4</v>
      </c>
      <c r="FX80" s="85">
        <v>3516.4</v>
      </c>
      <c r="FY80" s="85">
        <v>3516.4</v>
      </c>
      <c r="FZ80" s="85">
        <v>3516.4</v>
      </c>
      <c r="GA80" s="85">
        <v>3516.4</v>
      </c>
      <c r="GB80" s="152">
        <v>109917.998347508</v>
      </c>
      <c r="GD80" s="153"/>
    </row>
    <row r="81" spans="1:186">
      <c r="A81" s="137" t="s">
        <v>187</v>
      </c>
      <c r="B81" s="151">
        <v>112994.645066229</v>
      </c>
      <c r="C81" s="138">
        <f t="shared" si="24"/>
        <v>385.77895686351</v>
      </c>
      <c r="D81" s="138">
        <f t="shared" si="13"/>
        <v>1662.40851083452</v>
      </c>
      <c r="E81" s="138">
        <f t="shared" si="14"/>
        <v>85.042581059412</v>
      </c>
      <c r="F81" s="138">
        <f t="shared" si="15"/>
        <v>5850.19108923191</v>
      </c>
      <c r="G81" s="138">
        <f t="shared" si="16"/>
        <v>80.9933702424638</v>
      </c>
      <c r="H81" s="138">
        <f t="shared" si="17"/>
        <v>0</v>
      </c>
      <c r="I81" s="138">
        <f t="shared" si="18"/>
        <v>0</v>
      </c>
      <c r="J81" s="138">
        <f t="shared" si="19"/>
        <v>0</v>
      </c>
      <c r="K81" s="138">
        <f t="shared" si="20"/>
        <v>0</v>
      </c>
      <c r="L81" s="138">
        <f t="shared" si="21"/>
        <v>0</v>
      </c>
      <c r="M81" s="138">
        <f t="shared" si="22"/>
        <v>0</v>
      </c>
      <c r="N81" s="138">
        <f t="shared" si="23"/>
        <v>0</v>
      </c>
      <c r="O81" s="86">
        <f t="shared" si="25"/>
        <v>8064.41450823182</v>
      </c>
      <c r="P81" s="138">
        <v>0</v>
      </c>
      <c r="Q81" s="138">
        <v>154.668614958325</v>
      </c>
      <c r="R81" s="138">
        <v>0</v>
      </c>
      <c r="S81" s="138">
        <v>0</v>
      </c>
      <c r="T81" s="138">
        <v>0</v>
      </c>
      <c r="U81" s="138">
        <v>0</v>
      </c>
      <c r="V81" s="138">
        <v>0</v>
      </c>
      <c r="W81" s="138">
        <v>0</v>
      </c>
      <c r="X81" s="138">
        <v>0</v>
      </c>
      <c r="Y81" s="138">
        <v>0</v>
      </c>
      <c r="Z81" s="138">
        <v>0</v>
      </c>
      <c r="AA81" s="138">
        <v>0</v>
      </c>
      <c r="AB81" s="86">
        <v>154.668614958325</v>
      </c>
      <c r="AC81" s="138">
        <v>0</v>
      </c>
      <c r="AD81" s="138">
        <v>0</v>
      </c>
      <c r="AE81" s="138">
        <v>0</v>
      </c>
      <c r="AF81" s="138">
        <v>0</v>
      </c>
      <c r="AG81" s="138">
        <v>0</v>
      </c>
      <c r="AH81" s="138">
        <v>0</v>
      </c>
      <c r="AI81" s="138">
        <v>0</v>
      </c>
      <c r="AJ81" s="138">
        <v>0</v>
      </c>
      <c r="AK81" s="138">
        <v>0</v>
      </c>
      <c r="AL81" s="138">
        <v>0</v>
      </c>
      <c r="AM81" s="138">
        <v>0</v>
      </c>
      <c r="AN81" s="138">
        <v>0</v>
      </c>
      <c r="AO81" s="86">
        <v>0</v>
      </c>
      <c r="AP81" s="138">
        <v>0</v>
      </c>
      <c r="AQ81" s="138">
        <v>0</v>
      </c>
      <c r="AR81" s="138">
        <v>0</v>
      </c>
      <c r="AS81" s="138">
        <v>0</v>
      </c>
      <c r="AT81" s="138">
        <v>0</v>
      </c>
      <c r="AU81" s="138">
        <v>0</v>
      </c>
      <c r="AV81" s="138">
        <v>0</v>
      </c>
      <c r="AW81" s="138">
        <v>0</v>
      </c>
      <c r="AX81" s="138">
        <v>0</v>
      </c>
      <c r="AY81" s="138">
        <v>0</v>
      </c>
      <c r="AZ81" s="138">
        <v>0</v>
      </c>
      <c r="BA81" s="138">
        <v>0</v>
      </c>
      <c r="BB81" s="86">
        <v>0</v>
      </c>
      <c r="BC81" s="138">
        <v>0</v>
      </c>
      <c r="BD81" s="138">
        <v>0</v>
      </c>
      <c r="BE81" s="138">
        <v>0</v>
      </c>
      <c r="BF81" s="138">
        <v>0</v>
      </c>
      <c r="BG81" s="138">
        <v>0</v>
      </c>
      <c r="BH81" s="138">
        <v>0</v>
      </c>
      <c r="BI81" s="138">
        <v>0</v>
      </c>
      <c r="BJ81" s="138">
        <v>0</v>
      </c>
      <c r="BK81" s="138">
        <v>0</v>
      </c>
      <c r="BL81" s="138">
        <v>0</v>
      </c>
      <c r="BM81" s="138">
        <v>0</v>
      </c>
      <c r="BN81" s="138">
        <v>0</v>
      </c>
      <c r="BO81" s="86">
        <v>0</v>
      </c>
      <c r="BP81" s="138">
        <v>0</v>
      </c>
      <c r="BQ81" s="138">
        <v>0</v>
      </c>
      <c r="BR81" s="138">
        <v>0</v>
      </c>
      <c r="BS81" s="138">
        <v>0</v>
      </c>
      <c r="BT81" s="138">
        <v>0</v>
      </c>
      <c r="BU81" s="138">
        <v>0</v>
      </c>
      <c r="BV81" s="138">
        <v>0</v>
      </c>
      <c r="BW81" s="138">
        <v>0</v>
      </c>
      <c r="BX81" s="138">
        <v>0</v>
      </c>
      <c r="BY81" s="138">
        <v>0</v>
      </c>
      <c r="BZ81" s="138">
        <v>0</v>
      </c>
      <c r="CA81" s="138">
        <v>0</v>
      </c>
      <c r="CB81" s="86">
        <v>0</v>
      </c>
      <c r="CC81" s="138">
        <v>0</v>
      </c>
      <c r="CD81" s="138">
        <v>0</v>
      </c>
      <c r="CE81" s="138">
        <v>0</v>
      </c>
      <c r="CF81" s="138">
        <v>0</v>
      </c>
      <c r="CG81" s="138">
        <v>0</v>
      </c>
      <c r="CH81" s="138">
        <v>0</v>
      </c>
      <c r="CI81" s="138">
        <v>0</v>
      </c>
      <c r="CJ81" s="138">
        <v>0</v>
      </c>
      <c r="CK81" s="138">
        <v>0</v>
      </c>
      <c r="CL81" s="138">
        <v>0</v>
      </c>
      <c r="CM81" s="138">
        <v>0</v>
      </c>
      <c r="CN81" s="138">
        <v>0</v>
      </c>
      <c r="CO81" s="86">
        <v>0</v>
      </c>
      <c r="CP81" s="138">
        <v>0</v>
      </c>
      <c r="CQ81" s="138">
        <v>0</v>
      </c>
      <c r="CR81" s="138">
        <v>0</v>
      </c>
      <c r="CS81" s="138">
        <v>0</v>
      </c>
      <c r="CT81" s="138">
        <v>0</v>
      </c>
      <c r="CU81" s="138">
        <v>0</v>
      </c>
      <c r="CV81" s="138">
        <v>0</v>
      </c>
      <c r="CW81" s="138">
        <v>0</v>
      </c>
      <c r="CX81" s="138">
        <v>0</v>
      </c>
      <c r="CY81" s="138">
        <v>0</v>
      </c>
      <c r="CZ81" s="138">
        <v>0</v>
      </c>
      <c r="DA81" s="138">
        <v>0</v>
      </c>
      <c r="DB81" s="86">
        <v>0</v>
      </c>
      <c r="DC81" s="138">
        <v>385.77895686351</v>
      </c>
      <c r="DD81" s="138">
        <v>82.2604002108432</v>
      </c>
      <c r="DE81" s="138">
        <v>0</v>
      </c>
      <c r="DF81" s="138">
        <v>91.5974501732723</v>
      </c>
      <c r="DG81" s="138">
        <v>80.9933702424638</v>
      </c>
      <c r="DH81" s="138">
        <v>0</v>
      </c>
      <c r="DI81" s="138">
        <v>0</v>
      </c>
      <c r="DJ81" s="138">
        <v>0</v>
      </c>
      <c r="DK81" s="138">
        <v>0</v>
      </c>
      <c r="DL81" s="138">
        <v>0</v>
      </c>
      <c r="DM81" s="138">
        <v>0</v>
      </c>
      <c r="DN81" s="138">
        <v>0</v>
      </c>
      <c r="DO81" s="86">
        <v>640.630177490089</v>
      </c>
      <c r="DP81" s="138">
        <v>0</v>
      </c>
      <c r="DQ81" s="138">
        <v>0</v>
      </c>
      <c r="DR81" s="138">
        <v>0</v>
      </c>
      <c r="DS81" s="138">
        <v>0</v>
      </c>
      <c r="DT81" s="138">
        <v>0</v>
      </c>
      <c r="DU81" s="138">
        <v>0</v>
      </c>
      <c r="DV81" s="138">
        <v>0</v>
      </c>
      <c r="DW81" s="138">
        <v>0</v>
      </c>
      <c r="DX81" s="138">
        <v>0</v>
      </c>
      <c r="DY81" s="138">
        <v>0</v>
      </c>
      <c r="DZ81" s="138">
        <v>0</v>
      </c>
      <c r="EA81" s="138">
        <v>0</v>
      </c>
      <c r="EB81" s="85">
        <v>0</v>
      </c>
      <c r="EC81" s="87">
        <v>0</v>
      </c>
      <c r="ED81" s="85">
        <v>0</v>
      </c>
      <c r="EE81" s="85">
        <v>0</v>
      </c>
      <c r="EF81" s="85">
        <v>0</v>
      </c>
      <c r="EG81" s="85">
        <v>0</v>
      </c>
      <c r="EH81" s="85">
        <v>0</v>
      </c>
      <c r="EI81" s="85">
        <v>0</v>
      </c>
      <c r="EJ81" s="85">
        <v>0</v>
      </c>
      <c r="EK81" s="85">
        <v>0</v>
      </c>
      <c r="EL81" s="85">
        <v>0</v>
      </c>
      <c r="EM81" s="85">
        <v>0</v>
      </c>
      <c r="EN81" s="85">
        <v>0</v>
      </c>
      <c r="EO81" s="152">
        <v>0</v>
      </c>
      <c r="EP81" s="85">
        <v>0</v>
      </c>
      <c r="EQ81" s="85">
        <v>0</v>
      </c>
      <c r="ER81" s="85">
        <v>0</v>
      </c>
      <c r="ES81" s="85">
        <v>0</v>
      </c>
      <c r="ET81" s="85">
        <v>0</v>
      </c>
      <c r="EU81" s="85">
        <v>0</v>
      </c>
      <c r="EV81" s="85">
        <v>0</v>
      </c>
      <c r="EW81" s="85">
        <v>0</v>
      </c>
      <c r="EX81" s="85">
        <v>0</v>
      </c>
      <c r="EY81" s="85">
        <v>0</v>
      </c>
      <c r="EZ81" s="85">
        <v>0</v>
      </c>
      <c r="FA81" s="85">
        <v>0</v>
      </c>
      <c r="FB81" s="85">
        <v>0</v>
      </c>
      <c r="FC81" s="87">
        <v>0</v>
      </c>
      <c r="FD81" s="85">
        <v>0</v>
      </c>
      <c r="FE81" s="85">
        <v>0</v>
      </c>
      <c r="FF81" s="85">
        <v>0</v>
      </c>
      <c r="FG81" s="85">
        <v>0</v>
      </c>
      <c r="FH81" s="85">
        <v>0</v>
      </c>
      <c r="FI81" s="85">
        <v>0</v>
      </c>
      <c r="FJ81" s="85">
        <v>0</v>
      </c>
      <c r="FK81" s="85">
        <v>0</v>
      </c>
      <c r="FL81" s="85">
        <v>0</v>
      </c>
      <c r="FM81" s="85">
        <v>0</v>
      </c>
      <c r="FN81" s="85">
        <v>0</v>
      </c>
      <c r="FO81" s="86">
        <v>0</v>
      </c>
      <c r="FP81" s="87">
        <v>0</v>
      </c>
      <c r="FQ81" s="85">
        <v>1425.47949566535</v>
      </c>
      <c r="FR81" s="85">
        <v>85.042581059412</v>
      </c>
      <c r="FS81" s="85">
        <v>5758.59363905864</v>
      </c>
      <c r="FT81" s="85">
        <v>0</v>
      </c>
      <c r="FU81" s="85">
        <v>0</v>
      </c>
      <c r="FV81" s="85">
        <v>0</v>
      </c>
      <c r="FW81" s="85">
        <v>0</v>
      </c>
      <c r="FX81" s="85">
        <v>0</v>
      </c>
      <c r="FY81" s="85">
        <v>0</v>
      </c>
      <c r="FZ81" s="85">
        <v>0</v>
      </c>
      <c r="GA81" s="85">
        <v>0</v>
      </c>
      <c r="GB81" s="152">
        <v>7269.1157157834</v>
      </c>
      <c r="GD81" s="153"/>
    </row>
    <row r="82" spans="1:186">
      <c r="A82" s="137" t="s">
        <v>189</v>
      </c>
      <c r="B82" s="151">
        <v>175557.699901261</v>
      </c>
      <c r="C82" s="138">
        <f t="shared" si="24"/>
        <v>1789.35690906488</v>
      </c>
      <c r="D82" s="138">
        <f t="shared" si="13"/>
        <v>394.290552679641</v>
      </c>
      <c r="E82" s="138">
        <f t="shared" si="14"/>
        <v>1175.39096710249</v>
      </c>
      <c r="F82" s="138">
        <f t="shared" si="15"/>
        <v>300.764966231623</v>
      </c>
      <c r="G82" s="138">
        <f t="shared" si="16"/>
        <v>969.713124362292</v>
      </c>
      <c r="H82" s="138">
        <f t="shared" si="17"/>
        <v>0</v>
      </c>
      <c r="I82" s="138">
        <f t="shared" si="18"/>
        <v>0</v>
      </c>
      <c r="J82" s="138">
        <f t="shared" si="19"/>
        <v>0</v>
      </c>
      <c r="K82" s="138">
        <f t="shared" si="20"/>
        <v>0</v>
      </c>
      <c r="L82" s="138">
        <f t="shared" si="21"/>
        <v>0</v>
      </c>
      <c r="M82" s="138">
        <f t="shared" si="22"/>
        <v>0</v>
      </c>
      <c r="N82" s="138">
        <f t="shared" si="23"/>
        <v>0</v>
      </c>
      <c r="O82" s="86">
        <f t="shared" si="25"/>
        <v>4629.51651944093</v>
      </c>
      <c r="P82" s="138">
        <v>267.044305077888</v>
      </c>
      <c r="Q82" s="138">
        <v>65.2489125181247</v>
      </c>
      <c r="R82" s="138">
        <v>0</v>
      </c>
      <c r="S82" s="138">
        <v>0</v>
      </c>
      <c r="T82" s="138">
        <v>0</v>
      </c>
      <c r="U82" s="138">
        <v>0</v>
      </c>
      <c r="V82" s="138">
        <v>0</v>
      </c>
      <c r="W82" s="138">
        <v>0</v>
      </c>
      <c r="X82" s="138">
        <v>0</v>
      </c>
      <c r="Y82" s="138">
        <v>0</v>
      </c>
      <c r="Z82" s="138">
        <v>0</v>
      </c>
      <c r="AA82" s="138">
        <v>0</v>
      </c>
      <c r="AB82" s="86">
        <v>332.293217596013</v>
      </c>
      <c r="AC82" s="138">
        <v>0</v>
      </c>
      <c r="AD82" s="138">
        <v>0</v>
      </c>
      <c r="AE82" s="138">
        <v>0</v>
      </c>
      <c r="AF82" s="138">
        <v>0</v>
      </c>
      <c r="AG82" s="138">
        <v>0</v>
      </c>
      <c r="AH82" s="138">
        <v>0</v>
      </c>
      <c r="AI82" s="138">
        <v>0</v>
      </c>
      <c r="AJ82" s="138">
        <v>0</v>
      </c>
      <c r="AK82" s="138">
        <v>0</v>
      </c>
      <c r="AL82" s="138">
        <v>0</v>
      </c>
      <c r="AM82" s="138">
        <v>0</v>
      </c>
      <c r="AN82" s="138">
        <v>0</v>
      </c>
      <c r="AO82" s="86">
        <v>0</v>
      </c>
      <c r="AP82" s="138">
        <v>0</v>
      </c>
      <c r="AQ82" s="138">
        <v>0</v>
      </c>
      <c r="AR82" s="138">
        <v>0</v>
      </c>
      <c r="AS82" s="138">
        <v>0</v>
      </c>
      <c r="AT82" s="138">
        <v>0</v>
      </c>
      <c r="AU82" s="138">
        <v>0</v>
      </c>
      <c r="AV82" s="138">
        <v>0</v>
      </c>
      <c r="AW82" s="138">
        <v>0</v>
      </c>
      <c r="AX82" s="138">
        <v>0</v>
      </c>
      <c r="AY82" s="138">
        <v>0</v>
      </c>
      <c r="AZ82" s="138">
        <v>0</v>
      </c>
      <c r="BA82" s="138">
        <v>0</v>
      </c>
      <c r="BB82" s="86">
        <v>0</v>
      </c>
      <c r="BC82" s="138">
        <v>0</v>
      </c>
      <c r="BD82" s="138">
        <v>0</v>
      </c>
      <c r="BE82" s="138">
        <v>0</v>
      </c>
      <c r="BF82" s="138">
        <v>0</v>
      </c>
      <c r="BG82" s="138">
        <v>0</v>
      </c>
      <c r="BH82" s="138">
        <v>0</v>
      </c>
      <c r="BI82" s="138">
        <v>0</v>
      </c>
      <c r="BJ82" s="138">
        <v>0</v>
      </c>
      <c r="BK82" s="138">
        <v>0</v>
      </c>
      <c r="BL82" s="138">
        <v>0</v>
      </c>
      <c r="BM82" s="138">
        <v>0</v>
      </c>
      <c r="BN82" s="138">
        <v>0</v>
      </c>
      <c r="BO82" s="86">
        <v>0</v>
      </c>
      <c r="BP82" s="138">
        <v>0</v>
      </c>
      <c r="BQ82" s="138">
        <v>0</v>
      </c>
      <c r="BR82" s="138">
        <v>0</v>
      </c>
      <c r="BS82" s="138">
        <v>0</v>
      </c>
      <c r="BT82" s="138">
        <v>0</v>
      </c>
      <c r="BU82" s="138">
        <v>0</v>
      </c>
      <c r="BV82" s="138">
        <v>0</v>
      </c>
      <c r="BW82" s="138">
        <v>0</v>
      </c>
      <c r="BX82" s="138">
        <v>0</v>
      </c>
      <c r="BY82" s="138">
        <v>0</v>
      </c>
      <c r="BZ82" s="138">
        <v>0</v>
      </c>
      <c r="CA82" s="138">
        <v>0</v>
      </c>
      <c r="CB82" s="86">
        <v>0</v>
      </c>
      <c r="CC82" s="138">
        <v>0</v>
      </c>
      <c r="CD82" s="138">
        <v>0</v>
      </c>
      <c r="CE82" s="138">
        <v>0</v>
      </c>
      <c r="CF82" s="138">
        <v>0</v>
      </c>
      <c r="CG82" s="138">
        <v>0</v>
      </c>
      <c r="CH82" s="138">
        <v>0</v>
      </c>
      <c r="CI82" s="138">
        <v>0</v>
      </c>
      <c r="CJ82" s="138">
        <v>0</v>
      </c>
      <c r="CK82" s="138">
        <v>0</v>
      </c>
      <c r="CL82" s="138">
        <v>0</v>
      </c>
      <c r="CM82" s="138">
        <v>0</v>
      </c>
      <c r="CN82" s="138">
        <v>0</v>
      </c>
      <c r="CO82" s="86">
        <v>0</v>
      </c>
      <c r="CP82" s="138">
        <v>0</v>
      </c>
      <c r="CQ82" s="138">
        <v>0</v>
      </c>
      <c r="CR82" s="138">
        <v>0</v>
      </c>
      <c r="CS82" s="138">
        <v>0</v>
      </c>
      <c r="CT82" s="138">
        <v>0</v>
      </c>
      <c r="CU82" s="138">
        <v>0</v>
      </c>
      <c r="CV82" s="138">
        <v>0</v>
      </c>
      <c r="CW82" s="138">
        <v>0</v>
      </c>
      <c r="CX82" s="138">
        <v>0</v>
      </c>
      <c r="CY82" s="138">
        <v>0</v>
      </c>
      <c r="CZ82" s="138">
        <v>0</v>
      </c>
      <c r="DA82" s="138">
        <v>0</v>
      </c>
      <c r="DB82" s="86">
        <v>0</v>
      </c>
      <c r="DC82" s="138">
        <v>251.577387290095</v>
      </c>
      <c r="DD82" s="138">
        <v>329.041640161516</v>
      </c>
      <c r="DE82" s="138">
        <v>79.0340552617614</v>
      </c>
      <c r="DF82" s="138">
        <v>79.6437577112236</v>
      </c>
      <c r="DG82" s="138">
        <v>0</v>
      </c>
      <c r="DH82" s="138">
        <v>0</v>
      </c>
      <c r="DI82" s="138">
        <v>0</v>
      </c>
      <c r="DJ82" s="138">
        <v>0</v>
      </c>
      <c r="DK82" s="138">
        <v>0</v>
      </c>
      <c r="DL82" s="138">
        <v>0</v>
      </c>
      <c r="DM82" s="138">
        <v>0</v>
      </c>
      <c r="DN82" s="138">
        <v>0</v>
      </c>
      <c r="DO82" s="86">
        <v>739.296840424596</v>
      </c>
      <c r="DP82" s="138">
        <v>0</v>
      </c>
      <c r="DQ82" s="138">
        <v>0</v>
      </c>
      <c r="DR82" s="138">
        <v>0</v>
      </c>
      <c r="DS82" s="138">
        <v>0</v>
      </c>
      <c r="DT82" s="138">
        <v>0</v>
      </c>
      <c r="DU82" s="138">
        <v>0</v>
      </c>
      <c r="DV82" s="138">
        <v>0</v>
      </c>
      <c r="DW82" s="138">
        <v>0</v>
      </c>
      <c r="DX82" s="138">
        <v>0</v>
      </c>
      <c r="DY82" s="138">
        <v>0</v>
      </c>
      <c r="DZ82" s="138">
        <v>0</v>
      </c>
      <c r="EA82" s="138">
        <v>0</v>
      </c>
      <c r="EB82" s="85">
        <v>0</v>
      </c>
      <c r="EC82" s="87">
        <v>0</v>
      </c>
      <c r="ED82" s="85">
        <v>0</v>
      </c>
      <c r="EE82" s="85">
        <v>0</v>
      </c>
      <c r="EF82" s="85">
        <v>0</v>
      </c>
      <c r="EG82" s="85">
        <v>0</v>
      </c>
      <c r="EH82" s="85">
        <v>0</v>
      </c>
      <c r="EI82" s="85">
        <v>0</v>
      </c>
      <c r="EJ82" s="85">
        <v>0</v>
      </c>
      <c r="EK82" s="85">
        <v>0</v>
      </c>
      <c r="EL82" s="85">
        <v>0</v>
      </c>
      <c r="EM82" s="85">
        <v>0</v>
      </c>
      <c r="EN82" s="85">
        <v>0</v>
      </c>
      <c r="EO82" s="152">
        <v>0</v>
      </c>
      <c r="EP82" s="85">
        <v>0</v>
      </c>
      <c r="EQ82" s="85">
        <v>0</v>
      </c>
      <c r="ER82" s="85">
        <v>0</v>
      </c>
      <c r="ES82" s="85">
        <v>0</v>
      </c>
      <c r="ET82" s="85">
        <v>0</v>
      </c>
      <c r="EU82" s="85">
        <v>0</v>
      </c>
      <c r="EV82" s="85">
        <v>0</v>
      </c>
      <c r="EW82" s="85">
        <v>0</v>
      </c>
      <c r="EX82" s="85">
        <v>0</v>
      </c>
      <c r="EY82" s="85">
        <v>0</v>
      </c>
      <c r="EZ82" s="85">
        <v>0</v>
      </c>
      <c r="FA82" s="85">
        <v>0</v>
      </c>
      <c r="FB82" s="85">
        <v>0</v>
      </c>
      <c r="FC82" s="87">
        <v>0</v>
      </c>
      <c r="FD82" s="85">
        <v>0</v>
      </c>
      <c r="FE82" s="85">
        <v>0</v>
      </c>
      <c r="FF82" s="85">
        <v>0</v>
      </c>
      <c r="FG82" s="85">
        <v>0</v>
      </c>
      <c r="FH82" s="85">
        <v>0</v>
      </c>
      <c r="FI82" s="85">
        <v>0</v>
      </c>
      <c r="FJ82" s="85">
        <v>0</v>
      </c>
      <c r="FK82" s="85">
        <v>0</v>
      </c>
      <c r="FL82" s="85">
        <v>0</v>
      </c>
      <c r="FM82" s="85">
        <v>0</v>
      </c>
      <c r="FN82" s="85">
        <v>0</v>
      </c>
      <c r="FO82" s="86">
        <v>0</v>
      </c>
      <c r="FP82" s="87">
        <v>1270.7352166969</v>
      </c>
      <c r="FQ82" s="85">
        <v>0</v>
      </c>
      <c r="FR82" s="85">
        <v>1096.35691184073</v>
      </c>
      <c r="FS82" s="85">
        <v>221.121208520399</v>
      </c>
      <c r="FT82" s="85">
        <v>969.713124362292</v>
      </c>
      <c r="FU82" s="85">
        <v>0</v>
      </c>
      <c r="FV82" s="85">
        <v>0</v>
      </c>
      <c r="FW82" s="85">
        <v>0</v>
      </c>
      <c r="FX82" s="85">
        <v>0</v>
      </c>
      <c r="FY82" s="85">
        <v>0</v>
      </c>
      <c r="FZ82" s="85">
        <v>0</v>
      </c>
      <c r="GA82" s="85">
        <v>0</v>
      </c>
      <c r="GB82" s="152">
        <v>3557.92646142032</v>
      </c>
      <c r="GD82" s="153"/>
    </row>
    <row r="83" spans="1:186">
      <c r="A83" s="137" t="s">
        <v>191</v>
      </c>
      <c r="B83" s="151">
        <v>123164.238480626</v>
      </c>
      <c r="C83" s="138">
        <f t="shared" si="24"/>
        <v>601.820404435421</v>
      </c>
      <c r="D83" s="138">
        <f t="shared" si="13"/>
        <v>533.087101771905</v>
      </c>
      <c r="E83" s="138">
        <f t="shared" si="14"/>
        <v>520.533246997889</v>
      </c>
      <c r="F83" s="138">
        <f t="shared" si="15"/>
        <v>0</v>
      </c>
      <c r="G83" s="138">
        <f t="shared" si="16"/>
        <v>144.447686624845</v>
      </c>
      <c r="H83" s="138">
        <f t="shared" si="17"/>
        <v>0</v>
      </c>
      <c r="I83" s="138">
        <f t="shared" si="18"/>
        <v>0</v>
      </c>
      <c r="J83" s="138">
        <f t="shared" si="19"/>
        <v>0</v>
      </c>
      <c r="K83" s="138">
        <f t="shared" si="20"/>
        <v>0</v>
      </c>
      <c r="L83" s="138">
        <f t="shared" si="21"/>
        <v>0</v>
      </c>
      <c r="M83" s="138">
        <f t="shared" si="22"/>
        <v>0</v>
      </c>
      <c r="N83" s="138">
        <f t="shared" si="23"/>
        <v>0</v>
      </c>
      <c r="O83" s="86">
        <f t="shared" si="25"/>
        <v>1799.88843983006</v>
      </c>
      <c r="P83" s="138">
        <v>0</v>
      </c>
      <c r="Q83" s="138">
        <v>154.664088931851</v>
      </c>
      <c r="R83" s="138">
        <v>152.34072387811</v>
      </c>
      <c r="S83" s="138">
        <v>0</v>
      </c>
      <c r="T83" s="138">
        <v>0</v>
      </c>
      <c r="U83" s="138">
        <v>0</v>
      </c>
      <c r="V83" s="138">
        <v>0</v>
      </c>
      <c r="W83" s="138">
        <v>0</v>
      </c>
      <c r="X83" s="138">
        <v>0</v>
      </c>
      <c r="Y83" s="138">
        <v>0</v>
      </c>
      <c r="Z83" s="138">
        <v>0</v>
      </c>
      <c r="AA83" s="138">
        <v>0</v>
      </c>
      <c r="AB83" s="86">
        <v>307.004812809961</v>
      </c>
      <c r="AC83" s="138">
        <v>0</v>
      </c>
      <c r="AD83" s="138">
        <v>0</v>
      </c>
      <c r="AE83" s="138">
        <v>0</v>
      </c>
      <c r="AF83" s="138">
        <v>0</v>
      </c>
      <c r="AG83" s="138">
        <v>0</v>
      </c>
      <c r="AH83" s="138">
        <v>0</v>
      </c>
      <c r="AI83" s="138">
        <v>0</v>
      </c>
      <c r="AJ83" s="138">
        <v>0</v>
      </c>
      <c r="AK83" s="138">
        <v>0</v>
      </c>
      <c r="AL83" s="138">
        <v>0</v>
      </c>
      <c r="AM83" s="138">
        <v>0</v>
      </c>
      <c r="AN83" s="138">
        <v>0</v>
      </c>
      <c r="AO83" s="86">
        <v>0</v>
      </c>
      <c r="AP83" s="138">
        <v>0</v>
      </c>
      <c r="AQ83" s="138">
        <v>0</v>
      </c>
      <c r="AR83" s="138">
        <v>0</v>
      </c>
      <c r="AS83" s="138">
        <v>0</v>
      </c>
      <c r="AT83" s="138">
        <v>0</v>
      </c>
      <c r="AU83" s="138">
        <v>0</v>
      </c>
      <c r="AV83" s="138">
        <v>0</v>
      </c>
      <c r="AW83" s="138">
        <v>0</v>
      </c>
      <c r="AX83" s="138">
        <v>0</v>
      </c>
      <c r="AY83" s="138">
        <v>0</v>
      </c>
      <c r="AZ83" s="138">
        <v>0</v>
      </c>
      <c r="BA83" s="138">
        <v>0</v>
      </c>
      <c r="BB83" s="86">
        <v>0</v>
      </c>
      <c r="BC83" s="138">
        <v>0</v>
      </c>
      <c r="BD83" s="138">
        <v>0</v>
      </c>
      <c r="BE83" s="138">
        <v>0</v>
      </c>
      <c r="BF83" s="138">
        <v>0</v>
      </c>
      <c r="BG83" s="138">
        <v>0</v>
      </c>
      <c r="BH83" s="138">
        <v>0</v>
      </c>
      <c r="BI83" s="138">
        <v>0</v>
      </c>
      <c r="BJ83" s="138">
        <v>0</v>
      </c>
      <c r="BK83" s="138">
        <v>0</v>
      </c>
      <c r="BL83" s="138">
        <v>0</v>
      </c>
      <c r="BM83" s="138">
        <v>0</v>
      </c>
      <c r="BN83" s="138">
        <v>0</v>
      </c>
      <c r="BO83" s="86">
        <v>0</v>
      </c>
      <c r="BP83" s="138">
        <v>0</v>
      </c>
      <c r="BQ83" s="138">
        <v>0</v>
      </c>
      <c r="BR83" s="138">
        <v>0</v>
      </c>
      <c r="BS83" s="138">
        <v>0</v>
      </c>
      <c r="BT83" s="138">
        <v>0</v>
      </c>
      <c r="BU83" s="138">
        <v>0</v>
      </c>
      <c r="BV83" s="138">
        <v>0</v>
      </c>
      <c r="BW83" s="138">
        <v>0</v>
      </c>
      <c r="BX83" s="138">
        <v>0</v>
      </c>
      <c r="BY83" s="138">
        <v>0</v>
      </c>
      <c r="BZ83" s="138">
        <v>0</v>
      </c>
      <c r="CA83" s="138">
        <v>0</v>
      </c>
      <c r="CB83" s="86">
        <v>0</v>
      </c>
      <c r="CC83" s="138">
        <v>601.820404435421</v>
      </c>
      <c r="CD83" s="138">
        <v>0</v>
      </c>
      <c r="CE83" s="138">
        <v>368.192523119779</v>
      </c>
      <c r="CF83" s="138">
        <v>0</v>
      </c>
      <c r="CG83" s="138">
        <v>144.447686624845</v>
      </c>
      <c r="CH83" s="138">
        <v>0</v>
      </c>
      <c r="CI83" s="138">
        <v>0</v>
      </c>
      <c r="CJ83" s="138">
        <v>0</v>
      </c>
      <c r="CK83" s="138">
        <v>0</v>
      </c>
      <c r="CL83" s="138">
        <v>0</v>
      </c>
      <c r="CM83" s="138">
        <v>0</v>
      </c>
      <c r="CN83" s="138">
        <v>0</v>
      </c>
      <c r="CO83" s="86">
        <v>1114.46061418005</v>
      </c>
      <c r="CP83" s="138">
        <v>0</v>
      </c>
      <c r="CQ83" s="138">
        <v>0</v>
      </c>
      <c r="CR83" s="138">
        <v>0</v>
      </c>
      <c r="CS83" s="138">
        <v>0</v>
      </c>
      <c r="CT83" s="138">
        <v>0</v>
      </c>
      <c r="CU83" s="138">
        <v>0</v>
      </c>
      <c r="CV83" s="138">
        <v>0</v>
      </c>
      <c r="CW83" s="138">
        <v>0</v>
      </c>
      <c r="CX83" s="138">
        <v>0</v>
      </c>
      <c r="CY83" s="138">
        <v>0</v>
      </c>
      <c r="CZ83" s="138">
        <v>0</v>
      </c>
      <c r="DA83" s="138">
        <v>0</v>
      </c>
      <c r="DB83" s="86">
        <v>0</v>
      </c>
      <c r="DC83" s="138">
        <v>0</v>
      </c>
      <c r="DD83" s="138">
        <v>378.423012840054</v>
      </c>
      <c r="DE83" s="138">
        <v>0</v>
      </c>
      <c r="DF83" s="138">
        <v>0</v>
      </c>
      <c r="DG83" s="138">
        <v>0</v>
      </c>
      <c r="DH83" s="138">
        <v>0</v>
      </c>
      <c r="DI83" s="138">
        <v>0</v>
      </c>
      <c r="DJ83" s="138">
        <v>0</v>
      </c>
      <c r="DK83" s="138">
        <v>0</v>
      </c>
      <c r="DL83" s="138">
        <v>0</v>
      </c>
      <c r="DM83" s="138">
        <v>0</v>
      </c>
      <c r="DN83" s="138">
        <v>0</v>
      </c>
      <c r="DO83" s="86">
        <v>378.423012840054</v>
      </c>
      <c r="DP83" s="138">
        <v>0</v>
      </c>
      <c r="DQ83" s="138">
        <v>0</v>
      </c>
      <c r="DR83" s="138">
        <v>0</v>
      </c>
      <c r="DS83" s="138">
        <v>0</v>
      </c>
      <c r="DT83" s="138">
        <v>0</v>
      </c>
      <c r="DU83" s="138">
        <v>0</v>
      </c>
      <c r="DV83" s="138">
        <v>0</v>
      </c>
      <c r="DW83" s="138">
        <v>0</v>
      </c>
      <c r="DX83" s="138">
        <v>0</v>
      </c>
      <c r="DY83" s="138">
        <v>0</v>
      </c>
      <c r="DZ83" s="138">
        <v>0</v>
      </c>
      <c r="EA83" s="138">
        <v>0</v>
      </c>
      <c r="EB83" s="85">
        <v>0</v>
      </c>
      <c r="EC83" s="87">
        <v>0</v>
      </c>
      <c r="ED83" s="85">
        <v>0</v>
      </c>
      <c r="EE83" s="85">
        <v>0</v>
      </c>
      <c r="EF83" s="85">
        <v>0</v>
      </c>
      <c r="EG83" s="85">
        <v>0</v>
      </c>
      <c r="EH83" s="85">
        <v>0</v>
      </c>
      <c r="EI83" s="85">
        <v>0</v>
      </c>
      <c r="EJ83" s="85">
        <v>0</v>
      </c>
      <c r="EK83" s="85">
        <v>0</v>
      </c>
      <c r="EL83" s="85">
        <v>0</v>
      </c>
      <c r="EM83" s="85">
        <v>0</v>
      </c>
      <c r="EN83" s="85">
        <v>0</v>
      </c>
      <c r="EO83" s="152">
        <v>0</v>
      </c>
      <c r="EP83" s="85">
        <v>0</v>
      </c>
      <c r="EQ83" s="85">
        <v>0</v>
      </c>
      <c r="ER83" s="85">
        <v>0</v>
      </c>
      <c r="ES83" s="85">
        <v>0</v>
      </c>
      <c r="ET83" s="85">
        <v>0</v>
      </c>
      <c r="EU83" s="85">
        <v>0</v>
      </c>
      <c r="EV83" s="85">
        <v>0</v>
      </c>
      <c r="EW83" s="85">
        <v>0</v>
      </c>
      <c r="EX83" s="85">
        <v>0</v>
      </c>
      <c r="EY83" s="85">
        <v>0</v>
      </c>
      <c r="EZ83" s="85">
        <v>0</v>
      </c>
      <c r="FA83" s="85">
        <v>0</v>
      </c>
      <c r="FB83" s="85">
        <v>0</v>
      </c>
      <c r="FC83" s="87">
        <v>0</v>
      </c>
      <c r="FD83" s="85">
        <v>0</v>
      </c>
      <c r="FE83" s="85">
        <v>0</v>
      </c>
      <c r="FF83" s="85">
        <v>0</v>
      </c>
      <c r="FG83" s="85">
        <v>0</v>
      </c>
      <c r="FH83" s="85">
        <v>0</v>
      </c>
      <c r="FI83" s="85">
        <v>0</v>
      </c>
      <c r="FJ83" s="85">
        <v>0</v>
      </c>
      <c r="FK83" s="85">
        <v>0</v>
      </c>
      <c r="FL83" s="85">
        <v>0</v>
      </c>
      <c r="FM83" s="85">
        <v>0</v>
      </c>
      <c r="FN83" s="85">
        <v>0</v>
      </c>
      <c r="FO83" s="86">
        <v>0</v>
      </c>
      <c r="FP83" s="87">
        <v>0</v>
      </c>
      <c r="FQ83" s="85">
        <v>0</v>
      </c>
      <c r="FR83" s="85">
        <v>0</v>
      </c>
      <c r="FS83" s="85">
        <v>0</v>
      </c>
      <c r="FT83" s="85">
        <v>0</v>
      </c>
      <c r="FU83" s="85">
        <v>0</v>
      </c>
      <c r="FV83" s="85">
        <v>0</v>
      </c>
      <c r="FW83" s="85">
        <v>0</v>
      </c>
      <c r="FX83" s="85">
        <v>0</v>
      </c>
      <c r="FY83" s="85">
        <v>0</v>
      </c>
      <c r="FZ83" s="85">
        <v>0</v>
      </c>
      <c r="GA83" s="85">
        <v>0</v>
      </c>
      <c r="GB83" s="152">
        <v>0</v>
      </c>
      <c r="GD83" s="153"/>
    </row>
    <row r="84" spans="1:186">
      <c r="A84" s="137" t="s">
        <v>193</v>
      </c>
      <c r="B84" s="151">
        <v>72994.5516013966</v>
      </c>
      <c r="C84" s="138">
        <f t="shared" si="24"/>
        <v>1049.76945102463</v>
      </c>
      <c r="D84" s="138">
        <f t="shared" si="13"/>
        <v>3055.39133697184</v>
      </c>
      <c r="E84" s="138">
        <f t="shared" si="14"/>
        <v>1502.56118383608</v>
      </c>
      <c r="F84" s="138">
        <f t="shared" si="15"/>
        <v>91.5954196204388</v>
      </c>
      <c r="G84" s="138">
        <f t="shared" si="16"/>
        <v>279.446176495024</v>
      </c>
      <c r="H84" s="138">
        <f t="shared" si="17"/>
        <v>0</v>
      </c>
      <c r="I84" s="138">
        <f t="shared" si="18"/>
        <v>0</v>
      </c>
      <c r="J84" s="138">
        <f t="shared" si="19"/>
        <v>0</v>
      </c>
      <c r="K84" s="138">
        <f t="shared" si="20"/>
        <v>0</v>
      </c>
      <c r="L84" s="138">
        <f t="shared" si="21"/>
        <v>0</v>
      </c>
      <c r="M84" s="138">
        <f t="shared" si="22"/>
        <v>0</v>
      </c>
      <c r="N84" s="138">
        <f t="shared" si="23"/>
        <v>0</v>
      </c>
      <c r="O84" s="86">
        <f t="shared" si="25"/>
        <v>5978.76356794801</v>
      </c>
      <c r="P84" s="138">
        <v>395.621192707982</v>
      </c>
      <c r="Q84" s="138">
        <v>0</v>
      </c>
      <c r="R84" s="138">
        <v>0</v>
      </c>
      <c r="S84" s="138">
        <v>0</v>
      </c>
      <c r="T84" s="138">
        <v>0</v>
      </c>
      <c r="U84" s="138">
        <v>0</v>
      </c>
      <c r="V84" s="138">
        <v>0</v>
      </c>
      <c r="W84" s="138">
        <v>0</v>
      </c>
      <c r="X84" s="138">
        <v>0</v>
      </c>
      <c r="Y84" s="138">
        <v>0</v>
      </c>
      <c r="Z84" s="138">
        <v>0</v>
      </c>
      <c r="AA84" s="138">
        <v>0</v>
      </c>
      <c r="AB84" s="86">
        <v>395.621192707982</v>
      </c>
      <c r="AC84" s="138">
        <v>0</v>
      </c>
      <c r="AD84" s="138">
        <v>0</v>
      </c>
      <c r="AE84" s="138">
        <v>0</v>
      </c>
      <c r="AF84" s="138">
        <v>0</v>
      </c>
      <c r="AG84" s="138">
        <v>0</v>
      </c>
      <c r="AH84" s="138">
        <v>0</v>
      </c>
      <c r="AI84" s="138">
        <v>0</v>
      </c>
      <c r="AJ84" s="138">
        <v>0</v>
      </c>
      <c r="AK84" s="138">
        <v>0</v>
      </c>
      <c r="AL84" s="138">
        <v>0</v>
      </c>
      <c r="AM84" s="138">
        <v>0</v>
      </c>
      <c r="AN84" s="138">
        <v>0</v>
      </c>
      <c r="AO84" s="86">
        <v>0</v>
      </c>
      <c r="AP84" s="138">
        <v>0</v>
      </c>
      <c r="AQ84" s="138">
        <v>0</v>
      </c>
      <c r="AR84" s="138">
        <v>0</v>
      </c>
      <c r="AS84" s="138">
        <v>0</v>
      </c>
      <c r="AT84" s="138">
        <v>0</v>
      </c>
      <c r="AU84" s="138">
        <v>0</v>
      </c>
      <c r="AV84" s="138">
        <v>0</v>
      </c>
      <c r="AW84" s="138">
        <v>0</v>
      </c>
      <c r="AX84" s="138">
        <v>0</v>
      </c>
      <c r="AY84" s="138">
        <v>0</v>
      </c>
      <c r="AZ84" s="138">
        <v>0</v>
      </c>
      <c r="BA84" s="138">
        <v>0</v>
      </c>
      <c r="BB84" s="86">
        <v>0</v>
      </c>
      <c r="BC84" s="138">
        <v>0</v>
      </c>
      <c r="BD84" s="138">
        <v>0</v>
      </c>
      <c r="BE84" s="138">
        <v>0</v>
      </c>
      <c r="BF84" s="138">
        <v>0</v>
      </c>
      <c r="BG84" s="138">
        <v>0</v>
      </c>
      <c r="BH84" s="138">
        <v>0</v>
      </c>
      <c r="BI84" s="138">
        <v>0</v>
      </c>
      <c r="BJ84" s="138">
        <v>0</v>
      </c>
      <c r="BK84" s="138">
        <v>0</v>
      </c>
      <c r="BL84" s="138">
        <v>0</v>
      </c>
      <c r="BM84" s="138">
        <v>0</v>
      </c>
      <c r="BN84" s="138">
        <v>0</v>
      </c>
      <c r="BO84" s="86">
        <v>0</v>
      </c>
      <c r="BP84" s="138">
        <v>0</v>
      </c>
      <c r="BQ84" s="138">
        <v>0</v>
      </c>
      <c r="BR84" s="138">
        <v>0</v>
      </c>
      <c r="BS84" s="138">
        <v>0</v>
      </c>
      <c r="BT84" s="138">
        <v>0</v>
      </c>
      <c r="BU84" s="138">
        <v>0</v>
      </c>
      <c r="BV84" s="138">
        <v>0</v>
      </c>
      <c r="BW84" s="138">
        <v>0</v>
      </c>
      <c r="BX84" s="138">
        <v>0</v>
      </c>
      <c r="BY84" s="138">
        <v>0</v>
      </c>
      <c r="BZ84" s="138">
        <v>0</v>
      </c>
      <c r="CA84" s="138">
        <v>0</v>
      </c>
      <c r="CB84" s="86">
        <v>0</v>
      </c>
      <c r="CC84" s="138">
        <v>0</v>
      </c>
      <c r="CD84" s="138">
        <v>0</v>
      </c>
      <c r="CE84" s="138">
        <v>0</v>
      </c>
      <c r="CF84" s="138">
        <v>0</v>
      </c>
      <c r="CG84" s="138">
        <v>0</v>
      </c>
      <c r="CH84" s="138">
        <v>0</v>
      </c>
      <c r="CI84" s="138">
        <v>0</v>
      </c>
      <c r="CJ84" s="138">
        <v>0</v>
      </c>
      <c r="CK84" s="138">
        <v>0</v>
      </c>
      <c r="CL84" s="138">
        <v>0</v>
      </c>
      <c r="CM84" s="138">
        <v>0</v>
      </c>
      <c r="CN84" s="138">
        <v>0</v>
      </c>
      <c r="CO84" s="86">
        <v>0</v>
      </c>
      <c r="CP84" s="138">
        <v>0</v>
      </c>
      <c r="CQ84" s="138">
        <v>0</v>
      </c>
      <c r="CR84" s="138">
        <v>0</v>
      </c>
      <c r="CS84" s="138">
        <v>0</v>
      </c>
      <c r="CT84" s="138">
        <v>0</v>
      </c>
      <c r="CU84" s="138">
        <v>0</v>
      </c>
      <c r="CV84" s="138">
        <v>0</v>
      </c>
      <c r="CW84" s="138">
        <v>0</v>
      </c>
      <c r="CX84" s="138">
        <v>0</v>
      </c>
      <c r="CY84" s="138">
        <v>0</v>
      </c>
      <c r="CZ84" s="138">
        <v>0</v>
      </c>
      <c r="DA84" s="138">
        <v>0</v>
      </c>
      <c r="DB84" s="86">
        <v>0</v>
      </c>
      <c r="DC84" s="138">
        <v>578.670038544525</v>
      </c>
      <c r="DD84" s="138">
        <v>473.032057535156</v>
      </c>
      <c r="DE84" s="138">
        <v>0</v>
      </c>
      <c r="DF84" s="138">
        <v>91.5954196204388</v>
      </c>
      <c r="DG84" s="138">
        <v>279.446176495024</v>
      </c>
      <c r="DH84" s="138">
        <v>0</v>
      </c>
      <c r="DI84" s="138">
        <v>0</v>
      </c>
      <c r="DJ84" s="138">
        <v>0</v>
      </c>
      <c r="DK84" s="138">
        <v>0</v>
      </c>
      <c r="DL84" s="138">
        <v>0</v>
      </c>
      <c r="DM84" s="138">
        <v>0</v>
      </c>
      <c r="DN84" s="138">
        <v>0</v>
      </c>
      <c r="DO84" s="86">
        <v>1422.74369219515</v>
      </c>
      <c r="DP84" s="138">
        <v>0</v>
      </c>
      <c r="DQ84" s="138">
        <v>0</v>
      </c>
      <c r="DR84" s="138">
        <v>0</v>
      </c>
      <c r="DS84" s="138">
        <v>0</v>
      </c>
      <c r="DT84" s="138">
        <v>0</v>
      </c>
      <c r="DU84" s="138">
        <v>0</v>
      </c>
      <c r="DV84" s="138">
        <v>0</v>
      </c>
      <c r="DW84" s="138">
        <v>0</v>
      </c>
      <c r="DX84" s="138">
        <v>0</v>
      </c>
      <c r="DY84" s="138">
        <v>0</v>
      </c>
      <c r="DZ84" s="138">
        <v>0</v>
      </c>
      <c r="EA84" s="138">
        <v>0</v>
      </c>
      <c r="EB84" s="85">
        <v>0</v>
      </c>
      <c r="EC84" s="87">
        <v>0</v>
      </c>
      <c r="ED84" s="85">
        <v>0</v>
      </c>
      <c r="EE84" s="85">
        <v>0</v>
      </c>
      <c r="EF84" s="85">
        <v>0</v>
      </c>
      <c r="EG84" s="85">
        <v>0</v>
      </c>
      <c r="EH84" s="85">
        <v>0</v>
      </c>
      <c r="EI84" s="85">
        <v>0</v>
      </c>
      <c r="EJ84" s="85">
        <v>0</v>
      </c>
      <c r="EK84" s="85">
        <v>0</v>
      </c>
      <c r="EL84" s="85">
        <v>0</v>
      </c>
      <c r="EM84" s="85">
        <v>0</v>
      </c>
      <c r="EN84" s="85">
        <v>0</v>
      </c>
      <c r="EO84" s="152">
        <v>0</v>
      </c>
      <c r="EP84" s="85">
        <v>0</v>
      </c>
      <c r="EQ84" s="85">
        <v>0</v>
      </c>
      <c r="ER84" s="85">
        <v>0</v>
      </c>
      <c r="ES84" s="85">
        <v>0</v>
      </c>
      <c r="ET84" s="85">
        <v>0</v>
      </c>
      <c r="EU84" s="85">
        <v>0</v>
      </c>
      <c r="EV84" s="85">
        <v>0</v>
      </c>
      <c r="EW84" s="85">
        <v>0</v>
      </c>
      <c r="EX84" s="85">
        <v>0</v>
      </c>
      <c r="EY84" s="85">
        <v>0</v>
      </c>
      <c r="EZ84" s="85">
        <v>0</v>
      </c>
      <c r="FA84" s="85">
        <v>0</v>
      </c>
      <c r="FB84" s="85">
        <v>0</v>
      </c>
      <c r="FC84" s="87">
        <v>0</v>
      </c>
      <c r="FD84" s="85">
        <v>0</v>
      </c>
      <c r="FE84" s="85">
        <v>0</v>
      </c>
      <c r="FF84" s="85">
        <v>0</v>
      </c>
      <c r="FG84" s="85">
        <v>0</v>
      </c>
      <c r="FH84" s="85">
        <v>0</v>
      </c>
      <c r="FI84" s="85">
        <v>0</v>
      </c>
      <c r="FJ84" s="85">
        <v>0</v>
      </c>
      <c r="FK84" s="85">
        <v>0</v>
      </c>
      <c r="FL84" s="85">
        <v>0</v>
      </c>
      <c r="FM84" s="85">
        <v>0</v>
      </c>
      <c r="FN84" s="85">
        <v>0</v>
      </c>
      <c r="FO84" s="86">
        <v>0</v>
      </c>
      <c r="FP84" s="87">
        <v>75.4782197721193</v>
      </c>
      <c r="FQ84" s="85">
        <v>2582.35927943668</v>
      </c>
      <c r="FR84" s="85">
        <v>1502.56118383608</v>
      </c>
      <c r="FS84" s="85">
        <v>0</v>
      </c>
      <c r="FT84" s="85">
        <v>0</v>
      </c>
      <c r="FU84" s="85">
        <v>0</v>
      </c>
      <c r="FV84" s="85">
        <v>0</v>
      </c>
      <c r="FW84" s="85">
        <v>0</v>
      </c>
      <c r="FX84" s="85">
        <v>0</v>
      </c>
      <c r="FY84" s="85">
        <v>0</v>
      </c>
      <c r="FZ84" s="85">
        <v>0</v>
      </c>
      <c r="GA84" s="85">
        <v>0</v>
      </c>
      <c r="GB84" s="152">
        <v>4160.39868304488</v>
      </c>
      <c r="GD84" s="153"/>
    </row>
    <row r="85" spans="1:186">
      <c r="A85" s="137" t="s">
        <v>195</v>
      </c>
      <c r="B85" s="151">
        <v>43236.6305290454</v>
      </c>
      <c r="C85" s="138">
        <f t="shared" si="24"/>
        <v>0</v>
      </c>
      <c r="D85" s="138">
        <f t="shared" si="13"/>
        <v>0</v>
      </c>
      <c r="E85" s="138">
        <f t="shared" si="14"/>
        <v>0</v>
      </c>
      <c r="F85" s="138">
        <f t="shared" si="15"/>
        <v>0</v>
      </c>
      <c r="G85" s="138">
        <f t="shared" si="16"/>
        <v>0</v>
      </c>
      <c r="H85" s="138">
        <f t="shared" si="17"/>
        <v>0</v>
      </c>
      <c r="I85" s="138">
        <f t="shared" si="18"/>
        <v>0</v>
      </c>
      <c r="J85" s="138">
        <f t="shared" si="19"/>
        <v>0</v>
      </c>
      <c r="K85" s="138">
        <f t="shared" si="20"/>
        <v>0</v>
      </c>
      <c r="L85" s="138">
        <f t="shared" si="21"/>
        <v>0</v>
      </c>
      <c r="M85" s="138">
        <f t="shared" si="22"/>
        <v>0</v>
      </c>
      <c r="N85" s="138">
        <f t="shared" si="23"/>
        <v>0</v>
      </c>
      <c r="O85" s="86">
        <f t="shared" si="25"/>
        <v>0</v>
      </c>
      <c r="P85" s="138">
        <v>0</v>
      </c>
      <c r="Q85" s="138">
        <v>0</v>
      </c>
      <c r="R85" s="138">
        <v>0</v>
      </c>
      <c r="S85" s="138">
        <v>0</v>
      </c>
      <c r="T85" s="138">
        <v>0</v>
      </c>
      <c r="U85" s="138">
        <v>0</v>
      </c>
      <c r="V85" s="138">
        <v>0</v>
      </c>
      <c r="W85" s="138">
        <v>0</v>
      </c>
      <c r="X85" s="138">
        <v>0</v>
      </c>
      <c r="Y85" s="138">
        <v>0</v>
      </c>
      <c r="Z85" s="138">
        <v>0</v>
      </c>
      <c r="AA85" s="138">
        <v>0</v>
      </c>
      <c r="AB85" s="86">
        <v>0</v>
      </c>
      <c r="AC85" s="138">
        <v>0</v>
      </c>
      <c r="AD85" s="138">
        <v>0</v>
      </c>
      <c r="AE85" s="138">
        <v>0</v>
      </c>
      <c r="AF85" s="138">
        <v>0</v>
      </c>
      <c r="AG85" s="138">
        <v>0</v>
      </c>
      <c r="AH85" s="138">
        <v>0</v>
      </c>
      <c r="AI85" s="138">
        <v>0</v>
      </c>
      <c r="AJ85" s="138">
        <v>0</v>
      </c>
      <c r="AK85" s="138">
        <v>0</v>
      </c>
      <c r="AL85" s="138">
        <v>0</v>
      </c>
      <c r="AM85" s="138">
        <v>0</v>
      </c>
      <c r="AN85" s="138">
        <v>0</v>
      </c>
      <c r="AO85" s="86">
        <v>0</v>
      </c>
      <c r="AP85" s="138">
        <v>0</v>
      </c>
      <c r="AQ85" s="138">
        <v>0</v>
      </c>
      <c r="AR85" s="138">
        <v>0</v>
      </c>
      <c r="AS85" s="138">
        <v>0</v>
      </c>
      <c r="AT85" s="138">
        <v>0</v>
      </c>
      <c r="AU85" s="138">
        <v>0</v>
      </c>
      <c r="AV85" s="138">
        <v>0</v>
      </c>
      <c r="AW85" s="138">
        <v>0</v>
      </c>
      <c r="AX85" s="138">
        <v>0</v>
      </c>
      <c r="AY85" s="138">
        <v>0</v>
      </c>
      <c r="AZ85" s="138">
        <v>0</v>
      </c>
      <c r="BA85" s="138">
        <v>0</v>
      </c>
      <c r="BB85" s="86">
        <v>0</v>
      </c>
      <c r="BC85" s="138">
        <v>0</v>
      </c>
      <c r="BD85" s="138">
        <v>0</v>
      </c>
      <c r="BE85" s="138">
        <v>0</v>
      </c>
      <c r="BF85" s="138">
        <v>0</v>
      </c>
      <c r="BG85" s="138">
        <v>0</v>
      </c>
      <c r="BH85" s="138">
        <v>0</v>
      </c>
      <c r="BI85" s="138">
        <v>0</v>
      </c>
      <c r="BJ85" s="138">
        <v>0</v>
      </c>
      <c r="BK85" s="138">
        <v>0</v>
      </c>
      <c r="BL85" s="138">
        <v>0</v>
      </c>
      <c r="BM85" s="138">
        <v>0</v>
      </c>
      <c r="BN85" s="138">
        <v>0</v>
      </c>
      <c r="BO85" s="86">
        <v>0</v>
      </c>
      <c r="BP85" s="138">
        <v>0</v>
      </c>
      <c r="BQ85" s="138">
        <v>0</v>
      </c>
      <c r="BR85" s="138">
        <v>0</v>
      </c>
      <c r="BS85" s="138">
        <v>0</v>
      </c>
      <c r="BT85" s="138">
        <v>0</v>
      </c>
      <c r="BU85" s="138">
        <v>0</v>
      </c>
      <c r="BV85" s="138">
        <v>0</v>
      </c>
      <c r="BW85" s="138">
        <v>0</v>
      </c>
      <c r="BX85" s="138">
        <v>0</v>
      </c>
      <c r="BY85" s="138">
        <v>0</v>
      </c>
      <c r="BZ85" s="138">
        <v>0</v>
      </c>
      <c r="CA85" s="138">
        <v>0</v>
      </c>
      <c r="CB85" s="86">
        <v>0</v>
      </c>
      <c r="CC85" s="138">
        <v>0</v>
      </c>
      <c r="CD85" s="138">
        <v>0</v>
      </c>
      <c r="CE85" s="138">
        <v>0</v>
      </c>
      <c r="CF85" s="138">
        <v>0</v>
      </c>
      <c r="CG85" s="138">
        <v>0</v>
      </c>
      <c r="CH85" s="138">
        <v>0</v>
      </c>
      <c r="CI85" s="138">
        <v>0</v>
      </c>
      <c r="CJ85" s="138">
        <v>0</v>
      </c>
      <c r="CK85" s="138">
        <v>0</v>
      </c>
      <c r="CL85" s="138">
        <v>0</v>
      </c>
      <c r="CM85" s="138">
        <v>0</v>
      </c>
      <c r="CN85" s="138">
        <v>0</v>
      </c>
      <c r="CO85" s="86">
        <v>0</v>
      </c>
      <c r="CP85" s="138">
        <v>0</v>
      </c>
      <c r="CQ85" s="138">
        <v>0</v>
      </c>
      <c r="CR85" s="138">
        <v>0</v>
      </c>
      <c r="CS85" s="138">
        <v>0</v>
      </c>
      <c r="CT85" s="138">
        <v>0</v>
      </c>
      <c r="CU85" s="138">
        <v>0</v>
      </c>
      <c r="CV85" s="138">
        <v>0</v>
      </c>
      <c r="CW85" s="138">
        <v>0</v>
      </c>
      <c r="CX85" s="138">
        <v>0</v>
      </c>
      <c r="CY85" s="138">
        <v>0</v>
      </c>
      <c r="CZ85" s="138">
        <v>0</v>
      </c>
      <c r="DA85" s="138">
        <v>0</v>
      </c>
      <c r="DB85" s="86">
        <v>0</v>
      </c>
      <c r="DC85" s="138">
        <v>0</v>
      </c>
      <c r="DD85" s="138">
        <v>0</v>
      </c>
      <c r="DE85" s="138">
        <v>0</v>
      </c>
      <c r="DF85" s="138">
        <v>0</v>
      </c>
      <c r="DG85" s="138">
        <v>0</v>
      </c>
      <c r="DH85" s="138">
        <v>0</v>
      </c>
      <c r="DI85" s="138">
        <v>0</v>
      </c>
      <c r="DJ85" s="138">
        <v>0</v>
      </c>
      <c r="DK85" s="138">
        <v>0</v>
      </c>
      <c r="DL85" s="138">
        <v>0</v>
      </c>
      <c r="DM85" s="138">
        <v>0</v>
      </c>
      <c r="DN85" s="138">
        <v>0</v>
      </c>
      <c r="DO85" s="86">
        <v>0</v>
      </c>
      <c r="DP85" s="138">
        <v>0</v>
      </c>
      <c r="DQ85" s="138">
        <v>0</v>
      </c>
      <c r="DR85" s="138">
        <v>0</v>
      </c>
      <c r="DS85" s="138">
        <v>0</v>
      </c>
      <c r="DT85" s="138">
        <v>0</v>
      </c>
      <c r="DU85" s="138">
        <v>0</v>
      </c>
      <c r="DV85" s="138">
        <v>0</v>
      </c>
      <c r="DW85" s="138">
        <v>0</v>
      </c>
      <c r="DX85" s="138">
        <v>0</v>
      </c>
      <c r="DY85" s="138">
        <v>0</v>
      </c>
      <c r="DZ85" s="138">
        <v>0</v>
      </c>
      <c r="EA85" s="138">
        <v>0</v>
      </c>
      <c r="EB85" s="85">
        <v>0</v>
      </c>
      <c r="EC85" s="87">
        <v>0</v>
      </c>
      <c r="ED85" s="85">
        <v>0</v>
      </c>
      <c r="EE85" s="85">
        <v>0</v>
      </c>
      <c r="EF85" s="85">
        <v>0</v>
      </c>
      <c r="EG85" s="85">
        <v>0</v>
      </c>
      <c r="EH85" s="85">
        <v>0</v>
      </c>
      <c r="EI85" s="85">
        <v>0</v>
      </c>
      <c r="EJ85" s="85">
        <v>0</v>
      </c>
      <c r="EK85" s="85">
        <v>0</v>
      </c>
      <c r="EL85" s="85">
        <v>0</v>
      </c>
      <c r="EM85" s="85">
        <v>0</v>
      </c>
      <c r="EN85" s="85">
        <v>0</v>
      </c>
      <c r="EO85" s="152">
        <v>0</v>
      </c>
      <c r="EP85" s="85">
        <v>0</v>
      </c>
      <c r="EQ85" s="85">
        <v>0</v>
      </c>
      <c r="ER85" s="85">
        <v>0</v>
      </c>
      <c r="ES85" s="85">
        <v>0</v>
      </c>
      <c r="ET85" s="85">
        <v>0</v>
      </c>
      <c r="EU85" s="85">
        <v>0</v>
      </c>
      <c r="EV85" s="85">
        <v>0</v>
      </c>
      <c r="EW85" s="85">
        <v>0</v>
      </c>
      <c r="EX85" s="85">
        <v>0</v>
      </c>
      <c r="EY85" s="85">
        <v>0</v>
      </c>
      <c r="EZ85" s="85">
        <v>0</v>
      </c>
      <c r="FA85" s="85">
        <v>0</v>
      </c>
      <c r="FB85" s="85">
        <v>0</v>
      </c>
      <c r="FC85" s="87">
        <v>0</v>
      </c>
      <c r="FD85" s="85">
        <v>0</v>
      </c>
      <c r="FE85" s="85">
        <v>0</v>
      </c>
      <c r="FF85" s="85">
        <v>0</v>
      </c>
      <c r="FG85" s="85">
        <v>0</v>
      </c>
      <c r="FH85" s="85">
        <v>0</v>
      </c>
      <c r="FI85" s="85">
        <v>0</v>
      </c>
      <c r="FJ85" s="85">
        <v>0</v>
      </c>
      <c r="FK85" s="85">
        <v>0</v>
      </c>
      <c r="FL85" s="85">
        <v>0</v>
      </c>
      <c r="FM85" s="85">
        <v>0</v>
      </c>
      <c r="FN85" s="85">
        <v>0</v>
      </c>
      <c r="FO85" s="86">
        <v>0</v>
      </c>
      <c r="FP85" s="87">
        <v>0</v>
      </c>
      <c r="FQ85" s="85">
        <v>0</v>
      </c>
      <c r="FR85" s="85">
        <v>0</v>
      </c>
      <c r="FS85" s="85">
        <v>0</v>
      </c>
      <c r="FT85" s="85">
        <v>0</v>
      </c>
      <c r="FU85" s="85">
        <v>0</v>
      </c>
      <c r="FV85" s="85">
        <v>0</v>
      </c>
      <c r="FW85" s="85">
        <v>0</v>
      </c>
      <c r="FX85" s="85">
        <v>0</v>
      </c>
      <c r="FY85" s="85">
        <v>0</v>
      </c>
      <c r="FZ85" s="85">
        <v>0</v>
      </c>
      <c r="GA85" s="85">
        <v>0</v>
      </c>
      <c r="GB85" s="152">
        <v>0</v>
      </c>
      <c r="GD85" s="153"/>
    </row>
    <row r="86" spans="1:186">
      <c r="A86" s="137" t="s">
        <v>307</v>
      </c>
      <c r="B86" s="151">
        <v>9831444.72849882</v>
      </c>
      <c r="C86" s="138">
        <f t="shared" si="24"/>
        <v>362727.238978264</v>
      </c>
      <c r="D86" s="138">
        <f t="shared" si="13"/>
        <v>337371.816698421</v>
      </c>
      <c r="E86" s="138">
        <f t="shared" si="14"/>
        <v>309631.698403961</v>
      </c>
      <c r="F86" s="138">
        <f t="shared" si="15"/>
        <v>574487.110415974</v>
      </c>
      <c r="G86" s="138">
        <f t="shared" si="16"/>
        <v>168859.246854806</v>
      </c>
      <c r="H86" s="138">
        <f t="shared" si="17"/>
        <v>114841.856163457</v>
      </c>
      <c r="I86" s="138">
        <f t="shared" si="18"/>
        <v>95702.0438372741</v>
      </c>
      <c r="J86" s="138">
        <f t="shared" si="19"/>
        <v>52082.9802192262</v>
      </c>
      <c r="K86" s="138">
        <f t="shared" si="20"/>
        <v>34763.3633344825</v>
      </c>
      <c r="L86" s="138">
        <f t="shared" si="21"/>
        <v>34763.3633344825</v>
      </c>
      <c r="M86" s="138">
        <f t="shared" si="22"/>
        <v>9037.38888817442</v>
      </c>
      <c r="N86" s="138">
        <f t="shared" si="23"/>
        <v>9037.38888817442</v>
      </c>
      <c r="O86" s="86">
        <f t="shared" si="25"/>
        <v>2103305.4960167</v>
      </c>
      <c r="P86" s="138">
        <v>87862.4463790908</v>
      </c>
      <c r="Q86" s="138">
        <v>74050.7607196443</v>
      </c>
      <c r="R86" s="138">
        <v>78159.6194660363</v>
      </c>
      <c r="S86" s="138">
        <v>59333.3856226749</v>
      </c>
      <c r="T86" s="138">
        <v>27747.3176980388</v>
      </c>
      <c r="U86" s="138">
        <v>25725.9744463081</v>
      </c>
      <c r="V86" s="138">
        <v>25725.9744463081</v>
      </c>
      <c r="W86" s="138">
        <v>25725.9744463081</v>
      </c>
      <c r="X86" s="138">
        <v>25725.9744463081</v>
      </c>
      <c r="Y86" s="138">
        <v>25725.9744463081</v>
      </c>
      <c r="Z86" s="138">
        <v>0</v>
      </c>
      <c r="AA86" s="138">
        <v>0</v>
      </c>
      <c r="AB86" s="86">
        <v>455783.402117026</v>
      </c>
      <c r="AC86" s="138">
        <v>73847.8117784729</v>
      </c>
      <c r="AD86" s="138">
        <v>55810.0118115106</v>
      </c>
      <c r="AE86" s="138">
        <v>38765.4021680996</v>
      </c>
      <c r="AF86" s="138">
        <v>33586.8563263855</v>
      </c>
      <c r="AG86" s="138">
        <v>32389.5138064071</v>
      </c>
      <c r="AH86" s="138">
        <v>25415.0619402378</v>
      </c>
      <c r="AI86" s="138">
        <v>25415.0619402378</v>
      </c>
      <c r="AJ86" s="138">
        <v>0</v>
      </c>
      <c r="AK86" s="138">
        <v>0</v>
      </c>
      <c r="AL86" s="138">
        <v>0</v>
      </c>
      <c r="AM86" s="138">
        <v>0</v>
      </c>
      <c r="AN86" s="138">
        <v>0</v>
      </c>
      <c r="AO86" s="86">
        <v>285229.719771351</v>
      </c>
      <c r="AP86" s="138">
        <v>36092.3899225376</v>
      </c>
      <c r="AQ86" s="138">
        <v>30690.7408168525</v>
      </c>
      <c r="AR86" s="138">
        <v>29615.2446110526</v>
      </c>
      <c r="AS86" s="138">
        <v>24987.770502625</v>
      </c>
      <c r="AT86" s="138">
        <v>13912.6971152975</v>
      </c>
      <c r="AU86" s="138">
        <v>15797.0644245956</v>
      </c>
      <c r="AV86" s="138">
        <v>7898.5322122978</v>
      </c>
      <c r="AW86" s="138">
        <v>7898.5322122978</v>
      </c>
      <c r="AX86" s="138">
        <v>7898.5322122978</v>
      </c>
      <c r="AY86" s="138">
        <v>7898.5322122978</v>
      </c>
      <c r="AZ86" s="138">
        <v>7898.5322122978</v>
      </c>
      <c r="BA86" s="138">
        <v>7898.5322122978</v>
      </c>
      <c r="BB86" s="86">
        <v>198487.100666748</v>
      </c>
      <c r="BC86" s="138">
        <v>9039.16282089276</v>
      </c>
      <c r="BD86" s="138">
        <v>10175.7806126347</v>
      </c>
      <c r="BE86" s="138">
        <v>6046.03795615522</v>
      </c>
      <c r="BF86" s="138">
        <v>3054.76196092243</v>
      </c>
      <c r="BG86" s="138">
        <v>5056.20785743974</v>
      </c>
      <c r="BH86" s="138">
        <v>4269.51104020683</v>
      </c>
      <c r="BI86" s="138">
        <v>4269.51104020683</v>
      </c>
      <c r="BJ86" s="138">
        <v>4269.51104020683</v>
      </c>
      <c r="BK86" s="138">
        <v>0</v>
      </c>
      <c r="BL86" s="138">
        <v>0</v>
      </c>
      <c r="BM86" s="138">
        <v>0</v>
      </c>
      <c r="BN86" s="138">
        <v>0</v>
      </c>
      <c r="BO86" s="86">
        <v>46180.4843286653</v>
      </c>
      <c r="BP86" s="138">
        <v>0</v>
      </c>
      <c r="BQ86" s="138">
        <v>3292.81168783715</v>
      </c>
      <c r="BR86" s="138">
        <v>15057.5757737274</v>
      </c>
      <c r="BS86" s="138">
        <v>1674.34216128067</v>
      </c>
      <c r="BT86" s="138">
        <v>5434.7677252204</v>
      </c>
      <c r="BU86" s="138">
        <v>0</v>
      </c>
      <c r="BV86" s="138">
        <v>0</v>
      </c>
      <c r="BW86" s="138">
        <v>0</v>
      </c>
      <c r="BX86" s="138">
        <v>0</v>
      </c>
      <c r="BY86" s="138">
        <v>0</v>
      </c>
      <c r="BZ86" s="138">
        <v>0</v>
      </c>
      <c r="CA86" s="138">
        <v>0</v>
      </c>
      <c r="CB86" s="86">
        <v>25459.4973480657</v>
      </c>
      <c r="CC86" s="138">
        <v>0</v>
      </c>
      <c r="CD86" s="138">
        <v>0</v>
      </c>
      <c r="CE86" s="138">
        <v>0</v>
      </c>
      <c r="CF86" s="138">
        <v>10689.5369131381</v>
      </c>
      <c r="CG86" s="138">
        <v>14514.2744134912</v>
      </c>
      <c r="CH86" s="138">
        <v>0</v>
      </c>
      <c r="CI86" s="138">
        <v>0</v>
      </c>
      <c r="CJ86" s="138">
        <v>0</v>
      </c>
      <c r="CK86" s="138">
        <v>0</v>
      </c>
      <c r="CL86" s="138">
        <v>0</v>
      </c>
      <c r="CM86" s="138">
        <v>0</v>
      </c>
      <c r="CN86" s="138">
        <v>0</v>
      </c>
      <c r="CO86" s="86">
        <v>25203.8113266292</v>
      </c>
      <c r="CP86" s="138">
        <v>31089.267102959</v>
      </c>
      <c r="CQ86" s="138">
        <v>21240.3792093988</v>
      </c>
      <c r="CR86" s="138">
        <v>23471.7523723977</v>
      </c>
      <c r="CS86" s="138">
        <v>15608.6774575194</v>
      </c>
      <c r="CT86" s="138">
        <v>12560.3057936166</v>
      </c>
      <c r="CU86" s="138">
        <v>17306.0055406642</v>
      </c>
      <c r="CV86" s="138">
        <v>14252.0045629</v>
      </c>
      <c r="CW86" s="138">
        <v>0</v>
      </c>
      <c r="CX86" s="138">
        <v>0</v>
      </c>
      <c r="CY86" s="138">
        <v>0</v>
      </c>
      <c r="CZ86" s="138">
        <v>0</v>
      </c>
      <c r="DA86" s="138">
        <v>0</v>
      </c>
      <c r="DB86" s="86">
        <v>135528.392039456</v>
      </c>
      <c r="DC86" s="138">
        <v>3761.36415334415</v>
      </c>
      <c r="DD86" s="138">
        <v>42038.4370768588</v>
      </c>
      <c r="DE86" s="138">
        <v>2363.27394019782</v>
      </c>
      <c r="DF86" s="138">
        <v>2106.71432238399</v>
      </c>
      <c r="DG86" s="138">
        <v>3604.41516718018</v>
      </c>
      <c r="DH86" s="138">
        <v>2277.71335175322</v>
      </c>
      <c r="DI86" s="138">
        <v>2277.71335175322</v>
      </c>
      <c r="DJ86" s="138">
        <v>2277.71335175322</v>
      </c>
      <c r="DK86" s="138">
        <v>1138.85667587661</v>
      </c>
      <c r="DL86" s="138">
        <v>1138.85667587661</v>
      </c>
      <c r="DM86" s="138">
        <v>1138.85667587661</v>
      </c>
      <c r="DN86" s="138">
        <v>1138.85667587661</v>
      </c>
      <c r="DO86" s="86">
        <v>65262.771418731</v>
      </c>
      <c r="DP86" s="138">
        <v>102532.195453505</v>
      </c>
      <c r="DQ86" s="138">
        <v>81624.2322079083</v>
      </c>
      <c r="DR86" s="138">
        <v>59704.4706931537</v>
      </c>
      <c r="DS86" s="138">
        <v>397877.633848115</v>
      </c>
      <c r="DT86" s="138">
        <v>31164.1861177181</v>
      </c>
      <c r="DU86" s="138">
        <v>15586.957163921</v>
      </c>
      <c r="DV86" s="138">
        <v>9092.39167895389</v>
      </c>
      <c r="DW86" s="138">
        <v>6494.56548496706</v>
      </c>
      <c r="DX86" s="138">
        <v>0</v>
      </c>
      <c r="DY86" s="138">
        <v>0</v>
      </c>
      <c r="DZ86" s="138">
        <v>0</v>
      </c>
      <c r="EA86" s="138">
        <v>0</v>
      </c>
      <c r="EB86" s="85">
        <v>704076.632648242</v>
      </c>
      <c r="EC86" s="87">
        <v>0</v>
      </c>
      <c r="ED86" s="85">
        <v>0</v>
      </c>
      <c r="EE86" s="85">
        <v>0</v>
      </c>
      <c r="EF86" s="85">
        <v>0</v>
      </c>
      <c r="EG86" s="85">
        <v>0</v>
      </c>
      <c r="EH86" s="85">
        <v>0</v>
      </c>
      <c r="EI86" s="85">
        <v>0</v>
      </c>
      <c r="EJ86" s="85">
        <v>0</v>
      </c>
      <c r="EK86" s="85">
        <v>0</v>
      </c>
      <c r="EL86" s="85">
        <v>0</v>
      </c>
      <c r="EM86" s="85">
        <v>0</v>
      </c>
      <c r="EN86" s="85">
        <v>0</v>
      </c>
      <c r="EO86" s="152">
        <v>0</v>
      </c>
      <c r="EP86" s="85">
        <v>0</v>
      </c>
      <c r="EQ86" s="85">
        <v>4418.9640419564</v>
      </c>
      <c r="ER86" s="85">
        <v>19533.1964007454</v>
      </c>
      <c r="ES86" s="85">
        <v>12423.3979749211</v>
      </c>
      <c r="ET86" s="85">
        <v>11287.3573500682</v>
      </c>
      <c r="EU86" s="85">
        <v>8463.56825577055</v>
      </c>
      <c r="EV86" s="85">
        <v>6770.85460461644</v>
      </c>
      <c r="EW86" s="85">
        <v>5416.68368369315</v>
      </c>
      <c r="EX86" s="85">
        <v>0</v>
      </c>
      <c r="EY86" s="85">
        <v>0</v>
      </c>
      <c r="EZ86" s="85">
        <v>0</v>
      </c>
      <c r="FA86" s="85">
        <v>0</v>
      </c>
      <c r="FB86" s="85">
        <v>68314.0223117712</v>
      </c>
      <c r="FC86" s="87">
        <v>0</v>
      </c>
      <c r="FD86" s="85">
        <v>0</v>
      </c>
      <c r="FE86" s="85">
        <v>0</v>
      </c>
      <c r="FF86" s="85">
        <v>0</v>
      </c>
      <c r="FG86" s="85">
        <v>0</v>
      </c>
      <c r="FH86" s="85">
        <v>0</v>
      </c>
      <c r="FI86" s="85">
        <v>0</v>
      </c>
      <c r="FJ86" s="85">
        <v>0</v>
      </c>
      <c r="FK86" s="85">
        <v>0</v>
      </c>
      <c r="FL86" s="85">
        <v>0</v>
      </c>
      <c r="FM86" s="85">
        <v>0</v>
      </c>
      <c r="FN86" s="85">
        <v>0</v>
      </c>
      <c r="FO86" s="86">
        <v>0</v>
      </c>
      <c r="FP86" s="87">
        <v>18502.6013674619</v>
      </c>
      <c r="FQ86" s="85">
        <v>14029.6985138195</v>
      </c>
      <c r="FR86" s="85">
        <v>36915.1250223951</v>
      </c>
      <c r="FS86" s="85">
        <v>13144.0333260075</v>
      </c>
      <c r="FT86" s="85">
        <v>11188.2038103278</v>
      </c>
      <c r="FU86" s="85">
        <v>0</v>
      </c>
      <c r="FV86" s="85">
        <v>0</v>
      </c>
      <c r="FW86" s="85">
        <v>0</v>
      </c>
      <c r="FX86" s="85">
        <v>0</v>
      </c>
      <c r="FY86" s="85">
        <v>0</v>
      </c>
      <c r="FZ86" s="85">
        <v>0</v>
      </c>
      <c r="GA86" s="85">
        <v>0</v>
      </c>
      <c r="GB86" s="152">
        <v>93779.6620400119</v>
      </c>
      <c r="GD86" s="153"/>
    </row>
    <row r="87" spans="1:186">
      <c r="A87" s="137" t="s">
        <v>199</v>
      </c>
      <c r="B87" s="151">
        <v>98747.7928253841</v>
      </c>
      <c r="C87" s="138">
        <f t="shared" si="24"/>
        <v>971.340157373758</v>
      </c>
      <c r="D87" s="138">
        <f t="shared" si="13"/>
        <v>1085.87328710826</v>
      </c>
      <c r="E87" s="138">
        <f t="shared" si="14"/>
        <v>1666.99732294504</v>
      </c>
      <c r="F87" s="138">
        <f t="shared" si="15"/>
        <v>764.38239399554</v>
      </c>
      <c r="G87" s="138">
        <f t="shared" si="16"/>
        <v>0</v>
      </c>
      <c r="H87" s="138">
        <f t="shared" si="17"/>
        <v>0</v>
      </c>
      <c r="I87" s="138">
        <f t="shared" si="18"/>
        <v>0</v>
      </c>
      <c r="J87" s="138">
        <f t="shared" si="19"/>
        <v>0</v>
      </c>
      <c r="K87" s="138">
        <f t="shared" si="20"/>
        <v>0</v>
      </c>
      <c r="L87" s="138">
        <f t="shared" si="21"/>
        <v>0</v>
      </c>
      <c r="M87" s="138">
        <f t="shared" si="22"/>
        <v>0</v>
      </c>
      <c r="N87" s="138">
        <f t="shared" si="23"/>
        <v>0</v>
      </c>
      <c r="O87" s="86">
        <f t="shared" si="25"/>
        <v>4488.59316142259</v>
      </c>
      <c r="P87" s="138">
        <v>0</v>
      </c>
      <c r="Q87" s="138">
        <v>0</v>
      </c>
      <c r="R87" s="138">
        <v>0</v>
      </c>
      <c r="S87" s="138">
        <v>0</v>
      </c>
      <c r="T87" s="138">
        <v>0</v>
      </c>
      <c r="U87" s="138">
        <v>0</v>
      </c>
      <c r="V87" s="138">
        <v>0</v>
      </c>
      <c r="W87" s="138">
        <v>0</v>
      </c>
      <c r="X87" s="138">
        <v>0</v>
      </c>
      <c r="Y87" s="138">
        <v>0</v>
      </c>
      <c r="Z87" s="138">
        <v>0</v>
      </c>
      <c r="AA87" s="138">
        <v>0</v>
      </c>
      <c r="AB87" s="86">
        <v>0</v>
      </c>
      <c r="AC87" s="138">
        <v>0</v>
      </c>
      <c r="AD87" s="138">
        <v>0</v>
      </c>
      <c r="AE87" s="138">
        <v>0</v>
      </c>
      <c r="AF87" s="138">
        <v>0</v>
      </c>
      <c r="AG87" s="138">
        <v>0</v>
      </c>
      <c r="AH87" s="138">
        <v>0</v>
      </c>
      <c r="AI87" s="138">
        <v>0</v>
      </c>
      <c r="AJ87" s="138">
        <v>0</v>
      </c>
      <c r="AK87" s="138">
        <v>0</v>
      </c>
      <c r="AL87" s="138">
        <v>0</v>
      </c>
      <c r="AM87" s="138">
        <v>0</v>
      </c>
      <c r="AN87" s="138">
        <v>0</v>
      </c>
      <c r="AO87" s="86">
        <v>0</v>
      </c>
      <c r="AP87" s="138">
        <v>0</v>
      </c>
      <c r="AQ87" s="138">
        <v>297.524620622149</v>
      </c>
      <c r="AR87" s="138">
        <v>0</v>
      </c>
      <c r="AS87" s="138">
        <v>0</v>
      </c>
      <c r="AT87" s="138">
        <v>0</v>
      </c>
      <c r="AU87" s="138">
        <v>0</v>
      </c>
      <c r="AV87" s="138">
        <v>0</v>
      </c>
      <c r="AW87" s="138">
        <v>0</v>
      </c>
      <c r="AX87" s="138">
        <v>0</v>
      </c>
      <c r="AY87" s="138">
        <v>0</v>
      </c>
      <c r="AZ87" s="138">
        <v>0</v>
      </c>
      <c r="BA87" s="138">
        <v>0</v>
      </c>
      <c r="BB87" s="86">
        <v>297.524620622149</v>
      </c>
      <c r="BC87" s="138">
        <v>0</v>
      </c>
      <c r="BD87" s="138">
        <v>0</v>
      </c>
      <c r="BE87" s="138">
        <v>0</v>
      </c>
      <c r="BF87" s="138">
        <v>0</v>
      </c>
      <c r="BG87" s="138">
        <v>0</v>
      </c>
      <c r="BH87" s="138">
        <v>0</v>
      </c>
      <c r="BI87" s="138">
        <v>0</v>
      </c>
      <c r="BJ87" s="138">
        <v>0</v>
      </c>
      <c r="BK87" s="138">
        <v>0</v>
      </c>
      <c r="BL87" s="138">
        <v>0</v>
      </c>
      <c r="BM87" s="138">
        <v>0</v>
      </c>
      <c r="BN87" s="138">
        <v>0</v>
      </c>
      <c r="BO87" s="86">
        <v>0</v>
      </c>
      <c r="BP87" s="138">
        <v>462.607307805594</v>
      </c>
      <c r="BQ87" s="138">
        <v>466.59331304221</v>
      </c>
      <c r="BR87" s="138">
        <v>880.561112515361</v>
      </c>
      <c r="BS87" s="138">
        <v>440.616325225988</v>
      </c>
      <c r="BT87" s="138">
        <v>0</v>
      </c>
      <c r="BU87" s="138">
        <v>0</v>
      </c>
      <c r="BV87" s="138">
        <v>0</v>
      </c>
      <c r="BW87" s="138">
        <v>0</v>
      </c>
      <c r="BX87" s="138">
        <v>0</v>
      </c>
      <c r="BY87" s="138">
        <v>0</v>
      </c>
      <c r="BZ87" s="138">
        <v>0</v>
      </c>
      <c r="CA87" s="138">
        <v>0</v>
      </c>
      <c r="CB87" s="86">
        <v>2250.37805858915</v>
      </c>
      <c r="CC87" s="138">
        <v>300.943115389541</v>
      </c>
      <c r="CD87" s="138">
        <v>0</v>
      </c>
      <c r="CE87" s="138">
        <v>0</v>
      </c>
      <c r="CF87" s="138">
        <v>0</v>
      </c>
      <c r="CG87" s="138">
        <v>0</v>
      </c>
      <c r="CH87" s="138">
        <v>0</v>
      </c>
      <c r="CI87" s="138">
        <v>0</v>
      </c>
      <c r="CJ87" s="138">
        <v>0</v>
      </c>
      <c r="CK87" s="138">
        <v>0</v>
      </c>
      <c r="CL87" s="138">
        <v>0</v>
      </c>
      <c r="CM87" s="138">
        <v>0</v>
      </c>
      <c r="CN87" s="138">
        <v>0</v>
      </c>
      <c r="CO87" s="86">
        <v>300.943115389541</v>
      </c>
      <c r="CP87" s="138">
        <v>0</v>
      </c>
      <c r="CQ87" s="138">
        <v>0</v>
      </c>
      <c r="CR87" s="138">
        <v>0</v>
      </c>
      <c r="CS87" s="138">
        <v>0</v>
      </c>
      <c r="CT87" s="138">
        <v>0</v>
      </c>
      <c r="CU87" s="138">
        <v>0</v>
      </c>
      <c r="CV87" s="138">
        <v>0</v>
      </c>
      <c r="CW87" s="138">
        <v>0</v>
      </c>
      <c r="CX87" s="138">
        <v>0</v>
      </c>
      <c r="CY87" s="138">
        <v>0</v>
      </c>
      <c r="CZ87" s="138">
        <v>0</v>
      </c>
      <c r="DA87" s="138">
        <v>0</v>
      </c>
      <c r="DB87" s="86">
        <v>0</v>
      </c>
      <c r="DC87" s="138">
        <v>0</v>
      </c>
      <c r="DD87" s="138">
        <v>0</v>
      </c>
      <c r="DE87" s="138">
        <v>786.436210429676</v>
      </c>
      <c r="DF87" s="138">
        <v>0</v>
      </c>
      <c r="DG87" s="138">
        <v>0</v>
      </c>
      <c r="DH87" s="138">
        <v>0</v>
      </c>
      <c r="DI87" s="138">
        <v>0</v>
      </c>
      <c r="DJ87" s="138">
        <v>0</v>
      </c>
      <c r="DK87" s="138">
        <v>0</v>
      </c>
      <c r="DL87" s="138">
        <v>0</v>
      </c>
      <c r="DM87" s="138">
        <v>0</v>
      </c>
      <c r="DN87" s="138">
        <v>0</v>
      </c>
      <c r="DO87" s="86">
        <v>786.436210429676</v>
      </c>
      <c r="DP87" s="138">
        <v>0</v>
      </c>
      <c r="DQ87" s="138">
        <v>0</v>
      </c>
      <c r="DR87" s="138">
        <v>0</v>
      </c>
      <c r="DS87" s="138">
        <v>0</v>
      </c>
      <c r="DT87" s="138">
        <v>0</v>
      </c>
      <c r="DU87" s="138">
        <v>0</v>
      </c>
      <c r="DV87" s="138">
        <v>0</v>
      </c>
      <c r="DW87" s="138">
        <v>0</v>
      </c>
      <c r="DX87" s="138">
        <v>0</v>
      </c>
      <c r="DY87" s="138">
        <v>0</v>
      </c>
      <c r="DZ87" s="138">
        <v>0</v>
      </c>
      <c r="EA87" s="138">
        <v>0</v>
      </c>
      <c r="EB87" s="85">
        <v>0</v>
      </c>
      <c r="EC87" s="87">
        <v>0</v>
      </c>
      <c r="ED87" s="85">
        <v>0</v>
      </c>
      <c r="EE87" s="85">
        <v>0</v>
      </c>
      <c r="EF87" s="85">
        <v>0</v>
      </c>
      <c r="EG87" s="85">
        <v>0</v>
      </c>
      <c r="EH87" s="85">
        <v>0</v>
      </c>
      <c r="EI87" s="85">
        <v>0</v>
      </c>
      <c r="EJ87" s="85">
        <v>0</v>
      </c>
      <c r="EK87" s="85">
        <v>0</v>
      </c>
      <c r="EL87" s="85">
        <v>0</v>
      </c>
      <c r="EM87" s="85">
        <v>0</v>
      </c>
      <c r="EN87" s="85">
        <v>0</v>
      </c>
      <c r="EO87" s="152">
        <v>0</v>
      </c>
      <c r="EP87" s="85">
        <v>0</v>
      </c>
      <c r="EQ87" s="85">
        <v>0</v>
      </c>
      <c r="ER87" s="85">
        <v>0</v>
      </c>
      <c r="ES87" s="85">
        <v>0</v>
      </c>
      <c r="ET87" s="85">
        <v>0</v>
      </c>
      <c r="EU87" s="85">
        <v>0</v>
      </c>
      <c r="EV87" s="85">
        <v>0</v>
      </c>
      <c r="EW87" s="85">
        <v>0</v>
      </c>
      <c r="EX87" s="85">
        <v>0</v>
      </c>
      <c r="EY87" s="85">
        <v>0</v>
      </c>
      <c r="EZ87" s="85">
        <v>0</v>
      </c>
      <c r="FA87" s="85">
        <v>0</v>
      </c>
      <c r="FB87" s="85">
        <v>0</v>
      </c>
      <c r="FC87" s="87">
        <v>0</v>
      </c>
      <c r="FD87" s="85">
        <v>0</v>
      </c>
      <c r="FE87" s="85">
        <v>0</v>
      </c>
      <c r="FF87" s="85">
        <v>0</v>
      </c>
      <c r="FG87" s="85">
        <v>0</v>
      </c>
      <c r="FH87" s="85">
        <v>0</v>
      </c>
      <c r="FI87" s="85">
        <v>0</v>
      </c>
      <c r="FJ87" s="85">
        <v>0</v>
      </c>
      <c r="FK87" s="85">
        <v>0</v>
      </c>
      <c r="FL87" s="85">
        <v>0</v>
      </c>
      <c r="FM87" s="85">
        <v>0</v>
      </c>
      <c r="FN87" s="85">
        <v>0</v>
      </c>
      <c r="FO87" s="86">
        <v>0</v>
      </c>
      <c r="FP87" s="87">
        <v>207.789734178623</v>
      </c>
      <c r="FQ87" s="85">
        <v>321.7553534439</v>
      </c>
      <c r="FR87" s="85">
        <v>0</v>
      </c>
      <c r="FS87" s="85">
        <v>323.766068769552</v>
      </c>
      <c r="FT87" s="85">
        <v>0</v>
      </c>
      <c r="FU87" s="85">
        <v>0</v>
      </c>
      <c r="FV87" s="85">
        <v>0</v>
      </c>
      <c r="FW87" s="85">
        <v>0</v>
      </c>
      <c r="FX87" s="85">
        <v>0</v>
      </c>
      <c r="FY87" s="85">
        <v>0</v>
      </c>
      <c r="FZ87" s="85">
        <v>0</v>
      </c>
      <c r="GA87" s="85">
        <v>0</v>
      </c>
      <c r="GB87" s="152">
        <v>853.311156392076</v>
      </c>
      <c r="GD87" s="153"/>
    </row>
    <row r="88" spans="1:186">
      <c r="A88" s="137" t="s">
        <v>201</v>
      </c>
      <c r="B88" s="151">
        <v>32645.784404646</v>
      </c>
      <c r="C88" s="138">
        <f t="shared" si="24"/>
        <v>0</v>
      </c>
      <c r="D88" s="138">
        <f t="shared" si="13"/>
        <v>0</v>
      </c>
      <c r="E88" s="138">
        <f t="shared" si="14"/>
        <v>0</v>
      </c>
      <c r="F88" s="138">
        <f t="shared" si="15"/>
        <v>0</v>
      </c>
      <c r="G88" s="138">
        <f t="shared" si="16"/>
        <v>0</v>
      </c>
      <c r="H88" s="138">
        <f t="shared" si="17"/>
        <v>0</v>
      </c>
      <c r="I88" s="138">
        <f t="shared" si="18"/>
        <v>0</v>
      </c>
      <c r="J88" s="138">
        <f t="shared" si="19"/>
        <v>0</v>
      </c>
      <c r="K88" s="138">
        <f t="shared" si="20"/>
        <v>0</v>
      </c>
      <c r="L88" s="138">
        <f t="shared" si="21"/>
        <v>0</v>
      </c>
      <c r="M88" s="138">
        <f t="shared" si="22"/>
        <v>0</v>
      </c>
      <c r="N88" s="138">
        <f t="shared" si="23"/>
        <v>0</v>
      </c>
      <c r="O88" s="86">
        <f t="shared" si="25"/>
        <v>0</v>
      </c>
      <c r="P88" s="138">
        <v>0</v>
      </c>
      <c r="Q88" s="138">
        <v>0</v>
      </c>
      <c r="R88" s="138">
        <v>0</v>
      </c>
      <c r="S88" s="138">
        <v>0</v>
      </c>
      <c r="T88" s="138">
        <v>0</v>
      </c>
      <c r="U88" s="138">
        <v>0</v>
      </c>
      <c r="V88" s="138">
        <v>0</v>
      </c>
      <c r="W88" s="138">
        <v>0</v>
      </c>
      <c r="X88" s="138">
        <v>0</v>
      </c>
      <c r="Y88" s="138">
        <v>0</v>
      </c>
      <c r="Z88" s="138">
        <v>0</v>
      </c>
      <c r="AA88" s="138">
        <v>0</v>
      </c>
      <c r="AB88" s="86">
        <v>0</v>
      </c>
      <c r="AC88" s="138">
        <v>0</v>
      </c>
      <c r="AD88" s="138">
        <v>0</v>
      </c>
      <c r="AE88" s="138">
        <v>0</v>
      </c>
      <c r="AF88" s="138">
        <v>0</v>
      </c>
      <c r="AG88" s="138">
        <v>0</v>
      </c>
      <c r="AH88" s="138">
        <v>0</v>
      </c>
      <c r="AI88" s="138">
        <v>0</v>
      </c>
      <c r="AJ88" s="138">
        <v>0</v>
      </c>
      <c r="AK88" s="138">
        <v>0</v>
      </c>
      <c r="AL88" s="138">
        <v>0</v>
      </c>
      <c r="AM88" s="138">
        <v>0</v>
      </c>
      <c r="AN88" s="138">
        <v>0</v>
      </c>
      <c r="AO88" s="86">
        <v>0</v>
      </c>
      <c r="AP88" s="138">
        <v>0</v>
      </c>
      <c r="AQ88" s="138">
        <v>0</v>
      </c>
      <c r="AR88" s="138">
        <v>0</v>
      </c>
      <c r="AS88" s="138">
        <v>0</v>
      </c>
      <c r="AT88" s="138">
        <v>0</v>
      </c>
      <c r="AU88" s="138">
        <v>0</v>
      </c>
      <c r="AV88" s="138">
        <v>0</v>
      </c>
      <c r="AW88" s="138">
        <v>0</v>
      </c>
      <c r="AX88" s="138">
        <v>0</v>
      </c>
      <c r="AY88" s="138">
        <v>0</v>
      </c>
      <c r="AZ88" s="138">
        <v>0</v>
      </c>
      <c r="BA88" s="138">
        <v>0</v>
      </c>
      <c r="BB88" s="86">
        <v>0</v>
      </c>
      <c r="BC88" s="138">
        <v>0</v>
      </c>
      <c r="BD88" s="138">
        <v>0</v>
      </c>
      <c r="BE88" s="138">
        <v>0</v>
      </c>
      <c r="BF88" s="138">
        <v>0</v>
      </c>
      <c r="BG88" s="138">
        <v>0</v>
      </c>
      <c r="BH88" s="138">
        <v>0</v>
      </c>
      <c r="BI88" s="138">
        <v>0</v>
      </c>
      <c r="BJ88" s="138">
        <v>0</v>
      </c>
      <c r="BK88" s="138">
        <v>0</v>
      </c>
      <c r="BL88" s="138">
        <v>0</v>
      </c>
      <c r="BM88" s="138">
        <v>0</v>
      </c>
      <c r="BN88" s="138">
        <v>0</v>
      </c>
      <c r="BO88" s="86">
        <v>0</v>
      </c>
      <c r="BP88" s="138">
        <v>0</v>
      </c>
      <c r="BQ88" s="138">
        <v>0</v>
      </c>
      <c r="BR88" s="138">
        <v>0</v>
      </c>
      <c r="BS88" s="138">
        <v>0</v>
      </c>
      <c r="BT88" s="138">
        <v>0</v>
      </c>
      <c r="BU88" s="138">
        <v>0</v>
      </c>
      <c r="BV88" s="138">
        <v>0</v>
      </c>
      <c r="BW88" s="138">
        <v>0</v>
      </c>
      <c r="BX88" s="138">
        <v>0</v>
      </c>
      <c r="BY88" s="138">
        <v>0</v>
      </c>
      <c r="BZ88" s="138">
        <v>0</v>
      </c>
      <c r="CA88" s="138">
        <v>0</v>
      </c>
      <c r="CB88" s="86">
        <v>0</v>
      </c>
      <c r="CC88" s="138">
        <v>0</v>
      </c>
      <c r="CD88" s="138">
        <v>0</v>
      </c>
      <c r="CE88" s="138">
        <v>0</v>
      </c>
      <c r="CF88" s="138">
        <v>0</v>
      </c>
      <c r="CG88" s="138">
        <v>0</v>
      </c>
      <c r="CH88" s="138">
        <v>0</v>
      </c>
      <c r="CI88" s="138">
        <v>0</v>
      </c>
      <c r="CJ88" s="138">
        <v>0</v>
      </c>
      <c r="CK88" s="138">
        <v>0</v>
      </c>
      <c r="CL88" s="138">
        <v>0</v>
      </c>
      <c r="CM88" s="138">
        <v>0</v>
      </c>
      <c r="CN88" s="138">
        <v>0</v>
      </c>
      <c r="CO88" s="86">
        <v>0</v>
      </c>
      <c r="CP88" s="138">
        <v>0</v>
      </c>
      <c r="CQ88" s="138">
        <v>0</v>
      </c>
      <c r="CR88" s="138">
        <v>0</v>
      </c>
      <c r="CS88" s="138">
        <v>0</v>
      </c>
      <c r="CT88" s="138">
        <v>0</v>
      </c>
      <c r="CU88" s="138">
        <v>0</v>
      </c>
      <c r="CV88" s="138">
        <v>0</v>
      </c>
      <c r="CW88" s="138">
        <v>0</v>
      </c>
      <c r="CX88" s="138">
        <v>0</v>
      </c>
      <c r="CY88" s="138">
        <v>0</v>
      </c>
      <c r="CZ88" s="138">
        <v>0</v>
      </c>
      <c r="DA88" s="138">
        <v>0</v>
      </c>
      <c r="DB88" s="86">
        <v>0</v>
      </c>
      <c r="DC88" s="138">
        <v>0</v>
      </c>
      <c r="DD88" s="138">
        <v>0</v>
      </c>
      <c r="DE88" s="138">
        <v>0</v>
      </c>
      <c r="DF88" s="138">
        <v>0</v>
      </c>
      <c r="DG88" s="138">
        <v>0</v>
      </c>
      <c r="DH88" s="138">
        <v>0</v>
      </c>
      <c r="DI88" s="138">
        <v>0</v>
      </c>
      <c r="DJ88" s="138">
        <v>0</v>
      </c>
      <c r="DK88" s="138">
        <v>0</v>
      </c>
      <c r="DL88" s="138">
        <v>0</v>
      </c>
      <c r="DM88" s="138">
        <v>0</v>
      </c>
      <c r="DN88" s="138">
        <v>0</v>
      </c>
      <c r="DO88" s="86">
        <v>0</v>
      </c>
      <c r="DP88" s="138">
        <v>0</v>
      </c>
      <c r="DQ88" s="138">
        <v>0</v>
      </c>
      <c r="DR88" s="138">
        <v>0</v>
      </c>
      <c r="DS88" s="138">
        <v>0</v>
      </c>
      <c r="DT88" s="138">
        <v>0</v>
      </c>
      <c r="DU88" s="138">
        <v>0</v>
      </c>
      <c r="DV88" s="138">
        <v>0</v>
      </c>
      <c r="DW88" s="138">
        <v>0</v>
      </c>
      <c r="DX88" s="138">
        <v>0</v>
      </c>
      <c r="DY88" s="138">
        <v>0</v>
      </c>
      <c r="DZ88" s="138">
        <v>0</v>
      </c>
      <c r="EA88" s="138">
        <v>0</v>
      </c>
      <c r="EB88" s="85">
        <v>0</v>
      </c>
      <c r="EC88" s="87">
        <v>0</v>
      </c>
      <c r="ED88" s="85">
        <v>0</v>
      </c>
      <c r="EE88" s="85">
        <v>0</v>
      </c>
      <c r="EF88" s="85">
        <v>0</v>
      </c>
      <c r="EG88" s="85">
        <v>0</v>
      </c>
      <c r="EH88" s="85">
        <v>0</v>
      </c>
      <c r="EI88" s="85">
        <v>0</v>
      </c>
      <c r="EJ88" s="85">
        <v>0</v>
      </c>
      <c r="EK88" s="85">
        <v>0</v>
      </c>
      <c r="EL88" s="85">
        <v>0</v>
      </c>
      <c r="EM88" s="85">
        <v>0</v>
      </c>
      <c r="EN88" s="85">
        <v>0</v>
      </c>
      <c r="EO88" s="152">
        <v>0</v>
      </c>
      <c r="EP88" s="85">
        <v>0</v>
      </c>
      <c r="EQ88" s="85">
        <v>0</v>
      </c>
      <c r="ER88" s="85">
        <v>0</v>
      </c>
      <c r="ES88" s="85">
        <v>0</v>
      </c>
      <c r="ET88" s="85">
        <v>0</v>
      </c>
      <c r="EU88" s="85">
        <v>0</v>
      </c>
      <c r="EV88" s="85">
        <v>0</v>
      </c>
      <c r="EW88" s="85">
        <v>0</v>
      </c>
      <c r="EX88" s="85">
        <v>0</v>
      </c>
      <c r="EY88" s="85">
        <v>0</v>
      </c>
      <c r="EZ88" s="85">
        <v>0</v>
      </c>
      <c r="FA88" s="85">
        <v>0</v>
      </c>
      <c r="FB88" s="85">
        <v>0</v>
      </c>
      <c r="FC88" s="87">
        <v>0</v>
      </c>
      <c r="FD88" s="85">
        <v>0</v>
      </c>
      <c r="FE88" s="85">
        <v>0</v>
      </c>
      <c r="FF88" s="85">
        <v>0</v>
      </c>
      <c r="FG88" s="85">
        <v>0</v>
      </c>
      <c r="FH88" s="85">
        <v>0</v>
      </c>
      <c r="FI88" s="85">
        <v>0</v>
      </c>
      <c r="FJ88" s="85">
        <v>0</v>
      </c>
      <c r="FK88" s="85">
        <v>0</v>
      </c>
      <c r="FL88" s="85">
        <v>0</v>
      </c>
      <c r="FM88" s="85">
        <v>0</v>
      </c>
      <c r="FN88" s="85">
        <v>0</v>
      </c>
      <c r="FO88" s="86">
        <v>0</v>
      </c>
      <c r="FP88" s="87">
        <v>0</v>
      </c>
      <c r="FQ88" s="85">
        <v>0</v>
      </c>
      <c r="FR88" s="85">
        <v>0</v>
      </c>
      <c r="FS88" s="85">
        <v>0</v>
      </c>
      <c r="FT88" s="85">
        <v>0</v>
      </c>
      <c r="FU88" s="85">
        <v>0</v>
      </c>
      <c r="FV88" s="85">
        <v>0</v>
      </c>
      <c r="FW88" s="85">
        <v>0</v>
      </c>
      <c r="FX88" s="85">
        <v>0</v>
      </c>
      <c r="FY88" s="85">
        <v>0</v>
      </c>
      <c r="FZ88" s="85">
        <v>0</v>
      </c>
      <c r="GA88" s="85">
        <v>0</v>
      </c>
      <c r="GB88" s="152">
        <v>0</v>
      </c>
      <c r="GD88" s="153"/>
    </row>
    <row r="89" spans="1:186">
      <c r="A89" s="137" t="s">
        <v>203</v>
      </c>
      <c r="B89" s="151">
        <v>37166.6078660741</v>
      </c>
      <c r="C89" s="138">
        <f t="shared" si="24"/>
        <v>0</v>
      </c>
      <c r="D89" s="138">
        <f t="shared" si="13"/>
        <v>0</v>
      </c>
      <c r="E89" s="138">
        <f t="shared" si="14"/>
        <v>0</v>
      </c>
      <c r="F89" s="138">
        <f t="shared" si="15"/>
        <v>0</v>
      </c>
      <c r="G89" s="138">
        <f t="shared" si="16"/>
        <v>0</v>
      </c>
      <c r="H89" s="138">
        <f t="shared" si="17"/>
        <v>0</v>
      </c>
      <c r="I89" s="138">
        <f t="shared" si="18"/>
        <v>0</v>
      </c>
      <c r="J89" s="138">
        <f t="shared" si="19"/>
        <v>0</v>
      </c>
      <c r="K89" s="138">
        <f t="shared" si="20"/>
        <v>0</v>
      </c>
      <c r="L89" s="138">
        <f t="shared" si="21"/>
        <v>0</v>
      </c>
      <c r="M89" s="138">
        <f t="shared" si="22"/>
        <v>0</v>
      </c>
      <c r="N89" s="138">
        <f t="shared" si="23"/>
        <v>0</v>
      </c>
      <c r="O89" s="86">
        <f t="shared" si="25"/>
        <v>0</v>
      </c>
      <c r="P89" s="138">
        <v>0</v>
      </c>
      <c r="Q89" s="138">
        <v>0</v>
      </c>
      <c r="R89" s="138">
        <v>0</v>
      </c>
      <c r="S89" s="138">
        <v>0</v>
      </c>
      <c r="T89" s="138">
        <v>0</v>
      </c>
      <c r="U89" s="138">
        <v>0</v>
      </c>
      <c r="V89" s="138">
        <v>0</v>
      </c>
      <c r="W89" s="138">
        <v>0</v>
      </c>
      <c r="X89" s="138">
        <v>0</v>
      </c>
      <c r="Y89" s="138">
        <v>0</v>
      </c>
      <c r="Z89" s="138">
        <v>0</v>
      </c>
      <c r="AA89" s="138">
        <v>0</v>
      </c>
      <c r="AB89" s="86">
        <v>0</v>
      </c>
      <c r="AC89" s="138">
        <v>0</v>
      </c>
      <c r="AD89" s="138">
        <v>0</v>
      </c>
      <c r="AE89" s="138">
        <v>0</v>
      </c>
      <c r="AF89" s="138">
        <v>0</v>
      </c>
      <c r="AG89" s="138">
        <v>0</v>
      </c>
      <c r="AH89" s="138">
        <v>0</v>
      </c>
      <c r="AI89" s="138">
        <v>0</v>
      </c>
      <c r="AJ89" s="138">
        <v>0</v>
      </c>
      <c r="AK89" s="138">
        <v>0</v>
      </c>
      <c r="AL89" s="138">
        <v>0</v>
      </c>
      <c r="AM89" s="138">
        <v>0</v>
      </c>
      <c r="AN89" s="138">
        <v>0</v>
      </c>
      <c r="AO89" s="86">
        <v>0</v>
      </c>
      <c r="AP89" s="138">
        <v>0</v>
      </c>
      <c r="AQ89" s="138">
        <v>0</v>
      </c>
      <c r="AR89" s="138">
        <v>0</v>
      </c>
      <c r="AS89" s="138">
        <v>0</v>
      </c>
      <c r="AT89" s="138">
        <v>0</v>
      </c>
      <c r="AU89" s="138">
        <v>0</v>
      </c>
      <c r="AV89" s="138">
        <v>0</v>
      </c>
      <c r="AW89" s="138">
        <v>0</v>
      </c>
      <c r="AX89" s="138">
        <v>0</v>
      </c>
      <c r="AY89" s="138">
        <v>0</v>
      </c>
      <c r="AZ89" s="138">
        <v>0</v>
      </c>
      <c r="BA89" s="138">
        <v>0</v>
      </c>
      <c r="BB89" s="86">
        <v>0</v>
      </c>
      <c r="BC89" s="138">
        <v>0</v>
      </c>
      <c r="BD89" s="138">
        <v>0</v>
      </c>
      <c r="BE89" s="138">
        <v>0</v>
      </c>
      <c r="BF89" s="138">
        <v>0</v>
      </c>
      <c r="BG89" s="138">
        <v>0</v>
      </c>
      <c r="BH89" s="138">
        <v>0</v>
      </c>
      <c r="BI89" s="138">
        <v>0</v>
      </c>
      <c r="BJ89" s="138">
        <v>0</v>
      </c>
      <c r="BK89" s="138">
        <v>0</v>
      </c>
      <c r="BL89" s="138">
        <v>0</v>
      </c>
      <c r="BM89" s="138">
        <v>0</v>
      </c>
      <c r="BN89" s="138">
        <v>0</v>
      </c>
      <c r="BO89" s="86">
        <v>0</v>
      </c>
      <c r="BP89" s="138">
        <v>0</v>
      </c>
      <c r="BQ89" s="138">
        <v>0</v>
      </c>
      <c r="BR89" s="138">
        <v>0</v>
      </c>
      <c r="BS89" s="138">
        <v>0</v>
      </c>
      <c r="BT89" s="138">
        <v>0</v>
      </c>
      <c r="BU89" s="138">
        <v>0</v>
      </c>
      <c r="BV89" s="138">
        <v>0</v>
      </c>
      <c r="BW89" s="138">
        <v>0</v>
      </c>
      <c r="BX89" s="138">
        <v>0</v>
      </c>
      <c r="BY89" s="138">
        <v>0</v>
      </c>
      <c r="BZ89" s="138">
        <v>0</v>
      </c>
      <c r="CA89" s="138">
        <v>0</v>
      </c>
      <c r="CB89" s="86">
        <v>0</v>
      </c>
      <c r="CC89" s="138">
        <v>0</v>
      </c>
      <c r="CD89" s="138">
        <v>0</v>
      </c>
      <c r="CE89" s="138">
        <v>0</v>
      </c>
      <c r="CF89" s="138">
        <v>0</v>
      </c>
      <c r="CG89" s="138">
        <v>0</v>
      </c>
      <c r="CH89" s="138">
        <v>0</v>
      </c>
      <c r="CI89" s="138">
        <v>0</v>
      </c>
      <c r="CJ89" s="138">
        <v>0</v>
      </c>
      <c r="CK89" s="138">
        <v>0</v>
      </c>
      <c r="CL89" s="138">
        <v>0</v>
      </c>
      <c r="CM89" s="138">
        <v>0</v>
      </c>
      <c r="CN89" s="138">
        <v>0</v>
      </c>
      <c r="CO89" s="86">
        <v>0</v>
      </c>
      <c r="CP89" s="138">
        <v>0</v>
      </c>
      <c r="CQ89" s="138">
        <v>0</v>
      </c>
      <c r="CR89" s="138">
        <v>0</v>
      </c>
      <c r="CS89" s="138">
        <v>0</v>
      </c>
      <c r="CT89" s="138">
        <v>0</v>
      </c>
      <c r="CU89" s="138">
        <v>0</v>
      </c>
      <c r="CV89" s="138">
        <v>0</v>
      </c>
      <c r="CW89" s="138">
        <v>0</v>
      </c>
      <c r="CX89" s="138">
        <v>0</v>
      </c>
      <c r="CY89" s="138">
        <v>0</v>
      </c>
      <c r="CZ89" s="138">
        <v>0</v>
      </c>
      <c r="DA89" s="138">
        <v>0</v>
      </c>
      <c r="DB89" s="86">
        <v>0</v>
      </c>
      <c r="DC89" s="138">
        <v>0</v>
      </c>
      <c r="DD89" s="138">
        <v>0</v>
      </c>
      <c r="DE89" s="138">
        <v>0</v>
      </c>
      <c r="DF89" s="138">
        <v>0</v>
      </c>
      <c r="DG89" s="138">
        <v>0</v>
      </c>
      <c r="DH89" s="138">
        <v>0</v>
      </c>
      <c r="DI89" s="138">
        <v>0</v>
      </c>
      <c r="DJ89" s="138">
        <v>0</v>
      </c>
      <c r="DK89" s="138">
        <v>0</v>
      </c>
      <c r="DL89" s="138">
        <v>0</v>
      </c>
      <c r="DM89" s="138">
        <v>0</v>
      </c>
      <c r="DN89" s="138">
        <v>0</v>
      </c>
      <c r="DO89" s="86">
        <v>0</v>
      </c>
      <c r="DP89" s="138">
        <v>0</v>
      </c>
      <c r="DQ89" s="138">
        <v>0</v>
      </c>
      <c r="DR89" s="138">
        <v>0</v>
      </c>
      <c r="DS89" s="138">
        <v>0</v>
      </c>
      <c r="DT89" s="138">
        <v>0</v>
      </c>
      <c r="DU89" s="138">
        <v>0</v>
      </c>
      <c r="DV89" s="138">
        <v>0</v>
      </c>
      <c r="DW89" s="138">
        <v>0</v>
      </c>
      <c r="DX89" s="138">
        <v>0</v>
      </c>
      <c r="DY89" s="138">
        <v>0</v>
      </c>
      <c r="DZ89" s="138">
        <v>0</v>
      </c>
      <c r="EA89" s="138">
        <v>0</v>
      </c>
      <c r="EB89" s="85">
        <v>0</v>
      </c>
      <c r="EC89" s="87">
        <v>0</v>
      </c>
      <c r="ED89" s="85">
        <v>0</v>
      </c>
      <c r="EE89" s="85">
        <v>0</v>
      </c>
      <c r="EF89" s="85">
        <v>0</v>
      </c>
      <c r="EG89" s="85">
        <v>0</v>
      </c>
      <c r="EH89" s="85">
        <v>0</v>
      </c>
      <c r="EI89" s="85">
        <v>0</v>
      </c>
      <c r="EJ89" s="85">
        <v>0</v>
      </c>
      <c r="EK89" s="85">
        <v>0</v>
      </c>
      <c r="EL89" s="85">
        <v>0</v>
      </c>
      <c r="EM89" s="85">
        <v>0</v>
      </c>
      <c r="EN89" s="85">
        <v>0</v>
      </c>
      <c r="EO89" s="152">
        <v>0</v>
      </c>
      <c r="EP89" s="85">
        <v>0</v>
      </c>
      <c r="EQ89" s="85">
        <v>0</v>
      </c>
      <c r="ER89" s="85">
        <v>0</v>
      </c>
      <c r="ES89" s="85">
        <v>0</v>
      </c>
      <c r="ET89" s="85">
        <v>0</v>
      </c>
      <c r="EU89" s="85">
        <v>0</v>
      </c>
      <c r="EV89" s="85">
        <v>0</v>
      </c>
      <c r="EW89" s="85">
        <v>0</v>
      </c>
      <c r="EX89" s="85">
        <v>0</v>
      </c>
      <c r="EY89" s="85">
        <v>0</v>
      </c>
      <c r="EZ89" s="85">
        <v>0</v>
      </c>
      <c r="FA89" s="85">
        <v>0</v>
      </c>
      <c r="FB89" s="85">
        <v>0</v>
      </c>
      <c r="FC89" s="87">
        <v>0</v>
      </c>
      <c r="FD89" s="85">
        <v>0</v>
      </c>
      <c r="FE89" s="85">
        <v>0</v>
      </c>
      <c r="FF89" s="85">
        <v>0</v>
      </c>
      <c r="FG89" s="85">
        <v>0</v>
      </c>
      <c r="FH89" s="85">
        <v>0</v>
      </c>
      <c r="FI89" s="85">
        <v>0</v>
      </c>
      <c r="FJ89" s="85">
        <v>0</v>
      </c>
      <c r="FK89" s="85">
        <v>0</v>
      </c>
      <c r="FL89" s="85">
        <v>0</v>
      </c>
      <c r="FM89" s="85">
        <v>0</v>
      </c>
      <c r="FN89" s="85">
        <v>0</v>
      </c>
      <c r="FO89" s="86">
        <v>0</v>
      </c>
      <c r="FP89" s="87">
        <v>0</v>
      </c>
      <c r="FQ89" s="85">
        <v>0</v>
      </c>
      <c r="FR89" s="85">
        <v>0</v>
      </c>
      <c r="FS89" s="85">
        <v>0</v>
      </c>
      <c r="FT89" s="85">
        <v>0</v>
      </c>
      <c r="FU89" s="85">
        <v>0</v>
      </c>
      <c r="FV89" s="85">
        <v>0</v>
      </c>
      <c r="FW89" s="85">
        <v>0</v>
      </c>
      <c r="FX89" s="85">
        <v>0</v>
      </c>
      <c r="FY89" s="85">
        <v>0</v>
      </c>
      <c r="FZ89" s="85">
        <v>0</v>
      </c>
      <c r="GA89" s="85">
        <v>0</v>
      </c>
      <c r="GB89" s="152">
        <v>0</v>
      </c>
      <c r="GD89" s="153"/>
    </row>
    <row r="90" spans="1:186">
      <c r="A90" s="137" t="s">
        <v>205</v>
      </c>
      <c r="B90" s="151">
        <v>40832.8636820778</v>
      </c>
      <c r="C90" s="138">
        <f t="shared" si="24"/>
        <v>0</v>
      </c>
      <c r="D90" s="138">
        <f t="shared" si="13"/>
        <v>378.42022496696</v>
      </c>
      <c r="E90" s="138">
        <f t="shared" si="14"/>
        <v>363.580269174945</v>
      </c>
      <c r="F90" s="138">
        <f t="shared" si="15"/>
        <v>91.5963100113381</v>
      </c>
      <c r="G90" s="138">
        <f t="shared" si="16"/>
        <v>186.297917746429</v>
      </c>
      <c r="H90" s="138">
        <f t="shared" si="17"/>
        <v>0</v>
      </c>
      <c r="I90" s="138">
        <f t="shared" si="18"/>
        <v>0</v>
      </c>
      <c r="J90" s="138">
        <f t="shared" si="19"/>
        <v>0</v>
      </c>
      <c r="K90" s="138">
        <f t="shared" si="20"/>
        <v>0</v>
      </c>
      <c r="L90" s="138">
        <f t="shared" si="21"/>
        <v>0</v>
      </c>
      <c r="M90" s="138">
        <f t="shared" si="22"/>
        <v>0</v>
      </c>
      <c r="N90" s="138">
        <f t="shared" si="23"/>
        <v>0</v>
      </c>
      <c r="O90" s="86">
        <f t="shared" si="25"/>
        <v>1019.89472189967</v>
      </c>
      <c r="P90" s="138">
        <v>0</v>
      </c>
      <c r="Q90" s="138">
        <v>0</v>
      </c>
      <c r="R90" s="138">
        <v>0</v>
      </c>
      <c r="S90" s="138">
        <v>0</v>
      </c>
      <c r="T90" s="138">
        <v>0</v>
      </c>
      <c r="U90" s="138">
        <v>0</v>
      </c>
      <c r="V90" s="138">
        <v>0</v>
      </c>
      <c r="W90" s="138">
        <v>0</v>
      </c>
      <c r="X90" s="138">
        <v>0</v>
      </c>
      <c r="Y90" s="138">
        <v>0</v>
      </c>
      <c r="Z90" s="138">
        <v>0</v>
      </c>
      <c r="AA90" s="138">
        <v>0</v>
      </c>
      <c r="AB90" s="86">
        <v>0</v>
      </c>
      <c r="AC90" s="138">
        <v>0</v>
      </c>
      <c r="AD90" s="138">
        <v>0</v>
      </c>
      <c r="AE90" s="138">
        <v>0</v>
      </c>
      <c r="AF90" s="138">
        <v>0</v>
      </c>
      <c r="AG90" s="138">
        <v>0</v>
      </c>
      <c r="AH90" s="138">
        <v>0</v>
      </c>
      <c r="AI90" s="138">
        <v>0</v>
      </c>
      <c r="AJ90" s="138">
        <v>0</v>
      </c>
      <c r="AK90" s="138">
        <v>0</v>
      </c>
      <c r="AL90" s="138">
        <v>0</v>
      </c>
      <c r="AM90" s="138">
        <v>0</v>
      </c>
      <c r="AN90" s="138">
        <v>0</v>
      </c>
      <c r="AO90" s="86">
        <v>0</v>
      </c>
      <c r="AP90" s="138">
        <v>0</v>
      </c>
      <c r="AQ90" s="138">
        <v>0</v>
      </c>
      <c r="AR90" s="138">
        <v>0</v>
      </c>
      <c r="AS90" s="138">
        <v>0</v>
      </c>
      <c r="AT90" s="138">
        <v>0</v>
      </c>
      <c r="AU90" s="138">
        <v>0</v>
      </c>
      <c r="AV90" s="138">
        <v>0</v>
      </c>
      <c r="AW90" s="138">
        <v>0</v>
      </c>
      <c r="AX90" s="138">
        <v>0</v>
      </c>
      <c r="AY90" s="138">
        <v>0</v>
      </c>
      <c r="AZ90" s="138">
        <v>0</v>
      </c>
      <c r="BA90" s="138">
        <v>0</v>
      </c>
      <c r="BB90" s="86">
        <v>0</v>
      </c>
      <c r="BC90" s="138">
        <v>0</v>
      </c>
      <c r="BD90" s="138">
        <v>0</v>
      </c>
      <c r="BE90" s="138">
        <v>0</v>
      </c>
      <c r="BF90" s="138">
        <v>0</v>
      </c>
      <c r="BG90" s="138">
        <v>0</v>
      </c>
      <c r="BH90" s="138">
        <v>0</v>
      </c>
      <c r="BI90" s="138">
        <v>0</v>
      </c>
      <c r="BJ90" s="138">
        <v>0</v>
      </c>
      <c r="BK90" s="138">
        <v>0</v>
      </c>
      <c r="BL90" s="138">
        <v>0</v>
      </c>
      <c r="BM90" s="138">
        <v>0</v>
      </c>
      <c r="BN90" s="138">
        <v>0</v>
      </c>
      <c r="BO90" s="86">
        <v>0</v>
      </c>
      <c r="BP90" s="138">
        <v>0</v>
      </c>
      <c r="BQ90" s="138">
        <v>0</v>
      </c>
      <c r="BR90" s="138">
        <v>0</v>
      </c>
      <c r="BS90" s="138">
        <v>0</v>
      </c>
      <c r="BT90" s="138">
        <v>0</v>
      </c>
      <c r="BU90" s="138">
        <v>0</v>
      </c>
      <c r="BV90" s="138">
        <v>0</v>
      </c>
      <c r="BW90" s="138">
        <v>0</v>
      </c>
      <c r="BX90" s="138">
        <v>0</v>
      </c>
      <c r="BY90" s="138">
        <v>0</v>
      </c>
      <c r="BZ90" s="138">
        <v>0</v>
      </c>
      <c r="CA90" s="138">
        <v>0</v>
      </c>
      <c r="CB90" s="86">
        <v>0</v>
      </c>
      <c r="CC90" s="138">
        <v>0</v>
      </c>
      <c r="CD90" s="138">
        <v>0</v>
      </c>
      <c r="CE90" s="138">
        <v>0</v>
      </c>
      <c r="CF90" s="138">
        <v>0</v>
      </c>
      <c r="CG90" s="138">
        <v>0</v>
      </c>
      <c r="CH90" s="138">
        <v>0</v>
      </c>
      <c r="CI90" s="138">
        <v>0</v>
      </c>
      <c r="CJ90" s="138">
        <v>0</v>
      </c>
      <c r="CK90" s="138">
        <v>0</v>
      </c>
      <c r="CL90" s="138">
        <v>0</v>
      </c>
      <c r="CM90" s="138">
        <v>0</v>
      </c>
      <c r="CN90" s="138">
        <v>0</v>
      </c>
      <c r="CO90" s="86">
        <v>0</v>
      </c>
      <c r="CP90" s="138">
        <v>0</v>
      </c>
      <c r="CQ90" s="138">
        <v>0</v>
      </c>
      <c r="CR90" s="138">
        <v>0</v>
      </c>
      <c r="CS90" s="138">
        <v>0</v>
      </c>
      <c r="CT90" s="138">
        <v>0</v>
      </c>
      <c r="CU90" s="138">
        <v>0</v>
      </c>
      <c r="CV90" s="138">
        <v>0</v>
      </c>
      <c r="CW90" s="138">
        <v>0</v>
      </c>
      <c r="CX90" s="138">
        <v>0</v>
      </c>
      <c r="CY90" s="138">
        <v>0</v>
      </c>
      <c r="CZ90" s="138">
        <v>0</v>
      </c>
      <c r="DA90" s="138">
        <v>0</v>
      </c>
      <c r="DB90" s="86">
        <v>0</v>
      </c>
      <c r="DC90" s="138">
        <v>0</v>
      </c>
      <c r="DD90" s="138">
        <v>378.42022496696</v>
      </c>
      <c r="DE90" s="138">
        <v>363.580269174945</v>
      </c>
      <c r="DF90" s="138">
        <v>91.5963100113381</v>
      </c>
      <c r="DG90" s="138">
        <v>186.297917746429</v>
      </c>
      <c r="DH90" s="138">
        <v>0</v>
      </c>
      <c r="DI90" s="138">
        <v>0</v>
      </c>
      <c r="DJ90" s="138">
        <v>0</v>
      </c>
      <c r="DK90" s="138">
        <v>0</v>
      </c>
      <c r="DL90" s="138">
        <v>0</v>
      </c>
      <c r="DM90" s="138">
        <v>0</v>
      </c>
      <c r="DN90" s="138">
        <v>0</v>
      </c>
      <c r="DO90" s="86">
        <v>1019.89472189967</v>
      </c>
      <c r="DP90" s="138">
        <v>0</v>
      </c>
      <c r="DQ90" s="138">
        <v>0</v>
      </c>
      <c r="DR90" s="138">
        <v>0</v>
      </c>
      <c r="DS90" s="138">
        <v>0</v>
      </c>
      <c r="DT90" s="138">
        <v>0</v>
      </c>
      <c r="DU90" s="138">
        <v>0</v>
      </c>
      <c r="DV90" s="138">
        <v>0</v>
      </c>
      <c r="DW90" s="138">
        <v>0</v>
      </c>
      <c r="DX90" s="138">
        <v>0</v>
      </c>
      <c r="DY90" s="138">
        <v>0</v>
      </c>
      <c r="DZ90" s="138">
        <v>0</v>
      </c>
      <c r="EA90" s="138">
        <v>0</v>
      </c>
      <c r="EB90" s="85">
        <v>0</v>
      </c>
      <c r="EC90" s="87">
        <v>0</v>
      </c>
      <c r="ED90" s="85">
        <v>0</v>
      </c>
      <c r="EE90" s="85">
        <v>0</v>
      </c>
      <c r="EF90" s="85">
        <v>0</v>
      </c>
      <c r="EG90" s="85">
        <v>0</v>
      </c>
      <c r="EH90" s="85">
        <v>0</v>
      </c>
      <c r="EI90" s="85">
        <v>0</v>
      </c>
      <c r="EJ90" s="85">
        <v>0</v>
      </c>
      <c r="EK90" s="85">
        <v>0</v>
      </c>
      <c r="EL90" s="85">
        <v>0</v>
      </c>
      <c r="EM90" s="85">
        <v>0</v>
      </c>
      <c r="EN90" s="85">
        <v>0</v>
      </c>
      <c r="EO90" s="152">
        <v>0</v>
      </c>
      <c r="EP90" s="85">
        <v>0</v>
      </c>
      <c r="EQ90" s="85">
        <v>0</v>
      </c>
      <c r="ER90" s="85">
        <v>0</v>
      </c>
      <c r="ES90" s="85">
        <v>0</v>
      </c>
      <c r="ET90" s="85">
        <v>0</v>
      </c>
      <c r="EU90" s="85">
        <v>0</v>
      </c>
      <c r="EV90" s="85">
        <v>0</v>
      </c>
      <c r="EW90" s="85">
        <v>0</v>
      </c>
      <c r="EX90" s="85">
        <v>0</v>
      </c>
      <c r="EY90" s="85">
        <v>0</v>
      </c>
      <c r="EZ90" s="85">
        <v>0</v>
      </c>
      <c r="FA90" s="85">
        <v>0</v>
      </c>
      <c r="FB90" s="85">
        <v>0</v>
      </c>
      <c r="FC90" s="87">
        <v>0</v>
      </c>
      <c r="FD90" s="85">
        <v>0</v>
      </c>
      <c r="FE90" s="85">
        <v>0</v>
      </c>
      <c r="FF90" s="85">
        <v>0</v>
      </c>
      <c r="FG90" s="85">
        <v>0</v>
      </c>
      <c r="FH90" s="85">
        <v>0</v>
      </c>
      <c r="FI90" s="85">
        <v>0</v>
      </c>
      <c r="FJ90" s="85">
        <v>0</v>
      </c>
      <c r="FK90" s="85">
        <v>0</v>
      </c>
      <c r="FL90" s="85">
        <v>0</v>
      </c>
      <c r="FM90" s="85">
        <v>0</v>
      </c>
      <c r="FN90" s="85">
        <v>0</v>
      </c>
      <c r="FO90" s="86">
        <v>0</v>
      </c>
      <c r="FP90" s="87">
        <v>0</v>
      </c>
      <c r="FQ90" s="85">
        <v>0</v>
      </c>
      <c r="FR90" s="85">
        <v>0</v>
      </c>
      <c r="FS90" s="85">
        <v>0</v>
      </c>
      <c r="FT90" s="85">
        <v>0</v>
      </c>
      <c r="FU90" s="85">
        <v>0</v>
      </c>
      <c r="FV90" s="85">
        <v>0</v>
      </c>
      <c r="FW90" s="85">
        <v>0</v>
      </c>
      <c r="FX90" s="85">
        <v>0</v>
      </c>
      <c r="FY90" s="85">
        <v>0</v>
      </c>
      <c r="FZ90" s="85">
        <v>0</v>
      </c>
      <c r="GA90" s="85">
        <v>0</v>
      </c>
      <c r="GB90" s="152">
        <v>0</v>
      </c>
      <c r="GD90" s="153"/>
    </row>
    <row r="91" spans="1:186">
      <c r="A91" s="137" t="s">
        <v>207</v>
      </c>
      <c r="B91" s="151">
        <v>9399.73480456272</v>
      </c>
      <c r="C91" s="138">
        <f t="shared" si="24"/>
        <v>0</v>
      </c>
      <c r="D91" s="138">
        <f t="shared" si="13"/>
        <v>0</v>
      </c>
      <c r="E91" s="138">
        <f t="shared" si="14"/>
        <v>0</v>
      </c>
      <c r="F91" s="138">
        <f t="shared" si="15"/>
        <v>0</v>
      </c>
      <c r="G91" s="138">
        <f t="shared" si="16"/>
        <v>0</v>
      </c>
      <c r="H91" s="138">
        <f t="shared" si="17"/>
        <v>0</v>
      </c>
      <c r="I91" s="138">
        <f t="shared" si="18"/>
        <v>0</v>
      </c>
      <c r="J91" s="138">
        <f t="shared" si="19"/>
        <v>0</v>
      </c>
      <c r="K91" s="138">
        <f t="shared" si="20"/>
        <v>0</v>
      </c>
      <c r="L91" s="138">
        <f t="shared" si="21"/>
        <v>0</v>
      </c>
      <c r="M91" s="138">
        <f t="shared" si="22"/>
        <v>0</v>
      </c>
      <c r="N91" s="138">
        <f t="shared" si="23"/>
        <v>0</v>
      </c>
      <c r="O91" s="86">
        <f t="shared" si="25"/>
        <v>0</v>
      </c>
      <c r="P91" s="138">
        <v>0</v>
      </c>
      <c r="Q91" s="138">
        <v>0</v>
      </c>
      <c r="R91" s="138">
        <v>0</v>
      </c>
      <c r="S91" s="138">
        <v>0</v>
      </c>
      <c r="T91" s="138">
        <v>0</v>
      </c>
      <c r="U91" s="138">
        <v>0</v>
      </c>
      <c r="V91" s="138">
        <v>0</v>
      </c>
      <c r="W91" s="138">
        <v>0</v>
      </c>
      <c r="X91" s="138">
        <v>0</v>
      </c>
      <c r="Y91" s="138">
        <v>0</v>
      </c>
      <c r="Z91" s="138">
        <v>0</v>
      </c>
      <c r="AA91" s="138">
        <v>0</v>
      </c>
      <c r="AB91" s="86">
        <v>0</v>
      </c>
      <c r="AC91" s="138">
        <v>0</v>
      </c>
      <c r="AD91" s="138">
        <v>0</v>
      </c>
      <c r="AE91" s="138">
        <v>0</v>
      </c>
      <c r="AF91" s="138">
        <v>0</v>
      </c>
      <c r="AG91" s="138">
        <v>0</v>
      </c>
      <c r="AH91" s="138">
        <v>0</v>
      </c>
      <c r="AI91" s="138">
        <v>0</v>
      </c>
      <c r="AJ91" s="138">
        <v>0</v>
      </c>
      <c r="AK91" s="138">
        <v>0</v>
      </c>
      <c r="AL91" s="138">
        <v>0</v>
      </c>
      <c r="AM91" s="138">
        <v>0</v>
      </c>
      <c r="AN91" s="138">
        <v>0</v>
      </c>
      <c r="AO91" s="86">
        <v>0</v>
      </c>
      <c r="AP91" s="138">
        <v>0</v>
      </c>
      <c r="AQ91" s="138">
        <v>0</v>
      </c>
      <c r="AR91" s="138">
        <v>0</v>
      </c>
      <c r="AS91" s="138">
        <v>0</v>
      </c>
      <c r="AT91" s="138">
        <v>0</v>
      </c>
      <c r="AU91" s="138">
        <v>0</v>
      </c>
      <c r="AV91" s="138">
        <v>0</v>
      </c>
      <c r="AW91" s="138">
        <v>0</v>
      </c>
      <c r="AX91" s="138">
        <v>0</v>
      </c>
      <c r="AY91" s="138">
        <v>0</v>
      </c>
      <c r="AZ91" s="138">
        <v>0</v>
      </c>
      <c r="BA91" s="138">
        <v>0</v>
      </c>
      <c r="BB91" s="86">
        <v>0</v>
      </c>
      <c r="BC91" s="138">
        <v>0</v>
      </c>
      <c r="BD91" s="138">
        <v>0</v>
      </c>
      <c r="BE91" s="138">
        <v>0</v>
      </c>
      <c r="BF91" s="138">
        <v>0</v>
      </c>
      <c r="BG91" s="138">
        <v>0</v>
      </c>
      <c r="BH91" s="138">
        <v>0</v>
      </c>
      <c r="BI91" s="138">
        <v>0</v>
      </c>
      <c r="BJ91" s="138">
        <v>0</v>
      </c>
      <c r="BK91" s="138">
        <v>0</v>
      </c>
      <c r="BL91" s="138">
        <v>0</v>
      </c>
      <c r="BM91" s="138">
        <v>0</v>
      </c>
      <c r="BN91" s="138">
        <v>0</v>
      </c>
      <c r="BO91" s="86">
        <v>0</v>
      </c>
      <c r="BP91" s="138">
        <v>0</v>
      </c>
      <c r="BQ91" s="138">
        <v>0</v>
      </c>
      <c r="BR91" s="138">
        <v>0</v>
      </c>
      <c r="BS91" s="138">
        <v>0</v>
      </c>
      <c r="BT91" s="138">
        <v>0</v>
      </c>
      <c r="BU91" s="138">
        <v>0</v>
      </c>
      <c r="BV91" s="138">
        <v>0</v>
      </c>
      <c r="BW91" s="138">
        <v>0</v>
      </c>
      <c r="BX91" s="138">
        <v>0</v>
      </c>
      <c r="BY91" s="138">
        <v>0</v>
      </c>
      <c r="BZ91" s="138">
        <v>0</v>
      </c>
      <c r="CA91" s="138">
        <v>0</v>
      </c>
      <c r="CB91" s="86">
        <v>0</v>
      </c>
      <c r="CC91" s="138">
        <v>0</v>
      </c>
      <c r="CD91" s="138">
        <v>0</v>
      </c>
      <c r="CE91" s="138">
        <v>0</v>
      </c>
      <c r="CF91" s="138">
        <v>0</v>
      </c>
      <c r="CG91" s="138">
        <v>0</v>
      </c>
      <c r="CH91" s="138">
        <v>0</v>
      </c>
      <c r="CI91" s="138">
        <v>0</v>
      </c>
      <c r="CJ91" s="138">
        <v>0</v>
      </c>
      <c r="CK91" s="138">
        <v>0</v>
      </c>
      <c r="CL91" s="138">
        <v>0</v>
      </c>
      <c r="CM91" s="138">
        <v>0</v>
      </c>
      <c r="CN91" s="138">
        <v>0</v>
      </c>
      <c r="CO91" s="86">
        <v>0</v>
      </c>
      <c r="CP91" s="138">
        <v>0</v>
      </c>
      <c r="CQ91" s="138">
        <v>0</v>
      </c>
      <c r="CR91" s="138">
        <v>0</v>
      </c>
      <c r="CS91" s="138">
        <v>0</v>
      </c>
      <c r="CT91" s="138">
        <v>0</v>
      </c>
      <c r="CU91" s="138">
        <v>0</v>
      </c>
      <c r="CV91" s="138">
        <v>0</v>
      </c>
      <c r="CW91" s="138">
        <v>0</v>
      </c>
      <c r="CX91" s="138">
        <v>0</v>
      </c>
      <c r="CY91" s="138">
        <v>0</v>
      </c>
      <c r="CZ91" s="138">
        <v>0</v>
      </c>
      <c r="DA91" s="138">
        <v>0</v>
      </c>
      <c r="DB91" s="86">
        <v>0</v>
      </c>
      <c r="DC91" s="138">
        <v>0</v>
      </c>
      <c r="DD91" s="138">
        <v>0</v>
      </c>
      <c r="DE91" s="138">
        <v>0</v>
      </c>
      <c r="DF91" s="138">
        <v>0</v>
      </c>
      <c r="DG91" s="138">
        <v>0</v>
      </c>
      <c r="DH91" s="138">
        <v>0</v>
      </c>
      <c r="DI91" s="138">
        <v>0</v>
      </c>
      <c r="DJ91" s="138">
        <v>0</v>
      </c>
      <c r="DK91" s="138">
        <v>0</v>
      </c>
      <c r="DL91" s="138">
        <v>0</v>
      </c>
      <c r="DM91" s="138">
        <v>0</v>
      </c>
      <c r="DN91" s="138">
        <v>0</v>
      </c>
      <c r="DO91" s="86">
        <v>0</v>
      </c>
      <c r="DP91" s="138">
        <v>0</v>
      </c>
      <c r="DQ91" s="138">
        <v>0</v>
      </c>
      <c r="DR91" s="138">
        <v>0</v>
      </c>
      <c r="DS91" s="138">
        <v>0</v>
      </c>
      <c r="DT91" s="138">
        <v>0</v>
      </c>
      <c r="DU91" s="138">
        <v>0</v>
      </c>
      <c r="DV91" s="138">
        <v>0</v>
      </c>
      <c r="DW91" s="138">
        <v>0</v>
      </c>
      <c r="DX91" s="138">
        <v>0</v>
      </c>
      <c r="DY91" s="138">
        <v>0</v>
      </c>
      <c r="DZ91" s="138">
        <v>0</v>
      </c>
      <c r="EA91" s="138">
        <v>0</v>
      </c>
      <c r="EB91" s="85">
        <v>0</v>
      </c>
      <c r="EC91" s="87">
        <v>0</v>
      </c>
      <c r="ED91" s="85">
        <v>0</v>
      </c>
      <c r="EE91" s="85">
        <v>0</v>
      </c>
      <c r="EF91" s="85">
        <v>0</v>
      </c>
      <c r="EG91" s="85">
        <v>0</v>
      </c>
      <c r="EH91" s="85">
        <v>0</v>
      </c>
      <c r="EI91" s="85">
        <v>0</v>
      </c>
      <c r="EJ91" s="85">
        <v>0</v>
      </c>
      <c r="EK91" s="85">
        <v>0</v>
      </c>
      <c r="EL91" s="85">
        <v>0</v>
      </c>
      <c r="EM91" s="85">
        <v>0</v>
      </c>
      <c r="EN91" s="85">
        <v>0</v>
      </c>
      <c r="EO91" s="152">
        <v>0</v>
      </c>
      <c r="EP91" s="85">
        <v>0</v>
      </c>
      <c r="EQ91" s="85">
        <v>0</v>
      </c>
      <c r="ER91" s="85">
        <v>0</v>
      </c>
      <c r="ES91" s="85">
        <v>0</v>
      </c>
      <c r="ET91" s="85">
        <v>0</v>
      </c>
      <c r="EU91" s="85">
        <v>0</v>
      </c>
      <c r="EV91" s="85">
        <v>0</v>
      </c>
      <c r="EW91" s="85">
        <v>0</v>
      </c>
      <c r="EX91" s="85">
        <v>0</v>
      </c>
      <c r="EY91" s="85">
        <v>0</v>
      </c>
      <c r="EZ91" s="85">
        <v>0</v>
      </c>
      <c r="FA91" s="85">
        <v>0</v>
      </c>
      <c r="FB91" s="85">
        <v>0</v>
      </c>
      <c r="FC91" s="87">
        <v>0</v>
      </c>
      <c r="FD91" s="85">
        <v>0</v>
      </c>
      <c r="FE91" s="85">
        <v>0</v>
      </c>
      <c r="FF91" s="85">
        <v>0</v>
      </c>
      <c r="FG91" s="85">
        <v>0</v>
      </c>
      <c r="FH91" s="85">
        <v>0</v>
      </c>
      <c r="FI91" s="85">
        <v>0</v>
      </c>
      <c r="FJ91" s="85">
        <v>0</v>
      </c>
      <c r="FK91" s="85">
        <v>0</v>
      </c>
      <c r="FL91" s="85">
        <v>0</v>
      </c>
      <c r="FM91" s="85">
        <v>0</v>
      </c>
      <c r="FN91" s="85">
        <v>0</v>
      </c>
      <c r="FO91" s="86">
        <v>0</v>
      </c>
      <c r="FP91" s="87">
        <v>0</v>
      </c>
      <c r="FQ91" s="85">
        <v>0</v>
      </c>
      <c r="FR91" s="85">
        <v>0</v>
      </c>
      <c r="FS91" s="85">
        <v>0</v>
      </c>
      <c r="FT91" s="85">
        <v>0</v>
      </c>
      <c r="FU91" s="85">
        <v>0</v>
      </c>
      <c r="FV91" s="85">
        <v>0</v>
      </c>
      <c r="FW91" s="85">
        <v>0</v>
      </c>
      <c r="FX91" s="85">
        <v>0</v>
      </c>
      <c r="FY91" s="85">
        <v>0</v>
      </c>
      <c r="FZ91" s="85">
        <v>0</v>
      </c>
      <c r="GA91" s="85">
        <v>0</v>
      </c>
      <c r="GB91" s="152">
        <v>0</v>
      </c>
      <c r="GD91" s="153"/>
    </row>
    <row r="92" spans="1:186">
      <c r="A92" s="137" t="s">
        <v>209</v>
      </c>
      <c r="B92" s="151">
        <v>33998.7414372724</v>
      </c>
      <c r="C92" s="138">
        <f t="shared" si="24"/>
        <v>0</v>
      </c>
      <c r="D92" s="138">
        <f t="shared" si="13"/>
        <v>0</v>
      </c>
      <c r="E92" s="138">
        <f t="shared" si="14"/>
        <v>0</v>
      </c>
      <c r="F92" s="138">
        <f t="shared" si="15"/>
        <v>0</v>
      </c>
      <c r="G92" s="138">
        <f t="shared" si="16"/>
        <v>0</v>
      </c>
      <c r="H92" s="138">
        <f t="shared" si="17"/>
        <v>0</v>
      </c>
      <c r="I92" s="138">
        <f t="shared" si="18"/>
        <v>0</v>
      </c>
      <c r="J92" s="138">
        <f t="shared" si="19"/>
        <v>0</v>
      </c>
      <c r="K92" s="138">
        <f t="shared" si="20"/>
        <v>0</v>
      </c>
      <c r="L92" s="138">
        <f t="shared" si="21"/>
        <v>0</v>
      </c>
      <c r="M92" s="138">
        <f t="shared" si="22"/>
        <v>0</v>
      </c>
      <c r="N92" s="138">
        <f t="shared" si="23"/>
        <v>323584.32</v>
      </c>
      <c r="O92" s="86">
        <f t="shared" si="25"/>
        <v>323584.32</v>
      </c>
      <c r="P92" s="138">
        <v>0</v>
      </c>
      <c r="Q92" s="138">
        <v>0</v>
      </c>
      <c r="R92" s="138">
        <v>0</v>
      </c>
      <c r="S92" s="138">
        <v>0</v>
      </c>
      <c r="T92" s="138">
        <v>0</v>
      </c>
      <c r="U92" s="138">
        <v>0</v>
      </c>
      <c r="V92" s="138">
        <v>0</v>
      </c>
      <c r="W92" s="138">
        <v>0</v>
      </c>
      <c r="X92" s="138">
        <v>0</v>
      </c>
      <c r="Y92" s="138">
        <v>0</v>
      </c>
      <c r="Z92" s="138">
        <v>0</v>
      </c>
      <c r="AA92" s="138">
        <v>0</v>
      </c>
      <c r="AB92" s="86">
        <v>0</v>
      </c>
      <c r="AC92" s="138">
        <v>0</v>
      </c>
      <c r="AD92" s="138">
        <v>0</v>
      </c>
      <c r="AE92" s="138">
        <v>0</v>
      </c>
      <c r="AF92" s="138">
        <v>0</v>
      </c>
      <c r="AG92" s="138">
        <v>0</v>
      </c>
      <c r="AH92" s="138">
        <v>0</v>
      </c>
      <c r="AI92" s="138">
        <v>0</v>
      </c>
      <c r="AJ92" s="138">
        <v>0</v>
      </c>
      <c r="AK92" s="138">
        <v>0</v>
      </c>
      <c r="AL92" s="138">
        <v>0</v>
      </c>
      <c r="AM92" s="138">
        <v>0</v>
      </c>
      <c r="AN92" s="138">
        <v>0</v>
      </c>
      <c r="AO92" s="86">
        <v>0</v>
      </c>
      <c r="AP92" s="138">
        <v>0</v>
      </c>
      <c r="AQ92" s="138">
        <v>0</v>
      </c>
      <c r="AR92" s="138">
        <v>0</v>
      </c>
      <c r="AS92" s="138">
        <v>0</v>
      </c>
      <c r="AT92" s="138">
        <v>0</v>
      </c>
      <c r="AU92" s="138">
        <v>0</v>
      </c>
      <c r="AV92" s="138">
        <v>0</v>
      </c>
      <c r="AW92" s="138">
        <v>0</v>
      </c>
      <c r="AX92" s="138">
        <v>0</v>
      </c>
      <c r="AY92" s="138">
        <v>0</v>
      </c>
      <c r="AZ92" s="138">
        <v>0</v>
      </c>
      <c r="BA92" s="138">
        <v>0</v>
      </c>
      <c r="BB92" s="86">
        <v>0</v>
      </c>
      <c r="BC92" s="138">
        <v>0</v>
      </c>
      <c r="BD92" s="138">
        <v>0</v>
      </c>
      <c r="BE92" s="138">
        <v>0</v>
      </c>
      <c r="BF92" s="138">
        <v>0</v>
      </c>
      <c r="BG92" s="138">
        <v>0</v>
      </c>
      <c r="BH92" s="138">
        <v>0</v>
      </c>
      <c r="BI92" s="138">
        <v>0</v>
      </c>
      <c r="BJ92" s="138">
        <v>0</v>
      </c>
      <c r="BK92" s="138">
        <v>0</v>
      </c>
      <c r="BL92" s="138">
        <v>0</v>
      </c>
      <c r="BM92" s="138">
        <v>0</v>
      </c>
      <c r="BN92" s="138">
        <v>0</v>
      </c>
      <c r="BO92" s="86">
        <v>0</v>
      </c>
      <c r="BP92" s="138">
        <v>0</v>
      </c>
      <c r="BQ92" s="138">
        <v>0</v>
      </c>
      <c r="BR92" s="138">
        <v>0</v>
      </c>
      <c r="BS92" s="138">
        <v>0</v>
      </c>
      <c r="BT92" s="138">
        <v>0</v>
      </c>
      <c r="BU92" s="138">
        <v>0</v>
      </c>
      <c r="BV92" s="138">
        <v>0</v>
      </c>
      <c r="BW92" s="138">
        <v>0</v>
      </c>
      <c r="BX92" s="138">
        <v>0</v>
      </c>
      <c r="BY92" s="138">
        <v>0</v>
      </c>
      <c r="BZ92" s="138">
        <v>0</v>
      </c>
      <c r="CA92" s="138">
        <v>0</v>
      </c>
      <c r="CB92" s="86">
        <v>0</v>
      </c>
      <c r="CC92" s="138">
        <v>0</v>
      </c>
      <c r="CD92" s="138">
        <v>0</v>
      </c>
      <c r="CE92" s="138">
        <v>0</v>
      </c>
      <c r="CF92" s="138">
        <v>0</v>
      </c>
      <c r="CG92" s="138">
        <v>0</v>
      </c>
      <c r="CH92" s="138">
        <v>0</v>
      </c>
      <c r="CI92" s="138">
        <v>0</v>
      </c>
      <c r="CJ92" s="138">
        <v>0</v>
      </c>
      <c r="CK92" s="138">
        <v>0</v>
      </c>
      <c r="CL92" s="138">
        <v>0</v>
      </c>
      <c r="CM92" s="138">
        <v>0</v>
      </c>
      <c r="CN92" s="138">
        <v>0</v>
      </c>
      <c r="CO92" s="86">
        <v>0</v>
      </c>
      <c r="CP92" s="138">
        <v>0</v>
      </c>
      <c r="CQ92" s="138">
        <v>0</v>
      </c>
      <c r="CR92" s="138">
        <v>0</v>
      </c>
      <c r="CS92" s="138">
        <v>0</v>
      </c>
      <c r="CT92" s="138">
        <v>0</v>
      </c>
      <c r="CU92" s="138">
        <v>0</v>
      </c>
      <c r="CV92" s="138">
        <v>0</v>
      </c>
      <c r="CW92" s="138">
        <v>0</v>
      </c>
      <c r="CX92" s="138">
        <v>0</v>
      </c>
      <c r="CY92" s="138">
        <v>0</v>
      </c>
      <c r="CZ92" s="138">
        <v>0</v>
      </c>
      <c r="DA92" s="138">
        <v>0</v>
      </c>
      <c r="DB92" s="86">
        <v>0</v>
      </c>
      <c r="DC92" s="138">
        <v>0</v>
      </c>
      <c r="DD92" s="138">
        <v>0</v>
      </c>
      <c r="DE92" s="138">
        <v>0</v>
      </c>
      <c r="DF92" s="138">
        <v>0</v>
      </c>
      <c r="DG92" s="138">
        <v>0</v>
      </c>
      <c r="DH92" s="138">
        <v>0</v>
      </c>
      <c r="DI92" s="138">
        <v>0</v>
      </c>
      <c r="DJ92" s="138">
        <v>0</v>
      </c>
      <c r="DK92" s="138">
        <v>0</v>
      </c>
      <c r="DL92" s="138">
        <v>0</v>
      </c>
      <c r="DM92" s="138">
        <v>0</v>
      </c>
      <c r="DN92" s="138">
        <v>0</v>
      </c>
      <c r="DO92" s="86">
        <v>0</v>
      </c>
      <c r="DP92" s="138">
        <v>0</v>
      </c>
      <c r="DQ92" s="138">
        <v>0</v>
      </c>
      <c r="DR92" s="138">
        <v>0</v>
      </c>
      <c r="DS92" s="138">
        <v>0</v>
      </c>
      <c r="DT92" s="138">
        <v>0</v>
      </c>
      <c r="DU92" s="138">
        <v>0</v>
      </c>
      <c r="DV92" s="138">
        <v>0</v>
      </c>
      <c r="DW92" s="138">
        <v>0</v>
      </c>
      <c r="DX92" s="138">
        <v>0</v>
      </c>
      <c r="DY92" s="138">
        <v>0</v>
      </c>
      <c r="DZ92" s="138">
        <v>0</v>
      </c>
      <c r="EA92" s="138">
        <v>0</v>
      </c>
      <c r="EB92" s="85">
        <v>0</v>
      </c>
      <c r="EC92" s="87">
        <v>0</v>
      </c>
      <c r="ED92" s="85">
        <v>0</v>
      </c>
      <c r="EE92" s="85">
        <v>0</v>
      </c>
      <c r="EF92" s="85">
        <v>0</v>
      </c>
      <c r="EG92" s="85">
        <v>0</v>
      </c>
      <c r="EH92" s="85">
        <v>0</v>
      </c>
      <c r="EI92" s="85">
        <v>0</v>
      </c>
      <c r="EJ92" s="85">
        <v>0</v>
      </c>
      <c r="EK92" s="85">
        <v>0</v>
      </c>
      <c r="EL92" s="85">
        <v>0</v>
      </c>
      <c r="EM92" s="85">
        <v>0</v>
      </c>
      <c r="EN92" s="85">
        <v>0</v>
      </c>
      <c r="EO92" s="152">
        <v>0</v>
      </c>
      <c r="EP92" s="85">
        <v>0</v>
      </c>
      <c r="EQ92" s="85">
        <v>0</v>
      </c>
      <c r="ER92" s="85">
        <v>0</v>
      </c>
      <c r="ES92" s="85">
        <v>0</v>
      </c>
      <c r="ET92" s="85">
        <v>0</v>
      </c>
      <c r="EU92" s="85">
        <v>0</v>
      </c>
      <c r="EV92" s="85">
        <v>0</v>
      </c>
      <c r="EW92" s="85">
        <v>0</v>
      </c>
      <c r="EX92" s="85">
        <v>0</v>
      </c>
      <c r="EY92" s="85">
        <v>0</v>
      </c>
      <c r="EZ92" s="85">
        <v>0</v>
      </c>
      <c r="FA92" s="85">
        <v>0</v>
      </c>
      <c r="FB92" s="85">
        <v>0</v>
      </c>
      <c r="FC92" s="87">
        <v>0</v>
      </c>
      <c r="FD92" s="85">
        <v>0</v>
      </c>
      <c r="FE92" s="85">
        <v>0</v>
      </c>
      <c r="FF92" s="85">
        <v>0</v>
      </c>
      <c r="FG92" s="85">
        <v>0</v>
      </c>
      <c r="FH92" s="85">
        <v>0</v>
      </c>
      <c r="FI92" s="85">
        <v>0</v>
      </c>
      <c r="FJ92" s="85">
        <v>0</v>
      </c>
      <c r="FK92" s="85">
        <v>0</v>
      </c>
      <c r="FL92" s="85">
        <v>0</v>
      </c>
      <c r="FM92" s="85">
        <v>0</v>
      </c>
      <c r="FN92" s="85">
        <v>0</v>
      </c>
      <c r="FO92" s="86">
        <v>0</v>
      </c>
      <c r="FP92" s="87">
        <v>0</v>
      </c>
      <c r="FQ92" s="85">
        <v>0</v>
      </c>
      <c r="FR92" s="85">
        <v>0</v>
      </c>
      <c r="FS92" s="85">
        <v>0</v>
      </c>
      <c r="FT92" s="85">
        <v>0</v>
      </c>
      <c r="FU92" s="85">
        <v>0</v>
      </c>
      <c r="FV92" s="85">
        <v>0</v>
      </c>
      <c r="FW92" s="85">
        <v>0</v>
      </c>
      <c r="FX92" s="85">
        <v>0</v>
      </c>
      <c r="FY92" s="85">
        <v>0</v>
      </c>
      <c r="FZ92" s="85">
        <v>0</v>
      </c>
      <c r="GA92" s="85">
        <v>323584.32</v>
      </c>
      <c r="GB92" s="152">
        <v>323584.32</v>
      </c>
      <c r="GD92" s="153"/>
    </row>
    <row r="93" spans="1:186">
      <c r="A93" s="137" t="s">
        <v>211</v>
      </c>
      <c r="B93" s="151">
        <v>175701.306903003</v>
      </c>
      <c r="C93" s="138">
        <f t="shared" si="24"/>
        <v>3862.60704557166</v>
      </c>
      <c r="D93" s="138">
        <f t="shared" si="13"/>
        <v>5847.88588411014</v>
      </c>
      <c r="E93" s="138">
        <f t="shared" si="14"/>
        <v>4133.34295725132</v>
      </c>
      <c r="F93" s="138">
        <f t="shared" si="15"/>
        <v>4528.42219594282</v>
      </c>
      <c r="G93" s="138">
        <f t="shared" si="16"/>
        <v>4508.29600111416</v>
      </c>
      <c r="H93" s="138">
        <f t="shared" si="17"/>
        <v>0</v>
      </c>
      <c r="I93" s="138">
        <f t="shared" si="18"/>
        <v>0</v>
      </c>
      <c r="J93" s="138">
        <f t="shared" si="19"/>
        <v>0</v>
      </c>
      <c r="K93" s="138">
        <f t="shared" si="20"/>
        <v>0</v>
      </c>
      <c r="L93" s="138">
        <f t="shared" si="21"/>
        <v>0</v>
      </c>
      <c r="M93" s="138">
        <f t="shared" si="22"/>
        <v>0</v>
      </c>
      <c r="N93" s="138">
        <f t="shared" si="23"/>
        <v>0</v>
      </c>
      <c r="O93" s="86">
        <f t="shared" si="25"/>
        <v>22880.5540839901</v>
      </c>
      <c r="P93" s="138">
        <v>0</v>
      </c>
      <c r="Q93" s="138">
        <v>0</v>
      </c>
      <c r="R93" s="138">
        <v>0</v>
      </c>
      <c r="S93" s="138">
        <v>0</v>
      </c>
      <c r="T93" s="138">
        <v>0</v>
      </c>
      <c r="U93" s="138">
        <v>0</v>
      </c>
      <c r="V93" s="138">
        <v>0</v>
      </c>
      <c r="W93" s="138">
        <v>0</v>
      </c>
      <c r="X93" s="138">
        <v>0</v>
      </c>
      <c r="Y93" s="138">
        <v>0</v>
      </c>
      <c r="Z93" s="138">
        <v>0</v>
      </c>
      <c r="AA93" s="138">
        <v>0</v>
      </c>
      <c r="AB93" s="86">
        <v>0</v>
      </c>
      <c r="AC93" s="138">
        <v>0</v>
      </c>
      <c r="AD93" s="138">
        <v>0</v>
      </c>
      <c r="AE93" s="138">
        <v>0</v>
      </c>
      <c r="AF93" s="138">
        <v>0</v>
      </c>
      <c r="AG93" s="138">
        <v>0</v>
      </c>
      <c r="AH93" s="138">
        <v>0</v>
      </c>
      <c r="AI93" s="138">
        <v>0</v>
      </c>
      <c r="AJ93" s="138">
        <v>0</v>
      </c>
      <c r="AK93" s="138">
        <v>0</v>
      </c>
      <c r="AL93" s="138">
        <v>0</v>
      </c>
      <c r="AM93" s="138">
        <v>0</v>
      </c>
      <c r="AN93" s="138">
        <v>0</v>
      </c>
      <c r="AO93" s="86">
        <v>0</v>
      </c>
      <c r="AP93" s="138">
        <v>0</v>
      </c>
      <c r="AQ93" s="138">
        <v>0</v>
      </c>
      <c r="AR93" s="138">
        <v>0</v>
      </c>
      <c r="AS93" s="138">
        <v>0</v>
      </c>
      <c r="AT93" s="138">
        <v>0</v>
      </c>
      <c r="AU93" s="138">
        <v>0</v>
      </c>
      <c r="AV93" s="138">
        <v>0</v>
      </c>
      <c r="AW93" s="138">
        <v>0</v>
      </c>
      <c r="AX93" s="138">
        <v>0</v>
      </c>
      <c r="AY93" s="138">
        <v>0</v>
      </c>
      <c r="AZ93" s="138">
        <v>0</v>
      </c>
      <c r="BA93" s="138">
        <v>0</v>
      </c>
      <c r="BB93" s="86">
        <v>0</v>
      </c>
      <c r="BC93" s="138">
        <v>0</v>
      </c>
      <c r="BD93" s="138">
        <v>0</v>
      </c>
      <c r="BE93" s="138">
        <v>0</v>
      </c>
      <c r="BF93" s="138">
        <v>0</v>
      </c>
      <c r="BG93" s="138">
        <v>0</v>
      </c>
      <c r="BH93" s="138">
        <v>0</v>
      </c>
      <c r="BI93" s="138">
        <v>0</v>
      </c>
      <c r="BJ93" s="138">
        <v>0</v>
      </c>
      <c r="BK93" s="138">
        <v>0</v>
      </c>
      <c r="BL93" s="138">
        <v>0</v>
      </c>
      <c r="BM93" s="138">
        <v>0</v>
      </c>
      <c r="BN93" s="138">
        <v>0</v>
      </c>
      <c r="BO93" s="86">
        <v>0</v>
      </c>
      <c r="BP93" s="138">
        <v>0</v>
      </c>
      <c r="BQ93" s="138">
        <v>0</v>
      </c>
      <c r="BR93" s="138">
        <v>0</v>
      </c>
      <c r="BS93" s="138">
        <v>0</v>
      </c>
      <c r="BT93" s="138">
        <v>0</v>
      </c>
      <c r="BU93" s="138">
        <v>0</v>
      </c>
      <c r="BV93" s="138">
        <v>0</v>
      </c>
      <c r="BW93" s="138">
        <v>0</v>
      </c>
      <c r="BX93" s="138">
        <v>0</v>
      </c>
      <c r="BY93" s="138">
        <v>0</v>
      </c>
      <c r="BZ93" s="138">
        <v>0</v>
      </c>
      <c r="CA93" s="138">
        <v>0</v>
      </c>
      <c r="CB93" s="86">
        <v>0</v>
      </c>
      <c r="CC93" s="138">
        <v>0</v>
      </c>
      <c r="CD93" s="138">
        <v>0</v>
      </c>
      <c r="CE93" s="138">
        <v>0</v>
      </c>
      <c r="CF93" s="138">
        <v>0</v>
      </c>
      <c r="CG93" s="138">
        <v>0</v>
      </c>
      <c r="CH93" s="138">
        <v>0</v>
      </c>
      <c r="CI93" s="138">
        <v>0</v>
      </c>
      <c r="CJ93" s="138">
        <v>0</v>
      </c>
      <c r="CK93" s="138">
        <v>0</v>
      </c>
      <c r="CL93" s="138">
        <v>0</v>
      </c>
      <c r="CM93" s="138">
        <v>0</v>
      </c>
      <c r="CN93" s="138">
        <v>0</v>
      </c>
      <c r="CO93" s="86">
        <v>0</v>
      </c>
      <c r="CP93" s="138">
        <v>0</v>
      </c>
      <c r="CQ93" s="138">
        <v>0</v>
      </c>
      <c r="CR93" s="138">
        <v>0</v>
      </c>
      <c r="CS93" s="138">
        <v>0</v>
      </c>
      <c r="CT93" s="138">
        <v>0</v>
      </c>
      <c r="CU93" s="138">
        <v>0</v>
      </c>
      <c r="CV93" s="138">
        <v>0</v>
      </c>
      <c r="CW93" s="138">
        <v>0</v>
      </c>
      <c r="CX93" s="138">
        <v>0</v>
      </c>
      <c r="CY93" s="138">
        <v>0</v>
      </c>
      <c r="CZ93" s="138">
        <v>0</v>
      </c>
      <c r="DA93" s="138">
        <v>0</v>
      </c>
      <c r="DB93" s="86">
        <v>0</v>
      </c>
      <c r="DC93" s="138">
        <v>0</v>
      </c>
      <c r="DD93" s="138">
        <v>0</v>
      </c>
      <c r="DE93" s="138">
        <v>0</v>
      </c>
      <c r="DF93" s="138">
        <v>0</v>
      </c>
      <c r="DG93" s="138">
        <v>0</v>
      </c>
      <c r="DH93" s="138">
        <v>0</v>
      </c>
      <c r="DI93" s="138">
        <v>0</v>
      </c>
      <c r="DJ93" s="138">
        <v>0</v>
      </c>
      <c r="DK93" s="138">
        <v>0</v>
      </c>
      <c r="DL93" s="138">
        <v>0</v>
      </c>
      <c r="DM93" s="138">
        <v>0</v>
      </c>
      <c r="DN93" s="138">
        <v>0</v>
      </c>
      <c r="DO93" s="86">
        <v>0</v>
      </c>
      <c r="DP93" s="138">
        <v>0</v>
      </c>
      <c r="DQ93" s="138">
        <v>0</v>
      </c>
      <c r="DR93" s="138">
        <v>0</v>
      </c>
      <c r="DS93" s="138">
        <v>0</v>
      </c>
      <c r="DT93" s="138">
        <v>0</v>
      </c>
      <c r="DU93" s="138">
        <v>0</v>
      </c>
      <c r="DV93" s="138">
        <v>0</v>
      </c>
      <c r="DW93" s="138">
        <v>0</v>
      </c>
      <c r="DX93" s="138">
        <v>0</v>
      </c>
      <c r="DY93" s="138">
        <v>0</v>
      </c>
      <c r="DZ93" s="138">
        <v>0</v>
      </c>
      <c r="EA93" s="138">
        <v>0</v>
      </c>
      <c r="EB93" s="85">
        <v>0</v>
      </c>
      <c r="EC93" s="87">
        <v>0</v>
      </c>
      <c r="ED93" s="85">
        <v>0</v>
      </c>
      <c r="EE93" s="85">
        <v>0</v>
      </c>
      <c r="EF93" s="85">
        <v>0</v>
      </c>
      <c r="EG93" s="85">
        <v>0</v>
      </c>
      <c r="EH93" s="85">
        <v>0</v>
      </c>
      <c r="EI93" s="85">
        <v>0</v>
      </c>
      <c r="EJ93" s="85">
        <v>0</v>
      </c>
      <c r="EK93" s="85">
        <v>0</v>
      </c>
      <c r="EL93" s="85">
        <v>0</v>
      </c>
      <c r="EM93" s="85">
        <v>0</v>
      </c>
      <c r="EN93" s="85">
        <v>0</v>
      </c>
      <c r="EO93" s="152">
        <v>0</v>
      </c>
      <c r="EP93" s="85">
        <v>0</v>
      </c>
      <c r="EQ93" s="85">
        <v>0</v>
      </c>
      <c r="ER93" s="85">
        <v>0</v>
      </c>
      <c r="ES93" s="85">
        <v>0</v>
      </c>
      <c r="ET93" s="85">
        <v>0</v>
      </c>
      <c r="EU93" s="85">
        <v>0</v>
      </c>
      <c r="EV93" s="85">
        <v>0</v>
      </c>
      <c r="EW93" s="85">
        <v>0</v>
      </c>
      <c r="EX93" s="85">
        <v>0</v>
      </c>
      <c r="EY93" s="85">
        <v>0</v>
      </c>
      <c r="EZ93" s="85">
        <v>0</v>
      </c>
      <c r="FA93" s="85">
        <v>0</v>
      </c>
      <c r="FB93" s="85">
        <v>0</v>
      </c>
      <c r="FC93" s="87">
        <v>0</v>
      </c>
      <c r="FD93" s="85">
        <v>0</v>
      </c>
      <c r="FE93" s="85">
        <v>0</v>
      </c>
      <c r="FF93" s="85">
        <v>0</v>
      </c>
      <c r="FG93" s="85">
        <v>0</v>
      </c>
      <c r="FH93" s="85">
        <v>0</v>
      </c>
      <c r="FI93" s="85">
        <v>0</v>
      </c>
      <c r="FJ93" s="85">
        <v>0</v>
      </c>
      <c r="FK93" s="85">
        <v>0</v>
      </c>
      <c r="FL93" s="85">
        <v>0</v>
      </c>
      <c r="FM93" s="85">
        <v>0</v>
      </c>
      <c r="FN93" s="85">
        <v>0</v>
      </c>
      <c r="FO93" s="86">
        <v>0</v>
      </c>
      <c r="FP93" s="87">
        <v>3862.60704557166</v>
      </c>
      <c r="FQ93" s="85">
        <v>5847.88588411014</v>
      </c>
      <c r="FR93" s="85">
        <v>4133.34295725132</v>
      </c>
      <c r="FS93" s="85">
        <v>4528.42219594282</v>
      </c>
      <c r="FT93" s="85">
        <v>4508.29600111416</v>
      </c>
      <c r="FU93" s="85">
        <v>0</v>
      </c>
      <c r="FV93" s="85">
        <v>0</v>
      </c>
      <c r="FW93" s="85">
        <v>0</v>
      </c>
      <c r="FX93" s="85">
        <v>0</v>
      </c>
      <c r="FY93" s="85">
        <v>0</v>
      </c>
      <c r="FZ93" s="85">
        <v>0</v>
      </c>
      <c r="GA93" s="85">
        <v>0</v>
      </c>
      <c r="GB93" s="152">
        <v>22880.5540839901</v>
      </c>
      <c r="GD93" s="153"/>
    </row>
    <row r="94" spans="1:186">
      <c r="A94" s="137" t="s">
        <v>213</v>
      </c>
      <c r="B94" s="151">
        <v>28653.7654441063</v>
      </c>
      <c r="C94" s="138">
        <f t="shared" si="24"/>
        <v>407.511996300286</v>
      </c>
      <c r="D94" s="138">
        <f t="shared" si="13"/>
        <v>0</v>
      </c>
      <c r="E94" s="138">
        <f t="shared" si="14"/>
        <v>940.179422902608</v>
      </c>
      <c r="F94" s="138">
        <f t="shared" si="15"/>
        <v>233.427941744269</v>
      </c>
      <c r="G94" s="138">
        <f t="shared" si="16"/>
        <v>1601.34511135012</v>
      </c>
      <c r="H94" s="138">
        <f t="shared" si="17"/>
        <v>0</v>
      </c>
      <c r="I94" s="138">
        <f t="shared" si="18"/>
        <v>0</v>
      </c>
      <c r="J94" s="138">
        <f t="shared" si="19"/>
        <v>0</v>
      </c>
      <c r="K94" s="138">
        <f t="shared" si="20"/>
        <v>0</v>
      </c>
      <c r="L94" s="138">
        <f t="shared" si="21"/>
        <v>0</v>
      </c>
      <c r="M94" s="138">
        <f t="shared" si="22"/>
        <v>0</v>
      </c>
      <c r="N94" s="138">
        <f t="shared" si="23"/>
        <v>0</v>
      </c>
      <c r="O94" s="86">
        <f t="shared" si="25"/>
        <v>3182.46447229728</v>
      </c>
      <c r="P94" s="138">
        <v>267.044305077888</v>
      </c>
      <c r="Q94" s="138">
        <v>0</v>
      </c>
      <c r="R94" s="138">
        <v>0</v>
      </c>
      <c r="S94" s="138">
        <v>0</v>
      </c>
      <c r="T94" s="138">
        <v>0</v>
      </c>
      <c r="U94" s="138">
        <v>0</v>
      </c>
      <c r="V94" s="138">
        <v>0</v>
      </c>
      <c r="W94" s="138">
        <v>0</v>
      </c>
      <c r="X94" s="138">
        <v>0</v>
      </c>
      <c r="Y94" s="138">
        <v>0</v>
      </c>
      <c r="Z94" s="138">
        <v>0</v>
      </c>
      <c r="AA94" s="138">
        <v>0</v>
      </c>
      <c r="AB94" s="86">
        <v>267.044305077888</v>
      </c>
      <c r="AC94" s="138">
        <v>0</v>
      </c>
      <c r="AD94" s="138">
        <v>0</v>
      </c>
      <c r="AE94" s="138">
        <v>0</v>
      </c>
      <c r="AF94" s="138">
        <v>0</v>
      </c>
      <c r="AG94" s="138">
        <v>0</v>
      </c>
      <c r="AH94" s="138">
        <v>0</v>
      </c>
      <c r="AI94" s="138">
        <v>0</v>
      </c>
      <c r="AJ94" s="138">
        <v>0</v>
      </c>
      <c r="AK94" s="138">
        <v>0</v>
      </c>
      <c r="AL94" s="138">
        <v>0</v>
      </c>
      <c r="AM94" s="138">
        <v>0</v>
      </c>
      <c r="AN94" s="138">
        <v>0</v>
      </c>
      <c r="AO94" s="86">
        <v>0</v>
      </c>
      <c r="AP94" s="138">
        <v>0</v>
      </c>
      <c r="AQ94" s="138">
        <v>0</v>
      </c>
      <c r="AR94" s="138">
        <v>0</v>
      </c>
      <c r="AS94" s="138">
        <v>0</v>
      </c>
      <c r="AT94" s="138">
        <v>0</v>
      </c>
      <c r="AU94" s="138">
        <v>0</v>
      </c>
      <c r="AV94" s="138">
        <v>0</v>
      </c>
      <c r="AW94" s="138">
        <v>0</v>
      </c>
      <c r="AX94" s="138">
        <v>0</v>
      </c>
      <c r="AY94" s="138">
        <v>0</v>
      </c>
      <c r="AZ94" s="138">
        <v>0</v>
      </c>
      <c r="BA94" s="138">
        <v>0</v>
      </c>
      <c r="BB94" s="86">
        <v>0</v>
      </c>
      <c r="BC94" s="138">
        <v>75.9607201557973</v>
      </c>
      <c r="BD94" s="138">
        <v>0</v>
      </c>
      <c r="BE94" s="138">
        <v>0</v>
      </c>
      <c r="BF94" s="138">
        <v>0</v>
      </c>
      <c r="BG94" s="138">
        <v>0</v>
      </c>
      <c r="BH94" s="138">
        <v>0</v>
      </c>
      <c r="BI94" s="138">
        <v>0</v>
      </c>
      <c r="BJ94" s="138">
        <v>0</v>
      </c>
      <c r="BK94" s="138">
        <v>0</v>
      </c>
      <c r="BL94" s="138">
        <v>0</v>
      </c>
      <c r="BM94" s="138">
        <v>0</v>
      </c>
      <c r="BN94" s="138">
        <v>0</v>
      </c>
      <c r="BO94" s="86">
        <v>75.9607201557973</v>
      </c>
      <c r="BP94" s="138">
        <v>0</v>
      </c>
      <c r="BQ94" s="138">
        <v>0</v>
      </c>
      <c r="BR94" s="138">
        <v>0</v>
      </c>
      <c r="BS94" s="138">
        <v>0</v>
      </c>
      <c r="BT94" s="138">
        <v>0</v>
      </c>
      <c r="BU94" s="138">
        <v>0</v>
      </c>
      <c r="BV94" s="138">
        <v>0</v>
      </c>
      <c r="BW94" s="138">
        <v>0</v>
      </c>
      <c r="BX94" s="138">
        <v>0</v>
      </c>
      <c r="BY94" s="138">
        <v>0</v>
      </c>
      <c r="BZ94" s="138">
        <v>0</v>
      </c>
      <c r="CA94" s="138">
        <v>0</v>
      </c>
      <c r="CB94" s="86">
        <v>0</v>
      </c>
      <c r="CC94" s="138">
        <v>64.5069710666011</v>
      </c>
      <c r="CD94" s="138">
        <v>0</v>
      </c>
      <c r="CE94" s="138">
        <v>63.1137676392746</v>
      </c>
      <c r="CF94" s="138">
        <v>62.4530149609013</v>
      </c>
      <c r="CG94" s="138">
        <v>0</v>
      </c>
      <c r="CH94" s="138">
        <v>0</v>
      </c>
      <c r="CI94" s="138">
        <v>0</v>
      </c>
      <c r="CJ94" s="138">
        <v>0</v>
      </c>
      <c r="CK94" s="138">
        <v>0</v>
      </c>
      <c r="CL94" s="138">
        <v>0</v>
      </c>
      <c r="CM94" s="138">
        <v>0</v>
      </c>
      <c r="CN94" s="138">
        <v>0</v>
      </c>
      <c r="CO94" s="86">
        <v>190.073753666777</v>
      </c>
      <c r="CP94" s="138">
        <v>0</v>
      </c>
      <c r="CQ94" s="138">
        <v>0</v>
      </c>
      <c r="CR94" s="138">
        <v>0</v>
      </c>
      <c r="CS94" s="138">
        <v>0</v>
      </c>
      <c r="CT94" s="138">
        <v>0</v>
      </c>
      <c r="CU94" s="138">
        <v>0</v>
      </c>
      <c r="CV94" s="138">
        <v>0</v>
      </c>
      <c r="CW94" s="138">
        <v>0</v>
      </c>
      <c r="CX94" s="138">
        <v>0</v>
      </c>
      <c r="CY94" s="138">
        <v>0</v>
      </c>
      <c r="CZ94" s="138">
        <v>0</v>
      </c>
      <c r="DA94" s="138">
        <v>0</v>
      </c>
      <c r="DB94" s="86">
        <v>0</v>
      </c>
      <c r="DC94" s="138">
        <v>0</v>
      </c>
      <c r="DD94" s="138">
        <v>0</v>
      </c>
      <c r="DE94" s="138">
        <v>0</v>
      </c>
      <c r="DF94" s="138">
        <v>0</v>
      </c>
      <c r="DG94" s="138">
        <v>0</v>
      </c>
      <c r="DH94" s="138">
        <v>0</v>
      </c>
      <c r="DI94" s="138">
        <v>0</v>
      </c>
      <c r="DJ94" s="138">
        <v>0</v>
      </c>
      <c r="DK94" s="138">
        <v>0</v>
      </c>
      <c r="DL94" s="138">
        <v>0</v>
      </c>
      <c r="DM94" s="138">
        <v>0</v>
      </c>
      <c r="DN94" s="138">
        <v>0</v>
      </c>
      <c r="DO94" s="86">
        <v>0</v>
      </c>
      <c r="DP94" s="138">
        <v>0</v>
      </c>
      <c r="DQ94" s="138">
        <v>0</v>
      </c>
      <c r="DR94" s="138">
        <v>0</v>
      </c>
      <c r="DS94" s="138">
        <v>97.2678572765683</v>
      </c>
      <c r="DT94" s="138">
        <v>0</v>
      </c>
      <c r="DU94" s="138">
        <v>0</v>
      </c>
      <c r="DV94" s="138">
        <v>0</v>
      </c>
      <c r="DW94" s="138">
        <v>0</v>
      </c>
      <c r="DX94" s="138">
        <v>0</v>
      </c>
      <c r="DY94" s="138">
        <v>0</v>
      </c>
      <c r="DZ94" s="138">
        <v>0</v>
      </c>
      <c r="EA94" s="138">
        <v>0</v>
      </c>
      <c r="EB94" s="85">
        <v>97.2678572765683</v>
      </c>
      <c r="EC94" s="87">
        <v>0</v>
      </c>
      <c r="ED94" s="85">
        <v>0</v>
      </c>
      <c r="EE94" s="85">
        <v>0</v>
      </c>
      <c r="EF94" s="85">
        <v>0</v>
      </c>
      <c r="EG94" s="85">
        <v>0</v>
      </c>
      <c r="EH94" s="85">
        <v>0</v>
      </c>
      <c r="EI94" s="85">
        <v>0</v>
      </c>
      <c r="EJ94" s="85">
        <v>0</v>
      </c>
      <c r="EK94" s="85">
        <v>0</v>
      </c>
      <c r="EL94" s="85">
        <v>0</v>
      </c>
      <c r="EM94" s="85">
        <v>0</v>
      </c>
      <c r="EN94" s="85">
        <v>0</v>
      </c>
      <c r="EO94" s="152">
        <v>0</v>
      </c>
      <c r="EP94" s="85">
        <v>0</v>
      </c>
      <c r="EQ94" s="85">
        <v>0</v>
      </c>
      <c r="ER94" s="85">
        <v>0</v>
      </c>
      <c r="ES94" s="85">
        <v>0</v>
      </c>
      <c r="ET94" s="85">
        <v>0</v>
      </c>
      <c r="EU94" s="85">
        <v>0</v>
      </c>
      <c r="EV94" s="85">
        <v>0</v>
      </c>
      <c r="EW94" s="85">
        <v>0</v>
      </c>
      <c r="EX94" s="85">
        <v>0</v>
      </c>
      <c r="EY94" s="85">
        <v>0</v>
      </c>
      <c r="EZ94" s="85">
        <v>0</v>
      </c>
      <c r="FA94" s="85">
        <v>0</v>
      </c>
      <c r="FB94" s="85">
        <v>0</v>
      </c>
      <c r="FC94" s="87">
        <v>0</v>
      </c>
      <c r="FD94" s="85">
        <v>0</v>
      </c>
      <c r="FE94" s="85">
        <v>0</v>
      </c>
      <c r="FF94" s="85">
        <v>0</v>
      </c>
      <c r="FG94" s="85">
        <v>0</v>
      </c>
      <c r="FH94" s="85">
        <v>0</v>
      </c>
      <c r="FI94" s="85">
        <v>0</v>
      </c>
      <c r="FJ94" s="85">
        <v>0</v>
      </c>
      <c r="FK94" s="85">
        <v>0</v>
      </c>
      <c r="FL94" s="85">
        <v>0</v>
      </c>
      <c r="FM94" s="85">
        <v>0</v>
      </c>
      <c r="FN94" s="85">
        <v>0</v>
      </c>
      <c r="FO94" s="86">
        <v>0</v>
      </c>
      <c r="FP94" s="87">
        <v>0</v>
      </c>
      <c r="FQ94" s="85">
        <v>0</v>
      </c>
      <c r="FR94" s="85">
        <v>877.065655263333</v>
      </c>
      <c r="FS94" s="85">
        <v>73.7070695067998</v>
      </c>
      <c r="FT94" s="85">
        <v>1601.34511135012</v>
      </c>
      <c r="FU94" s="85">
        <v>0</v>
      </c>
      <c r="FV94" s="85">
        <v>0</v>
      </c>
      <c r="FW94" s="85">
        <v>0</v>
      </c>
      <c r="FX94" s="85">
        <v>0</v>
      </c>
      <c r="FY94" s="85">
        <v>0</v>
      </c>
      <c r="FZ94" s="85">
        <v>0</v>
      </c>
      <c r="GA94" s="85">
        <v>0</v>
      </c>
      <c r="GB94" s="152">
        <v>2552.11783612025</v>
      </c>
      <c r="GD94" s="153"/>
    </row>
    <row r="95" spans="1:186">
      <c r="A95" s="137" t="s">
        <v>215</v>
      </c>
      <c r="B95" s="151">
        <v>22694.2311129865</v>
      </c>
      <c r="C95" s="138">
        <f t="shared" si="24"/>
        <v>96.4458056601662</v>
      </c>
      <c r="D95" s="138">
        <f t="shared" si="13"/>
        <v>0</v>
      </c>
      <c r="E95" s="138">
        <f t="shared" si="14"/>
        <v>0</v>
      </c>
      <c r="F95" s="138">
        <f t="shared" si="15"/>
        <v>91.5960132427117</v>
      </c>
      <c r="G95" s="138">
        <f t="shared" si="16"/>
        <v>0</v>
      </c>
      <c r="H95" s="138">
        <f t="shared" si="17"/>
        <v>0</v>
      </c>
      <c r="I95" s="138">
        <f t="shared" si="18"/>
        <v>0</v>
      </c>
      <c r="J95" s="138">
        <f t="shared" si="19"/>
        <v>0</v>
      </c>
      <c r="K95" s="138">
        <f t="shared" si="20"/>
        <v>0</v>
      </c>
      <c r="L95" s="138">
        <f t="shared" si="21"/>
        <v>0</v>
      </c>
      <c r="M95" s="138">
        <f t="shared" si="22"/>
        <v>0</v>
      </c>
      <c r="N95" s="138">
        <f t="shared" si="23"/>
        <v>0</v>
      </c>
      <c r="O95" s="86">
        <f t="shared" si="25"/>
        <v>188.041818902878</v>
      </c>
      <c r="P95" s="138">
        <v>0</v>
      </c>
      <c r="Q95" s="138">
        <v>0</v>
      </c>
      <c r="R95" s="138">
        <v>0</v>
      </c>
      <c r="S95" s="138">
        <v>0</v>
      </c>
      <c r="T95" s="138">
        <v>0</v>
      </c>
      <c r="U95" s="138">
        <v>0</v>
      </c>
      <c r="V95" s="138">
        <v>0</v>
      </c>
      <c r="W95" s="138">
        <v>0</v>
      </c>
      <c r="X95" s="138">
        <v>0</v>
      </c>
      <c r="Y95" s="138">
        <v>0</v>
      </c>
      <c r="Z95" s="138">
        <v>0</v>
      </c>
      <c r="AA95" s="138">
        <v>0</v>
      </c>
      <c r="AB95" s="86">
        <v>0</v>
      </c>
      <c r="AC95" s="138">
        <v>0</v>
      </c>
      <c r="AD95" s="138">
        <v>0</v>
      </c>
      <c r="AE95" s="138">
        <v>0</v>
      </c>
      <c r="AF95" s="138">
        <v>0</v>
      </c>
      <c r="AG95" s="138">
        <v>0</v>
      </c>
      <c r="AH95" s="138">
        <v>0</v>
      </c>
      <c r="AI95" s="138">
        <v>0</v>
      </c>
      <c r="AJ95" s="138">
        <v>0</v>
      </c>
      <c r="AK95" s="138">
        <v>0</v>
      </c>
      <c r="AL95" s="138">
        <v>0</v>
      </c>
      <c r="AM95" s="138">
        <v>0</v>
      </c>
      <c r="AN95" s="138">
        <v>0</v>
      </c>
      <c r="AO95" s="86">
        <v>0</v>
      </c>
      <c r="AP95" s="138">
        <v>0</v>
      </c>
      <c r="AQ95" s="138">
        <v>0</v>
      </c>
      <c r="AR95" s="138">
        <v>0</v>
      </c>
      <c r="AS95" s="138">
        <v>0</v>
      </c>
      <c r="AT95" s="138">
        <v>0</v>
      </c>
      <c r="AU95" s="138">
        <v>0</v>
      </c>
      <c r="AV95" s="138">
        <v>0</v>
      </c>
      <c r="AW95" s="138">
        <v>0</v>
      </c>
      <c r="AX95" s="138">
        <v>0</v>
      </c>
      <c r="AY95" s="138">
        <v>0</v>
      </c>
      <c r="AZ95" s="138">
        <v>0</v>
      </c>
      <c r="BA95" s="138">
        <v>0</v>
      </c>
      <c r="BB95" s="86">
        <v>0</v>
      </c>
      <c r="BC95" s="138">
        <v>0</v>
      </c>
      <c r="BD95" s="138">
        <v>0</v>
      </c>
      <c r="BE95" s="138">
        <v>0</v>
      </c>
      <c r="BF95" s="138">
        <v>0</v>
      </c>
      <c r="BG95" s="138">
        <v>0</v>
      </c>
      <c r="BH95" s="138">
        <v>0</v>
      </c>
      <c r="BI95" s="138">
        <v>0</v>
      </c>
      <c r="BJ95" s="138">
        <v>0</v>
      </c>
      <c r="BK95" s="138">
        <v>0</v>
      </c>
      <c r="BL95" s="138">
        <v>0</v>
      </c>
      <c r="BM95" s="138">
        <v>0</v>
      </c>
      <c r="BN95" s="138">
        <v>0</v>
      </c>
      <c r="BO95" s="86">
        <v>0</v>
      </c>
      <c r="BP95" s="138">
        <v>0</v>
      </c>
      <c r="BQ95" s="138">
        <v>0</v>
      </c>
      <c r="BR95" s="138">
        <v>0</v>
      </c>
      <c r="BS95" s="138">
        <v>0</v>
      </c>
      <c r="BT95" s="138">
        <v>0</v>
      </c>
      <c r="BU95" s="138">
        <v>0</v>
      </c>
      <c r="BV95" s="138">
        <v>0</v>
      </c>
      <c r="BW95" s="138">
        <v>0</v>
      </c>
      <c r="BX95" s="138">
        <v>0</v>
      </c>
      <c r="BY95" s="138">
        <v>0</v>
      </c>
      <c r="BZ95" s="138">
        <v>0</v>
      </c>
      <c r="CA95" s="138">
        <v>0</v>
      </c>
      <c r="CB95" s="86">
        <v>0</v>
      </c>
      <c r="CC95" s="138">
        <v>0</v>
      </c>
      <c r="CD95" s="138">
        <v>0</v>
      </c>
      <c r="CE95" s="138">
        <v>0</v>
      </c>
      <c r="CF95" s="138">
        <v>0</v>
      </c>
      <c r="CG95" s="138">
        <v>0</v>
      </c>
      <c r="CH95" s="138">
        <v>0</v>
      </c>
      <c r="CI95" s="138">
        <v>0</v>
      </c>
      <c r="CJ95" s="138">
        <v>0</v>
      </c>
      <c r="CK95" s="138">
        <v>0</v>
      </c>
      <c r="CL95" s="138">
        <v>0</v>
      </c>
      <c r="CM95" s="138">
        <v>0</v>
      </c>
      <c r="CN95" s="138">
        <v>0</v>
      </c>
      <c r="CO95" s="86">
        <v>0</v>
      </c>
      <c r="CP95" s="138">
        <v>0</v>
      </c>
      <c r="CQ95" s="138">
        <v>0</v>
      </c>
      <c r="CR95" s="138">
        <v>0</v>
      </c>
      <c r="CS95" s="138">
        <v>0</v>
      </c>
      <c r="CT95" s="138">
        <v>0</v>
      </c>
      <c r="CU95" s="138">
        <v>0</v>
      </c>
      <c r="CV95" s="138">
        <v>0</v>
      </c>
      <c r="CW95" s="138">
        <v>0</v>
      </c>
      <c r="CX95" s="138">
        <v>0</v>
      </c>
      <c r="CY95" s="138">
        <v>0</v>
      </c>
      <c r="CZ95" s="138">
        <v>0</v>
      </c>
      <c r="DA95" s="138">
        <v>0</v>
      </c>
      <c r="DB95" s="86">
        <v>0</v>
      </c>
      <c r="DC95" s="138">
        <v>96.4458056601662</v>
      </c>
      <c r="DD95" s="138">
        <v>0</v>
      </c>
      <c r="DE95" s="138">
        <v>0</v>
      </c>
      <c r="DF95" s="138">
        <v>91.5960132427117</v>
      </c>
      <c r="DG95" s="138">
        <v>0</v>
      </c>
      <c r="DH95" s="138">
        <v>0</v>
      </c>
      <c r="DI95" s="138">
        <v>0</v>
      </c>
      <c r="DJ95" s="138">
        <v>0</v>
      </c>
      <c r="DK95" s="138">
        <v>0</v>
      </c>
      <c r="DL95" s="138">
        <v>0</v>
      </c>
      <c r="DM95" s="138">
        <v>0</v>
      </c>
      <c r="DN95" s="138">
        <v>0</v>
      </c>
      <c r="DO95" s="86">
        <v>188.041818902878</v>
      </c>
      <c r="DP95" s="138">
        <v>0</v>
      </c>
      <c r="DQ95" s="138">
        <v>0</v>
      </c>
      <c r="DR95" s="138">
        <v>0</v>
      </c>
      <c r="DS95" s="138">
        <v>0</v>
      </c>
      <c r="DT95" s="138">
        <v>0</v>
      </c>
      <c r="DU95" s="138">
        <v>0</v>
      </c>
      <c r="DV95" s="138">
        <v>0</v>
      </c>
      <c r="DW95" s="138">
        <v>0</v>
      </c>
      <c r="DX95" s="138">
        <v>0</v>
      </c>
      <c r="DY95" s="138">
        <v>0</v>
      </c>
      <c r="DZ95" s="138">
        <v>0</v>
      </c>
      <c r="EA95" s="138">
        <v>0</v>
      </c>
      <c r="EB95" s="85">
        <v>0</v>
      </c>
      <c r="EC95" s="87">
        <v>0</v>
      </c>
      <c r="ED95" s="85">
        <v>0</v>
      </c>
      <c r="EE95" s="85">
        <v>0</v>
      </c>
      <c r="EF95" s="85">
        <v>0</v>
      </c>
      <c r="EG95" s="85">
        <v>0</v>
      </c>
      <c r="EH95" s="85">
        <v>0</v>
      </c>
      <c r="EI95" s="85">
        <v>0</v>
      </c>
      <c r="EJ95" s="85">
        <v>0</v>
      </c>
      <c r="EK95" s="85">
        <v>0</v>
      </c>
      <c r="EL95" s="85">
        <v>0</v>
      </c>
      <c r="EM95" s="85">
        <v>0</v>
      </c>
      <c r="EN95" s="85">
        <v>0</v>
      </c>
      <c r="EO95" s="152">
        <v>0</v>
      </c>
      <c r="EP95" s="85">
        <v>0</v>
      </c>
      <c r="EQ95" s="85">
        <v>0</v>
      </c>
      <c r="ER95" s="85">
        <v>0</v>
      </c>
      <c r="ES95" s="85">
        <v>0</v>
      </c>
      <c r="ET95" s="85">
        <v>0</v>
      </c>
      <c r="EU95" s="85">
        <v>0</v>
      </c>
      <c r="EV95" s="85">
        <v>0</v>
      </c>
      <c r="EW95" s="85">
        <v>0</v>
      </c>
      <c r="EX95" s="85">
        <v>0</v>
      </c>
      <c r="EY95" s="85">
        <v>0</v>
      </c>
      <c r="EZ95" s="85">
        <v>0</v>
      </c>
      <c r="FA95" s="85">
        <v>0</v>
      </c>
      <c r="FB95" s="85">
        <v>0</v>
      </c>
      <c r="FC95" s="87">
        <v>0</v>
      </c>
      <c r="FD95" s="85">
        <v>0</v>
      </c>
      <c r="FE95" s="85">
        <v>0</v>
      </c>
      <c r="FF95" s="85">
        <v>0</v>
      </c>
      <c r="FG95" s="85">
        <v>0</v>
      </c>
      <c r="FH95" s="85">
        <v>0</v>
      </c>
      <c r="FI95" s="85">
        <v>0</v>
      </c>
      <c r="FJ95" s="85">
        <v>0</v>
      </c>
      <c r="FK95" s="85">
        <v>0</v>
      </c>
      <c r="FL95" s="85">
        <v>0</v>
      </c>
      <c r="FM95" s="85">
        <v>0</v>
      </c>
      <c r="FN95" s="85">
        <v>0</v>
      </c>
      <c r="FO95" s="86">
        <v>0</v>
      </c>
      <c r="FP95" s="87">
        <v>0</v>
      </c>
      <c r="FQ95" s="85">
        <v>0</v>
      </c>
      <c r="FR95" s="85">
        <v>0</v>
      </c>
      <c r="FS95" s="85">
        <v>0</v>
      </c>
      <c r="FT95" s="85">
        <v>0</v>
      </c>
      <c r="FU95" s="85">
        <v>0</v>
      </c>
      <c r="FV95" s="85">
        <v>0</v>
      </c>
      <c r="FW95" s="85">
        <v>0</v>
      </c>
      <c r="FX95" s="85">
        <v>0</v>
      </c>
      <c r="FY95" s="85">
        <v>0</v>
      </c>
      <c r="FZ95" s="85">
        <v>0</v>
      </c>
      <c r="GA95" s="85">
        <v>0</v>
      </c>
      <c r="GB95" s="152">
        <v>0</v>
      </c>
      <c r="GD95" s="153"/>
    </row>
    <row r="96" spans="1:186">
      <c r="A96" s="137" t="s">
        <v>217</v>
      </c>
      <c r="B96" s="151">
        <v>21560.026898065</v>
      </c>
      <c r="C96" s="138">
        <f t="shared" si="24"/>
        <v>299.774339473954</v>
      </c>
      <c r="D96" s="138">
        <f t="shared" si="13"/>
        <v>197.394586209173</v>
      </c>
      <c r="E96" s="138">
        <f t="shared" si="14"/>
        <v>63.2168241755935</v>
      </c>
      <c r="F96" s="138">
        <f t="shared" si="15"/>
        <v>0</v>
      </c>
      <c r="G96" s="138">
        <f t="shared" si="16"/>
        <v>0</v>
      </c>
      <c r="H96" s="138">
        <f t="shared" si="17"/>
        <v>0</v>
      </c>
      <c r="I96" s="138">
        <f t="shared" si="18"/>
        <v>0</v>
      </c>
      <c r="J96" s="138">
        <f t="shared" si="19"/>
        <v>0</v>
      </c>
      <c r="K96" s="138">
        <f t="shared" si="20"/>
        <v>0</v>
      </c>
      <c r="L96" s="138">
        <f t="shared" si="21"/>
        <v>0</v>
      </c>
      <c r="M96" s="138">
        <f t="shared" si="22"/>
        <v>0</v>
      </c>
      <c r="N96" s="138">
        <f t="shared" si="23"/>
        <v>0</v>
      </c>
      <c r="O96" s="86">
        <f t="shared" si="25"/>
        <v>560.385749858721</v>
      </c>
      <c r="P96" s="138">
        <v>0</v>
      </c>
      <c r="Q96" s="138">
        <v>0</v>
      </c>
      <c r="R96" s="138">
        <v>0</v>
      </c>
      <c r="S96" s="138">
        <v>0</v>
      </c>
      <c r="T96" s="138">
        <v>0</v>
      </c>
      <c r="U96" s="138">
        <v>0</v>
      </c>
      <c r="V96" s="138">
        <v>0</v>
      </c>
      <c r="W96" s="138">
        <v>0</v>
      </c>
      <c r="X96" s="138">
        <v>0</v>
      </c>
      <c r="Y96" s="138">
        <v>0</v>
      </c>
      <c r="Z96" s="138">
        <v>0</v>
      </c>
      <c r="AA96" s="138">
        <v>0</v>
      </c>
      <c r="AB96" s="86">
        <v>0</v>
      </c>
      <c r="AC96" s="138">
        <v>0</v>
      </c>
      <c r="AD96" s="138">
        <v>0</v>
      </c>
      <c r="AE96" s="138">
        <v>0</v>
      </c>
      <c r="AF96" s="138">
        <v>0</v>
      </c>
      <c r="AG96" s="138">
        <v>0</v>
      </c>
      <c r="AH96" s="138">
        <v>0</v>
      </c>
      <c r="AI96" s="138">
        <v>0</v>
      </c>
      <c r="AJ96" s="138">
        <v>0</v>
      </c>
      <c r="AK96" s="138">
        <v>0</v>
      </c>
      <c r="AL96" s="138">
        <v>0</v>
      </c>
      <c r="AM96" s="138">
        <v>0</v>
      </c>
      <c r="AN96" s="138">
        <v>0</v>
      </c>
      <c r="AO96" s="86">
        <v>0</v>
      </c>
      <c r="AP96" s="138">
        <v>0</v>
      </c>
      <c r="AQ96" s="138">
        <v>0</v>
      </c>
      <c r="AR96" s="138">
        <v>0</v>
      </c>
      <c r="AS96" s="138">
        <v>0</v>
      </c>
      <c r="AT96" s="138">
        <v>0</v>
      </c>
      <c r="AU96" s="138">
        <v>0</v>
      </c>
      <c r="AV96" s="138">
        <v>0</v>
      </c>
      <c r="AW96" s="138">
        <v>0</v>
      </c>
      <c r="AX96" s="138">
        <v>0</v>
      </c>
      <c r="AY96" s="138">
        <v>0</v>
      </c>
      <c r="AZ96" s="138">
        <v>0</v>
      </c>
      <c r="BA96" s="138">
        <v>0</v>
      </c>
      <c r="BB96" s="86">
        <v>0</v>
      </c>
      <c r="BC96" s="138">
        <v>0</v>
      </c>
      <c r="BD96" s="138">
        <v>0</v>
      </c>
      <c r="BE96" s="138">
        <v>0</v>
      </c>
      <c r="BF96" s="138">
        <v>0</v>
      </c>
      <c r="BG96" s="138">
        <v>0</v>
      </c>
      <c r="BH96" s="138">
        <v>0</v>
      </c>
      <c r="BI96" s="138">
        <v>0</v>
      </c>
      <c r="BJ96" s="138">
        <v>0</v>
      </c>
      <c r="BK96" s="138">
        <v>0</v>
      </c>
      <c r="BL96" s="138">
        <v>0</v>
      </c>
      <c r="BM96" s="138">
        <v>0</v>
      </c>
      <c r="BN96" s="138">
        <v>0</v>
      </c>
      <c r="BO96" s="86">
        <v>0</v>
      </c>
      <c r="BP96" s="138">
        <v>0</v>
      </c>
      <c r="BQ96" s="138">
        <v>0</v>
      </c>
      <c r="BR96" s="138">
        <v>0</v>
      </c>
      <c r="BS96" s="138">
        <v>0</v>
      </c>
      <c r="BT96" s="138">
        <v>0</v>
      </c>
      <c r="BU96" s="138">
        <v>0</v>
      </c>
      <c r="BV96" s="138">
        <v>0</v>
      </c>
      <c r="BW96" s="138">
        <v>0</v>
      </c>
      <c r="BX96" s="138">
        <v>0</v>
      </c>
      <c r="BY96" s="138">
        <v>0</v>
      </c>
      <c r="BZ96" s="138">
        <v>0</v>
      </c>
      <c r="CA96" s="138">
        <v>0</v>
      </c>
      <c r="CB96" s="86">
        <v>0</v>
      </c>
      <c r="CC96" s="138">
        <v>0</v>
      </c>
      <c r="CD96" s="138">
        <v>0</v>
      </c>
      <c r="CE96" s="138">
        <v>0</v>
      </c>
      <c r="CF96" s="138">
        <v>0</v>
      </c>
      <c r="CG96" s="138">
        <v>0</v>
      </c>
      <c r="CH96" s="138">
        <v>0</v>
      </c>
      <c r="CI96" s="138">
        <v>0</v>
      </c>
      <c r="CJ96" s="138">
        <v>0</v>
      </c>
      <c r="CK96" s="138">
        <v>0</v>
      </c>
      <c r="CL96" s="138">
        <v>0</v>
      </c>
      <c r="CM96" s="138">
        <v>0</v>
      </c>
      <c r="CN96" s="138">
        <v>0</v>
      </c>
      <c r="CO96" s="86">
        <v>0</v>
      </c>
      <c r="CP96" s="138">
        <v>0</v>
      </c>
      <c r="CQ96" s="138">
        <v>0</v>
      </c>
      <c r="CR96" s="138">
        <v>0</v>
      </c>
      <c r="CS96" s="138">
        <v>0</v>
      </c>
      <c r="CT96" s="138">
        <v>0</v>
      </c>
      <c r="CU96" s="138">
        <v>0</v>
      </c>
      <c r="CV96" s="138">
        <v>0</v>
      </c>
      <c r="CW96" s="138">
        <v>0</v>
      </c>
      <c r="CX96" s="138">
        <v>0</v>
      </c>
      <c r="CY96" s="138">
        <v>0</v>
      </c>
      <c r="CZ96" s="138">
        <v>0</v>
      </c>
      <c r="DA96" s="138">
        <v>0</v>
      </c>
      <c r="DB96" s="86">
        <v>0</v>
      </c>
      <c r="DC96" s="138">
        <v>67.0776754385993</v>
      </c>
      <c r="DD96" s="138">
        <v>197.394586209173</v>
      </c>
      <c r="DE96" s="138">
        <v>63.2168241755935</v>
      </c>
      <c r="DF96" s="138">
        <v>0</v>
      </c>
      <c r="DG96" s="138">
        <v>0</v>
      </c>
      <c r="DH96" s="138">
        <v>0</v>
      </c>
      <c r="DI96" s="138">
        <v>0</v>
      </c>
      <c r="DJ96" s="138">
        <v>0</v>
      </c>
      <c r="DK96" s="138">
        <v>0</v>
      </c>
      <c r="DL96" s="138">
        <v>0</v>
      </c>
      <c r="DM96" s="138">
        <v>0</v>
      </c>
      <c r="DN96" s="138">
        <v>0</v>
      </c>
      <c r="DO96" s="86">
        <v>327.689085823366</v>
      </c>
      <c r="DP96" s="138">
        <v>232.696664035355</v>
      </c>
      <c r="DQ96" s="138">
        <v>0</v>
      </c>
      <c r="DR96" s="138">
        <v>0</v>
      </c>
      <c r="DS96" s="138">
        <v>0</v>
      </c>
      <c r="DT96" s="138">
        <v>0</v>
      </c>
      <c r="DU96" s="138">
        <v>0</v>
      </c>
      <c r="DV96" s="138">
        <v>0</v>
      </c>
      <c r="DW96" s="138">
        <v>0</v>
      </c>
      <c r="DX96" s="138">
        <v>0</v>
      </c>
      <c r="DY96" s="138">
        <v>0</v>
      </c>
      <c r="DZ96" s="138">
        <v>0</v>
      </c>
      <c r="EA96" s="138">
        <v>0</v>
      </c>
      <c r="EB96" s="85">
        <v>232.696664035355</v>
      </c>
      <c r="EC96" s="87">
        <v>0</v>
      </c>
      <c r="ED96" s="85">
        <v>0</v>
      </c>
      <c r="EE96" s="85">
        <v>0</v>
      </c>
      <c r="EF96" s="85">
        <v>0</v>
      </c>
      <c r="EG96" s="85">
        <v>0</v>
      </c>
      <c r="EH96" s="85">
        <v>0</v>
      </c>
      <c r="EI96" s="85">
        <v>0</v>
      </c>
      <c r="EJ96" s="85">
        <v>0</v>
      </c>
      <c r="EK96" s="85">
        <v>0</v>
      </c>
      <c r="EL96" s="85">
        <v>0</v>
      </c>
      <c r="EM96" s="85">
        <v>0</v>
      </c>
      <c r="EN96" s="85">
        <v>0</v>
      </c>
      <c r="EO96" s="152">
        <v>0</v>
      </c>
      <c r="EP96" s="85">
        <v>0</v>
      </c>
      <c r="EQ96" s="85">
        <v>0</v>
      </c>
      <c r="ER96" s="85">
        <v>0</v>
      </c>
      <c r="ES96" s="85">
        <v>0</v>
      </c>
      <c r="ET96" s="85">
        <v>0</v>
      </c>
      <c r="EU96" s="85">
        <v>0</v>
      </c>
      <c r="EV96" s="85">
        <v>0</v>
      </c>
      <c r="EW96" s="85">
        <v>0</v>
      </c>
      <c r="EX96" s="85">
        <v>0</v>
      </c>
      <c r="EY96" s="85">
        <v>0</v>
      </c>
      <c r="EZ96" s="85">
        <v>0</v>
      </c>
      <c r="FA96" s="85">
        <v>0</v>
      </c>
      <c r="FB96" s="85">
        <v>0</v>
      </c>
      <c r="FC96" s="87">
        <v>0</v>
      </c>
      <c r="FD96" s="85">
        <v>0</v>
      </c>
      <c r="FE96" s="85">
        <v>0</v>
      </c>
      <c r="FF96" s="85">
        <v>0</v>
      </c>
      <c r="FG96" s="85">
        <v>0</v>
      </c>
      <c r="FH96" s="85">
        <v>0</v>
      </c>
      <c r="FI96" s="85">
        <v>0</v>
      </c>
      <c r="FJ96" s="85">
        <v>0</v>
      </c>
      <c r="FK96" s="85">
        <v>0</v>
      </c>
      <c r="FL96" s="85">
        <v>0</v>
      </c>
      <c r="FM96" s="85">
        <v>0</v>
      </c>
      <c r="FN96" s="85">
        <v>0</v>
      </c>
      <c r="FO96" s="86">
        <v>0</v>
      </c>
      <c r="FP96" s="87">
        <v>0</v>
      </c>
      <c r="FQ96" s="85">
        <v>0</v>
      </c>
      <c r="FR96" s="85">
        <v>0</v>
      </c>
      <c r="FS96" s="85">
        <v>0</v>
      </c>
      <c r="FT96" s="85">
        <v>0</v>
      </c>
      <c r="FU96" s="85">
        <v>0</v>
      </c>
      <c r="FV96" s="85">
        <v>0</v>
      </c>
      <c r="FW96" s="85">
        <v>0</v>
      </c>
      <c r="FX96" s="85">
        <v>0</v>
      </c>
      <c r="FY96" s="85">
        <v>0</v>
      </c>
      <c r="FZ96" s="85">
        <v>0</v>
      </c>
      <c r="GA96" s="85">
        <v>0</v>
      </c>
      <c r="GB96" s="152">
        <v>0</v>
      </c>
      <c r="GD96" s="153"/>
    </row>
    <row r="97" spans="1:186">
      <c r="A97" s="137" t="s">
        <v>219</v>
      </c>
      <c r="B97" s="151">
        <v>23878.1523743292</v>
      </c>
      <c r="C97" s="138">
        <f t="shared" si="24"/>
        <v>0</v>
      </c>
      <c r="D97" s="138">
        <f t="shared" si="13"/>
        <v>0</v>
      </c>
      <c r="E97" s="138">
        <f t="shared" si="14"/>
        <v>0</v>
      </c>
      <c r="F97" s="138">
        <f t="shared" si="15"/>
        <v>0</v>
      </c>
      <c r="G97" s="138">
        <f t="shared" si="16"/>
        <v>0</v>
      </c>
      <c r="H97" s="138">
        <f t="shared" si="17"/>
        <v>0</v>
      </c>
      <c r="I97" s="138">
        <f t="shared" si="18"/>
        <v>0</v>
      </c>
      <c r="J97" s="138">
        <f t="shared" si="19"/>
        <v>0</v>
      </c>
      <c r="K97" s="138">
        <f t="shared" si="20"/>
        <v>0</v>
      </c>
      <c r="L97" s="138">
        <f t="shared" si="21"/>
        <v>0</v>
      </c>
      <c r="M97" s="138">
        <f t="shared" si="22"/>
        <v>0</v>
      </c>
      <c r="N97" s="138">
        <f t="shared" si="23"/>
        <v>0</v>
      </c>
      <c r="O97" s="86">
        <f t="shared" si="25"/>
        <v>0</v>
      </c>
      <c r="P97" s="138">
        <v>0</v>
      </c>
      <c r="Q97" s="138">
        <v>0</v>
      </c>
      <c r="R97" s="138">
        <v>0</v>
      </c>
      <c r="S97" s="138">
        <v>0</v>
      </c>
      <c r="T97" s="138">
        <v>0</v>
      </c>
      <c r="U97" s="138">
        <v>0</v>
      </c>
      <c r="V97" s="138">
        <v>0</v>
      </c>
      <c r="W97" s="138">
        <v>0</v>
      </c>
      <c r="X97" s="138">
        <v>0</v>
      </c>
      <c r="Y97" s="138">
        <v>0</v>
      </c>
      <c r="Z97" s="138">
        <v>0</v>
      </c>
      <c r="AA97" s="138">
        <v>0</v>
      </c>
      <c r="AB97" s="86">
        <v>0</v>
      </c>
      <c r="AC97" s="138">
        <v>0</v>
      </c>
      <c r="AD97" s="138">
        <v>0</v>
      </c>
      <c r="AE97" s="138">
        <v>0</v>
      </c>
      <c r="AF97" s="138">
        <v>0</v>
      </c>
      <c r="AG97" s="138">
        <v>0</v>
      </c>
      <c r="AH97" s="138">
        <v>0</v>
      </c>
      <c r="AI97" s="138">
        <v>0</v>
      </c>
      <c r="AJ97" s="138">
        <v>0</v>
      </c>
      <c r="AK97" s="138">
        <v>0</v>
      </c>
      <c r="AL97" s="138">
        <v>0</v>
      </c>
      <c r="AM97" s="138">
        <v>0</v>
      </c>
      <c r="AN97" s="138">
        <v>0</v>
      </c>
      <c r="AO97" s="86">
        <v>0</v>
      </c>
      <c r="AP97" s="138">
        <v>0</v>
      </c>
      <c r="AQ97" s="138">
        <v>0</v>
      </c>
      <c r="AR97" s="138">
        <v>0</v>
      </c>
      <c r="AS97" s="138">
        <v>0</v>
      </c>
      <c r="AT97" s="138">
        <v>0</v>
      </c>
      <c r="AU97" s="138">
        <v>0</v>
      </c>
      <c r="AV97" s="138">
        <v>0</v>
      </c>
      <c r="AW97" s="138">
        <v>0</v>
      </c>
      <c r="AX97" s="138">
        <v>0</v>
      </c>
      <c r="AY97" s="138">
        <v>0</v>
      </c>
      <c r="AZ97" s="138">
        <v>0</v>
      </c>
      <c r="BA97" s="138">
        <v>0</v>
      </c>
      <c r="BB97" s="86">
        <v>0</v>
      </c>
      <c r="BC97" s="138">
        <v>0</v>
      </c>
      <c r="BD97" s="138">
        <v>0</v>
      </c>
      <c r="BE97" s="138">
        <v>0</v>
      </c>
      <c r="BF97" s="138">
        <v>0</v>
      </c>
      <c r="BG97" s="138">
        <v>0</v>
      </c>
      <c r="BH97" s="138">
        <v>0</v>
      </c>
      <c r="BI97" s="138">
        <v>0</v>
      </c>
      <c r="BJ97" s="138">
        <v>0</v>
      </c>
      <c r="BK97" s="138">
        <v>0</v>
      </c>
      <c r="BL97" s="138">
        <v>0</v>
      </c>
      <c r="BM97" s="138">
        <v>0</v>
      </c>
      <c r="BN97" s="138">
        <v>0</v>
      </c>
      <c r="BO97" s="86">
        <v>0</v>
      </c>
      <c r="BP97" s="138">
        <v>0</v>
      </c>
      <c r="BQ97" s="138">
        <v>0</v>
      </c>
      <c r="BR97" s="138">
        <v>0</v>
      </c>
      <c r="BS97" s="138">
        <v>0</v>
      </c>
      <c r="BT97" s="138">
        <v>0</v>
      </c>
      <c r="BU97" s="138">
        <v>0</v>
      </c>
      <c r="BV97" s="138">
        <v>0</v>
      </c>
      <c r="BW97" s="138">
        <v>0</v>
      </c>
      <c r="BX97" s="138">
        <v>0</v>
      </c>
      <c r="BY97" s="138">
        <v>0</v>
      </c>
      <c r="BZ97" s="138">
        <v>0</v>
      </c>
      <c r="CA97" s="138">
        <v>0</v>
      </c>
      <c r="CB97" s="86">
        <v>0</v>
      </c>
      <c r="CC97" s="138">
        <v>0</v>
      </c>
      <c r="CD97" s="138">
        <v>0</v>
      </c>
      <c r="CE97" s="138">
        <v>0</v>
      </c>
      <c r="CF97" s="138">
        <v>0</v>
      </c>
      <c r="CG97" s="138">
        <v>0</v>
      </c>
      <c r="CH97" s="138">
        <v>0</v>
      </c>
      <c r="CI97" s="138">
        <v>0</v>
      </c>
      <c r="CJ97" s="138">
        <v>0</v>
      </c>
      <c r="CK97" s="138">
        <v>0</v>
      </c>
      <c r="CL97" s="138">
        <v>0</v>
      </c>
      <c r="CM97" s="138">
        <v>0</v>
      </c>
      <c r="CN97" s="138">
        <v>0</v>
      </c>
      <c r="CO97" s="86">
        <v>0</v>
      </c>
      <c r="CP97" s="138">
        <v>0</v>
      </c>
      <c r="CQ97" s="138">
        <v>0</v>
      </c>
      <c r="CR97" s="138">
        <v>0</v>
      </c>
      <c r="CS97" s="138">
        <v>0</v>
      </c>
      <c r="CT97" s="138">
        <v>0</v>
      </c>
      <c r="CU97" s="138">
        <v>0</v>
      </c>
      <c r="CV97" s="138">
        <v>0</v>
      </c>
      <c r="CW97" s="138">
        <v>0</v>
      </c>
      <c r="CX97" s="138">
        <v>0</v>
      </c>
      <c r="CY97" s="138">
        <v>0</v>
      </c>
      <c r="CZ97" s="138">
        <v>0</v>
      </c>
      <c r="DA97" s="138">
        <v>0</v>
      </c>
      <c r="DB97" s="86">
        <v>0</v>
      </c>
      <c r="DC97" s="138">
        <v>0</v>
      </c>
      <c r="DD97" s="138">
        <v>0</v>
      </c>
      <c r="DE97" s="138">
        <v>0</v>
      </c>
      <c r="DF97" s="138">
        <v>0</v>
      </c>
      <c r="DG97" s="138">
        <v>0</v>
      </c>
      <c r="DH97" s="138">
        <v>0</v>
      </c>
      <c r="DI97" s="138">
        <v>0</v>
      </c>
      <c r="DJ97" s="138">
        <v>0</v>
      </c>
      <c r="DK97" s="138">
        <v>0</v>
      </c>
      <c r="DL97" s="138">
        <v>0</v>
      </c>
      <c r="DM97" s="138">
        <v>0</v>
      </c>
      <c r="DN97" s="138">
        <v>0</v>
      </c>
      <c r="DO97" s="86">
        <v>0</v>
      </c>
      <c r="DP97" s="138">
        <v>0</v>
      </c>
      <c r="DQ97" s="138">
        <v>0</v>
      </c>
      <c r="DR97" s="138">
        <v>0</v>
      </c>
      <c r="DS97" s="138">
        <v>0</v>
      </c>
      <c r="DT97" s="138">
        <v>0</v>
      </c>
      <c r="DU97" s="138">
        <v>0</v>
      </c>
      <c r="DV97" s="138">
        <v>0</v>
      </c>
      <c r="DW97" s="138">
        <v>0</v>
      </c>
      <c r="DX97" s="138">
        <v>0</v>
      </c>
      <c r="DY97" s="138">
        <v>0</v>
      </c>
      <c r="DZ97" s="138">
        <v>0</v>
      </c>
      <c r="EA97" s="138">
        <v>0</v>
      </c>
      <c r="EB97" s="85">
        <v>0</v>
      </c>
      <c r="EC97" s="87">
        <v>0</v>
      </c>
      <c r="ED97" s="85">
        <v>0</v>
      </c>
      <c r="EE97" s="85">
        <v>0</v>
      </c>
      <c r="EF97" s="85">
        <v>0</v>
      </c>
      <c r="EG97" s="85">
        <v>0</v>
      </c>
      <c r="EH97" s="85">
        <v>0</v>
      </c>
      <c r="EI97" s="85">
        <v>0</v>
      </c>
      <c r="EJ97" s="85">
        <v>0</v>
      </c>
      <c r="EK97" s="85">
        <v>0</v>
      </c>
      <c r="EL97" s="85">
        <v>0</v>
      </c>
      <c r="EM97" s="85">
        <v>0</v>
      </c>
      <c r="EN97" s="85">
        <v>0</v>
      </c>
      <c r="EO97" s="152">
        <v>0</v>
      </c>
      <c r="EP97" s="85">
        <v>0</v>
      </c>
      <c r="EQ97" s="85">
        <v>0</v>
      </c>
      <c r="ER97" s="85">
        <v>0</v>
      </c>
      <c r="ES97" s="85">
        <v>0</v>
      </c>
      <c r="ET97" s="85">
        <v>0</v>
      </c>
      <c r="EU97" s="85">
        <v>0</v>
      </c>
      <c r="EV97" s="85">
        <v>0</v>
      </c>
      <c r="EW97" s="85">
        <v>0</v>
      </c>
      <c r="EX97" s="85">
        <v>0</v>
      </c>
      <c r="EY97" s="85">
        <v>0</v>
      </c>
      <c r="EZ97" s="85">
        <v>0</v>
      </c>
      <c r="FA97" s="85">
        <v>0</v>
      </c>
      <c r="FB97" s="85">
        <v>0</v>
      </c>
      <c r="FC97" s="87">
        <v>0</v>
      </c>
      <c r="FD97" s="85">
        <v>0</v>
      </c>
      <c r="FE97" s="85">
        <v>0</v>
      </c>
      <c r="FF97" s="85">
        <v>0</v>
      </c>
      <c r="FG97" s="85">
        <v>0</v>
      </c>
      <c r="FH97" s="85">
        <v>0</v>
      </c>
      <c r="FI97" s="85">
        <v>0</v>
      </c>
      <c r="FJ97" s="85">
        <v>0</v>
      </c>
      <c r="FK97" s="85">
        <v>0</v>
      </c>
      <c r="FL97" s="85">
        <v>0</v>
      </c>
      <c r="FM97" s="85">
        <v>0</v>
      </c>
      <c r="FN97" s="85">
        <v>0</v>
      </c>
      <c r="FO97" s="86">
        <v>0</v>
      </c>
      <c r="FP97" s="87">
        <v>0</v>
      </c>
      <c r="FQ97" s="85">
        <v>0</v>
      </c>
      <c r="FR97" s="85">
        <v>0</v>
      </c>
      <c r="FS97" s="85">
        <v>0</v>
      </c>
      <c r="FT97" s="85">
        <v>0</v>
      </c>
      <c r="FU97" s="85">
        <v>0</v>
      </c>
      <c r="FV97" s="85">
        <v>0</v>
      </c>
      <c r="FW97" s="85">
        <v>0</v>
      </c>
      <c r="FX97" s="85">
        <v>0</v>
      </c>
      <c r="FY97" s="85">
        <v>0</v>
      </c>
      <c r="FZ97" s="85">
        <v>0</v>
      </c>
      <c r="GA97" s="85">
        <v>0</v>
      </c>
      <c r="GB97" s="152">
        <v>0</v>
      </c>
      <c r="GD97" s="153"/>
    </row>
    <row r="98" spans="1:186">
      <c r="A98" s="137" t="s">
        <v>221</v>
      </c>
      <c r="B98" s="151">
        <v>20299.4779684773</v>
      </c>
      <c r="C98" s="138">
        <f t="shared" si="24"/>
        <v>0</v>
      </c>
      <c r="D98" s="138">
        <f t="shared" si="13"/>
        <v>263.310486066927</v>
      </c>
      <c r="E98" s="138">
        <f t="shared" si="14"/>
        <v>0</v>
      </c>
      <c r="F98" s="138">
        <f t="shared" si="15"/>
        <v>0</v>
      </c>
      <c r="G98" s="138">
        <f t="shared" si="16"/>
        <v>0</v>
      </c>
      <c r="H98" s="138">
        <f t="shared" si="17"/>
        <v>0</v>
      </c>
      <c r="I98" s="138">
        <f t="shared" si="18"/>
        <v>0</v>
      </c>
      <c r="J98" s="138">
        <f t="shared" si="19"/>
        <v>0</v>
      </c>
      <c r="K98" s="138">
        <f t="shared" si="20"/>
        <v>0</v>
      </c>
      <c r="L98" s="138">
        <f t="shared" si="21"/>
        <v>0</v>
      </c>
      <c r="M98" s="138">
        <f t="shared" si="22"/>
        <v>0</v>
      </c>
      <c r="N98" s="138">
        <f t="shared" si="23"/>
        <v>0</v>
      </c>
      <c r="O98" s="86">
        <f t="shared" si="25"/>
        <v>263.310486066927</v>
      </c>
      <c r="P98" s="138">
        <v>0</v>
      </c>
      <c r="Q98" s="138">
        <v>0</v>
      </c>
      <c r="R98" s="138">
        <v>0</v>
      </c>
      <c r="S98" s="138">
        <v>0</v>
      </c>
      <c r="T98" s="138">
        <v>0</v>
      </c>
      <c r="U98" s="138">
        <v>0</v>
      </c>
      <c r="V98" s="138">
        <v>0</v>
      </c>
      <c r="W98" s="138">
        <v>0</v>
      </c>
      <c r="X98" s="138">
        <v>0</v>
      </c>
      <c r="Y98" s="138">
        <v>0</v>
      </c>
      <c r="Z98" s="138">
        <v>0</v>
      </c>
      <c r="AA98" s="138">
        <v>0</v>
      </c>
      <c r="AB98" s="86">
        <v>0</v>
      </c>
      <c r="AC98" s="138">
        <v>0</v>
      </c>
      <c r="AD98" s="138">
        <v>0</v>
      </c>
      <c r="AE98" s="138">
        <v>0</v>
      </c>
      <c r="AF98" s="138">
        <v>0</v>
      </c>
      <c r="AG98" s="138">
        <v>0</v>
      </c>
      <c r="AH98" s="138">
        <v>0</v>
      </c>
      <c r="AI98" s="138">
        <v>0</v>
      </c>
      <c r="AJ98" s="138">
        <v>0</v>
      </c>
      <c r="AK98" s="138">
        <v>0</v>
      </c>
      <c r="AL98" s="138">
        <v>0</v>
      </c>
      <c r="AM98" s="138">
        <v>0</v>
      </c>
      <c r="AN98" s="138">
        <v>0</v>
      </c>
      <c r="AO98" s="86">
        <v>0</v>
      </c>
      <c r="AP98" s="138">
        <v>0</v>
      </c>
      <c r="AQ98" s="138">
        <v>0</v>
      </c>
      <c r="AR98" s="138">
        <v>0</v>
      </c>
      <c r="AS98" s="138">
        <v>0</v>
      </c>
      <c r="AT98" s="138">
        <v>0</v>
      </c>
      <c r="AU98" s="138">
        <v>0</v>
      </c>
      <c r="AV98" s="138">
        <v>0</v>
      </c>
      <c r="AW98" s="138">
        <v>0</v>
      </c>
      <c r="AX98" s="138">
        <v>0</v>
      </c>
      <c r="AY98" s="138">
        <v>0</v>
      </c>
      <c r="AZ98" s="138">
        <v>0</v>
      </c>
      <c r="BA98" s="138">
        <v>0</v>
      </c>
      <c r="BB98" s="86">
        <v>0</v>
      </c>
      <c r="BC98" s="138">
        <v>0</v>
      </c>
      <c r="BD98" s="138">
        <v>0</v>
      </c>
      <c r="BE98" s="138">
        <v>0</v>
      </c>
      <c r="BF98" s="138">
        <v>0</v>
      </c>
      <c r="BG98" s="138">
        <v>0</v>
      </c>
      <c r="BH98" s="138">
        <v>0</v>
      </c>
      <c r="BI98" s="138">
        <v>0</v>
      </c>
      <c r="BJ98" s="138">
        <v>0</v>
      </c>
      <c r="BK98" s="138">
        <v>0</v>
      </c>
      <c r="BL98" s="138">
        <v>0</v>
      </c>
      <c r="BM98" s="138">
        <v>0</v>
      </c>
      <c r="BN98" s="138">
        <v>0</v>
      </c>
      <c r="BO98" s="86">
        <v>0</v>
      </c>
      <c r="BP98" s="138">
        <v>0</v>
      </c>
      <c r="BQ98" s="138">
        <v>0</v>
      </c>
      <c r="BR98" s="138">
        <v>0</v>
      </c>
      <c r="BS98" s="138">
        <v>0</v>
      </c>
      <c r="BT98" s="138">
        <v>0</v>
      </c>
      <c r="BU98" s="138">
        <v>0</v>
      </c>
      <c r="BV98" s="138">
        <v>0</v>
      </c>
      <c r="BW98" s="138">
        <v>0</v>
      </c>
      <c r="BX98" s="138">
        <v>0</v>
      </c>
      <c r="BY98" s="138">
        <v>0</v>
      </c>
      <c r="BZ98" s="138">
        <v>0</v>
      </c>
      <c r="CA98" s="138">
        <v>0</v>
      </c>
      <c r="CB98" s="86">
        <v>0</v>
      </c>
      <c r="CC98" s="138">
        <v>0</v>
      </c>
      <c r="CD98" s="138">
        <v>0</v>
      </c>
      <c r="CE98" s="138">
        <v>0</v>
      </c>
      <c r="CF98" s="138">
        <v>0</v>
      </c>
      <c r="CG98" s="138">
        <v>0</v>
      </c>
      <c r="CH98" s="138">
        <v>0</v>
      </c>
      <c r="CI98" s="138">
        <v>0</v>
      </c>
      <c r="CJ98" s="138">
        <v>0</v>
      </c>
      <c r="CK98" s="138">
        <v>0</v>
      </c>
      <c r="CL98" s="138">
        <v>0</v>
      </c>
      <c r="CM98" s="138">
        <v>0</v>
      </c>
      <c r="CN98" s="138">
        <v>0</v>
      </c>
      <c r="CO98" s="86">
        <v>0</v>
      </c>
      <c r="CP98" s="138">
        <v>0</v>
      </c>
      <c r="CQ98" s="138">
        <v>0</v>
      </c>
      <c r="CR98" s="138">
        <v>0</v>
      </c>
      <c r="CS98" s="138">
        <v>0</v>
      </c>
      <c r="CT98" s="138">
        <v>0</v>
      </c>
      <c r="CU98" s="138">
        <v>0</v>
      </c>
      <c r="CV98" s="138">
        <v>0</v>
      </c>
      <c r="CW98" s="138">
        <v>0</v>
      </c>
      <c r="CX98" s="138">
        <v>0</v>
      </c>
      <c r="CY98" s="138">
        <v>0</v>
      </c>
      <c r="CZ98" s="138">
        <v>0</v>
      </c>
      <c r="DA98" s="138">
        <v>0</v>
      </c>
      <c r="DB98" s="86">
        <v>0</v>
      </c>
      <c r="DC98" s="138">
        <v>0</v>
      </c>
      <c r="DD98" s="138">
        <v>0</v>
      </c>
      <c r="DE98" s="138">
        <v>0</v>
      </c>
      <c r="DF98" s="138">
        <v>0</v>
      </c>
      <c r="DG98" s="138">
        <v>0</v>
      </c>
      <c r="DH98" s="138">
        <v>0</v>
      </c>
      <c r="DI98" s="138">
        <v>0</v>
      </c>
      <c r="DJ98" s="138">
        <v>0</v>
      </c>
      <c r="DK98" s="138">
        <v>0</v>
      </c>
      <c r="DL98" s="138">
        <v>0</v>
      </c>
      <c r="DM98" s="138">
        <v>0</v>
      </c>
      <c r="DN98" s="138">
        <v>0</v>
      </c>
      <c r="DO98" s="86">
        <v>0</v>
      </c>
      <c r="DP98" s="138">
        <v>0</v>
      </c>
      <c r="DQ98" s="138">
        <v>0</v>
      </c>
      <c r="DR98" s="138">
        <v>0</v>
      </c>
      <c r="DS98" s="138">
        <v>0</v>
      </c>
      <c r="DT98" s="138">
        <v>0</v>
      </c>
      <c r="DU98" s="138">
        <v>0</v>
      </c>
      <c r="DV98" s="138">
        <v>0</v>
      </c>
      <c r="DW98" s="138">
        <v>0</v>
      </c>
      <c r="DX98" s="138">
        <v>0</v>
      </c>
      <c r="DY98" s="138">
        <v>0</v>
      </c>
      <c r="DZ98" s="138">
        <v>0</v>
      </c>
      <c r="EA98" s="138">
        <v>0</v>
      </c>
      <c r="EB98" s="85">
        <v>0</v>
      </c>
      <c r="EC98" s="87">
        <v>0</v>
      </c>
      <c r="ED98" s="85">
        <v>0</v>
      </c>
      <c r="EE98" s="85">
        <v>0</v>
      </c>
      <c r="EF98" s="85">
        <v>0</v>
      </c>
      <c r="EG98" s="85">
        <v>0</v>
      </c>
      <c r="EH98" s="85">
        <v>0</v>
      </c>
      <c r="EI98" s="85">
        <v>0</v>
      </c>
      <c r="EJ98" s="85">
        <v>0</v>
      </c>
      <c r="EK98" s="85">
        <v>0</v>
      </c>
      <c r="EL98" s="85">
        <v>0</v>
      </c>
      <c r="EM98" s="85">
        <v>0</v>
      </c>
      <c r="EN98" s="85">
        <v>0</v>
      </c>
      <c r="EO98" s="152">
        <v>0</v>
      </c>
      <c r="EP98" s="85">
        <v>0</v>
      </c>
      <c r="EQ98" s="85">
        <v>0</v>
      </c>
      <c r="ER98" s="85">
        <v>0</v>
      </c>
      <c r="ES98" s="85">
        <v>0</v>
      </c>
      <c r="ET98" s="85">
        <v>0</v>
      </c>
      <c r="EU98" s="85">
        <v>0</v>
      </c>
      <c r="EV98" s="85">
        <v>0</v>
      </c>
      <c r="EW98" s="85">
        <v>0</v>
      </c>
      <c r="EX98" s="85">
        <v>0</v>
      </c>
      <c r="EY98" s="85">
        <v>0</v>
      </c>
      <c r="EZ98" s="85">
        <v>0</v>
      </c>
      <c r="FA98" s="85">
        <v>0</v>
      </c>
      <c r="FB98" s="85">
        <v>0</v>
      </c>
      <c r="FC98" s="87">
        <v>0</v>
      </c>
      <c r="FD98" s="85">
        <v>0</v>
      </c>
      <c r="FE98" s="85">
        <v>0</v>
      </c>
      <c r="FF98" s="85">
        <v>0</v>
      </c>
      <c r="FG98" s="85">
        <v>0</v>
      </c>
      <c r="FH98" s="85">
        <v>0</v>
      </c>
      <c r="FI98" s="85">
        <v>0</v>
      </c>
      <c r="FJ98" s="85">
        <v>0</v>
      </c>
      <c r="FK98" s="85">
        <v>0</v>
      </c>
      <c r="FL98" s="85">
        <v>0</v>
      </c>
      <c r="FM98" s="85">
        <v>0</v>
      </c>
      <c r="FN98" s="85">
        <v>0</v>
      </c>
      <c r="FO98" s="86">
        <v>0</v>
      </c>
      <c r="FP98" s="87">
        <v>0</v>
      </c>
      <c r="FQ98" s="85">
        <v>263.310486066927</v>
      </c>
      <c r="FR98" s="85">
        <v>0</v>
      </c>
      <c r="FS98" s="85">
        <v>0</v>
      </c>
      <c r="FT98" s="85">
        <v>0</v>
      </c>
      <c r="FU98" s="85">
        <v>0</v>
      </c>
      <c r="FV98" s="85">
        <v>0</v>
      </c>
      <c r="FW98" s="85">
        <v>0</v>
      </c>
      <c r="FX98" s="85">
        <v>0</v>
      </c>
      <c r="FY98" s="85">
        <v>0</v>
      </c>
      <c r="FZ98" s="85">
        <v>0</v>
      </c>
      <c r="GA98" s="85">
        <v>0</v>
      </c>
      <c r="GB98" s="152">
        <v>263.310486066927</v>
      </c>
      <c r="GD98" s="153"/>
    </row>
    <row r="99" spans="1:186">
      <c r="A99" s="137" t="s">
        <v>223</v>
      </c>
      <c r="B99" s="151">
        <v>9273.32195528094</v>
      </c>
      <c r="C99" s="138">
        <f t="shared" si="24"/>
        <v>0</v>
      </c>
      <c r="D99" s="138">
        <f t="shared" si="13"/>
        <v>0</v>
      </c>
      <c r="E99" s="138">
        <f t="shared" si="14"/>
        <v>0</v>
      </c>
      <c r="F99" s="138">
        <f t="shared" si="15"/>
        <v>0</v>
      </c>
      <c r="G99" s="138">
        <f t="shared" si="16"/>
        <v>0</v>
      </c>
      <c r="H99" s="138">
        <f t="shared" si="17"/>
        <v>0</v>
      </c>
      <c r="I99" s="138">
        <f t="shared" si="18"/>
        <v>0</v>
      </c>
      <c r="J99" s="138">
        <f t="shared" si="19"/>
        <v>0</v>
      </c>
      <c r="K99" s="138">
        <f t="shared" si="20"/>
        <v>0</v>
      </c>
      <c r="L99" s="138">
        <f t="shared" si="21"/>
        <v>0</v>
      </c>
      <c r="M99" s="138">
        <f t="shared" si="22"/>
        <v>0</v>
      </c>
      <c r="N99" s="138">
        <f t="shared" si="23"/>
        <v>0</v>
      </c>
      <c r="O99" s="86">
        <f t="shared" si="25"/>
        <v>0</v>
      </c>
      <c r="P99" s="138">
        <v>0</v>
      </c>
      <c r="Q99" s="138">
        <v>0</v>
      </c>
      <c r="R99" s="138">
        <v>0</v>
      </c>
      <c r="S99" s="138">
        <v>0</v>
      </c>
      <c r="T99" s="138">
        <v>0</v>
      </c>
      <c r="U99" s="138">
        <v>0</v>
      </c>
      <c r="V99" s="138">
        <v>0</v>
      </c>
      <c r="W99" s="138">
        <v>0</v>
      </c>
      <c r="X99" s="138">
        <v>0</v>
      </c>
      <c r="Y99" s="138">
        <v>0</v>
      </c>
      <c r="Z99" s="138">
        <v>0</v>
      </c>
      <c r="AA99" s="138">
        <v>0</v>
      </c>
      <c r="AB99" s="86">
        <v>0</v>
      </c>
      <c r="AC99" s="138">
        <v>0</v>
      </c>
      <c r="AD99" s="138">
        <v>0</v>
      </c>
      <c r="AE99" s="138">
        <v>0</v>
      </c>
      <c r="AF99" s="138">
        <v>0</v>
      </c>
      <c r="AG99" s="138">
        <v>0</v>
      </c>
      <c r="AH99" s="138">
        <v>0</v>
      </c>
      <c r="AI99" s="138">
        <v>0</v>
      </c>
      <c r="AJ99" s="138">
        <v>0</v>
      </c>
      <c r="AK99" s="138">
        <v>0</v>
      </c>
      <c r="AL99" s="138">
        <v>0</v>
      </c>
      <c r="AM99" s="138">
        <v>0</v>
      </c>
      <c r="AN99" s="138">
        <v>0</v>
      </c>
      <c r="AO99" s="86">
        <v>0</v>
      </c>
      <c r="AP99" s="138">
        <v>0</v>
      </c>
      <c r="AQ99" s="138">
        <v>0</v>
      </c>
      <c r="AR99" s="138">
        <v>0</v>
      </c>
      <c r="AS99" s="138">
        <v>0</v>
      </c>
      <c r="AT99" s="138">
        <v>0</v>
      </c>
      <c r="AU99" s="138">
        <v>0</v>
      </c>
      <c r="AV99" s="138">
        <v>0</v>
      </c>
      <c r="AW99" s="138">
        <v>0</v>
      </c>
      <c r="AX99" s="138">
        <v>0</v>
      </c>
      <c r="AY99" s="138">
        <v>0</v>
      </c>
      <c r="AZ99" s="138">
        <v>0</v>
      </c>
      <c r="BA99" s="138">
        <v>0</v>
      </c>
      <c r="BB99" s="86">
        <v>0</v>
      </c>
      <c r="BC99" s="138">
        <v>0</v>
      </c>
      <c r="BD99" s="138">
        <v>0</v>
      </c>
      <c r="BE99" s="138">
        <v>0</v>
      </c>
      <c r="BF99" s="138">
        <v>0</v>
      </c>
      <c r="BG99" s="138">
        <v>0</v>
      </c>
      <c r="BH99" s="138">
        <v>0</v>
      </c>
      <c r="BI99" s="138">
        <v>0</v>
      </c>
      <c r="BJ99" s="138">
        <v>0</v>
      </c>
      <c r="BK99" s="138">
        <v>0</v>
      </c>
      <c r="BL99" s="138">
        <v>0</v>
      </c>
      <c r="BM99" s="138">
        <v>0</v>
      </c>
      <c r="BN99" s="138">
        <v>0</v>
      </c>
      <c r="BO99" s="86">
        <v>0</v>
      </c>
      <c r="BP99" s="138">
        <v>0</v>
      </c>
      <c r="BQ99" s="138">
        <v>0</v>
      </c>
      <c r="BR99" s="138">
        <v>0</v>
      </c>
      <c r="BS99" s="138">
        <v>0</v>
      </c>
      <c r="BT99" s="138">
        <v>0</v>
      </c>
      <c r="BU99" s="138">
        <v>0</v>
      </c>
      <c r="BV99" s="138">
        <v>0</v>
      </c>
      <c r="BW99" s="138">
        <v>0</v>
      </c>
      <c r="BX99" s="138">
        <v>0</v>
      </c>
      <c r="BY99" s="138">
        <v>0</v>
      </c>
      <c r="BZ99" s="138">
        <v>0</v>
      </c>
      <c r="CA99" s="138">
        <v>0</v>
      </c>
      <c r="CB99" s="86">
        <v>0</v>
      </c>
      <c r="CC99" s="138">
        <v>0</v>
      </c>
      <c r="CD99" s="138">
        <v>0</v>
      </c>
      <c r="CE99" s="138">
        <v>0</v>
      </c>
      <c r="CF99" s="138">
        <v>0</v>
      </c>
      <c r="CG99" s="138">
        <v>0</v>
      </c>
      <c r="CH99" s="138">
        <v>0</v>
      </c>
      <c r="CI99" s="138">
        <v>0</v>
      </c>
      <c r="CJ99" s="138">
        <v>0</v>
      </c>
      <c r="CK99" s="138">
        <v>0</v>
      </c>
      <c r="CL99" s="138">
        <v>0</v>
      </c>
      <c r="CM99" s="138">
        <v>0</v>
      </c>
      <c r="CN99" s="138">
        <v>0</v>
      </c>
      <c r="CO99" s="86">
        <v>0</v>
      </c>
      <c r="CP99" s="138">
        <v>0</v>
      </c>
      <c r="CQ99" s="138">
        <v>0</v>
      </c>
      <c r="CR99" s="138">
        <v>0</v>
      </c>
      <c r="CS99" s="138">
        <v>0</v>
      </c>
      <c r="CT99" s="138">
        <v>0</v>
      </c>
      <c r="CU99" s="138">
        <v>0</v>
      </c>
      <c r="CV99" s="138">
        <v>0</v>
      </c>
      <c r="CW99" s="138">
        <v>0</v>
      </c>
      <c r="CX99" s="138">
        <v>0</v>
      </c>
      <c r="CY99" s="138">
        <v>0</v>
      </c>
      <c r="CZ99" s="138">
        <v>0</v>
      </c>
      <c r="DA99" s="138">
        <v>0</v>
      </c>
      <c r="DB99" s="86">
        <v>0</v>
      </c>
      <c r="DC99" s="138">
        <v>0</v>
      </c>
      <c r="DD99" s="138">
        <v>0</v>
      </c>
      <c r="DE99" s="138">
        <v>0</v>
      </c>
      <c r="DF99" s="138">
        <v>0</v>
      </c>
      <c r="DG99" s="138">
        <v>0</v>
      </c>
      <c r="DH99" s="138">
        <v>0</v>
      </c>
      <c r="DI99" s="138">
        <v>0</v>
      </c>
      <c r="DJ99" s="138">
        <v>0</v>
      </c>
      <c r="DK99" s="138">
        <v>0</v>
      </c>
      <c r="DL99" s="138">
        <v>0</v>
      </c>
      <c r="DM99" s="138">
        <v>0</v>
      </c>
      <c r="DN99" s="138">
        <v>0</v>
      </c>
      <c r="DO99" s="86">
        <v>0</v>
      </c>
      <c r="DP99" s="138">
        <v>0</v>
      </c>
      <c r="DQ99" s="138">
        <v>0</v>
      </c>
      <c r="DR99" s="138">
        <v>0</v>
      </c>
      <c r="DS99" s="138">
        <v>0</v>
      </c>
      <c r="DT99" s="138">
        <v>0</v>
      </c>
      <c r="DU99" s="138">
        <v>0</v>
      </c>
      <c r="DV99" s="138">
        <v>0</v>
      </c>
      <c r="DW99" s="138">
        <v>0</v>
      </c>
      <c r="DX99" s="138">
        <v>0</v>
      </c>
      <c r="DY99" s="138">
        <v>0</v>
      </c>
      <c r="DZ99" s="138">
        <v>0</v>
      </c>
      <c r="EA99" s="138">
        <v>0</v>
      </c>
      <c r="EB99" s="85">
        <v>0</v>
      </c>
      <c r="EC99" s="87">
        <v>0</v>
      </c>
      <c r="ED99" s="85">
        <v>0</v>
      </c>
      <c r="EE99" s="85">
        <v>0</v>
      </c>
      <c r="EF99" s="85">
        <v>0</v>
      </c>
      <c r="EG99" s="85">
        <v>0</v>
      </c>
      <c r="EH99" s="85">
        <v>0</v>
      </c>
      <c r="EI99" s="85">
        <v>0</v>
      </c>
      <c r="EJ99" s="85">
        <v>0</v>
      </c>
      <c r="EK99" s="85">
        <v>0</v>
      </c>
      <c r="EL99" s="85">
        <v>0</v>
      </c>
      <c r="EM99" s="85">
        <v>0</v>
      </c>
      <c r="EN99" s="85">
        <v>0</v>
      </c>
      <c r="EO99" s="152">
        <v>0</v>
      </c>
      <c r="EP99" s="85">
        <v>0</v>
      </c>
      <c r="EQ99" s="85">
        <v>0</v>
      </c>
      <c r="ER99" s="85">
        <v>0</v>
      </c>
      <c r="ES99" s="85">
        <v>0</v>
      </c>
      <c r="ET99" s="85">
        <v>0</v>
      </c>
      <c r="EU99" s="85">
        <v>0</v>
      </c>
      <c r="EV99" s="85">
        <v>0</v>
      </c>
      <c r="EW99" s="85">
        <v>0</v>
      </c>
      <c r="EX99" s="85">
        <v>0</v>
      </c>
      <c r="EY99" s="85">
        <v>0</v>
      </c>
      <c r="EZ99" s="85">
        <v>0</v>
      </c>
      <c r="FA99" s="85">
        <v>0</v>
      </c>
      <c r="FB99" s="85">
        <v>0</v>
      </c>
      <c r="FC99" s="87">
        <v>0</v>
      </c>
      <c r="FD99" s="85">
        <v>0</v>
      </c>
      <c r="FE99" s="85">
        <v>0</v>
      </c>
      <c r="FF99" s="85">
        <v>0</v>
      </c>
      <c r="FG99" s="85">
        <v>0</v>
      </c>
      <c r="FH99" s="85">
        <v>0</v>
      </c>
      <c r="FI99" s="85">
        <v>0</v>
      </c>
      <c r="FJ99" s="85">
        <v>0</v>
      </c>
      <c r="FK99" s="85">
        <v>0</v>
      </c>
      <c r="FL99" s="85">
        <v>0</v>
      </c>
      <c r="FM99" s="85">
        <v>0</v>
      </c>
      <c r="FN99" s="85">
        <v>0</v>
      </c>
      <c r="FO99" s="86">
        <v>0</v>
      </c>
      <c r="FP99" s="87">
        <v>0</v>
      </c>
      <c r="FQ99" s="85">
        <v>0</v>
      </c>
      <c r="FR99" s="85">
        <v>0</v>
      </c>
      <c r="FS99" s="85">
        <v>0</v>
      </c>
      <c r="FT99" s="85">
        <v>0</v>
      </c>
      <c r="FU99" s="85">
        <v>0</v>
      </c>
      <c r="FV99" s="85">
        <v>0</v>
      </c>
      <c r="FW99" s="85">
        <v>0</v>
      </c>
      <c r="FX99" s="85">
        <v>0</v>
      </c>
      <c r="FY99" s="85">
        <v>0</v>
      </c>
      <c r="FZ99" s="85">
        <v>0</v>
      </c>
      <c r="GA99" s="85">
        <v>0</v>
      </c>
      <c r="GB99" s="152">
        <v>0</v>
      </c>
      <c r="GD99" s="153"/>
    </row>
    <row r="100" spans="1:186">
      <c r="A100" s="137" t="s">
        <v>225</v>
      </c>
      <c r="B100" s="151">
        <v>26068.5703242488</v>
      </c>
      <c r="C100" s="138">
        <f t="shared" si="24"/>
        <v>377.161172467698</v>
      </c>
      <c r="D100" s="138">
        <f t="shared" si="13"/>
        <v>1060.07784050088</v>
      </c>
      <c r="E100" s="138">
        <f t="shared" si="14"/>
        <v>357.727438544202</v>
      </c>
      <c r="F100" s="138">
        <f t="shared" si="15"/>
        <v>0</v>
      </c>
      <c r="G100" s="138">
        <f t="shared" si="16"/>
        <v>186.299326855837</v>
      </c>
      <c r="H100" s="138">
        <f t="shared" si="17"/>
        <v>0</v>
      </c>
      <c r="I100" s="138">
        <f t="shared" si="18"/>
        <v>0</v>
      </c>
      <c r="J100" s="138">
        <f t="shared" si="19"/>
        <v>0</v>
      </c>
      <c r="K100" s="138">
        <f t="shared" si="20"/>
        <v>0</v>
      </c>
      <c r="L100" s="138">
        <f t="shared" si="21"/>
        <v>0</v>
      </c>
      <c r="M100" s="138">
        <f t="shared" si="22"/>
        <v>0</v>
      </c>
      <c r="N100" s="138">
        <f t="shared" si="23"/>
        <v>0</v>
      </c>
      <c r="O100" s="86">
        <f t="shared" si="25"/>
        <v>1981.26577836862</v>
      </c>
      <c r="P100" s="138">
        <v>0</v>
      </c>
      <c r="Q100" s="138">
        <v>0</v>
      </c>
      <c r="R100" s="138">
        <v>0</v>
      </c>
      <c r="S100" s="138">
        <v>0</v>
      </c>
      <c r="T100" s="138">
        <v>0</v>
      </c>
      <c r="U100" s="138">
        <v>0</v>
      </c>
      <c r="V100" s="138">
        <v>0</v>
      </c>
      <c r="W100" s="138">
        <v>0</v>
      </c>
      <c r="X100" s="138">
        <v>0</v>
      </c>
      <c r="Y100" s="138">
        <v>0</v>
      </c>
      <c r="Z100" s="138">
        <v>0</v>
      </c>
      <c r="AA100" s="138">
        <v>0</v>
      </c>
      <c r="AB100" s="86">
        <v>0</v>
      </c>
      <c r="AC100" s="138">
        <v>0</v>
      </c>
      <c r="AD100" s="138">
        <v>0</v>
      </c>
      <c r="AE100" s="138">
        <v>0</v>
      </c>
      <c r="AF100" s="138">
        <v>0</v>
      </c>
      <c r="AG100" s="138">
        <v>0</v>
      </c>
      <c r="AH100" s="138">
        <v>0</v>
      </c>
      <c r="AI100" s="138">
        <v>0</v>
      </c>
      <c r="AJ100" s="138">
        <v>0</v>
      </c>
      <c r="AK100" s="138">
        <v>0</v>
      </c>
      <c r="AL100" s="138">
        <v>0</v>
      </c>
      <c r="AM100" s="138">
        <v>0</v>
      </c>
      <c r="AN100" s="138">
        <v>0</v>
      </c>
      <c r="AO100" s="86">
        <v>0</v>
      </c>
      <c r="AP100" s="138">
        <v>0</v>
      </c>
      <c r="AQ100" s="138">
        <v>0</v>
      </c>
      <c r="AR100" s="138">
        <v>0</v>
      </c>
      <c r="AS100" s="138">
        <v>0</v>
      </c>
      <c r="AT100" s="138">
        <v>0</v>
      </c>
      <c r="AU100" s="138">
        <v>0</v>
      </c>
      <c r="AV100" s="138">
        <v>0</v>
      </c>
      <c r="AW100" s="138">
        <v>0</v>
      </c>
      <c r="AX100" s="138">
        <v>0</v>
      </c>
      <c r="AY100" s="138">
        <v>0</v>
      </c>
      <c r="AZ100" s="138">
        <v>0</v>
      </c>
      <c r="BA100" s="138">
        <v>0</v>
      </c>
      <c r="BB100" s="86">
        <v>0</v>
      </c>
      <c r="BC100" s="138">
        <v>0</v>
      </c>
      <c r="BD100" s="138">
        <v>0</v>
      </c>
      <c r="BE100" s="138">
        <v>0</v>
      </c>
      <c r="BF100" s="138">
        <v>0</v>
      </c>
      <c r="BG100" s="138">
        <v>0</v>
      </c>
      <c r="BH100" s="138">
        <v>0</v>
      </c>
      <c r="BI100" s="138">
        <v>0</v>
      </c>
      <c r="BJ100" s="138">
        <v>0</v>
      </c>
      <c r="BK100" s="138">
        <v>0</v>
      </c>
      <c r="BL100" s="138">
        <v>0</v>
      </c>
      <c r="BM100" s="138">
        <v>0</v>
      </c>
      <c r="BN100" s="138">
        <v>0</v>
      </c>
      <c r="BO100" s="86">
        <v>0</v>
      </c>
      <c r="BP100" s="138">
        <v>0</v>
      </c>
      <c r="BQ100" s="138">
        <v>0</v>
      </c>
      <c r="BR100" s="138">
        <v>0</v>
      </c>
      <c r="BS100" s="138">
        <v>0</v>
      </c>
      <c r="BT100" s="138">
        <v>0</v>
      </c>
      <c r="BU100" s="138">
        <v>0</v>
      </c>
      <c r="BV100" s="138">
        <v>0</v>
      </c>
      <c r="BW100" s="138">
        <v>0</v>
      </c>
      <c r="BX100" s="138">
        <v>0</v>
      </c>
      <c r="BY100" s="138">
        <v>0</v>
      </c>
      <c r="BZ100" s="138">
        <v>0</v>
      </c>
      <c r="CA100" s="138">
        <v>0</v>
      </c>
      <c r="CB100" s="86">
        <v>0</v>
      </c>
      <c r="CC100" s="138">
        <v>0</v>
      </c>
      <c r="CD100" s="138">
        <v>0</v>
      </c>
      <c r="CE100" s="138">
        <v>0</v>
      </c>
      <c r="CF100" s="138">
        <v>0</v>
      </c>
      <c r="CG100" s="138">
        <v>0</v>
      </c>
      <c r="CH100" s="138">
        <v>0</v>
      </c>
      <c r="CI100" s="138">
        <v>0</v>
      </c>
      <c r="CJ100" s="138">
        <v>0</v>
      </c>
      <c r="CK100" s="138">
        <v>0</v>
      </c>
      <c r="CL100" s="138">
        <v>0</v>
      </c>
      <c r="CM100" s="138">
        <v>0</v>
      </c>
      <c r="CN100" s="138">
        <v>0</v>
      </c>
      <c r="CO100" s="86">
        <v>0</v>
      </c>
      <c r="CP100" s="138">
        <v>87.8227884264378</v>
      </c>
      <c r="CQ100" s="138">
        <v>965.4717822454</v>
      </c>
      <c r="CR100" s="138">
        <v>85.042581059412</v>
      </c>
      <c r="CS100" s="138">
        <v>0</v>
      </c>
      <c r="CT100" s="138">
        <v>0</v>
      </c>
      <c r="CU100" s="138">
        <v>0</v>
      </c>
      <c r="CV100" s="138">
        <v>0</v>
      </c>
      <c r="CW100" s="138">
        <v>0</v>
      </c>
      <c r="CX100" s="138">
        <v>0</v>
      </c>
      <c r="CY100" s="138">
        <v>0</v>
      </c>
      <c r="CZ100" s="138">
        <v>0</v>
      </c>
      <c r="DA100" s="138">
        <v>0</v>
      </c>
      <c r="DB100" s="86">
        <v>1138.33715173125</v>
      </c>
      <c r="DC100" s="138">
        <v>289.33838404126</v>
      </c>
      <c r="DD100" s="138">
        <v>94.6060582554787</v>
      </c>
      <c r="DE100" s="138">
        <v>272.68485748479</v>
      </c>
      <c r="DF100" s="138">
        <v>0</v>
      </c>
      <c r="DG100" s="138">
        <v>186.299326855837</v>
      </c>
      <c r="DH100" s="138">
        <v>0</v>
      </c>
      <c r="DI100" s="138">
        <v>0</v>
      </c>
      <c r="DJ100" s="138">
        <v>0</v>
      </c>
      <c r="DK100" s="138">
        <v>0</v>
      </c>
      <c r="DL100" s="138">
        <v>0</v>
      </c>
      <c r="DM100" s="138">
        <v>0</v>
      </c>
      <c r="DN100" s="138">
        <v>0</v>
      </c>
      <c r="DO100" s="86">
        <v>842.928626637366</v>
      </c>
      <c r="DP100" s="138">
        <v>0</v>
      </c>
      <c r="DQ100" s="138">
        <v>0</v>
      </c>
      <c r="DR100" s="138">
        <v>0</v>
      </c>
      <c r="DS100" s="138">
        <v>0</v>
      </c>
      <c r="DT100" s="138">
        <v>0</v>
      </c>
      <c r="DU100" s="138">
        <v>0</v>
      </c>
      <c r="DV100" s="138">
        <v>0</v>
      </c>
      <c r="DW100" s="138">
        <v>0</v>
      </c>
      <c r="DX100" s="138">
        <v>0</v>
      </c>
      <c r="DY100" s="138">
        <v>0</v>
      </c>
      <c r="DZ100" s="138">
        <v>0</v>
      </c>
      <c r="EA100" s="138">
        <v>0</v>
      </c>
      <c r="EB100" s="85">
        <v>0</v>
      </c>
      <c r="EC100" s="87">
        <v>0</v>
      </c>
      <c r="ED100" s="85">
        <v>0</v>
      </c>
      <c r="EE100" s="85">
        <v>0</v>
      </c>
      <c r="EF100" s="85">
        <v>0</v>
      </c>
      <c r="EG100" s="85">
        <v>0</v>
      </c>
      <c r="EH100" s="85">
        <v>0</v>
      </c>
      <c r="EI100" s="85">
        <v>0</v>
      </c>
      <c r="EJ100" s="85">
        <v>0</v>
      </c>
      <c r="EK100" s="85">
        <v>0</v>
      </c>
      <c r="EL100" s="85">
        <v>0</v>
      </c>
      <c r="EM100" s="85">
        <v>0</v>
      </c>
      <c r="EN100" s="85">
        <v>0</v>
      </c>
      <c r="EO100" s="152">
        <v>0</v>
      </c>
      <c r="EP100" s="85">
        <v>0</v>
      </c>
      <c r="EQ100" s="85">
        <v>0</v>
      </c>
      <c r="ER100" s="85">
        <v>0</v>
      </c>
      <c r="ES100" s="85">
        <v>0</v>
      </c>
      <c r="ET100" s="85">
        <v>0</v>
      </c>
      <c r="EU100" s="85">
        <v>0</v>
      </c>
      <c r="EV100" s="85">
        <v>0</v>
      </c>
      <c r="EW100" s="85">
        <v>0</v>
      </c>
      <c r="EX100" s="85">
        <v>0</v>
      </c>
      <c r="EY100" s="85">
        <v>0</v>
      </c>
      <c r="EZ100" s="85">
        <v>0</v>
      </c>
      <c r="FA100" s="85">
        <v>0</v>
      </c>
      <c r="FB100" s="85">
        <v>0</v>
      </c>
      <c r="FC100" s="87">
        <v>0</v>
      </c>
      <c r="FD100" s="85">
        <v>0</v>
      </c>
      <c r="FE100" s="85">
        <v>0</v>
      </c>
      <c r="FF100" s="85">
        <v>0</v>
      </c>
      <c r="FG100" s="85">
        <v>0</v>
      </c>
      <c r="FH100" s="85">
        <v>0</v>
      </c>
      <c r="FI100" s="85">
        <v>0</v>
      </c>
      <c r="FJ100" s="85">
        <v>0</v>
      </c>
      <c r="FK100" s="85">
        <v>0</v>
      </c>
      <c r="FL100" s="85">
        <v>0</v>
      </c>
      <c r="FM100" s="85">
        <v>0</v>
      </c>
      <c r="FN100" s="85">
        <v>0</v>
      </c>
      <c r="FO100" s="86">
        <v>0</v>
      </c>
      <c r="FP100" s="87">
        <v>0</v>
      </c>
      <c r="FQ100" s="85">
        <v>0</v>
      </c>
      <c r="FR100" s="85">
        <v>0</v>
      </c>
      <c r="FS100" s="85">
        <v>0</v>
      </c>
      <c r="FT100" s="85">
        <v>0</v>
      </c>
      <c r="FU100" s="85">
        <v>0</v>
      </c>
      <c r="FV100" s="85">
        <v>0</v>
      </c>
      <c r="FW100" s="85">
        <v>0</v>
      </c>
      <c r="FX100" s="85">
        <v>0</v>
      </c>
      <c r="FY100" s="85">
        <v>0</v>
      </c>
      <c r="FZ100" s="85">
        <v>0</v>
      </c>
      <c r="GA100" s="85">
        <v>0</v>
      </c>
      <c r="GB100" s="152">
        <v>0</v>
      </c>
      <c r="GD100" s="153"/>
    </row>
    <row r="101" spans="1:186">
      <c r="A101" s="137" t="s">
        <v>227</v>
      </c>
      <c r="B101" s="151">
        <v>22043.9682181704</v>
      </c>
      <c r="C101" s="138">
        <f t="shared" si="24"/>
        <v>453.681754486436</v>
      </c>
      <c r="D101" s="138">
        <f t="shared" si="13"/>
        <v>849.578465337628</v>
      </c>
      <c r="E101" s="138">
        <f t="shared" si="14"/>
        <v>378.670698435688</v>
      </c>
      <c r="F101" s="138">
        <f t="shared" si="15"/>
        <v>374.621993369209</v>
      </c>
      <c r="G101" s="138">
        <f t="shared" si="16"/>
        <v>0</v>
      </c>
      <c r="H101" s="138">
        <f t="shared" si="17"/>
        <v>0</v>
      </c>
      <c r="I101" s="138">
        <f t="shared" si="18"/>
        <v>0</v>
      </c>
      <c r="J101" s="138">
        <f t="shared" si="19"/>
        <v>0</v>
      </c>
      <c r="K101" s="138">
        <f t="shared" si="20"/>
        <v>0</v>
      </c>
      <c r="L101" s="138">
        <f t="shared" si="21"/>
        <v>0</v>
      </c>
      <c r="M101" s="138">
        <f t="shared" si="22"/>
        <v>0</v>
      </c>
      <c r="N101" s="138">
        <f t="shared" si="23"/>
        <v>0</v>
      </c>
      <c r="O101" s="86">
        <f t="shared" si="25"/>
        <v>2056.55291162896</v>
      </c>
      <c r="P101" s="138">
        <v>66.761076269472</v>
      </c>
      <c r="Q101" s="138">
        <v>0</v>
      </c>
      <c r="R101" s="138">
        <v>0</v>
      </c>
      <c r="S101" s="138">
        <v>0</v>
      </c>
      <c r="T101" s="138">
        <v>0</v>
      </c>
      <c r="U101" s="138">
        <v>0</v>
      </c>
      <c r="V101" s="138">
        <v>0</v>
      </c>
      <c r="W101" s="138">
        <v>0</v>
      </c>
      <c r="X101" s="138">
        <v>0</v>
      </c>
      <c r="Y101" s="138">
        <v>0</v>
      </c>
      <c r="Z101" s="138">
        <v>0</v>
      </c>
      <c r="AA101" s="138">
        <v>0</v>
      </c>
      <c r="AB101" s="86">
        <v>66.761076269472</v>
      </c>
      <c r="AC101" s="138">
        <v>0</v>
      </c>
      <c r="AD101" s="138">
        <v>0</v>
      </c>
      <c r="AE101" s="138">
        <v>0</v>
      </c>
      <c r="AF101" s="138">
        <v>0</v>
      </c>
      <c r="AG101" s="138">
        <v>0</v>
      </c>
      <c r="AH101" s="138">
        <v>0</v>
      </c>
      <c r="AI101" s="138">
        <v>0</v>
      </c>
      <c r="AJ101" s="138">
        <v>0</v>
      </c>
      <c r="AK101" s="138">
        <v>0</v>
      </c>
      <c r="AL101" s="138">
        <v>0</v>
      </c>
      <c r="AM101" s="138">
        <v>0</v>
      </c>
      <c r="AN101" s="138">
        <v>0</v>
      </c>
      <c r="AO101" s="86">
        <v>0</v>
      </c>
      <c r="AP101" s="138">
        <v>0</v>
      </c>
      <c r="AQ101" s="138">
        <v>0</v>
      </c>
      <c r="AR101" s="138">
        <v>0</v>
      </c>
      <c r="AS101" s="138">
        <v>0</v>
      </c>
      <c r="AT101" s="138">
        <v>0</v>
      </c>
      <c r="AU101" s="138">
        <v>0</v>
      </c>
      <c r="AV101" s="138">
        <v>0</v>
      </c>
      <c r="AW101" s="138">
        <v>0</v>
      </c>
      <c r="AX101" s="138">
        <v>0</v>
      </c>
      <c r="AY101" s="138">
        <v>0</v>
      </c>
      <c r="AZ101" s="138">
        <v>0</v>
      </c>
      <c r="BA101" s="138">
        <v>0</v>
      </c>
      <c r="BB101" s="86">
        <v>0</v>
      </c>
      <c r="BC101" s="138">
        <v>0</v>
      </c>
      <c r="BD101" s="138">
        <v>596.002449852603</v>
      </c>
      <c r="BE101" s="138">
        <v>0</v>
      </c>
      <c r="BF101" s="138">
        <v>0</v>
      </c>
      <c r="BG101" s="138">
        <v>0</v>
      </c>
      <c r="BH101" s="138">
        <v>0</v>
      </c>
      <c r="BI101" s="138">
        <v>0</v>
      </c>
      <c r="BJ101" s="138">
        <v>0</v>
      </c>
      <c r="BK101" s="138">
        <v>0</v>
      </c>
      <c r="BL101" s="138">
        <v>0</v>
      </c>
      <c r="BM101" s="138">
        <v>0</v>
      </c>
      <c r="BN101" s="138">
        <v>0</v>
      </c>
      <c r="BO101" s="86">
        <v>596.002449852603</v>
      </c>
      <c r="BP101" s="138">
        <v>0</v>
      </c>
      <c r="BQ101" s="138">
        <v>0</v>
      </c>
      <c r="BR101" s="138">
        <v>0</v>
      </c>
      <c r="BS101" s="138">
        <v>0</v>
      </c>
      <c r="BT101" s="138">
        <v>0</v>
      </c>
      <c r="BU101" s="138">
        <v>0</v>
      </c>
      <c r="BV101" s="138">
        <v>0</v>
      </c>
      <c r="BW101" s="138">
        <v>0</v>
      </c>
      <c r="BX101" s="138">
        <v>0</v>
      </c>
      <c r="BY101" s="138">
        <v>0</v>
      </c>
      <c r="BZ101" s="138">
        <v>0</v>
      </c>
      <c r="CA101" s="138">
        <v>0</v>
      </c>
      <c r="CB101" s="86">
        <v>0</v>
      </c>
      <c r="CC101" s="138">
        <v>386.920678216964</v>
      </c>
      <c r="CD101" s="138">
        <v>253.576015485025</v>
      </c>
      <c r="CE101" s="138">
        <v>378.670698435688</v>
      </c>
      <c r="CF101" s="138">
        <v>374.621993369209</v>
      </c>
      <c r="CG101" s="138">
        <v>0</v>
      </c>
      <c r="CH101" s="138">
        <v>0</v>
      </c>
      <c r="CI101" s="138">
        <v>0</v>
      </c>
      <c r="CJ101" s="138">
        <v>0</v>
      </c>
      <c r="CK101" s="138">
        <v>0</v>
      </c>
      <c r="CL101" s="138">
        <v>0</v>
      </c>
      <c r="CM101" s="138">
        <v>0</v>
      </c>
      <c r="CN101" s="138">
        <v>0</v>
      </c>
      <c r="CO101" s="86">
        <v>1393.78938550689</v>
      </c>
      <c r="CP101" s="138">
        <v>0</v>
      </c>
      <c r="CQ101" s="138">
        <v>0</v>
      </c>
      <c r="CR101" s="138">
        <v>0</v>
      </c>
      <c r="CS101" s="138">
        <v>0</v>
      </c>
      <c r="CT101" s="138">
        <v>0</v>
      </c>
      <c r="CU101" s="138">
        <v>0</v>
      </c>
      <c r="CV101" s="138">
        <v>0</v>
      </c>
      <c r="CW101" s="138">
        <v>0</v>
      </c>
      <c r="CX101" s="138">
        <v>0</v>
      </c>
      <c r="CY101" s="138">
        <v>0</v>
      </c>
      <c r="CZ101" s="138">
        <v>0</v>
      </c>
      <c r="DA101" s="138">
        <v>0</v>
      </c>
      <c r="DB101" s="86">
        <v>0</v>
      </c>
      <c r="DC101" s="138">
        <v>0</v>
      </c>
      <c r="DD101" s="138">
        <v>0</v>
      </c>
      <c r="DE101" s="138">
        <v>0</v>
      </c>
      <c r="DF101" s="138">
        <v>0</v>
      </c>
      <c r="DG101" s="138">
        <v>0</v>
      </c>
      <c r="DH101" s="138">
        <v>0</v>
      </c>
      <c r="DI101" s="138">
        <v>0</v>
      </c>
      <c r="DJ101" s="138">
        <v>0</v>
      </c>
      <c r="DK101" s="138">
        <v>0</v>
      </c>
      <c r="DL101" s="138">
        <v>0</v>
      </c>
      <c r="DM101" s="138">
        <v>0</v>
      </c>
      <c r="DN101" s="138">
        <v>0</v>
      </c>
      <c r="DO101" s="86">
        <v>0</v>
      </c>
      <c r="DP101" s="138">
        <v>0</v>
      </c>
      <c r="DQ101" s="138">
        <v>0</v>
      </c>
      <c r="DR101" s="138">
        <v>0</v>
      </c>
      <c r="DS101" s="138">
        <v>0</v>
      </c>
      <c r="DT101" s="138">
        <v>0</v>
      </c>
      <c r="DU101" s="138">
        <v>0</v>
      </c>
      <c r="DV101" s="138">
        <v>0</v>
      </c>
      <c r="DW101" s="138">
        <v>0</v>
      </c>
      <c r="DX101" s="138">
        <v>0</v>
      </c>
      <c r="DY101" s="138">
        <v>0</v>
      </c>
      <c r="DZ101" s="138">
        <v>0</v>
      </c>
      <c r="EA101" s="138">
        <v>0</v>
      </c>
      <c r="EB101" s="85">
        <v>0</v>
      </c>
      <c r="EC101" s="87">
        <v>0</v>
      </c>
      <c r="ED101" s="85">
        <v>0</v>
      </c>
      <c r="EE101" s="85">
        <v>0</v>
      </c>
      <c r="EF101" s="85">
        <v>0</v>
      </c>
      <c r="EG101" s="85">
        <v>0</v>
      </c>
      <c r="EH101" s="85">
        <v>0</v>
      </c>
      <c r="EI101" s="85">
        <v>0</v>
      </c>
      <c r="EJ101" s="85">
        <v>0</v>
      </c>
      <c r="EK101" s="85">
        <v>0</v>
      </c>
      <c r="EL101" s="85">
        <v>0</v>
      </c>
      <c r="EM101" s="85">
        <v>0</v>
      </c>
      <c r="EN101" s="85">
        <v>0</v>
      </c>
      <c r="EO101" s="152">
        <v>0</v>
      </c>
      <c r="EP101" s="85">
        <v>0</v>
      </c>
      <c r="EQ101" s="85">
        <v>0</v>
      </c>
      <c r="ER101" s="85">
        <v>0</v>
      </c>
      <c r="ES101" s="85">
        <v>0</v>
      </c>
      <c r="ET101" s="85">
        <v>0</v>
      </c>
      <c r="EU101" s="85">
        <v>0</v>
      </c>
      <c r="EV101" s="85">
        <v>0</v>
      </c>
      <c r="EW101" s="85">
        <v>0</v>
      </c>
      <c r="EX101" s="85">
        <v>0</v>
      </c>
      <c r="EY101" s="85">
        <v>0</v>
      </c>
      <c r="EZ101" s="85">
        <v>0</v>
      </c>
      <c r="FA101" s="85">
        <v>0</v>
      </c>
      <c r="FB101" s="85">
        <v>0</v>
      </c>
      <c r="FC101" s="87">
        <v>0</v>
      </c>
      <c r="FD101" s="85">
        <v>0</v>
      </c>
      <c r="FE101" s="85">
        <v>0</v>
      </c>
      <c r="FF101" s="85">
        <v>0</v>
      </c>
      <c r="FG101" s="85">
        <v>0</v>
      </c>
      <c r="FH101" s="85">
        <v>0</v>
      </c>
      <c r="FI101" s="85">
        <v>0</v>
      </c>
      <c r="FJ101" s="85">
        <v>0</v>
      </c>
      <c r="FK101" s="85">
        <v>0</v>
      </c>
      <c r="FL101" s="85">
        <v>0</v>
      </c>
      <c r="FM101" s="85">
        <v>0</v>
      </c>
      <c r="FN101" s="85">
        <v>0</v>
      </c>
      <c r="FO101" s="86">
        <v>0</v>
      </c>
      <c r="FP101" s="87">
        <v>0</v>
      </c>
      <c r="FQ101" s="85">
        <v>0</v>
      </c>
      <c r="FR101" s="85">
        <v>0</v>
      </c>
      <c r="FS101" s="85">
        <v>0</v>
      </c>
      <c r="FT101" s="85">
        <v>0</v>
      </c>
      <c r="FU101" s="85">
        <v>0</v>
      </c>
      <c r="FV101" s="85">
        <v>0</v>
      </c>
      <c r="FW101" s="85">
        <v>0</v>
      </c>
      <c r="FX101" s="85">
        <v>0</v>
      </c>
      <c r="FY101" s="85">
        <v>0</v>
      </c>
      <c r="FZ101" s="85">
        <v>0</v>
      </c>
      <c r="GA101" s="85">
        <v>0</v>
      </c>
      <c r="GB101" s="152">
        <v>0</v>
      </c>
      <c r="GD101" s="153"/>
    </row>
    <row r="102" spans="1:186">
      <c r="A102" s="137" t="s">
        <v>229</v>
      </c>
      <c r="B102" s="151">
        <v>5975.57145275281</v>
      </c>
      <c r="C102" s="138">
        <f t="shared" si="24"/>
        <v>0</v>
      </c>
      <c r="D102" s="138">
        <f t="shared" si="13"/>
        <v>0</v>
      </c>
      <c r="E102" s="138">
        <f t="shared" si="14"/>
        <v>0</v>
      </c>
      <c r="F102" s="138">
        <f t="shared" si="15"/>
        <v>0</v>
      </c>
      <c r="G102" s="138">
        <f t="shared" si="16"/>
        <v>0</v>
      </c>
      <c r="H102" s="138">
        <f t="shared" si="17"/>
        <v>0</v>
      </c>
      <c r="I102" s="138">
        <f t="shared" si="18"/>
        <v>0</v>
      </c>
      <c r="J102" s="138">
        <f t="shared" si="19"/>
        <v>0</v>
      </c>
      <c r="K102" s="138">
        <f t="shared" si="20"/>
        <v>0</v>
      </c>
      <c r="L102" s="138">
        <f t="shared" si="21"/>
        <v>0</v>
      </c>
      <c r="M102" s="138">
        <f t="shared" si="22"/>
        <v>0</v>
      </c>
      <c r="N102" s="138">
        <f t="shared" si="23"/>
        <v>0</v>
      </c>
      <c r="O102" s="86">
        <f t="shared" si="25"/>
        <v>0</v>
      </c>
      <c r="P102" s="138">
        <v>0</v>
      </c>
      <c r="Q102" s="138">
        <v>0</v>
      </c>
      <c r="R102" s="138">
        <v>0</v>
      </c>
      <c r="S102" s="138">
        <v>0</v>
      </c>
      <c r="T102" s="138">
        <v>0</v>
      </c>
      <c r="U102" s="138">
        <v>0</v>
      </c>
      <c r="V102" s="138">
        <v>0</v>
      </c>
      <c r="W102" s="138">
        <v>0</v>
      </c>
      <c r="X102" s="138">
        <v>0</v>
      </c>
      <c r="Y102" s="138">
        <v>0</v>
      </c>
      <c r="Z102" s="138">
        <v>0</v>
      </c>
      <c r="AA102" s="138">
        <v>0</v>
      </c>
      <c r="AB102" s="86">
        <v>0</v>
      </c>
      <c r="AC102" s="138">
        <v>0</v>
      </c>
      <c r="AD102" s="138">
        <v>0</v>
      </c>
      <c r="AE102" s="138">
        <v>0</v>
      </c>
      <c r="AF102" s="138">
        <v>0</v>
      </c>
      <c r="AG102" s="138">
        <v>0</v>
      </c>
      <c r="AH102" s="138">
        <v>0</v>
      </c>
      <c r="AI102" s="138">
        <v>0</v>
      </c>
      <c r="AJ102" s="138">
        <v>0</v>
      </c>
      <c r="AK102" s="138">
        <v>0</v>
      </c>
      <c r="AL102" s="138">
        <v>0</v>
      </c>
      <c r="AM102" s="138">
        <v>0</v>
      </c>
      <c r="AN102" s="138">
        <v>0</v>
      </c>
      <c r="AO102" s="86">
        <v>0</v>
      </c>
      <c r="AP102" s="138">
        <v>0</v>
      </c>
      <c r="AQ102" s="138">
        <v>0</v>
      </c>
      <c r="AR102" s="138">
        <v>0</v>
      </c>
      <c r="AS102" s="138">
        <v>0</v>
      </c>
      <c r="AT102" s="138">
        <v>0</v>
      </c>
      <c r="AU102" s="138">
        <v>0</v>
      </c>
      <c r="AV102" s="138">
        <v>0</v>
      </c>
      <c r="AW102" s="138">
        <v>0</v>
      </c>
      <c r="AX102" s="138">
        <v>0</v>
      </c>
      <c r="AY102" s="138">
        <v>0</v>
      </c>
      <c r="AZ102" s="138">
        <v>0</v>
      </c>
      <c r="BA102" s="138">
        <v>0</v>
      </c>
      <c r="BB102" s="86">
        <v>0</v>
      </c>
      <c r="BC102" s="138">
        <v>0</v>
      </c>
      <c r="BD102" s="138">
        <v>0</v>
      </c>
      <c r="BE102" s="138">
        <v>0</v>
      </c>
      <c r="BF102" s="138">
        <v>0</v>
      </c>
      <c r="BG102" s="138">
        <v>0</v>
      </c>
      <c r="BH102" s="138">
        <v>0</v>
      </c>
      <c r="BI102" s="138">
        <v>0</v>
      </c>
      <c r="BJ102" s="138">
        <v>0</v>
      </c>
      <c r="BK102" s="138">
        <v>0</v>
      </c>
      <c r="BL102" s="138">
        <v>0</v>
      </c>
      <c r="BM102" s="138">
        <v>0</v>
      </c>
      <c r="BN102" s="138">
        <v>0</v>
      </c>
      <c r="BO102" s="86">
        <v>0</v>
      </c>
      <c r="BP102" s="138">
        <v>0</v>
      </c>
      <c r="BQ102" s="138">
        <v>0</v>
      </c>
      <c r="BR102" s="138">
        <v>0</v>
      </c>
      <c r="BS102" s="138">
        <v>0</v>
      </c>
      <c r="BT102" s="138">
        <v>0</v>
      </c>
      <c r="BU102" s="138">
        <v>0</v>
      </c>
      <c r="BV102" s="138">
        <v>0</v>
      </c>
      <c r="BW102" s="138">
        <v>0</v>
      </c>
      <c r="BX102" s="138">
        <v>0</v>
      </c>
      <c r="BY102" s="138">
        <v>0</v>
      </c>
      <c r="BZ102" s="138">
        <v>0</v>
      </c>
      <c r="CA102" s="138">
        <v>0</v>
      </c>
      <c r="CB102" s="86">
        <v>0</v>
      </c>
      <c r="CC102" s="138">
        <v>0</v>
      </c>
      <c r="CD102" s="138">
        <v>0</v>
      </c>
      <c r="CE102" s="138">
        <v>0</v>
      </c>
      <c r="CF102" s="138">
        <v>0</v>
      </c>
      <c r="CG102" s="138">
        <v>0</v>
      </c>
      <c r="CH102" s="138">
        <v>0</v>
      </c>
      <c r="CI102" s="138">
        <v>0</v>
      </c>
      <c r="CJ102" s="138">
        <v>0</v>
      </c>
      <c r="CK102" s="138">
        <v>0</v>
      </c>
      <c r="CL102" s="138">
        <v>0</v>
      </c>
      <c r="CM102" s="138">
        <v>0</v>
      </c>
      <c r="CN102" s="138">
        <v>0</v>
      </c>
      <c r="CO102" s="86">
        <v>0</v>
      </c>
      <c r="CP102" s="138">
        <v>0</v>
      </c>
      <c r="CQ102" s="138">
        <v>0</v>
      </c>
      <c r="CR102" s="138">
        <v>0</v>
      </c>
      <c r="CS102" s="138">
        <v>0</v>
      </c>
      <c r="CT102" s="138">
        <v>0</v>
      </c>
      <c r="CU102" s="138">
        <v>0</v>
      </c>
      <c r="CV102" s="138">
        <v>0</v>
      </c>
      <c r="CW102" s="138">
        <v>0</v>
      </c>
      <c r="CX102" s="138">
        <v>0</v>
      </c>
      <c r="CY102" s="138">
        <v>0</v>
      </c>
      <c r="CZ102" s="138">
        <v>0</v>
      </c>
      <c r="DA102" s="138">
        <v>0</v>
      </c>
      <c r="DB102" s="86">
        <v>0</v>
      </c>
      <c r="DC102" s="138">
        <v>0</v>
      </c>
      <c r="DD102" s="138">
        <v>0</v>
      </c>
      <c r="DE102" s="138">
        <v>0</v>
      </c>
      <c r="DF102" s="138">
        <v>0</v>
      </c>
      <c r="DG102" s="138">
        <v>0</v>
      </c>
      <c r="DH102" s="138">
        <v>0</v>
      </c>
      <c r="DI102" s="138">
        <v>0</v>
      </c>
      <c r="DJ102" s="138">
        <v>0</v>
      </c>
      <c r="DK102" s="138">
        <v>0</v>
      </c>
      <c r="DL102" s="138">
        <v>0</v>
      </c>
      <c r="DM102" s="138">
        <v>0</v>
      </c>
      <c r="DN102" s="138">
        <v>0</v>
      </c>
      <c r="DO102" s="86">
        <v>0</v>
      </c>
      <c r="DP102" s="138">
        <v>0</v>
      </c>
      <c r="DQ102" s="138">
        <v>0</v>
      </c>
      <c r="DR102" s="138">
        <v>0</v>
      </c>
      <c r="DS102" s="138">
        <v>0</v>
      </c>
      <c r="DT102" s="138">
        <v>0</v>
      </c>
      <c r="DU102" s="138">
        <v>0</v>
      </c>
      <c r="DV102" s="138">
        <v>0</v>
      </c>
      <c r="DW102" s="138">
        <v>0</v>
      </c>
      <c r="DX102" s="138">
        <v>0</v>
      </c>
      <c r="DY102" s="138">
        <v>0</v>
      </c>
      <c r="DZ102" s="138">
        <v>0</v>
      </c>
      <c r="EA102" s="138">
        <v>0</v>
      </c>
      <c r="EB102" s="85">
        <v>0</v>
      </c>
      <c r="EC102" s="87">
        <v>0</v>
      </c>
      <c r="ED102" s="85">
        <v>0</v>
      </c>
      <c r="EE102" s="85">
        <v>0</v>
      </c>
      <c r="EF102" s="85">
        <v>0</v>
      </c>
      <c r="EG102" s="85">
        <v>0</v>
      </c>
      <c r="EH102" s="85">
        <v>0</v>
      </c>
      <c r="EI102" s="85">
        <v>0</v>
      </c>
      <c r="EJ102" s="85">
        <v>0</v>
      </c>
      <c r="EK102" s="85">
        <v>0</v>
      </c>
      <c r="EL102" s="85">
        <v>0</v>
      </c>
      <c r="EM102" s="85">
        <v>0</v>
      </c>
      <c r="EN102" s="85">
        <v>0</v>
      </c>
      <c r="EO102" s="152">
        <v>0</v>
      </c>
      <c r="EP102" s="85">
        <v>0</v>
      </c>
      <c r="EQ102" s="85">
        <v>0</v>
      </c>
      <c r="ER102" s="85">
        <v>0</v>
      </c>
      <c r="ES102" s="85">
        <v>0</v>
      </c>
      <c r="ET102" s="85">
        <v>0</v>
      </c>
      <c r="EU102" s="85">
        <v>0</v>
      </c>
      <c r="EV102" s="85">
        <v>0</v>
      </c>
      <c r="EW102" s="85">
        <v>0</v>
      </c>
      <c r="EX102" s="85">
        <v>0</v>
      </c>
      <c r="EY102" s="85">
        <v>0</v>
      </c>
      <c r="EZ102" s="85">
        <v>0</v>
      </c>
      <c r="FA102" s="85">
        <v>0</v>
      </c>
      <c r="FB102" s="85">
        <v>0</v>
      </c>
      <c r="FC102" s="87">
        <v>0</v>
      </c>
      <c r="FD102" s="85">
        <v>0</v>
      </c>
      <c r="FE102" s="85">
        <v>0</v>
      </c>
      <c r="FF102" s="85">
        <v>0</v>
      </c>
      <c r="FG102" s="85">
        <v>0</v>
      </c>
      <c r="FH102" s="85">
        <v>0</v>
      </c>
      <c r="FI102" s="85">
        <v>0</v>
      </c>
      <c r="FJ102" s="85">
        <v>0</v>
      </c>
      <c r="FK102" s="85">
        <v>0</v>
      </c>
      <c r="FL102" s="85">
        <v>0</v>
      </c>
      <c r="FM102" s="85">
        <v>0</v>
      </c>
      <c r="FN102" s="85">
        <v>0</v>
      </c>
      <c r="FO102" s="86">
        <v>0</v>
      </c>
      <c r="FP102" s="87">
        <v>0</v>
      </c>
      <c r="FQ102" s="85">
        <v>0</v>
      </c>
      <c r="FR102" s="85">
        <v>0</v>
      </c>
      <c r="FS102" s="85">
        <v>0</v>
      </c>
      <c r="FT102" s="85">
        <v>0</v>
      </c>
      <c r="FU102" s="85">
        <v>0</v>
      </c>
      <c r="FV102" s="85">
        <v>0</v>
      </c>
      <c r="FW102" s="85">
        <v>0</v>
      </c>
      <c r="FX102" s="85">
        <v>0</v>
      </c>
      <c r="FY102" s="85">
        <v>0</v>
      </c>
      <c r="FZ102" s="85">
        <v>0</v>
      </c>
      <c r="GA102" s="85">
        <v>0</v>
      </c>
      <c r="GB102" s="152">
        <v>0</v>
      </c>
      <c r="GD102" s="153"/>
    </row>
    <row r="103" spans="1:186">
      <c r="A103" s="137" t="s">
        <v>231</v>
      </c>
      <c r="B103" s="151">
        <v>6251.85544931041</v>
      </c>
      <c r="C103" s="138">
        <f t="shared" si="24"/>
        <v>0</v>
      </c>
      <c r="D103" s="138">
        <f t="shared" si="13"/>
        <v>0</v>
      </c>
      <c r="E103" s="138">
        <f t="shared" si="14"/>
        <v>0</v>
      </c>
      <c r="F103" s="138">
        <f t="shared" si="15"/>
        <v>0</v>
      </c>
      <c r="G103" s="138">
        <f t="shared" si="16"/>
        <v>291.751377383474</v>
      </c>
      <c r="H103" s="138">
        <f t="shared" si="17"/>
        <v>0</v>
      </c>
      <c r="I103" s="138">
        <f t="shared" si="18"/>
        <v>0</v>
      </c>
      <c r="J103" s="138">
        <f t="shared" si="19"/>
        <v>0</v>
      </c>
      <c r="K103" s="138">
        <f t="shared" si="20"/>
        <v>0</v>
      </c>
      <c r="L103" s="138">
        <f t="shared" si="21"/>
        <v>0</v>
      </c>
      <c r="M103" s="138">
        <f t="shared" si="22"/>
        <v>0</v>
      </c>
      <c r="N103" s="138">
        <f t="shared" si="23"/>
        <v>0</v>
      </c>
      <c r="O103" s="86">
        <f t="shared" si="25"/>
        <v>291.751377383474</v>
      </c>
      <c r="P103" s="138">
        <v>0</v>
      </c>
      <c r="Q103" s="138">
        <v>0</v>
      </c>
      <c r="R103" s="138">
        <v>0</v>
      </c>
      <c r="S103" s="138">
        <v>0</v>
      </c>
      <c r="T103" s="138">
        <v>0</v>
      </c>
      <c r="U103" s="138">
        <v>0</v>
      </c>
      <c r="V103" s="138">
        <v>0</v>
      </c>
      <c r="W103" s="138">
        <v>0</v>
      </c>
      <c r="X103" s="138">
        <v>0</v>
      </c>
      <c r="Y103" s="138">
        <v>0</v>
      </c>
      <c r="Z103" s="138">
        <v>0</v>
      </c>
      <c r="AA103" s="138">
        <v>0</v>
      </c>
      <c r="AB103" s="86">
        <v>0</v>
      </c>
      <c r="AC103" s="138">
        <v>0</v>
      </c>
      <c r="AD103" s="138">
        <v>0</v>
      </c>
      <c r="AE103" s="138">
        <v>0</v>
      </c>
      <c r="AF103" s="138">
        <v>0</v>
      </c>
      <c r="AG103" s="138">
        <v>0</v>
      </c>
      <c r="AH103" s="138">
        <v>0</v>
      </c>
      <c r="AI103" s="138">
        <v>0</v>
      </c>
      <c r="AJ103" s="138">
        <v>0</v>
      </c>
      <c r="AK103" s="138">
        <v>0</v>
      </c>
      <c r="AL103" s="138">
        <v>0</v>
      </c>
      <c r="AM103" s="138">
        <v>0</v>
      </c>
      <c r="AN103" s="138">
        <v>0</v>
      </c>
      <c r="AO103" s="86">
        <v>0</v>
      </c>
      <c r="AP103" s="138">
        <v>0</v>
      </c>
      <c r="AQ103" s="138">
        <v>0</v>
      </c>
      <c r="AR103" s="138">
        <v>0</v>
      </c>
      <c r="AS103" s="138">
        <v>0</v>
      </c>
      <c r="AT103" s="138">
        <v>0</v>
      </c>
      <c r="AU103" s="138">
        <v>0</v>
      </c>
      <c r="AV103" s="138">
        <v>0</v>
      </c>
      <c r="AW103" s="138">
        <v>0</v>
      </c>
      <c r="AX103" s="138">
        <v>0</v>
      </c>
      <c r="AY103" s="138">
        <v>0</v>
      </c>
      <c r="AZ103" s="138">
        <v>0</v>
      </c>
      <c r="BA103" s="138">
        <v>0</v>
      </c>
      <c r="BB103" s="86">
        <v>0</v>
      </c>
      <c r="BC103" s="138">
        <v>0</v>
      </c>
      <c r="BD103" s="138">
        <v>0</v>
      </c>
      <c r="BE103" s="138">
        <v>0</v>
      </c>
      <c r="BF103" s="138">
        <v>0</v>
      </c>
      <c r="BG103" s="138">
        <v>0</v>
      </c>
      <c r="BH103" s="138">
        <v>0</v>
      </c>
      <c r="BI103" s="138">
        <v>0</v>
      </c>
      <c r="BJ103" s="138">
        <v>0</v>
      </c>
      <c r="BK103" s="138">
        <v>0</v>
      </c>
      <c r="BL103" s="138">
        <v>0</v>
      </c>
      <c r="BM103" s="138">
        <v>0</v>
      </c>
      <c r="BN103" s="138">
        <v>0</v>
      </c>
      <c r="BO103" s="86">
        <v>0</v>
      </c>
      <c r="BP103" s="138">
        <v>0</v>
      </c>
      <c r="BQ103" s="138">
        <v>0</v>
      </c>
      <c r="BR103" s="138">
        <v>0</v>
      </c>
      <c r="BS103" s="138">
        <v>0</v>
      </c>
      <c r="BT103" s="138">
        <v>0</v>
      </c>
      <c r="BU103" s="138">
        <v>0</v>
      </c>
      <c r="BV103" s="138">
        <v>0</v>
      </c>
      <c r="BW103" s="138">
        <v>0</v>
      </c>
      <c r="BX103" s="138">
        <v>0</v>
      </c>
      <c r="BY103" s="138">
        <v>0</v>
      </c>
      <c r="BZ103" s="138">
        <v>0</v>
      </c>
      <c r="CA103" s="138">
        <v>0</v>
      </c>
      <c r="CB103" s="86">
        <v>0</v>
      </c>
      <c r="CC103" s="138">
        <v>0</v>
      </c>
      <c r="CD103" s="138">
        <v>0</v>
      </c>
      <c r="CE103" s="138">
        <v>0</v>
      </c>
      <c r="CF103" s="138">
        <v>0</v>
      </c>
      <c r="CG103" s="138">
        <v>0</v>
      </c>
      <c r="CH103" s="138">
        <v>0</v>
      </c>
      <c r="CI103" s="138">
        <v>0</v>
      </c>
      <c r="CJ103" s="138">
        <v>0</v>
      </c>
      <c r="CK103" s="138">
        <v>0</v>
      </c>
      <c r="CL103" s="138">
        <v>0</v>
      </c>
      <c r="CM103" s="138">
        <v>0</v>
      </c>
      <c r="CN103" s="138">
        <v>0</v>
      </c>
      <c r="CO103" s="86">
        <v>0</v>
      </c>
      <c r="CP103" s="138">
        <v>0</v>
      </c>
      <c r="CQ103" s="138">
        <v>0</v>
      </c>
      <c r="CR103" s="138">
        <v>0</v>
      </c>
      <c r="CS103" s="138">
        <v>0</v>
      </c>
      <c r="CT103" s="138">
        <v>0</v>
      </c>
      <c r="CU103" s="138">
        <v>0</v>
      </c>
      <c r="CV103" s="138">
        <v>0</v>
      </c>
      <c r="CW103" s="138">
        <v>0</v>
      </c>
      <c r="CX103" s="138">
        <v>0</v>
      </c>
      <c r="CY103" s="138">
        <v>0</v>
      </c>
      <c r="CZ103" s="138">
        <v>0</v>
      </c>
      <c r="DA103" s="138">
        <v>0</v>
      </c>
      <c r="DB103" s="86">
        <v>0</v>
      </c>
      <c r="DC103" s="138">
        <v>0</v>
      </c>
      <c r="DD103" s="138">
        <v>0</v>
      </c>
      <c r="DE103" s="138">
        <v>0</v>
      </c>
      <c r="DF103" s="138">
        <v>0</v>
      </c>
      <c r="DG103" s="138">
        <v>0</v>
      </c>
      <c r="DH103" s="138">
        <v>0</v>
      </c>
      <c r="DI103" s="138">
        <v>0</v>
      </c>
      <c r="DJ103" s="138">
        <v>0</v>
      </c>
      <c r="DK103" s="138">
        <v>0</v>
      </c>
      <c r="DL103" s="138">
        <v>0</v>
      </c>
      <c r="DM103" s="138">
        <v>0</v>
      </c>
      <c r="DN103" s="138">
        <v>0</v>
      </c>
      <c r="DO103" s="86">
        <v>0</v>
      </c>
      <c r="DP103" s="138">
        <v>0</v>
      </c>
      <c r="DQ103" s="138">
        <v>0</v>
      </c>
      <c r="DR103" s="138">
        <v>0</v>
      </c>
      <c r="DS103" s="138">
        <v>0</v>
      </c>
      <c r="DT103" s="138">
        <v>0</v>
      </c>
      <c r="DU103" s="138">
        <v>0</v>
      </c>
      <c r="DV103" s="138">
        <v>0</v>
      </c>
      <c r="DW103" s="138">
        <v>0</v>
      </c>
      <c r="DX103" s="138">
        <v>0</v>
      </c>
      <c r="DY103" s="138">
        <v>0</v>
      </c>
      <c r="DZ103" s="138">
        <v>0</v>
      </c>
      <c r="EA103" s="138">
        <v>0</v>
      </c>
      <c r="EB103" s="85">
        <v>0</v>
      </c>
      <c r="EC103" s="87">
        <v>0</v>
      </c>
      <c r="ED103" s="85">
        <v>0</v>
      </c>
      <c r="EE103" s="85">
        <v>0</v>
      </c>
      <c r="EF103" s="85">
        <v>0</v>
      </c>
      <c r="EG103" s="85">
        <v>0</v>
      </c>
      <c r="EH103" s="85">
        <v>0</v>
      </c>
      <c r="EI103" s="85">
        <v>0</v>
      </c>
      <c r="EJ103" s="85">
        <v>0</v>
      </c>
      <c r="EK103" s="85">
        <v>0</v>
      </c>
      <c r="EL103" s="85">
        <v>0</v>
      </c>
      <c r="EM103" s="85">
        <v>0</v>
      </c>
      <c r="EN103" s="85">
        <v>0</v>
      </c>
      <c r="EO103" s="152">
        <v>0</v>
      </c>
      <c r="EP103" s="85">
        <v>0</v>
      </c>
      <c r="EQ103" s="85">
        <v>0</v>
      </c>
      <c r="ER103" s="85">
        <v>0</v>
      </c>
      <c r="ES103" s="85">
        <v>0</v>
      </c>
      <c r="ET103" s="85">
        <v>0</v>
      </c>
      <c r="EU103" s="85">
        <v>0</v>
      </c>
      <c r="EV103" s="85">
        <v>0</v>
      </c>
      <c r="EW103" s="85">
        <v>0</v>
      </c>
      <c r="EX103" s="85">
        <v>0</v>
      </c>
      <c r="EY103" s="85">
        <v>0</v>
      </c>
      <c r="EZ103" s="85">
        <v>0</v>
      </c>
      <c r="FA103" s="85">
        <v>0</v>
      </c>
      <c r="FB103" s="85">
        <v>0</v>
      </c>
      <c r="FC103" s="87">
        <v>0</v>
      </c>
      <c r="FD103" s="85">
        <v>0</v>
      </c>
      <c r="FE103" s="85">
        <v>0</v>
      </c>
      <c r="FF103" s="85">
        <v>0</v>
      </c>
      <c r="FG103" s="85">
        <v>0</v>
      </c>
      <c r="FH103" s="85">
        <v>0</v>
      </c>
      <c r="FI103" s="85">
        <v>0</v>
      </c>
      <c r="FJ103" s="85">
        <v>0</v>
      </c>
      <c r="FK103" s="85">
        <v>0</v>
      </c>
      <c r="FL103" s="85">
        <v>0</v>
      </c>
      <c r="FM103" s="85">
        <v>0</v>
      </c>
      <c r="FN103" s="85">
        <v>0</v>
      </c>
      <c r="FO103" s="86">
        <v>0</v>
      </c>
      <c r="FP103" s="87">
        <v>0</v>
      </c>
      <c r="FQ103" s="85">
        <v>0</v>
      </c>
      <c r="FR103" s="85">
        <v>0</v>
      </c>
      <c r="FS103" s="85">
        <v>0</v>
      </c>
      <c r="FT103" s="85">
        <v>291.751377383474</v>
      </c>
      <c r="FU103" s="85">
        <v>0</v>
      </c>
      <c r="FV103" s="85">
        <v>0</v>
      </c>
      <c r="FW103" s="85">
        <v>0</v>
      </c>
      <c r="FX103" s="85">
        <v>0</v>
      </c>
      <c r="FY103" s="85">
        <v>0</v>
      </c>
      <c r="FZ103" s="85">
        <v>0</v>
      </c>
      <c r="GA103" s="85">
        <v>0</v>
      </c>
      <c r="GB103" s="152">
        <v>291.751377383474</v>
      </c>
      <c r="GD103" s="153"/>
    </row>
    <row r="104" spans="1:186">
      <c r="A104" s="137" t="s">
        <v>233</v>
      </c>
      <c r="B104" s="151">
        <v>1555692.22175084</v>
      </c>
      <c r="C104" s="138">
        <f t="shared" si="24"/>
        <v>323522.294396292</v>
      </c>
      <c r="D104" s="138">
        <f t="shared" si="13"/>
        <v>442739.00869415</v>
      </c>
      <c r="E104" s="138">
        <f t="shared" si="14"/>
        <v>337464.887258391</v>
      </c>
      <c r="F104" s="138">
        <f t="shared" si="15"/>
        <v>185941.906538151</v>
      </c>
      <c r="G104" s="138">
        <f t="shared" si="16"/>
        <v>271269.553799261</v>
      </c>
      <c r="H104" s="138">
        <f t="shared" si="17"/>
        <v>107263.103753587</v>
      </c>
      <c r="I104" s="138">
        <f t="shared" si="18"/>
        <v>86566.7214076977</v>
      </c>
      <c r="J104" s="138">
        <f t="shared" si="19"/>
        <v>71564.4215720839</v>
      </c>
      <c r="K104" s="138">
        <f t="shared" si="20"/>
        <v>3601.68173883187</v>
      </c>
      <c r="L104" s="138">
        <f t="shared" si="21"/>
        <v>1235.21773841752</v>
      </c>
      <c r="M104" s="138">
        <f t="shared" si="22"/>
        <v>558.42489179457</v>
      </c>
      <c r="N104" s="138">
        <f t="shared" si="23"/>
        <v>558.42489179457</v>
      </c>
      <c r="O104" s="86">
        <f t="shared" si="25"/>
        <v>1832285.64668045</v>
      </c>
      <c r="P104" s="138">
        <v>0</v>
      </c>
      <c r="Q104" s="138">
        <v>0</v>
      </c>
      <c r="R104" s="138">
        <v>0</v>
      </c>
      <c r="S104" s="138">
        <v>0</v>
      </c>
      <c r="T104" s="138">
        <v>0</v>
      </c>
      <c r="U104" s="138">
        <v>0</v>
      </c>
      <c r="V104" s="138">
        <v>0</v>
      </c>
      <c r="W104" s="138">
        <v>0</v>
      </c>
      <c r="X104" s="138">
        <v>0</v>
      </c>
      <c r="Y104" s="138">
        <v>0</v>
      </c>
      <c r="Z104" s="138">
        <v>0</v>
      </c>
      <c r="AA104" s="138">
        <v>0</v>
      </c>
      <c r="AB104" s="86">
        <v>0</v>
      </c>
      <c r="AC104" s="138">
        <v>83663.6388080844</v>
      </c>
      <c r="AD104" s="138">
        <v>153268.6872168</v>
      </c>
      <c r="AE104" s="138">
        <v>93415.8801703211</v>
      </c>
      <c r="AF104" s="138">
        <v>95776.7226331086</v>
      </c>
      <c r="AG104" s="138">
        <v>103488.711588637</v>
      </c>
      <c r="AH104" s="138">
        <v>95306.4822758919</v>
      </c>
      <c r="AI104" s="138">
        <v>76245.1858207135</v>
      </c>
      <c r="AJ104" s="138">
        <v>63537.6548505946</v>
      </c>
      <c r="AK104" s="138">
        <v>0</v>
      </c>
      <c r="AL104" s="138">
        <v>0</v>
      </c>
      <c r="AM104" s="138">
        <v>0</v>
      </c>
      <c r="AN104" s="138">
        <v>0</v>
      </c>
      <c r="AO104" s="86">
        <v>764702.963364151</v>
      </c>
      <c r="AP104" s="138">
        <v>7643.12623295331</v>
      </c>
      <c r="AQ104" s="138">
        <v>0</v>
      </c>
      <c r="AR104" s="138">
        <v>30.0170495915736</v>
      </c>
      <c r="AS104" s="138">
        <v>2454.86789839206</v>
      </c>
      <c r="AT104" s="138">
        <v>4522.04014269686</v>
      </c>
      <c r="AU104" s="138">
        <v>1936.47589262857</v>
      </c>
      <c r="AV104" s="138">
        <v>1936.47589262857</v>
      </c>
      <c r="AW104" s="138">
        <v>1936.47589262857</v>
      </c>
      <c r="AX104" s="138">
        <v>0</v>
      </c>
      <c r="AY104" s="138">
        <v>0</v>
      </c>
      <c r="AZ104" s="138">
        <v>0</v>
      </c>
      <c r="BA104" s="138">
        <v>0</v>
      </c>
      <c r="BB104" s="86">
        <v>20459.4790015195</v>
      </c>
      <c r="BC104" s="138">
        <v>540.945260137583</v>
      </c>
      <c r="BD104" s="138">
        <v>0</v>
      </c>
      <c r="BE104" s="138">
        <v>52.9980916087221</v>
      </c>
      <c r="BF104" s="138">
        <v>0</v>
      </c>
      <c r="BG104" s="138">
        <v>0</v>
      </c>
      <c r="BH104" s="138">
        <v>0</v>
      </c>
      <c r="BI104" s="138">
        <v>0</v>
      </c>
      <c r="BJ104" s="138">
        <v>0</v>
      </c>
      <c r="BK104" s="138">
        <v>0</v>
      </c>
      <c r="BL104" s="138">
        <v>0</v>
      </c>
      <c r="BM104" s="138">
        <v>0</v>
      </c>
      <c r="BN104" s="138">
        <v>0</v>
      </c>
      <c r="BO104" s="86">
        <v>593.943351746305</v>
      </c>
      <c r="BP104" s="138">
        <v>154109.742211454</v>
      </c>
      <c r="BQ104" s="138">
        <v>228554.906847093</v>
      </c>
      <c r="BR104" s="138">
        <v>204661.289022091</v>
      </c>
      <c r="BS104" s="138">
        <v>43950.4648511905</v>
      </c>
      <c r="BT104" s="138">
        <v>135579.036400595</v>
      </c>
      <c r="BU104" s="138">
        <v>0</v>
      </c>
      <c r="BV104" s="138">
        <v>0</v>
      </c>
      <c r="BW104" s="138">
        <v>0</v>
      </c>
      <c r="BX104" s="138">
        <v>0</v>
      </c>
      <c r="BY104" s="138">
        <v>0</v>
      </c>
      <c r="BZ104" s="138">
        <v>0</v>
      </c>
      <c r="CA104" s="138">
        <v>0</v>
      </c>
      <c r="CB104" s="86">
        <v>766855.439332423</v>
      </c>
      <c r="CC104" s="138">
        <v>9793.07825473642</v>
      </c>
      <c r="CD104" s="138">
        <v>7115.29568348366</v>
      </c>
      <c r="CE104" s="138">
        <v>8866.28783122536</v>
      </c>
      <c r="CF104" s="138">
        <v>12726.586261041</v>
      </c>
      <c r="CG104" s="138">
        <v>10803.4763274991</v>
      </c>
      <c r="CH104" s="138">
        <v>1880.54259427963</v>
      </c>
      <c r="CI104" s="138">
        <v>1777.38867770854</v>
      </c>
      <c r="CJ104" s="138">
        <v>835.546724225869</v>
      </c>
      <c r="CK104" s="138">
        <v>751.992051803282</v>
      </c>
      <c r="CL104" s="138">
        <v>676.792846622954</v>
      </c>
      <c r="CM104" s="138">
        <v>0</v>
      </c>
      <c r="CN104" s="138">
        <v>0</v>
      </c>
      <c r="CO104" s="86">
        <v>55226.9872526258</v>
      </c>
      <c r="CP104" s="138">
        <v>3958.37411449764</v>
      </c>
      <c r="CQ104" s="138">
        <v>0</v>
      </c>
      <c r="CR104" s="138">
        <v>0</v>
      </c>
      <c r="CS104" s="138">
        <v>0</v>
      </c>
      <c r="CT104" s="138">
        <v>0</v>
      </c>
      <c r="CU104" s="138">
        <v>0</v>
      </c>
      <c r="CV104" s="138">
        <v>0</v>
      </c>
      <c r="CW104" s="138">
        <v>0</v>
      </c>
      <c r="CX104" s="138">
        <v>0</v>
      </c>
      <c r="CY104" s="138">
        <v>0</v>
      </c>
      <c r="CZ104" s="138">
        <v>0</v>
      </c>
      <c r="DA104" s="138">
        <v>0</v>
      </c>
      <c r="DB104" s="86">
        <v>3958.37411449764</v>
      </c>
      <c r="DC104" s="138">
        <v>1471.27036110054</v>
      </c>
      <c r="DD104" s="138">
        <v>0</v>
      </c>
      <c r="DE104" s="138">
        <v>0</v>
      </c>
      <c r="DF104" s="138">
        <v>2591.99928787207</v>
      </c>
      <c r="DG104" s="138">
        <v>2542.78001548905</v>
      </c>
      <c r="DH104" s="138">
        <v>1116.84978358914</v>
      </c>
      <c r="DI104" s="138">
        <v>1116.84978358914</v>
      </c>
      <c r="DJ104" s="138">
        <v>1116.84978358914</v>
      </c>
      <c r="DK104" s="138">
        <v>558.42489179457</v>
      </c>
      <c r="DL104" s="138">
        <v>558.42489179457</v>
      </c>
      <c r="DM104" s="138">
        <v>558.42489179457</v>
      </c>
      <c r="DN104" s="138">
        <v>558.42489179457</v>
      </c>
      <c r="DO104" s="86">
        <v>12190.2985824074</v>
      </c>
      <c r="DP104" s="138">
        <v>28809.4080206936</v>
      </c>
      <c r="DQ104" s="138">
        <v>13240.4721379422</v>
      </c>
      <c r="DR104" s="138">
        <v>14152.8422310528</v>
      </c>
      <c r="DS104" s="138">
        <v>8813.99910694617</v>
      </c>
      <c r="DT104" s="138">
        <v>4206.23980227023</v>
      </c>
      <c r="DU104" s="138">
        <v>2547.6266540064</v>
      </c>
      <c r="DV104" s="138">
        <v>1910.7199905048</v>
      </c>
      <c r="DW104" s="138">
        <v>1273.8133270032</v>
      </c>
      <c r="DX104" s="138">
        <v>0</v>
      </c>
      <c r="DY104" s="138">
        <v>0</v>
      </c>
      <c r="DZ104" s="138">
        <v>0</v>
      </c>
      <c r="EA104" s="138">
        <v>0</v>
      </c>
      <c r="EB104" s="85">
        <v>74955.1212704195</v>
      </c>
      <c r="EC104" s="87">
        <v>0</v>
      </c>
      <c r="ED104" s="85">
        <v>0</v>
      </c>
      <c r="EE104" s="85">
        <v>0</v>
      </c>
      <c r="EF104" s="85">
        <v>0</v>
      </c>
      <c r="EG104" s="85">
        <v>0</v>
      </c>
      <c r="EH104" s="85">
        <v>0</v>
      </c>
      <c r="EI104" s="85">
        <v>0</v>
      </c>
      <c r="EJ104" s="85">
        <v>0</v>
      </c>
      <c r="EK104" s="85">
        <v>0</v>
      </c>
      <c r="EL104" s="85">
        <v>0</v>
      </c>
      <c r="EM104" s="85">
        <v>0</v>
      </c>
      <c r="EN104" s="85">
        <v>0</v>
      </c>
      <c r="EO104" s="152">
        <v>0</v>
      </c>
      <c r="EP104" s="85">
        <v>6831.68197282821</v>
      </c>
      <c r="EQ104" s="85">
        <v>12294.8298572989</v>
      </c>
      <c r="ER104" s="85">
        <v>11235.1357984995</v>
      </c>
      <c r="ES104" s="85">
        <v>15452.7343410427</v>
      </c>
      <c r="ET104" s="85">
        <v>8878.16005508419</v>
      </c>
      <c r="EU104" s="85">
        <v>4475.12655319145</v>
      </c>
      <c r="EV104" s="85">
        <v>3580.10124255315</v>
      </c>
      <c r="EW104" s="85">
        <v>2864.08099404252</v>
      </c>
      <c r="EX104" s="85">
        <v>2291.26479523402</v>
      </c>
      <c r="EY104" s="85">
        <v>0</v>
      </c>
      <c r="EZ104" s="85">
        <v>0</v>
      </c>
      <c r="FA104" s="85">
        <v>0</v>
      </c>
      <c r="FB104" s="85">
        <v>67903.1156097747</v>
      </c>
      <c r="FC104" s="87">
        <v>0</v>
      </c>
      <c r="FD104" s="85">
        <v>0</v>
      </c>
      <c r="FE104" s="85">
        <v>0</v>
      </c>
      <c r="FF104" s="85">
        <v>0</v>
      </c>
      <c r="FG104" s="85">
        <v>0</v>
      </c>
      <c r="FH104" s="85">
        <v>0</v>
      </c>
      <c r="FI104" s="85">
        <v>0</v>
      </c>
      <c r="FJ104" s="85">
        <v>0</v>
      </c>
      <c r="FK104" s="85">
        <v>0</v>
      </c>
      <c r="FL104" s="85">
        <v>0</v>
      </c>
      <c r="FM104" s="85">
        <v>0</v>
      </c>
      <c r="FN104" s="85">
        <v>0</v>
      </c>
      <c r="FO104" s="86">
        <v>0</v>
      </c>
      <c r="FP104" s="87">
        <v>26701.0291598062</v>
      </c>
      <c r="FQ104" s="85">
        <v>28264.8169515326</v>
      </c>
      <c r="FR104" s="85">
        <v>5050.43706400076</v>
      </c>
      <c r="FS104" s="85">
        <v>4174.53215855789</v>
      </c>
      <c r="FT104" s="85">
        <v>1249.10946698942</v>
      </c>
      <c r="FU104" s="85">
        <v>0</v>
      </c>
      <c r="FV104" s="85">
        <v>0</v>
      </c>
      <c r="FW104" s="85">
        <v>0</v>
      </c>
      <c r="FX104" s="85">
        <v>0</v>
      </c>
      <c r="FY104" s="85">
        <v>0</v>
      </c>
      <c r="FZ104" s="85">
        <v>0</v>
      </c>
      <c r="GA104" s="85">
        <v>0</v>
      </c>
      <c r="GB104" s="152">
        <v>65439.9248008868</v>
      </c>
      <c r="GD104" s="153"/>
    </row>
    <row r="105" spans="1:186">
      <c r="A105" s="137" t="s">
        <v>235</v>
      </c>
      <c r="B105" s="151">
        <v>17223.0146456339</v>
      </c>
      <c r="C105" s="138">
        <f t="shared" si="24"/>
        <v>0</v>
      </c>
      <c r="D105" s="138">
        <f t="shared" si="13"/>
        <v>0</v>
      </c>
      <c r="E105" s="138">
        <f t="shared" si="14"/>
        <v>0</v>
      </c>
      <c r="F105" s="138">
        <f t="shared" si="15"/>
        <v>0</v>
      </c>
      <c r="G105" s="138">
        <f t="shared" si="16"/>
        <v>0</v>
      </c>
      <c r="H105" s="138">
        <f t="shared" si="17"/>
        <v>0</v>
      </c>
      <c r="I105" s="138">
        <f t="shared" si="18"/>
        <v>0</v>
      </c>
      <c r="J105" s="138">
        <f t="shared" si="19"/>
        <v>0</v>
      </c>
      <c r="K105" s="138">
        <f t="shared" si="20"/>
        <v>0</v>
      </c>
      <c r="L105" s="138">
        <f t="shared" si="21"/>
        <v>0</v>
      </c>
      <c r="M105" s="138">
        <f t="shared" si="22"/>
        <v>0</v>
      </c>
      <c r="N105" s="138">
        <f t="shared" si="23"/>
        <v>0</v>
      </c>
      <c r="O105" s="86">
        <f t="shared" si="25"/>
        <v>0</v>
      </c>
      <c r="P105" s="138">
        <v>0</v>
      </c>
      <c r="Q105" s="138">
        <v>0</v>
      </c>
      <c r="R105" s="138">
        <v>0</v>
      </c>
      <c r="S105" s="138">
        <v>0</v>
      </c>
      <c r="T105" s="138">
        <v>0</v>
      </c>
      <c r="U105" s="138">
        <v>0</v>
      </c>
      <c r="V105" s="138">
        <v>0</v>
      </c>
      <c r="W105" s="138">
        <v>0</v>
      </c>
      <c r="X105" s="138">
        <v>0</v>
      </c>
      <c r="Y105" s="138">
        <v>0</v>
      </c>
      <c r="Z105" s="138">
        <v>0</v>
      </c>
      <c r="AA105" s="138">
        <v>0</v>
      </c>
      <c r="AB105" s="86">
        <v>0</v>
      </c>
      <c r="AC105" s="138">
        <v>0</v>
      </c>
      <c r="AD105" s="138">
        <v>0</v>
      </c>
      <c r="AE105" s="138">
        <v>0</v>
      </c>
      <c r="AF105" s="138">
        <v>0</v>
      </c>
      <c r="AG105" s="138">
        <v>0</v>
      </c>
      <c r="AH105" s="138">
        <v>0</v>
      </c>
      <c r="AI105" s="138">
        <v>0</v>
      </c>
      <c r="AJ105" s="138">
        <v>0</v>
      </c>
      <c r="AK105" s="138">
        <v>0</v>
      </c>
      <c r="AL105" s="138">
        <v>0</v>
      </c>
      <c r="AM105" s="138">
        <v>0</v>
      </c>
      <c r="AN105" s="138">
        <v>0</v>
      </c>
      <c r="AO105" s="86">
        <v>0</v>
      </c>
      <c r="AP105" s="138">
        <v>0</v>
      </c>
      <c r="AQ105" s="138">
        <v>0</v>
      </c>
      <c r="AR105" s="138">
        <v>0</v>
      </c>
      <c r="AS105" s="138">
        <v>0</v>
      </c>
      <c r="AT105" s="138">
        <v>0</v>
      </c>
      <c r="AU105" s="138">
        <v>0</v>
      </c>
      <c r="AV105" s="138">
        <v>0</v>
      </c>
      <c r="AW105" s="138">
        <v>0</v>
      </c>
      <c r="AX105" s="138">
        <v>0</v>
      </c>
      <c r="AY105" s="138">
        <v>0</v>
      </c>
      <c r="AZ105" s="138">
        <v>0</v>
      </c>
      <c r="BA105" s="138">
        <v>0</v>
      </c>
      <c r="BB105" s="86">
        <v>0</v>
      </c>
      <c r="BC105" s="138">
        <v>0</v>
      </c>
      <c r="BD105" s="138">
        <v>0</v>
      </c>
      <c r="BE105" s="138">
        <v>0</v>
      </c>
      <c r="BF105" s="138">
        <v>0</v>
      </c>
      <c r="BG105" s="138">
        <v>0</v>
      </c>
      <c r="BH105" s="138">
        <v>0</v>
      </c>
      <c r="BI105" s="138">
        <v>0</v>
      </c>
      <c r="BJ105" s="138">
        <v>0</v>
      </c>
      <c r="BK105" s="138">
        <v>0</v>
      </c>
      <c r="BL105" s="138">
        <v>0</v>
      </c>
      <c r="BM105" s="138">
        <v>0</v>
      </c>
      <c r="BN105" s="138">
        <v>0</v>
      </c>
      <c r="BO105" s="86">
        <v>0</v>
      </c>
      <c r="BP105" s="138">
        <v>0</v>
      </c>
      <c r="BQ105" s="138">
        <v>0</v>
      </c>
      <c r="BR105" s="138">
        <v>0</v>
      </c>
      <c r="BS105" s="138">
        <v>0</v>
      </c>
      <c r="BT105" s="138">
        <v>0</v>
      </c>
      <c r="BU105" s="138">
        <v>0</v>
      </c>
      <c r="BV105" s="138">
        <v>0</v>
      </c>
      <c r="BW105" s="138">
        <v>0</v>
      </c>
      <c r="BX105" s="138">
        <v>0</v>
      </c>
      <c r="BY105" s="138">
        <v>0</v>
      </c>
      <c r="BZ105" s="138">
        <v>0</v>
      </c>
      <c r="CA105" s="138">
        <v>0</v>
      </c>
      <c r="CB105" s="86">
        <v>0</v>
      </c>
      <c r="CC105" s="138">
        <v>0</v>
      </c>
      <c r="CD105" s="138">
        <v>0</v>
      </c>
      <c r="CE105" s="138">
        <v>0</v>
      </c>
      <c r="CF105" s="138">
        <v>0</v>
      </c>
      <c r="CG105" s="138">
        <v>0</v>
      </c>
      <c r="CH105" s="138">
        <v>0</v>
      </c>
      <c r="CI105" s="138">
        <v>0</v>
      </c>
      <c r="CJ105" s="138">
        <v>0</v>
      </c>
      <c r="CK105" s="138">
        <v>0</v>
      </c>
      <c r="CL105" s="138">
        <v>0</v>
      </c>
      <c r="CM105" s="138">
        <v>0</v>
      </c>
      <c r="CN105" s="138">
        <v>0</v>
      </c>
      <c r="CO105" s="86">
        <v>0</v>
      </c>
      <c r="CP105" s="138">
        <v>0</v>
      </c>
      <c r="CQ105" s="138">
        <v>0</v>
      </c>
      <c r="CR105" s="138">
        <v>0</v>
      </c>
      <c r="CS105" s="138">
        <v>0</v>
      </c>
      <c r="CT105" s="138">
        <v>0</v>
      </c>
      <c r="CU105" s="138">
        <v>0</v>
      </c>
      <c r="CV105" s="138">
        <v>0</v>
      </c>
      <c r="CW105" s="138">
        <v>0</v>
      </c>
      <c r="CX105" s="138">
        <v>0</v>
      </c>
      <c r="CY105" s="138">
        <v>0</v>
      </c>
      <c r="CZ105" s="138">
        <v>0</v>
      </c>
      <c r="DA105" s="138">
        <v>0</v>
      </c>
      <c r="DB105" s="86">
        <v>0</v>
      </c>
      <c r="DC105" s="138">
        <v>0</v>
      </c>
      <c r="DD105" s="138">
        <v>0</v>
      </c>
      <c r="DE105" s="138">
        <v>0</v>
      </c>
      <c r="DF105" s="138">
        <v>0</v>
      </c>
      <c r="DG105" s="138">
        <v>0</v>
      </c>
      <c r="DH105" s="138">
        <v>0</v>
      </c>
      <c r="DI105" s="138">
        <v>0</v>
      </c>
      <c r="DJ105" s="138">
        <v>0</v>
      </c>
      <c r="DK105" s="138">
        <v>0</v>
      </c>
      <c r="DL105" s="138">
        <v>0</v>
      </c>
      <c r="DM105" s="138">
        <v>0</v>
      </c>
      <c r="DN105" s="138">
        <v>0</v>
      </c>
      <c r="DO105" s="86">
        <v>0</v>
      </c>
      <c r="DP105" s="138">
        <v>0</v>
      </c>
      <c r="DQ105" s="138">
        <v>0</v>
      </c>
      <c r="DR105" s="138">
        <v>0</v>
      </c>
      <c r="DS105" s="138">
        <v>0</v>
      </c>
      <c r="DT105" s="138">
        <v>0</v>
      </c>
      <c r="DU105" s="138">
        <v>0</v>
      </c>
      <c r="DV105" s="138">
        <v>0</v>
      </c>
      <c r="DW105" s="138">
        <v>0</v>
      </c>
      <c r="DX105" s="138">
        <v>0</v>
      </c>
      <c r="DY105" s="138">
        <v>0</v>
      </c>
      <c r="DZ105" s="138">
        <v>0</v>
      </c>
      <c r="EA105" s="138">
        <v>0</v>
      </c>
      <c r="EB105" s="85">
        <v>0</v>
      </c>
      <c r="EC105" s="87">
        <v>0</v>
      </c>
      <c r="ED105" s="85">
        <v>0</v>
      </c>
      <c r="EE105" s="85">
        <v>0</v>
      </c>
      <c r="EF105" s="85">
        <v>0</v>
      </c>
      <c r="EG105" s="85">
        <v>0</v>
      </c>
      <c r="EH105" s="85">
        <v>0</v>
      </c>
      <c r="EI105" s="85">
        <v>0</v>
      </c>
      <c r="EJ105" s="85">
        <v>0</v>
      </c>
      <c r="EK105" s="85">
        <v>0</v>
      </c>
      <c r="EL105" s="85">
        <v>0</v>
      </c>
      <c r="EM105" s="85">
        <v>0</v>
      </c>
      <c r="EN105" s="85">
        <v>0</v>
      </c>
      <c r="EO105" s="152">
        <v>0</v>
      </c>
      <c r="EP105" s="85">
        <v>0</v>
      </c>
      <c r="EQ105" s="85">
        <v>0</v>
      </c>
      <c r="ER105" s="85">
        <v>0</v>
      </c>
      <c r="ES105" s="85">
        <v>0</v>
      </c>
      <c r="ET105" s="85">
        <v>0</v>
      </c>
      <c r="EU105" s="85">
        <v>0</v>
      </c>
      <c r="EV105" s="85">
        <v>0</v>
      </c>
      <c r="EW105" s="85">
        <v>0</v>
      </c>
      <c r="EX105" s="85">
        <v>0</v>
      </c>
      <c r="EY105" s="85">
        <v>0</v>
      </c>
      <c r="EZ105" s="85">
        <v>0</v>
      </c>
      <c r="FA105" s="85">
        <v>0</v>
      </c>
      <c r="FB105" s="85">
        <v>0</v>
      </c>
      <c r="FC105" s="87">
        <v>0</v>
      </c>
      <c r="FD105" s="85">
        <v>0</v>
      </c>
      <c r="FE105" s="85">
        <v>0</v>
      </c>
      <c r="FF105" s="85">
        <v>0</v>
      </c>
      <c r="FG105" s="85">
        <v>0</v>
      </c>
      <c r="FH105" s="85">
        <v>0</v>
      </c>
      <c r="FI105" s="85">
        <v>0</v>
      </c>
      <c r="FJ105" s="85">
        <v>0</v>
      </c>
      <c r="FK105" s="85">
        <v>0</v>
      </c>
      <c r="FL105" s="85">
        <v>0</v>
      </c>
      <c r="FM105" s="85">
        <v>0</v>
      </c>
      <c r="FN105" s="85">
        <v>0</v>
      </c>
      <c r="FO105" s="86">
        <v>0</v>
      </c>
      <c r="FP105" s="87">
        <v>0</v>
      </c>
      <c r="FQ105" s="85">
        <v>0</v>
      </c>
      <c r="FR105" s="85">
        <v>0</v>
      </c>
      <c r="FS105" s="85">
        <v>0</v>
      </c>
      <c r="FT105" s="85">
        <v>0</v>
      </c>
      <c r="FU105" s="85">
        <v>0</v>
      </c>
      <c r="FV105" s="85">
        <v>0</v>
      </c>
      <c r="FW105" s="85">
        <v>0</v>
      </c>
      <c r="FX105" s="85">
        <v>0</v>
      </c>
      <c r="FY105" s="85">
        <v>0</v>
      </c>
      <c r="FZ105" s="85">
        <v>0</v>
      </c>
      <c r="GA105" s="85">
        <v>0</v>
      </c>
      <c r="GB105" s="152">
        <v>0</v>
      </c>
      <c r="GD105" s="153"/>
    </row>
    <row r="106" spans="1:186">
      <c r="A106" s="137" t="s">
        <v>237</v>
      </c>
      <c r="B106" s="151">
        <v>17086.0789032372</v>
      </c>
      <c r="C106" s="138">
        <f t="shared" si="24"/>
        <v>141.588242512342</v>
      </c>
      <c r="D106" s="138">
        <f t="shared" si="13"/>
        <v>170.747922381838</v>
      </c>
      <c r="E106" s="138">
        <f t="shared" si="14"/>
        <v>159.194431941734</v>
      </c>
      <c r="F106" s="138">
        <f t="shared" si="15"/>
        <v>0</v>
      </c>
      <c r="G106" s="138">
        <f t="shared" si="16"/>
        <v>93.1485075706086</v>
      </c>
      <c r="H106" s="138">
        <f t="shared" si="17"/>
        <v>0</v>
      </c>
      <c r="I106" s="138">
        <f t="shared" si="18"/>
        <v>0</v>
      </c>
      <c r="J106" s="138">
        <f t="shared" si="19"/>
        <v>0</v>
      </c>
      <c r="K106" s="138">
        <f t="shared" si="20"/>
        <v>0</v>
      </c>
      <c r="L106" s="138">
        <f t="shared" si="21"/>
        <v>0</v>
      </c>
      <c r="M106" s="138">
        <f t="shared" si="22"/>
        <v>0</v>
      </c>
      <c r="N106" s="138">
        <f t="shared" si="23"/>
        <v>0</v>
      </c>
      <c r="O106" s="86">
        <f t="shared" si="25"/>
        <v>564.679104406522</v>
      </c>
      <c r="P106" s="138">
        <v>0</v>
      </c>
      <c r="Q106" s="138">
        <v>0</v>
      </c>
      <c r="R106" s="138">
        <v>0</v>
      </c>
      <c r="S106" s="138">
        <v>0</v>
      </c>
      <c r="T106" s="138">
        <v>0</v>
      </c>
      <c r="U106" s="138">
        <v>0</v>
      </c>
      <c r="V106" s="138">
        <v>0</v>
      </c>
      <c r="W106" s="138">
        <v>0</v>
      </c>
      <c r="X106" s="138">
        <v>0</v>
      </c>
      <c r="Y106" s="138">
        <v>0</v>
      </c>
      <c r="Z106" s="138">
        <v>0</v>
      </c>
      <c r="AA106" s="138">
        <v>0</v>
      </c>
      <c r="AB106" s="86">
        <v>0</v>
      </c>
      <c r="AC106" s="138">
        <v>0</v>
      </c>
      <c r="AD106" s="138">
        <v>0</v>
      </c>
      <c r="AE106" s="138">
        <v>0</v>
      </c>
      <c r="AF106" s="138">
        <v>0</v>
      </c>
      <c r="AG106" s="138">
        <v>0</v>
      </c>
      <c r="AH106" s="138">
        <v>0</v>
      </c>
      <c r="AI106" s="138">
        <v>0</v>
      </c>
      <c r="AJ106" s="138">
        <v>0</v>
      </c>
      <c r="AK106" s="138">
        <v>0</v>
      </c>
      <c r="AL106" s="138">
        <v>0</v>
      </c>
      <c r="AM106" s="138">
        <v>0</v>
      </c>
      <c r="AN106" s="138">
        <v>0</v>
      </c>
      <c r="AO106" s="86">
        <v>0</v>
      </c>
      <c r="AP106" s="138">
        <v>0</v>
      </c>
      <c r="AQ106" s="138">
        <v>0</v>
      </c>
      <c r="AR106" s="138">
        <v>0</v>
      </c>
      <c r="AS106" s="138">
        <v>0</v>
      </c>
      <c r="AT106" s="138">
        <v>0</v>
      </c>
      <c r="AU106" s="138">
        <v>0</v>
      </c>
      <c r="AV106" s="138">
        <v>0</v>
      </c>
      <c r="AW106" s="138">
        <v>0</v>
      </c>
      <c r="AX106" s="138">
        <v>0</v>
      </c>
      <c r="AY106" s="138">
        <v>0</v>
      </c>
      <c r="AZ106" s="138">
        <v>0</v>
      </c>
      <c r="BA106" s="138">
        <v>0</v>
      </c>
      <c r="BB106" s="86">
        <v>0</v>
      </c>
      <c r="BC106" s="138">
        <v>0</v>
      </c>
      <c r="BD106" s="138">
        <v>0</v>
      </c>
      <c r="BE106" s="138">
        <v>0</v>
      </c>
      <c r="BF106" s="138">
        <v>0</v>
      </c>
      <c r="BG106" s="138">
        <v>0</v>
      </c>
      <c r="BH106" s="138">
        <v>0</v>
      </c>
      <c r="BI106" s="138">
        <v>0</v>
      </c>
      <c r="BJ106" s="138">
        <v>0</v>
      </c>
      <c r="BK106" s="138">
        <v>0</v>
      </c>
      <c r="BL106" s="138">
        <v>0</v>
      </c>
      <c r="BM106" s="138">
        <v>0</v>
      </c>
      <c r="BN106" s="138">
        <v>0</v>
      </c>
      <c r="BO106" s="86">
        <v>0</v>
      </c>
      <c r="BP106" s="138">
        <v>0</v>
      </c>
      <c r="BQ106" s="138">
        <v>0</v>
      </c>
      <c r="BR106" s="138">
        <v>0</v>
      </c>
      <c r="BS106" s="138">
        <v>0</v>
      </c>
      <c r="BT106" s="138">
        <v>0</v>
      </c>
      <c r="BU106" s="138">
        <v>0</v>
      </c>
      <c r="BV106" s="138">
        <v>0</v>
      </c>
      <c r="BW106" s="138">
        <v>0</v>
      </c>
      <c r="BX106" s="138">
        <v>0</v>
      </c>
      <c r="BY106" s="138">
        <v>0</v>
      </c>
      <c r="BZ106" s="138">
        <v>0</v>
      </c>
      <c r="CA106" s="138">
        <v>0</v>
      </c>
      <c r="CB106" s="86">
        <v>0</v>
      </c>
      <c r="CC106" s="138">
        <v>0</v>
      </c>
      <c r="CD106" s="138">
        <v>0</v>
      </c>
      <c r="CE106" s="138">
        <v>0</v>
      </c>
      <c r="CF106" s="138">
        <v>0</v>
      </c>
      <c r="CG106" s="138">
        <v>0</v>
      </c>
      <c r="CH106" s="138">
        <v>0</v>
      </c>
      <c r="CI106" s="138">
        <v>0</v>
      </c>
      <c r="CJ106" s="138">
        <v>0</v>
      </c>
      <c r="CK106" s="138">
        <v>0</v>
      </c>
      <c r="CL106" s="138">
        <v>0</v>
      </c>
      <c r="CM106" s="138">
        <v>0</v>
      </c>
      <c r="CN106" s="138">
        <v>0</v>
      </c>
      <c r="CO106" s="86">
        <v>0</v>
      </c>
      <c r="CP106" s="138">
        <v>0</v>
      </c>
      <c r="CQ106" s="138">
        <v>0</v>
      </c>
      <c r="CR106" s="138">
        <v>0</v>
      </c>
      <c r="CS106" s="138">
        <v>0</v>
      </c>
      <c r="CT106" s="138">
        <v>0</v>
      </c>
      <c r="CU106" s="138">
        <v>0</v>
      </c>
      <c r="CV106" s="138">
        <v>0</v>
      </c>
      <c r="CW106" s="138">
        <v>0</v>
      </c>
      <c r="CX106" s="138">
        <v>0</v>
      </c>
      <c r="CY106" s="138">
        <v>0</v>
      </c>
      <c r="CZ106" s="138">
        <v>0</v>
      </c>
      <c r="DA106" s="138">
        <v>0</v>
      </c>
      <c r="DB106" s="86">
        <v>0</v>
      </c>
      <c r="DC106" s="138">
        <v>0</v>
      </c>
      <c r="DD106" s="138">
        <v>94.6063943165464</v>
      </c>
      <c r="DE106" s="138">
        <v>90.8961963128206</v>
      </c>
      <c r="DF106" s="138">
        <v>0</v>
      </c>
      <c r="DG106" s="138">
        <v>93.1485075706086</v>
      </c>
      <c r="DH106" s="138">
        <v>0</v>
      </c>
      <c r="DI106" s="138">
        <v>0</v>
      </c>
      <c r="DJ106" s="138">
        <v>0</v>
      </c>
      <c r="DK106" s="138">
        <v>0</v>
      </c>
      <c r="DL106" s="138">
        <v>0</v>
      </c>
      <c r="DM106" s="138">
        <v>0</v>
      </c>
      <c r="DN106" s="138">
        <v>0</v>
      </c>
      <c r="DO106" s="86">
        <v>278.651098199976</v>
      </c>
      <c r="DP106" s="138">
        <v>0</v>
      </c>
      <c r="DQ106" s="138">
        <v>0</v>
      </c>
      <c r="DR106" s="138">
        <v>0</v>
      </c>
      <c r="DS106" s="138">
        <v>0</v>
      </c>
      <c r="DT106" s="138">
        <v>0</v>
      </c>
      <c r="DU106" s="138">
        <v>0</v>
      </c>
      <c r="DV106" s="138">
        <v>0</v>
      </c>
      <c r="DW106" s="138">
        <v>0</v>
      </c>
      <c r="DX106" s="138">
        <v>0</v>
      </c>
      <c r="DY106" s="138">
        <v>0</v>
      </c>
      <c r="DZ106" s="138">
        <v>0</v>
      </c>
      <c r="EA106" s="138">
        <v>0</v>
      </c>
      <c r="EB106" s="85">
        <v>0</v>
      </c>
      <c r="EC106" s="87">
        <v>0</v>
      </c>
      <c r="ED106" s="85">
        <v>0</v>
      </c>
      <c r="EE106" s="85">
        <v>0</v>
      </c>
      <c r="EF106" s="85">
        <v>0</v>
      </c>
      <c r="EG106" s="85">
        <v>0</v>
      </c>
      <c r="EH106" s="85">
        <v>0</v>
      </c>
      <c r="EI106" s="85">
        <v>0</v>
      </c>
      <c r="EJ106" s="85">
        <v>0</v>
      </c>
      <c r="EK106" s="85">
        <v>0</v>
      </c>
      <c r="EL106" s="85">
        <v>0</v>
      </c>
      <c r="EM106" s="85">
        <v>0</v>
      </c>
      <c r="EN106" s="85">
        <v>0</v>
      </c>
      <c r="EO106" s="152">
        <v>0</v>
      </c>
      <c r="EP106" s="85">
        <v>0</v>
      </c>
      <c r="EQ106" s="85">
        <v>0</v>
      </c>
      <c r="ER106" s="85">
        <v>0</v>
      </c>
      <c r="ES106" s="85">
        <v>0</v>
      </c>
      <c r="ET106" s="85">
        <v>0</v>
      </c>
      <c r="EU106" s="85">
        <v>0</v>
      </c>
      <c r="EV106" s="85">
        <v>0</v>
      </c>
      <c r="EW106" s="85">
        <v>0</v>
      </c>
      <c r="EX106" s="85">
        <v>0</v>
      </c>
      <c r="EY106" s="85">
        <v>0</v>
      </c>
      <c r="EZ106" s="85">
        <v>0</v>
      </c>
      <c r="FA106" s="85">
        <v>0</v>
      </c>
      <c r="FB106" s="85">
        <v>0</v>
      </c>
      <c r="FC106" s="87">
        <v>0</v>
      </c>
      <c r="FD106" s="85">
        <v>0</v>
      </c>
      <c r="FE106" s="85">
        <v>0</v>
      </c>
      <c r="FF106" s="85">
        <v>0</v>
      </c>
      <c r="FG106" s="85">
        <v>0</v>
      </c>
      <c r="FH106" s="85">
        <v>0</v>
      </c>
      <c r="FI106" s="85">
        <v>0</v>
      </c>
      <c r="FJ106" s="85">
        <v>0</v>
      </c>
      <c r="FK106" s="85">
        <v>0</v>
      </c>
      <c r="FL106" s="85">
        <v>0</v>
      </c>
      <c r="FM106" s="85">
        <v>0</v>
      </c>
      <c r="FN106" s="85">
        <v>0</v>
      </c>
      <c r="FO106" s="86">
        <v>0</v>
      </c>
      <c r="FP106" s="87">
        <v>141.588242512342</v>
      </c>
      <c r="FQ106" s="85">
        <v>76.1415280652914</v>
      </c>
      <c r="FR106" s="85">
        <v>68.2982356289129</v>
      </c>
      <c r="FS106" s="85">
        <v>0</v>
      </c>
      <c r="FT106" s="85">
        <v>0</v>
      </c>
      <c r="FU106" s="85">
        <v>0</v>
      </c>
      <c r="FV106" s="85">
        <v>0</v>
      </c>
      <c r="FW106" s="85">
        <v>0</v>
      </c>
      <c r="FX106" s="85">
        <v>0</v>
      </c>
      <c r="FY106" s="85">
        <v>0</v>
      </c>
      <c r="FZ106" s="85">
        <v>0</v>
      </c>
      <c r="GA106" s="85">
        <v>0</v>
      </c>
      <c r="GB106" s="152">
        <v>286.028006206546</v>
      </c>
      <c r="GD106" s="153"/>
    </row>
    <row r="107" spans="1:186">
      <c r="A107" s="137" t="s">
        <v>239</v>
      </c>
      <c r="B107" s="151">
        <v>19200.6009233303</v>
      </c>
      <c r="C107" s="138">
        <f t="shared" si="24"/>
        <v>114.689236426543</v>
      </c>
      <c r="D107" s="138">
        <f t="shared" si="13"/>
        <v>1016.92300333518</v>
      </c>
      <c r="E107" s="138">
        <f t="shared" si="14"/>
        <v>245.934116982662</v>
      </c>
      <c r="F107" s="138">
        <f t="shared" si="15"/>
        <v>128.68226493905</v>
      </c>
      <c r="G107" s="138">
        <f t="shared" si="16"/>
        <v>267.432560004073</v>
      </c>
      <c r="H107" s="138">
        <f t="shared" si="17"/>
        <v>0</v>
      </c>
      <c r="I107" s="138">
        <f t="shared" si="18"/>
        <v>0</v>
      </c>
      <c r="J107" s="138">
        <f t="shared" si="19"/>
        <v>0</v>
      </c>
      <c r="K107" s="138">
        <f t="shared" si="20"/>
        <v>0</v>
      </c>
      <c r="L107" s="138">
        <f t="shared" si="21"/>
        <v>0</v>
      </c>
      <c r="M107" s="138">
        <f t="shared" si="22"/>
        <v>0</v>
      </c>
      <c r="N107" s="138">
        <f t="shared" si="23"/>
        <v>0</v>
      </c>
      <c r="O107" s="86">
        <f t="shared" si="25"/>
        <v>1773.66118168751</v>
      </c>
      <c r="P107" s="138">
        <v>0</v>
      </c>
      <c r="Q107" s="138">
        <v>0</v>
      </c>
      <c r="R107" s="138">
        <v>0</v>
      </c>
      <c r="S107" s="138">
        <v>0</v>
      </c>
      <c r="T107" s="138">
        <v>0</v>
      </c>
      <c r="U107" s="138">
        <v>0</v>
      </c>
      <c r="V107" s="138">
        <v>0</v>
      </c>
      <c r="W107" s="138">
        <v>0</v>
      </c>
      <c r="X107" s="138">
        <v>0</v>
      </c>
      <c r="Y107" s="138">
        <v>0</v>
      </c>
      <c r="Z107" s="138">
        <v>0</v>
      </c>
      <c r="AA107" s="138">
        <v>0</v>
      </c>
      <c r="AB107" s="86">
        <v>0</v>
      </c>
      <c r="AC107" s="138">
        <v>0</v>
      </c>
      <c r="AD107" s="138">
        <v>0</v>
      </c>
      <c r="AE107" s="138">
        <v>0</v>
      </c>
      <c r="AF107" s="138">
        <v>0</v>
      </c>
      <c r="AG107" s="138">
        <v>0</v>
      </c>
      <c r="AH107" s="138">
        <v>0</v>
      </c>
      <c r="AI107" s="138">
        <v>0</v>
      </c>
      <c r="AJ107" s="138">
        <v>0</v>
      </c>
      <c r="AK107" s="138">
        <v>0</v>
      </c>
      <c r="AL107" s="138">
        <v>0</v>
      </c>
      <c r="AM107" s="138">
        <v>0</v>
      </c>
      <c r="AN107" s="138">
        <v>0</v>
      </c>
      <c r="AO107" s="86">
        <v>0</v>
      </c>
      <c r="AP107" s="138">
        <v>0</v>
      </c>
      <c r="AQ107" s="138">
        <v>0</v>
      </c>
      <c r="AR107" s="138">
        <v>0</v>
      </c>
      <c r="AS107" s="138">
        <v>0</v>
      </c>
      <c r="AT107" s="138">
        <v>0</v>
      </c>
      <c r="AU107" s="138">
        <v>0</v>
      </c>
      <c r="AV107" s="138">
        <v>0</v>
      </c>
      <c r="AW107" s="138">
        <v>0</v>
      </c>
      <c r="AX107" s="138">
        <v>0</v>
      </c>
      <c r="AY107" s="138">
        <v>0</v>
      </c>
      <c r="AZ107" s="138">
        <v>0</v>
      </c>
      <c r="BA107" s="138">
        <v>0</v>
      </c>
      <c r="BB107" s="86">
        <v>0</v>
      </c>
      <c r="BC107" s="138">
        <v>65.0560391787498</v>
      </c>
      <c r="BD107" s="138">
        <v>0</v>
      </c>
      <c r="BE107" s="138">
        <v>0</v>
      </c>
      <c r="BF107" s="138">
        <v>0</v>
      </c>
      <c r="BG107" s="138">
        <v>0</v>
      </c>
      <c r="BH107" s="138">
        <v>0</v>
      </c>
      <c r="BI107" s="138">
        <v>0</v>
      </c>
      <c r="BJ107" s="138">
        <v>0</v>
      </c>
      <c r="BK107" s="138">
        <v>0</v>
      </c>
      <c r="BL107" s="138">
        <v>0</v>
      </c>
      <c r="BM107" s="138">
        <v>0</v>
      </c>
      <c r="BN107" s="138">
        <v>0</v>
      </c>
      <c r="BO107" s="86">
        <v>65.0560391787498</v>
      </c>
      <c r="BP107" s="138">
        <v>0</v>
      </c>
      <c r="BQ107" s="138">
        <v>0</v>
      </c>
      <c r="BR107" s="138">
        <v>0</v>
      </c>
      <c r="BS107" s="138">
        <v>0</v>
      </c>
      <c r="BT107" s="138">
        <v>0</v>
      </c>
      <c r="BU107" s="138">
        <v>0</v>
      </c>
      <c r="BV107" s="138">
        <v>0</v>
      </c>
      <c r="BW107" s="138">
        <v>0</v>
      </c>
      <c r="BX107" s="138">
        <v>0</v>
      </c>
      <c r="BY107" s="138">
        <v>0</v>
      </c>
      <c r="BZ107" s="138">
        <v>0</v>
      </c>
      <c r="CA107" s="138">
        <v>0</v>
      </c>
      <c r="CB107" s="86">
        <v>0</v>
      </c>
      <c r="CC107" s="138">
        <v>49.6331972477936</v>
      </c>
      <c r="CD107" s="138">
        <v>48.7848458624591</v>
      </c>
      <c r="CE107" s="138">
        <v>0</v>
      </c>
      <c r="CF107" s="138">
        <v>0</v>
      </c>
      <c r="CG107" s="138">
        <v>47.6710134622694</v>
      </c>
      <c r="CH107" s="138">
        <v>0</v>
      </c>
      <c r="CI107" s="138">
        <v>0</v>
      </c>
      <c r="CJ107" s="138">
        <v>0</v>
      </c>
      <c r="CK107" s="138">
        <v>0</v>
      </c>
      <c r="CL107" s="138">
        <v>0</v>
      </c>
      <c r="CM107" s="138">
        <v>0</v>
      </c>
      <c r="CN107" s="138">
        <v>0</v>
      </c>
      <c r="CO107" s="86">
        <v>146.089056572522</v>
      </c>
      <c r="CP107" s="138">
        <v>0</v>
      </c>
      <c r="CQ107" s="138">
        <v>0</v>
      </c>
      <c r="CR107" s="138">
        <v>0</v>
      </c>
      <c r="CS107" s="138">
        <v>0</v>
      </c>
      <c r="CT107" s="138">
        <v>0</v>
      </c>
      <c r="CU107" s="138">
        <v>0</v>
      </c>
      <c r="CV107" s="138">
        <v>0</v>
      </c>
      <c r="CW107" s="138">
        <v>0</v>
      </c>
      <c r="CX107" s="138">
        <v>0</v>
      </c>
      <c r="CY107" s="138">
        <v>0</v>
      </c>
      <c r="CZ107" s="138">
        <v>0</v>
      </c>
      <c r="DA107" s="138">
        <v>0</v>
      </c>
      <c r="DB107" s="86">
        <v>0</v>
      </c>
      <c r="DC107" s="138">
        <v>0</v>
      </c>
      <c r="DD107" s="138">
        <v>0</v>
      </c>
      <c r="DE107" s="138">
        <v>0</v>
      </c>
      <c r="DF107" s="138">
        <v>0</v>
      </c>
      <c r="DG107" s="138">
        <v>0</v>
      </c>
      <c r="DH107" s="138">
        <v>0</v>
      </c>
      <c r="DI107" s="138">
        <v>0</v>
      </c>
      <c r="DJ107" s="138">
        <v>0</v>
      </c>
      <c r="DK107" s="138">
        <v>0</v>
      </c>
      <c r="DL107" s="138">
        <v>0</v>
      </c>
      <c r="DM107" s="138">
        <v>0</v>
      </c>
      <c r="DN107" s="138">
        <v>0</v>
      </c>
      <c r="DO107" s="86">
        <v>0</v>
      </c>
      <c r="DP107" s="138">
        <v>0</v>
      </c>
      <c r="DQ107" s="138">
        <v>0</v>
      </c>
      <c r="DR107" s="138">
        <v>0</v>
      </c>
      <c r="DS107" s="138">
        <v>0</v>
      </c>
      <c r="DT107" s="138">
        <v>0</v>
      </c>
      <c r="DU107" s="138">
        <v>0</v>
      </c>
      <c r="DV107" s="138">
        <v>0</v>
      </c>
      <c r="DW107" s="138">
        <v>0</v>
      </c>
      <c r="DX107" s="138">
        <v>0</v>
      </c>
      <c r="DY107" s="138">
        <v>0</v>
      </c>
      <c r="DZ107" s="138">
        <v>0</v>
      </c>
      <c r="EA107" s="138">
        <v>0</v>
      </c>
      <c r="EB107" s="85">
        <v>0</v>
      </c>
      <c r="EC107" s="87">
        <v>0</v>
      </c>
      <c r="ED107" s="85">
        <v>0</v>
      </c>
      <c r="EE107" s="85">
        <v>0</v>
      </c>
      <c r="EF107" s="85">
        <v>0</v>
      </c>
      <c r="EG107" s="85">
        <v>0</v>
      </c>
      <c r="EH107" s="85">
        <v>0</v>
      </c>
      <c r="EI107" s="85">
        <v>0</v>
      </c>
      <c r="EJ107" s="85">
        <v>0</v>
      </c>
      <c r="EK107" s="85">
        <v>0</v>
      </c>
      <c r="EL107" s="85">
        <v>0</v>
      </c>
      <c r="EM107" s="85">
        <v>0</v>
      </c>
      <c r="EN107" s="85">
        <v>0</v>
      </c>
      <c r="EO107" s="152">
        <v>0</v>
      </c>
      <c r="EP107" s="85">
        <v>0</v>
      </c>
      <c r="EQ107" s="85">
        <v>0</v>
      </c>
      <c r="ER107" s="85">
        <v>0</v>
      </c>
      <c r="ES107" s="85">
        <v>0</v>
      </c>
      <c r="ET107" s="85">
        <v>0</v>
      </c>
      <c r="EU107" s="85">
        <v>0</v>
      </c>
      <c r="EV107" s="85">
        <v>0</v>
      </c>
      <c r="EW107" s="85">
        <v>0</v>
      </c>
      <c r="EX107" s="85">
        <v>0</v>
      </c>
      <c r="EY107" s="85">
        <v>0</v>
      </c>
      <c r="EZ107" s="85">
        <v>0</v>
      </c>
      <c r="FA107" s="85">
        <v>0</v>
      </c>
      <c r="FB107" s="85">
        <v>0</v>
      </c>
      <c r="FC107" s="87">
        <v>0</v>
      </c>
      <c r="FD107" s="85">
        <v>0</v>
      </c>
      <c r="FE107" s="85">
        <v>0</v>
      </c>
      <c r="FF107" s="85">
        <v>0</v>
      </c>
      <c r="FG107" s="85">
        <v>0</v>
      </c>
      <c r="FH107" s="85">
        <v>0</v>
      </c>
      <c r="FI107" s="85">
        <v>0</v>
      </c>
      <c r="FJ107" s="85">
        <v>0</v>
      </c>
      <c r="FK107" s="85">
        <v>0</v>
      </c>
      <c r="FL107" s="85">
        <v>0</v>
      </c>
      <c r="FM107" s="85">
        <v>0</v>
      </c>
      <c r="FN107" s="85">
        <v>0</v>
      </c>
      <c r="FO107" s="86">
        <v>0</v>
      </c>
      <c r="FP107" s="87">
        <v>0</v>
      </c>
      <c r="FQ107" s="85">
        <v>968.13815747272</v>
      </c>
      <c r="FR107" s="85">
        <v>245.934116982662</v>
      </c>
      <c r="FS107" s="85">
        <v>128.68226493905</v>
      </c>
      <c r="FT107" s="85">
        <v>219.761546541804</v>
      </c>
      <c r="FU107" s="85">
        <v>0</v>
      </c>
      <c r="FV107" s="85">
        <v>0</v>
      </c>
      <c r="FW107" s="85">
        <v>0</v>
      </c>
      <c r="FX107" s="85">
        <v>0</v>
      </c>
      <c r="FY107" s="85">
        <v>0</v>
      </c>
      <c r="FZ107" s="85">
        <v>0</v>
      </c>
      <c r="GA107" s="85">
        <v>0</v>
      </c>
      <c r="GB107" s="152">
        <v>1562.51608593624</v>
      </c>
      <c r="GD107" s="153"/>
    </row>
    <row r="108" spans="1:186">
      <c r="A108" s="137" t="s">
        <v>241</v>
      </c>
      <c r="B108" s="151">
        <v>14583.2191929491</v>
      </c>
      <c r="C108" s="138">
        <f t="shared" si="24"/>
        <v>0</v>
      </c>
      <c r="D108" s="138">
        <f t="shared" si="13"/>
        <v>0</v>
      </c>
      <c r="E108" s="138">
        <f t="shared" si="14"/>
        <v>0</v>
      </c>
      <c r="F108" s="138">
        <f t="shared" si="15"/>
        <v>391.251485635442</v>
      </c>
      <c r="G108" s="138">
        <f t="shared" si="16"/>
        <v>0</v>
      </c>
      <c r="H108" s="138">
        <f t="shared" si="17"/>
        <v>0</v>
      </c>
      <c r="I108" s="138">
        <f t="shared" si="18"/>
        <v>0</v>
      </c>
      <c r="J108" s="138">
        <f t="shared" si="19"/>
        <v>0</v>
      </c>
      <c r="K108" s="138">
        <f t="shared" si="20"/>
        <v>0</v>
      </c>
      <c r="L108" s="138">
        <f t="shared" si="21"/>
        <v>0</v>
      </c>
      <c r="M108" s="138">
        <f t="shared" si="22"/>
        <v>0</v>
      </c>
      <c r="N108" s="138">
        <f t="shared" si="23"/>
        <v>0</v>
      </c>
      <c r="O108" s="86">
        <f t="shared" si="25"/>
        <v>391.251485635442</v>
      </c>
      <c r="P108" s="138">
        <v>0</v>
      </c>
      <c r="Q108" s="138">
        <v>0</v>
      </c>
      <c r="R108" s="138">
        <v>0</v>
      </c>
      <c r="S108" s="138">
        <v>0</v>
      </c>
      <c r="T108" s="138">
        <v>0</v>
      </c>
      <c r="U108" s="138">
        <v>0</v>
      </c>
      <c r="V108" s="138">
        <v>0</v>
      </c>
      <c r="W108" s="138">
        <v>0</v>
      </c>
      <c r="X108" s="138">
        <v>0</v>
      </c>
      <c r="Y108" s="138">
        <v>0</v>
      </c>
      <c r="Z108" s="138">
        <v>0</v>
      </c>
      <c r="AA108" s="138">
        <v>0</v>
      </c>
      <c r="AB108" s="86">
        <v>0</v>
      </c>
      <c r="AC108" s="138">
        <v>0</v>
      </c>
      <c r="AD108" s="138">
        <v>0</v>
      </c>
      <c r="AE108" s="138">
        <v>0</v>
      </c>
      <c r="AF108" s="138">
        <v>0</v>
      </c>
      <c r="AG108" s="138">
        <v>0</v>
      </c>
      <c r="AH108" s="138">
        <v>0</v>
      </c>
      <c r="AI108" s="138">
        <v>0</v>
      </c>
      <c r="AJ108" s="138">
        <v>0</v>
      </c>
      <c r="AK108" s="138">
        <v>0</v>
      </c>
      <c r="AL108" s="138">
        <v>0</v>
      </c>
      <c r="AM108" s="138">
        <v>0</v>
      </c>
      <c r="AN108" s="138">
        <v>0</v>
      </c>
      <c r="AO108" s="86">
        <v>0</v>
      </c>
      <c r="AP108" s="138">
        <v>0</v>
      </c>
      <c r="AQ108" s="138">
        <v>0</v>
      </c>
      <c r="AR108" s="138">
        <v>0</v>
      </c>
      <c r="AS108" s="138">
        <v>0</v>
      </c>
      <c r="AT108" s="138">
        <v>0</v>
      </c>
      <c r="AU108" s="138">
        <v>0</v>
      </c>
      <c r="AV108" s="138">
        <v>0</v>
      </c>
      <c r="AW108" s="138">
        <v>0</v>
      </c>
      <c r="AX108" s="138">
        <v>0</v>
      </c>
      <c r="AY108" s="138">
        <v>0</v>
      </c>
      <c r="AZ108" s="138">
        <v>0</v>
      </c>
      <c r="BA108" s="138">
        <v>0</v>
      </c>
      <c r="BB108" s="86">
        <v>0</v>
      </c>
      <c r="BC108" s="138">
        <v>0</v>
      </c>
      <c r="BD108" s="138">
        <v>0</v>
      </c>
      <c r="BE108" s="138">
        <v>0</v>
      </c>
      <c r="BF108" s="138">
        <v>0</v>
      </c>
      <c r="BG108" s="138">
        <v>0</v>
      </c>
      <c r="BH108" s="138">
        <v>0</v>
      </c>
      <c r="BI108" s="138">
        <v>0</v>
      </c>
      <c r="BJ108" s="138">
        <v>0</v>
      </c>
      <c r="BK108" s="138">
        <v>0</v>
      </c>
      <c r="BL108" s="138">
        <v>0</v>
      </c>
      <c r="BM108" s="138">
        <v>0</v>
      </c>
      <c r="BN108" s="138">
        <v>0</v>
      </c>
      <c r="BO108" s="86">
        <v>0</v>
      </c>
      <c r="BP108" s="138">
        <v>0</v>
      </c>
      <c r="BQ108" s="138">
        <v>0</v>
      </c>
      <c r="BR108" s="138">
        <v>0</v>
      </c>
      <c r="BS108" s="138">
        <v>0</v>
      </c>
      <c r="BT108" s="138">
        <v>0</v>
      </c>
      <c r="BU108" s="138">
        <v>0</v>
      </c>
      <c r="BV108" s="138">
        <v>0</v>
      </c>
      <c r="BW108" s="138">
        <v>0</v>
      </c>
      <c r="BX108" s="138">
        <v>0</v>
      </c>
      <c r="BY108" s="138">
        <v>0</v>
      </c>
      <c r="BZ108" s="138">
        <v>0</v>
      </c>
      <c r="CA108" s="138">
        <v>0</v>
      </c>
      <c r="CB108" s="86">
        <v>0</v>
      </c>
      <c r="CC108" s="138">
        <v>0</v>
      </c>
      <c r="CD108" s="138">
        <v>0</v>
      </c>
      <c r="CE108" s="138">
        <v>0</v>
      </c>
      <c r="CF108" s="138">
        <v>0</v>
      </c>
      <c r="CG108" s="138">
        <v>0</v>
      </c>
      <c r="CH108" s="138">
        <v>0</v>
      </c>
      <c r="CI108" s="138">
        <v>0</v>
      </c>
      <c r="CJ108" s="138">
        <v>0</v>
      </c>
      <c r="CK108" s="138">
        <v>0</v>
      </c>
      <c r="CL108" s="138">
        <v>0</v>
      </c>
      <c r="CM108" s="138">
        <v>0</v>
      </c>
      <c r="CN108" s="138">
        <v>0</v>
      </c>
      <c r="CO108" s="86">
        <v>0</v>
      </c>
      <c r="CP108" s="138">
        <v>0</v>
      </c>
      <c r="CQ108" s="138">
        <v>0</v>
      </c>
      <c r="CR108" s="138">
        <v>0</v>
      </c>
      <c r="CS108" s="138">
        <v>0</v>
      </c>
      <c r="CT108" s="138">
        <v>0</v>
      </c>
      <c r="CU108" s="138">
        <v>0</v>
      </c>
      <c r="CV108" s="138">
        <v>0</v>
      </c>
      <c r="CW108" s="138">
        <v>0</v>
      </c>
      <c r="CX108" s="138">
        <v>0</v>
      </c>
      <c r="CY108" s="138">
        <v>0</v>
      </c>
      <c r="CZ108" s="138">
        <v>0</v>
      </c>
      <c r="DA108" s="138">
        <v>0</v>
      </c>
      <c r="DB108" s="86">
        <v>0</v>
      </c>
      <c r="DC108" s="138">
        <v>0</v>
      </c>
      <c r="DD108" s="138">
        <v>0</v>
      </c>
      <c r="DE108" s="138">
        <v>0</v>
      </c>
      <c r="DF108" s="138">
        <v>0</v>
      </c>
      <c r="DG108" s="138">
        <v>0</v>
      </c>
      <c r="DH108" s="138">
        <v>0</v>
      </c>
      <c r="DI108" s="138">
        <v>0</v>
      </c>
      <c r="DJ108" s="138">
        <v>0</v>
      </c>
      <c r="DK108" s="138">
        <v>0</v>
      </c>
      <c r="DL108" s="138">
        <v>0</v>
      </c>
      <c r="DM108" s="138">
        <v>0</v>
      </c>
      <c r="DN108" s="138">
        <v>0</v>
      </c>
      <c r="DO108" s="86">
        <v>0</v>
      </c>
      <c r="DP108" s="138">
        <v>0</v>
      </c>
      <c r="DQ108" s="138">
        <v>0</v>
      </c>
      <c r="DR108" s="138">
        <v>0</v>
      </c>
      <c r="DS108" s="138">
        <v>0</v>
      </c>
      <c r="DT108" s="138">
        <v>0</v>
      </c>
      <c r="DU108" s="138">
        <v>0</v>
      </c>
      <c r="DV108" s="138">
        <v>0</v>
      </c>
      <c r="DW108" s="138">
        <v>0</v>
      </c>
      <c r="DX108" s="138">
        <v>0</v>
      </c>
      <c r="DY108" s="138">
        <v>0</v>
      </c>
      <c r="DZ108" s="138">
        <v>0</v>
      </c>
      <c r="EA108" s="138">
        <v>0</v>
      </c>
      <c r="EB108" s="85">
        <v>0</v>
      </c>
      <c r="EC108" s="87">
        <v>0</v>
      </c>
      <c r="ED108" s="85">
        <v>0</v>
      </c>
      <c r="EE108" s="85">
        <v>0</v>
      </c>
      <c r="EF108" s="85">
        <v>0</v>
      </c>
      <c r="EG108" s="85">
        <v>0</v>
      </c>
      <c r="EH108" s="85">
        <v>0</v>
      </c>
      <c r="EI108" s="85">
        <v>0</v>
      </c>
      <c r="EJ108" s="85">
        <v>0</v>
      </c>
      <c r="EK108" s="85">
        <v>0</v>
      </c>
      <c r="EL108" s="85">
        <v>0</v>
      </c>
      <c r="EM108" s="85">
        <v>0</v>
      </c>
      <c r="EN108" s="85">
        <v>0</v>
      </c>
      <c r="EO108" s="152">
        <v>0</v>
      </c>
      <c r="EP108" s="85">
        <v>0</v>
      </c>
      <c r="EQ108" s="85">
        <v>0</v>
      </c>
      <c r="ER108" s="85">
        <v>0</v>
      </c>
      <c r="ES108" s="85">
        <v>0</v>
      </c>
      <c r="ET108" s="85">
        <v>0</v>
      </c>
      <c r="EU108" s="85">
        <v>0</v>
      </c>
      <c r="EV108" s="85">
        <v>0</v>
      </c>
      <c r="EW108" s="85">
        <v>0</v>
      </c>
      <c r="EX108" s="85">
        <v>0</v>
      </c>
      <c r="EY108" s="85">
        <v>0</v>
      </c>
      <c r="EZ108" s="85">
        <v>0</v>
      </c>
      <c r="FA108" s="85">
        <v>0</v>
      </c>
      <c r="FB108" s="85">
        <v>0</v>
      </c>
      <c r="FC108" s="87">
        <v>0</v>
      </c>
      <c r="FD108" s="85">
        <v>0</v>
      </c>
      <c r="FE108" s="85">
        <v>0</v>
      </c>
      <c r="FF108" s="85">
        <v>0</v>
      </c>
      <c r="FG108" s="85">
        <v>0</v>
      </c>
      <c r="FH108" s="85">
        <v>0</v>
      </c>
      <c r="FI108" s="85">
        <v>0</v>
      </c>
      <c r="FJ108" s="85">
        <v>0</v>
      </c>
      <c r="FK108" s="85">
        <v>0</v>
      </c>
      <c r="FL108" s="85">
        <v>0</v>
      </c>
      <c r="FM108" s="85">
        <v>0</v>
      </c>
      <c r="FN108" s="85">
        <v>0</v>
      </c>
      <c r="FO108" s="86">
        <v>0</v>
      </c>
      <c r="FP108" s="87">
        <v>0</v>
      </c>
      <c r="FQ108" s="85">
        <v>0</v>
      </c>
      <c r="FR108" s="85">
        <v>0</v>
      </c>
      <c r="FS108" s="85">
        <v>391.251485635442</v>
      </c>
      <c r="FT108" s="85">
        <v>0</v>
      </c>
      <c r="FU108" s="85">
        <v>0</v>
      </c>
      <c r="FV108" s="85">
        <v>0</v>
      </c>
      <c r="FW108" s="85">
        <v>0</v>
      </c>
      <c r="FX108" s="85">
        <v>0</v>
      </c>
      <c r="FY108" s="85">
        <v>0</v>
      </c>
      <c r="FZ108" s="85">
        <v>0</v>
      </c>
      <c r="GA108" s="85">
        <v>0</v>
      </c>
      <c r="GB108" s="152">
        <v>391.251485635442</v>
      </c>
      <c r="GD108" s="153"/>
    </row>
    <row r="109" spans="1:186">
      <c r="A109" s="137" t="s">
        <v>243</v>
      </c>
      <c r="B109" s="151">
        <v>9695.06954278979</v>
      </c>
      <c r="C109" s="138">
        <f t="shared" si="24"/>
        <v>0</v>
      </c>
      <c r="D109" s="138">
        <f t="shared" si="13"/>
        <v>189.212330556113</v>
      </c>
      <c r="E109" s="138">
        <f t="shared" si="14"/>
        <v>0</v>
      </c>
      <c r="F109" s="138">
        <f t="shared" si="15"/>
        <v>0</v>
      </c>
      <c r="G109" s="138">
        <f t="shared" si="16"/>
        <v>0</v>
      </c>
      <c r="H109" s="138">
        <f t="shared" si="17"/>
        <v>0</v>
      </c>
      <c r="I109" s="138">
        <f t="shared" si="18"/>
        <v>0</v>
      </c>
      <c r="J109" s="138">
        <f t="shared" si="19"/>
        <v>0</v>
      </c>
      <c r="K109" s="138">
        <f t="shared" si="20"/>
        <v>0</v>
      </c>
      <c r="L109" s="138">
        <f t="shared" si="21"/>
        <v>0</v>
      </c>
      <c r="M109" s="138">
        <f t="shared" si="22"/>
        <v>0</v>
      </c>
      <c r="N109" s="138">
        <f t="shared" si="23"/>
        <v>0</v>
      </c>
      <c r="O109" s="86">
        <f t="shared" si="25"/>
        <v>189.212330556113</v>
      </c>
      <c r="P109" s="138">
        <v>0</v>
      </c>
      <c r="Q109" s="138">
        <v>0</v>
      </c>
      <c r="R109" s="138">
        <v>0</v>
      </c>
      <c r="S109" s="138">
        <v>0</v>
      </c>
      <c r="T109" s="138">
        <v>0</v>
      </c>
      <c r="U109" s="138">
        <v>0</v>
      </c>
      <c r="V109" s="138">
        <v>0</v>
      </c>
      <c r="W109" s="138">
        <v>0</v>
      </c>
      <c r="X109" s="138">
        <v>0</v>
      </c>
      <c r="Y109" s="138">
        <v>0</v>
      </c>
      <c r="Z109" s="138">
        <v>0</v>
      </c>
      <c r="AA109" s="138">
        <v>0</v>
      </c>
      <c r="AB109" s="86">
        <v>0</v>
      </c>
      <c r="AC109" s="138">
        <v>0</v>
      </c>
      <c r="AD109" s="138">
        <v>0</v>
      </c>
      <c r="AE109" s="138">
        <v>0</v>
      </c>
      <c r="AF109" s="138">
        <v>0</v>
      </c>
      <c r="AG109" s="138">
        <v>0</v>
      </c>
      <c r="AH109" s="138">
        <v>0</v>
      </c>
      <c r="AI109" s="138">
        <v>0</v>
      </c>
      <c r="AJ109" s="138">
        <v>0</v>
      </c>
      <c r="AK109" s="138">
        <v>0</v>
      </c>
      <c r="AL109" s="138">
        <v>0</v>
      </c>
      <c r="AM109" s="138">
        <v>0</v>
      </c>
      <c r="AN109" s="138">
        <v>0</v>
      </c>
      <c r="AO109" s="86">
        <v>0</v>
      </c>
      <c r="AP109" s="138">
        <v>0</v>
      </c>
      <c r="AQ109" s="138">
        <v>0</v>
      </c>
      <c r="AR109" s="138">
        <v>0</v>
      </c>
      <c r="AS109" s="138">
        <v>0</v>
      </c>
      <c r="AT109" s="138">
        <v>0</v>
      </c>
      <c r="AU109" s="138">
        <v>0</v>
      </c>
      <c r="AV109" s="138">
        <v>0</v>
      </c>
      <c r="AW109" s="138">
        <v>0</v>
      </c>
      <c r="AX109" s="138">
        <v>0</v>
      </c>
      <c r="AY109" s="138">
        <v>0</v>
      </c>
      <c r="AZ109" s="138">
        <v>0</v>
      </c>
      <c r="BA109" s="138">
        <v>0</v>
      </c>
      <c r="BB109" s="86">
        <v>0</v>
      </c>
      <c r="BC109" s="138">
        <v>0</v>
      </c>
      <c r="BD109" s="138">
        <v>0</v>
      </c>
      <c r="BE109" s="138">
        <v>0</v>
      </c>
      <c r="BF109" s="138">
        <v>0</v>
      </c>
      <c r="BG109" s="138">
        <v>0</v>
      </c>
      <c r="BH109" s="138">
        <v>0</v>
      </c>
      <c r="BI109" s="138">
        <v>0</v>
      </c>
      <c r="BJ109" s="138">
        <v>0</v>
      </c>
      <c r="BK109" s="138">
        <v>0</v>
      </c>
      <c r="BL109" s="138">
        <v>0</v>
      </c>
      <c r="BM109" s="138">
        <v>0</v>
      </c>
      <c r="BN109" s="138">
        <v>0</v>
      </c>
      <c r="BO109" s="86">
        <v>0</v>
      </c>
      <c r="BP109" s="138">
        <v>0</v>
      </c>
      <c r="BQ109" s="138">
        <v>0</v>
      </c>
      <c r="BR109" s="138">
        <v>0</v>
      </c>
      <c r="BS109" s="138">
        <v>0</v>
      </c>
      <c r="BT109" s="138">
        <v>0</v>
      </c>
      <c r="BU109" s="138">
        <v>0</v>
      </c>
      <c r="BV109" s="138">
        <v>0</v>
      </c>
      <c r="BW109" s="138">
        <v>0</v>
      </c>
      <c r="BX109" s="138">
        <v>0</v>
      </c>
      <c r="BY109" s="138">
        <v>0</v>
      </c>
      <c r="BZ109" s="138">
        <v>0</v>
      </c>
      <c r="CA109" s="138">
        <v>0</v>
      </c>
      <c r="CB109" s="86">
        <v>0</v>
      </c>
      <c r="CC109" s="138">
        <v>0</v>
      </c>
      <c r="CD109" s="138">
        <v>0</v>
      </c>
      <c r="CE109" s="138">
        <v>0</v>
      </c>
      <c r="CF109" s="138">
        <v>0</v>
      </c>
      <c r="CG109" s="138">
        <v>0</v>
      </c>
      <c r="CH109" s="138">
        <v>0</v>
      </c>
      <c r="CI109" s="138">
        <v>0</v>
      </c>
      <c r="CJ109" s="138">
        <v>0</v>
      </c>
      <c r="CK109" s="138">
        <v>0</v>
      </c>
      <c r="CL109" s="138">
        <v>0</v>
      </c>
      <c r="CM109" s="138">
        <v>0</v>
      </c>
      <c r="CN109" s="138">
        <v>0</v>
      </c>
      <c r="CO109" s="86">
        <v>0</v>
      </c>
      <c r="CP109" s="138">
        <v>0</v>
      </c>
      <c r="CQ109" s="138">
        <v>0</v>
      </c>
      <c r="CR109" s="138">
        <v>0</v>
      </c>
      <c r="CS109" s="138">
        <v>0</v>
      </c>
      <c r="CT109" s="138">
        <v>0</v>
      </c>
      <c r="CU109" s="138">
        <v>0</v>
      </c>
      <c r="CV109" s="138">
        <v>0</v>
      </c>
      <c r="CW109" s="138">
        <v>0</v>
      </c>
      <c r="CX109" s="138">
        <v>0</v>
      </c>
      <c r="CY109" s="138">
        <v>0</v>
      </c>
      <c r="CZ109" s="138">
        <v>0</v>
      </c>
      <c r="DA109" s="138">
        <v>0</v>
      </c>
      <c r="DB109" s="86">
        <v>0</v>
      </c>
      <c r="DC109" s="138">
        <v>0</v>
      </c>
      <c r="DD109" s="138">
        <v>189.212330556113</v>
      </c>
      <c r="DE109" s="138">
        <v>0</v>
      </c>
      <c r="DF109" s="138">
        <v>0</v>
      </c>
      <c r="DG109" s="138">
        <v>0</v>
      </c>
      <c r="DH109" s="138">
        <v>0</v>
      </c>
      <c r="DI109" s="138">
        <v>0</v>
      </c>
      <c r="DJ109" s="138">
        <v>0</v>
      </c>
      <c r="DK109" s="138">
        <v>0</v>
      </c>
      <c r="DL109" s="138">
        <v>0</v>
      </c>
      <c r="DM109" s="138">
        <v>0</v>
      </c>
      <c r="DN109" s="138">
        <v>0</v>
      </c>
      <c r="DO109" s="86">
        <v>189.212330556113</v>
      </c>
      <c r="DP109" s="138">
        <v>0</v>
      </c>
      <c r="DQ109" s="138">
        <v>0</v>
      </c>
      <c r="DR109" s="138">
        <v>0</v>
      </c>
      <c r="DS109" s="138">
        <v>0</v>
      </c>
      <c r="DT109" s="138">
        <v>0</v>
      </c>
      <c r="DU109" s="138">
        <v>0</v>
      </c>
      <c r="DV109" s="138">
        <v>0</v>
      </c>
      <c r="DW109" s="138">
        <v>0</v>
      </c>
      <c r="DX109" s="138">
        <v>0</v>
      </c>
      <c r="DY109" s="138">
        <v>0</v>
      </c>
      <c r="DZ109" s="138">
        <v>0</v>
      </c>
      <c r="EA109" s="138">
        <v>0</v>
      </c>
      <c r="EB109" s="85">
        <v>0</v>
      </c>
      <c r="EC109" s="87">
        <v>0</v>
      </c>
      <c r="ED109" s="85">
        <v>0</v>
      </c>
      <c r="EE109" s="85">
        <v>0</v>
      </c>
      <c r="EF109" s="85">
        <v>0</v>
      </c>
      <c r="EG109" s="85">
        <v>0</v>
      </c>
      <c r="EH109" s="85">
        <v>0</v>
      </c>
      <c r="EI109" s="85">
        <v>0</v>
      </c>
      <c r="EJ109" s="85">
        <v>0</v>
      </c>
      <c r="EK109" s="85">
        <v>0</v>
      </c>
      <c r="EL109" s="85">
        <v>0</v>
      </c>
      <c r="EM109" s="85">
        <v>0</v>
      </c>
      <c r="EN109" s="85">
        <v>0</v>
      </c>
      <c r="EO109" s="152">
        <v>0</v>
      </c>
      <c r="EP109" s="85">
        <v>0</v>
      </c>
      <c r="EQ109" s="85">
        <v>0</v>
      </c>
      <c r="ER109" s="85">
        <v>0</v>
      </c>
      <c r="ES109" s="85">
        <v>0</v>
      </c>
      <c r="ET109" s="85">
        <v>0</v>
      </c>
      <c r="EU109" s="85">
        <v>0</v>
      </c>
      <c r="EV109" s="85">
        <v>0</v>
      </c>
      <c r="EW109" s="85">
        <v>0</v>
      </c>
      <c r="EX109" s="85">
        <v>0</v>
      </c>
      <c r="EY109" s="85">
        <v>0</v>
      </c>
      <c r="EZ109" s="85">
        <v>0</v>
      </c>
      <c r="FA109" s="85">
        <v>0</v>
      </c>
      <c r="FB109" s="85">
        <v>0</v>
      </c>
      <c r="FC109" s="87">
        <v>0</v>
      </c>
      <c r="FD109" s="85">
        <v>0</v>
      </c>
      <c r="FE109" s="85">
        <v>0</v>
      </c>
      <c r="FF109" s="85">
        <v>0</v>
      </c>
      <c r="FG109" s="85">
        <v>0</v>
      </c>
      <c r="FH109" s="85">
        <v>0</v>
      </c>
      <c r="FI109" s="85">
        <v>0</v>
      </c>
      <c r="FJ109" s="85">
        <v>0</v>
      </c>
      <c r="FK109" s="85">
        <v>0</v>
      </c>
      <c r="FL109" s="85">
        <v>0</v>
      </c>
      <c r="FM109" s="85">
        <v>0</v>
      </c>
      <c r="FN109" s="85">
        <v>0</v>
      </c>
      <c r="FO109" s="86">
        <v>0</v>
      </c>
      <c r="FP109" s="87">
        <v>0</v>
      </c>
      <c r="FQ109" s="85">
        <v>0</v>
      </c>
      <c r="FR109" s="85">
        <v>0</v>
      </c>
      <c r="FS109" s="85">
        <v>0</v>
      </c>
      <c r="FT109" s="85">
        <v>0</v>
      </c>
      <c r="FU109" s="85">
        <v>0</v>
      </c>
      <c r="FV109" s="85">
        <v>0</v>
      </c>
      <c r="FW109" s="85">
        <v>0</v>
      </c>
      <c r="FX109" s="85">
        <v>0</v>
      </c>
      <c r="FY109" s="85">
        <v>0</v>
      </c>
      <c r="FZ109" s="85">
        <v>0</v>
      </c>
      <c r="GA109" s="85">
        <v>0</v>
      </c>
      <c r="GB109" s="152">
        <v>0</v>
      </c>
      <c r="GD109" s="153"/>
    </row>
    <row r="110" spans="1:186">
      <c r="A110" s="137" t="s">
        <v>245</v>
      </c>
      <c r="B110" s="151">
        <v>460807.301531358</v>
      </c>
      <c r="C110" s="138">
        <f t="shared" si="24"/>
        <v>0</v>
      </c>
      <c r="D110" s="138">
        <f t="shared" si="13"/>
        <v>0</v>
      </c>
      <c r="E110" s="138">
        <f t="shared" si="14"/>
        <v>0</v>
      </c>
      <c r="F110" s="138">
        <f t="shared" si="15"/>
        <v>0</v>
      </c>
      <c r="G110" s="138">
        <f t="shared" si="16"/>
        <v>0</v>
      </c>
      <c r="H110" s="138">
        <f t="shared" si="17"/>
        <v>0</v>
      </c>
      <c r="I110" s="138">
        <f t="shared" si="18"/>
        <v>0</v>
      </c>
      <c r="J110" s="138">
        <f t="shared" si="19"/>
        <v>0</v>
      </c>
      <c r="K110" s="138">
        <f t="shared" si="20"/>
        <v>0</v>
      </c>
      <c r="L110" s="138">
        <f t="shared" si="21"/>
        <v>0</v>
      </c>
      <c r="M110" s="138">
        <f t="shared" si="22"/>
        <v>0</v>
      </c>
      <c r="N110" s="138">
        <f t="shared" si="23"/>
        <v>0</v>
      </c>
      <c r="O110" s="86">
        <f t="shared" si="25"/>
        <v>0</v>
      </c>
      <c r="P110" s="138">
        <v>0</v>
      </c>
      <c r="Q110" s="138">
        <v>0</v>
      </c>
      <c r="R110" s="138">
        <v>0</v>
      </c>
      <c r="S110" s="138">
        <v>0</v>
      </c>
      <c r="T110" s="138">
        <v>0</v>
      </c>
      <c r="U110" s="138">
        <v>0</v>
      </c>
      <c r="V110" s="138">
        <v>0</v>
      </c>
      <c r="W110" s="138">
        <v>0</v>
      </c>
      <c r="X110" s="138">
        <v>0</v>
      </c>
      <c r="Y110" s="138">
        <v>0</v>
      </c>
      <c r="Z110" s="138">
        <v>0</v>
      </c>
      <c r="AA110" s="138">
        <v>0</v>
      </c>
      <c r="AB110" s="86">
        <v>0</v>
      </c>
      <c r="AC110" s="138">
        <v>0</v>
      </c>
      <c r="AD110" s="138">
        <v>0</v>
      </c>
      <c r="AE110" s="138">
        <v>0</v>
      </c>
      <c r="AF110" s="138">
        <v>0</v>
      </c>
      <c r="AG110" s="138">
        <v>0</v>
      </c>
      <c r="AH110" s="138">
        <v>0</v>
      </c>
      <c r="AI110" s="138">
        <v>0</v>
      </c>
      <c r="AJ110" s="138">
        <v>0</v>
      </c>
      <c r="AK110" s="138">
        <v>0</v>
      </c>
      <c r="AL110" s="138">
        <v>0</v>
      </c>
      <c r="AM110" s="138">
        <v>0</v>
      </c>
      <c r="AN110" s="138">
        <v>0</v>
      </c>
      <c r="AO110" s="86">
        <v>0</v>
      </c>
      <c r="AP110" s="138">
        <v>0</v>
      </c>
      <c r="AQ110" s="138">
        <v>0</v>
      </c>
      <c r="AR110" s="138">
        <v>0</v>
      </c>
      <c r="AS110" s="138">
        <v>0</v>
      </c>
      <c r="AT110" s="138">
        <v>0</v>
      </c>
      <c r="AU110" s="138">
        <v>0</v>
      </c>
      <c r="AV110" s="138">
        <v>0</v>
      </c>
      <c r="AW110" s="138">
        <v>0</v>
      </c>
      <c r="AX110" s="138">
        <v>0</v>
      </c>
      <c r="AY110" s="138">
        <v>0</v>
      </c>
      <c r="AZ110" s="138">
        <v>0</v>
      </c>
      <c r="BA110" s="138">
        <v>0</v>
      </c>
      <c r="BB110" s="86">
        <v>0</v>
      </c>
      <c r="BC110" s="138">
        <v>0</v>
      </c>
      <c r="BD110" s="138">
        <v>0</v>
      </c>
      <c r="BE110" s="138">
        <v>0</v>
      </c>
      <c r="BF110" s="138">
        <v>0</v>
      </c>
      <c r="BG110" s="138">
        <v>0</v>
      </c>
      <c r="BH110" s="138">
        <v>0</v>
      </c>
      <c r="BI110" s="138">
        <v>0</v>
      </c>
      <c r="BJ110" s="138">
        <v>0</v>
      </c>
      <c r="BK110" s="138">
        <v>0</v>
      </c>
      <c r="BL110" s="138">
        <v>0</v>
      </c>
      <c r="BM110" s="138">
        <v>0</v>
      </c>
      <c r="BN110" s="138">
        <v>0</v>
      </c>
      <c r="BO110" s="86">
        <v>0</v>
      </c>
      <c r="BP110" s="138">
        <v>0</v>
      </c>
      <c r="BQ110" s="138">
        <v>0</v>
      </c>
      <c r="BR110" s="138">
        <v>0</v>
      </c>
      <c r="BS110" s="138">
        <v>0</v>
      </c>
      <c r="BT110" s="138">
        <v>0</v>
      </c>
      <c r="BU110" s="138">
        <v>0</v>
      </c>
      <c r="BV110" s="138">
        <v>0</v>
      </c>
      <c r="BW110" s="138">
        <v>0</v>
      </c>
      <c r="BX110" s="138">
        <v>0</v>
      </c>
      <c r="BY110" s="138">
        <v>0</v>
      </c>
      <c r="BZ110" s="138">
        <v>0</v>
      </c>
      <c r="CA110" s="138">
        <v>0</v>
      </c>
      <c r="CB110" s="86">
        <v>0</v>
      </c>
      <c r="CC110" s="138">
        <v>0</v>
      </c>
      <c r="CD110" s="138">
        <v>0</v>
      </c>
      <c r="CE110" s="138">
        <v>0</v>
      </c>
      <c r="CF110" s="138">
        <v>0</v>
      </c>
      <c r="CG110" s="138">
        <v>0</v>
      </c>
      <c r="CH110" s="138">
        <v>0</v>
      </c>
      <c r="CI110" s="138">
        <v>0</v>
      </c>
      <c r="CJ110" s="138">
        <v>0</v>
      </c>
      <c r="CK110" s="138">
        <v>0</v>
      </c>
      <c r="CL110" s="138">
        <v>0</v>
      </c>
      <c r="CM110" s="138">
        <v>0</v>
      </c>
      <c r="CN110" s="138">
        <v>0</v>
      </c>
      <c r="CO110" s="86">
        <v>0</v>
      </c>
      <c r="CP110" s="138">
        <v>0</v>
      </c>
      <c r="CQ110" s="138">
        <v>0</v>
      </c>
      <c r="CR110" s="138">
        <v>0</v>
      </c>
      <c r="CS110" s="138">
        <v>0</v>
      </c>
      <c r="CT110" s="138">
        <v>0</v>
      </c>
      <c r="CU110" s="138">
        <v>0</v>
      </c>
      <c r="CV110" s="138">
        <v>0</v>
      </c>
      <c r="CW110" s="138">
        <v>0</v>
      </c>
      <c r="CX110" s="138">
        <v>0</v>
      </c>
      <c r="CY110" s="138">
        <v>0</v>
      </c>
      <c r="CZ110" s="138">
        <v>0</v>
      </c>
      <c r="DA110" s="138">
        <v>0</v>
      </c>
      <c r="DB110" s="86">
        <v>0</v>
      </c>
      <c r="DC110" s="138">
        <v>0</v>
      </c>
      <c r="DD110" s="138">
        <v>0</v>
      </c>
      <c r="DE110" s="138">
        <v>0</v>
      </c>
      <c r="DF110" s="138">
        <v>0</v>
      </c>
      <c r="DG110" s="138">
        <v>0</v>
      </c>
      <c r="DH110" s="138">
        <v>0</v>
      </c>
      <c r="DI110" s="138">
        <v>0</v>
      </c>
      <c r="DJ110" s="138">
        <v>0</v>
      </c>
      <c r="DK110" s="138">
        <v>0</v>
      </c>
      <c r="DL110" s="138">
        <v>0</v>
      </c>
      <c r="DM110" s="138">
        <v>0</v>
      </c>
      <c r="DN110" s="138">
        <v>0</v>
      </c>
      <c r="DO110" s="86">
        <v>0</v>
      </c>
      <c r="DP110" s="138">
        <v>0</v>
      </c>
      <c r="DQ110" s="138">
        <v>0</v>
      </c>
      <c r="DR110" s="138">
        <v>0</v>
      </c>
      <c r="DS110" s="138">
        <v>0</v>
      </c>
      <c r="DT110" s="138">
        <v>0</v>
      </c>
      <c r="DU110" s="138">
        <v>0</v>
      </c>
      <c r="DV110" s="138">
        <v>0</v>
      </c>
      <c r="DW110" s="138">
        <v>0</v>
      </c>
      <c r="DX110" s="138">
        <v>0</v>
      </c>
      <c r="DY110" s="138">
        <v>0</v>
      </c>
      <c r="DZ110" s="138">
        <v>0</v>
      </c>
      <c r="EA110" s="138">
        <v>0</v>
      </c>
      <c r="EB110" s="85">
        <v>0</v>
      </c>
      <c r="EC110" s="87">
        <v>0</v>
      </c>
      <c r="ED110" s="85">
        <v>0</v>
      </c>
      <c r="EE110" s="85">
        <v>0</v>
      </c>
      <c r="EF110" s="85">
        <v>0</v>
      </c>
      <c r="EG110" s="85">
        <v>0</v>
      </c>
      <c r="EH110" s="85">
        <v>0</v>
      </c>
      <c r="EI110" s="85">
        <v>0</v>
      </c>
      <c r="EJ110" s="85">
        <v>0</v>
      </c>
      <c r="EK110" s="85">
        <v>0</v>
      </c>
      <c r="EL110" s="85">
        <v>0</v>
      </c>
      <c r="EM110" s="85">
        <v>0</v>
      </c>
      <c r="EN110" s="85">
        <v>0</v>
      </c>
      <c r="EO110" s="152">
        <v>0</v>
      </c>
      <c r="EP110" s="85">
        <v>0</v>
      </c>
      <c r="EQ110" s="85">
        <v>0</v>
      </c>
      <c r="ER110" s="85">
        <v>0</v>
      </c>
      <c r="ES110" s="85">
        <v>0</v>
      </c>
      <c r="ET110" s="85">
        <v>0</v>
      </c>
      <c r="EU110" s="85">
        <v>0</v>
      </c>
      <c r="EV110" s="85">
        <v>0</v>
      </c>
      <c r="EW110" s="85">
        <v>0</v>
      </c>
      <c r="EX110" s="85">
        <v>0</v>
      </c>
      <c r="EY110" s="85">
        <v>0</v>
      </c>
      <c r="EZ110" s="85">
        <v>0</v>
      </c>
      <c r="FA110" s="85">
        <v>0</v>
      </c>
      <c r="FB110" s="85">
        <v>0</v>
      </c>
      <c r="FC110" s="87">
        <v>0</v>
      </c>
      <c r="FD110" s="85">
        <v>0</v>
      </c>
      <c r="FE110" s="85">
        <v>0</v>
      </c>
      <c r="FF110" s="85">
        <v>0</v>
      </c>
      <c r="FG110" s="85">
        <v>0</v>
      </c>
      <c r="FH110" s="85">
        <v>0</v>
      </c>
      <c r="FI110" s="85">
        <v>0</v>
      </c>
      <c r="FJ110" s="85">
        <v>0</v>
      </c>
      <c r="FK110" s="85">
        <v>0</v>
      </c>
      <c r="FL110" s="85">
        <v>0</v>
      </c>
      <c r="FM110" s="85">
        <v>0</v>
      </c>
      <c r="FN110" s="85">
        <v>0</v>
      </c>
      <c r="FO110" s="86">
        <v>0</v>
      </c>
      <c r="FP110" s="87">
        <v>0</v>
      </c>
      <c r="FQ110" s="85">
        <v>0</v>
      </c>
      <c r="FR110" s="85">
        <v>0</v>
      </c>
      <c r="FS110" s="85">
        <v>0</v>
      </c>
      <c r="FT110" s="85">
        <v>0</v>
      </c>
      <c r="FU110" s="85">
        <v>0</v>
      </c>
      <c r="FV110" s="85">
        <v>0</v>
      </c>
      <c r="FW110" s="85">
        <v>0</v>
      </c>
      <c r="FX110" s="85">
        <v>0</v>
      </c>
      <c r="FY110" s="85">
        <v>0</v>
      </c>
      <c r="FZ110" s="85">
        <v>0</v>
      </c>
      <c r="GA110" s="85">
        <v>0</v>
      </c>
      <c r="GB110" s="152">
        <v>0</v>
      </c>
      <c r="GD110" s="153"/>
    </row>
    <row r="111" spans="1:186">
      <c r="A111" s="137" t="s">
        <v>247</v>
      </c>
      <c r="B111" s="151">
        <v>7228.32100342982</v>
      </c>
      <c r="C111" s="138">
        <f t="shared" si="24"/>
        <v>96.4441841110144</v>
      </c>
      <c r="D111" s="138">
        <f t="shared" si="13"/>
        <v>0</v>
      </c>
      <c r="E111" s="138">
        <f t="shared" si="14"/>
        <v>0</v>
      </c>
      <c r="F111" s="138">
        <f t="shared" si="15"/>
        <v>0</v>
      </c>
      <c r="G111" s="138">
        <f t="shared" si="16"/>
        <v>93.1493256585127</v>
      </c>
      <c r="H111" s="138">
        <f t="shared" si="17"/>
        <v>0</v>
      </c>
      <c r="I111" s="138">
        <f t="shared" si="18"/>
        <v>0</v>
      </c>
      <c r="J111" s="138">
        <f t="shared" si="19"/>
        <v>0</v>
      </c>
      <c r="K111" s="138">
        <f t="shared" si="20"/>
        <v>0</v>
      </c>
      <c r="L111" s="138">
        <f t="shared" si="21"/>
        <v>0</v>
      </c>
      <c r="M111" s="138">
        <f t="shared" si="22"/>
        <v>0</v>
      </c>
      <c r="N111" s="138">
        <f t="shared" si="23"/>
        <v>0</v>
      </c>
      <c r="O111" s="86">
        <f t="shared" si="25"/>
        <v>189.593509769527</v>
      </c>
      <c r="P111" s="138">
        <v>0</v>
      </c>
      <c r="Q111" s="138">
        <v>0</v>
      </c>
      <c r="R111" s="138">
        <v>0</v>
      </c>
      <c r="S111" s="138">
        <v>0</v>
      </c>
      <c r="T111" s="138">
        <v>0</v>
      </c>
      <c r="U111" s="138">
        <v>0</v>
      </c>
      <c r="V111" s="138">
        <v>0</v>
      </c>
      <c r="W111" s="138">
        <v>0</v>
      </c>
      <c r="X111" s="138">
        <v>0</v>
      </c>
      <c r="Y111" s="138">
        <v>0</v>
      </c>
      <c r="Z111" s="138">
        <v>0</v>
      </c>
      <c r="AA111" s="138">
        <v>0</v>
      </c>
      <c r="AB111" s="86">
        <v>0</v>
      </c>
      <c r="AC111" s="138">
        <v>0</v>
      </c>
      <c r="AD111" s="138">
        <v>0</v>
      </c>
      <c r="AE111" s="138">
        <v>0</v>
      </c>
      <c r="AF111" s="138">
        <v>0</v>
      </c>
      <c r="AG111" s="138">
        <v>0</v>
      </c>
      <c r="AH111" s="138">
        <v>0</v>
      </c>
      <c r="AI111" s="138">
        <v>0</v>
      </c>
      <c r="AJ111" s="138">
        <v>0</v>
      </c>
      <c r="AK111" s="138">
        <v>0</v>
      </c>
      <c r="AL111" s="138">
        <v>0</v>
      </c>
      <c r="AM111" s="138">
        <v>0</v>
      </c>
      <c r="AN111" s="138">
        <v>0</v>
      </c>
      <c r="AO111" s="86">
        <v>0</v>
      </c>
      <c r="AP111" s="138">
        <v>0</v>
      </c>
      <c r="AQ111" s="138">
        <v>0</v>
      </c>
      <c r="AR111" s="138">
        <v>0</v>
      </c>
      <c r="AS111" s="138">
        <v>0</v>
      </c>
      <c r="AT111" s="138">
        <v>0</v>
      </c>
      <c r="AU111" s="138">
        <v>0</v>
      </c>
      <c r="AV111" s="138">
        <v>0</v>
      </c>
      <c r="AW111" s="138">
        <v>0</v>
      </c>
      <c r="AX111" s="138">
        <v>0</v>
      </c>
      <c r="AY111" s="138">
        <v>0</v>
      </c>
      <c r="AZ111" s="138">
        <v>0</v>
      </c>
      <c r="BA111" s="138">
        <v>0</v>
      </c>
      <c r="BB111" s="86">
        <v>0</v>
      </c>
      <c r="BC111" s="138">
        <v>0</v>
      </c>
      <c r="BD111" s="138">
        <v>0</v>
      </c>
      <c r="BE111" s="138">
        <v>0</v>
      </c>
      <c r="BF111" s="138">
        <v>0</v>
      </c>
      <c r="BG111" s="138">
        <v>0</v>
      </c>
      <c r="BH111" s="138">
        <v>0</v>
      </c>
      <c r="BI111" s="138">
        <v>0</v>
      </c>
      <c r="BJ111" s="138">
        <v>0</v>
      </c>
      <c r="BK111" s="138">
        <v>0</v>
      </c>
      <c r="BL111" s="138">
        <v>0</v>
      </c>
      <c r="BM111" s="138">
        <v>0</v>
      </c>
      <c r="BN111" s="138">
        <v>0</v>
      </c>
      <c r="BO111" s="86">
        <v>0</v>
      </c>
      <c r="BP111" s="138">
        <v>0</v>
      </c>
      <c r="BQ111" s="138">
        <v>0</v>
      </c>
      <c r="BR111" s="138">
        <v>0</v>
      </c>
      <c r="BS111" s="138">
        <v>0</v>
      </c>
      <c r="BT111" s="138">
        <v>0</v>
      </c>
      <c r="BU111" s="138">
        <v>0</v>
      </c>
      <c r="BV111" s="138">
        <v>0</v>
      </c>
      <c r="BW111" s="138">
        <v>0</v>
      </c>
      <c r="BX111" s="138">
        <v>0</v>
      </c>
      <c r="BY111" s="138">
        <v>0</v>
      </c>
      <c r="BZ111" s="138">
        <v>0</v>
      </c>
      <c r="CA111" s="138">
        <v>0</v>
      </c>
      <c r="CB111" s="86">
        <v>0</v>
      </c>
      <c r="CC111" s="138">
        <v>0</v>
      </c>
      <c r="CD111" s="138">
        <v>0</v>
      </c>
      <c r="CE111" s="138">
        <v>0</v>
      </c>
      <c r="CF111" s="138">
        <v>0</v>
      </c>
      <c r="CG111" s="138">
        <v>0</v>
      </c>
      <c r="CH111" s="138">
        <v>0</v>
      </c>
      <c r="CI111" s="138">
        <v>0</v>
      </c>
      <c r="CJ111" s="138">
        <v>0</v>
      </c>
      <c r="CK111" s="138">
        <v>0</v>
      </c>
      <c r="CL111" s="138">
        <v>0</v>
      </c>
      <c r="CM111" s="138">
        <v>0</v>
      </c>
      <c r="CN111" s="138">
        <v>0</v>
      </c>
      <c r="CO111" s="86">
        <v>0</v>
      </c>
      <c r="CP111" s="138">
        <v>0</v>
      </c>
      <c r="CQ111" s="138">
        <v>0</v>
      </c>
      <c r="CR111" s="138">
        <v>0</v>
      </c>
      <c r="CS111" s="138">
        <v>0</v>
      </c>
      <c r="CT111" s="138">
        <v>0</v>
      </c>
      <c r="CU111" s="138">
        <v>0</v>
      </c>
      <c r="CV111" s="138">
        <v>0</v>
      </c>
      <c r="CW111" s="138">
        <v>0</v>
      </c>
      <c r="CX111" s="138">
        <v>0</v>
      </c>
      <c r="CY111" s="138">
        <v>0</v>
      </c>
      <c r="CZ111" s="138">
        <v>0</v>
      </c>
      <c r="DA111" s="138">
        <v>0</v>
      </c>
      <c r="DB111" s="86">
        <v>0</v>
      </c>
      <c r="DC111" s="138">
        <v>96.4441841110144</v>
      </c>
      <c r="DD111" s="138">
        <v>0</v>
      </c>
      <c r="DE111" s="138">
        <v>0</v>
      </c>
      <c r="DF111" s="138">
        <v>0</v>
      </c>
      <c r="DG111" s="138">
        <v>93.1493256585127</v>
      </c>
      <c r="DH111" s="138">
        <v>0</v>
      </c>
      <c r="DI111" s="138">
        <v>0</v>
      </c>
      <c r="DJ111" s="138">
        <v>0</v>
      </c>
      <c r="DK111" s="138">
        <v>0</v>
      </c>
      <c r="DL111" s="138">
        <v>0</v>
      </c>
      <c r="DM111" s="138">
        <v>0</v>
      </c>
      <c r="DN111" s="138">
        <v>0</v>
      </c>
      <c r="DO111" s="86">
        <v>189.593509769527</v>
      </c>
      <c r="DP111" s="138">
        <v>0</v>
      </c>
      <c r="DQ111" s="138">
        <v>0</v>
      </c>
      <c r="DR111" s="138">
        <v>0</v>
      </c>
      <c r="DS111" s="138">
        <v>0</v>
      </c>
      <c r="DT111" s="138">
        <v>0</v>
      </c>
      <c r="DU111" s="138">
        <v>0</v>
      </c>
      <c r="DV111" s="138">
        <v>0</v>
      </c>
      <c r="DW111" s="138">
        <v>0</v>
      </c>
      <c r="DX111" s="138">
        <v>0</v>
      </c>
      <c r="DY111" s="138">
        <v>0</v>
      </c>
      <c r="DZ111" s="138">
        <v>0</v>
      </c>
      <c r="EA111" s="138">
        <v>0</v>
      </c>
      <c r="EB111" s="85">
        <v>0</v>
      </c>
      <c r="EC111" s="87">
        <v>0</v>
      </c>
      <c r="ED111" s="85">
        <v>0</v>
      </c>
      <c r="EE111" s="85">
        <v>0</v>
      </c>
      <c r="EF111" s="85">
        <v>0</v>
      </c>
      <c r="EG111" s="85">
        <v>0</v>
      </c>
      <c r="EH111" s="85">
        <v>0</v>
      </c>
      <c r="EI111" s="85">
        <v>0</v>
      </c>
      <c r="EJ111" s="85">
        <v>0</v>
      </c>
      <c r="EK111" s="85">
        <v>0</v>
      </c>
      <c r="EL111" s="85">
        <v>0</v>
      </c>
      <c r="EM111" s="85">
        <v>0</v>
      </c>
      <c r="EN111" s="85">
        <v>0</v>
      </c>
      <c r="EO111" s="152">
        <v>0</v>
      </c>
      <c r="EP111" s="85">
        <v>0</v>
      </c>
      <c r="EQ111" s="85">
        <v>0</v>
      </c>
      <c r="ER111" s="85">
        <v>0</v>
      </c>
      <c r="ES111" s="85">
        <v>0</v>
      </c>
      <c r="ET111" s="85">
        <v>0</v>
      </c>
      <c r="EU111" s="85">
        <v>0</v>
      </c>
      <c r="EV111" s="85">
        <v>0</v>
      </c>
      <c r="EW111" s="85">
        <v>0</v>
      </c>
      <c r="EX111" s="85">
        <v>0</v>
      </c>
      <c r="EY111" s="85">
        <v>0</v>
      </c>
      <c r="EZ111" s="85">
        <v>0</v>
      </c>
      <c r="FA111" s="85">
        <v>0</v>
      </c>
      <c r="FB111" s="85">
        <v>0</v>
      </c>
      <c r="FC111" s="87">
        <v>0</v>
      </c>
      <c r="FD111" s="85">
        <v>0</v>
      </c>
      <c r="FE111" s="85">
        <v>0</v>
      </c>
      <c r="FF111" s="85">
        <v>0</v>
      </c>
      <c r="FG111" s="85">
        <v>0</v>
      </c>
      <c r="FH111" s="85">
        <v>0</v>
      </c>
      <c r="FI111" s="85">
        <v>0</v>
      </c>
      <c r="FJ111" s="85">
        <v>0</v>
      </c>
      <c r="FK111" s="85">
        <v>0</v>
      </c>
      <c r="FL111" s="85">
        <v>0</v>
      </c>
      <c r="FM111" s="85">
        <v>0</v>
      </c>
      <c r="FN111" s="85">
        <v>0</v>
      </c>
      <c r="FO111" s="86">
        <v>0</v>
      </c>
      <c r="FP111" s="87">
        <v>0</v>
      </c>
      <c r="FQ111" s="85">
        <v>0</v>
      </c>
      <c r="FR111" s="85">
        <v>0</v>
      </c>
      <c r="FS111" s="85">
        <v>0</v>
      </c>
      <c r="FT111" s="85">
        <v>0</v>
      </c>
      <c r="FU111" s="85">
        <v>0</v>
      </c>
      <c r="FV111" s="85">
        <v>0</v>
      </c>
      <c r="FW111" s="85">
        <v>0</v>
      </c>
      <c r="FX111" s="85">
        <v>0</v>
      </c>
      <c r="FY111" s="85">
        <v>0</v>
      </c>
      <c r="FZ111" s="85">
        <v>0</v>
      </c>
      <c r="GA111" s="85">
        <v>0</v>
      </c>
      <c r="GB111" s="152">
        <v>0</v>
      </c>
      <c r="GD111" s="153"/>
    </row>
    <row r="112" spans="1:186">
      <c r="A112" s="137" t="s">
        <v>249</v>
      </c>
      <c r="B112" s="151">
        <v>7536.05663666653</v>
      </c>
      <c r="C112" s="138">
        <f t="shared" si="24"/>
        <v>0</v>
      </c>
      <c r="D112" s="138">
        <f t="shared" si="13"/>
        <v>0</v>
      </c>
      <c r="E112" s="138">
        <f t="shared" si="14"/>
        <v>0</v>
      </c>
      <c r="F112" s="138">
        <f t="shared" si="15"/>
        <v>0</v>
      </c>
      <c r="G112" s="138">
        <f t="shared" si="16"/>
        <v>0</v>
      </c>
      <c r="H112" s="138">
        <f t="shared" si="17"/>
        <v>0</v>
      </c>
      <c r="I112" s="138">
        <f t="shared" si="18"/>
        <v>0</v>
      </c>
      <c r="J112" s="138">
        <f t="shared" si="19"/>
        <v>0</v>
      </c>
      <c r="K112" s="138">
        <f t="shared" si="20"/>
        <v>0</v>
      </c>
      <c r="L112" s="138">
        <f t="shared" si="21"/>
        <v>0</v>
      </c>
      <c r="M112" s="138">
        <f t="shared" si="22"/>
        <v>0</v>
      </c>
      <c r="N112" s="138">
        <f t="shared" si="23"/>
        <v>0</v>
      </c>
      <c r="O112" s="86">
        <f t="shared" si="25"/>
        <v>0</v>
      </c>
      <c r="P112" s="138">
        <v>0</v>
      </c>
      <c r="Q112" s="138">
        <v>0</v>
      </c>
      <c r="R112" s="138">
        <v>0</v>
      </c>
      <c r="S112" s="138">
        <v>0</v>
      </c>
      <c r="T112" s="138">
        <v>0</v>
      </c>
      <c r="U112" s="138">
        <v>0</v>
      </c>
      <c r="V112" s="138">
        <v>0</v>
      </c>
      <c r="W112" s="138">
        <v>0</v>
      </c>
      <c r="X112" s="138">
        <v>0</v>
      </c>
      <c r="Y112" s="138">
        <v>0</v>
      </c>
      <c r="Z112" s="138">
        <v>0</v>
      </c>
      <c r="AA112" s="138">
        <v>0</v>
      </c>
      <c r="AB112" s="86">
        <v>0</v>
      </c>
      <c r="AC112" s="138">
        <v>0</v>
      </c>
      <c r="AD112" s="138">
        <v>0</v>
      </c>
      <c r="AE112" s="138">
        <v>0</v>
      </c>
      <c r="AF112" s="138">
        <v>0</v>
      </c>
      <c r="AG112" s="138">
        <v>0</v>
      </c>
      <c r="AH112" s="138">
        <v>0</v>
      </c>
      <c r="AI112" s="138">
        <v>0</v>
      </c>
      <c r="AJ112" s="138">
        <v>0</v>
      </c>
      <c r="AK112" s="138">
        <v>0</v>
      </c>
      <c r="AL112" s="138">
        <v>0</v>
      </c>
      <c r="AM112" s="138">
        <v>0</v>
      </c>
      <c r="AN112" s="138">
        <v>0</v>
      </c>
      <c r="AO112" s="86">
        <v>0</v>
      </c>
      <c r="AP112" s="138">
        <v>0</v>
      </c>
      <c r="AQ112" s="138">
        <v>0</v>
      </c>
      <c r="AR112" s="138">
        <v>0</v>
      </c>
      <c r="AS112" s="138">
        <v>0</v>
      </c>
      <c r="AT112" s="138">
        <v>0</v>
      </c>
      <c r="AU112" s="138">
        <v>0</v>
      </c>
      <c r="AV112" s="138">
        <v>0</v>
      </c>
      <c r="AW112" s="138">
        <v>0</v>
      </c>
      <c r="AX112" s="138">
        <v>0</v>
      </c>
      <c r="AY112" s="138">
        <v>0</v>
      </c>
      <c r="AZ112" s="138">
        <v>0</v>
      </c>
      <c r="BA112" s="138">
        <v>0</v>
      </c>
      <c r="BB112" s="86">
        <v>0</v>
      </c>
      <c r="BC112" s="138">
        <v>0</v>
      </c>
      <c r="BD112" s="138">
        <v>0</v>
      </c>
      <c r="BE112" s="138">
        <v>0</v>
      </c>
      <c r="BF112" s="138">
        <v>0</v>
      </c>
      <c r="BG112" s="138">
        <v>0</v>
      </c>
      <c r="BH112" s="138">
        <v>0</v>
      </c>
      <c r="BI112" s="138">
        <v>0</v>
      </c>
      <c r="BJ112" s="138">
        <v>0</v>
      </c>
      <c r="BK112" s="138">
        <v>0</v>
      </c>
      <c r="BL112" s="138">
        <v>0</v>
      </c>
      <c r="BM112" s="138">
        <v>0</v>
      </c>
      <c r="BN112" s="138">
        <v>0</v>
      </c>
      <c r="BO112" s="86">
        <v>0</v>
      </c>
      <c r="BP112" s="138">
        <v>0</v>
      </c>
      <c r="BQ112" s="138">
        <v>0</v>
      </c>
      <c r="BR112" s="138">
        <v>0</v>
      </c>
      <c r="BS112" s="138">
        <v>0</v>
      </c>
      <c r="BT112" s="138">
        <v>0</v>
      </c>
      <c r="BU112" s="138">
        <v>0</v>
      </c>
      <c r="BV112" s="138">
        <v>0</v>
      </c>
      <c r="BW112" s="138">
        <v>0</v>
      </c>
      <c r="BX112" s="138">
        <v>0</v>
      </c>
      <c r="BY112" s="138">
        <v>0</v>
      </c>
      <c r="BZ112" s="138">
        <v>0</v>
      </c>
      <c r="CA112" s="138">
        <v>0</v>
      </c>
      <c r="CB112" s="86">
        <v>0</v>
      </c>
      <c r="CC112" s="138">
        <v>0</v>
      </c>
      <c r="CD112" s="138">
        <v>0</v>
      </c>
      <c r="CE112" s="138">
        <v>0</v>
      </c>
      <c r="CF112" s="138">
        <v>0</v>
      </c>
      <c r="CG112" s="138">
        <v>0</v>
      </c>
      <c r="CH112" s="138">
        <v>0</v>
      </c>
      <c r="CI112" s="138">
        <v>0</v>
      </c>
      <c r="CJ112" s="138">
        <v>0</v>
      </c>
      <c r="CK112" s="138">
        <v>0</v>
      </c>
      <c r="CL112" s="138">
        <v>0</v>
      </c>
      <c r="CM112" s="138">
        <v>0</v>
      </c>
      <c r="CN112" s="138">
        <v>0</v>
      </c>
      <c r="CO112" s="86">
        <v>0</v>
      </c>
      <c r="CP112" s="138">
        <v>0</v>
      </c>
      <c r="CQ112" s="138">
        <v>0</v>
      </c>
      <c r="CR112" s="138">
        <v>0</v>
      </c>
      <c r="CS112" s="138">
        <v>0</v>
      </c>
      <c r="CT112" s="138">
        <v>0</v>
      </c>
      <c r="CU112" s="138">
        <v>0</v>
      </c>
      <c r="CV112" s="138">
        <v>0</v>
      </c>
      <c r="CW112" s="138">
        <v>0</v>
      </c>
      <c r="CX112" s="138">
        <v>0</v>
      </c>
      <c r="CY112" s="138">
        <v>0</v>
      </c>
      <c r="CZ112" s="138">
        <v>0</v>
      </c>
      <c r="DA112" s="138">
        <v>0</v>
      </c>
      <c r="DB112" s="86">
        <v>0</v>
      </c>
      <c r="DC112" s="138">
        <v>0</v>
      </c>
      <c r="DD112" s="138">
        <v>0</v>
      </c>
      <c r="DE112" s="138">
        <v>0</v>
      </c>
      <c r="DF112" s="138">
        <v>0</v>
      </c>
      <c r="DG112" s="138">
        <v>0</v>
      </c>
      <c r="DH112" s="138">
        <v>0</v>
      </c>
      <c r="DI112" s="138">
        <v>0</v>
      </c>
      <c r="DJ112" s="138">
        <v>0</v>
      </c>
      <c r="DK112" s="138">
        <v>0</v>
      </c>
      <c r="DL112" s="138">
        <v>0</v>
      </c>
      <c r="DM112" s="138">
        <v>0</v>
      </c>
      <c r="DN112" s="138">
        <v>0</v>
      </c>
      <c r="DO112" s="86">
        <v>0</v>
      </c>
      <c r="DP112" s="138">
        <v>0</v>
      </c>
      <c r="DQ112" s="138">
        <v>0</v>
      </c>
      <c r="DR112" s="138">
        <v>0</v>
      </c>
      <c r="DS112" s="138">
        <v>0</v>
      </c>
      <c r="DT112" s="138">
        <v>0</v>
      </c>
      <c r="DU112" s="138">
        <v>0</v>
      </c>
      <c r="DV112" s="138">
        <v>0</v>
      </c>
      <c r="DW112" s="138">
        <v>0</v>
      </c>
      <c r="DX112" s="138">
        <v>0</v>
      </c>
      <c r="DY112" s="138">
        <v>0</v>
      </c>
      <c r="DZ112" s="138">
        <v>0</v>
      </c>
      <c r="EA112" s="138">
        <v>0</v>
      </c>
      <c r="EB112" s="85">
        <v>0</v>
      </c>
      <c r="EC112" s="87">
        <v>0</v>
      </c>
      <c r="ED112" s="85">
        <v>0</v>
      </c>
      <c r="EE112" s="85">
        <v>0</v>
      </c>
      <c r="EF112" s="85">
        <v>0</v>
      </c>
      <c r="EG112" s="85">
        <v>0</v>
      </c>
      <c r="EH112" s="85">
        <v>0</v>
      </c>
      <c r="EI112" s="85">
        <v>0</v>
      </c>
      <c r="EJ112" s="85">
        <v>0</v>
      </c>
      <c r="EK112" s="85">
        <v>0</v>
      </c>
      <c r="EL112" s="85">
        <v>0</v>
      </c>
      <c r="EM112" s="85">
        <v>0</v>
      </c>
      <c r="EN112" s="85">
        <v>0</v>
      </c>
      <c r="EO112" s="152">
        <v>0</v>
      </c>
      <c r="EP112" s="85">
        <v>0</v>
      </c>
      <c r="EQ112" s="85">
        <v>0</v>
      </c>
      <c r="ER112" s="85">
        <v>0</v>
      </c>
      <c r="ES112" s="85">
        <v>0</v>
      </c>
      <c r="ET112" s="85">
        <v>0</v>
      </c>
      <c r="EU112" s="85">
        <v>0</v>
      </c>
      <c r="EV112" s="85">
        <v>0</v>
      </c>
      <c r="EW112" s="85">
        <v>0</v>
      </c>
      <c r="EX112" s="85">
        <v>0</v>
      </c>
      <c r="EY112" s="85">
        <v>0</v>
      </c>
      <c r="EZ112" s="85">
        <v>0</v>
      </c>
      <c r="FA112" s="85">
        <v>0</v>
      </c>
      <c r="FB112" s="85">
        <v>0</v>
      </c>
      <c r="FC112" s="87">
        <v>0</v>
      </c>
      <c r="FD112" s="85">
        <v>0</v>
      </c>
      <c r="FE112" s="85">
        <v>0</v>
      </c>
      <c r="FF112" s="85">
        <v>0</v>
      </c>
      <c r="FG112" s="85">
        <v>0</v>
      </c>
      <c r="FH112" s="85">
        <v>0</v>
      </c>
      <c r="FI112" s="85">
        <v>0</v>
      </c>
      <c r="FJ112" s="85">
        <v>0</v>
      </c>
      <c r="FK112" s="85">
        <v>0</v>
      </c>
      <c r="FL112" s="85">
        <v>0</v>
      </c>
      <c r="FM112" s="85">
        <v>0</v>
      </c>
      <c r="FN112" s="85">
        <v>0</v>
      </c>
      <c r="FO112" s="86">
        <v>0</v>
      </c>
      <c r="FP112" s="87">
        <v>0</v>
      </c>
      <c r="FQ112" s="85">
        <v>0</v>
      </c>
      <c r="FR112" s="85">
        <v>0</v>
      </c>
      <c r="FS112" s="85">
        <v>0</v>
      </c>
      <c r="FT112" s="85">
        <v>0</v>
      </c>
      <c r="FU112" s="85">
        <v>0</v>
      </c>
      <c r="FV112" s="85">
        <v>0</v>
      </c>
      <c r="FW112" s="85">
        <v>0</v>
      </c>
      <c r="FX112" s="85">
        <v>0</v>
      </c>
      <c r="FY112" s="85">
        <v>0</v>
      </c>
      <c r="FZ112" s="85">
        <v>0</v>
      </c>
      <c r="GA112" s="85">
        <v>0</v>
      </c>
      <c r="GB112" s="152">
        <v>0</v>
      </c>
      <c r="GD112" s="153"/>
    </row>
    <row r="113" spans="1:186">
      <c r="A113" s="137" t="s">
        <v>251</v>
      </c>
      <c r="B113" s="151">
        <v>10114.3584610041</v>
      </c>
      <c r="C113" s="138">
        <f t="shared" si="24"/>
        <v>0</v>
      </c>
      <c r="D113" s="138">
        <f t="shared" si="13"/>
        <v>0</v>
      </c>
      <c r="E113" s="138">
        <f t="shared" si="14"/>
        <v>0</v>
      </c>
      <c r="F113" s="138">
        <f t="shared" si="15"/>
        <v>0</v>
      </c>
      <c r="G113" s="138">
        <f t="shared" si="16"/>
        <v>0</v>
      </c>
      <c r="H113" s="138">
        <f t="shared" si="17"/>
        <v>0</v>
      </c>
      <c r="I113" s="138">
        <f t="shared" si="18"/>
        <v>0</v>
      </c>
      <c r="J113" s="138">
        <f t="shared" si="19"/>
        <v>0</v>
      </c>
      <c r="K113" s="138">
        <f t="shared" si="20"/>
        <v>0</v>
      </c>
      <c r="L113" s="138">
        <f t="shared" si="21"/>
        <v>0</v>
      </c>
      <c r="M113" s="138">
        <f t="shared" si="22"/>
        <v>0</v>
      </c>
      <c r="N113" s="138">
        <f t="shared" si="23"/>
        <v>0</v>
      </c>
      <c r="O113" s="86">
        <f t="shared" si="25"/>
        <v>0</v>
      </c>
      <c r="P113" s="138">
        <v>0</v>
      </c>
      <c r="Q113" s="138">
        <v>0</v>
      </c>
      <c r="R113" s="138">
        <v>0</v>
      </c>
      <c r="S113" s="138">
        <v>0</v>
      </c>
      <c r="T113" s="138">
        <v>0</v>
      </c>
      <c r="U113" s="138">
        <v>0</v>
      </c>
      <c r="V113" s="138">
        <v>0</v>
      </c>
      <c r="W113" s="138">
        <v>0</v>
      </c>
      <c r="X113" s="138">
        <v>0</v>
      </c>
      <c r="Y113" s="138">
        <v>0</v>
      </c>
      <c r="Z113" s="138">
        <v>0</v>
      </c>
      <c r="AA113" s="138">
        <v>0</v>
      </c>
      <c r="AB113" s="86">
        <v>0</v>
      </c>
      <c r="AC113" s="138">
        <v>0</v>
      </c>
      <c r="AD113" s="138">
        <v>0</v>
      </c>
      <c r="AE113" s="138">
        <v>0</v>
      </c>
      <c r="AF113" s="138">
        <v>0</v>
      </c>
      <c r="AG113" s="138">
        <v>0</v>
      </c>
      <c r="AH113" s="138">
        <v>0</v>
      </c>
      <c r="AI113" s="138">
        <v>0</v>
      </c>
      <c r="AJ113" s="138">
        <v>0</v>
      </c>
      <c r="AK113" s="138">
        <v>0</v>
      </c>
      <c r="AL113" s="138">
        <v>0</v>
      </c>
      <c r="AM113" s="138">
        <v>0</v>
      </c>
      <c r="AN113" s="138">
        <v>0</v>
      </c>
      <c r="AO113" s="86">
        <v>0</v>
      </c>
      <c r="AP113" s="138">
        <v>0</v>
      </c>
      <c r="AQ113" s="138">
        <v>0</v>
      </c>
      <c r="AR113" s="138">
        <v>0</v>
      </c>
      <c r="AS113" s="138">
        <v>0</v>
      </c>
      <c r="AT113" s="138">
        <v>0</v>
      </c>
      <c r="AU113" s="138">
        <v>0</v>
      </c>
      <c r="AV113" s="138">
        <v>0</v>
      </c>
      <c r="AW113" s="138">
        <v>0</v>
      </c>
      <c r="AX113" s="138">
        <v>0</v>
      </c>
      <c r="AY113" s="138">
        <v>0</v>
      </c>
      <c r="AZ113" s="138">
        <v>0</v>
      </c>
      <c r="BA113" s="138">
        <v>0</v>
      </c>
      <c r="BB113" s="86">
        <v>0</v>
      </c>
      <c r="BC113" s="138">
        <v>0</v>
      </c>
      <c r="BD113" s="138">
        <v>0</v>
      </c>
      <c r="BE113" s="138">
        <v>0</v>
      </c>
      <c r="BF113" s="138">
        <v>0</v>
      </c>
      <c r="BG113" s="138">
        <v>0</v>
      </c>
      <c r="BH113" s="138">
        <v>0</v>
      </c>
      <c r="BI113" s="138">
        <v>0</v>
      </c>
      <c r="BJ113" s="138">
        <v>0</v>
      </c>
      <c r="BK113" s="138">
        <v>0</v>
      </c>
      <c r="BL113" s="138">
        <v>0</v>
      </c>
      <c r="BM113" s="138">
        <v>0</v>
      </c>
      <c r="BN113" s="138">
        <v>0</v>
      </c>
      <c r="BO113" s="86">
        <v>0</v>
      </c>
      <c r="BP113" s="138">
        <v>0</v>
      </c>
      <c r="BQ113" s="138">
        <v>0</v>
      </c>
      <c r="BR113" s="138">
        <v>0</v>
      </c>
      <c r="BS113" s="138">
        <v>0</v>
      </c>
      <c r="BT113" s="138">
        <v>0</v>
      </c>
      <c r="BU113" s="138">
        <v>0</v>
      </c>
      <c r="BV113" s="138">
        <v>0</v>
      </c>
      <c r="BW113" s="138">
        <v>0</v>
      </c>
      <c r="BX113" s="138">
        <v>0</v>
      </c>
      <c r="BY113" s="138">
        <v>0</v>
      </c>
      <c r="BZ113" s="138">
        <v>0</v>
      </c>
      <c r="CA113" s="138">
        <v>0</v>
      </c>
      <c r="CB113" s="86">
        <v>0</v>
      </c>
      <c r="CC113" s="138">
        <v>0</v>
      </c>
      <c r="CD113" s="138">
        <v>0</v>
      </c>
      <c r="CE113" s="138">
        <v>0</v>
      </c>
      <c r="CF113" s="138">
        <v>0</v>
      </c>
      <c r="CG113" s="138">
        <v>0</v>
      </c>
      <c r="CH113" s="138">
        <v>0</v>
      </c>
      <c r="CI113" s="138">
        <v>0</v>
      </c>
      <c r="CJ113" s="138">
        <v>0</v>
      </c>
      <c r="CK113" s="138">
        <v>0</v>
      </c>
      <c r="CL113" s="138">
        <v>0</v>
      </c>
      <c r="CM113" s="138">
        <v>0</v>
      </c>
      <c r="CN113" s="138">
        <v>0</v>
      </c>
      <c r="CO113" s="86">
        <v>0</v>
      </c>
      <c r="CP113" s="138">
        <v>0</v>
      </c>
      <c r="CQ113" s="138">
        <v>0</v>
      </c>
      <c r="CR113" s="138">
        <v>0</v>
      </c>
      <c r="CS113" s="138">
        <v>0</v>
      </c>
      <c r="CT113" s="138">
        <v>0</v>
      </c>
      <c r="CU113" s="138">
        <v>0</v>
      </c>
      <c r="CV113" s="138">
        <v>0</v>
      </c>
      <c r="CW113" s="138">
        <v>0</v>
      </c>
      <c r="CX113" s="138">
        <v>0</v>
      </c>
      <c r="CY113" s="138">
        <v>0</v>
      </c>
      <c r="CZ113" s="138">
        <v>0</v>
      </c>
      <c r="DA113" s="138">
        <v>0</v>
      </c>
      <c r="DB113" s="86">
        <v>0</v>
      </c>
      <c r="DC113" s="138">
        <v>0</v>
      </c>
      <c r="DD113" s="138">
        <v>0</v>
      </c>
      <c r="DE113" s="138">
        <v>0</v>
      </c>
      <c r="DF113" s="138">
        <v>0</v>
      </c>
      <c r="DG113" s="138">
        <v>0</v>
      </c>
      <c r="DH113" s="138">
        <v>0</v>
      </c>
      <c r="DI113" s="138">
        <v>0</v>
      </c>
      <c r="DJ113" s="138">
        <v>0</v>
      </c>
      <c r="DK113" s="138">
        <v>0</v>
      </c>
      <c r="DL113" s="138">
        <v>0</v>
      </c>
      <c r="DM113" s="138">
        <v>0</v>
      </c>
      <c r="DN113" s="138">
        <v>0</v>
      </c>
      <c r="DO113" s="86">
        <v>0</v>
      </c>
      <c r="DP113" s="138">
        <v>0</v>
      </c>
      <c r="DQ113" s="138">
        <v>0</v>
      </c>
      <c r="DR113" s="138">
        <v>0</v>
      </c>
      <c r="DS113" s="138">
        <v>0</v>
      </c>
      <c r="DT113" s="138">
        <v>0</v>
      </c>
      <c r="DU113" s="138">
        <v>0</v>
      </c>
      <c r="DV113" s="138">
        <v>0</v>
      </c>
      <c r="DW113" s="138">
        <v>0</v>
      </c>
      <c r="DX113" s="138">
        <v>0</v>
      </c>
      <c r="DY113" s="138">
        <v>0</v>
      </c>
      <c r="DZ113" s="138">
        <v>0</v>
      </c>
      <c r="EA113" s="138">
        <v>0</v>
      </c>
      <c r="EB113" s="85">
        <v>0</v>
      </c>
      <c r="EC113" s="87">
        <v>0</v>
      </c>
      <c r="ED113" s="85">
        <v>0</v>
      </c>
      <c r="EE113" s="85">
        <v>0</v>
      </c>
      <c r="EF113" s="85">
        <v>0</v>
      </c>
      <c r="EG113" s="85">
        <v>0</v>
      </c>
      <c r="EH113" s="85">
        <v>0</v>
      </c>
      <c r="EI113" s="85">
        <v>0</v>
      </c>
      <c r="EJ113" s="85">
        <v>0</v>
      </c>
      <c r="EK113" s="85">
        <v>0</v>
      </c>
      <c r="EL113" s="85">
        <v>0</v>
      </c>
      <c r="EM113" s="85">
        <v>0</v>
      </c>
      <c r="EN113" s="85">
        <v>0</v>
      </c>
      <c r="EO113" s="152">
        <v>0</v>
      </c>
      <c r="EP113" s="85">
        <v>0</v>
      </c>
      <c r="EQ113" s="85">
        <v>0</v>
      </c>
      <c r="ER113" s="85">
        <v>0</v>
      </c>
      <c r="ES113" s="85">
        <v>0</v>
      </c>
      <c r="ET113" s="85">
        <v>0</v>
      </c>
      <c r="EU113" s="85">
        <v>0</v>
      </c>
      <c r="EV113" s="85">
        <v>0</v>
      </c>
      <c r="EW113" s="85">
        <v>0</v>
      </c>
      <c r="EX113" s="85">
        <v>0</v>
      </c>
      <c r="EY113" s="85">
        <v>0</v>
      </c>
      <c r="EZ113" s="85">
        <v>0</v>
      </c>
      <c r="FA113" s="85">
        <v>0</v>
      </c>
      <c r="FB113" s="85">
        <v>0</v>
      </c>
      <c r="FC113" s="87">
        <v>0</v>
      </c>
      <c r="FD113" s="85">
        <v>0</v>
      </c>
      <c r="FE113" s="85">
        <v>0</v>
      </c>
      <c r="FF113" s="85">
        <v>0</v>
      </c>
      <c r="FG113" s="85">
        <v>0</v>
      </c>
      <c r="FH113" s="85">
        <v>0</v>
      </c>
      <c r="FI113" s="85">
        <v>0</v>
      </c>
      <c r="FJ113" s="85">
        <v>0</v>
      </c>
      <c r="FK113" s="85">
        <v>0</v>
      </c>
      <c r="FL113" s="85">
        <v>0</v>
      </c>
      <c r="FM113" s="85">
        <v>0</v>
      </c>
      <c r="FN113" s="85">
        <v>0</v>
      </c>
      <c r="FO113" s="86">
        <v>0</v>
      </c>
      <c r="FP113" s="87">
        <v>0</v>
      </c>
      <c r="FQ113" s="85">
        <v>0</v>
      </c>
      <c r="FR113" s="85">
        <v>0</v>
      </c>
      <c r="FS113" s="85">
        <v>0</v>
      </c>
      <c r="FT113" s="85">
        <v>0</v>
      </c>
      <c r="FU113" s="85">
        <v>0</v>
      </c>
      <c r="FV113" s="85">
        <v>0</v>
      </c>
      <c r="FW113" s="85">
        <v>0</v>
      </c>
      <c r="FX113" s="85">
        <v>0</v>
      </c>
      <c r="FY113" s="85">
        <v>0</v>
      </c>
      <c r="FZ113" s="85">
        <v>0</v>
      </c>
      <c r="GA113" s="85">
        <v>0</v>
      </c>
      <c r="GB113" s="152">
        <v>0</v>
      </c>
      <c r="GD113" s="153"/>
    </row>
    <row r="114" spans="1:186">
      <c r="A114" s="137" t="s">
        <v>253</v>
      </c>
      <c r="B114" s="151">
        <v>8685.87489443929</v>
      </c>
      <c r="C114" s="138">
        <f t="shared" si="24"/>
        <v>0</v>
      </c>
      <c r="D114" s="138">
        <f t="shared" si="13"/>
        <v>0</v>
      </c>
      <c r="E114" s="138">
        <f t="shared" si="14"/>
        <v>0</v>
      </c>
      <c r="F114" s="138">
        <f t="shared" si="15"/>
        <v>0</v>
      </c>
      <c r="G114" s="138">
        <f t="shared" si="16"/>
        <v>0</v>
      </c>
      <c r="H114" s="138">
        <f t="shared" si="17"/>
        <v>0</v>
      </c>
      <c r="I114" s="138">
        <f t="shared" si="18"/>
        <v>0</v>
      </c>
      <c r="J114" s="138">
        <f t="shared" si="19"/>
        <v>0</v>
      </c>
      <c r="K114" s="138">
        <f t="shared" si="20"/>
        <v>0</v>
      </c>
      <c r="L114" s="138">
        <f t="shared" si="21"/>
        <v>0</v>
      </c>
      <c r="M114" s="138">
        <f t="shared" si="22"/>
        <v>0</v>
      </c>
      <c r="N114" s="138">
        <f t="shared" si="23"/>
        <v>0</v>
      </c>
      <c r="O114" s="86">
        <f t="shared" si="25"/>
        <v>0</v>
      </c>
      <c r="P114" s="138">
        <v>0</v>
      </c>
      <c r="Q114" s="138">
        <v>0</v>
      </c>
      <c r="R114" s="138">
        <v>0</v>
      </c>
      <c r="S114" s="138">
        <v>0</v>
      </c>
      <c r="T114" s="138">
        <v>0</v>
      </c>
      <c r="U114" s="138">
        <v>0</v>
      </c>
      <c r="V114" s="138">
        <v>0</v>
      </c>
      <c r="W114" s="138">
        <v>0</v>
      </c>
      <c r="X114" s="138">
        <v>0</v>
      </c>
      <c r="Y114" s="138">
        <v>0</v>
      </c>
      <c r="Z114" s="138">
        <v>0</v>
      </c>
      <c r="AA114" s="138">
        <v>0</v>
      </c>
      <c r="AB114" s="86">
        <v>0</v>
      </c>
      <c r="AC114" s="138">
        <v>0</v>
      </c>
      <c r="AD114" s="138">
        <v>0</v>
      </c>
      <c r="AE114" s="138">
        <v>0</v>
      </c>
      <c r="AF114" s="138">
        <v>0</v>
      </c>
      <c r="AG114" s="138">
        <v>0</v>
      </c>
      <c r="AH114" s="138">
        <v>0</v>
      </c>
      <c r="AI114" s="138">
        <v>0</v>
      </c>
      <c r="AJ114" s="138">
        <v>0</v>
      </c>
      <c r="AK114" s="138">
        <v>0</v>
      </c>
      <c r="AL114" s="138">
        <v>0</v>
      </c>
      <c r="AM114" s="138">
        <v>0</v>
      </c>
      <c r="AN114" s="138">
        <v>0</v>
      </c>
      <c r="AO114" s="86">
        <v>0</v>
      </c>
      <c r="AP114" s="138">
        <v>0</v>
      </c>
      <c r="AQ114" s="138">
        <v>0</v>
      </c>
      <c r="AR114" s="138">
        <v>0</v>
      </c>
      <c r="AS114" s="138">
        <v>0</v>
      </c>
      <c r="AT114" s="138">
        <v>0</v>
      </c>
      <c r="AU114" s="138">
        <v>0</v>
      </c>
      <c r="AV114" s="138">
        <v>0</v>
      </c>
      <c r="AW114" s="138">
        <v>0</v>
      </c>
      <c r="AX114" s="138">
        <v>0</v>
      </c>
      <c r="AY114" s="138">
        <v>0</v>
      </c>
      <c r="AZ114" s="138">
        <v>0</v>
      </c>
      <c r="BA114" s="138">
        <v>0</v>
      </c>
      <c r="BB114" s="86">
        <v>0</v>
      </c>
      <c r="BC114" s="138">
        <v>0</v>
      </c>
      <c r="BD114" s="138">
        <v>0</v>
      </c>
      <c r="BE114" s="138">
        <v>0</v>
      </c>
      <c r="BF114" s="138">
        <v>0</v>
      </c>
      <c r="BG114" s="138">
        <v>0</v>
      </c>
      <c r="BH114" s="138">
        <v>0</v>
      </c>
      <c r="BI114" s="138">
        <v>0</v>
      </c>
      <c r="BJ114" s="138">
        <v>0</v>
      </c>
      <c r="BK114" s="138">
        <v>0</v>
      </c>
      <c r="BL114" s="138">
        <v>0</v>
      </c>
      <c r="BM114" s="138">
        <v>0</v>
      </c>
      <c r="BN114" s="138">
        <v>0</v>
      </c>
      <c r="BO114" s="86">
        <v>0</v>
      </c>
      <c r="BP114" s="138">
        <v>0</v>
      </c>
      <c r="BQ114" s="138">
        <v>0</v>
      </c>
      <c r="BR114" s="138">
        <v>0</v>
      </c>
      <c r="BS114" s="138">
        <v>0</v>
      </c>
      <c r="BT114" s="138">
        <v>0</v>
      </c>
      <c r="BU114" s="138">
        <v>0</v>
      </c>
      <c r="BV114" s="138">
        <v>0</v>
      </c>
      <c r="BW114" s="138">
        <v>0</v>
      </c>
      <c r="BX114" s="138">
        <v>0</v>
      </c>
      <c r="BY114" s="138">
        <v>0</v>
      </c>
      <c r="BZ114" s="138">
        <v>0</v>
      </c>
      <c r="CA114" s="138">
        <v>0</v>
      </c>
      <c r="CB114" s="86">
        <v>0</v>
      </c>
      <c r="CC114" s="138">
        <v>0</v>
      </c>
      <c r="CD114" s="138">
        <v>0</v>
      </c>
      <c r="CE114" s="138">
        <v>0</v>
      </c>
      <c r="CF114" s="138">
        <v>0</v>
      </c>
      <c r="CG114" s="138">
        <v>0</v>
      </c>
      <c r="CH114" s="138">
        <v>0</v>
      </c>
      <c r="CI114" s="138">
        <v>0</v>
      </c>
      <c r="CJ114" s="138">
        <v>0</v>
      </c>
      <c r="CK114" s="138">
        <v>0</v>
      </c>
      <c r="CL114" s="138">
        <v>0</v>
      </c>
      <c r="CM114" s="138">
        <v>0</v>
      </c>
      <c r="CN114" s="138">
        <v>0</v>
      </c>
      <c r="CO114" s="86">
        <v>0</v>
      </c>
      <c r="CP114" s="138">
        <v>0</v>
      </c>
      <c r="CQ114" s="138">
        <v>0</v>
      </c>
      <c r="CR114" s="138">
        <v>0</v>
      </c>
      <c r="CS114" s="138">
        <v>0</v>
      </c>
      <c r="CT114" s="138">
        <v>0</v>
      </c>
      <c r="CU114" s="138">
        <v>0</v>
      </c>
      <c r="CV114" s="138">
        <v>0</v>
      </c>
      <c r="CW114" s="138">
        <v>0</v>
      </c>
      <c r="CX114" s="138">
        <v>0</v>
      </c>
      <c r="CY114" s="138">
        <v>0</v>
      </c>
      <c r="CZ114" s="138">
        <v>0</v>
      </c>
      <c r="DA114" s="138">
        <v>0</v>
      </c>
      <c r="DB114" s="86">
        <v>0</v>
      </c>
      <c r="DC114" s="138">
        <v>0</v>
      </c>
      <c r="DD114" s="138">
        <v>0</v>
      </c>
      <c r="DE114" s="138">
        <v>0</v>
      </c>
      <c r="DF114" s="138">
        <v>0</v>
      </c>
      <c r="DG114" s="138">
        <v>0</v>
      </c>
      <c r="DH114" s="138">
        <v>0</v>
      </c>
      <c r="DI114" s="138">
        <v>0</v>
      </c>
      <c r="DJ114" s="138">
        <v>0</v>
      </c>
      <c r="DK114" s="138">
        <v>0</v>
      </c>
      <c r="DL114" s="138">
        <v>0</v>
      </c>
      <c r="DM114" s="138">
        <v>0</v>
      </c>
      <c r="DN114" s="138">
        <v>0</v>
      </c>
      <c r="DO114" s="86">
        <v>0</v>
      </c>
      <c r="DP114" s="138">
        <v>0</v>
      </c>
      <c r="DQ114" s="138">
        <v>0</v>
      </c>
      <c r="DR114" s="138">
        <v>0</v>
      </c>
      <c r="DS114" s="138">
        <v>0</v>
      </c>
      <c r="DT114" s="138">
        <v>0</v>
      </c>
      <c r="DU114" s="138">
        <v>0</v>
      </c>
      <c r="DV114" s="138">
        <v>0</v>
      </c>
      <c r="DW114" s="138">
        <v>0</v>
      </c>
      <c r="DX114" s="138">
        <v>0</v>
      </c>
      <c r="DY114" s="138">
        <v>0</v>
      </c>
      <c r="DZ114" s="138">
        <v>0</v>
      </c>
      <c r="EA114" s="138">
        <v>0</v>
      </c>
      <c r="EB114" s="85">
        <v>0</v>
      </c>
      <c r="EC114" s="87">
        <v>0</v>
      </c>
      <c r="ED114" s="85">
        <v>0</v>
      </c>
      <c r="EE114" s="85">
        <v>0</v>
      </c>
      <c r="EF114" s="85">
        <v>0</v>
      </c>
      <c r="EG114" s="85">
        <v>0</v>
      </c>
      <c r="EH114" s="85">
        <v>0</v>
      </c>
      <c r="EI114" s="85">
        <v>0</v>
      </c>
      <c r="EJ114" s="85">
        <v>0</v>
      </c>
      <c r="EK114" s="85">
        <v>0</v>
      </c>
      <c r="EL114" s="85">
        <v>0</v>
      </c>
      <c r="EM114" s="85">
        <v>0</v>
      </c>
      <c r="EN114" s="85">
        <v>0</v>
      </c>
      <c r="EO114" s="152">
        <v>0</v>
      </c>
      <c r="EP114" s="85">
        <v>0</v>
      </c>
      <c r="EQ114" s="85">
        <v>0</v>
      </c>
      <c r="ER114" s="85">
        <v>0</v>
      </c>
      <c r="ES114" s="85">
        <v>0</v>
      </c>
      <c r="ET114" s="85">
        <v>0</v>
      </c>
      <c r="EU114" s="85">
        <v>0</v>
      </c>
      <c r="EV114" s="85">
        <v>0</v>
      </c>
      <c r="EW114" s="85">
        <v>0</v>
      </c>
      <c r="EX114" s="85">
        <v>0</v>
      </c>
      <c r="EY114" s="85">
        <v>0</v>
      </c>
      <c r="EZ114" s="85">
        <v>0</v>
      </c>
      <c r="FA114" s="85">
        <v>0</v>
      </c>
      <c r="FB114" s="85">
        <v>0</v>
      </c>
      <c r="FC114" s="87">
        <v>0</v>
      </c>
      <c r="FD114" s="85">
        <v>0</v>
      </c>
      <c r="FE114" s="85">
        <v>0</v>
      </c>
      <c r="FF114" s="85">
        <v>0</v>
      </c>
      <c r="FG114" s="85">
        <v>0</v>
      </c>
      <c r="FH114" s="85">
        <v>0</v>
      </c>
      <c r="FI114" s="85">
        <v>0</v>
      </c>
      <c r="FJ114" s="85">
        <v>0</v>
      </c>
      <c r="FK114" s="85">
        <v>0</v>
      </c>
      <c r="FL114" s="85">
        <v>0</v>
      </c>
      <c r="FM114" s="85">
        <v>0</v>
      </c>
      <c r="FN114" s="85">
        <v>0</v>
      </c>
      <c r="FO114" s="86">
        <v>0</v>
      </c>
      <c r="FP114" s="87">
        <v>0</v>
      </c>
      <c r="FQ114" s="85">
        <v>0</v>
      </c>
      <c r="FR114" s="85">
        <v>0</v>
      </c>
      <c r="FS114" s="85">
        <v>0</v>
      </c>
      <c r="FT114" s="85">
        <v>0</v>
      </c>
      <c r="FU114" s="85">
        <v>0</v>
      </c>
      <c r="FV114" s="85">
        <v>0</v>
      </c>
      <c r="FW114" s="85">
        <v>0</v>
      </c>
      <c r="FX114" s="85">
        <v>0</v>
      </c>
      <c r="FY114" s="85">
        <v>0</v>
      </c>
      <c r="FZ114" s="85">
        <v>0</v>
      </c>
      <c r="GA114" s="85">
        <v>0</v>
      </c>
      <c r="GB114" s="152">
        <v>0</v>
      </c>
      <c r="GD114" s="153"/>
    </row>
    <row r="115" spans="1:186">
      <c r="A115" s="137" t="s">
        <v>255</v>
      </c>
      <c r="B115" s="151">
        <v>0</v>
      </c>
      <c r="C115" s="138">
        <f t="shared" si="24"/>
        <v>0</v>
      </c>
      <c r="D115" s="138">
        <f t="shared" si="13"/>
        <v>0</v>
      </c>
      <c r="E115" s="138">
        <f t="shared" si="14"/>
        <v>0</v>
      </c>
      <c r="F115" s="138">
        <f t="shared" si="15"/>
        <v>0</v>
      </c>
      <c r="G115" s="138">
        <f t="shared" si="16"/>
        <v>0</v>
      </c>
      <c r="H115" s="138">
        <f t="shared" si="17"/>
        <v>0</v>
      </c>
      <c r="I115" s="138">
        <f t="shared" si="18"/>
        <v>0</v>
      </c>
      <c r="J115" s="138">
        <f t="shared" si="19"/>
        <v>0</v>
      </c>
      <c r="K115" s="138">
        <f t="shared" si="20"/>
        <v>0</v>
      </c>
      <c r="L115" s="138">
        <f t="shared" si="21"/>
        <v>0</v>
      </c>
      <c r="M115" s="138">
        <f t="shared" si="22"/>
        <v>0</v>
      </c>
      <c r="N115" s="138">
        <f t="shared" si="23"/>
        <v>0</v>
      </c>
      <c r="O115" s="86">
        <f t="shared" si="25"/>
        <v>0</v>
      </c>
      <c r="P115" s="138">
        <v>0</v>
      </c>
      <c r="Q115" s="138">
        <v>0</v>
      </c>
      <c r="R115" s="138">
        <v>0</v>
      </c>
      <c r="S115" s="138">
        <v>0</v>
      </c>
      <c r="T115" s="138">
        <v>0</v>
      </c>
      <c r="U115" s="138">
        <v>0</v>
      </c>
      <c r="V115" s="138">
        <v>0</v>
      </c>
      <c r="W115" s="138">
        <v>0</v>
      </c>
      <c r="X115" s="138">
        <v>0</v>
      </c>
      <c r="Y115" s="138">
        <v>0</v>
      </c>
      <c r="Z115" s="138">
        <v>0</v>
      </c>
      <c r="AA115" s="138">
        <v>0</v>
      </c>
      <c r="AB115" s="86">
        <v>0</v>
      </c>
      <c r="AC115" s="138">
        <v>0</v>
      </c>
      <c r="AD115" s="138">
        <v>0</v>
      </c>
      <c r="AE115" s="138">
        <v>0</v>
      </c>
      <c r="AF115" s="138">
        <v>0</v>
      </c>
      <c r="AG115" s="138">
        <v>0</v>
      </c>
      <c r="AH115" s="138">
        <v>0</v>
      </c>
      <c r="AI115" s="138">
        <v>0</v>
      </c>
      <c r="AJ115" s="138">
        <v>0</v>
      </c>
      <c r="AK115" s="138">
        <v>0</v>
      </c>
      <c r="AL115" s="138">
        <v>0</v>
      </c>
      <c r="AM115" s="138">
        <v>0</v>
      </c>
      <c r="AN115" s="138">
        <v>0</v>
      </c>
      <c r="AO115" s="86">
        <v>0</v>
      </c>
      <c r="AP115" s="138">
        <v>0</v>
      </c>
      <c r="AQ115" s="138">
        <v>0</v>
      </c>
      <c r="AR115" s="138">
        <v>0</v>
      </c>
      <c r="AS115" s="138">
        <v>0</v>
      </c>
      <c r="AT115" s="138">
        <v>0</v>
      </c>
      <c r="AU115" s="138">
        <v>0</v>
      </c>
      <c r="AV115" s="138">
        <v>0</v>
      </c>
      <c r="AW115" s="138">
        <v>0</v>
      </c>
      <c r="AX115" s="138">
        <v>0</v>
      </c>
      <c r="AY115" s="138">
        <v>0</v>
      </c>
      <c r="AZ115" s="138">
        <v>0</v>
      </c>
      <c r="BA115" s="138">
        <v>0</v>
      </c>
      <c r="BB115" s="86">
        <v>0</v>
      </c>
      <c r="BC115" s="138">
        <v>0</v>
      </c>
      <c r="BD115" s="138">
        <v>0</v>
      </c>
      <c r="BE115" s="138">
        <v>0</v>
      </c>
      <c r="BF115" s="138">
        <v>0</v>
      </c>
      <c r="BG115" s="138">
        <v>0</v>
      </c>
      <c r="BH115" s="138">
        <v>0</v>
      </c>
      <c r="BI115" s="138">
        <v>0</v>
      </c>
      <c r="BJ115" s="138">
        <v>0</v>
      </c>
      <c r="BK115" s="138">
        <v>0</v>
      </c>
      <c r="BL115" s="138">
        <v>0</v>
      </c>
      <c r="BM115" s="138">
        <v>0</v>
      </c>
      <c r="BN115" s="138">
        <v>0</v>
      </c>
      <c r="BO115" s="86">
        <v>0</v>
      </c>
      <c r="BP115" s="138">
        <v>0</v>
      </c>
      <c r="BQ115" s="138">
        <v>0</v>
      </c>
      <c r="BR115" s="138">
        <v>0</v>
      </c>
      <c r="BS115" s="138">
        <v>0</v>
      </c>
      <c r="BT115" s="138">
        <v>0</v>
      </c>
      <c r="BU115" s="138">
        <v>0</v>
      </c>
      <c r="BV115" s="138">
        <v>0</v>
      </c>
      <c r="BW115" s="138">
        <v>0</v>
      </c>
      <c r="BX115" s="138">
        <v>0</v>
      </c>
      <c r="BY115" s="138">
        <v>0</v>
      </c>
      <c r="BZ115" s="138">
        <v>0</v>
      </c>
      <c r="CA115" s="138">
        <v>0</v>
      </c>
      <c r="CB115" s="86">
        <v>0</v>
      </c>
      <c r="CC115" s="138">
        <v>0</v>
      </c>
      <c r="CD115" s="138">
        <v>0</v>
      </c>
      <c r="CE115" s="138">
        <v>0</v>
      </c>
      <c r="CF115" s="138">
        <v>0</v>
      </c>
      <c r="CG115" s="138">
        <v>0</v>
      </c>
      <c r="CH115" s="138">
        <v>0</v>
      </c>
      <c r="CI115" s="138">
        <v>0</v>
      </c>
      <c r="CJ115" s="138">
        <v>0</v>
      </c>
      <c r="CK115" s="138">
        <v>0</v>
      </c>
      <c r="CL115" s="138">
        <v>0</v>
      </c>
      <c r="CM115" s="138">
        <v>0</v>
      </c>
      <c r="CN115" s="138">
        <v>0</v>
      </c>
      <c r="CO115" s="86">
        <v>0</v>
      </c>
      <c r="CP115" s="138">
        <v>0</v>
      </c>
      <c r="CQ115" s="138">
        <v>0</v>
      </c>
      <c r="CR115" s="138">
        <v>0</v>
      </c>
      <c r="CS115" s="138">
        <v>0</v>
      </c>
      <c r="CT115" s="138">
        <v>0</v>
      </c>
      <c r="CU115" s="138">
        <v>0</v>
      </c>
      <c r="CV115" s="138">
        <v>0</v>
      </c>
      <c r="CW115" s="138">
        <v>0</v>
      </c>
      <c r="CX115" s="138">
        <v>0</v>
      </c>
      <c r="CY115" s="138">
        <v>0</v>
      </c>
      <c r="CZ115" s="138">
        <v>0</v>
      </c>
      <c r="DA115" s="138">
        <v>0</v>
      </c>
      <c r="DB115" s="86">
        <v>0</v>
      </c>
      <c r="DC115" s="138">
        <v>0</v>
      </c>
      <c r="DD115" s="138">
        <v>0</v>
      </c>
      <c r="DE115" s="138">
        <v>0</v>
      </c>
      <c r="DF115" s="138">
        <v>0</v>
      </c>
      <c r="DG115" s="138">
        <v>0</v>
      </c>
      <c r="DH115" s="138">
        <v>0</v>
      </c>
      <c r="DI115" s="138">
        <v>0</v>
      </c>
      <c r="DJ115" s="138">
        <v>0</v>
      </c>
      <c r="DK115" s="138">
        <v>0</v>
      </c>
      <c r="DL115" s="138">
        <v>0</v>
      </c>
      <c r="DM115" s="138">
        <v>0</v>
      </c>
      <c r="DN115" s="138">
        <v>0</v>
      </c>
      <c r="DO115" s="86">
        <v>0</v>
      </c>
      <c r="DP115" s="138">
        <v>0</v>
      </c>
      <c r="DQ115" s="138">
        <v>0</v>
      </c>
      <c r="DR115" s="138">
        <v>0</v>
      </c>
      <c r="DS115" s="138">
        <v>0</v>
      </c>
      <c r="DT115" s="138">
        <v>0</v>
      </c>
      <c r="DU115" s="138">
        <v>0</v>
      </c>
      <c r="DV115" s="138">
        <v>0</v>
      </c>
      <c r="DW115" s="138">
        <v>0</v>
      </c>
      <c r="DX115" s="138">
        <v>0</v>
      </c>
      <c r="DY115" s="138">
        <v>0</v>
      </c>
      <c r="DZ115" s="138">
        <v>0</v>
      </c>
      <c r="EA115" s="138">
        <v>0</v>
      </c>
      <c r="EB115" s="85">
        <v>0</v>
      </c>
      <c r="EC115" s="87">
        <v>0</v>
      </c>
      <c r="ED115" s="85">
        <v>0</v>
      </c>
      <c r="EE115" s="85">
        <v>0</v>
      </c>
      <c r="EF115" s="85">
        <v>0</v>
      </c>
      <c r="EG115" s="85">
        <v>0</v>
      </c>
      <c r="EH115" s="85">
        <v>0</v>
      </c>
      <c r="EI115" s="85">
        <v>0</v>
      </c>
      <c r="EJ115" s="85">
        <v>0</v>
      </c>
      <c r="EK115" s="85">
        <v>0</v>
      </c>
      <c r="EL115" s="85">
        <v>0</v>
      </c>
      <c r="EM115" s="85">
        <v>0</v>
      </c>
      <c r="EN115" s="85">
        <v>0</v>
      </c>
      <c r="EO115" s="152">
        <v>0</v>
      </c>
      <c r="EP115" s="85">
        <v>0</v>
      </c>
      <c r="EQ115" s="85">
        <v>0</v>
      </c>
      <c r="ER115" s="85">
        <v>0</v>
      </c>
      <c r="ES115" s="85">
        <v>0</v>
      </c>
      <c r="ET115" s="85">
        <v>0</v>
      </c>
      <c r="EU115" s="85">
        <v>0</v>
      </c>
      <c r="EV115" s="85">
        <v>0</v>
      </c>
      <c r="EW115" s="85">
        <v>0</v>
      </c>
      <c r="EX115" s="85">
        <v>0</v>
      </c>
      <c r="EY115" s="85">
        <v>0</v>
      </c>
      <c r="EZ115" s="85">
        <v>0</v>
      </c>
      <c r="FA115" s="85">
        <v>0</v>
      </c>
      <c r="FB115" s="85">
        <v>0</v>
      </c>
      <c r="FC115" s="87">
        <v>0</v>
      </c>
      <c r="FD115" s="85">
        <v>0</v>
      </c>
      <c r="FE115" s="85">
        <v>0</v>
      </c>
      <c r="FF115" s="85">
        <v>0</v>
      </c>
      <c r="FG115" s="85">
        <v>0</v>
      </c>
      <c r="FH115" s="85">
        <v>0</v>
      </c>
      <c r="FI115" s="85">
        <v>0</v>
      </c>
      <c r="FJ115" s="85">
        <v>0</v>
      </c>
      <c r="FK115" s="85">
        <v>0</v>
      </c>
      <c r="FL115" s="85">
        <v>0</v>
      </c>
      <c r="FM115" s="85">
        <v>0</v>
      </c>
      <c r="FN115" s="85">
        <v>0</v>
      </c>
      <c r="FO115" s="86">
        <v>0</v>
      </c>
      <c r="FP115" s="87">
        <v>0</v>
      </c>
      <c r="FQ115" s="85">
        <v>0</v>
      </c>
      <c r="FR115" s="85">
        <v>0</v>
      </c>
      <c r="FS115" s="85">
        <v>0</v>
      </c>
      <c r="FT115" s="85">
        <v>0</v>
      </c>
      <c r="FU115" s="85">
        <v>0</v>
      </c>
      <c r="FV115" s="85">
        <v>0</v>
      </c>
      <c r="FW115" s="85">
        <v>0</v>
      </c>
      <c r="FX115" s="85">
        <v>0</v>
      </c>
      <c r="FY115" s="85">
        <v>0</v>
      </c>
      <c r="FZ115" s="85">
        <v>0</v>
      </c>
      <c r="GA115" s="85">
        <v>0</v>
      </c>
      <c r="GB115" s="152">
        <v>0</v>
      </c>
      <c r="GD115" s="153"/>
    </row>
    <row r="116" spans="1:186">
      <c r="A116" s="137" t="s">
        <v>257</v>
      </c>
      <c r="B116" s="151">
        <v>0</v>
      </c>
      <c r="C116" s="138">
        <f t="shared" si="24"/>
        <v>0</v>
      </c>
      <c r="D116" s="138">
        <f t="shared" si="13"/>
        <v>0</v>
      </c>
      <c r="E116" s="138">
        <f t="shared" si="14"/>
        <v>0</v>
      </c>
      <c r="F116" s="138">
        <f t="shared" si="15"/>
        <v>0</v>
      </c>
      <c r="G116" s="138">
        <f t="shared" si="16"/>
        <v>0</v>
      </c>
      <c r="H116" s="138">
        <f t="shared" si="17"/>
        <v>0</v>
      </c>
      <c r="I116" s="138">
        <f t="shared" si="18"/>
        <v>0</v>
      </c>
      <c r="J116" s="138">
        <f t="shared" si="19"/>
        <v>0</v>
      </c>
      <c r="K116" s="138">
        <f t="shared" si="20"/>
        <v>0</v>
      </c>
      <c r="L116" s="138">
        <f t="shared" si="21"/>
        <v>0</v>
      </c>
      <c r="M116" s="138">
        <f t="shared" si="22"/>
        <v>0</v>
      </c>
      <c r="N116" s="138">
        <f t="shared" si="23"/>
        <v>0</v>
      </c>
      <c r="O116" s="86">
        <f t="shared" si="25"/>
        <v>0</v>
      </c>
      <c r="P116" s="138">
        <v>0</v>
      </c>
      <c r="Q116" s="138">
        <v>0</v>
      </c>
      <c r="R116" s="138">
        <v>0</v>
      </c>
      <c r="S116" s="138">
        <v>0</v>
      </c>
      <c r="T116" s="138">
        <v>0</v>
      </c>
      <c r="U116" s="138">
        <v>0</v>
      </c>
      <c r="V116" s="138">
        <v>0</v>
      </c>
      <c r="W116" s="138">
        <v>0</v>
      </c>
      <c r="X116" s="138">
        <v>0</v>
      </c>
      <c r="Y116" s="138">
        <v>0</v>
      </c>
      <c r="Z116" s="138">
        <v>0</v>
      </c>
      <c r="AA116" s="138">
        <v>0</v>
      </c>
      <c r="AB116" s="86">
        <v>0</v>
      </c>
      <c r="AC116" s="138">
        <v>0</v>
      </c>
      <c r="AD116" s="138">
        <v>0</v>
      </c>
      <c r="AE116" s="138">
        <v>0</v>
      </c>
      <c r="AF116" s="138">
        <v>0</v>
      </c>
      <c r="AG116" s="138">
        <v>0</v>
      </c>
      <c r="AH116" s="138">
        <v>0</v>
      </c>
      <c r="AI116" s="138">
        <v>0</v>
      </c>
      <c r="AJ116" s="138">
        <v>0</v>
      </c>
      <c r="AK116" s="138">
        <v>0</v>
      </c>
      <c r="AL116" s="138">
        <v>0</v>
      </c>
      <c r="AM116" s="138">
        <v>0</v>
      </c>
      <c r="AN116" s="138">
        <v>0</v>
      </c>
      <c r="AO116" s="86">
        <v>0</v>
      </c>
      <c r="AP116" s="138">
        <v>0</v>
      </c>
      <c r="AQ116" s="138">
        <v>0</v>
      </c>
      <c r="AR116" s="138">
        <v>0</v>
      </c>
      <c r="AS116" s="138">
        <v>0</v>
      </c>
      <c r="AT116" s="138">
        <v>0</v>
      </c>
      <c r="AU116" s="138">
        <v>0</v>
      </c>
      <c r="AV116" s="138">
        <v>0</v>
      </c>
      <c r="AW116" s="138">
        <v>0</v>
      </c>
      <c r="AX116" s="138">
        <v>0</v>
      </c>
      <c r="AY116" s="138">
        <v>0</v>
      </c>
      <c r="AZ116" s="138">
        <v>0</v>
      </c>
      <c r="BA116" s="138">
        <v>0</v>
      </c>
      <c r="BB116" s="86">
        <v>0</v>
      </c>
      <c r="BC116" s="138">
        <v>0</v>
      </c>
      <c r="BD116" s="138">
        <v>0</v>
      </c>
      <c r="BE116" s="138">
        <v>0</v>
      </c>
      <c r="BF116" s="138">
        <v>0</v>
      </c>
      <c r="BG116" s="138">
        <v>0</v>
      </c>
      <c r="BH116" s="138">
        <v>0</v>
      </c>
      <c r="BI116" s="138">
        <v>0</v>
      </c>
      <c r="BJ116" s="138">
        <v>0</v>
      </c>
      <c r="BK116" s="138">
        <v>0</v>
      </c>
      <c r="BL116" s="138">
        <v>0</v>
      </c>
      <c r="BM116" s="138">
        <v>0</v>
      </c>
      <c r="BN116" s="138">
        <v>0</v>
      </c>
      <c r="BO116" s="86">
        <v>0</v>
      </c>
      <c r="BP116" s="138">
        <v>0</v>
      </c>
      <c r="BQ116" s="138">
        <v>0</v>
      </c>
      <c r="BR116" s="138">
        <v>0</v>
      </c>
      <c r="BS116" s="138">
        <v>0</v>
      </c>
      <c r="BT116" s="138">
        <v>0</v>
      </c>
      <c r="BU116" s="138">
        <v>0</v>
      </c>
      <c r="BV116" s="138">
        <v>0</v>
      </c>
      <c r="BW116" s="138">
        <v>0</v>
      </c>
      <c r="BX116" s="138">
        <v>0</v>
      </c>
      <c r="BY116" s="138">
        <v>0</v>
      </c>
      <c r="BZ116" s="138">
        <v>0</v>
      </c>
      <c r="CA116" s="138">
        <v>0</v>
      </c>
      <c r="CB116" s="86">
        <v>0</v>
      </c>
      <c r="CC116" s="138">
        <v>0</v>
      </c>
      <c r="CD116" s="138">
        <v>0</v>
      </c>
      <c r="CE116" s="138">
        <v>0</v>
      </c>
      <c r="CF116" s="138">
        <v>0</v>
      </c>
      <c r="CG116" s="138">
        <v>0</v>
      </c>
      <c r="CH116" s="138">
        <v>0</v>
      </c>
      <c r="CI116" s="138">
        <v>0</v>
      </c>
      <c r="CJ116" s="138">
        <v>0</v>
      </c>
      <c r="CK116" s="138">
        <v>0</v>
      </c>
      <c r="CL116" s="138">
        <v>0</v>
      </c>
      <c r="CM116" s="138">
        <v>0</v>
      </c>
      <c r="CN116" s="138">
        <v>0</v>
      </c>
      <c r="CO116" s="86">
        <v>0</v>
      </c>
      <c r="CP116" s="138">
        <v>0</v>
      </c>
      <c r="CQ116" s="138">
        <v>0</v>
      </c>
      <c r="CR116" s="138">
        <v>0</v>
      </c>
      <c r="CS116" s="138">
        <v>0</v>
      </c>
      <c r="CT116" s="138">
        <v>0</v>
      </c>
      <c r="CU116" s="138">
        <v>0</v>
      </c>
      <c r="CV116" s="138">
        <v>0</v>
      </c>
      <c r="CW116" s="138">
        <v>0</v>
      </c>
      <c r="CX116" s="138">
        <v>0</v>
      </c>
      <c r="CY116" s="138">
        <v>0</v>
      </c>
      <c r="CZ116" s="138">
        <v>0</v>
      </c>
      <c r="DA116" s="138">
        <v>0</v>
      </c>
      <c r="DB116" s="86">
        <v>0</v>
      </c>
      <c r="DC116" s="138">
        <v>0</v>
      </c>
      <c r="DD116" s="138">
        <v>0</v>
      </c>
      <c r="DE116" s="138">
        <v>0</v>
      </c>
      <c r="DF116" s="138">
        <v>0</v>
      </c>
      <c r="DG116" s="138">
        <v>0</v>
      </c>
      <c r="DH116" s="138">
        <v>0</v>
      </c>
      <c r="DI116" s="138">
        <v>0</v>
      </c>
      <c r="DJ116" s="138">
        <v>0</v>
      </c>
      <c r="DK116" s="138">
        <v>0</v>
      </c>
      <c r="DL116" s="138">
        <v>0</v>
      </c>
      <c r="DM116" s="138">
        <v>0</v>
      </c>
      <c r="DN116" s="138">
        <v>0</v>
      </c>
      <c r="DO116" s="86">
        <v>0</v>
      </c>
      <c r="DP116" s="138">
        <v>0</v>
      </c>
      <c r="DQ116" s="138">
        <v>0</v>
      </c>
      <c r="DR116" s="138">
        <v>0</v>
      </c>
      <c r="DS116" s="138">
        <v>0</v>
      </c>
      <c r="DT116" s="138">
        <v>0</v>
      </c>
      <c r="DU116" s="138">
        <v>0</v>
      </c>
      <c r="DV116" s="138">
        <v>0</v>
      </c>
      <c r="DW116" s="138">
        <v>0</v>
      </c>
      <c r="DX116" s="138">
        <v>0</v>
      </c>
      <c r="DY116" s="138">
        <v>0</v>
      </c>
      <c r="DZ116" s="138">
        <v>0</v>
      </c>
      <c r="EA116" s="138">
        <v>0</v>
      </c>
      <c r="EB116" s="85">
        <v>0</v>
      </c>
      <c r="EC116" s="87">
        <v>0</v>
      </c>
      <c r="ED116" s="85">
        <v>0</v>
      </c>
      <c r="EE116" s="85">
        <v>0</v>
      </c>
      <c r="EF116" s="85">
        <v>0</v>
      </c>
      <c r="EG116" s="85">
        <v>0</v>
      </c>
      <c r="EH116" s="85">
        <v>0</v>
      </c>
      <c r="EI116" s="85">
        <v>0</v>
      </c>
      <c r="EJ116" s="85">
        <v>0</v>
      </c>
      <c r="EK116" s="85">
        <v>0</v>
      </c>
      <c r="EL116" s="85">
        <v>0</v>
      </c>
      <c r="EM116" s="85">
        <v>0</v>
      </c>
      <c r="EN116" s="85">
        <v>0</v>
      </c>
      <c r="EO116" s="152">
        <v>0</v>
      </c>
      <c r="EP116" s="85">
        <v>0</v>
      </c>
      <c r="EQ116" s="85">
        <v>0</v>
      </c>
      <c r="ER116" s="85">
        <v>0</v>
      </c>
      <c r="ES116" s="85">
        <v>0</v>
      </c>
      <c r="ET116" s="85">
        <v>0</v>
      </c>
      <c r="EU116" s="85">
        <v>0</v>
      </c>
      <c r="EV116" s="85">
        <v>0</v>
      </c>
      <c r="EW116" s="85">
        <v>0</v>
      </c>
      <c r="EX116" s="85">
        <v>0</v>
      </c>
      <c r="EY116" s="85">
        <v>0</v>
      </c>
      <c r="EZ116" s="85">
        <v>0</v>
      </c>
      <c r="FA116" s="85">
        <v>0</v>
      </c>
      <c r="FB116" s="85">
        <v>0</v>
      </c>
      <c r="FC116" s="87">
        <v>0</v>
      </c>
      <c r="FD116" s="85">
        <v>0</v>
      </c>
      <c r="FE116" s="85">
        <v>0</v>
      </c>
      <c r="FF116" s="85">
        <v>0</v>
      </c>
      <c r="FG116" s="85">
        <v>0</v>
      </c>
      <c r="FH116" s="85">
        <v>0</v>
      </c>
      <c r="FI116" s="85">
        <v>0</v>
      </c>
      <c r="FJ116" s="85">
        <v>0</v>
      </c>
      <c r="FK116" s="85">
        <v>0</v>
      </c>
      <c r="FL116" s="85">
        <v>0</v>
      </c>
      <c r="FM116" s="85">
        <v>0</v>
      </c>
      <c r="FN116" s="85">
        <v>0</v>
      </c>
      <c r="FO116" s="86">
        <v>0</v>
      </c>
      <c r="FP116" s="87">
        <v>0</v>
      </c>
      <c r="FQ116" s="85">
        <v>0</v>
      </c>
      <c r="FR116" s="85">
        <v>0</v>
      </c>
      <c r="FS116" s="85">
        <v>0</v>
      </c>
      <c r="FT116" s="85">
        <v>0</v>
      </c>
      <c r="FU116" s="85">
        <v>0</v>
      </c>
      <c r="FV116" s="85">
        <v>0</v>
      </c>
      <c r="FW116" s="85">
        <v>0</v>
      </c>
      <c r="FX116" s="85">
        <v>0</v>
      </c>
      <c r="FY116" s="85">
        <v>0</v>
      </c>
      <c r="FZ116" s="85">
        <v>0</v>
      </c>
      <c r="GA116" s="85">
        <v>0</v>
      </c>
      <c r="GB116" s="152">
        <v>0</v>
      </c>
      <c r="GD116" s="153"/>
    </row>
    <row r="117" spans="1:186">
      <c r="A117" s="137" t="s">
        <v>259</v>
      </c>
      <c r="B117" s="151">
        <v>8362.88847899806</v>
      </c>
      <c r="C117" s="138">
        <f t="shared" si="24"/>
        <v>502.258784400794</v>
      </c>
      <c r="D117" s="138">
        <f t="shared" si="13"/>
        <v>928.742193680653</v>
      </c>
      <c r="E117" s="138">
        <f t="shared" si="14"/>
        <v>398.347949951983</v>
      </c>
      <c r="F117" s="138">
        <f t="shared" si="15"/>
        <v>10241.36965342</v>
      </c>
      <c r="G117" s="138">
        <f t="shared" si="16"/>
        <v>0</v>
      </c>
      <c r="H117" s="138">
        <f t="shared" si="17"/>
        <v>0</v>
      </c>
      <c r="I117" s="138">
        <f t="shared" si="18"/>
        <v>0</v>
      </c>
      <c r="J117" s="138">
        <f t="shared" si="19"/>
        <v>0</v>
      </c>
      <c r="K117" s="138">
        <f t="shared" si="20"/>
        <v>0</v>
      </c>
      <c r="L117" s="138">
        <f t="shared" si="21"/>
        <v>0</v>
      </c>
      <c r="M117" s="138">
        <f t="shared" si="22"/>
        <v>0</v>
      </c>
      <c r="N117" s="138">
        <f t="shared" si="23"/>
        <v>0</v>
      </c>
      <c r="O117" s="86">
        <f t="shared" si="25"/>
        <v>12070.7185814535</v>
      </c>
      <c r="P117" s="138">
        <v>0</v>
      </c>
      <c r="Q117" s="138">
        <v>0</v>
      </c>
      <c r="R117" s="138">
        <v>0</v>
      </c>
      <c r="S117" s="138">
        <v>0</v>
      </c>
      <c r="T117" s="138">
        <v>0</v>
      </c>
      <c r="U117" s="138">
        <v>0</v>
      </c>
      <c r="V117" s="138">
        <v>0</v>
      </c>
      <c r="W117" s="138">
        <v>0</v>
      </c>
      <c r="X117" s="138">
        <v>0</v>
      </c>
      <c r="Y117" s="138">
        <v>0</v>
      </c>
      <c r="Z117" s="138">
        <v>0</v>
      </c>
      <c r="AA117" s="138">
        <v>0</v>
      </c>
      <c r="AB117" s="86">
        <v>0</v>
      </c>
      <c r="AC117" s="138">
        <v>0</v>
      </c>
      <c r="AD117" s="138">
        <v>0</v>
      </c>
      <c r="AE117" s="138">
        <v>0</v>
      </c>
      <c r="AF117" s="138">
        <v>0</v>
      </c>
      <c r="AG117" s="138">
        <v>0</v>
      </c>
      <c r="AH117" s="138">
        <v>0</v>
      </c>
      <c r="AI117" s="138">
        <v>0</v>
      </c>
      <c r="AJ117" s="138">
        <v>0</v>
      </c>
      <c r="AK117" s="138">
        <v>0</v>
      </c>
      <c r="AL117" s="138">
        <v>0</v>
      </c>
      <c r="AM117" s="138">
        <v>0</v>
      </c>
      <c r="AN117" s="138">
        <v>0</v>
      </c>
      <c r="AO117" s="86">
        <v>0</v>
      </c>
      <c r="AP117" s="138">
        <v>0</v>
      </c>
      <c r="AQ117" s="138">
        <v>0</v>
      </c>
      <c r="AR117" s="138">
        <v>0</v>
      </c>
      <c r="AS117" s="138">
        <v>0</v>
      </c>
      <c r="AT117" s="138">
        <v>0</v>
      </c>
      <c r="AU117" s="138">
        <v>0</v>
      </c>
      <c r="AV117" s="138">
        <v>0</v>
      </c>
      <c r="AW117" s="138">
        <v>0</v>
      </c>
      <c r="AX117" s="138">
        <v>0</v>
      </c>
      <c r="AY117" s="138">
        <v>0</v>
      </c>
      <c r="AZ117" s="138">
        <v>0</v>
      </c>
      <c r="BA117" s="138">
        <v>0</v>
      </c>
      <c r="BB117" s="86">
        <v>0</v>
      </c>
      <c r="BC117" s="138">
        <v>0</v>
      </c>
      <c r="BD117" s="138">
        <v>0</v>
      </c>
      <c r="BE117" s="138">
        <v>0</v>
      </c>
      <c r="BF117" s="138">
        <v>0</v>
      </c>
      <c r="BG117" s="138">
        <v>0</v>
      </c>
      <c r="BH117" s="138">
        <v>0</v>
      </c>
      <c r="BI117" s="138">
        <v>0</v>
      </c>
      <c r="BJ117" s="138">
        <v>0</v>
      </c>
      <c r="BK117" s="138">
        <v>0</v>
      </c>
      <c r="BL117" s="138">
        <v>0</v>
      </c>
      <c r="BM117" s="138">
        <v>0</v>
      </c>
      <c r="BN117" s="138">
        <v>0</v>
      </c>
      <c r="BO117" s="86">
        <v>0</v>
      </c>
      <c r="BP117" s="138">
        <v>502.258784400794</v>
      </c>
      <c r="BQ117" s="138">
        <v>928.742193680653</v>
      </c>
      <c r="BR117" s="138">
        <v>398.347949951983</v>
      </c>
      <c r="BS117" s="138">
        <v>0</v>
      </c>
      <c r="BT117" s="138">
        <v>0</v>
      </c>
      <c r="BU117" s="138">
        <v>0</v>
      </c>
      <c r="BV117" s="138">
        <v>0</v>
      </c>
      <c r="BW117" s="138">
        <v>0</v>
      </c>
      <c r="BX117" s="138">
        <v>0</v>
      </c>
      <c r="BY117" s="138">
        <v>0</v>
      </c>
      <c r="BZ117" s="138">
        <v>0</v>
      </c>
      <c r="CA117" s="138">
        <v>0</v>
      </c>
      <c r="CB117" s="86">
        <v>1829.34892803343</v>
      </c>
      <c r="CC117" s="138">
        <v>0</v>
      </c>
      <c r="CD117" s="138">
        <v>0</v>
      </c>
      <c r="CE117" s="138">
        <v>0</v>
      </c>
      <c r="CF117" s="138">
        <v>0</v>
      </c>
      <c r="CG117" s="138">
        <v>0</v>
      </c>
      <c r="CH117" s="138">
        <v>0</v>
      </c>
      <c r="CI117" s="138">
        <v>0</v>
      </c>
      <c r="CJ117" s="138">
        <v>0</v>
      </c>
      <c r="CK117" s="138">
        <v>0</v>
      </c>
      <c r="CL117" s="138">
        <v>0</v>
      </c>
      <c r="CM117" s="138">
        <v>0</v>
      </c>
      <c r="CN117" s="138">
        <v>0</v>
      </c>
      <c r="CO117" s="86">
        <v>0</v>
      </c>
      <c r="CP117" s="138">
        <v>0</v>
      </c>
      <c r="CQ117" s="138">
        <v>0</v>
      </c>
      <c r="CR117" s="138">
        <v>0</v>
      </c>
      <c r="CS117" s="138">
        <v>0</v>
      </c>
      <c r="CT117" s="138">
        <v>0</v>
      </c>
      <c r="CU117" s="138">
        <v>0</v>
      </c>
      <c r="CV117" s="138">
        <v>0</v>
      </c>
      <c r="CW117" s="138">
        <v>0</v>
      </c>
      <c r="CX117" s="138">
        <v>0</v>
      </c>
      <c r="CY117" s="138">
        <v>0</v>
      </c>
      <c r="CZ117" s="138">
        <v>0</v>
      </c>
      <c r="DA117" s="138">
        <v>0</v>
      </c>
      <c r="DB117" s="86">
        <v>0</v>
      </c>
      <c r="DC117" s="138">
        <v>0</v>
      </c>
      <c r="DD117" s="138">
        <v>0</v>
      </c>
      <c r="DE117" s="138">
        <v>0</v>
      </c>
      <c r="DF117" s="138">
        <v>0</v>
      </c>
      <c r="DG117" s="138">
        <v>0</v>
      </c>
      <c r="DH117" s="138">
        <v>0</v>
      </c>
      <c r="DI117" s="138">
        <v>0</v>
      </c>
      <c r="DJ117" s="138">
        <v>0</v>
      </c>
      <c r="DK117" s="138">
        <v>0</v>
      </c>
      <c r="DL117" s="138">
        <v>0</v>
      </c>
      <c r="DM117" s="138">
        <v>0</v>
      </c>
      <c r="DN117" s="138">
        <v>0</v>
      </c>
      <c r="DO117" s="86">
        <v>0</v>
      </c>
      <c r="DP117" s="138">
        <v>0</v>
      </c>
      <c r="DQ117" s="138">
        <v>0</v>
      </c>
      <c r="DR117" s="138">
        <v>0</v>
      </c>
      <c r="DS117" s="138">
        <v>0</v>
      </c>
      <c r="DT117" s="138">
        <v>0</v>
      </c>
      <c r="DU117" s="138">
        <v>0</v>
      </c>
      <c r="DV117" s="138">
        <v>0</v>
      </c>
      <c r="DW117" s="138">
        <v>0</v>
      </c>
      <c r="DX117" s="138">
        <v>0</v>
      </c>
      <c r="DY117" s="138">
        <v>0</v>
      </c>
      <c r="DZ117" s="138">
        <v>0</v>
      </c>
      <c r="EA117" s="138">
        <v>0</v>
      </c>
      <c r="EB117" s="85">
        <v>0</v>
      </c>
      <c r="EC117" s="87">
        <v>0</v>
      </c>
      <c r="ED117" s="85">
        <v>0</v>
      </c>
      <c r="EE117" s="85">
        <v>0</v>
      </c>
      <c r="EF117" s="85">
        <v>0</v>
      </c>
      <c r="EG117" s="85">
        <v>0</v>
      </c>
      <c r="EH117" s="85">
        <v>0</v>
      </c>
      <c r="EI117" s="85">
        <v>0</v>
      </c>
      <c r="EJ117" s="85">
        <v>0</v>
      </c>
      <c r="EK117" s="85">
        <v>0</v>
      </c>
      <c r="EL117" s="85">
        <v>0</v>
      </c>
      <c r="EM117" s="85">
        <v>0</v>
      </c>
      <c r="EN117" s="85">
        <v>0</v>
      </c>
      <c r="EO117" s="152">
        <v>0</v>
      </c>
      <c r="EP117" s="85">
        <v>0</v>
      </c>
      <c r="EQ117" s="85">
        <v>0</v>
      </c>
      <c r="ER117" s="85">
        <v>0</v>
      </c>
      <c r="ES117" s="85">
        <v>0</v>
      </c>
      <c r="ET117" s="85">
        <v>0</v>
      </c>
      <c r="EU117" s="85">
        <v>0</v>
      </c>
      <c r="EV117" s="85">
        <v>0</v>
      </c>
      <c r="EW117" s="85">
        <v>0</v>
      </c>
      <c r="EX117" s="85">
        <v>0</v>
      </c>
      <c r="EY117" s="85">
        <v>0</v>
      </c>
      <c r="EZ117" s="85">
        <v>0</v>
      </c>
      <c r="FA117" s="85">
        <v>0</v>
      </c>
      <c r="FB117" s="85">
        <v>0</v>
      </c>
      <c r="FC117" s="87">
        <v>0</v>
      </c>
      <c r="FD117" s="85">
        <v>0</v>
      </c>
      <c r="FE117" s="85">
        <v>0</v>
      </c>
      <c r="FF117" s="85">
        <v>0</v>
      </c>
      <c r="FG117" s="85">
        <v>0</v>
      </c>
      <c r="FH117" s="85">
        <v>0</v>
      </c>
      <c r="FI117" s="85">
        <v>0</v>
      </c>
      <c r="FJ117" s="85">
        <v>0</v>
      </c>
      <c r="FK117" s="85">
        <v>0</v>
      </c>
      <c r="FL117" s="85">
        <v>0</v>
      </c>
      <c r="FM117" s="85">
        <v>0</v>
      </c>
      <c r="FN117" s="85">
        <v>0</v>
      </c>
      <c r="FO117" s="86">
        <v>0</v>
      </c>
      <c r="FP117" s="87">
        <v>0</v>
      </c>
      <c r="FQ117" s="85">
        <v>0</v>
      </c>
      <c r="FR117" s="85">
        <v>0</v>
      </c>
      <c r="FS117" s="85">
        <v>10241.36965342</v>
      </c>
      <c r="FT117" s="85">
        <v>0</v>
      </c>
      <c r="FU117" s="85">
        <v>0</v>
      </c>
      <c r="FV117" s="85">
        <v>0</v>
      </c>
      <c r="FW117" s="85">
        <v>0</v>
      </c>
      <c r="FX117" s="85">
        <v>0</v>
      </c>
      <c r="FY117" s="85">
        <v>0</v>
      </c>
      <c r="FZ117" s="85">
        <v>0</v>
      </c>
      <c r="GA117" s="85">
        <v>0</v>
      </c>
      <c r="GB117" s="152">
        <v>10241.36965342</v>
      </c>
      <c r="GD117" s="153"/>
    </row>
    <row r="118" spans="1:186">
      <c r="A118" s="137" t="s">
        <v>261</v>
      </c>
      <c r="B118" s="151">
        <v>6154.48812119616</v>
      </c>
      <c r="C118" s="138">
        <f t="shared" si="24"/>
        <v>0</v>
      </c>
      <c r="D118" s="138">
        <f t="shared" si="13"/>
        <v>0</v>
      </c>
      <c r="E118" s="138">
        <f t="shared" si="14"/>
        <v>0</v>
      </c>
      <c r="F118" s="138">
        <f t="shared" si="15"/>
        <v>0</v>
      </c>
      <c r="G118" s="138">
        <f t="shared" si="16"/>
        <v>0</v>
      </c>
      <c r="H118" s="138">
        <f t="shared" si="17"/>
        <v>0</v>
      </c>
      <c r="I118" s="138">
        <f t="shared" si="18"/>
        <v>0</v>
      </c>
      <c r="J118" s="138">
        <f t="shared" si="19"/>
        <v>0</v>
      </c>
      <c r="K118" s="138">
        <f t="shared" si="20"/>
        <v>0</v>
      </c>
      <c r="L118" s="138">
        <f t="shared" si="21"/>
        <v>0</v>
      </c>
      <c r="M118" s="138">
        <f t="shared" si="22"/>
        <v>0</v>
      </c>
      <c r="N118" s="138">
        <f t="shared" si="23"/>
        <v>0</v>
      </c>
      <c r="O118" s="86">
        <f t="shared" si="25"/>
        <v>0</v>
      </c>
      <c r="P118" s="138">
        <v>0</v>
      </c>
      <c r="Q118" s="138">
        <v>0</v>
      </c>
      <c r="R118" s="138">
        <v>0</v>
      </c>
      <c r="S118" s="138">
        <v>0</v>
      </c>
      <c r="T118" s="138">
        <v>0</v>
      </c>
      <c r="U118" s="138">
        <v>0</v>
      </c>
      <c r="V118" s="138">
        <v>0</v>
      </c>
      <c r="W118" s="138">
        <v>0</v>
      </c>
      <c r="X118" s="138">
        <v>0</v>
      </c>
      <c r="Y118" s="138">
        <v>0</v>
      </c>
      <c r="Z118" s="138">
        <v>0</v>
      </c>
      <c r="AA118" s="138">
        <v>0</v>
      </c>
      <c r="AB118" s="86">
        <v>0</v>
      </c>
      <c r="AC118" s="138">
        <v>0</v>
      </c>
      <c r="AD118" s="138">
        <v>0</v>
      </c>
      <c r="AE118" s="138">
        <v>0</v>
      </c>
      <c r="AF118" s="138">
        <v>0</v>
      </c>
      <c r="AG118" s="138">
        <v>0</v>
      </c>
      <c r="AH118" s="138">
        <v>0</v>
      </c>
      <c r="AI118" s="138">
        <v>0</v>
      </c>
      <c r="AJ118" s="138">
        <v>0</v>
      </c>
      <c r="AK118" s="138">
        <v>0</v>
      </c>
      <c r="AL118" s="138">
        <v>0</v>
      </c>
      <c r="AM118" s="138">
        <v>0</v>
      </c>
      <c r="AN118" s="138">
        <v>0</v>
      </c>
      <c r="AO118" s="86">
        <v>0</v>
      </c>
      <c r="AP118" s="138">
        <v>0</v>
      </c>
      <c r="AQ118" s="138">
        <v>0</v>
      </c>
      <c r="AR118" s="138">
        <v>0</v>
      </c>
      <c r="AS118" s="138">
        <v>0</v>
      </c>
      <c r="AT118" s="138">
        <v>0</v>
      </c>
      <c r="AU118" s="138">
        <v>0</v>
      </c>
      <c r="AV118" s="138">
        <v>0</v>
      </c>
      <c r="AW118" s="138">
        <v>0</v>
      </c>
      <c r="AX118" s="138">
        <v>0</v>
      </c>
      <c r="AY118" s="138">
        <v>0</v>
      </c>
      <c r="AZ118" s="138">
        <v>0</v>
      </c>
      <c r="BA118" s="138">
        <v>0</v>
      </c>
      <c r="BB118" s="86">
        <v>0</v>
      </c>
      <c r="BC118" s="138">
        <v>0</v>
      </c>
      <c r="BD118" s="138">
        <v>0</v>
      </c>
      <c r="BE118" s="138">
        <v>0</v>
      </c>
      <c r="BF118" s="138">
        <v>0</v>
      </c>
      <c r="BG118" s="138">
        <v>0</v>
      </c>
      <c r="BH118" s="138">
        <v>0</v>
      </c>
      <c r="BI118" s="138">
        <v>0</v>
      </c>
      <c r="BJ118" s="138">
        <v>0</v>
      </c>
      <c r="BK118" s="138">
        <v>0</v>
      </c>
      <c r="BL118" s="138">
        <v>0</v>
      </c>
      <c r="BM118" s="138">
        <v>0</v>
      </c>
      <c r="BN118" s="138">
        <v>0</v>
      </c>
      <c r="BO118" s="86">
        <v>0</v>
      </c>
      <c r="BP118" s="138">
        <v>0</v>
      </c>
      <c r="BQ118" s="138">
        <v>0</v>
      </c>
      <c r="BR118" s="138">
        <v>0</v>
      </c>
      <c r="BS118" s="138">
        <v>0</v>
      </c>
      <c r="BT118" s="138">
        <v>0</v>
      </c>
      <c r="BU118" s="138">
        <v>0</v>
      </c>
      <c r="BV118" s="138">
        <v>0</v>
      </c>
      <c r="BW118" s="138">
        <v>0</v>
      </c>
      <c r="BX118" s="138">
        <v>0</v>
      </c>
      <c r="BY118" s="138">
        <v>0</v>
      </c>
      <c r="BZ118" s="138">
        <v>0</v>
      </c>
      <c r="CA118" s="138">
        <v>0</v>
      </c>
      <c r="CB118" s="86">
        <v>0</v>
      </c>
      <c r="CC118" s="138">
        <v>0</v>
      </c>
      <c r="CD118" s="138">
        <v>0</v>
      </c>
      <c r="CE118" s="138">
        <v>0</v>
      </c>
      <c r="CF118" s="138">
        <v>0</v>
      </c>
      <c r="CG118" s="138">
        <v>0</v>
      </c>
      <c r="CH118" s="138">
        <v>0</v>
      </c>
      <c r="CI118" s="138">
        <v>0</v>
      </c>
      <c r="CJ118" s="138">
        <v>0</v>
      </c>
      <c r="CK118" s="138">
        <v>0</v>
      </c>
      <c r="CL118" s="138">
        <v>0</v>
      </c>
      <c r="CM118" s="138">
        <v>0</v>
      </c>
      <c r="CN118" s="138">
        <v>0</v>
      </c>
      <c r="CO118" s="86">
        <v>0</v>
      </c>
      <c r="CP118" s="138">
        <v>0</v>
      </c>
      <c r="CQ118" s="138">
        <v>0</v>
      </c>
      <c r="CR118" s="138">
        <v>0</v>
      </c>
      <c r="CS118" s="138">
        <v>0</v>
      </c>
      <c r="CT118" s="138">
        <v>0</v>
      </c>
      <c r="CU118" s="138">
        <v>0</v>
      </c>
      <c r="CV118" s="138">
        <v>0</v>
      </c>
      <c r="CW118" s="138">
        <v>0</v>
      </c>
      <c r="CX118" s="138">
        <v>0</v>
      </c>
      <c r="CY118" s="138">
        <v>0</v>
      </c>
      <c r="CZ118" s="138">
        <v>0</v>
      </c>
      <c r="DA118" s="138">
        <v>0</v>
      </c>
      <c r="DB118" s="86">
        <v>0</v>
      </c>
      <c r="DC118" s="138">
        <v>0</v>
      </c>
      <c r="DD118" s="138">
        <v>0</v>
      </c>
      <c r="DE118" s="138">
        <v>0</v>
      </c>
      <c r="DF118" s="138">
        <v>0</v>
      </c>
      <c r="DG118" s="138">
        <v>0</v>
      </c>
      <c r="DH118" s="138">
        <v>0</v>
      </c>
      <c r="DI118" s="138">
        <v>0</v>
      </c>
      <c r="DJ118" s="138">
        <v>0</v>
      </c>
      <c r="DK118" s="138">
        <v>0</v>
      </c>
      <c r="DL118" s="138">
        <v>0</v>
      </c>
      <c r="DM118" s="138">
        <v>0</v>
      </c>
      <c r="DN118" s="138">
        <v>0</v>
      </c>
      <c r="DO118" s="86">
        <v>0</v>
      </c>
      <c r="DP118" s="138">
        <v>0</v>
      </c>
      <c r="DQ118" s="138">
        <v>0</v>
      </c>
      <c r="DR118" s="138">
        <v>0</v>
      </c>
      <c r="DS118" s="138">
        <v>0</v>
      </c>
      <c r="DT118" s="138">
        <v>0</v>
      </c>
      <c r="DU118" s="138">
        <v>0</v>
      </c>
      <c r="DV118" s="138">
        <v>0</v>
      </c>
      <c r="DW118" s="138">
        <v>0</v>
      </c>
      <c r="DX118" s="138">
        <v>0</v>
      </c>
      <c r="DY118" s="138">
        <v>0</v>
      </c>
      <c r="DZ118" s="138">
        <v>0</v>
      </c>
      <c r="EA118" s="138">
        <v>0</v>
      </c>
      <c r="EB118" s="85">
        <v>0</v>
      </c>
      <c r="EC118" s="87">
        <v>0</v>
      </c>
      <c r="ED118" s="85">
        <v>0</v>
      </c>
      <c r="EE118" s="85">
        <v>0</v>
      </c>
      <c r="EF118" s="85">
        <v>0</v>
      </c>
      <c r="EG118" s="85">
        <v>0</v>
      </c>
      <c r="EH118" s="85">
        <v>0</v>
      </c>
      <c r="EI118" s="85">
        <v>0</v>
      </c>
      <c r="EJ118" s="85">
        <v>0</v>
      </c>
      <c r="EK118" s="85">
        <v>0</v>
      </c>
      <c r="EL118" s="85">
        <v>0</v>
      </c>
      <c r="EM118" s="85">
        <v>0</v>
      </c>
      <c r="EN118" s="85">
        <v>0</v>
      </c>
      <c r="EO118" s="152">
        <v>0</v>
      </c>
      <c r="EP118" s="85">
        <v>0</v>
      </c>
      <c r="EQ118" s="85">
        <v>0</v>
      </c>
      <c r="ER118" s="85">
        <v>0</v>
      </c>
      <c r="ES118" s="85">
        <v>0</v>
      </c>
      <c r="ET118" s="85">
        <v>0</v>
      </c>
      <c r="EU118" s="85">
        <v>0</v>
      </c>
      <c r="EV118" s="85">
        <v>0</v>
      </c>
      <c r="EW118" s="85">
        <v>0</v>
      </c>
      <c r="EX118" s="85">
        <v>0</v>
      </c>
      <c r="EY118" s="85">
        <v>0</v>
      </c>
      <c r="EZ118" s="85">
        <v>0</v>
      </c>
      <c r="FA118" s="85">
        <v>0</v>
      </c>
      <c r="FB118" s="85">
        <v>0</v>
      </c>
      <c r="FC118" s="87">
        <v>0</v>
      </c>
      <c r="FD118" s="85">
        <v>0</v>
      </c>
      <c r="FE118" s="85">
        <v>0</v>
      </c>
      <c r="FF118" s="85">
        <v>0</v>
      </c>
      <c r="FG118" s="85">
        <v>0</v>
      </c>
      <c r="FH118" s="85">
        <v>0</v>
      </c>
      <c r="FI118" s="85">
        <v>0</v>
      </c>
      <c r="FJ118" s="85">
        <v>0</v>
      </c>
      <c r="FK118" s="85">
        <v>0</v>
      </c>
      <c r="FL118" s="85">
        <v>0</v>
      </c>
      <c r="FM118" s="85">
        <v>0</v>
      </c>
      <c r="FN118" s="85">
        <v>0</v>
      </c>
      <c r="FO118" s="86">
        <v>0</v>
      </c>
      <c r="FP118" s="87">
        <v>0</v>
      </c>
      <c r="FQ118" s="85">
        <v>0</v>
      </c>
      <c r="FR118" s="85">
        <v>0</v>
      </c>
      <c r="FS118" s="85">
        <v>0</v>
      </c>
      <c r="FT118" s="85">
        <v>0</v>
      </c>
      <c r="FU118" s="85">
        <v>0</v>
      </c>
      <c r="FV118" s="85">
        <v>0</v>
      </c>
      <c r="FW118" s="85">
        <v>0</v>
      </c>
      <c r="FX118" s="85">
        <v>0</v>
      </c>
      <c r="FY118" s="85">
        <v>0</v>
      </c>
      <c r="FZ118" s="85">
        <v>0</v>
      </c>
      <c r="GA118" s="85">
        <v>0</v>
      </c>
      <c r="GB118" s="152">
        <v>0</v>
      </c>
      <c r="GD118" s="153"/>
    </row>
    <row r="119" spans="1:186">
      <c r="A119" s="137" t="s">
        <v>263</v>
      </c>
      <c r="B119" s="151">
        <v>7707.01438457702</v>
      </c>
      <c r="C119" s="138">
        <f t="shared" si="24"/>
        <v>692.337087238969</v>
      </c>
      <c r="D119" s="138">
        <f t="shared" si="13"/>
        <v>676.655389076849</v>
      </c>
      <c r="E119" s="138">
        <f t="shared" si="14"/>
        <v>1332.98133393346</v>
      </c>
      <c r="F119" s="138">
        <f t="shared" si="15"/>
        <v>3938.28318131447</v>
      </c>
      <c r="G119" s="138">
        <f t="shared" si="16"/>
        <v>0</v>
      </c>
      <c r="H119" s="138">
        <f t="shared" si="17"/>
        <v>0</v>
      </c>
      <c r="I119" s="138">
        <f t="shared" si="18"/>
        <v>0</v>
      </c>
      <c r="J119" s="138">
        <f t="shared" si="19"/>
        <v>0</v>
      </c>
      <c r="K119" s="138">
        <f t="shared" si="20"/>
        <v>0</v>
      </c>
      <c r="L119" s="138">
        <f t="shared" si="21"/>
        <v>0</v>
      </c>
      <c r="M119" s="138">
        <f t="shared" si="22"/>
        <v>0</v>
      </c>
      <c r="N119" s="138">
        <f t="shared" si="23"/>
        <v>0</v>
      </c>
      <c r="O119" s="86">
        <f t="shared" si="25"/>
        <v>6640.25699156375</v>
      </c>
      <c r="P119" s="138">
        <v>0</v>
      </c>
      <c r="Q119" s="138">
        <v>0</v>
      </c>
      <c r="R119" s="138">
        <v>0</v>
      </c>
      <c r="S119" s="138">
        <v>0</v>
      </c>
      <c r="T119" s="138">
        <v>0</v>
      </c>
      <c r="U119" s="138">
        <v>0</v>
      </c>
      <c r="V119" s="138">
        <v>0</v>
      </c>
      <c r="W119" s="138">
        <v>0</v>
      </c>
      <c r="X119" s="138">
        <v>0</v>
      </c>
      <c r="Y119" s="138">
        <v>0</v>
      </c>
      <c r="Z119" s="138">
        <v>0</v>
      </c>
      <c r="AA119" s="138">
        <v>0</v>
      </c>
      <c r="AB119" s="86">
        <v>0</v>
      </c>
      <c r="AC119" s="138">
        <v>0</v>
      </c>
      <c r="AD119" s="138">
        <v>0</v>
      </c>
      <c r="AE119" s="138">
        <v>0</v>
      </c>
      <c r="AF119" s="138">
        <v>0</v>
      </c>
      <c r="AG119" s="138">
        <v>0</v>
      </c>
      <c r="AH119" s="138">
        <v>0</v>
      </c>
      <c r="AI119" s="138">
        <v>0</v>
      </c>
      <c r="AJ119" s="138">
        <v>0</v>
      </c>
      <c r="AK119" s="138">
        <v>0</v>
      </c>
      <c r="AL119" s="138">
        <v>0</v>
      </c>
      <c r="AM119" s="138">
        <v>0</v>
      </c>
      <c r="AN119" s="138">
        <v>0</v>
      </c>
      <c r="AO119" s="86">
        <v>0</v>
      </c>
      <c r="AP119" s="138">
        <v>0</v>
      </c>
      <c r="AQ119" s="138">
        <v>0</v>
      </c>
      <c r="AR119" s="138">
        <v>0</v>
      </c>
      <c r="AS119" s="138">
        <v>0</v>
      </c>
      <c r="AT119" s="138">
        <v>0</v>
      </c>
      <c r="AU119" s="138">
        <v>0</v>
      </c>
      <c r="AV119" s="138">
        <v>0</v>
      </c>
      <c r="AW119" s="138">
        <v>0</v>
      </c>
      <c r="AX119" s="138">
        <v>0</v>
      </c>
      <c r="AY119" s="138">
        <v>0</v>
      </c>
      <c r="AZ119" s="138">
        <v>0</v>
      </c>
      <c r="BA119" s="138">
        <v>0</v>
      </c>
      <c r="BB119" s="86">
        <v>0</v>
      </c>
      <c r="BC119" s="138">
        <v>0</v>
      </c>
      <c r="BD119" s="138">
        <v>0</v>
      </c>
      <c r="BE119" s="138">
        <v>0</v>
      </c>
      <c r="BF119" s="138">
        <v>0</v>
      </c>
      <c r="BG119" s="138">
        <v>0</v>
      </c>
      <c r="BH119" s="138">
        <v>0</v>
      </c>
      <c r="BI119" s="138">
        <v>0</v>
      </c>
      <c r="BJ119" s="138">
        <v>0</v>
      </c>
      <c r="BK119" s="138">
        <v>0</v>
      </c>
      <c r="BL119" s="138">
        <v>0</v>
      </c>
      <c r="BM119" s="138">
        <v>0</v>
      </c>
      <c r="BN119" s="138">
        <v>0</v>
      </c>
      <c r="BO119" s="86">
        <v>0</v>
      </c>
      <c r="BP119" s="138">
        <v>0</v>
      </c>
      <c r="BQ119" s="138">
        <v>0</v>
      </c>
      <c r="BR119" s="138">
        <v>0</v>
      </c>
      <c r="BS119" s="138">
        <v>0</v>
      </c>
      <c r="BT119" s="138">
        <v>0</v>
      </c>
      <c r="BU119" s="138">
        <v>0</v>
      </c>
      <c r="BV119" s="138">
        <v>0</v>
      </c>
      <c r="BW119" s="138">
        <v>0</v>
      </c>
      <c r="BX119" s="138">
        <v>0</v>
      </c>
      <c r="BY119" s="138">
        <v>0</v>
      </c>
      <c r="BZ119" s="138">
        <v>0</v>
      </c>
      <c r="CA119" s="138">
        <v>0</v>
      </c>
      <c r="CB119" s="86">
        <v>0</v>
      </c>
      <c r="CC119" s="138">
        <v>0</v>
      </c>
      <c r="CD119" s="138">
        <v>0</v>
      </c>
      <c r="CE119" s="138">
        <v>0</v>
      </c>
      <c r="CF119" s="138">
        <v>0</v>
      </c>
      <c r="CG119" s="138">
        <v>0</v>
      </c>
      <c r="CH119" s="138">
        <v>0</v>
      </c>
      <c r="CI119" s="138">
        <v>0</v>
      </c>
      <c r="CJ119" s="138">
        <v>0</v>
      </c>
      <c r="CK119" s="138">
        <v>0</v>
      </c>
      <c r="CL119" s="138">
        <v>0</v>
      </c>
      <c r="CM119" s="138">
        <v>0</v>
      </c>
      <c r="CN119" s="138">
        <v>0</v>
      </c>
      <c r="CO119" s="86">
        <v>0</v>
      </c>
      <c r="CP119" s="138">
        <v>0</v>
      </c>
      <c r="CQ119" s="138">
        <v>0</v>
      </c>
      <c r="CR119" s="138">
        <v>0</v>
      </c>
      <c r="CS119" s="138">
        <v>0</v>
      </c>
      <c r="CT119" s="138">
        <v>0</v>
      </c>
      <c r="CU119" s="138">
        <v>0</v>
      </c>
      <c r="CV119" s="138">
        <v>0</v>
      </c>
      <c r="CW119" s="138">
        <v>0</v>
      </c>
      <c r="CX119" s="138">
        <v>0</v>
      </c>
      <c r="CY119" s="138">
        <v>0</v>
      </c>
      <c r="CZ119" s="138">
        <v>0</v>
      </c>
      <c r="DA119" s="138">
        <v>0</v>
      </c>
      <c r="DB119" s="86">
        <v>0</v>
      </c>
      <c r="DC119" s="138">
        <v>0</v>
      </c>
      <c r="DD119" s="138">
        <v>0</v>
      </c>
      <c r="DE119" s="138">
        <v>0</v>
      </c>
      <c r="DF119" s="138">
        <v>0</v>
      </c>
      <c r="DG119" s="138">
        <v>0</v>
      </c>
      <c r="DH119" s="138">
        <v>0</v>
      </c>
      <c r="DI119" s="138">
        <v>0</v>
      </c>
      <c r="DJ119" s="138">
        <v>0</v>
      </c>
      <c r="DK119" s="138">
        <v>0</v>
      </c>
      <c r="DL119" s="138">
        <v>0</v>
      </c>
      <c r="DM119" s="138">
        <v>0</v>
      </c>
      <c r="DN119" s="138">
        <v>0</v>
      </c>
      <c r="DO119" s="86">
        <v>0</v>
      </c>
      <c r="DP119" s="138">
        <v>0</v>
      </c>
      <c r="DQ119" s="138">
        <v>0</v>
      </c>
      <c r="DR119" s="138">
        <v>0</v>
      </c>
      <c r="DS119" s="138">
        <v>0</v>
      </c>
      <c r="DT119" s="138">
        <v>0</v>
      </c>
      <c r="DU119" s="138">
        <v>0</v>
      </c>
      <c r="DV119" s="138">
        <v>0</v>
      </c>
      <c r="DW119" s="138">
        <v>0</v>
      </c>
      <c r="DX119" s="138">
        <v>0</v>
      </c>
      <c r="DY119" s="138">
        <v>0</v>
      </c>
      <c r="DZ119" s="138">
        <v>0</v>
      </c>
      <c r="EA119" s="138">
        <v>0</v>
      </c>
      <c r="EB119" s="85">
        <v>0</v>
      </c>
      <c r="EC119" s="87">
        <v>0</v>
      </c>
      <c r="ED119" s="85">
        <v>0</v>
      </c>
      <c r="EE119" s="85">
        <v>0</v>
      </c>
      <c r="EF119" s="85">
        <v>0</v>
      </c>
      <c r="EG119" s="85">
        <v>0</v>
      </c>
      <c r="EH119" s="85">
        <v>0</v>
      </c>
      <c r="EI119" s="85">
        <v>0</v>
      </c>
      <c r="EJ119" s="85">
        <v>0</v>
      </c>
      <c r="EK119" s="85">
        <v>0</v>
      </c>
      <c r="EL119" s="85">
        <v>0</v>
      </c>
      <c r="EM119" s="85">
        <v>0</v>
      </c>
      <c r="EN119" s="85">
        <v>0</v>
      </c>
      <c r="EO119" s="152">
        <v>0</v>
      </c>
      <c r="EP119" s="85">
        <v>0</v>
      </c>
      <c r="EQ119" s="85">
        <v>0</v>
      </c>
      <c r="ER119" s="85">
        <v>0</v>
      </c>
      <c r="ES119" s="85">
        <v>0</v>
      </c>
      <c r="ET119" s="85">
        <v>0</v>
      </c>
      <c r="EU119" s="85">
        <v>0</v>
      </c>
      <c r="EV119" s="85">
        <v>0</v>
      </c>
      <c r="EW119" s="85">
        <v>0</v>
      </c>
      <c r="EX119" s="85">
        <v>0</v>
      </c>
      <c r="EY119" s="85">
        <v>0</v>
      </c>
      <c r="EZ119" s="85">
        <v>0</v>
      </c>
      <c r="FA119" s="85">
        <v>0</v>
      </c>
      <c r="FB119" s="85">
        <v>0</v>
      </c>
      <c r="FC119" s="87">
        <v>0</v>
      </c>
      <c r="FD119" s="85">
        <v>0</v>
      </c>
      <c r="FE119" s="85">
        <v>0</v>
      </c>
      <c r="FF119" s="85">
        <v>0</v>
      </c>
      <c r="FG119" s="85">
        <v>0</v>
      </c>
      <c r="FH119" s="85">
        <v>0</v>
      </c>
      <c r="FI119" s="85">
        <v>0</v>
      </c>
      <c r="FJ119" s="85">
        <v>0</v>
      </c>
      <c r="FK119" s="85">
        <v>0</v>
      </c>
      <c r="FL119" s="85">
        <v>0</v>
      </c>
      <c r="FM119" s="85">
        <v>0</v>
      </c>
      <c r="FN119" s="85">
        <v>0</v>
      </c>
      <c r="FO119" s="86">
        <v>0</v>
      </c>
      <c r="FP119" s="87">
        <v>692.337087238969</v>
      </c>
      <c r="FQ119" s="85">
        <v>676.655389076849</v>
      </c>
      <c r="FR119" s="85">
        <v>1332.98133393346</v>
      </c>
      <c r="FS119" s="85">
        <v>3938.28318131447</v>
      </c>
      <c r="FT119" s="85">
        <v>0</v>
      </c>
      <c r="FU119" s="85">
        <v>0</v>
      </c>
      <c r="FV119" s="85">
        <v>0</v>
      </c>
      <c r="FW119" s="85">
        <v>0</v>
      </c>
      <c r="FX119" s="85">
        <v>0</v>
      </c>
      <c r="FY119" s="85">
        <v>0</v>
      </c>
      <c r="FZ119" s="85">
        <v>0</v>
      </c>
      <c r="GA119" s="85">
        <v>0</v>
      </c>
      <c r="GB119" s="152">
        <v>6640.25699156375</v>
      </c>
      <c r="GD119" s="153"/>
    </row>
    <row r="120" spans="1:186">
      <c r="A120" s="137" t="s">
        <v>265</v>
      </c>
      <c r="B120" s="151">
        <v>19961.5659136074</v>
      </c>
      <c r="C120" s="138">
        <f t="shared" si="24"/>
        <v>0</v>
      </c>
      <c r="D120" s="138">
        <f t="shared" si="13"/>
        <v>0</v>
      </c>
      <c r="E120" s="138">
        <f t="shared" si="14"/>
        <v>0</v>
      </c>
      <c r="F120" s="138">
        <f t="shared" si="15"/>
        <v>0</v>
      </c>
      <c r="G120" s="138">
        <f t="shared" si="16"/>
        <v>0</v>
      </c>
      <c r="H120" s="138">
        <f t="shared" si="17"/>
        <v>0</v>
      </c>
      <c r="I120" s="138">
        <f t="shared" si="18"/>
        <v>0</v>
      </c>
      <c r="J120" s="138">
        <f t="shared" si="19"/>
        <v>0</v>
      </c>
      <c r="K120" s="138">
        <f t="shared" si="20"/>
        <v>0</v>
      </c>
      <c r="L120" s="138">
        <f t="shared" si="21"/>
        <v>0</v>
      </c>
      <c r="M120" s="138">
        <f t="shared" si="22"/>
        <v>0</v>
      </c>
      <c r="N120" s="138">
        <f t="shared" si="23"/>
        <v>0</v>
      </c>
      <c r="O120" s="86">
        <f t="shared" si="25"/>
        <v>0</v>
      </c>
      <c r="P120" s="138">
        <v>0</v>
      </c>
      <c r="Q120" s="138">
        <v>0</v>
      </c>
      <c r="R120" s="138">
        <v>0</v>
      </c>
      <c r="S120" s="138">
        <v>0</v>
      </c>
      <c r="T120" s="138">
        <v>0</v>
      </c>
      <c r="U120" s="138">
        <v>0</v>
      </c>
      <c r="V120" s="138">
        <v>0</v>
      </c>
      <c r="W120" s="138">
        <v>0</v>
      </c>
      <c r="X120" s="138">
        <v>0</v>
      </c>
      <c r="Y120" s="138">
        <v>0</v>
      </c>
      <c r="Z120" s="138">
        <v>0</v>
      </c>
      <c r="AA120" s="138">
        <v>0</v>
      </c>
      <c r="AB120" s="86">
        <v>0</v>
      </c>
      <c r="AC120" s="138">
        <v>0</v>
      </c>
      <c r="AD120" s="138">
        <v>0</v>
      </c>
      <c r="AE120" s="138">
        <v>0</v>
      </c>
      <c r="AF120" s="138">
        <v>0</v>
      </c>
      <c r="AG120" s="138">
        <v>0</v>
      </c>
      <c r="AH120" s="138">
        <v>0</v>
      </c>
      <c r="AI120" s="138">
        <v>0</v>
      </c>
      <c r="AJ120" s="138">
        <v>0</v>
      </c>
      <c r="AK120" s="138">
        <v>0</v>
      </c>
      <c r="AL120" s="138">
        <v>0</v>
      </c>
      <c r="AM120" s="138">
        <v>0</v>
      </c>
      <c r="AN120" s="138">
        <v>0</v>
      </c>
      <c r="AO120" s="86">
        <v>0</v>
      </c>
      <c r="AP120" s="138">
        <v>0</v>
      </c>
      <c r="AQ120" s="138">
        <v>0</v>
      </c>
      <c r="AR120" s="138">
        <v>0</v>
      </c>
      <c r="AS120" s="138">
        <v>0</v>
      </c>
      <c r="AT120" s="138">
        <v>0</v>
      </c>
      <c r="AU120" s="138">
        <v>0</v>
      </c>
      <c r="AV120" s="138">
        <v>0</v>
      </c>
      <c r="AW120" s="138">
        <v>0</v>
      </c>
      <c r="AX120" s="138">
        <v>0</v>
      </c>
      <c r="AY120" s="138">
        <v>0</v>
      </c>
      <c r="AZ120" s="138">
        <v>0</v>
      </c>
      <c r="BA120" s="138">
        <v>0</v>
      </c>
      <c r="BB120" s="86">
        <v>0</v>
      </c>
      <c r="BC120" s="138">
        <v>0</v>
      </c>
      <c r="BD120" s="138">
        <v>0</v>
      </c>
      <c r="BE120" s="138">
        <v>0</v>
      </c>
      <c r="BF120" s="138">
        <v>0</v>
      </c>
      <c r="BG120" s="138">
        <v>0</v>
      </c>
      <c r="BH120" s="138">
        <v>0</v>
      </c>
      <c r="BI120" s="138">
        <v>0</v>
      </c>
      <c r="BJ120" s="138">
        <v>0</v>
      </c>
      <c r="BK120" s="138">
        <v>0</v>
      </c>
      <c r="BL120" s="138">
        <v>0</v>
      </c>
      <c r="BM120" s="138">
        <v>0</v>
      </c>
      <c r="BN120" s="138">
        <v>0</v>
      </c>
      <c r="BO120" s="86">
        <v>0</v>
      </c>
      <c r="BP120" s="138">
        <v>0</v>
      </c>
      <c r="BQ120" s="138">
        <v>0</v>
      </c>
      <c r="BR120" s="138">
        <v>0</v>
      </c>
      <c r="BS120" s="138">
        <v>0</v>
      </c>
      <c r="BT120" s="138">
        <v>0</v>
      </c>
      <c r="BU120" s="138">
        <v>0</v>
      </c>
      <c r="BV120" s="138">
        <v>0</v>
      </c>
      <c r="BW120" s="138">
        <v>0</v>
      </c>
      <c r="BX120" s="138">
        <v>0</v>
      </c>
      <c r="BY120" s="138">
        <v>0</v>
      </c>
      <c r="BZ120" s="138">
        <v>0</v>
      </c>
      <c r="CA120" s="138">
        <v>0</v>
      </c>
      <c r="CB120" s="86">
        <v>0</v>
      </c>
      <c r="CC120" s="138">
        <v>0</v>
      </c>
      <c r="CD120" s="138">
        <v>0</v>
      </c>
      <c r="CE120" s="138">
        <v>0</v>
      </c>
      <c r="CF120" s="138">
        <v>0</v>
      </c>
      <c r="CG120" s="138">
        <v>0</v>
      </c>
      <c r="CH120" s="138">
        <v>0</v>
      </c>
      <c r="CI120" s="138">
        <v>0</v>
      </c>
      <c r="CJ120" s="138">
        <v>0</v>
      </c>
      <c r="CK120" s="138">
        <v>0</v>
      </c>
      <c r="CL120" s="138">
        <v>0</v>
      </c>
      <c r="CM120" s="138">
        <v>0</v>
      </c>
      <c r="CN120" s="138">
        <v>0</v>
      </c>
      <c r="CO120" s="86">
        <v>0</v>
      </c>
      <c r="CP120" s="138">
        <v>0</v>
      </c>
      <c r="CQ120" s="138">
        <v>0</v>
      </c>
      <c r="CR120" s="138">
        <v>0</v>
      </c>
      <c r="CS120" s="138">
        <v>0</v>
      </c>
      <c r="CT120" s="138">
        <v>0</v>
      </c>
      <c r="CU120" s="138">
        <v>0</v>
      </c>
      <c r="CV120" s="138">
        <v>0</v>
      </c>
      <c r="CW120" s="138">
        <v>0</v>
      </c>
      <c r="CX120" s="138">
        <v>0</v>
      </c>
      <c r="CY120" s="138">
        <v>0</v>
      </c>
      <c r="CZ120" s="138">
        <v>0</v>
      </c>
      <c r="DA120" s="138">
        <v>0</v>
      </c>
      <c r="DB120" s="86">
        <v>0</v>
      </c>
      <c r="DC120" s="138">
        <v>0</v>
      </c>
      <c r="DD120" s="138">
        <v>0</v>
      </c>
      <c r="DE120" s="138">
        <v>0</v>
      </c>
      <c r="DF120" s="138">
        <v>0</v>
      </c>
      <c r="DG120" s="138">
        <v>0</v>
      </c>
      <c r="DH120" s="138">
        <v>0</v>
      </c>
      <c r="DI120" s="138">
        <v>0</v>
      </c>
      <c r="DJ120" s="138">
        <v>0</v>
      </c>
      <c r="DK120" s="138">
        <v>0</v>
      </c>
      <c r="DL120" s="138">
        <v>0</v>
      </c>
      <c r="DM120" s="138">
        <v>0</v>
      </c>
      <c r="DN120" s="138">
        <v>0</v>
      </c>
      <c r="DO120" s="86">
        <v>0</v>
      </c>
      <c r="DP120" s="138">
        <v>0</v>
      </c>
      <c r="DQ120" s="138">
        <v>0</v>
      </c>
      <c r="DR120" s="138">
        <v>0</v>
      </c>
      <c r="DS120" s="138">
        <v>0</v>
      </c>
      <c r="DT120" s="138">
        <v>0</v>
      </c>
      <c r="DU120" s="138">
        <v>0</v>
      </c>
      <c r="DV120" s="138">
        <v>0</v>
      </c>
      <c r="DW120" s="138">
        <v>0</v>
      </c>
      <c r="DX120" s="138">
        <v>0</v>
      </c>
      <c r="DY120" s="138">
        <v>0</v>
      </c>
      <c r="DZ120" s="138">
        <v>0</v>
      </c>
      <c r="EA120" s="138">
        <v>0</v>
      </c>
      <c r="EB120" s="85">
        <v>0</v>
      </c>
      <c r="EC120" s="87">
        <v>0</v>
      </c>
      <c r="ED120" s="85">
        <v>0</v>
      </c>
      <c r="EE120" s="85">
        <v>0</v>
      </c>
      <c r="EF120" s="85">
        <v>0</v>
      </c>
      <c r="EG120" s="85">
        <v>0</v>
      </c>
      <c r="EH120" s="85">
        <v>0</v>
      </c>
      <c r="EI120" s="85">
        <v>0</v>
      </c>
      <c r="EJ120" s="85">
        <v>0</v>
      </c>
      <c r="EK120" s="85">
        <v>0</v>
      </c>
      <c r="EL120" s="85">
        <v>0</v>
      </c>
      <c r="EM120" s="85">
        <v>0</v>
      </c>
      <c r="EN120" s="85">
        <v>0</v>
      </c>
      <c r="EO120" s="152">
        <v>0</v>
      </c>
      <c r="EP120" s="85">
        <v>0</v>
      </c>
      <c r="EQ120" s="85">
        <v>0</v>
      </c>
      <c r="ER120" s="85">
        <v>0</v>
      </c>
      <c r="ES120" s="85">
        <v>0</v>
      </c>
      <c r="ET120" s="85">
        <v>0</v>
      </c>
      <c r="EU120" s="85">
        <v>0</v>
      </c>
      <c r="EV120" s="85">
        <v>0</v>
      </c>
      <c r="EW120" s="85">
        <v>0</v>
      </c>
      <c r="EX120" s="85">
        <v>0</v>
      </c>
      <c r="EY120" s="85">
        <v>0</v>
      </c>
      <c r="EZ120" s="85">
        <v>0</v>
      </c>
      <c r="FA120" s="85">
        <v>0</v>
      </c>
      <c r="FB120" s="85">
        <v>0</v>
      </c>
      <c r="FC120" s="87">
        <v>0</v>
      </c>
      <c r="FD120" s="85">
        <v>0</v>
      </c>
      <c r="FE120" s="85">
        <v>0</v>
      </c>
      <c r="FF120" s="85">
        <v>0</v>
      </c>
      <c r="FG120" s="85">
        <v>0</v>
      </c>
      <c r="FH120" s="85">
        <v>0</v>
      </c>
      <c r="FI120" s="85">
        <v>0</v>
      </c>
      <c r="FJ120" s="85">
        <v>0</v>
      </c>
      <c r="FK120" s="85">
        <v>0</v>
      </c>
      <c r="FL120" s="85">
        <v>0</v>
      </c>
      <c r="FM120" s="85">
        <v>0</v>
      </c>
      <c r="FN120" s="85">
        <v>0</v>
      </c>
      <c r="FO120" s="86">
        <v>0</v>
      </c>
      <c r="FP120" s="87">
        <v>0</v>
      </c>
      <c r="FQ120" s="85">
        <v>0</v>
      </c>
      <c r="FR120" s="85">
        <v>0</v>
      </c>
      <c r="FS120" s="85">
        <v>0</v>
      </c>
      <c r="FT120" s="85">
        <v>0</v>
      </c>
      <c r="FU120" s="85">
        <v>0</v>
      </c>
      <c r="FV120" s="85">
        <v>0</v>
      </c>
      <c r="FW120" s="85">
        <v>0</v>
      </c>
      <c r="FX120" s="85">
        <v>0</v>
      </c>
      <c r="FY120" s="85">
        <v>0</v>
      </c>
      <c r="FZ120" s="85">
        <v>0</v>
      </c>
      <c r="GA120" s="85">
        <v>0</v>
      </c>
      <c r="GB120" s="152">
        <v>0</v>
      </c>
      <c r="GD120" s="153"/>
    </row>
    <row r="121" spans="1:186">
      <c r="A121" s="137" t="s">
        <v>267</v>
      </c>
      <c r="B121" s="151">
        <v>3105.0388689633</v>
      </c>
      <c r="C121" s="138">
        <f t="shared" si="24"/>
        <v>0</v>
      </c>
      <c r="D121" s="138">
        <f t="shared" si="13"/>
        <v>0</v>
      </c>
      <c r="E121" s="138">
        <f t="shared" si="14"/>
        <v>0</v>
      </c>
      <c r="F121" s="138">
        <f t="shared" si="15"/>
        <v>79.6431402164264</v>
      </c>
      <c r="G121" s="138">
        <f t="shared" si="16"/>
        <v>0</v>
      </c>
      <c r="H121" s="138">
        <f t="shared" si="17"/>
        <v>0</v>
      </c>
      <c r="I121" s="138">
        <f t="shared" si="18"/>
        <v>0</v>
      </c>
      <c r="J121" s="138">
        <f t="shared" si="19"/>
        <v>0</v>
      </c>
      <c r="K121" s="138">
        <f t="shared" si="20"/>
        <v>0</v>
      </c>
      <c r="L121" s="138">
        <f t="shared" si="21"/>
        <v>0</v>
      </c>
      <c r="M121" s="138">
        <f t="shared" si="22"/>
        <v>0</v>
      </c>
      <c r="N121" s="138">
        <f t="shared" si="23"/>
        <v>0</v>
      </c>
      <c r="O121" s="86">
        <f t="shared" si="25"/>
        <v>79.6431402164264</v>
      </c>
      <c r="P121" s="138">
        <v>0</v>
      </c>
      <c r="Q121" s="138">
        <v>0</v>
      </c>
      <c r="R121" s="138">
        <v>0</v>
      </c>
      <c r="S121" s="138">
        <v>0</v>
      </c>
      <c r="T121" s="138">
        <v>0</v>
      </c>
      <c r="U121" s="138">
        <v>0</v>
      </c>
      <c r="V121" s="138">
        <v>0</v>
      </c>
      <c r="W121" s="138">
        <v>0</v>
      </c>
      <c r="X121" s="138">
        <v>0</v>
      </c>
      <c r="Y121" s="138">
        <v>0</v>
      </c>
      <c r="Z121" s="138">
        <v>0</v>
      </c>
      <c r="AA121" s="138">
        <v>0</v>
      </c>
      <c r="AB121" s="86">
        <v>0</v>
      </c>
      <c r="AC121" s="138">
        <v>0</v>
      </c>
      <c r="AD121" s="138">
        <v>0</v>
      </c>
      <c r="AE121" s="138">
        <v>0</v>
      </c>
      <c r="AF121" s="138">
        <v>0</v>
      </c>
      <c r="AG121" s="138">
        <v>0</v>
      </c>
      <c r="AH121" s="138">
        <v>0</v>
      </c>
      <c r="AI121" s="138">
        <v>0</v>
      </c>
      <c r="AJ121" s="138">
        <v>0</v>
      </c>
      <c r="AK121" s="138">
        <v>0</v>
      </c>
      <c r="AL121" s="138">
        <v>0</v>
      </c>
      <c r="AM121" s="138">
        <v>0</v>
      </c>
      <c r="AN121" s="138">
        <v>0</v>
      </c>
      <c r="AO121" s="86">
        <v>0</v>
      </c>
      <c r="AP121" s="138">
        <v>0</v>
      </c>
      <c r="AQ121" s="138">
        <v>0</v>
      </c>
      <c r="AR121" s="138">
        <v>0</v>
      </c>
      <c r="AS121" s="138">
        <v>0</v>
      </c>
      <c r="AT121" s="138">
        <v>0</v>
      </c>
      <c r="AU121" s="138">
        <v>0</v>
      </c>
      <c r="AV121" s="138">
        <v>0</v>
      </c>
      <c r="AW121" s="138">
        <v>0</v>
      </c>
      <c r="AX121" s="138">
        <v>0</v>
      </c>
      <c r="AY121" s="138">
        <v>0</v>
      </c>
      <c r="AZ121" s="138">
        <v>0</v>
      </c>
      <c r="BA121" s="138">
        <v>0</v>
      </c>
      <c r="BB121" s="86">
        <v>0</v>
      </c>
      <c r="BC121" s="138">
        <v>0</v>
      </c>
      <c r="BD121" s="138">
        <v>0</v>
      </c>
      <c r="BE121" s="138">
        <v>0</v>
      </c>
      <c r="BF121" s="138">
        <v>0</v>
      </c>
      <c r="BG121" s="138">
        <v>0</v>
      </c>
      <c r="BH121" s="138">
        <v>0</v>
      </c>
      <c r="BI121" s="138">
        <v>0</v>
      </c>
      <c r="BJ121" s="138">
        <v>0</v>
      </c>
      <c r="BK121" s="138">
        <v>0</v>
      </c>
      <c r="BL121" s="138">
        <v>0</v>
      </c>
      <c r="BM121" s="138">
        <v>0</v>
      </c>
      <c r="BN121" s="138">
        <v>0</v>
      </c>
      <c r="BO121" s="86">
        <v>0</v>
      </c>
      <c r="BP121" s="138">
        <v>0</v>
      </c>
      <c r="BQ121" s="138">
        <v>0</v>
      </c>
      <c r="BR121" s="138">
        <v>0</v>
      </c>
      <c r="BS121" s="138">
        <v>0</v>
      </c>
      <c r="BT121" s="138">
        <v>0</v>
      </c>
      <c r="BU121" s="138">
        <v>0</v>
      </c>
      <c r="BV121" s="138">
        <v>0</v>
      </c>
      <c r="BW121" s="138">
        <v>0</v>
      </c>
      <c r="BX121" s="138">
        <v>0</v>
      </c>
      <c r="BY121" s="138">
        <v>0</v>
      </c>
      <c r="BZ121" s="138">
        <v>0</v>
      </c>
      <c r="CA121" s="138">
        <v>0</v>
      </c>
      <c r="CB121" s="86">
        <v>0</v>
      </c>
      <c r="CC121" s="138">
        <v>0</v>
      </c>
      <c r="CD121" s="138">
        <v>0</v>
      </c>
      <c r="CE121" s="138">
        <v>0</v>
      </c>
      <c r="CF121" s="138">
        <v>0</v>
      </c>
      <c r="CG121" s="138">
        <v>0</v>
      </c>
      <c r="CH121" s="138">
        <v>0</v>
      </c>
      <c r="CI121" s="138">
        <v>0</v>
      </c>
      <c r="CJ121" s="138">
        <v>0</v>
      </c>
      <c r="CK121" s="138">
        <v>0</v>
      </c>
      <c r="CL121" s="138">
        <v>0</v>
      </c>
      <c r="CM121" s="138">
        <v>0</v>
      </c>
      <c r="CN121" s="138">
        <v>0</v>
      </c>
      <c r="CO121" s="86">
        <v>0</v>
      </c>
      <c r="CP121" s="138">
        <v>0</v>
      </c>
      <c r="CQ121" s="138">
        <v>0</v>
      </c>
      <c r="CR121" s="138">
        <v>0</v>
      </c>
      <c r="CS121" s="138">
        <v>0</v>
      </c>
      <c r="CT121" s="138">
        <v>0</v>
      </c>
      <c r="CU121" s="138">
        <v>0</v>
      </c>
      <c r="CV121" s="138">
        <v>0</v>
      </c>
      <c r="CW121" s="138">
        <v>0</v>
      </c>
      <c r="CX121" s="138">
        <v>0</v>
      </c>
      <c r="CY121" s="138">
        <v>0</v>
      </c>
      <c r="CZ121" s="138">
        <v>0</v>
      </c>
      <c r="DA121" s="138">
        <v>0</v>
      </c>
      <c r="DB121" s="86">
        <v>0</v>
      </c>
      <c r="DC121" s="138">
        <v>0</v>
      </c>
      <c r="DD121" s="138">
        <v>0</v>
      </c>
      <c r="DE121" s="138">
        <v>0</v>
      </c>
      <c r="DF121" s="138">
        <v>79.6431402164264</v>
      </c>
      <c r="DG121" s="138">
        <v>0</v>
      </c>
      <c r="DH121" s="138">
        <v>0</v>
      </c>
      <c r="DI121" s="138">
        <v>0</v>
      </c>
      <c r="DJ121" s="138">
        <v>0</v>
      </c>
      <c r="DK121" s="138">
        <v>0</v>
      </c>
      <c r="DL121" s="138">
        <v>0</v>
      </c>
      <c r="DM121" s="138">
        <v>0</v>
      </c>
      <c r="DN121" s="138">
        <v>0</v>
      </c>
      <c r="DO121" s="86">
        <v>79.6431402164264</v>
      </c>
      <c r="DP121" s="138">
        <v>0</v>
      </c>
      <c r="DQ121" s="138">
        <v>0</v>
      </c>
      <c r="DR121" s="138">
        <v>0</v>
      </c>
      <c r="DS121" s="138">
        <v>0</v>
      </c>
      <c r="DT121" s="138">
        <v>0</v>
      </c>
      <c r="DU121" s="138">
        <v>0</v>
      </c>
      <c r="DV121" s="138">
        <v>0</v>
      </c>
      <c r="DW121" s="138">
        <v>0</v>
      </c>
      <c r="DX121" s="138">
        <v>0</v>
      </c>
      <c r="DY121" s="138">
        <v>0</v>
      </c>
      <c r="DZ121" s="138">
        <v>0</v>
      </c>
      <c r="EA121" s="138">
        <v>0</v>
      </c>
      <c r="EB121" s="85">
        <v>0</v>
      </c>
      <c r="EC121" s="87">
        <v>0</v>
      </c>
      <c r="ED121" s="85">
        <v>0</v>
      </c>
      <c r="EE121" s="85">
        <v>0</v>
      </c>
      <c r="EF121" s="85">
        <v>0</v>
      </c>
      <c r="EG121" s="85">
        <v>0</v>
      </c>
      <c r="EH121" s="85">
        <v>0</v>
      </c>
      <c r="EI121" s="85">
        <v>0</v>
      </c>
      <c r="EJ121" s="85">
        <v>0</v>
      </c>
      <c r="EK121" s="85">
        <v>0</v>
      </c>
      <c r="EL121" s="85">
        <v>0</v>
      </c>
      <c r="EM121" s="85">
        <v>0</v>
      </c>
      <c r="EN121" s="85">
        <v>0</v>
      </c>
      <c r="EO121" s="152">
        <v>0</v>
      </c>
      <c r="EP121" s="85">
        <v>0</v>
      </c>
      <c r="EQ121" s="85">
        <v>0</v>
      </c>
      <c r="ER121" s="85">
        <v>0</v>
      </c>
      <c r="ES121" s="85">
        <v>0</v>
      </c>
      <c r="ET121" s="85">
        <v>0</v>
      </c>
      <c r="EU121" s="85">
        <v>0</v>
      </c>
      <c r="EV121" s="85">
        <v>0</v>
      </c>
      <c r="EW121" s="85">
        <v>0</v>
      </c>
      <c r="EX121" s="85">
        <v>0</v>
      </c>
      <c r="EY121" s="85">
        <v>0</v>
      </c>
      <c r="EZ121" s="85">
        <v>0</v>
      </c>
      <c r="FA121" s="85">
        <v>0</v>
      </c>
      <c r="FB121" s="85">
        <v>0</v>
      </c>
      <c r="FC121" s="87">
        <v>0</v>
      </c>
      <c r="FD121" s="85">
        <v>0</v>
      </c>
      <c r="FE121" s="85">
        <v>0</v>
      </c>
      <c r="FF121" s="85">
        <v>0</v>
      </c>
      <c r="FG121" s="85">
        <v>0</v>
      </c>
      <c r="FH121" s="85">
        <v>0</v>
      </c>
      <c r="FI121" s="85">
        <v>0</v>
      </c>
      <c r="FJ121" s="85">
        <v>0</v>
      </c>
      <c r="FK121" s="85">
        <v>0</v>
      </c>
      <c r="FL121" s="85">
        <v>0</v>
      </c>
      <c r="FM121" s="85">
        <v>0</v>
      </c>
      <c r="FN121" s="85">
        <v>0</v>
      </c>
      <c r="FO121" s="86">
        <v>0</v>
      </c>
      <c r="FP121" s="87">
        <v>0</v>
      </c>
      <c r="FQ121" s="85">
        <v>0</v>
      </c>
      <c r="FR121" s="85">
        <v>0</v>
      </c>
      <c r="FS121" s="85">
        <v>0</v>
      </c>
      <c r="FT121" s="85">
        <v>0</v>
      </c>
      <c r="FU121" s="85">
        <v>0</v>
      </c>
      <c r="FV121" s="85">
        <v>0</v>
      </c>
      <c r="FW121" s="85">
        <v>0</v>
      </c>
      <c r="FX121" s="85">
        <v>0</v>
      </c>
      <c r="FY121" s="85">
        <v>0</v>
      </c>
      <c r="FZ121" s="85">
        <v>0</v>
      </c>
      <c r="GA121" s="85">
        <v>0</v>
      </c>
      <c r="GB121" s="152">
        <v>0</v>
      </c>
      <c r="GD121" s="153"/>
    </row>
    <row r="122" spans="1:186">
      <c r="A122" s="137" t="s">
        <v>269</v>
      </c>
      <c r="B122" s="151">
        <v>2634.54543957761</v>
      </c>
      <c r="C122" s="138">
        <f t="shared" si="24"/>
        <v>0</v>
      </c>
      <c r="D122" s="138">
        <f t="shared" si="13"/>
        <v>0</v>
      </c>
      <c r="E122" s="138">
        <f t="shared" si="14"/>
        <v>0</v>
      </c>
      <c r="F122" s="138">
        <f t="shared" si="15"/>
        <v>0</v>
      </c>
      <c r="G122" s="138">
        <f t="shared" si="16"/>
        <v>0</v>
      </c>
      <c r="H122" s="138">
        <f t="shared" si="17"/>
        <v>0</v>
      </c>
      <c r="I122" s="138">
        <f t="shared" si="18"/>
        <v>0</v>
      </c>
      <c r="J122" s="138">
        <f t="shared" si="19"/>
        <v>0</v>
      </c>
      <c r="K122" s="138">
        <f t="shared" si="20"/>
        <v>0</v>
      </c>
      <c r="L122" s="138">
        <f t="shared" si="21"/>
        <v>0</v>
      </c>
      <c r="M122" s="138">
        <f t="shared" si="22"/>
        <v>0</v>
      </c>
      <c r="N122" s="138">
        <f t="shared" si="23"/>
        <v>0</v>
      </c>
      <c r="O122" s="86">
        <f t="shared" si="25"/>
        <v>0</v>
      </c>
      <c r="P122" s="138">
        <v>0</v>
      </c>
      <c r="Q122" s="138">
        <v>0</v>
      </c>
      <c r="R122" s="138">
        <v>0</v>
      </c>
      <c r="S122" s="138">
        <v>0</v>
      </c>
      <c r="T122" s="138">
        <v>0</v>
      </c>
      <c r="U122" s="138">
        <v>0</v>
      </c>
      <c r="V122" s="138">
        <v>0</v>
      </c>
      <c r="W122" s="138">
        <v>0</v>
      </c>
      <c r="X122" s="138">
        <v>0</v>
      </c>
      <c r="Y122" s="138">
        <v>0</v>
      </c>
      <c r="Z122" s="138">
        <v>0</v>
      </c>
      <c r="AA122" s="138">
        <v>0</v>
      </c>
      <c r="AB122" s="86">
        <v>0</v>
      </c>
      <c r="AC122" s="138">
        <v>0</v>
      </c>
      <c r="AD122" s="138">
        <v>0</v>
      </c>
      <c r="AE122" s="138">
        <v>0</v>
      </c>
      <c r="AF122" s="138">
        <v>0</v>
      </c>
      <c r="AG122" s="138">
        <v>0</v>
      </c>
      <c r="AH122" s="138">
        <v>0</v>
      </c>
      <c r="AI122" s="138">
        <v>0</v>
      </c>
      <c r="AJ122" s="138">
        <v>0</v>
      </c>
      <c r="AK122" s="138">
        <v>0</v>
      </c>
      <c r="AL122" s="138">
        <v>0</v>
      </c>
      <c r="AM122" s="138">
        <v>0</v>
      </c>
      <c r="AN122" s="138">
        <v>0</v>
      </c>
      <c r="AO122" s="86">
        <v>0</v>
      </c>
      <c r="AP122" s="138">
        <v>0</v>
      </c>
      <c r="AQ122" s="138">
        <v>0</v>
      </c>
      <c r="AR122" s="138">
        <v>0</v>
      </c>
      <c r="AS122" s="138">
        <v>0</v>
      </c>
      <c r="AT122" s="138">
        <v>0</v>
      </c>
      <c r="AU122" s="138">
        <v>0</v>
      </c>
      <c r="AV122" s="138">
        <v>0</v>
      </c>
      <c r="AW122" s="138">
        <v>0</v>
      </c>
      <c r="AX122" s="138">
        <v>0</v>
      </c>
      <c r="AY122" s="138">
        <v>0</v>
      </c>
      <c r="AZ122" s="138">
        <v>0</v>
      </c>
      <c r="BA122" s="138">
        <v>0</v>
      </c>
      <c r="BB122" s="86">
        <v>0</v>
      </c>
      <c r="BC122" s="138">
        <v>0</v>
      </c>
      <c r="BD122" s="138">
        <v>0</v>
      </c>
      <c r="BE122" s="138">
        <v>0</v>
      </c>
      <c r="BF122" s="138">
        <v>0</v>
      </c>
      <c r="BG122" s="138">
        <v>0</v>
      </c>
      <c r="BH122" s="138">
        <v>0</v>
      </c>
      <c r="BI122" s="138">
        <v>0</v>
      </c>
      <c r="BJ122" s="138">
        <v>0</v>
      </c>
      <c r="BK122" s="138">
        <v>0</v>
      </c>
      <c r="BL122" s="138">
        <v>0</v>
      </c>
      <c r="BM122" s="138">
        <v>0</v>
      </c>
      <c r="BN122" s="138">
        <v>0</v>
      </c>
      <c r="BO122" s="86">
        <v>0</v>
      </c>
      <c r="BP122" s="138">
        <v>0</v>
      </c>
      <c r="BQ122" s="138">
        <v>0</v>
      </c>
      <c r="BR122" s="138">
        <v>0</v>
      </c>
      <c r="BS122" s="138">
        <v>0</v>
      </c>
      <c r="BT122" s="138">
        <v>0</v>
      </c>
      <c r="BU122" s="138">
        <v>0</v>
      </c>
      <c r="BV122" s="138">
        <v>0</v>
      </c>
      <c r="BW122" s="138">
        <v>0</v>
      </c>
      <c r="BX122" s="138">
        <v>0</v>
      </c>
      <c r="BY122" s="138">
        <v>0</v>
      </c>
      <c r="BZ122" s="138">
        <v>0</v>
      </c>
      <c r="CA122" s="138">
        <v>0</v>
      </c>
      <c r="CB122" s="86">
        <v>0</v>
      </c>
      <c r="CC122" s="138">
        <v>0</v>
      </c>
      <c r="CD122" s="138">
        <v>0</v>
      </c>
      <c r="CE122" s="138">
        <v>0</v>
      </c>
      <c r="CF122" s="138">
        <v>0</v>
      </c>
      <c r="CG122" s="138">
        <v>0</v>
      </c>
      <c r="CH122" s="138">
        <v>0</v>
      </c>
      <c r="CI122" s="138">
        <v>0</v>
      </c>
      <c r="CJ122" s="138">
        <v>0</v>
      </c>
      <c r="CK122" s="138">
        <v>0</v>
      </c>
      <c r="CL122" s="138">
        <v>0</v>
      </c>
      <c r="CM122" s="138">
        <v>0</v>
      </c>
      <c r="CN122" s="138">
        <v>0</v>
      </c>
      <c r="CO122" s="86">
        <v>0</v>
      </c>
      <c r="CP122" s="138">
        <v>0</v>
      </c>
      <c r="CQ122" s="138">
        <v>0</v>
      </c>
      <c r="CR122" s="138">
        <v>0</v>
      </c>
      <c r="CS122" s="138">
        <v>0</v>
      </c>
      <c r="CT122" s="138">
        <v>0</v>
      </c>
      <c r="CU122" s="138">
        <v>0</v>
      </c>
      <c r="CV122" s="138">
        <v>0</v>
      </c>
      <c r="CW122" s="138">
        <v>0</v>
      </c>
      <c r="CX122" s="138">
        <v>0</v>
      </c>
      <c r="CY122" s="138">
        <v>0</v>
      </c>
      <c r="CZ122" s="138">
        <v>0</v>
      </c>
      <c r="DA122" s="138">
        <v>0</v>
      </c>
      <c r="DB122" s="86">
        <v>0</v>
      </c>
      <c r="DC122" s="138">
        <v>0</v>
      </c>
      <c r="DD122" s="138">
        <v>0</v>
      </c>
      <c r="DE122" s="138">
        <v>0</v>
      </c>
      <c r="DF122" s="138">
        <v>0</v>
      </c>
      <c r="DG122" s="138">
        <v>0</v>
      </c>
      <c r="DH122" s="138">
        <v>0</v>
      </c>
      <c r="DI122" s="138">
        <v>0</v>
      </c>
      <c r="DJ122" s="138">
        <v>0</v>
      </c>
      <c r="DK122" s="138">
        <v>0</v>
      </c>
      <c r="DL122" s="138">
        <v>0</v>
      </c>
      <c r="DM122" s="138">
        <v>0</v>
      </c>
      <c r="DN122" s="138">
        <v>0</v>
      </c>
      <c r="DO122" s="86">
        <v>0</v>
      </c>
      <c r="DP122" s="138">
        <v>0</v>
      </c>
      <c r="DQ122" s="138">
        <v>0</v>
      </c>
      <c r="DR122" s="138">
        <v>0</v>
      </c>
      <c r="DS122" s="138">
        <v>0</v>
      </c>
      <c r="DT122" s="138">
        <v>0</v>
      </c>
      <c r="DU122" s="138">
        <v>0</v>
      </c>
      <c r="DV122" s="138">
        <v>0</v>
      </c>
      <c r="DW122" s="138">
        <v>0</v>
      </c>
      <c r="DX122" s="138">
        <v>0</v>
      </c>
      <c r="DY122" s="138">
        <v>0</v>
      </c>
      <c r="DZ122" s="138">
        <v>0</v>
      </c>
      <c r="EA122" s="138">
        <v>0</v>
      </c>
      <c r="EB122" s="85">
        <v>0</v>
      </c>
      <c r="EC122" s="87">
        <v>0</v>
      </c>
      <c r="ED122" s="85">
        <v>0</v>
      </c>
      <c r="EE122" s="85">
        <v>0</v>
      </c>
      <c r="EF122" s="85">
        <v>0</v>
      </c>
      <c r="EG122" s="85">
        <v>0</v>
      </c>
      <c r="EH122" s="85">
        <v>0</v>
      </c>
      <c r="EI122" s="85">
        <v>0</v>
      </c>
      <c r="EJ122" s="85">
        <v>0</v>
      </c>
      <c r="EK122" s="85">
        <v>0</v>
      </c>
      <c r="EL122" s="85">
        <v>0</v>
      </c>
      <c r="EM122" s="85">
        <v>0</v>
      </c>
      <c r="EN122" s="85">
        <v>0</v>
      </c>
      <c r="EO122" s="152">
        <v>0</v>
      </c>
      <c r="EP122" s="85">
        <v>0</v>
      </c>
      <c r="EQ122" s="85">
        <v>0</v>
      </c>
      <c r="ER122" s="85">
        <v>0</v>
      </c>
      <c r="ES122" s="85">
        <v>0</v>
      </c>
      <c r="ET122" s="85">
        <v>0</v>
      </c>
      <c r="EU122" s="85">
        <v>0</v>
      </c>
      <c r="EV122" s="85">
        <v>0</v>
      </c>
      <c r="EW122" s="85">
        <v>0</v>
      </c>
      <c r="EX122" s="85">
        <v>0</v>
      </c>
      <c r="EY122" s="85">
        <v>0</v>
      </c>
      <c r="EZ122" s="85">
        <v>0</v>
      </c>
      <c r="FA122" s="85">
        <v>0</v>
      </c>
      <c r="FB122" s="85">
        <v>0</v>
      </c>
      <c r="FC122" s="87">
        <v>0</v>
      </c>
      <c r="FD122" s="85">
        <v>0</v>
      </c>
      <c r="FE122" s="85">
        <v>0</v>
      </c>
      <c r="FF122" s="85">
        <v>0</v>
      </c>
      <c r="FG122" s="85">
        <v>0</v>
      </c>
      <c r="FH122" s="85">
        <v>0</v>
      </c>
      <c r="FI122" s="85">
        <v>0</v>
      </c>
      <c r="FJ122" s="85">
        <v>0</v>
      </c>
      <c r="FK122" s="85">
        <v>0</v>
      </c>
      <c r="FL122" s="85">
        <v>0</v>
      </c>
      <c r="FM122" s="85">
        <v>0</v>
      </c>
      <c r="FN122" s="85">
        <v>0</v>
      </c>
      <c r="FO122" s="86">
        <v>0</v>
      </c>
      <c r="FP122" s="87">
        <v>0</v>
      </c>
      <c r="FQ122" s="85">
        <v>0</v>
      </c>
      <c r="FR122" s="85">
        <v>0</v>
      </c>
      <c r="FS122" s="85">
        <v>0</v>
      </c>
      <c r="FT122" s="85">
        <v>0</v>
      </c>
      <c r="FU122" s="85">
        <v>0</v>
      </c>
      <c r="FV122" s="85">
        <v>0</v>
      </c>
      <c r="FW122" s="85">
        <v>0</v>
      </c>
      <c r="FX122" s="85">
        <v>0</v>
      </c>
      <c r="FY122" s="85">
        <v>0</v>
      </c>
      <c r="FZ122" s="85">
        <v>0</v>
      </c>
      <c r="GA122" s="85">
        <v>0</v>
      </c>
      <c r="GB122" s="152">
        <v>0</v>
      </c>
      <c r="GD122" s="153"/>
    </row>
    <row r="123" spans="1:186">
      <c r="A123" s="137" t="s">
        <v>271</v>
      </c>
      <c r="B123" s="151">
        <v>7542.24203149607</v>
      </c>
      <c r="C123" s="138">
        <f t="shared" si="24"/>
        <v>0</v>
      </c>
      <c r="D123" s="138">
        <f t="shared" si="13"/>
        <v>0</v>
      </c>
      <c r="E123" s="138">
        <f t="shared" si="14"/>
        <v>0</v>
      </c>
      <c r="F123" s="138">
        <f t="shared" si="15"/>
        <v>0</v>
      </c>
      <c r="G123" s="138">
        <f t="shared" si="16"/>
        <v>0</v>
      </c>
      <c r="H123" s="138">
        <f t="shared" si="17"/>
        <v>0</v>
      </c>
      <c r="I123" s="138">
        <f t="shared" si="18"/>
        <v>0</v>
      </c>
      <c r="J123" s="138">
        <f t="shared" si="19"/>
        <v>0</v>
      </c>
      <c r="K123" s="138">
        <f t="shared" si="20"/>
        <v>0</v>
      </c>
      <c r="L123" s="138">
        <f t="shared" si="21"/>
        <v>0</v>
      </c>
      <c r="M123" s="138">
        <f t="shared" si="22"/>
        <v>0</v>
      </c>
      <c r="N123" s="138">
        <f t="shared" si="23"/>
        <v>0</v>
      </c>
      <c r="O123" s="86">
        <f t="shared" si="25"/>
        <v>0</v>
      </c>
      <c r="P123" s="138">
        <v>0</v>
      </c>
      <c r="Q123" s="138">
        <v>0</v>
      </c>
      <c r="R123" s="138">
        <v>0</v>
      </c>
      <c r="S123" s="138">
        <v>0</v>
      </c>
      <c r="T123" s="138">
        <v>0</v>
      </c>
      <c r="U123" s="138">
        <v>0</v>
      </c>
      <c r="V123" s="138">
        <v>0</v>
      </c>
      <c r="W123" s="138">
        <v>0</v>
      </c>
      <c r="X123" s="138">
        <v>0</v>
      </c>
      <c r="Y123" s="138">
        <v>0</v>
      </c>
      <c r="Z123" s="138">
        <v>0</v>
      </c>
      <c r="AA123" s="138">
        <v>0</v>
      </c>
      <c r="AB123" s="86">
        <v>0</v>
      </c>
      <c r="AC123" s="138">
        <v>0</v>
      </c>
      <c r="AD123" s="138">
        <v>0</v>
      </c>
      <c r="AE123" s="138">
        <v>0</v>
      </c>
      <c r="AF123" s="138">
        <v>0</v>
      </c>
      <c r="AG123" s="138">
        <v>0</v>
      </c>
      <c r="AH123" s="138">
        <v>0</v>
      </c>
      <c r="AI123" s="138">
        <v>0</v>
      </c>
      <c r="AJ123" s="138">
        <v>0</v>
      </c>
      <c r="AK123" s="138">
        <v>0</v>
      </c>
      <c r="AL123" s="138">
        <v>0</v>
      </c>
      <c r="AM123" s="138">
        <v>0</v>
      </c>
      <c r="AN123" s="138">
        <v>0</v>
      </c>
      <c r="AO123" s="86">
        <v>0</v>
      </c>
      <c r="AP123" s="138">
        <v>0</v>
      </c>
      <c r="AQ123" s="138">
        <v>0</v>
      </c>
      <c r="AR123" s="138">
        <v>0</v>
      </c>
      <c r="AS123" s="138">
        <v>0</v>
      </c>
      <c r="AT123" s="138">
        <v>0</v>
      </c>
      <c r="AU123" s="138">
        <v>0</v>
      </c>
      <c r="AV123" s="138">
        <v>0</v>
      </c>
      <c r="AW123" s="138">
        <v>0</v>
      </c>
      <c r="AX123" s="138">
        <v>0</v>
      </c>
      <c r="AY123" s="138">
        <v>0</v>
      </c>
      <c r="AZ123" s="138">
        <v>0</v>
      </c>
      <c r="BA123" s="138">
        <v>0</v>
      </c>
      <c r="BB123" s="86">
        <v>0</v>
      </c>
      <c r="BC123" s="138">
        <v>0</v>
      </c>
      <c r="BD123" s="138">
        <v>0</v>
      </c>
      <c r="BE123" s="138">
        <v>0</v>
      </c>
      <c r="BF123" s="138">
        <v>0</v>
      </c>
      <c r="BG123" s="138">
        <v>0</v>
      </c>
      <c r="BH123" s="138">
        <v>0</v>
      </c>
      <c r="BI123" s="138">
        <v>0</v>
      </c>
      <c r="BJ123" s="138">
        <v>0</v>
      </c>
      <c r="BK123" s="138">
        <v>0</v>
      </c>
      <c r="BL123" s="138">
        <v>0</v>
      </c>
      <c r="BM123" s="138">
        <v>0</v>
      </c>
      <c r="BN123" s="138">
        <v>0</v>
      </c>
      <c r="BO123" s="86">
        <v>0</v>
      </c>
      <c r="BP123" s="138">
        <v>0</v>
      </c>
      <c r="BQ123" s="138">
        <v>0</v>
      </c>
      <c r="BR123" s="138">
        <v>0</v>
      </c>
      <c r="BS123" s="138">
        <v>0</v>
      </c>
      <c r="BT123" s="138">
        <v>0</v>
      </c>
      <c r="BU123" s="138">
        <v>0</v>
      </c>
      <c r="BV123" s="138">
        <v>0</v>
      </c>
      <c r="BW123" s="138">
        <v>0</v>
      </c>
      <c r="BX123" s="138">
        <v>0</v>
      </c>
      <c r="BY123" s="138">
        <v>0</v>
      </c>
      <c r="BZ123" s="138">
        <v>0</v>
      </c>
      <c r="CA123" s="138">
        <v>0</v>
      </c>
      <c r="CB123" s="86">
        <v>0</v>
      </c>
      <c r="CC123" s="138">
        <v>0</v>
      </c>
      <c r="CD123" s="138">
        <v>0</v>
      </c>
      <c r="CE123" s="138">
        <v>0</v>
      </c>
      <c r="CF123" s="138">
        <v>0</v>
      </c>
      <c r="CG123" s="138">
        <v>0</v>
      </c>
      <c r="CH123" s="138">
        <v>0</v>
      </c>
      <c r="CI123" s="138">
        <v>0</v>
      </c>
      <c r="CJ123" s="138">
        <v>0</v>
      </c>
      <c r="CK123" s="138">
        <v>0</v>
      </c>
      <c r="CL123" s="138">
        <v>0</v>
      </c>
      <c r="CM123" s="138">
        <v>0</v>
      </c>
      <c r="CN123" s="138">
        <v>0</v>
      </c>
      <c r="CO123" s="86">
        <v>0</v>
      </c>
      <c r="CP123" s="138">
        <v>0</v>
      </c>
      <c r="CQ123" s="138">
        <v>0</v>
      </c>
      <c r="CR123" s="138">
        <v>0</v>
      </c>
      <c r="CS123" s="138">
        <v>0</v>
      </c>
      <c r="CT123" s="138">
        <v>0</v>
      </c>
      <c r="CU123" s="138">
        <v>0</v>
      </c>
      <c r="CV123" s="138">
        <v>0</v>
      </c>
      <c r="CW123" s="138">
        <v>0</v>
      </c>
      <c r="CX123" s="138">
        <v>0</v>
      </c>
      <c r="CY123" s="138">
        <v>0</v>
      </c>
      <c r="CZ123" s="138">
        <v>0</v>
      </c>
      <c r="DA123" s="138">
        <v>0</v>
      </c>
      <c r="DB123" s="86">
        <v>0</v>
      </c>
      <c r="DC123" s="138">
        <v>0</v>
      </c>
      <c r="DD123" s="138">
        <v>0</v>
      </c>
      <c r="DE123" s="138">
        <v>0</v>
      </c>
      <c r="DF123" s="138">
        <v>0</v>
      </c>
      <c r="DG123" s="138">
        <v>0</v>
      </c>
      <c r="DH123" s="138">
        <v>0</v>
      </c>
      <c r="DI123" s="138">
        <v>0</v>
      </c>
      <c r="DJ123" s="138">
        <v>0</v>
      </c>
      <c r="DK123" s="138">
        <v>0</v>
      </c>
      <c r="DL123" s="138">
        <v>0</v>
      </c>
      <c r="DM123" s="138">
        <v>0</v>
      </c>
      <c r="DN123" s="138">
        <v>0</v>
      </c>
      <c r="DO123" s="86">
        <v>0</v>
      </c>
      <c r="DP123" s="138">
        <v>0</v>
      </c>
      <c r="DQ123" s="138">
        <v>0</v>
      </c>
      <c r="DR123" s="138">
        <v>0</v>
      </c>
      <c r="DS123" s="138">
        <v>0</v>
      </c>
      <c r="DT123" s="138">
        <v>0</v>
      </c>
      <c r="DU123" s="138">
        <v>0</v>
      </c>
      <c r="DV123" s="138">
        <v>0</v>
      </c>
      <c r="DW123" s="138">
        <v>0</v>
      </c>
      <c r="DX123" s="138">
        <v>0</v>
      </c>
      <c r="DY123" s="138">
        <v>0</v>
      </c>
      <c r="DZ123" s="138">
        <v>0</v>
      </c>
      <c r="EA123" s="138">
        <v>0</v>
      </c>
      <c r="EB123" s="85">
        <v>0</v>
      </c>
      <c r="EC123" s="87">
        <v>0</v>
      </c>
      <c r="ED123" s="85">
        <v>0</v>
      </c>
      <c r="EE123" s="85">
        <v>0</v>
      </c>
      <c r="EF123" s="85">
        <v>0</v>
      </c>
      <c r="EG123" s="85">
        <v>0</v>
      </c>
      <c r="EH123" s="85">
        <v>0</v>
      </c>
      <c r="EI123" s="85">
        <v>0</v>
      </c>
      <c r="EJ123" s="85">
        <v>0</v>
      </c>
      <c r="EK123" s="85">
        <v>0</v>
      </c>
      <c r="EL123" s="85">
        <v>0</v>
      </c>
      <c r="EM123" s="85">
        <v>0</v>
      </c>
      <c r="EN123" s="85">
        <v>0</v>
      </c>
      <c r="EO123" s="152">
        <v>0</v>
      </c>
      <c r="EP123" s="85">
        <v>0</v>
      </c>
      <c r="EQ123" s="85">
        <v>0</v>
      </c>
      <c r="ER123" s="85">
        <v>0</v>
      </c>
      <c r="ES123" s="85">
        <v>0</v>
      </c>
      <c r="ET123" s="85">
        <v>0</v>
      </c>
      <c r="EU123" s="85">
        <v>0</v>
      </c>
      <c r="EV123" s="85">
        <v>0</v>
      </c>
      <c r="EW123" s="85">
        <v>0</v>
      </c>
      <c r="EX123" s="85">
        <v>0</v>
      </c>
      <c r="EY123" s="85">
        <v>0</v>
      </c>
      <c r="EZ123" s="85">
        <v>0</v>
      </c>
      <c r="FA123" s="85">
        <v>0</v>
      </c>
      <c r="FB123" s="85">
        <v>0</v>
      </c>
      <c r="FC123" s="87">
        <v>0</v>
      </c>
      <c r="FD123" s="85">
        <v>0</v>
      </c>
      <c r="FE123" s="85">
        <v>0</v>
      </c>
      <c r="FF123" s="85">
        <v>0</v>
      </c>
      <c r="FG123" s="85">
        <v>0</v>
      </c>
      <c r="FH123" s="85">
        <v>0</v>
      </c>
      <c r="FI123" s="85">
        <v>0</v>
      </c>
      <c r="FJ123" s="85">
        <v>0</v>
      </c>
      <c r="FK123" s="85">
        <v>0</v>
      </c>
      <c r="FL123" s="85">
        <v>0</v>
      </c>
      <c r="FM123" s="85">
        <v>0</v>
      </c>
      <c r="FN123" s="85">
        <v>0</v>
      </c>
      <c r="FO123" s="86">
        <v>0</v>
      </c>
      <c r="FP123" s="87">
        <v>0</v>
      </c>
      <c r="FQ123" s="85">
        <v>0</v>
      </c>
      <c r="FR123" s="85">
        <v>0</v>
      </c>
      <c r="FS123" s="85">
        <v>0</v>
      </c>
      <c r="FT123" s="85">
        <v>0</v>
      </c>
      <c r="FU123" s="85">
        <v>0</v>
      </c>
      <c r="FV123" s="85">
        <v>0</v>
      </c>
      <c r="FW123" s="85">
        <v>0</v>
      </c>
      <c r="FX123" s="85">
        <v>0</v>
      </c>
      <c r="FY123" s="85">
        <v>0</v>
      </c>
      <c r="FZ123" s="85">
        <v>0</v>
      </c>
      <c r="GA123" s="85">
        <v>0</v>
      </c>
      <c r="GB123" s="152">
        <v>0</v>
      </c>
      <c r="GD123" s="153"/>
    </row>
    <row r="124" spans="1:186">
      <c r="A124" s="137" t="s">
        <v>273</v>
      </c>
      <c r="B124" s="151">
        <v>15809.2052406502</v>
      </c>
      <c r="C124" s="138">
        <f t="shared" si="24"/>
        <v>875.800946946552</v>
      </c>
      <c r="D124" s="138">
        <f t="shared" si="13"/>
        <v>233.296386452017</v>
      </c>
      <c r="E124" s="138">
        <f t="shared" si="14"/>
        <v>0</v>
      </c>
      <c r="F124" s="138">
        <f t="shared" si="15"/>
        <v>440.616443386032</v>
      </c>
      <c r="G124" s="138">
        <f t="shared" si="16"/>
        <v>0</v>
      </c>
      <c r="H124" s="138">
        <f t="shared" si="17"/>
        <v>451.278574412356</v>
      </c>
      <c r="I124" s="138">
        <f t="shared" si="18"/>
        <v>451.278574412356</v>
      </c>
      <c r="J124" s="138">
        <f t="shared" si="19"/>
        <v>451.278574412356</v>
      </c>
      <c r="K124" s="138">
        <f t="shared" si="20"/>
        <v>451.278574412356</v>
      </c>
      <c r="L124" s="138">
        <f t="shared" si="21"/>
        <v>451.278574412356</v>
      </c>
      <c r="M124" s="138">
        <f t="shared" si="22"/>
        <v>451.278574412356</v>
      </c>
      <c r="N124" s="138">
        <f t="shared" si="23"/>
        <v>451.278574412356</v>
      </c>
      <c r="O124" s="86">
        <f t="shared" si="25"/>
        <v>4708.66379767109</v>
      </c>
      <c r="P124" s="138">
        <v>0</v>
      </c>
      <c r="Q124" s="138">
        <v>0</v>
      </c>
      <c r="R124" s="138">
        <v>0</v>
      </c>
      <c r="S124" s="138">
        <v>0</v>
      </c>
      <c r="T124" s="138">
        <v>0</v>
      </c>
      <c r="U124" s="138">
        <v>0</v>
      </c>
      <c r="V124" s="138">
        <v>0</v>
      </c>
      <c r="W124" s="138">
        <v>0</v>
      </c>
      <c r="X124" s="138">
        <v>0</v>
      </c>
      <c r="Y124" s="138">
        <v>0</v>
      </c>
      <c r="Z124" s="138">
        <v>0</v>
      </c>
      <c r="AA124" s="138">
        <v>0</v>
      </c>
      <c r="AB124" s="86">
        <v>0</v>
      </c>
      <c r="AC124" s="138">
        <v>0</v>
      </c>
      <c r="AD124" s="138">
        <v>0</v>
      </c>
      <c r="AE124" s="138">
        <v>0</v>
      </c>
      <c r="AF124" s="138">
        <v>0</v>
      </c>
      <c r="AG124" s="138">
        <v>0</v>
      </c>
      <c r="AH124" s="138">
        <v>0</v>
      </c>
      <c r="AI124" s="138">
        <v>0</v>
      </c>
      <c r="AJ124" s="138">
        <v>0</v>
      </c>
      <c r="AK124" s="138">
        <v>0</v>
      </c>
      <c r="AL124" s="138">
        <v>0</v>
      </c>
      <c r="AM124" s="138">
        <v>0</v>
      </c>
      <c r="AN124" s="138">
        <v>0</v>
      </c>
      <c r="AO124" s="86">
        <v>0</v>
      </c>
      <c r="AP124" s="138">
        <v>0</v>
      </c>
      <c r="AQ124" s="138">
        <v>0</v>
      </c>
      <c r="AR124" s="138">
        <v>0</v>
      </c>
      <c r="AS124" s="138">
        <v>0</v>
      </c>
      <c r="AT124" s="138">
        <v>0</v>
      </c>
      <c r="AU124" s="138">
        <v>0</v>
      </c>
      <c r="AV124" s="138">
        <v>0</v>
      </c>
      <c r="AW124" s="138">
        <v>0</v>
      </c>
      <c r="AX124" s="138">
        <v>0</v>
      </c>
      <c r="AY124" s="138">
        <v>0</v>
      </c>
      <c r="AZ124" s="138">
        <v>0</v>
      </c>
      <c r="BA124" s="138">
        <v>0</v>
      </c>
      <c r="BB124" s="86">
        <v>0</v>
      </c>
      <c r="BC124" s="138">
        <v>0</v>
      </c>
      <c r="BD124" s="138">
        <v>0</v>
      </c>
      <c r="BE124" s="138">
        <v>0</v>
      </c>
      <c r="BF124" s="138">
        <v>0</v>
      </c>
      <c r="BG124" s="138">
        <v>0</v>
      </c>
      <c r="BH124" s="138">
        <v>0</v>
      </c>
      <c r="BI124" s="138">
        <v>0</v>
      </c>
      <c r="BJ124" s="138">
        <v>0</v>
      </c>
      <c r="BK124" s="138">
        <v>0</v>
      </c>
      <c r="BL124" s="138">
        <v>0</v>
      </c>
      <c r="BM124" s="138">
        <v>0</v>
      </c>
      <c r="BN124" s="138">
        <v>0</v>
      </c>
      <c r="BO124" s="86">
        <v>0</v>
      </c>
      <c r="BP124" s="138">
        <v>462.606944001892</v>
      </c>
      <c r="BQ124" s="138">
        <v>233.296386452017</v>
      </c>
      <c r="BR124" s="138">
        <v>0</v>
      </c>
      <c r="BS124" s="138">
        <v>440.616443386032</v>
      </c>
      <c r="BT124" s="138">
        <v>0</v>
      </c>
      <c r="BU124" s="138">
        <v>451.278574412356</v>
      </c>
      <c r="BV124" s="138">
        <v>451.278574412356</v>
      </c>
      <c r="BW124" s="138">
        <v>451.278574412356</v>
      </c>
      <c r="BX124" s="138">
        <v>451.278574412356</v>
      </c>
      <c r="BY124" s="138">
        <v>451.278574412356</v>
      </c>
      <c r="BZ124" s="138">
        <v>451.278574412356</v>
      </c>
      <c r="CA124" s="138">
        <v>451.278574412356</v>
      </c>
      <c r="CB124" s="86">
        <v>4295.46979472643</v>
      </c>
      <c r="CC124" s="138">
        <v>413.19400294466</v>
      </c>
      <c r="CD124" s="138">
        <v>0</v>
      </c>
      <c r="CE124" s="138">
        <v>0</v>
      </c>
      <c r="CF124" s="138">
        <v>0</v>
      </c>
      <c r="CG124" s="138">
        <v>0</v>
      </c>
      <c r="CH124" s="138">
        <v>0</v>
      </c>
      <c r="CI124" s="138">
        <v>0</v>
      </c>
      <c r="CJ124" s="138">
        <v>0</v>
      </c>
      <c r="CK124" s="138">
        <v>0</v>
      </c>
      <c r="CL124" s="138">
        <v>0</v>
      </c>
      <c r="CM124" s="138">
        <v>0</v>
      </c>
      <c r="CN124" s="138">
        <v>0</v>
      </c>
      <c r="CO124" s="86">
        <v>413.19400294466</v>
      </c>
      <c r="CP124" s="138">
        <v>0</v>
      </c>
      <c r="CQ124" s="138">
        <v>0</v>
      </c>
      <c r="CR124" s="138">
        <v>0</v>
      </c>
      <c r="CS124" s="138">
        <v>0</v>
      </c>
      <c r="CT124" s="138">
        <v>0</v>
      </c>
      <c r="CU124" s="138">
        <v>0</v>
      </c>
      <c r="CV124" s="138">
        <v>0</v>
      </c>
      <c r="CW124" s="138">
        <v>0</v>
      </c>
      <c r="CX124" s="138">
        <v>0</v>
      </c>
      <c r="CY124" s="138">
        <v>0</v>
      </c>
      <c r="CZ124" s="138">
        <v>0</v>
      </c>
      <c r="DA124" s="138">
        <v>0</v>
      </c>
      <c r="DB124" s="86">
        <v>0</v>
      </c>
      <c r="DC124" s="138">
        <v>0</v>
      </c>
      <c r="DD124" s="138">
        <v>0</v>
      </c>
      <c r="DE124" s="138">
        <v>0</v>
      </c>
      <c r="DF124" s="138">
        <v>0</v>
      </c>
      <c r="DG124" s="138">
        <v>0</v>
      </c>
      <c r="DH124" s="138">
        <v>0</v>
      </c>
      <c r="DI124" s="138">
        <v>0</v>
      </c>
      <c r="DJ124" s="138">
        <v>0</v>
      </c>
      <c r="DK124" s="138">
        <v>0</v>
      </c>
      <c r="DL124" s="138">
        <v>0</v>
      </c>
      <c r="DM124" s="138">
        <v>0</v>
      </c>
      <c r="DN124" s="138">
        <v>0</v>
      </c>
      <c r="DO124" s="86">
        <v>0</v>
      </c>
      <c r="DP124" s="138">
        <v>0</v>
      </c>
      <c r="DQ124" s="138">
        <v>0</v>
      </c>
      <c r="DR124" s="138">
        <v>0</v>
      </c>
      <c r="DS124" s="138">
        <v>0</v>
      </c>
      <c r="DT124" s="138">
        <v>0</v>
      </c>
      <c r="DU124" s="138">
        <v>0</v>
      </c>
      <c r="DV124" s="138">
        <v>0</v>
      </c>
      <c r="DW124" s="138">
        <v>0</v>
      </c>
      <c r="DX124" s="138">
        <v>0</v>
      </c>
      <c r="DY124" s="138">
        <v>0</v>
      </c>
      <c r="DZ124" s="138">
        <v>0</v>
      </c>
      <c r="EA124" s="138">
        <v>0</v>
      </c>
      <c r="EB124" s="85">
        <v>0</v>
      </c>
      <c r="EC124" s="87">
        <v>0</v>
      </c>
      <c r="ED124" s="85">
        <v>0</v>
      </c>
      <c r="EE124" s="85">
        <v>0</v>
      </c>
      <c r="EF124" s="85">
        <v>0</v>
      </c>
      <c r="EG124" s="85">
        <v>0</v>
      </c>
      <c r="EH124" s="85">
        <v>0</v>
      </c>
      <c r="EI124" s="85">
        <v>0</v>
      </c>
      <c r="EJ124" s="85">
        <v>0</v>
      </c>
      <c r="EK124" s="85">
        <v>0</v>
      </c>
      <c r="EL124" s="85">
        <v>0</v>
      </c>
      <c r="EM124" s="85">
        <v>0</v>
      </c>
      <c r="EN124" s="85">
        <v>0</v>
      </c>
      <c r="EO124" s="152">
        <v>0</v>
      </c>
      <c r="EP124" s="85">
        <v>0</v>
      </c>
      <c r="EQ124" s="85">
        <v>0</v>
      </c>
      <c r="ER124" s="85">
        <v>0</v>
      </c>
      <c r="ES124" s="85">
        <v>0</v>
      </c>
      <c r="ET124" s="85">
        <v>0</v>
      </c>
      <c r="EU124" s="85">
        <v>0</v>
      </c>
      <c r="EV124" s="85">
        <v>0</v>
      </c>
      <c r="EW124" s="85">
        <v>0</v>
      </c>
      <c r="EX124" s="85">
        <v>0</v>
      </c>
      <c r="EY124" s="85">
        <v>0</v>
      </c>
      <c r="EZ124" s="85">
        <v>0</v>
      </c>
      <c r="FA124" s="85">
        <v>0</v>
      </c>
      <c r="FB124" s="85">
        <v>0</v>
      </c>
      <c r="FC124" s="87">
        <v>0</v>
      </c>
      <c r="FD124" s="85">
        <v>0</v>
      </c>
      <c r="FE124" s="85">
        <v>0</v>
      </c>
      <c r="FF124" s="85">
        <v>0</v>
      </c>
      <c r="FG124" s="85">
        <v>0</v>
      </c>
      <c r="FH124" s="85">
        <v>0</v>
      </c>
      <c r="FI124" s="85">
        <v>0</v>
      </c>
      <c r="FJ124" s="85">
        <v>0</v>
      </c>
      <c r="FK124" s="85">
        <v>0</v>
      </c>
      <c r="FL124" s="85">
        <v>0</v>
      </c>
      <c r="FM124" s="85">
        <v>0</v>
      </c>
      <c r="FN124" s="85">
        <v>0</v>
      </c>
      <c r="FO124" s="86">
        <v>0</v>
      </c>
      <c r="FP124" s="87">
        <v>0</v>
      </c>
      <c r="FQ124" s="85">
        <v>0</v>
      </c>
      <c r="FR124" s="85">
        <v>0</v>
      </c>
      <c r="FS124" s="85">
        <v>0</v>
      </c>
      <c r="FT124" s="85">
        <v>0</v>
      </c>
      <c r="FU124" s="85">
        <v>0</v>
      </c>
      <c r="FV124" s="85">
        <v>0</v>
      </c>
      <c r="FW124" s="85">
        <v>0</v>
      </c>
      <c r="FX124" s="85">
        <v>0</v>
      </c>
      <c r="FY124" s="85">
        <v>0</v>
      </c>
      <c r="FZ124" s="85">
        <v>0</v>
      </c>
      <c r="GA124" s="85">
        <v>0</v>
      </c>
      <c r="GB124" s="152">
        <v>0</v>
      </c>
      <c r="GD124" s="153"/>
    </row>
    <row r="125" spans="1:186">
      <c r="A125" s="137" t="s">
        <v>275</v>
      </c>
      <c r="B125" s="151">
        <v>2172.80846652761</v>
      </c>
      <c r="C125" s="138">
        <f t="shared" si="24"/>
        <v>62.3067890435908</v>
      </c>
      <c r="D125" s="138">
        <f t="shared" si="13"/>
        <v>-61.8649915530492</v>
      </c>
      <c r="E125" s="138">
        <f t="shared" si="14"/>
        <v>0</v>
      </c>
      <c r="F125" s="138">
        <f t="shared" si="15"/>
        <v>0</v>
      </c>
      <c r="G125" s="138">
        <f t="shared" si="16"/>
        <v>0</v>
      </c>
      <c r="H125" s="138">
        <f t="shared" si="17"/>
        <v>0</v>
      </c>
      <c r="I125" s="138">
        <f t="shared" si="18"/>
        <v>0</v>
      </c>
      <c r="J125" s="138">
        <f t="shared" si="19"/>
        <v>0</v>
      </c>
      <c r="K125" s="138">
        <f t="shared" si="20"/>
        <v>0</v>
      </c>
      <c r="L125" s="138">
        <f t="shared" si="21"/>
        <v>0</v>
      </c>
      <c r="M125" s="138">
        <f t="shared" si="22"/>
        <v>0</v>
      </c>
      <c r="N125" s="138">
        <f t="shared" si="23"/>
        <v>0</v>
      </c>
      <c r="O125" s="86">
        <f t="shared" si="25"/>
        <v>0.441797490541546</v>
      </c>
      <c r="P125" s="138">
        <v>0</v>
      </c>
      <c r="Q125" s="138">
        <v>0</v>
      </c>
      <c r="R125" s="138">
        <v>0</v>
      </c>
      <c r="S125" s="138">
        <v>0</v>
      </c>
      <c r="T125" s="138">
        <v>0</v>
      </c>
      <c r="U125" s="138">
        <v>0</v>
      </c>
      <c r="V125" s="138">
        <v>0</v>
      </c>
      <c r="W125" s="138">
        <v>0</v>
      </c>
      <c r="X125" s="138">
        <v>0</v>
      </c>
      <c r="Y125" s="138">
        <v>0</v>
      </c>
      <c r="Z125" s="138">
        <v>0</v>
      </c>
      <c r="AA125" s="138">
        <v>0</v>
      </c>
      <c r="AB125" s="86">
        <v>0</v>
      </c>
      <c r="AC125" s="138">
        <v>62.3067890435908</v>
      </c>
      <c r="AD125" s="138">
        <v>-61.8649915530492</v>
      </c>
      <c r="AE125" s="138">
        <v>0</v>
      </c>
      <c r="AF125" s="138">
        <v>0</v>
      </c>
      <c r="AG125" s="138">
        <v>0</v>
      </c>
      <c r="AH125" s="138">
        <v>0</v>
      </c>
      <c r="AI125" s="138">
        <v>0</v>
      </c>
      <c r="AJ125" s="138">
        <v>0</v>
      </c>
      <c r="AK125" s="138">
        <v>0</v>
      </c>
      <c r="AL125" s="138">
        <v>0</v>
      </c>
      <c r="AM125" s="138">
        <v>0</v>
      </c>
      <c r="AN125" s="138">
        <v>0</v>
      </c>
      <c r="AO125" s="86">
        <v>0.441797490541546</v>
      </c>
      <c r="AP125" s="138">
        <v>0</v>
      </c>
      <c r="AQ125" s="138">
        <v>0</v>
      </c>
      <c r="AR125" s="138">
        <v>0</v>
      </c>
      <c r="AS125" s="138">
        <v>0</v>
      </c>
      <c r="AT125" s="138">
        <v>0</v>
      </c>
      <c r="AU125" s="138">
        <v>0</v>
      </c>
      <c r="AV125" s="138">
        <v>0</v>
      </c>
      <c r="AW125" s="138">
        <v>0</v>
      </c>
      <c r="AX125" s="138">
        <v>0</v>
      </c>
      <c r="AY125" s="138">
        <v>0</v>
      </c>
      <c r="AZ125" s="138">
        <v>0</v>
      </c>
      <c r="BA125" s="138">
        <v>0</v>
      </c>
      <c r="BB125" s="86">
        <v>0</v>
      </c>
      <c r="BC125" s="138">
        <v>0</v>
      </c>
      <c r="BD125" s="138">
        <v>0</v>
      </c>
      <c r="BE125" s="138">
        <v>0</v>
      </c>
      <c r="BF125" s="138">
        <v>0</v>
      </c>
      <c r="BG125" s="138">
        <v>0</v>
      </c>
      <c r="BH125" s="138">
        <v>0</v>
      </c>
      <c r="BI125" s="138">
        <v>0</v>
      </c>
      <c r="BJ125" s="138">
        <v>0</v>
      </c>
      <c r="BK125" s="138">
        <v>0</v>
      </c>
      <c r="BL125" s="138">
        <v>0</v>
      </c>
      <c r="BM125" s="138">
        <v>0</v>
      </c>
      <c r="BN125" s="138">
        <v>0</v>
      </c>
      <c r="BO125" s="86">
        <v>0</v>
      </c>
      <c r="BP125" s="138">
        <v>0</v>
      </c>
      <c r="BQ125" s="138">
        <v>0</v>
      </c>
      <c r="BR125" s="138">
        <v>0</v>
      </c>
      <c r="BS125" s="138">
        <v>0</v>
      </c>
      <c r="BT125" s="138">
        <v>0</v>
      </c>
      <c r="BU125" s="138">
        <v>0</v>
      </c>
      <c r="BV125" s="138">
        <v>0</v>
      </c>
      <c r="BW125" s="138">
        <v>0</v>
      </c>
      <c r="BX125" s="138">
        <v>0</v>
      </c>
      <c r="BY125" s="138">
        <v>0</v>
      </c>
      <c r="BZ125" s="138">
        <v>0</v>
      </c>
      <c r="CA125" s="138">
        <v>0</v>
      </c>
      <c r="CB125" s="86">
        <v>0</v>
      </c>
      <c r="CC125" s="138">
        <v>0</v>
      </c>
      <c r="CD125" s="138">
        <v>0</v>
      </c>
      <c r="CE125" s="138">
        <v>0</v>
      </c>
      <c r="CF125" s="138">
        <v>0</v>
      </c>
      <c r="CG125" s="138">
        <v>0</v>
      </c>
      <c r="CH125" s="138">
        <v>0</v>
      </c>
      <c r="CI125" s="138">
        <v>0</v>
      </c>
      <c r="CJ125" s="138">
        <v>0</v>
      </c>
      <c r="CK125" s="138">
        <v>0</v>
      </c>
      <c r="CL125" s="138">
        <v>0</v>
      </c>
      <c r="CM125" s="138">
        <v>0</v>
      </c>
      <c r="CN125" s="138">
        <v>0</v>
      </c>
      <c r="CO125" s="86">
        <v>0</v>
      </c>
      <c r="CP125" s="138">
        <v>0</v>
      </c>
      <c r="CQ125" s="138">
        <v>0</v>
      </c>
      <c r="CR125" s="138">
        <v>0</v>
      </c>
      <c r="CS125" s="138">
        <v>0</v>
      </c>
      <c r="CT125" s="138">
        <v>0</v>
      </c>
      <c r="CU125" s="138">
        <v>0</v>
      </c>
      <c r="CV125" s="138">
        <v>0</v>
      </c>
      <c r="CW125" s="138">
        <v>0</v>
      </c>
      <c r="CX125" s="138">
        <v>0</v>
      </c>
      <c r="CY125" s="138">
        <v>0</v>
      </c>
      <c r="CZ125" s="138">
        <v>0</v>
      </c>
      <c r="DA125" s="138">
        <v>0</v>
      </c>
      <c r="DB125" s="86">
        <v>0</v>
      </c>
      <c r="DC125" s="138">
        <v>0</v>
      </c>
      <c r="DD125" s="138">
        <v>0</v>
      </c>
      <c r="DE125" s="138">
        <v>0</v>
      </c>
      <c r="DF125" s="138">
        <v>0</v>
      </c>
      <c r="DG125" s="138">
        <v>0</v>
      </c>
      <c r="DH125" s="138">
        <v>0</v>
      </c>
      <c r="DI125" s="138">
        <v>0</v>
      </c>
      <c r="DJ125" s="138">
        <v>0</v>
      </c>
      <c r="DK125" s="138">
        <v>0</v>
      </c>
      <c r="DL125" s="138">
        <v>0</v>
      </c>
      <c r="DM125" s="138">
        <v>0</v>
      </c>
      <c r="DN125" s="138">
        <v>0</v>
      </c>
      <c r="DO125" s="86">
        <v>0</v>
      </c>
      <c r="DP125" s="138">
        <v>0</v>
      </c>
      <c r="DQ125" s="138">
        <v>0</v>
      </c>
      <c r="DR125" s="138">
        <v>0</v>
      </c>
      <c r="DS125" s="138">
        <v>0</v>
      </c>
      <c r="DT125" s="138">
        <v>0</v>
      </c>
      <c r="DU125" s="138">
        <v>0</v>
      </c>
      <c r="DV125" s="138">
        <v>0</v>
      </c>
      <c r="DW125" s="138">
        <v>0</v>
      </c>
      <c r="DX125" s="138">
        <v>0</v>
      </c>
      <c r="DY125" s="138">
        <v>0</v>
      </c>
      <c r="DZ125" s="138">
        <v>0</v>
      </c>
      <c r="EA125" s="138">
        <v>0</v>
      </c>
      <c r="EB125" s="85">
        <v>0</v>
      </c>
      <c r="EC125" s="87">
        <v>0</v>
      </c>
      <c r="ED125" s="85">
        <v>0</v>
      </c>
      <c r="EE125" s="85">
        <v>0</v>
      </c>
      <c r="EF125" s="85">
        <v>0</v>
      </c>
      <c r="EG125" s="85">
        <v>0</v>
      </c>
      <c r="EH125" s="85">
        <v>0</v>
      </c>
      <c r="EI125" s="85">
        <v>0</v>
      </c>
      <c r="EJ125" s="85">
        <v>0</v>
      </c>
      <c r="EK125" s="85">
        <v>0</v>
      </c>
      <c r="EL125" s="85">
        <v>0</v>
      </c>
      <c r="EM125" s="85">
        <v>0</v>
      </c>
      <c r="EN125" s="85">
        <v>0</v>
      </c>
      <c r="EO125" s="152">
        <v>0</v>
      </c>
      <c r="EP125" s="85">
        <v>0</v>
      </c>
      <c r="EQ125" s="85">
        <v>0</v>
      </c>
      <c r="ER125" s="85">
        <v>0</v>
      </c>
      <c r="ES125" s="85">
        <v>0</v>
      </c>
      <c r="ET125" s="85">
        <v>0</v>
      </c>
      <c r="EU125" s="85">
        <v>0</v>
      </c>
      <c r="EV125" s="85">
        <v>0</v>
      </c>
      <c r="EW125" s="85">
        <v>0</v>
      </c>
      <c r="EX125" s="85">
        <v>0</v>
      </c>
      <c r="EY125" s="85">
        <v>0</v>
      </c>
      <c r="EZ125" s="85">
        <v>0</v>
      </c>
      <c r="FA125" s="85">
        <v>0</v>
      </c>
      <c r="FB125" s="85">
        <v>0</v>
      </c>
      <c r="FC125" s="87">
        <v>0</v>
      </c>
      <c r="FD125" s="85">
        <v>0</v>
      </c>
      <c r="FE125" s="85">
        <v>0</v>
      </c>
      <c r="FF125" s="85">
        <v>0</v>
      </c>
      <c r="FG125" s="85">
        <v>0</v>
      </c>
      <c r="FH125" s="85">
        <v>0</v>
      </c>
      <c r="FI125" s="85">
        <v>0</v>
      </c>
      <c r="FJ125" s="85">
        <v>0</v>
      </c>
      <c r="FK125" s="85">
        <v>0</v>
      </c>
      <c r="FL125" s="85">
        <v>0</v>
      </c>
      <c r="FM125" s="85">
        <v>0</v>
      </c>
      <c r="FN125" s="85">
        <v>0</v>
      </c>
      <c r="FO125" s="86">
        <v>0</v>
      </c>
      <c r="FP125" s="87">
        <v>0</v>
      </c>
      <c r="FQ125" s="85">
        <v>0</v>
      </c>
      <c r="FR125" s="85">
        <v>0</v>
      </c>
      <c r="FS125" s="85">
        <v>0</v>
      </c>
      <c r="FT125" s="85">
        <v>0</v>
      </c>
      <c r="FU125" s="85">
        <v>0</v>
      </c>
      <c r="FV125" s="85">
        <v>0</v>
      </c>
      <c r="FW125" s="85">
        <v>0</v>
      </c>
      <c r="FX125" s="85">
        <v>0</v>
      </c>
      <c r="FY125" s="85">
        <v>0</v>
      </c>
      <c r="FZ125" s="85">
        <v>0</v>
      </c>
      <c r="GA125" s="85">
        <v>0</v>
      </c>
      <c r="GB125" s="152">
        <v>0</v>
      </c>
      <c r="GD125" s="153"/>
    </row>
    <row r="126" spans="1:186">
      <c r="A126" s="137" t="s">
        <v>277</v>
      </c>
      <c r="B126" s="151">
        <v>3273.43987373381</v>
      </c>
      <c r="C126" s="138">
        <f t="shared" si="24"/>
        <v>924.535646757869</v>
      </c>
      <c r="D126" s="138">
        <f t="shared" si="13"/>
        <v>884.810074488662</v>
      </c>
      <c r="E126" s="138">
        <f t="shared" si="14"/>
        <v>0</v>
      </c>
      <c r="F126" s="138">
        <f t="shared" si="15"/>
        <v>0</v>
      </c>
      <c r="G126" s="138">
        <f t="shared" si="16"/>
        <v>0</v>
      </c>
      <c r="H126" s="138">
        <f t="shared" si="17"/>
        <v>0</v>
      </c>
      <c r="I126" s="138">
        <f t="shared" si="18"/>
        <v>0</v>
      </c>
      <c r="J126" s="138">
        <f t="shared" si="19"/>
        <v>0</v>
      </c>
      <c r="K126" s="138">
        <f t="shared" si="20"/>
        <v>0</v>
      </c>
      <c r="L126" s="138">
        <f t="shared" si="21"/>
        <v>0</v>
      </c>
      <c r="M126" s="138">
        <f t="shared" si="22"/>
        <v>0</v>
      </c>
      <c r="N126" s="138">
        <f t="shared" si="23"/>
        <v>0</v>
      </c>
      <c r="O126" s="86">
        <f t="shared" si="25"/>
        <v>1809.34572124653</v>
      </c>
      <c r="P126" s="138">
        <v>0</v>
      </c>
      <c r="Q126" s="138">
        <v>0</v>
      </c>
      <c r="R126" s="138">
        <v>0</v>
      </c>
      <c r="S126" s="138">
        <v>0</v>
      </c>
      <c r="T126" s="138">
        <v>0</v>
      </c>
      <c r="U126" s="138">
        <v>0</v>
      </c>
      <c r="V126" s="138">
        <v>0</v>
      </c>
      <c r="W126" s="138">
        <v>0</v>
      </c>
      <c r="X126" s="138">
        <v>0</v>
      </c>
      <c r="Y126" s="138">
        <v>0</v>
      </c>
      <c r="Z126" s="138">
        <v>0</v>
      </c>
      <c r="AA126" s="138">
        <v>0</v>
      </c>
      <c r="AB126" s="86">
        <v>0</v>
      </c>
      <c r="AC126" s="138">
        <v>0</v>
      </c>
      <c r="AD126" s="138">
        <v>0</v>
      </c>
      <c r="AE126" s="138">
        <v>0</v>
      </c>
      <c r="AF126" s="138">
        <v>0</v>
      </c>
      <c r="AG126" s="138">
        <v>0</v>
      </c>
      <c r="AH126" s="138">
        <v>0</v>
      </c>
      <c r="AI126" s="138">
        <v>0</v>
      </c>
      <c r="AJ126" s="138">
        <v>0</v>
      </c>
      <c r="AK126" s="138">
        <v>0</v>
      </c>
      <c r="AL126" s="138">
        <v>0</v>
      </c>
      <c r="AM126" s="138">
        <v>0</v>
      </c>
      <c r="AN126" s="138">
        <v>0</v>
      </c>
      <c r="AO126" s="86">
        <v>0</v>
      </c>
      <c r="AP126" s="138">
        <v>0</v>
      </c>
      <c r="AQ126" s="138">
        <v>0</v>
      </c>
      <c r="AR126" s="138">
        <v>0</v>
      </c>
      <c r="AS126" s="138">
        <v>0</v>
      </c>
      <c r="AT126" s="138">
        <v>0</v>
      </c>
      <c r="AU126" s="138">
        <v>0</v>
      </c>
      <c r="AV126" s="138">
        <v>0</v>
      </c>
      <c r="AW126" s="138">
        <v>0</v>
      </c>
      <c r="AX126" s="138">
        <v>0</v>
      </c>
      <c r="AY126" s="138">
        <v>0</v>
      </c>
      <c r="AZ126" s="138">
        <v>0</v>
      </c>
      <c r="BA126" s="138">
        <v>0</v>
      </c>
      <c r="BB126" s="86">
        <v>0</v>
      </c>
      <c r="BC126" s="138">
        <v>0</v>
      </c>
      <c r="BD126" s="138">
        <v>0</v>
      </c>
      <c r="BE126" s="138">
        <v>0</v>
      </c>
      <c r="BF126" s="138">
        <v>0</v>
      </c>
      <c r="BG126" s="138">
        <v>0</v>
      </c>
      <c r="BH126" s="138">
        <v>0</v>
      </c>
      <c r="BI126" s="138">
        <v>0</v>
      </c>
      <c r="BJ126" s="138">
        <v>0</v>
      </c>
      <c r="BK126" s="138">
        <v>0</v>
      </c>
      <c r="BL126" s="138">
        <v>0</v>
      </c>
      <c r="BM126" s="138">
        <v>0</v>
      </c>
      <c r="BN126" s="138">
        <v>0</v>
      </c>
      <c r="BO126" s="86">
        <v>0</v>
      </c>
      <c r="BP126" s="138">
        <v>0</v>
      </c>
      <c r="BQ126" s="138">
        <v>0</v>
      </c>
      <c r="BR126" s="138">
        <v>0</v>
      </c>
      <c r="BS126" s="138">
        <v>0</v>
      </c>
      <c r="BT126" s="138">
        <v>0</v>
      </c>
      <c r="BU126" s="138">
        <v>0</v>
      </c>
      <c r="BV126" s="138">
        <v>0</v>
      </c>
      <c r="BW126" s="138">
        <v>0</v>
      </c>
      <c r="BX126" s="138">
        <v>0</v>
      </c>
      <c r="BY126" s="138">
        <v>0</v>
      </c>
      <c r="BZ126" s="138">
        <v>0</v>
      </c>
      <c r="CA126" s="138">
        <v>0</v>
      </c>
      <c r="CB126" s="86">
        <v>0</v>
      </c>
      <c r="CC126" s="138">
        <v>0</v>
      </c>
      <c r="CD126" s="138">
        <v>0</v>
      </c>
      <c r="CE126" s="138">
        <v>0</v>
      </c>
      <c r="CF126" s="138">
        <v>0</v>
      </c>
      <c r="CG126" s="138">
        <v>0</v>
      </c>
      <c r="CH126" s="138">
        <v>0</v>
      </c>
      <c r="CI126" s="138">
        <v>0</v>
      </c>
      <c r="CJ126" s="138">
        <v>0</v>
      </c>
      <c r="CK126" s="138">
        <v>0</v>
      </c>
      <c r="CL126" s="138">
        <v>0</v>
      </c>
      <c r="CM126" s="138">
        <v>0</v>
      </c>
      <c r="CN126" s="138">
        <v>0</v>
      </c>
      <c r="CO126" s="86">
        <v>0</v>
      </c>
      <c r="CP126" s="138">
        <v>0</v>
      </c>
      <c r="CQ126" s="138">
        <v>0</v>
      </c>
      <c r="CR126" s="138">
        <v>0</v>
      </c>
      <c r="CS126" s="138">
        <v>0</v>
      </c>
      <c r="CT126" s="138">
        <v>0</v>
      </c>
      <c r="CU126" s="138">
        <v>0</v>
      </c>
      <c r="CV126" s="138">
        <v>0</v>
      </c>
      <c r="CW126" s="138">
        <v>0</v>
      </c>
      <c r="CX126" s="138">
        <v>0</v>
      </c>
      <c r="CY126" s="138">
        <v>0</v>
      </c>
      <c r="CZ126" s="138">
        <v>0</v>
      </c>
      <c r="DA126" s="138">
        <v>0</v>
      </c>
      <c r="DB126" s="86">
        <v>0</v>
      </c>
      <c r="DC126" s="138">
        <v>0</v>
      </c>
      <c r="DD126" s="138">
        <v>0</v>
      </c>
      <c r="DE126" s="138">
        <v>0</v>
      </c>
      <c r="DF126" s="138">
        <v>0</v>
      </c>
      <c r="DG126" s="138">
        <v>0</v>
      </c>
      <c r="DH126" s="138">
        <v>0</v>
      </c>
      <c r="DI126" s="138">
        <v>0</v>
      </c>
      <c r="DJ126" s="138">
        <v>0</v>
      </c>
      <c r="DK126" s="138">
        <v>0</v>
      </c>
      <c r="DL126" s="138">
        <v>0</v>
      </c>
      <c r="DM126" s="138">
        <v>0</v>
      </c>
      <c r="DN126" s="138">
        <v>0</v>
      </c>
      <c r="DO126" s="86">
        <v>0</v>
      </c>
      <c r="DP126" s="138">
        <v>0</v>
      </c>
      <c r="DQ126" s="138">
        <v>0</v>
      </c>
      <c r="DR126" s="138">
        <v>0</v>
      </c>
      <c r="DS126" s="138">
        <v>0</v>
      </c>
      <c r="DT126" s="138">
        <v>0</v>
      </c>
      <c r="DU126" s="138">
        <v>0</v>
      </c>
      <c r="DV126" s="138">
        <v>0</v>
      </c>
      <c r="DW126" s="138">
        <v>0</v>
      </c>
      <c r="DX126" s="138">
        <v>0</v>
      </c>
      <c r="DY126" s="138">
        <v>0</v>
      </c>
      <c r="DZ126" s="138">
        <v>0</v>
      </c>
      <c r="EA126" s="138">
        <v>0</v>
      </c>
      <c r="EB126" s="85">
        <v>0</v>
      </c>
      <c r="EC126" s="87">
        <v>0</v>
      </c>
      <c r="ED126" s="85">
        <v>0</v>
      </c>
      <c r="EE126" s="85">
        <v>0</v>
      </c>
      <c r="EF126" s="85">
        <v>0</v>
      </c>
      <c r="EG126" s="85">
        <v>0</v>
      </c>
      <c r="EH126" s="85">
        <v>0</v>
      </c>
      <c r="EI126" s="85">
        <v>0</v>
      </c>
      <c r="EJ126" s="85">
        <v>0</v>
      </c>
      <c r="EK126" s="85">
        <v>0</v>
      </c>
      <c r="EL126" s="85">
        <v>0</v>
      </c>
      <c r="EM126" s="85">
        <v>0</v>
      </c>
      <c r="EN126" s="85">
        <v>0</v>
      </c>
      <c r="EO126" s="152">
        <v>0</v>
      </c>
      <c r="EP126" s="85">
        <v>0</v>
      </c>
      <c r="EQ126" s="85">
        <v>0</v>
      </c>
      <c r="ER126" s="85">
        <v>0</v>
      </c>
      <c r="ES126" s="85">
        <v>0</v>
      </c>
      <c r="ET126" s="85">
        <v>0</v>
      </c>
      <c r="EU126" s="85">
        <v>0</v>
      </c>
      <c r="EV126" s="85">
        <v>0</v>
      </c>
      <c r="EW126" s="85">
        <v>0</v>
      </c>
      <c r="EX126" s="85">
        <v>0</v>
      </c>
      <c r="EY126" s="85">
        <v>0</v>
      </c>
      <c r="EZ126" s="85">
        <v>0</v>
      </c>
      <c r="FA126" s="85">
        <v>0</v>
      </c>
      <c r="FB126" s="85">
        <v>0</v>
      </c>
      <c r="FC126" s="87">
        <v>0</v>
      </c>
      <c r="FD126" s="85">
        <v>0</v>
      </c>
      <c r="FE126" s="85">
        <v>0</v>
      </c>
      <c r="FF126" s="85">
        <v>0</v>
      </c>
      <c r="FG126" s="85">
        <v>0</v>
      </c>
      <c r="FH126" s="85">
        <v>0</v>
      </c>
      <c r="FI126" s="85">
        <v>0</v>
      </c>
      <c r="FJ126" s="85">
        <v>0</v>
      </c>
      <c r="FK126" s="85">
        <v>0</v>
      </c>
      <c r="FL126" s="85">
        <v>0</v>
      </c>
      <c r="FM126" s="85">
        <v>0</v>
      </c>
      <c r="FN126" s="85">
        <v>0</v>
      </c>
      <c r="FO126" s="86">
        <v>0</v>
      </c>
      <c r="FP126" s="87">
        <v>924.535646757869</v>
      </c>
      <c r="FQ126" s="85">
        <v>884.810074488662</v>
      </c>
      <c r="FR126" s="85">
        <v>0</v>
      </c>
      <c r="FS126" s="85">
        <v>0</v>
      </c>
      <c r="FT126" s="85">
        <v>0</v>
      </c>
      <c r="FU126" s="85">
        <v>0</v>
      </c>
      <c r="FV126" s="85">
        <v>0</v>
      </c>
      <c r="FW126" s="85">
        <v>0</v>
      </c>
      <c r="FX126" s="85">
        <v>0</v>
      </c>
      <c r="FY126" s="85">
        <v>0</v>
      </c>
      <c r="FZ126" s="85">
        <v>0</v>
      </c>
      <c r="GA126" s="85">
        <v>0</v>
      </c>
      <c r="GB126" s="152">
        <v>1809.34572124653</v>
      </c>
      <c r="GD126" s="153"/>
    </row>
    <row r="127" spans="1:186">
      <c r="A127" s="137" t="s">
        <v>279</v>
      </c>
      <c r="B127" s="151">
        <v>1129.77348503085</v>
      </c>
      <c r="C127" s="138">
        <f t="shared" si="24"/>
        <v>0</v>
      </c>
      <c r="D127" s="138">
        <f t="shared" si="13"/>
        <v>0</v>
      </c>
      <c r="E127" s="138">
        <f t="shared" si="14"/>
        <v>0</v>
      </c>
      <c r="F127" s="138">
        <f t="shared" si="15"/>
        <v>0</v>
      </c>
      <c r="G127" s="138">
        <f t="shared" si="16"/>
        <v>0</v>
      </c>
      <c r="H127" s="138">
        <f t="shared" si="17"/>
        <v>0</v>
      </c>
      <c r="I127" s="138">
        <f t="shared" si="18"/>
        <v>0</v>
      </c>
      <c r="J127" s="138">
        <f t="shared" si="19"/>
        <v>0</v>
      </c>
      <c r="K127" s="138">
        <f t="shared" si="20"/>
        <v>0</v>
      </c>
      <c r="L127" s="138">
        <f t="shared" si="21"/>
        <v>0</v>
      </c>
      <c r="M127" s="138">
        <f t="shared" si="22"/>
        <v>0</v>
      </c>
      <c r="N127" s="138">
        <f t="shared" si="23"/>
        <v>0</v>
      </c>
      <c r="O127" s="86">
        <f t="shared" si="25"/>
        <v>0</v>
      </c>
      <c r="P127" s="138">
        <v>0</v>
      </c>
      <c r="Q127" s="138">
        <v>0</v>
      </c>
      <c r="R127" s="138">
        <v>0</v>
      </c>
      <c r="S127" s="138">
        <v>0</v>
      </c>
      <c r="T127" s="138">
        <v>0</v>
      </c>
      <c r="U127" s="138">
        <v>0</v>
      </c>
      <c r="V127" s="138">
        <v>0</v>
      </c>
      <c r="W127" s="138">
        <v>0</v>
      </c>
      <c r="X127" s="138">
        <v>0</v>
      </c>
      <c r="Y127" s="138">
        <v>0</v>
      </c>
      <c r="Z127" s="138">
        <v>0</v>
      </c>
      <c r="AA127" s="138">
        <v>0</v>
      </c>
      <c r="AB127" s="86">
        <v>0</v>
      </c>
      <c r="AC127" s="138">
        <v>0</v>
      </c>
      <c r="AD127" s="138">
        <v>0</v>
      </c>
      <c r="AE127" s="138">
        <v>0</v>
      </c>
      <c r="AF127" s="138">
        <v>0</v>
      </c>
      <c r="AG127" s="138">
        <v>0</v>
      </c>
      <c r="AH127" s="138">
        <v>0</v>
      </c>
      <c r="AI127" s="138">
        <v>0</v>
      </c>
      <c r="AJ127" s="138">
        <v>0</v>
      </c>
      <c r="AK127" s="138">
        <v>0</v>
      </c>
      <c r="AL127" s="138">
        <v>0</v>
      </c>
      <c r="AM127" s="138">
        <v>0</v>
      </c>
      <c r="AN127" s="138">
        <v>0</v>
      </c>
      <c r="AO127" s="86">
        <v>0</v>
      </c>
      <c r="AP127" s="138">
        <v>0</v>
      </c>
      <c r="AQ127" s="138">
        <v>0</v>
      </c>
      <c r="AR127" s="138">
        <v>0</v>
      </c>
      <c r="AS127" s="138">
        <v>0</v>
      </c>
      <c r="AT127" s="138">
        <v>0</v>
      </c>
      <c r="AU127" s="138">
        <v>0</v>
      </c>
      <c r="AV127" s="138">
        <v>0</v>
      </c>
      <c r="AW127" s="138">
        <v>0</v>
      </c>
      <c r="AX127" s="138">
        <v>0</v>
      </c>
      <c r="AY127" s="138">
        <v>0</v>
      </c>
      <c r="AZ127" s="138">
        <v>0</v>
      </c>
      <c r="BA127" s="138">
        <v>0</v>
      </c>
      <c r="BB127" s="86">
        <v>0</v>
      </c>
      <c r="BC127" s="138">
        <v>0</v>
      </c>
      <c r="BD127" s="138">
        <v>0</v>
      </c>
      <c r="BE127" s="138">
        <v>0</v>
      </c>
      <c r="BF127" s="138">
        <v>0</v>
      </c>
      <c r="BG127" s="138">
        <v>0</v>
      </c>
      <c r="BH127" s="138">
        <v>0</v>
      </c>
      <c r="BI127" s="138">
        <v>0</v>
      </c>
      <c r="BJ127" s="138">
        <v>0</v>
      </c>
      <c r="BK127" s="138">
        <v>0</v>
      </c>
      <c r="BL127" s="138">
        <v>0</v>
      </c>
      <c r="BM127" s="138">
        <v>0</v>
      </c>
      <c r="BN127" s="138">
        <v>0</v>
      </c>
      <c r="BO127" s="86">
        <v>0</v>
      </c>
      <c r="BP127" s="138">
        <v>0</v>
      </c>
      <c r="BQ127" s="138">
        <v>0</v>
      </c>
      <c r="BR127" s="138">
        <v>0</v>
      </c>
      <c r="BS127" s="138">
        <v>0</v>
      </c>
      <c r="BT127" s="138">
        <v>0</v>
      </c>
      <c r="BU127" s="138">
        <v>0</v>
      </c>
      <c r="BV127" s="138">
        <v>0</v>
      </c>
      <c r="BW127" s="138">
        <v>0</v>
      </c>
      <c r="BX127" s="138">
        <v>0</v>
      </c>
      <c r="BY127" s="138">
        <v>0</v>
      </c>
      <c r="BZ127" s="138">
        <v>0</v>
      </c>
      <c r="CA127" s="138">
        <v>0</v>
      </c>
      <c r="CB127" s="86">
        <v>0</v>
      </c>
      <c r="CC127" s="138">
        <v>0</v>
      </c>
      <c r="CD127" s="138">
        <v>0</v>
      </c>
      <c r="CE127" s="138">
        <v>0</v>
      </c>
      <c r="CF127" s="138">
        <v>0</v>
      </c>
      <c r="CG127" s="138">
        <v>0</v>
      </c>
      <c r="CH127" s="138">
        <v>0</v>
      </c>
      <c r="CI127" s="138">
        <v>0</v>
      </c>
      <c r="CJ127" s="138">
        <v>0</v>
      </c>
      <c r="CK127" s="138">
        <v>0</v>
      </c>
      <c r="CL127" s="138">
        <v>0</v>
      </c>
      <c r="CM127" s="138">
        <v>0</v>
      </c>
      <c r="CN127" s="138">
        <v>0</v>
      </c>
      <c r="CO127" s="86">
        <v>0</v>
      </c>
      <c r="CP127" s="138">
        <v>0</v>
      </c>
      <c r="CQ127" s="138">
        <v>0</v>
      </c>
      <c r="CR127" s="138">
        <v>0</v>
      </c>
      <c r="CS127" s="138">
        <v>0</v>
      </c>
      <c r="CT127" s="138">
        <v>0</v>
      </c>
      <c r="CU127" s="138">
        <v>0</v>
      </c>
      <c r="CV127" s="138">
        <v>0</v>
      </c>
      <c r="CW127" s="138">
        <v>0</v>
      </c>
      <c r="CX127" s="138">
        <v>0</v>
      </c>
      <c r="CY127" s="138">
        <v>0</v>
      </c>
      <c r="CZ127" s="138">
        <v>0</v>
      </c>
      <c r="DA127" s="138">
        <v>0</v>
      </c>
      <c r="DB127" s="86">
        <v>0</v>
      </c>
      <c r="DC127" s="138">
        <v>0</v>
      </c>
      <c r="DD127" s="138">
        <v>0</v>
      </c>
      <c r="DE127" s="138">
        <v>0</v>
      </c>
      <c r="DF127" s="138">
        <v>0</v>
      </c>
      <c r="DG127" s="138">
        <v>0</v>
      </c>
      <c r="DH127" s="138">
        <v>0</v>
      </c>
      <c r="DI127" s="138">
        <v>0</v>
      </c>
      <c r="DJ127" s="138">
        <v>0</v>
      </c>
      <c r="DK127" s="138">
        <v>0</v>
      </c>
      <c r="DL127" s="138">
        <v>0</v>
      </c>
      <c r="DM127" s="138">
        <v>0</v>
      </c>
      <c r="DN127" s="138">
        <v>0</v>
      </c>
      <c r="DO127" s="86">
        <v>0</v>
      </c>
      <c r="DP127" s="138">
        <v>0</v>
      </c>
      <c r="DQ127" s="138">
        <v>0</v>
      </c>
      <c r="DR127" s="138">
        <v>0</v>
      </c>
      <c r="DS127" s="138">
        <v>0</v>
      </c>
      <c r="DT127" s="138">
        <v>0</v>
      </c>
      <c r="DU127" s="138">
        <v>0</v>
      </c>
      <c r="DV127" s="138">
        <v>0</v>
      </c>
      <c r="DW127" s="138">
        <v>0</v>
      </c>
      <c r="DX127" s="138">
        <v>0</v>
      </c>
      <c r="DY127" s="138">
        <v>0</v>
      </c>
      <c r="DZ127" s="138">
        <v>0</v>
      </c>
      <c r="EA127" s="138">
        <v>0</v>
      </c>
      <c r="EB127" s="85">
        <v>0</v>
      </c>
      <c r="EC127" s="87">
        <v>0</v>
      </c>
      <c r="ED127" s="85">
        <v>0</v>
      </c>
      <c r="EE127" s="85">
        <v>0</v>
      </c>
      <c r="EF127" s="85">
        <v>0</v>
      </c>
      <c r="EG127" s="85">
        <v>0</v>
      </c>
      <c r="EH127" s="85">
        <v>0</v>
      </c>
      <c r="EI127" s="85">
        <v>0</v>
      </c>
      <c r="EJ127" s="85">
        <v>0</v>
      </c>
      <c r="EK127" s="85">
        <v>0</v>
      </c>
      <c r="EL127" s="85">
        <v>0</v>
      </c>
      <c r="EM127" s="85">
        <v>0</v>
      </c>
      <c r="EN127" s="85">
        <v>0</v>
      </c>
      <c r="EO127" s="152">
        <v>0</v>
      </c>
      <c r="EP127" s="85">
        <v>0</v>
      </c>
      <c r="EQ127" s="85">
        <v>0</v>
      </c>
      <c r="ER127" s="85">
        <v>0</v>
      </c>
      <c r="ES127" s="85">
        <v>0</v>
      </c>
      <c r="ET127" s="85">
        <v>0</v>
      </c>
      <c r="EU127" s="85">
        <v>0</v>
      </c>
      <c r="EV127" s="85">
        <v>0</v>
      </c>
      <c r="EW127" s="85">
        <v>0</v>
      </c>
      <c r="EX127" s="85">
        <v>0</v>
      </c>
      <c r="EY127" s="85">
        <v>0</v>
      </c>
      <c r="EZ127" s="85">
        <v>0</v>
      </c>
      <c r="FA127" s="85">
        <v>0</v>
      </c>
      <c r="FB127" s="85">
        <v>0</v>
      </c>
      <c r="FC127" s="87">
        <v>0</v>
      </c>
      <c r="FD127" s="85">
        <v>0</v>
      </c>
      <c r="FE127" s="85">
        <v>0</v>
      </c>
      <c r="FF127" s="85">
        <v>0</v>
      </c>
      <c r="FG127" s="85">
        <v>0</v>
      </c>
      <c r="FH127" s="85">
        <v>0</v>
      </c>
      <c r="FI127" s="85">
        <v>0</v>
      </c>
      <c r="FJ127" s="85">
        <v>0</v>
      </c>
      <c r="FK127" s="85">
        <v>0</v>
      </c>
      <c r="FL127" s="85">
        <v>0</v>
      </c>
      <c r="FM127" s="85">
        <v>0</v>
      </c>
      <c r="FN127" s="85">
        <v>0</v>
      </c>
      <c r="FO127" s="86">
        <v>0</v>
      </c>
      <c r="FP127" s="87">
        <v>0</v>
      </c>
      <c r="FQ127" s="85">
        <v>0</v>
      </c>
      <c r="FR127" s="85">
        <v>0</v>
      </c>
      <c r="FS127" s="85">
        <v>0</v>
      </c>
      <c r="FT127" s="85">
        <v>0</v>
      </c>
      <c r="FU127" s="85">
        <v>0</v>
      </c>
      <c r="FV127" s="85">
        <v>0</v>
      </c>
      <c r="FW127" s="85">
        <v>0</v>
      </c>
      <c r="FX127" s="85">
        <v>0</v>
      </c>
      <c r="FY127" s="85">
        <v>0</v>
      </c>
      <c r="FZ127" s="85">
        <v>0</v>
      </c>
      <c r="GA127" s="85">
        <v>0</v>
      </c>
      <c r="GB127" s="152">
        <v>0</v>
      </c>
      <c r="GD127" s="153"/>
    </row>
    <row r="128" spans="1:186">
      <c r="A128" s="137" t="s">
        <v>281</v>
      </c>
      <c r="B128" s="151">
        <v>1221.81983438146</v>
      </c>
      <c r="C128" s="138">
        <f t="shared" si="24"/>
        <v>0</v>
      </c>
      <c r="D128" s="138">
        <f t="shared" si="13"/>
        <v>0</v>
      </c>
      <c r="E128" s="138">
        <f t="shared" si="14"/>
        <v>0</v>
      </c>
      <c r="F128" s="138">
        <f t="shared" si="15"/>
        <v>0</v>
      </c>
      <c r="G128" s="138">
        <f t="shared" si="16"/>
        <v>0</v>
      </c>
      <c r="H128" s="138">
        <f t="shared" si="17"/>
        <v>0</v>
      </c>
      <c r="I128" s="138">
        <f t="shared" si="18"/>
        <v>0</v>
      </c>
      <c r="J128" s="138">
        <f t="shared" si="19"/>
        <v>0</v>
      </c>
      <c r="K128" s="138">
        <f t="shared" si="20"/>
        <v>0</v>
      </c>
      <c r="L128" s="138">
        <f t="shared" si="21"/>
        <v>0</v>
      </c>
      <c r="M128" s="138">
        <f t="shared" si="22"/>
        <v>0</v>
      </c>
      <c r="N128" s="138">
        <f t="shared" si="23"/>
        <v>0</v>
      </c>
      <c r="O128" s="86">
        <f t="shared" si="25"/>
        <v>0</v>
      </c>
      <c r="P128" s="138">
        <v>0</v>
      </c>
      <c r="Q128" s="138">
        <v>0</v>
      </c>
      <c r="R128" s="138">
        <v>0</v>
      </c>
      <c r="S128" s="138">
        <v>0</v>
      </c>
      <c r="T128" s="138">
        <v>0</v>
      </c>
      <c r="U128" s="138">
        <v>0</v>
      </c>
      <c r="V128" s="138">
        <v>0</v>
      </c>
      <c r="W128" s="138">
        <v>0</v>
      </c>
      <c r="X128" s="138">
        <v>0</v>
      </c>
      <c r="Y128" s="138">
        <v>0</v>
      </c>
      <c r="Z128" s="138">
        <v>0</v>
      </c>
      <c r="AA128" s="138">
        <v>0</v>
      </c>
      <c r="AB128" s="86">
        <v>0</v>
      </c>
      <c r="AC128" s="138">
        <v>0</v>
      </c>
      <c r="AD128" s="138">
        <v>0</v>
      </c>
      <c r="AE128" s="138">
        <v>0</v>
      </c>
      <c r="AF128" s="138">
        <v>0</v>
      </c>
      <c r="AG128" s="138">
        <v>0</v>
      </c>
      <c r="AH128" s="138">
        <v>0</v>
      </c>
      <c r="AI128" s="138">
        <v>0</v>
      </c>
      <c r="AJ128" s="138">
        <v>0</v>
      </c>
      <c r="AK128" s="138">
        <v>0</v>
      </c>
      <c r="AL128" s="138">
        <v>0</v>
      </c>
      <c r="AM128" s="138">
        <v>0</v>
      </c>
      <c r="AN128" s="138">
        <v>0</v>
      </c>
      <c r="AO128" s="86">
        <v>0</v>
      </c>
      <c r="AP128" s="138">
        <v>0</v>
      </c>
      <c r="AQ128" s="138">
        <v>0</v>
      </c>
      <c r="AR128" s="138">
        <v>0</v>
      </c>
      <c r="AS128" s="138">
        <v>0</v>
      </c>
      <c r="AT128" s="138">
        <v>0</v>
      </c>
      <c r="AU128" s="138">
        <v>0</v>
      </c>
      <c r="AV128" s="138">
        <v>0</v>
      </c>
      <c r="AW128" s="138">
        <v>0</v>
      </c>
      <c r="AX128" s="138">
        <v>0</v>
      </c>
      <c r="AY128" s="138">
        <v>0</v>
      </c>
      <c r="AZ128" s="138">
        <v>0</v>
      </c>
      <c r="BA128" s="138">
        <v>0</v>
      </c>
      <c r="BB128" s="86">
        <v>0</v>
      </c>
      <c r="BC128" s="138">
        <v>0</v>
      </c>
      <c r="BD128" s="138">
        <v>0</v>
      </c>
      <c r="BE128" s="138">
        <v>0</v>
      </c>
      <c r="BF128" s="138">
        <v>0</v>
      </c>
      <c r="BG128" s="138">
        <v>0</v>
      </c>
      <c r="BH128" s="138">
        <v>0</v>
      </c>
      <c r="BI128" s="138">
        <v>0</v>
      </c>
      <c r="BJ128" s="138">
        <v>0</v>
      </c>
      <c r="BK128" s="138">
        <v>0</v>
      </c>
      <c r="BL128" s="138">
        <v>0</v>
      </c>
      <c r="BM128" s="138">
        <v>0</v>
      </c>
      <c r="BN128" s="138">
        <v>0</v>
      </c>
      <c r="BO128" s="86">
        <v>0</v>
      </c>
      <c r="BP128" s="138">
        <v>0</v>
      </c>
      <c r="BQ128" s="138">
        <v>0</v>
      </c>
      <c r="BR128" s="138">
        <v>0</v>
      </c>
      <c r="BS128" s="138">
        <v>0</v>
      </c>
      <c r="BT128" s="138">
        <v>0</v>
      </c>
      <c r="BU128" s="138">
        <v>0</v>
      </c>
      <c r="BV128" s="138">
        <v>0</v>
      </c>
      <c r="BW128" s="138">
        <v>0</v>
      </c>
      <c r="BX128" s="138">
        <v>0</v>
      </c>
      <c r="BY128" s="138">
        <v>0</v>
      </c>
      <c r="BZ128" s="138">
        <v>0</v>
      </c>
      <c r="CA128" s="138">
        <v>0</v>
      </c>
      <c r="CB128" s="86">
        <v>0</v>
      </c>
      <c r="CC128" s="138">
        <v>0</v>
      </c>
      <c r="CD128" s="138">
        <v>0</v>
      </c>
      <c r="CE128" s="138">
        <v>0</v>
      </c>
      <c r="CF128" s="138">
        <v>0</v>
      </c>
      <c r="CG128" s="138">
        <v>0</v>
      </c>
      <c r="CH128" s="138">
        <v>0</v>
      </c>
      <c r="CI128" s="138">
        <v>0</v>
      </c>
      <c r="CJ128" s="138">
        <v>0</v>
      </c>
      <c r="CK128" s="138">
        <v>0</v>
      </c>
      <c r="CL128" s="138">
        <v>0</v>
      </c>
      <c r="CM128" s="138">
        <v>0</v>
      </c>
      <c r="CN128" s="138">
        <v>0</v>
      </c>
      <c r="CO128" s="86">
        <v>0</v>
      </c>
      <c r="CP128" s="138">
        <v>0</v>
      </c>
      <c r="CQ128" s="138">
        <v>0</v>
      </c>
      <c r="CR128" s="138">
        <v>0</v>
      </c>
      <c r="CS128" s="138">
        <v>0</v>
      </c>
      <c r="CT128" s="138">
        <v>0</v>
      </c>
      <c r="CU128" s="138">
        <v>0</v>
      </c>
      <c r="CV128" s="138">
        <v>0</v>
      </c>
      <c r="CW128" s="138">
        <v>0</v>
      </c>
      <c r="CX128" s="138">
        <v>0</v>
      </c>
      <c r="CY128" s="138">
        <v>0</v>
      </c>
      <c r="CZ128" s="138">
        <v>0</v>
      </c>
      <c r="DA128" s="138">
        <v>0</v>
      </c>
      <c r="DB128" s="86">
        <v>0</v>
      </c>
      <c r="DC128" s="138">
        <v>0</v>
      </c>
      <c r="DD128" s="138">
        <v>0</v>
      </c>
      <c r="DE128" s="138">
        <v>0</v>
      </c>
      <c r="DF128" s="138">
        <v>0</v>
      </c>
      <c r="DG128" s="138">
        <v>0</v>
      </c>
      <c r="DH128" s="138">
        <v>0</v>
      </c>
      <c r="DI128" s="138">
        <v>0</v>
      </c>
      <c r="DJ128" s="138">
        <v>0</v>
      </c>
      <c r="DK128" s="138">
        <v>0</v>
      </c>
      <c r="DL128" s="138">
        <v>0</v>
      </c>
      <c r="DM128" s="138">
        <v>0</v>
      </c>
      <c r="DN128" s="138">
        <v>0</v>
      </c>
      <c r="DO128" s="86">
        <v>0</v>
      </c>
      <c r="DP128" s="138">
        <v>0</v>
      </c>
      <c r="DQ128" s="138">
        <v>0</v>
      </c>
      <c r="DR128" s="138">
        <v>0</v>
      </c>
      <c r="DS128" s="138">
        <v>0</v>
      </c>
      <c r="DT128" s="138">
        <v>0</v>
      </c>
      <c r="DU128" s="138">
        <v>0</v>
      </c>
      <c r="DV128" s="138">
        <v>0</v>
      </c>
      <c r="DW128" s="138">
        <v>0</v>
      </c>
      <c r="DX128" s="138">
        <v>0</v>
      </c>
      <c r="DY128" s="138">
        <v>0</v>
      </c>
      <c r="DZ128" s="138">
        <v>0</v>
      </c>
      <c r="EA128" s="138">
        <v>0</v>
      </c>
      <c r="EB128" s="85">
        <v>0</v>
      </c>
      <c r="EC128" s="87">
        <v>0</v>
      </c>
      <c r="ED128" s="85">
        <v>0</v>
      </c>
      <c r="EE128" s="85">
        <v>0</v>
      </c>
      <c r="EF128" s="85">
        <v>0</v>
      </c>
      <c r="EG128" s="85">
        <v>0</v>
      </c>
      <c r="EH128" s="85">
        <v>0</v>
      </c>
      <c r="EI128" s="85">
        <v>0</v>
      </c>
      <c r="EJ128" s="85">
        <v>0</v>
      </c>
      <c r="EK128" s="85">
        <v>0</v>
      </c>
      <c r="EL128" s="85">
        <v>0</v>
      </c>
      <c r="EM128" s="85">
        <v>0</v>
      </c>
      <c r="EN128" s="85">
        <v>0</v>
      </c>
      <c r="EO128" s="152">
        <v>0</v>
      </c>
      <c r="EP128" s="85">
        <v>0</v>
      </c>
      <c r="EQ128" s="85">
        <v>0</v>
      </c>
      <c r="ER128" s="85">
        <v>0</v>
      </c>
      <c r="ES128" s="85">
        <v>0</v>
      </c>
      <c r="ET128" s="85">
        <v>0</v>
      </c>
      <c r="EU128" s="85">
        <v>0</v>
      </c>
      <c r="EV128" s="85">
        <v>0</v>
      </c>
      <c r="EW128" s="85">
        <v>0</v>
      </c>
      <c r="EX128" s="85">
        <v>0</v>
      </c>
      <c r="EY128" s="85">
        <v>0</v>
      </c>
      <c r="EZ128" s="85">
        <v>0</v>
      </c>
      <c r="FA128" s="85">
        <v>0</v>
      </c>
      <c r="FB128" s="85">
        <v>0</v>
      </c>
      <c r="FC128" s="87">
        <v>0</v>
      </c>
      <c r="FD128" s="85">
        <v>0</v>
      </c>
      <c r="FE128" s="85">
        <v>0</v>
      </c>
      <c r="FF128" s="85">
        <v>0</v>
      </c>
      <c r="FG128" s="85">
        <v>0</v>
      </c>
      <c r="FH128" s="85">
        <v>0</v>
      </c>
      <c r="FI128" s="85">
        <v>0</v>
      </c>
      <c r="FJ128" s="85">
        <v>0</v>
      </c>
      <c r="FK128" s="85">
        <v>0</v>
      </c>
      <c r="FL128" s="85">
        <v>0</v>
      </c>
      <c r="FM128" s="85">
        <v>0</v>
      </c>
      <c r="FN128" s="85">
        <v>0</v>
      </c>
      <c r="FO128" s="86">
        <v>0</v>
      </c>
      <c r="FP128" s="87">
        <v>0</v>
      </c>
      <c r="FQ128" s="85">
        <v>0</v>
      </c>
      <c r="FR128" s="85">
        <v>0</v>
      </c>
      <c r="FS128" s="85">
        <v>0</v>
      </c>
      <c r="FT128" s="85">
        <v>0</v>
      </c>
      <c r="FU128" s="85">
        <v>0</v>
      </c>
      <c r="FV128" s="85">
        <v>0</v>
      </c>
      <c r="FW128" s="85">
        <v>0</v>
      </c>
      <c r="FX128" s="85">
        <v>0</v>
      </c>
      <c r="FY128" s="85">
        <v>0</v>
      </c>
      <c r="FZ128" s="85">
        <v>0</v>
      </c>
      <c r="GA128" s="85">
        <v>0</v>
      </c>
      <c r="GB128" s="152">
        <v>0</v>
      </c>
      <c r="GD128" s="153"/>
    </row>
    <row r="129" spans="1:186">
      <c r="A129" s="137" t="s">
        <v>283</v>
      </c>
      <c r="B129" s="151">
        <v>4770.27862392178</v>
      </c>
      <c r="C129" s="138">
        <f t="shared" si="24"/>
        <v>0</v>
      </c>
      <c r="D129" s="138">
        <f t="shared" si="13"/>
        <v>0</v>
      </c>
      <c r="E129" s="138">
        <f t="shared" si="14"/>
        <v>0</v>
      </c>
      <c r="F129" s="138">
        <f t="shared" si="15"/>
        <v>0</v>
      </c>
      <c r="G129" s="138">
        <f t="shared" si="16"/>
        <v>0</v>
      </c>
      <c r="H129" s="138">
        <f t="shared" si="17"/>
        <v>0</v>
      </c>
      <c r="I129" s="138">
        <f t="shared" si="18"/>
        <v>0</v>
      </c>
      <c r="J129" s="138">
        <f t="shared" si="19"/>
        <v>0</v>
      </c>
      <c r="K129" s="138">
        <f t="shared" si="20"/>
        <v>0</v>
      </c>
      <c r="L129" s="138">
        <f t="shared" si="21"/>
        <v>0</v>
      </c>
      <c r="M129" s="138">
        <f t="shared" si="22"/>
        <v>0</v>
      </c>
      <c r="N129" s="138">
        <f t="shared" si="23"/>
        <v>0</v>
      </c>
      <c r="O129" s="86">
        <f t="shared" si="25"/>
        <v>0</v>
      </c>
      <c r="P129" s="138">
        <v>0</v>
      </c>
      <c r="Q129" s="138">
        <v>0</v>
      </c>
      <c r="R129" s="138">
        <v>0</v>
      </c>
      <c r="S129" s="138">
        <v>0</v>
      </c>
      <c r="T129" s="138">
        <v>0</v>
      </c>
      <c r="U129" s="138">
        <v>0</v>
      </c>
      <c r="V129" s="138">
        <v>0</v>
      </c>
      <c r="W129" s="138">
        <v>0</v>
      </c>
      <c r="X129" s="138">
        <v>0</v>
      </c>
      <c r="Y129" s="138">
        <v>0</v>
      </c>
      <c r="Z129" s="138">
        <v>0</v>
      </c>
      <c r="AA129" s="138">
        <v>0</v>
      </c>
      <c r="AB129" s="86">
        <v>0</v>
      </c>
      <c r="AC129" s="138">
        <v>0</v>
      </c>
      <c r="AD129" s="138">
        <v>0</v>
      </c>
      <c r="AE129" s="138">
        <v>0</v>
      </c>
      <c r="AF129" s="138">
        <v>0</v>
      </c>
      <c r="AG129" s="138">
        <v>0</v>
      </c>
      <c r="AH129" s="138">
        <v>0</v>
      </c>
      <c r="AI129" s="138">
        <v>0</v>
      </c>
      <c r="AJ129" s="138">
        <v>0</v>
      </c>
      <c r="AK129" s="138">
        <v>0</v>
      </c>
      <c r="AL129" s="138">
        <v>0</v>
      </c>
      <c r="AM129" s="138">
        <v>0</v>
      </c>
      <c r="AN129" s="138">
        <v>0</v>
      </c>
      <c r="AO129" s="86">
        <v>0</v>
      </c>
      <c r="AP129" s="138">
        <v>0</v>
      </c>
      <c r="AQ129" s="138">
        <v>0</v>
      </c>
      <c r="AR129" s="138">
        <v>0</v>
      </c>
      <c r="AS129" s="138">
        <v>0</v>
      </c>
      <c r="AT129" s="138">
        <v>0</v>
      </c>
      <c r="AU129" s="138">
        <v>0</v>
      </c>
      <c r="AV129" s="138">
        <v>0</v>
      </c>
      <c r="AW129" s="138">
        <v>0</v>
      </c>
      <c r="AX129" s="138">
        <v>0</v>
      </c>
      <c r="AY129" s="138">
        <v>0</v>
      </c>
      <c r="AZ129" s="138">
        <v>0</v>
      </c>
      <c r="BA129" s="138">
        <v>0</v>
      </c>
      <c r="BB129" s="86">
        <v>0</v>
      </c>
      <c r="BC129" s="138">
        <v>0</v>
      </c>
      <c r="BD129" s="138">
        <v>0</v>
      </c>
      <c r="BE129" s="138">
        <v>0</v>
      </c>
      <c r="BF129" s="138">
        <v>0</v>
      </c>
      <c r="BG129" s="138">
        <v>0</v>
      </c>
      <c r="BH129" s="138">
        <v>0</v>
      </c>
      <c r="BI129" s="138">
        <v>0</v>
      </c>
      <c r="BJ129" s="138">
        <v>0</v>
      </c>
      <c r="BK129" s="138">
        <v>0</v>
      </c>
      <c r="BL129" s="138">
        <v>0</v>
      </c>
      <c r="BM129" s="138">
        <v>0</v>
      </c>
      <c r="BN129" s="138">
        <v>0</v>
      </c>
      <c r="BO129" s="86">
        <v>0</v>
      </c>
      <c r="BP129" s="138">
        <v>0</v>
      </c>
      <c r="BQ129" s="138">
        <v>0</v>
      </c>
      <c r="BR129" s="138">
        <v>0</v>
      </c>
      <c r="BS129" s="138">
        <v>0</v>
      </c>
      <c r="BT129" s="138">
        <v>0</v>
      </c>
      <c r="BU129" s="138">
        <v>0</v>
      </c>
      <c r="BV129" s="138">
        <v>0</v>
      </c>
      <c r="BW129" s="138">
        <v>0</v>
      </c>
      <c r="BX129" s="138">
        <v>0</v>
      </c>
      <c r="BY129" s="138">
        <v>0</v>
      </c>
      <c r="BZ129" s="138">
        <v>0</v>
      </c>
      <c r="CA129" s="138">
        <v>0</v>
      </c>
      <c r="CB129" s="86">
        <v>0</v>
      </c>
      <c r="CC129" s="138">
        <v>0</v>
      </c>
      <c r="CD129" s="138">
        <v>0</v>
      </c>
      <c r="CE129" s="138">
        <v>0</v>
      </c>
      <c r="CF129" s="138">
        <v>0</v>
      </c>
      <c r="CG129" s="138">
        <v>0</v>
      </c>
      <c r="CH129" s="138">
        <v>0</v>
      </c>
      <c r="CI129" s="138">
        <v>0</v>
      </c>
      <c r="CJ129" s="138">
        <v>0</v>
      </c>
      <c r="CK129" s="138">
        <v>0</v>
      </c>
      <c r="CL129" s="138">
        <v>0</v>
      </c>
      <c r="CM129" s="138">
        <v>0</v>
      </c>
      <c r="CN129" s="138">
        <v>0</v>
      </c>
      <c r="CO129" s="86">
        <v>0</v>
      </c>
      <c r="CP129" s="138">
        <v>0</v>
      </c>
      <c r="CQ129" s="138">
        <v>0</v>
      </c>
      <c r="CR129" s="138">
        <v>0</v>
      </c>
      <c r="CS129" s="138">
        <v>0</v>
      </c>
      <c r="CT129" s="138">
        <v>0</v>
      </c>
      <c r="CU129" s="138">
        <v>0</v>
      </c>
      <c r="CV129" s="138">
        <v>0</v>
      </c>
      <c r="CW129" s="138">
        <v>0</v>
      </c>
      <c r="CX129" s="138">
        <v>0</v>
      </c>
      <c r="CY129" s="138">
        <v>0</v>
      </c>
      <c r="CZ129" s="138">
        <v>0</v>
      </c>
      <c r="DA129" s="138">
        <v>0</v>
      </c>
      <c r="DB129" s="86">
        <v>0</v>
      </c>
      <c r="DC129" s="138">
        <v>0</v>
      </c>
      <c r="DD129" s="138">
        <v>0</v>
      </c>
      <c r="DE129" s="138">
        <v>0</v>
      </c>
      <c r="DF129" s="138">
        <v>0</v>
      </c>
      <c r="DG129" s="138">
        <v>0</v>
      </c>
      <c r="DH129" s="138">
        <v>0</v>
      </c>
      <c r="DI129" s="138">
        <v>0</v>
      </c>
      <c r="DJ129" s="138">
        <v>0</v>
      </c>
      <c r="DK129" s="138">
        <v>0</v>
      </c>
      <c r="DL129" s="138">
        <v>0</v>
      </c>
      <c r="DM129" s="138">
        <v>0</v>
      </c>
      <c r="DN129" s="138">
        <v>0</v>
      </c>
      <c r="DO129" s="86">
        <v>0</v>
      </c>
      <c r="DP129" s="138">
        <v>0</v>
      </c>
      <c r="DQ129" s="138">
        <v>0</v>
      </c>
      <c r="DR129" s="138">
        <v>0</v>
      </c>
      <c r="DS129" s="138">
        <v>0</v>
      </c>
      <c r="DT129" s="138">
        <v>0</v>
      </c>
      <c r="DU129" s="138">
        <v>0</v>
      </c>
      <c r="DV129" s="138">
        <v>0</v>
      </c>
      <c r="DW129" s="138">
        <v>0</v>
      </c>
      <c r="DX129" s="138">
        <v>0</v>
      </c>
      <c r="DY129" s="138">
        <v>0</v>
      </c>
      <c r="DZ129" s="138">
        <v>0</v>
      </c>
      <c r="EA129" s="138">
        <v>0</v>
      </c>
      <c r="EB129" s="85">
        <v>0</v>
      </c>
      <c r="EC129" s="87">
        <v>0</v>
      </c>
      <c r="ED129" s="85">
        <v>0</v>
      </c>
      <c r="EE129" s="85">
        <v>0</v>
      </c>
      <c r="EF129" s="85">
        <v>0</v>
      </c>
      <c r="EG129" s="85">
        <v>0</v>
      </c>
      <c r="EH129" s="85">
        <v>0</v>
      </c>
      <c r="EI129" s="85">
        <v>0</v>
      </c>
      <c r="EJ129" s="85">
        <v>0</v>
      </c>
      <c r="EK129" s="85">
        <v>0</v>
      </c>
      <c r="EL129" s="85">
        <v>0</v>
      </c>
      <c r="EM129" s="85">
        <v>0</v>
      </c>
      <c r="EN129" s="85">
        <v>0</v>
      </c>
      <c r="EO129" s="152">
        <v>0</v>
      </c>
      <c r="EP129" s="85">
        <v>0</v>
      </c>
      <c r="EQ129" s="85">
        <v>0</v>
      </c>
      <c r="ER129" s="85">
        <v>0</v>
      </c>
      <c r="ES129" s="85">
        <v>0</v>
      </c>
      <c r="ET129" s="85">
        <v>0</v>
      </c>
      <c r="EU129" s="85">
        <v>0</v>
      </c>
      <c r="EV129" s="85">
        <v>0</v>
      </c>
      <c r="EW129" s="85">
        <v>0</v>
      </c>
      <c r="EX129" s="85">
        <v>0</v>
      </c>
      <c r="EY129" s="85">
        <v>0</v>
      </c>
      <c r="EZ129" s="85">
        <v>0</v>
      </c>
      <c r="FA129" s="85">
        <v>0</v>
      </c>
      <c r="FB129" s="85">
        <v>0</v>
      </c>
      <c r="FC129" s="87">
        <v>0</v>
      </c>
      <c r="FD129" s="85">
        <v>0</v>
      </c>
      <c r="FE129" s="85">
        <v>0</v>
      </c>
      <c r="FF129" s="85">
        <v>0</v>
      </c>
      <c r="FG129" s="85">
        <v>0</v>
      </c>
      <c r="FH129" s="85">
        <v>0</v>
      </c>
      <c r="FI129" s="85">
        <v>0</v>
      </c>
      <c r="FJ129" s="85">
        <v>0</v>
      </c>
      <c r="FK129" s="85">
        <v>0</v>
      </c>
      <c r="FL129" s="85">
        <v>0</v>
      </c>
      <c r="FM129" s="85">
        <v>0</v>
      </c>
      <c r="FN129" s="85">
        <v>0</v>
      </c>
      <c r="FO129" s="86">
        <v>0</v>
      </c>
      <c r="FP129" s="87">
        <v>0</v>
      </c>
      <c r="FQ129" s="85">
        <v>0</v>
      </c>
      <c r="FR129" s="85">
        <v>0</v>
      </c>
      <c r="FS129" s="85">
        <v>0</v>
      </c>
      <c r="FT129" s="85">
        <v>0</v>
      </c>
      <c r="FU129" s="85">
        <v>0</v>
      </c>
      <c r="FV129" s="85">
        <v>0</v>
      </c>
      <c r="FW129" s="85">
        <v>0</v>
      </c>
      <c r="FX129" s="85">
        <v>0</v>
      </c>
      <c r="FY129" s="85">
        <v>0</v>
      </c>
      <c r="FZ129" s="85">
        <v>0</v>
      </c>
      <c r="GA129" s="85">
        <v>0</v>
      </c>
      <c r="GB129" s="152">
        <v>0</v>
      </c>
      <c r="GD129" s="153"/>
    </row>
    <row r="130" spans="1:186">
      <c r="A130" s="137" t="s">
        <v>287</v>
      </c>
      <c r="B130" s="151">
        <v>2063.98813325629</v>
      </c>
      <c r="C130" s="138">
        <f t="shared" si="24"/>
        <v>0</v>
      </c>
      <c r="D130" s="138">
        <f t="shared" si="13"/>
        <v>0</v>
      </c>
      <c r="E130" s="138">
        <f t="shared" si="14"/>
        <v>0</v>
      </c>
      <c r="F130" s="138">
        <f t="shared" si="15"/>
        <v>0</v>
      </c>
      <c r="G130" s="138">
        <f t="shared" si="16"/>
        <v>0</v>
      </c>
      <c r="H130" s="138">
        <f t="shared" si="17"/>
        <v>0</v>
      </c>
      <c r="I130" s="138">
        <f t="shared" si="18"/>
        <v>0</v>
      </c>
      <c r="J130" s="138">
        <f t="shared" si="19"/>
        <v>0</v>
      </c>
      <c r="K130" s="138">
        <f t="shared" si="20"/>
        <v>0</v>
      </c>
      <c r="L130" s="138">
        <f t="shared" si="21"/>
        <v>0</v>
      </c>
      <c r="M130" s="138">
        <f t="shared" si="22"/>
        <v>0</v>
      </c>
      <c r="N130" s="138">
        <f t="shared" si="23"/>
        <v>0</v>
      </c>
      <c r="O130" s="86">
        <f t="shared" si="25"/>
        <v>0</v>
      </c>
      <c r="P130" s="138">
        <v>0</v>
      </c>
      <c r="Q130" s="138">
        <v>0</v>
      </c>
      <c r="R130" s="138">
        <v>0</v>
      </c>
      <c r="S130" s="138">
        <v>0</v>
      </c>
      <c r="T130" s="138">
        <v>0</v>
      </c>
      <c r="U130" s="138">
        <v>0</v>
      </c>
      <c r="V130" s="138">
        <v>0</v>
      </c>
      <c r="W130" s="138">
        <v>0</v>
      </c>
      <c r="X130" s="138">
        <v>0</v>
      </c>
      <c r="Y130" s="138">
        <v>0</v>
      </c>
      <c r="Z130" s="138">
        <v>0</v>
      </c>
      <c r="AA130" s="138">
        <v>0</v>
      </c>
      <c r="AB130" s="86">
        <v>0</v>
      </c>
      <c r="AC130" s="138">
        <v>0</v>
      </c>
      <c r="AD130" s="138">
        <v>0</v>
      </c>
      <c r="AE130" s="138">
        <v>0</v>
      </c>
      <c r="AF130" s="138">
        <v>0</v>
      </c>
      <c r="AG130" s="138">
        <v>0</v>
      </c>
      <c r="AH130" s="138">
        <v>0</v>
      </c>
      <c r="AI130" s="138">
        <v>0</v>
      </c>
      <c r="AJ130" s="138">
        <v>0</v>
      </c>
      <c r="AK130" s="138">
        <v>0</v>
      </c>
      <c r="AL130" s="138">
        <v>0</v>
      </c>
      <c r="AM130" s="138">
        <v>0</v>
      </c>
      <c r="AN130" s="138">
        <v>0</v>
      </c>
      <c r="AO130" s="86">
        <v>0</v>
      </c>
      <c r="AP130" s="138">
        <v>0</v>
      </c>
      <c r="AQ130" s="138">
        <v>0</v>
      </c>
      <c r="AR130" s="138">
        <v>0</v>
      </c>
      <c r="AS130" s="138">
        <v>0</v>
      </c>
      <c r="AT130" s="138">
        <v>0</v>
      </c>
      <c r="AU130" s="138">
        <v>0</v>
      </c>
      <c r="AV130" s="138">
        <v>0</v>
      </c>
      <c r="AW130" s="138">
        <v>0</v>
      </c>
      <c r="AX130" s="138">
        <v>0</v>
      </c>
      <c r="AY130" s="138">
        <v>0</v>
      </c>
      <c r="AZ130" s="138">
        <v>0</v>
      </c>
      <c r="BA130" s="138">
        <v>0</v>
      </c>
      <c r="BB130" s="86">
        <v>0</v>
      </c>
      <c r="BC130" s="138">
        <v>0</v>
      </c>
      <c r="BD130" s="138">
        <v>0</v>
      </c>
      <c r="BE130" s="138">
        <v>0</v>
      </c>
      <c r="BF130" s="138">
        <v>0</v>
      </c>
      <c r="BG130" s="138">
        <v>0</v>
      </c>
      <c r="BH130" s="138">
        <v>0</v>
      </c>
      <c r="BI130" s="138">
        <v>0</v>
      </c>
      <c r="BJ130" s="138">
        <v>0</v>
      </c>
      <c r="BK130" s="138">
        <v>0</v>
      </c>
      <c r="BL130" s="138">
        <v>0</v>
      </c>
      <c r="BM130" s="138">
        <v>0</v>
      </c>
      <c r="BN130" s="138">
        <v>0</v>
      </c>
      <c r="BO130" s="86">
        <v>0</v>
      </c>
      <c r="BP130" s="138">
        <v>0</v>
      </c>
      <c r="BQ130" s="138">
        <v>0</v>
      </c>
      <c r="BR130" s="138">
        <v>0</v>
      </c>
      <c r="BS130" s="138">
        <v>0</v>
      </c>
      <c r="BT130" s="138">
        <v>0</v>
      </c>
      <c r="BU130" s="138">
        <v>0</v>
      </c>
      <c r="BV130" s="138">
        <v>0</v>
      </c>
      <c r="BW130" s="138">
        <v>0</v>
      </c>
      <c r="BX130" s="138">
        <v>0</v>
      </c>
      <c r="BY130" s="138">
        <v>0</v>
      </c>
      <c r="BZ130" s="138">
        <v>0</v>
      </c>
      <c r="CA130" s="138">
        <v>0</v>
      </c>
      <c r="CB130" s="86">
        <v>0</v>
      </c>
      <c r="CC130" s="138">
        <v>0</v>
      </c>
      <c r="CD130" s="138">
        <v>0</v>
      </c>
      <c r="CE130" s="138">
        <v>0</v>
      </c>
      <c r="CF130" s="138">
        <v>0</v>
      </c>
      <c r="CG130" s="138">
        <v>0</v>
      </c>
      <c r="CH130" s="138">
        <v>0</v>
      </c>
      <c r="CI130" s="138">
        <v>0</v>
      </c>
      <c r="CJ130" s="138">
        <v>0</v>
      </c>
      <c r="CK130" s="138">
        <v>0</v>
      </c>
      <c r="CL130" s="138">
        <v>0</v>
      </c>
      <c r="CM130" s="138">
        <v>0</v>
      </c>
      <c r="CN130" s="138">
        <v>0</v>
      </c>
      <c r="CO130" s="86">
        <v>0</v>
      </c>
      <c r="CP130" s="138">
        <v>0</v>
      </c>
      <c r="CQ130" s="138">
        <v>0</v>
      </c>
      <c r="CR130" s="138">
        <v>0</v>
      </c>
      <c r="CS130" s="138">
        <v>0</v>
      </c>
      <c r="CT130" s="138">
        <v>0</v>
      </c>
      <c r="CU130" s="138">
        <v>0</v>
      </c>
      <c r="CV130" s="138">
        <v>0</v>
      </c>
      <c r="CW130" s="138">
        <v>0</v>
      </c>
      <c r="CX130" s="138">
        <v>0</v>
      </c>
      <c r="CY130" s="138">
        <v>0</v>
      </c>
      <c r="CZ130" s="138">
        <v>0</v>
      </c>
      <c r="DA130" s="138">
        <v>0</v>
      </c>
      <c r="DB130" s="86">
        <v>0</v>
      </c>
      <c r="DC130" s="138">
        <v>0</v>
      </c>
      <c r="DD130" s="138">
        <v>0</v>
      </c>
      <c r="DE130" s="138">
        <v>0</v>
      </c>
      <c r="DF130" s="138">
        <v>0</v>
      </c>
      <c r="DG130" s="138">
        <v>0</v>
      </c>
      <c r="DH130" s="138">
        <v>0</v>
      </c>
      <c r="DI130" s="138">
        <v>0</v>
      </c>
      <c r="DJ130" s="138">
        <v>0</v>
      </c>
      <c r="DK130" s="138">
        <v>0</v>
      </c>
      <c r="DL130" s="138">
        <v>0</v>
      </c>
      <c r="DM130" s="138">
        <v>0</v>
      </c>
      <c r="DN130" s="138">
        <v>0</v>
      </c>
      <c r="DO130" s="86">
        <v>0</v>
      </c>
      <c r="DP130" s="138">
        <v>0</v>
      </c>
      <c r="DQ130" s="138">
        <v>0</v>
      </c>
      <c r="DR130" s="138">
        <v>0</v>
      </c>
      <c r="DS130" s="138">
        <v>0</v>
      </c>
      <c r="DT130" s="138">
        <v>0</v>
      </c>
      <c r="DU130" s="138">
        <v>0</v>
      </c>
      <c r="DV130" s="138">
        <v>0</v>
      </c>
      <c r="DW130" s="138">
        <v>0</v>
      </c>
      <c r="DX130" s="138">
        <v>0</v>
      </c>
      <c r="DY130" s="138">
        <v>0</v>
      </c>
      <c r="DZ130" s="138">
        <v>0</v>
      </c>
      <c r="EA130" s="138">
        <v>0</v>
      </c>
      <c r="EB130" s="85">
        <v>0</v>
      </c>
      <c r="EC130" s="87">
        <v>0</v>
      </c>
      <c r="ED130" s="85">
        <v>0</v>
      </c>
      <c r="EE130" s="85">
        <v>0</v>
      </c>
      <c r="EF130" s="85">
        <v>0</v>
      </c>
      <c r="EG130" s="85">
        <v>0</v>
      </c>
      <c r="EH130" s="85">
        <v>0</v>
      </c>
      <c r="EI130" s="85">
        <v>0</v>
      </c>
      <c r="EJ130" s="85">
        <v>0</v>
      </c>
      <c r="EK130" s="85">
        <v>0</v>
      </c>
      <c r="EL130" s="85">
        <v>0</v>
      </c>
      <c r="EM130" s="85">
        <v>0</v>
      </c>
      <c r="EN130" s="85">
        <v>0</v>
      </c>
      <c r="EO130" s="152">
        <v>0</v>
      </c>
      <c r="EP130" s="85">
        <v>0</v>
      </c>
      <c r="EQ130" s="85">
        <v>0</v>
      </c>
      <c r="ER130" s="85">
        <v>0</v>
      </c>
      <c r="ES130" s="85">
        <v>0</v>
      </c>
      <c r="ET130" s="85">
        <v>0</v>
      </c>
      <c r="EU130" s="85">
        <v>0</v>
      </c>
      <c r="EV130" s="85">
        <v>0</v>
      </c>
      <c r="EW130" s="85">
        <v>0</v>
      </c>
      <c r="EX130" s="85">
        <v>0</v>
      </c>
      <c r="EY130" s="85">
        <v>0</v>
      </c>
      <c r="EZ130" s="85">
        <v>0</v>
      </c>
      <c r="FA130" s="85">
        <v>0</v>
      </c>
      <c r="FB130" s="85">
        <v>0</v>
      </c>
      <c r="FC130" s="87">
        <v>0</v>
      </c>
      <c r="FD130" s="85">
        <v>0</v>
      </c>
      <c r="FE130" s="85">
        <v>0</v>
      </c>
      <c r="FF130" s="85">
        <v>0</v>
      </c>
      <c r="FG130" s="85">
        <v>0</v>
      </c>
      <c r="FH130" s="85">
        <v>0</v>
      </c>
      <c r="FI130" s="85">
        <v>0</v>
      </c>
      <c r="FJ130" s="85">
        <v>0</v>
      </c>
      <c r="FK130" s="85">
        <v>0</v>
      </c>
      <c r="FL130" s="85">
        <v>0</v>
      </c>
      <c r="FM130" s="85">
        <v>0</v>
      </c>
      <c r="FN130" s="85">
        <v>0</v>
      </c>
      <c r="FO130" s="86">
        <v>0</v>
      </c>
      <c r="FP130" s="87">
        <v>0</v>
      </c>
      <c r="FQ130" s="85">
        <v>0</v>
      </c>
      <c r="FR130" s="85">
        <v>0</v>
      </c>
      <c r="FS130" s="85">
        <v>0</v>
      </c>
      <c r="FT130" s="85">
        <v>0</v>
      </c>
      <c r="FU130" s="85">
        <v>0</v>
      </c>
      <c r="FV130" s="85">
        <v>0</v>
      </c>
      <c r="FW130" s="85">
        <v>0</v>
      </c>
      <c r="FX130" s="85">
        <v>0</v>
      </c>
      <c r="FY130" s="85">
        <v>0</v>
      </c>
      <c r="FZ130" s="85">
        <v>0</v>
      </c>
      <c r="GA130" s="85">
        <v>0</v>
      </c>
      <c r="GB130" s="152">
        <v>0</v>
      </c>
      <c r="GD130" s="153"/>
    </row>
    <row r="131" spans="1:186">
      <c r="A131" s="137" t="s">
        <v>285</v>
      </c>
      <c r="B131" s="151">
        <v>0</v>
      </c>
      <c r="C131" s="138">
        <f t="shared" si="24"/>
        <v>0</v>
      </c>
      <c r="D131" s="138">
        <f t="shared" ref="D131:D211" si="26">Q131+AD131+AQ131+BD131+BQ131+CD131+CQ131+DD131+DQ131+ED131+EQ131+FQ131+FD131</f>
        <v>0</v>
      </c>
      <c r="E131" s="138">
        <f t="shared" ref="E131:E211" si="27">R131+AE131+AR131+BE131+BR131+CE131+CR131+DE131+DR131+EE131+ER131+FR131+FE131</f>
        <v>0</v>
      </c>
      <c r="F131" s="138">
        <f t="shared" ref="F131:F211" si="28">S131+AF131+AS131+BF131+BS131+CF131+CS131+DF131+DS131+EF131+ES131+FS131+FF131</f>
        <v>0</v>
      </c>
      <c r="G131" s="138">
        <f t="shared" ref="G131:G211" si="29">T131+AG131+AT131+BG131+BT131+CG131+CT131+DG131+DT131+EG131+ET131+FT131+FG131</f>
        <v>0</v>
      </c>
      <c r="H131" s="138">
        <f t="shared" ref="H131:H211" si="30">U131+AH131+AU131+BH131+BU131+CH131+CU131+DH131+DU131+EH131+EU131+FU131+FH131</f>
        <v>0</v>
      </c>
      <c r="I131" s="138">
        <f t="shared" ref="I131:I211" si="31">V131+AI131+AV131+BI131+BV131+CI131+CV131+DI131+DV131+EI131+EV131+FV131+FI131</f>
        <v>0</v>
      </c>
      <c r="J131" s="138">
        <f t="shared" ref="J131:J211" si="32">W131+AJ131+AW131+BJ131+BW131+CJ131+CW131+DJ131+DW131+EJ131+EW131+FW131+FJ131</f>
        <v>0</v>
      </c>
      <c r="K131" s="138">
        <f t="shared" ref="K131:K211" si="33">X131+AK131+AX131+BK131+BX131+CK131+CX131+DK131+DX131+EK131+EX131+FX131+FK131</f>
        <v>0</v>
      </c>
      <c r="L131" s="138">
        <f t="shared" ref="L131:L211" si="34">Y131+AL131+AY131+BL131+BY131+CL131+CY131+DL131+DY131+EL131+EY131+FY131+FL131</f>
        <v>0</v>
      </c>
      <c r="M131" s="138">
        <f t="shared" ref="M131:M211" si="35">Z131+AM131+AZ131+BM131+BZ131+CM131+CZ131+DM131+DZ131+EM131+EZ131+FZ131+FM131</f>
        <v>0</v>
      </c>
      <c r="N131" s="138">
        <f t="shared" ref="N131:N211" si="36">AA131+AN131+BA131+BN131+CA131+CN131+DA131+DN131+EA131+EN131+FA131+GA131+FN131</f>
        <v>0</v>
      </c>
      <c r="O131" s="86">
        <f t="shared" si="25"/>
        <v>0</v>
      </c>
      <c r="P131" s="138">
        <v>0</v>
      </c>
      <c r="Q131" s="138">
        <v>0</v>
      </c>
      <c r="R131" s="138">
        <v>0</v>
      </c>
      <c r="S131" s="138">
        <v>0</v>
      </c>
      <c r="T131" s="138">
        <v>0</v>
      </c>
      <c r="U131" s="138">
        <v>0</v>
      </c>
      <c r="V131" s="138">
        <v>0</v>
      </c>
      <c r="W131" s="138">
        <v>0</v>
      </c>
      <c r="X131" s="138">
        <v>0</v>
      </c>
      <c r="Y131" s="138">
        <v>0</v>
      </c>
      <c r="Z131" s="138">
        <v>0</v>
      </c>
      <c r="AA131" s="138">
        <v>0</v>
      </c>
      <c r="AB131" s="86">
        <v>0</v>
      </c>
      <c r="AC131" s="138">
        <v>0</v>
      </c>
      <c r="AD131" s="138">
        <v>0</v>
      </c>
      <c r="AE131" s="138">
        <v>0</v>
      </c>
      <c r="AF131" s="138">
        <v>0</v>
      </c>
      <c r="AG131" s="138">
        <v>0</v>
      </c>
      <c r="AH131" s="138">
        <v>0</v>
      </c>
      <c r="AI131" s="138">
        <v>0</v>
      </c>
      <c r="AJ131" s="138">
        <v>0</v>
      </c>
      <c r="AK131" s="138">
        <v>0</v>
      </c>
      <c r="AL131" s="138">
        <v>0</v>
      </c>
      <c r="AM131" s="138">
        <v>0</v>
      </c>
      <c r="AN131" s="138">
        <v>0</v>
      </c>
      <c r="AO131" s="86">
        <v>0</v>
      </c>
      <c r="AP131" s="138">
        <v>0</v>
      </c>
      <c r="AQ131" s="138">
        <v>0</v>
      </c>
      <c r="AR131" s="138">
        <v>0</v>
      </c>
      <c r="AS131" s="138">
        <v>0</v>
      </c>
      <c r="AT131" s="138">
        <v>0</v>
      </c>
      <c r="AU131" s="138">
        <v>0</v>
      </c>
      <c r="AV131" s="138">
        <v>0</v>
      </c>
      <c r="AW131" s="138">
        <v>0</v>
      </c>
      <c r="AX131" s="138">
        <v>0</v>
      </c>
      <c r="AY131" s="138">
        <v>0</v>
      </c>
      <c r="AZ131" s="138">
        <v>0</v>
      </c>
      <c r="BA131" s="138">
        <v>0</v>
      </c>
      <c r="BB131" s="86">
        <v>0</v>
      </c>
      <c r="BC131" s="138">
        <v>0</v>
      </c>
      <c r="BD131" s="138">
        <v>0</v>
      </c>
      <c r="BE131" s="138">
        <v>0</v>
      </c>
      <c r="BF131" s="138">
        <v>0</v>
      </c>
      <c r="BG131" s="138">
        <v>0</v>
      </c>
      <c r="BH131" s="138">
        <v>0</v>
      </c>
      <c r="BI131" s="138">
        <v>0</v>
      </c>
      <c r="BJ131" s="138">
        <v>0</v>
      </c>
      <c r="BK131" s="138">
        <v>0</v>
      </c>
      <c r="BL131" s="138">
        <v>0</v>
      </c>
      <c r="BM131" s="138">
        <v>0</v>
      </c>
      <c r="BN131" s="138">
        <v>0</v>
      </c>
      <c r="BO131" s="86">
        <v>0</v>
      </c>
      <c r="BP131" s="138">
        <v>0</v>
      </c>
      <c r="BQ131" s="138">
        <v>0</v>
      </c>
      <c r="BR131" s="138">
        <v>0</v>
      </c>
      <c r="BS131" s="138">
        <v>0</v>
      </c>
      <c r="BT131" s="138">
        <v>0</v>
      </c>
      <c r="BU131" s="138">
        <v>0</v>
      </c>
      <c r="BV131" s="138">
        <v>0</v>
      </c>
      <c r="BW131" s="138">
        <v>0</v>
      </c>
      <c r="BX131" s="138">
        <v>0</v>
      </c>
      <c r="BY131" s="138">
        <v>0</v>
      </c>
      <c r="BZ131" s="138">
        <v>0</v>
      </c>
      <c r="CA131" s="138">
        <v>0</v>
      </c>
      <c r="CB131" s="86">
        <v>0</v>
      </c>
      <c r="CC131" s="138">
        <v>0</v>
      </c>
      <c r="CD131" s="138">
        <v>0</v>
      </c>
      <c r="CE131" s="138">
        <v>0</v>
      </c>
      <c r="CF131" s="138">
        <v>0</v>
      </c>
      <c r="CG131" s="138">
        <v>0</v>
      </c>
      <c r="CH131" s="138">
        <v>0</v>
      </c>
      <c r="CI131" s="138">
        <v>0</v>
      </c>
      <c r="CJ131" s="138">
        <v>0</v>
      </c>
      <c r="CK131" s="138">
        <v>0</v>
      </c>
      <c r="CL131" s="138">
        <v>0</v>
      </c>
      <c r="CM131" s="138">
        <v>0</v>
      </c>
      <c r="CN131" s="138">
        <v>0</v>
      </c>
      <c r="CO131" s="86">
        <v>0</v>
      </c>
      <c r="CP131" s="138">
        <v>0</v>
      </c>
      <c r="CQ131" s="138">
        <v>0</v>
      </c>
      <c r="CR131" s="138">
        <v>0</v>
      </c>
      <c r="CS131" s="138">
        <v>0</v>
      </c>
      <c r="CT131" s="138">
        <v>0</v>
      </c>
      <c r="CU131" s="138">
        <v>0</v>
      </c>
      <c r="CV131" s="138">
        <v>0</v>
      </c>
      <c r="CW131" s="138">
        <v>0</v>
      </c>
      <c r="CX131" s="138">
        <v>0</v>
      </c>
      <c r="CY131" s="138">
        <v>0</v>
      </c>
      <c r="CZ131" s="138">
        <v>0</v>
      </c>
      <c r="DA131" s="138">
        <v>0</v>
      </c>
      <c r="DB131" s="86">
        <v>0</v>
      </c>
      <c r="DC131" s="138">
        <v>0</v>
      </c>
      <c r="DD131" s="138">
        <v>0</v>
      </c>
      <c r="DE131" s="138">
        <v>0</v>
      </c>
      <c r="DF131" s="138">
        <v>0</v>
      </c>
      <c r="DG131" s="138">
        <v>0</v>
      </c>
      <c r="DH131" s="138">
        <v>0</v>
      </c>
      <c r="DI131" s="138">
        <v>0</v>
      </c>
      <c r="DJ131" s="138">
        <v>0</v>
      </c>
      <c r="DK131" s="138">
        <v>0</v>
      </c>
      <c r="DL131" s="138">
        <v>0</v>
      </c>
      <c r="DM131" s="138">
        <v>0</v>
      </c>
      <c r="DN131" s="138">
        <v>0</v>
      </c>
      <c r="DO131" s="86">
        <v>0</v>
      </c>
      <c r="DP131" s="138">
        <v>0</v>
      </c>
      <c r="DQ131" s="138">
        <v>0</v>
      </c>
      <c r="DR131" s="138">
        <v>0</v>
      </c>
      <c r="DS131" s="138">
        <v>0</v>
      </c>
      <c r="DT131" s="138">
        <v>0</v>
      </c>
      <c r="DU131" s="138">
        <v>0</v>
      </c>
      <c r="DV131" s="138">
        <v>0</v>
      </c>
      <c r="DW131" s="138">
        <v>0</v>
      </c>
      <c r="DX131" s="138">
        <v>0</v>
      </c>
      <c r="DY131" s="138">
        <v>0</v>
      </c>
      <c r="DZ131" s="138">
        <v>0</v>
      </c>
      <c r="EA131" s="138">
        <v>0</v>
      </c>
      <c r="EB131" s="85">
        <v>0</v>
      </c>
      <c r="EC131" s="87">
        <v>0</v>
      </c>
      <c r="ED131" s="85">
        <v>0</v>
      </c>
      <c r="EE131" s="85">
        <v>0</v>
      </c>
      <c r="EF131" s="85">
        <v>0</v>
      </c>
      <c r="EG131" s="85">
        <v>0</v>
      </c>
      <c r="EH131" s="85">
        <v>0</v>
      </c>
      <c r="EI131" s="85">
        <v>0</v>
      </c>
      <c r="EJ131" s="85">
        <v>0</v>
      </c>
      <c r="EK131" s="85">
        <v>0</v>
      </c>
      <c r="EL131" s="85">
        <v>0</v>
      </c>
      <c r="EM131" s="85">
        <v>0</v>
      </c>
      <c r="EN131" s="85">
        <v>0</v>
      </c>
      <c r="EO131" s="152">
        <v>0</v>
      </c>
      <c r="EP131" s="85">
        <v>0</v>
      </c>
      <c r="EQ131" s="85">
        <v>0</v>
      </c>
      <c r="ER131" s="85">
        <v>0</v>
      </c>
      <c r="ES131" s="85">
        <v>0</v>
      </c>
      <c r="ET131" s="85">
        <v>0</v>
      </c>
      <c r="EU131" s="85">
        <v>0</v>
      </c>
      <c r="EV131" s="85">
        <v>0</v>
      </c>
      <c r="EW131" s="85">
        <v>0</v>
      </c>
      <c r="EX131" s="85">
        <v>0</v>
      </c>
      <c r="EY131" s="85">
        <v>0</v>
      </c>
      <c r="EZ131" s="85">
        <v>0</v>
      </c>
      <c r="FA131" s="85">
        <v>0</v>
      </c>
      <c r="FB131" s="85">
        <v>0</v>
      </c>
      <c r="FC131" s="87">
        <v>0</v>
      </c>
      <c r="FD131" s="85">
        <v>0</v>
      </c>
      <c r="FE131" s="85">
        <v>0</v>
      </c>
      <c r="FF131" s="85">
        <v>0</v>
      </c>
      <c r="FG131" s="85">
        <v>0</v>
      </c>
      <c r="FH131" s="85">
        <v>0</v>
      </c>
      <c r="FI131" s="85">
        <v>0</v>
      </c>
      <c r="FJ131" s="85">
        <v>0</v>
      </c>
      <c r="FK131" s="85">
        <v>0</v>
      </c>
      <c r="FL131" s="85">
        <v>0</v>
      </c>
      <c r="FM131" s="85">
        <v>0</v>
      </c>
      <c r="FN131" s="85">
        <v>0</v>
      </c>
      <c r="FO131" s="86">
        <v>0</v>
      </c>
      <c r="FP131" s="87">
        <v>0</v>
      </c>
      <c r="FQ131" s="85">
        <v>0</v>
      </c>
      <c r="FR131" s="85">
        <v>0</v>
      </c>
      <c r="FS131" s="85">
        <v>0</v>
      </c>
      <c r="FT131" s="85">
        <v>0</v>
      </c>
      <c r="FU131" s="85">
        <v>0</v>
      </c>
      <c r="FV131" s="85">
        <v>0</v>
      </c>
      <c r="FW131" s="85">
        <v>0</v>
      </c>
      <c r="FX131" s="85">
        <v>0</v>
      </c>
      <c r="FY131" s="85">
        <v>0</v>
      </c>
      <c r="FZ131" s="85">
        <v>0</v>
      </c>
      <c r="GA131" s="85">
        <v>0</v>
      </c>
      <c r="GB131" s="152">
        <v>0</v>
      </c>
      <c r="GD131" s="153"/>
    </row>
    <row r="132" spans="1:186">
      <c r="A132" s="137" t="s">
        <v>289</v>
      </c>
      <c r="B132" s="151">
        <v>0</v>
      </c>
      <c r="C132" s="138">
        <f t="shared" ref="C132:C211" si="37">P132+AC132+AP132+BC132+BP132+CC132+CP132+DC132+DP132+EC132+EP132+FP132+FC132</f>
        <v>0</v>
      </c>
      <c r="D132" s="138">
        <f t="shared" si="26"/>
        <v>0</v>
      </c>
      <c r="E132" s="138">
        <f t="shared" si="27"/>
        <v>0</v>
      </c>
      <c r="F132" s="138">
        <f t="shared" si="28"/>
        <v>0</v>
      </c>
      <c r="G132" s="138">
        <f t="shared" si="29"/>
        <v>0</v>
      </c>
      <c r="H132" s="138">
        <f t="shared" si="30"/>
        <v>0</v>
      </c>
      <c r="I132" s="138">
        <f t="shared" si="31"/>
        <v>0</v>
      </c>
      <c r="J132" s="138">
        <f t="shared" si="32"/>
        <v>0</v>
      </c>
      <c r="K132" s="138">
        <f t="shared" si="33"/>
        <v>0</v>
      </c>
      <c r="L132" s="138">
        <f t="shared" si="34"/>
        <v>0</v>
      </c>
      <c r="M132" s="138">
        <f t="shared" si="35"/>
        <v>0</v>
      </c>
      <c r="N132" s="138">
        <f t="shared" si="36"/>
        <v>0</v>
      </c>
      <c r="O132" s="86">
        <f t="shared" ref="O132:O211" si="38">SUM(C132:N132)</f>
        <v>0</v>
      </c>
      <c r="P132" s="138">
        <v>0</v>
      </c>
      <c r="Q132" s="138">
        <v>0</v>
      </c>
      <c r="R132" s="138">
        <v>0</v>
      </c>
      <c r="S132" s="138">
        <v>0</v>
      </c>
      <c r="T132" s="138">
        <v>0</v>
      </c>
      <c r="U132" s="138">
        <v>0</v>
      </c>
      <c r="V132" s="138">
        <v>0</v>
      </c>
      <c r="W132" s="138">
        <v>0</v>
      </c>
      <c r="X132" s="138">
        <v>0</v>
      </c>
      <c r="Y132" s="138">
        <v>0</v>
      </c>
      <c r="Z132" s="138">
        <v>0</v>
      </c>
      <c r="AA132" s="138">
        <v>0</v>
      </c>
      <c r="AB132" s="86">
        <v>0</v>
      </c>
      <c r="AC132" s="138">
        <v>0</v>
      </c>
      <c r="AD132" s="138">
        <v>0</v>
      </c>
      <c r="AE132" s="138">
        <v>0</v>
      </c>
      <c r="AF132" s="138">
        <v>0</v>
      </c>
      <c r="AG132" s="138">
        <v>0</v>
      </c>
      <c r="AH132" s="138">
        <v>0</v>
      </c>
      <c r="AI132" s="138">
        <v>0</v>
      </c>
      <c r="AJ132" s="138">
        <v>0</v>
      </c>
      <c r="AK132" s="138">
        <v>0</v>
      </c>
      <c r="AL132" s="138">
        <v>0</v>
      </c>
      <c r="AM132" s="138">
        <v>0</v>
      </c>
      <c r="AN132" s="138">
        <v>0</v>
      </c>
      <c r="AO132" s="86">
        <v>0</v>
      </c>
      <c r="AP132" s="138">
        <v>0</v>
      </c>
      <c r="AQ132" s="138">
        <v>0</v>
      </c>
      <c r="AR132" s="138">
        <v>0</v>
      </c>
      <c r="AS132" s="138">
        <v>0</v>
      </c>
      <c r="AT132" s="138">
        <v>0</v>
      </c>
      <c r="AU132" s="138">
        <v>0</v>
      </c>
      <c r="AV132" s="138">
        <v>0</v>
      </c>
      <c r="AW132" s="138">
        <v>0</v>
      </c>
      <c r="AX132" s="138">
        <v>0</v>
      </c>
      <c r="AY132" s="138">
        <v>0</v>
      </c>
      <c r="AZ132" s="138">
        <v>0</v>
      </c>
      <c r="BA132" s="138">
        <v>0</v>
      </c>
      <c r="BB132" s="86">
        <v>0</v>
      </c>
      <c r="BC132" s="138">
        <v>0</v>
      </c>
      <c r="BD132" s="138">
        <v>0</v>
      </c>
      <c r="BE132" s="138">
        <v>0</v>
      </c>
      <c r="BF132" s="138">
        <v>0</v>
      </c>
      <c r="BG132" s="138">
        <v>0</v>
      </c>
      <c r="BH132" s="138">
        <v>0</v>
      </c>
      <c r="BI132" s="138">
        <v>0</v>
      </c>
      <c r="BJ132" s="138">
        <v>0</v>
      </c>
      <c r="BK132" s="138">
        <v>0</v>
      </c>
      <c r="BL132" s="138">
        <v>0</v>
      </c>
      <c r="BM132" s="138">
        <v>0</v>
      </c>
      <c r="BN132" s="138">
        <v>0</v>
      </c>
      <c r="BO132" s="86">
        <v>0</v>
      </c>
      <c r="BP132" s="138">
        <v>0</v>
      </c>
      <c r="BQ132" s="138">
        <v>0</v>
      </c>
      <c r="BR132" s="138">
        <v>0</v>
      </c>
      <c r="BS132" s="138">
        <v>0</v>
      </c>
      <c r="BT132" s="138">
        <v>0</v>
      </c>
      <c r="BU132" s="138">
        <v>0</v>
      </c>
      <c r="BV132" s="138">
        <v>0</v>
      </c>
      <c r="BW132" s="138">
        <v>0</v>
      </c>
      <c r="BX132" s="138">
        <v>0</v>
      </c>
      <c r="BY132" s="138">
        <v>0</v>
      </c>
      <c r="BZ132" s="138">
        <v>0</v>
      </c>
      <c r="CA132" s="138">
        <v>0</v>
      </c>
      <c r="CB132" s="86">
        <v>0</v>
      </c>
      <c r="CC132" s="138">
        <v>0</v>
      </c>
      <c r="CD132" s="138">
        <v>0</v>
      </c>
      <c r="CE132" s="138">
        <v>0</v>
      </c>
      <c r="CF132" s="138">
        <v>0</v>
      </c>
      <c r="CG132" s="138">
        <v>0</v>
      </c>
      <c r="CH132" s="138">
        <v>0</v>
      </c>
      <c r="CI132" s="138">
        <v>0</v>
      </c>
      <c r="CJ132" s="138">
        <v>0</v>
      </c>
      <c r="CK132" s="138">
        <v>0</v>
      </c>
      <c r="CL132" s="138">
        <v>0</v>
      </c>
      <c r="CM132" s="138">
        <v>0</v>
      </c>
      <c r="CN132" s="138">
        <v>0</v>
      </c>
      <c r="CO132" s="86">
        <v>0</v>
      </c>
      <c r="CP132" s="138">
        <v>0</v>
      </c>
      <c r="CQ132" s="138">
        <v>0</v>
      </c>
      <c r="CR132" s="138">
        <v>0</v>
      </c>
      <c r="CS132" s="138">
        <v>0</v>
      </c>
      <c r="CT132" s="138">
        <v>0</v>
      </c>
      <c r="CU132" s="138">
        <v>0</v>
      </c>
      <c r="CV132" s="138">
        <v>0</v>
      </c>
      <c r="CW132" s="138">
        <v>0</v>
      </c>
      <c r="CX132" s="138">
        <v>0</v>
      </c>
      <c r="CY132" s="138">
        <v>0</v>
      </c>
      <c r="CZ132" s="138">
        <v>0</v>
      </c>
      <c r="DA132" s="138">
        <v>0</v>
      </c>
      <c r="DB132" s="86">
        <v>0</v>
      </c>
      <c r="DC132" s="138">
        <v>0</v>
      </c>
      <c r="DD132" s="138">
        <v>0</v>
      </c>
      <c r="DE132" s="138">
        <v>0</v>
      </c>
      <c r="DF132" s="138">
        <v>0</v>
      </c>
      <c r="DG132" s="138">
        <v>0</v>
      </c>
      <c r="DH132" s="138">
        <v>0</v>
      </c>
      <c r="DI132" s="138">
        <v>0</v>
      </c>
      <c r="DJ132" s="138">
        <v>0</v>
      </c>
      <c r="DK132" s="138">
        <v>0</v>
      </c>
      <c r="DL132" s="138">
        <v>0</v>
      </c>
      <c r="DM132" s="138">
        <v>0</v>
      </c>
      <c r="DN132" s="138">
        <v>0</v>
      </c>
      <c r="DO132" s="86">
        <v>0</v>
      </c>
      <c r="DP132" s="138">
        <v>0</v>
      </c>
      <c r="DQ132" s="138">
        <v>0</v>
      </c>
      <c r="DR132" s="138">
        <v>0</v>
      </c>
      <c r="DS132" s="138">
        <v>0</v>
      </c>
      <c r="DT132" s="138">
        <v>0</v>
      </c>
      <c r="DU132" s="138">
        <v>0</v>
      </c>
      <c r="DV132" s="138">
        <v>0</v>
      </c>
      <c r="DW132" s="138">
        <v>0</v>
      </c>
      <c r="DX132" s="138">
        <v>0</v>
      </c>
      <c r="DY132" s="138">
        <v>0</v>
      </c>
      <c r="DZ132" s="138">
        <v>0</v>
      </c>
      <c r="EA132" s="138">
        <v>0</v>
      </c>
      <c r="EB132" s="85">
        <v>0</v>
      </c>
      <c r="EC132" s="87">
        <v>0</v>
      </c>
      <c r="ED132" s="85">
        <v>0</v>
      </c>
      <c r="EE132" s="85">
        <v>0</v>
      </c>
      <c r="EF132" s="85">
        <v>0</v>
      </c>
      <c r="EG132" s="85">
        <v>0</v>
      </c>
      <c r="EH132" s="85">
        <v>0</v>
      </c>
      <c r="EI132" s="85">
        <v>0</v>
      </c>
      <c r="EJ132" s="85">
        <v>0</v>
      </c>
      <c r="EK132" s="85">
        <v>0</v>
      </c>
      <c r="EL132" s="85">
        <v>0</v>
      </c>
      <c r="EM132" s="85">
        <v>0</v>
      </c>
      <c r="EN132" s="85">
        <v>0</v>
      </c>
      <c r="EO132" s="152">
        <v>0</v>
      </c>
      <c r="EP132" s="85">
        <v>0</v>
      </c>
      <c r="EQ132" s="85">
        <v>0</v>
      </c>
      <c r="ER132" s="85">
        <v>0</v>
      </c>
      <c r="ES132" s="85">
        <v>0</v>
      </c>
      <c r="ET132" s="85">
        <v>0</v>
      </c>
      <c r="EU132" s="85">
        <v>0</v>
      </c>
      <c r="EV132" s="85">
        <v>0</v>
      </c>
      <c r="EW132" s="85">
        <v>0</v>
      </c>
      <c r="EX132" s="85">
        <v>0</v>
      </c>
      <c r="EY132" s="85">
        <v>0</v>
      </c>
      <c r="EZ132" s="85">
        <v>0</v>
      </c>
      <c r="FA132" s="85">
        <v>0</v>
      </c>
      <c r="FB132" s="85">
        <v>0</v>
      </c>
      <c r="FC132" s="87">
        <v>0</v>
      </c>
      <c r="FD132" s="85">
        <v>0</v>
      </c>
      <c r="FE132" s="85">
        <v>0</v>
      </c>
      <c r="FF132" s="85">
        <v>0</v>
      </c>
      <c r="FG132" s="85">
        <v>0</v>
      </c>
      <c r="FH132" s="85">
        <v>0</v>
      </c>
      <c r="FI132" s="85">
        <v>0</v>
      </c>
      <c r="FJ132" s="85">
        <v>0</v>
      </c>
      <c r="FK132" s="85">
        <v>0</v>
      </c>
      <c r="FL132" s="85">
        <v>0</v>
      </c>
      <c r="FM132" s="85">
        <v>0</v>
      </c>
      <c r="FN132" s="85">
        <v>0</v>
      </c>
      <c r="FO132" s="86">
        <v>0</v>
      </c>
      <c r="FP132" s="87">
        <v>0</v>
      </c>
      <c r="FQ132" s="85">
        <v>0</v>
      </c>
      <c r="FR132" s="85">
        <v>0</v>
      </c>
      <c r="FS132" s="85">
        <v>0</v>
      </c>
      <c r="FT132" s="85">
        <v>0</v>
      </c>
      <c r="FU132" s="85">
        <v>0</v>
      </c>
      <c r="FV132" s="85">
        <v>0</v>
      </c>
      <c r="FW132" s="85">
        <v>0</v>
      </c>
      <c r="FX132" s="85">
        <v>0</v>
      </c>
      <c r="FY132" s="85">
        <v>0</v>
      </c>
      <c r="FZ132" s="85">
        <v>0</v>
      </c>
      <c r="GA132" s="85">
        <v>0</v>
      </c>
      <c r="GB132" s="152">
        <v>0</v>
      </c>
      <c r="GD132" s="153"/>
    </row>
    <row r="133" spans="1:186">
      <c r="A133" s="137" t="s">
        <v>291</v>
      </c>
      <c r="B133" s="151">
        <v>431.359629117491</v>
      </c>
      <c r="C133" s="138">
        <f t="shared" si="37"/>
        <v>0</v>
      </c>
      <c r="D133" s="138">
        <f t="shared" si="26"/>
        <v>0</v>
      </c>
      <c r="E133" s="138">
        <f t="shared" si="27"/>
        <v>0</v>
      </c>
      <c r="F133" s="138">
        <f t="shared" si="28"/>
        <v>0</v>
      </c>
      <c r="G133" s="138">
        <f t="shared" si="29"/>
        <v>0</v>
      </c>
      <c r="H133" s="138">
        <f t="shared" si="30"/>
        <v>0</v>
      </c>
      <c r="I133" s="138">
        <f t="shared" si="31"/>
        <v>0</v>
      </c>
      <c r="J133" s="138">
        <f t="shared" si="32"/>
        <v>0</v>
      </c>
      <c r="K133" s="138">
        <f t="shared" si="33"/>
        <v>0</v>
      </c>
      <c r="L133" s="138">
        <f t="shared" si="34"/>
        <v>0</v>
      </c>
      <c r="M133" s="138">
        <f t="shared" si="35"/>
        <v>0</v>
      </c>
      <c r="N133" s="138">
        <f t="shared" si="36"/>
        <v>0</v>
      </c>
      <c r="O133" s="86">
        <f t="shared" si="38"/>
        <v>0</v>
      </c>
      <c r="P133" s="138">
        <v>0</v>
      </c>
      <c r="Q133" s="138">
        <v>0</v>
      </c>
      <c r="R133" s="138">
        <v>0</v>
      </c>
      <c r="S133" s="138">
        <v>0</v>
      </c>
      <c r="T133" s="138">
        <v>0</v>
      </c>
      <c r="U133" s="138">
        <v>0</v>
      </c>
      <c r="V133" s="138">
        <v>0</v>
      </c>
      <c r="W133" s="138">
        <v>0</v>
      </c>
      <c r="X133" s="138">
        <v>0</v>
      </c>
      <c r="Y133" s="138">
        <v>0</v>
      </c>
      <c r="Z133" s="138">
        <v>0</v>
      </c>
      <c r="AA133" s="138">
        <v>0</v>
      </c>
      <c r="AB133" s="86">
        <v>0</v>
      </c>
      <c r="AC133" s="138">
        <v>0</v>
      </c>
      <c r="AD133" s="138">
        <v>0</v>
      </c>
      <c r="AE133" s="138">
        <v>0</v>
      </c>
      <c r="AF133" s="138">
        <v>0</v>
      </c>
      <c r="AG133" s="138">
        <v>0</v>
      </c>
      <c r="AH133" s="138">
        <v>0</v>
      </c>
      <c r="AI133" s="138">
        <v>0</v>
      </c>
      <c r="AJ133" s="138">
        <v>0</v>
      </c>
      <c r="AK133" s="138">
        <v>0</v>
      </c>
      <c r="AL133" s="138">
        <v>0</v>
      </c>
      <c r="AM133" s="138">
        <v>0</v>
      </c>
      <c r="AN133" s="138">
        <v>0</v>
      </c>
      <c r="AO133" s="86">
        <v>0</v>
      </c>
      <c r="AP133" s="138">
        <v>0</v>
      </c>
      <c r="AQ133" s="138">
        <v>0</v>
      </c>
      <c r="AR133" s="138">
        <v>0</v>
      </c>
      <c r="AS133" s="138">
        <v>0</v>
      </c>
      <c r="AT133" s="138">
        <v>0</v>
      </c>
      <c r="AU133" s="138">
        <v>0</v>
      </c>
      <c r="AV133" s="138">
        <v>0</v>
      </c>
      <c r="AW133" s="138">
        <v>0</v>
      </c>
      <c r="AX133" s="138">
        <v>0</v>
      </c>
      <c r="AY133" s="138">
        <v>0</v>
      </c>
      <c r="AZ133" s="138">
        <v>0</v>
      </c>
      <c r="BA133" s="138">
        <v>0</v>
      </c>
      <c r="BB133" s="86">
        <v>0</v>
      </c>
      <c r="BC133" s="138">
        <v>0</v>
      </c>
      <c r="BD133" s="138">
        <v>0</v>
      </c>
      <c r="BE133" s="138">
        <v>0</v>
      </c>
      <c r="BF133" s="138">
        <v>0</v>
      </c>
      <c r="BG133" s="138">
        <v>0</v>
      </c>
      <c r="BH133" s="138">
        <v>0</v>
      </c>
      <c r="BI133" s="138">
        <v>0</v>
      </c>
      <c r="BJ133" s="138">
        <v>0</v>
      </c>
      <c r="BK133" s="138">
        <v>0</v>
      </c>
      <c r="BL133" s="138">
        <v>0</v>
      </c>
      <c r="BM133" s="138">
        <v>0</v>
      </c>
      <c r="BN133" s="138">
        <v>0</v>
      </c>
      <c r="BO133" s="86">
        <v>0</v>
      </c>
      <c r="BP133" s="138">
        <v>0</v>
      </c>
      <c r="BQ133" s="138">
        <v>0</v>
      </c>
      <c r="BR133" s="138">
        <v>0</v>
      </c>
      <c r="BS133" s="138">
        <v>0</v>
      </c>
      <c r="BT133" s="138">
        <v>0</v>
      </c>
      <c r="BU133" s="138">
        <v>0</v>
      </c>
      <c r="BV133" s="138">
        <v>0</v>
      </c>
      <c r="BW133" s="138">
        <v>0</v>
      </c>
      <c r="BX133" s="138">
        <v>0</v>
      </c>
      <c r="BY133" s="138">
        <v>0</v>
      </c>
      <c r="BZ133" s="138">
        <v>0</v>
      </c>
      <c r="CA133" s="138">
        <v>0</v>
      </c>
      <c r="CB133" s="86">
        <v>0</v>
      </c>
      <c r="CC133" s="138">
        <v>0</v>
      </c>
      <c r="CD133" s="138">
        <v>0</v>
      </c>
      <c r="CE133" s="138">
        <v>0</v>
      </c>
      <c r="CF133" s="138">
        <v>0</v>
      </c>
      <c r="CG133" s="138">
        <v>0</v>
      </c>
      <c r="CH133" s="138">
        <v>0</v>
      </c>
      <c r="CI133" s="138">
        <v>0</v>
      </c>
      <c r="CJ133" s="138">
        <v>0</v>
      </c>
      <c r="CK133" s="138">
        <v>0</v>
      </c>
      <c r="CL133" s="138">
        <v>0</v>
      </c>
      <c r="CM133" s="138">
        <v>0</v>
      </c>
      <c r="CN133" s="138">
        <v>0</v>
      </c>
      <c r="CO133" s="86">
        <v>0</v>
      </c>
      <c r="CP133" s="138">
        <v>0</v>
      </c>
      <c r="CQ133" s="138">
        <v>0</v>
      </c>
      <c r="CR133" s="138">
        <v>0</v>
      </c>
      <c r="CS133" s="138">
        <v>0</v>
      </c>
      <c r="CT133" s="138">
        <v>0</v>
      </c>
      <c r="CU133" s="138">
        <v>0</v>
      </c>
      <c r="CV133" s="138">
        <v>0</v>
      </c>
      <c r="CW133" s="138">
        <v>0</v>
      </c>
      <c r="CX133" s="138">
        <v>0</v>
      </c>
      <c r="CY133" s="138">
        <v>0</v>
      </c>
      <c r="CZ133" s="138">
        <v>0</v>
      </c>
      <c r="DA133" s="138">
        <v>0</v>
      </c>
      <c r="DB133" s="86">
        <v>0</v>
      </c>
      <c r="DC133" s="138">
        <v>0</v>
      </c>
      <c r="DD133" s="138">
        <v>0</v>
      </c>
      <c r="DE133" s="138">
        <v>0</v>
      </c>
      <c r="DF133" s="138">
        <v>0</v>
      </c>
      <c r="DG133" s="138">
        <v>0</v>
      </c>
      <c r="DH133" s="138">
        <v>0</v>
      </c>
      <c r="DI133" s="138">
        <v>0</v>
      </c>
      <c r="DJ133" s="138">
        <v>0</v>
      </c>
      <c r="DK133" s="138">
        <v>0</v>
      </c>
      <c r="DL133" s="138">
        <v>0</v>
      </c>
      <c r="DM133" s="138">
        <v>0</v>
      </c>
      <c r="DN133" s="138">
        <v>0</v>
      </c>
      <c r="DO133" s="86">
        <v>0</v>
      </c>
      <c r="DP133" s="138">
        <v>0</v>
      </c>
      <c r="DQ133" s="138">
        <v>0</v>
      </c>
      <c r="DR133" s="138">
        <v>0</v>
      </c>
      <c r="DS133" s="138">
        <v>0</v>
      </c>
      <c r="DT133" s="138">
        <v>0</v>
      </c>
      <c r="DU133" s="138">
        <v>0</v>
      </c>
      <c r="DV133" s="138">
        <v>0</v>
      </c>
      <c r="DW133" s="138">
        <v>0</v>
      </c>
      <c r="DX133" s="138">
        <v>0</v>
      </c>
      <c r="DY133" s="138">
        <v>0</v>
      </c>
      <c r="DZ133" s="138">
        <v>0</v>
      </c>
      <c r="EA133" s="138">
        <v>0</v>
      </c>
      <c r="EB133" s="85">
        <v>0</v>
      </c>
      <c r="EC133" s="87">
        <v>0</v>
      </c>
      <c r="ED133" s="85">
        <v>0</v>
      </c>
      <c r="EE133" s="85">
        <v>0</v>
      </c>
      <c r="EF133" s="85">
        <v>0</v>
      </c>
      <c r="EG133" s="85">
        <v>0</v>
      </c>
      <c r="EH133" s="85">
        <v>0</v>
      </c>
      <c r="EI133" s="85">
        <v>0</v>
      </c>
      <c r="EJ133" s="85">
        <v>0</v>
      </c>
      <c r="EK133" s="85">
        <v>0</v>
      </c>
      <c r="EL133" s="85">
        <v>0</v>
      </c>
      <c r="EM133" s="85">
        <v>0</v>
      </c>
      <c r="EN133" s="85">
        <v>0</v>
      </c>
      <c r="EO133" s="152">
        <v>0</v>
      </c>
      <c r="EP133" s="85">
        <v>0</v>
      </c>
      <c r="EQ133" s="85">
        <v>0</v>
      </c>
      <c r="ER133" s="85">
        <v>0</v>
      </c>
      <c r="ES133" s="85">
        <v>0</v>
      </c>
      <c r="ET133" s="85">
        <v>0</v>
      </c>
      <c r="EU133" s="85">
        <v>0</v>
      </c>
      <c r="EV133" s="85">
        <v>0</v>
      </c>
      <c r="EW133" s="85">
        <v>0</v>
      </c>
      <c r="EX133" s="85">
        <v>0</v>
      </c>
      <c r="EY133" s="85">
        <v>0</v>
      </c>
      <c r="EZ133" s="85">
        <v>0</v>
      </c>
      <c r="FA133" s="85">
        <v>0</v>
      </c>
      <c r="FB133" s="85">
        <v>0</v>
      </c>
      <c r="FC133" s="87">
        <v>0</v>
      </c>
      <c r="FD133" s="85">
        <v>0</v>
      </c>
      <c r="FE133" s="85">
        <v>0</v>
      </c>
      <c r="FF133" s="85">
        <v>0</v>
      </c>
      <c r="FG133" s="85">
        <v>0</v>
      </c>
      <c r="FH133" s="85">
        <v>0</v>
      </c>
      <c r="FI133" s="85">
        <v>0</v>
      </c>
      <c r="FJ133" s="85">
        <v>0</v>
      </c>
      <c r="FK133" s="85">
        <v>0</v>
      </c>
      <c r="FL133" s="85">
        <v>0</v>
      </c>
      <c r="FM133" s="85">
        <v>0</v>
      </c>
      <c r="FN133" s="85">
        <v>0</v>
      </c>
      <c r="FO133" s="86">
        <v>0</v>
      </c>
      <c r="FP133" s="87">
        <v>0</v>
      </c>
      <c r="FQ133" s="85">
        <v>0</v>
      </c>
      <c r="FR133" s="85">
        <v>0</v>
      </c>
      <c r="FS133" s="85">
        <v>0</v>
      </c>
      <c r="FT133" s="85">
        <v>0</v>
      </c>
      <c r="FU133" s="85">
        <v>0</v>
      </c>
      <c r="FV133" s="85">
        <v>0</v>
      </c>
      <c r="FW133" s="85">
        <v>0</v>
      </c>
      <c r="FX133" s="85">
        <v>0</v>
      </c>
      <c r="FY133" s="85">
        <v>0</v>
      </c>
      <c r="FZ133" s="85">
        <v>0</v>
      </c>
      <c r="GA133" s="85">
        <v>0</v>
      </c>
      <c r="GB133" s="152">
        <v>0</v>
      </c>
      <c r="GD133" s="153"/>
    </row>
    <row r="134" spans="1:186">
      <c r="A134" s="137" t="s">
        <v>293</v>
      </c>
      <c r="B134" s="151">
        <v>200.919205364543</v>
      </c>
      <c r="C134" s="138">
        <f t="shared" si="37"/>
        <v>0</v>
      </c>
      <c r="D134" s="138">
        <f t="shared" si="26"/>
        <v>0</v>
      </c>
      <c r="E134" s="138">
        <f t="shared" si="27"/>
        <v>0</v>
      </c>
      <c r="F134" s="138">
        <f t="shared" si="28"/>
        <v>0</v>
      </c>
      <c r="G134" s="138">
        <f t="shared" si="29"/>
        <v>0</v>
      </c>
      <c r="H134" s="138">
        <f t="shared" si="30"/>
        <v>0</v>
      </c>
      <c r="I134" s="138">
        <f t="shared" si="31"/>
        <v>0</v>
      </c>
      <c r="J134" s="138">
        <f t="shared" si="32"/>
        <v>0</v>
      </c>
      <c r="K134" s="138">
        <f t="shared" si="33"/>
        <v>0</v>
      </c>
      <c r="L134" s="138">
        <f t="shared" si="34"/>
        <v>0</v>
      </c>
      <c r="M134" s="138">
        <f t="shared" si="35"/>
        <v>0</v>
      </c>
      <c r="N134" s="138">
        <f t="shared" si="36"/>
        <v>0</v>
      </c>
      <c r="O134" s="86">
        <f t="shared" si="38"/>
        <v>0</v>
      </c>
      <c r="P134" s="138">
        <v>0</v>
      </c>
      <c r="Q134" s="138">
        <v>0</v>
      </c>
      <c r="R134" s="138">
        <v>0</v>
      </c>
      <c r="S134" s="138">
        <v>0</v>
      </c>
      <c r="T134" s="138">
        <v>0</v>
      </c>
      <c r="U134" s="138">
        <v>0</v>
      </c>
      <c r="V134" s="138">
        <v>0</v>
      </c>
      <c r="W134" s="138">
        <v>0</v>
      </c>
      <c r="X134" s="138">
        <v>0</v>
      </c>
      <c r="Y134" s="138">
        <v>0</v>
      </c>
      <c r="Z134" s="138">
        <v>0</v>
      </c>
      <c r="AA134" s="138">
        <v>0</v>
      </c>
      <c r="AB134" s="86">
        <v>0</v>
      </c>
      <c r="AC134" s="138">
        <v>0</v>
      </c>
      <c r="AD134" s="138">
        <v>0</v>
      </c>
      <c r="AE134" s="138">
        <v>0</v>
      </c>
      <c r="AF134" s="138">
        <v>0</v>
      </c>
      <c r="AG134" s="138">
        <v>0</v>
      </c>
      <c r="AH134" s="138">
        <v>0</v>
      </c>
      <c r="AI134" s="138">
        <v>0</v>
      </c>
      <c r="AJ134" s="138">
        <v>0</v>
      </c>
      <c r="AK134" s="138">
        <v>0</v>
      </c>
      <c r="AL134" s="138">
        <v>0</v>
      </c>
      <c r="AM134" s="138">
        <v>0</v>
      </c>
      <c r="AN134" s="138">
        <v>0</v>
      </c>
      <c r="AO134" s="86">
        <v>0</v>
      </c>
      <c r="AP134" s="138">
        <v>0</v>
      </c>
      <c r="AQ134" s="138">
        <v>0</v>
      </c>
      <c r="AR134" s="138">
        <v>0</v>
      </c>
      <c r="AS134" s="138">
        <v>0</v>
      </c>
      <c r="AT134" s="138">
        <v>0</v>
      </c>
      <c r="AU134" s="138">
        <v>0</v>
      </c>
      <c r="AV134" s="138">
        <v>0</v>
      </c>
      <c r="AW134" s="138">
        <v>0</v>
      </c>
      <c r="AX134" s="138">
        <v>0</v>
      </c>
      <c r="AY134" s="138">
        <v>0</v>
      </c>
      <c r="AZ134" s="138">
        <v>0</v>
      </c>
      <c r="BA134" s="138">
        <v>0</v>
      </c>
      <c r="BB134" s="86">
        <v>0</v>
      </c>
      <c r="BC134" s="138">
        <v>0</v>
      </c>
      <c r="BD134" s="138">
        <v>0</v>
      </c>
      <c r="BE134" s="138">
        <v>0</v>
      </c>
      <c r="BF134" s="138">
        <v>0</v>
      </c>
      <c r="BG134" s="138">
        <v>0</v>
      </c>
      <c r="BH134" s="138">
        <v>0</v>
      </c>
      <c r="BI134" s="138">
        <v>0</v>
      </c>
      <c r="BJ134" s="138">
        <v>0</v>
      </c>
      <c r="BK134" s="138">
        <v>0</v>
      </c>
      <c r="BL134" s="138">
        <v>0</v>
      </c>
      <c r="BM134" s="138">
        <v>0</v>
      </c>
      <c r="BN134" s="138">
        <v>0</v>
      </c>
      <c r="BO134" s="86">
        <v>0</v>
      </c>
      <c r="BP134" s="138">
        <v>0</v>
      </c>
      <c r="BQ134" s="138">
        <v>0</v>
      </c>
      <c r="BR134" s="138">
        <v>0</v>
      </c>
      <c r="BS134" s="138">
        <v>0</v>
      </c>
      <c r="BT134" s="138">
        <v>0</v>
      </c>
      <c r="BU134" s="138">
        <v>0</v>
      </c>
      <c r="BV134" s="138">
        <v>0</v>
      </c>
      <c r="BW134" s="138">
        <v>0</v>
      </c>
      <c r="BX134" s="138">
        <v>0</v>
      </c>
      <c r="BY134" s="138">
        <v>0</v>
      </c>
      <c r="BZ134" s="138">
        <v>0</v>
      </c>
      <c r="CA134" s="138">
        <v>0</v>
      </c>
      <c r="CB134" s="86">
        <v>0</v>
      </c>
      <c r="CC134" s="138">
        <v>0</v>
      </c>
      <c r="CD134" s="138">
        <v>0</v>
      </c>
      <c r="CE134" s="138">
        <v>0</v>
      </c>
      <c r="CF134" s="138">
        <v>0</v>
      </c>
      <c r="CG134" s="138">
        <v>0</v>
      </c>
      <c r="CH134" s="138">
        <v>0</v>
      </c>
      <c r="CI134" s="138">
        <v>0</v>
      </c>
      <c r="CJ134" s="138">
        <v>0</v>
      </c>
      <c r="CK134" s="138">
        <v>0</v>
      </c>
      <c r="CL134" s="138">
        <v>0</v>
      </c>
      <c r="CM134" s="138">
        <v>0</v>
      </c>
      <c r="CN134" s="138">
        <v>0</v>
      </c>
      <c r="CO134" s="86">
        <v>0</v>
      </c>
      <c r="CP134" s="138">
        <v>0</v>
      </c>
      <c r="CQ134" s="138">
        <v>0</v>
      </c>
      <c r="CR134" s="138">
        <v>0</v>
      </c>
      <c r="CS134" s="138">
        <v>0</v>
      </c>
      <c r="CT134" s="138">
        <v>0</v>
      </c>
      <c r="CU134" s="138">
        <v>0</v>
      </c>
      <c r="CV134" s="138">
        <v>0</v>
      </c>
      <c r="CW134" s="138">
        <v>0</v>
      </c>
      <c r="CX134" s="138">
        <v>0</v>
      </c>
      <c r="CY134" s="138">
        <v>0</v>
      </c>
      <c r="CZ134" s="138">
        <v>0</v>
      </c>
      <c r="DA134" s="138">
        <v>0</v>
      </c>
      <c r="DB134" s="86">
        <v>0</v>
      </c>
      <c r="DC134" s="138">
        <v>0</v>
      </c>
      <c r="DD134" s="138">
        <v>0</v>
      </c>
      <c r="DE134" s="138">
        <v>0</v>
      </c>
      <c r="DF134" s="138">
        <v>0</v>
      </c>
      <c r="DG134" s="138">
        <v>0</v>
      </c>
      <c r="DH134" s="138">
        <v>0</v>
      </c>
      <c r="DI134" s="138">
        <v>0</v>
      </c>
      <c r="DJ134" s="138">
        <v>0</v>
      </c>
      <c r="DK134" s="138">
        <v>0</v>
      </c>
      <c r="DL134" s="138">
        <v>0</v>
      </c>
      <c r="DM134" s="138">
        <v>0</v>
      </c>
      <c r="DN134" s="138">
        <v>0</v>
      </c>
      <c r="DO134" s="86">
        <v>0</v>
      </c>
      <c r="DP134" s="138">
        <v>0</v>
      </c>
      <c r="DQ134" s="138">
        <v>0</v>
      </c>
      <c r="DR134" s="138">
        <v>0</v>
      </c>
      <c r="DS134" s="138">
        <v>0</v>
      </c>
      <c r="DT134" s="138">
        <v>0</v>
      </c>
      <c r="DU134" s="138">
        <v>0</v>
      </c>
      <c r="DV134" s="138">
        <v>0</v>
      </c>
      <c r="DW134" s="138">
        <v>0</v>
      </c>
      <c r="DX134" s="138">
        <v>0</v>
      </c>
      <c r="DY134" s="138">
        <v>0</v>
      </c>
      <c r="DZ134" s="138">
        <v>0</v>
      </c>
      <c r="EA134" s="138">
        <v>0</v>
      </c>
      <c r="EB134" s="85">
        <v>0</v>
      </c>
      <c r="EC134" s="87">
        <v>0</v>
      </c>
      <c r="ED134" s="85">
        <v>0</v>
      </c>
      <c r="EE134" s="85">
        <v>0</v>
      </c>
      <c r="EF134" s="85">
        <v>0</v>
      </c>
      <c r="EG134" s="85">
        <v>0</v>
      </c>
      <c r="EH134" s="85">
        <v>0</v>
      </c>
      <c r="EI134" s="85">
        <v>0</v>
      </c>
      <c r="EJ134" s="85">
        <v>0</v>
      </c>
      <c r="EK134" s="85">
        <v>0</v>
      </c>
      <c r="EL134" s="85">
        <v>0</v>
      </c>
      <c r="EM134" s="85">
        <v>0</v>
      </c>
      <c r="EN134" s="85">
        <v>0</v>
      </c>
      <c r="EO134" s="152">
        <v>0</v>
      </c>
      <c r="EP134" s="85">
        <v>0</v>
      </c>
      <c r="EQ134" s="85">
        <v>0</v>
      </c>
      <c r="ER134" s="85">
        <v>0</v>
      </c>
      <c r="ES134" s="85">
        <v>0</v>
      </c>
      <c r="ET134" s="85">
        <v>0</v>
      </c>
      <c r="EU134" s="85">
        <v>0</v>
      </c>
      <c r="EV134" s="85">
        <v>0</v>
      </c>
      <c r="EW134" s="85">
        <v>0</v>
      </c>
      <c r="EX134" s="85">
        <v>0</v>
      </c>
      <c r="EY134" s="85">
        <v>0</v>
      </c>
      <c r="EZ134" s="85">
        <v>0</v>
      </c>
      <c r="FA134" s="85">
        <v>0</v>
      </c>
      <c r="FB134" s="85">
        <v>0</v>
      </c>
      <c r="FC134" s="87">
        <v>0</v>
      </c>
      <c r="FD134" s="85">
        <v>0</v>
      </c>
      <c r="FE134" s="85">
        <v>0</v>
      </c>
      <c r="FF134" s="85">
        <v>0</v>
      </c>
      <c r="FG134" s="85">
        <v>0</v>
      </c>
      <c r="FH134" s="85">
        <v>0</v>
      </c>
      <c r="FI134" s="85">
        <v>0</v>
      </c>
      <c r="FJ134" s="85">
        <v>0</v>
      </c>
      <c r="FK134" s="85">
        <v>0</v>
      </c>
      <c r="FL134" s="85">
        <v>0</v>
      </c>
      <c r="FM134" s="85">
        <v>0</v>
      </c>
      <c r="FN134" s="85">
        <v>0</v>
      </c>
      <c r="FO134" s="86">
        <v>0</v>
      </c>
      <c r="FP134" s="87">
        <v>0</v>
      </c>
      <c r="FQ134" s="85">
        <v>0</v>
      </c>
      <c r="FR134" s="85">
        <v>0</v>
      </c>
      <c r="FS134" s="85">
        <v>0</v>
      </c>
      <c r="FT134" s="85">
        <v>0</v>
      </c>
      <c r="FU134" s="85">
        <v>0</v>
      </c>
      <c r="FV134" s="85">
        <v>0</v>
      </c>
      <c r="FW134" s="85">
        <v>0</v>
      </c>
      <c r="FX134" s="85">
        <v>0</v>
      </c>
      <c r="FY134" s="85">
        <v>0</v>
      </c>
      <c r="FZ134" s="85">
        <v>0</v>
      </c>
      <c r="GA134" s="85">
        <v>0</v>
      </c>
      <c r="GB134" s="152">
        <v>0</v>
      </c>
      <c r="GD134" s="153"/>
    </row>
    <row r="135" spans="1:186">
      <c r="A135" s="137" t="s">
        <v>295</v>
      </c>
      <c r="B135" s="151">
        <v>1362.66954261443</v>
      </c>
      <c r="C135" s="138">
        <f t="shared" si="37"/>
        <v>0</v>
      </c>
      <c r="D135" s="138">
        <f t="shared" si="26"/>
        <v>0</v>
      </c>
      <c r="E135" s="138">
        <f t="shared" si="27"/>
        <v>0</v>
      </c>
      <c r="F135" s="138">
        <f t="shared" si="28"/>
        <v>0</v>
      </c>
      <c r="G135" s="138">
        <f t="shared" si="29"/>
        <v>0</v>
      </c>
      <c r="H135" s="138">
        <f t="shared" si="30"/>
        <v>0</v>
      </c>
      <c r="I135" s="138">
        <f t="shared" si="31"/>
        <v>0</v>
      </c>
      <c r="J135" s="138">
        <f t="shared" si="32"/>
        <v>0</v>
      </c>
      <c r="K135" s="138">
        <f t="shared" si="33"/>
        <v>0</v>
      </c>
      <c r="L135" s="138">
        <f t="shared" si="34"/>
        <v>0</v>
      </c>
      <c r="M135" s="138">
        <f t="shared" si="35"/>
        <v>0</v>
      </c>
      <c r="N135" s="138">
        <f t="shared" si="36"/>
        <v>0</v>
      </c>
      <c r="O135" s="86">
        <f t="shared" si="38"/>
        <v>0</v>
      </c>
      <c r="P135" s="138">
        <v>0</v>
      </c>
      <c r="Q135" s="138">
        <v>0</v>
      </c>
      <c r="R135" s="138">
        <v>0</v>
      </c>
      <c r="S135" s="138">
        <v>0</v>
      </c>
      <c r="T135" s="138">
        <v>0</v>
      </c>
      <c r="U135" s="138">
        <v>0</v>
      </c>
      <c r="V135" s="138">
        <v>0</v>
      </c>
      <c r="W135" s="138">
        <v>0</v>
      </c>
      <c r="X135" s="138">
        <v>0</v>
      </c>
      <c r="Y135" s="138">
        <v>0</v>
      </c>
      <c r="Z135" s="138">
        <v>0</v>
      </c>
      <c r="AA135" s="138">
        <v>0</v>
      </c>
      <c r="AB135" s="86">
        <v>0</v>
      </c>
      <c r="AC135" s="138">
        <v>0</v>
      </c>
      <c r="AD135" s="138">
        <v>0</v>
      </c>
      <c r="AE135" s="138">
        <v>0</v>
      </c>
      <c r="AF135" s="138">
        <v>0</v>
      </c>
      <c r="AG135" s="138">
        <v>0</v>
      </c>
      <c r="AH135" s="138">
        <v>0</v>
      </c>
      <c r="AI135" s="138">
        <v>0</v>
      </c>
      <c r="AJ135" s="138">
        <v>0</v>
      </c>
      <c r="AK135" s="138">
        <v>0</v>
      </c>
      <c r="AL135" s="138">
        <v>0</v>
      </c>
      <c r="AM135" s="138">
        <v>0</v>
      </c>
      <c r="AN135" s="138">
        <v>0</v>
      </c>
      <c r="AO135" s="86">
        <v>0</v>
      </c>
      <c r="AP135" s="138">
        <v>0</v>
      </c>
      <c r="AQ135" s="138">
        <v>0</v>
      </c>
      <c r="AR135" s="138">
        <v>0</v>
      </c>
      <c r="AS135" s="138">
        <v>0</v>
      </c>
      <c r="AT135" s="138">
        <v>0</v>
      </c>
      <c r="AU135" s="138">
        <v>0</v>
      </c>
      <c r="AV135" s="138">
        <v>0</v>
      </c>
      <c r="AW135" s="138">
        <v>0</v>
      </c>
      <c r="AX135" s="138">
        <v>0</v>
      </c>
      <c r="AY135" s="138">
        <v>0</v>
      </c>
      <c r="AZ135" s="138">
        <v>0</v>
      </c>
      <c r="BA135" s="138">
        <v>0</v>
      </c>
      <c r="BB135" s="86">
        <v>0</v>
      </c>
      <c r="BC135" s="138">
        <v>0</v>
      </c>
      <c r="BD135" s="138">
        <v>0</v>
      </c>
      <c r="BE135" s="138">
        <v>0</v>
      </c>
      <c r="BF135" s="138">
        <v>0</v>
      </c>
      <c r="BG135" s="138">
        <v>0</v>
      </c>
      <c r="BH135" s="138">
        <v>0</v>
      </c>
      <c r="BI135" s="138">
        <v>0</v>
      </c>
      <c r="BJ135" s="138">
        <v>0</v>
      </c>
      <c r="BK135" s="138">
        <v>0</v>
      </c>
      <c r="BL135" s="138">
        <v>0</v>
      </c>
      <c r="BM135" s="138">
        <v>0</v>
      </c>
      <c r="BN135" s="138">
        <v>0</v>
      </c>
      <c r="BO135" s="86">
        <v>0</v>
      </c>
      <c r="BP135" s="138">
        <v>0</v>
      </c>
      <c r="BQ135" s="138">
        <v>0</v>
      </c>
      <c r="BR135" s="138">
        <v>0</v>
      </c>
      <c r="BS135" s="138">
        <v>0</v>
      </c>
      <c r="BT135" s="138">
        <v>0</v>
      </c>
      <c r="BU135" s="138">
        <v>0</v>
      </c>
      <c r="BV135" s="138">
        <v>0</v>
      </c>
      <c r="BW135" s="138">
        <v>0</v>
      </c>
      <c r="BX135" s="138">
        <v>0</v>
      </c>
      <c r="BY135" s="138">
        <v>0</v>
      </c>
      <c r="BZ135" s="138">
        <v>0</v>
      </c>
      <c r="CA135" s="138">
        <v>0</v>
      </c>
      <c r="CB135" s="86">
        <v>0</v>
      </c>
      <c r="CC135" s="138">
        <v>0</v>
      </c>
      <c r="CD135" s="138">
        <v>0</v>
      </c>
      <c r="CE135" s="138">
        <v>0</v>
      </c>
      <c r="CF135" s="138">
        <v>0</v>
      </c>
      <c r="CG135" s="138">
        <v>0</v>
      </c>
      <c r="CH135" s="138">
        <v>0</v>
      </c>
      <c r="CI135" s="138">
        <v>0</v>
      </c>
      <c r="CJ135" s="138">
        <v>0</v>
      </c>
      <c r="CK135" s="138">
        <v>0</v>
      </c>
      <c r="CL135" s="138">
        <v>0</v>
      </c>
      <c r="CM135" s="138">
        <v>0</v>
      </c>
      <c r="CN135" s="138">
        <v>0</v>
      </c>
      <c r="CO135" s="86">
        <v>0</v>
      </c>
      <c r="CP135" s="138">
        <v>0</v>
      </c>
      <c r="CQ135" s="138">
        <v>0</v>
      </c>
      <c r="CR135" s="138">
        <v>0</v>
      </c>
      <c r="CS135" s="138">
        <v>0</v>
      </c>
      <c r="CT135" s="138">
        <v>0</v>
      </c>
      <c r="CU135" s="138">
        <v>0</v>
      </c>
      <c r="CV135" s="138">
        <v>0</v>
      </c>
      <c r="CW135" s="138">
        <v>0</v>
      </c>
      <c r="CX135" s="138">
        <v>0</v>
      </c>
      <c r="CY135" s="138">
        <v>0</v>
      </c>
      <c r="CZ135" s="138">
        <v>0</v>
      </c>
      <c r="DA135" s="138">
        <v>0</v>
      </c>
      <c r="DB135" s="86">
        <v>0</v>
      </c>
      <c r="DC135" s="138">
        <v>0</v>
      </c>
      <c r="DD135" s="138">
        <v>0</v>
      </c>
      <c r="DE135" s="138">
        <v>0</v>
      </c>
      <c r="DF135" s="138">
        <v>0</v>
      </c>
      <c r="DG135" s="138">
        <v>0</v>
      </c>
      <c r="DH135" s="138">
        <v>0</v>
      </c>
      <c r="DI135" s="138">
        <v>0</v>
      </c>
      <c r="DJ135" s="138">
        <v>0</v>
      </c>
      <c r="DK135" s="138">
        <v>0</v>
      </c>
      <c r="DL135" s="138">
        <v>0</v>
      </c>
      <c r="DM135" s="138">
        <v>0</v>
      </c>
      <c r="DN135" s="138">
        <v>0</v>
      </c>
      <c r="DO135" s="86">
        <v>0</v>
      </c>
      <c r="DP135" s="138">
        <v>0</v>
      </c>
      <c r="DQ135" s="138">
        <v>0</v>
      </c>
      <c r="DR135" s="138">
        <v>0</v>
      </c>
      <c r="DS135" s="138">
        <v>0</v>
      </c>
      <c r="DT135" s="138">
        <v>0</v>
      </c>
      <c r="DU135" s="138">
        <v>0</v>
      </c>
      <c r="DV135" s="138">
        <v>0</v>
      </c>
      <c r="DW135" s="138">
        <v>0</v>
      </c>
      <c r="DX135" s="138">
        <v>0</v>
      </c>
      <c r="DY135" s="138">
        <v>0</v>
      </c>
      <c r="DZ135" s="138">
        <v>0</v>
      </c>
      <c r="EA135" s="138">
        <v>0</v>
      </c>
      <c r="EB135" s="85">
        <v>0</v>
      </c>
      <c r="EC135" s="87">
        <v>0</v>
      </c>
      <c r="ED135" s="85">
        <v>0</v>
      </c>
      <c r="EE135" s="85">
        <v>0</v>
      </c>
      <c r="EF135" s="85">
        <v>0</v>
      </c>
      <c r="EG135" s="85">
        <v>0</v>
      </c>
      <c r="EH135" s="85">
        <v>0</v>
      </c>
      <c r="EI135" s="85">
        <v>0</v>
      </c>
      <c r="EJ135" s="85">
        <v>0</v>
      </c>
      <c r="EK135" s="85">
        <v>0</v>
      </c>
      <c r="EL135" s="85">
        <v>0</v>
      </c>
      <c r="EM135" s="85">
        <v>0</v>
      </c>
      <c r="EN135" s="85">
        <v>0</v>
      </c>
      <c r="EO135" s="152">
        <v>0</v>
      </c>
      <c r="EP135" s="85">
        <v>0</v>
      </c>
      <c r="EQ135" s="85">
        <v>0</v>
      </c>
      <c r="ER135" s="85">
        <v>0</v>
      </c>
      <c r="ES135" s="85">
        <v>0</v>
      </c>
      <c r="ET135" s="85">
        <v>0</v>
      </c>
      <c r="EU135" s="85">
        <v>0</v>
      </c>
      <c r="EV135" s="85">
        <v>0</v>
      </c>
      <c r="EW135" s="85">
        <v>0</v>
      </c>
      <c r="EX135" s="85">
        <v>0</v>
      </c>
      <c r="EY135" s="85">
        <v>0</v>
      </c>
      <c r="EZ135" s="85">
        <v>0</v>
      </c>
      <c r="FA135" s="85">
        <v>0</v>
      </c>
      <c r="FB135" s="85">
        <v>0</v>
      </c>
      <c r="FC135" s="87">
        <v>0</v>
      </c>
      <c r="FD135" s="85">
        <v>0</v>
      </c>
      <c r="FE135" s="85">
        <v>0</v>
      </c>
      <c r="FF135" s="85">
        <v>0</v>
      </c>
      <c r="FG135" s="85">
        <v>0</v>
      </c>
      <c r="FH135" s="85">
        <v>0</v>
      </c>
      <c r="FI135" s="85">
        <v>0</v>
      </c>
      <c r="FJ135" s="85">
        <v>0</v>
      </c>
      <c r="FK135" s="85">
        <v>0</v>
      </c>
      <c r="FL135" s="85">
        <v>0</v>
      </c>
      <c r="FM135" s="85">
        <v>0</v>
      </c>
      <c r="FN135" s="85">
        <v>0</v>
      </c>
      <c r="FO135" s="86">
        <v>0</v>
      </c>
      <c r="FP135" s="87">
        <v>0</v>
      </c>
      <c r="FQ135" s="85">
        <v>0</v>
      </c>
      <c r="FR135" s="85">
        <v>0</v>
      </c>
      <c r="FS135" s="85">
        <v>0</v>
      </c>
      <c r="FT135" s="85">
        <v>0</v>
      </c>
      <c r="FU135" s="85">
        <v>0</v>
      </c>
      <c r="FV135" s="85">
        <v>0</v>
      </c>
      <c r="FW135" s="85">
        <v>0</v>
      </c>
      <c r="FX135" s="85">
        <v>0</v>
      </c>
      <c r="FY135" s="85">
        <v>0</v>
      </c>
      <c r="FZ135" s="85">
        <v>0</v>
      </c>
      <c r="GA135" s="85">
        <v>0</v>
      </c>
      <c r="GB135" s="152">
        <v>0</v>
      </c>
      <c r="GD135" s="153"/>
    </row>
    <row r="136" spans="1:186">
      <c r="A136" s="137" t="s">
        <v>308</v>
      </c>
      <c r="B136" s="151">
        <v>9170.81684820063</v>
      </c>
      <c r="C136" s="138">
        <f t="shared" si="37"/>
        <v>271.587642455831</v>
      </c>
      <c r="D136" s="138">
        <f t="shared" si="26"/>
        <v>1168.97814724886</v>
      </c>
      <c r="E136" s="138">
        <f t="shared" si="27"/>
        <v>194.142560056377</v>
      </c>
      <c r="F136" s="138">
        <f t="shared" si="28"/>
        <v>4147.1257223262</v>
      </c>
      <c r="G136" s="138">
        <f t="shared" si="29"/>
        <v>0</v>
      </c>
      <c r="H136" s="138">
        <f t="shared" si="30"/>
        <v>0</v>
      </c>
      <c r="I136" s="138">
        <f t="shared" si="31"/>
        <v>0</v>
      </c>
      <c r="J136" s="138">
        <f t="shared" si="32"/>
        <v>0</v>
      </c>
      <c r="K136" s="138">
        <f t="shared" si="33"/>
        <v>0</v>
      </c>
      <c r="L136" s="138">
        <f t="shared" si="34"/>
        <v>0</v>
      </c>
      <c r="M136" s="138">
        <f t="shared" si="35"/>
        <v>0</v>
      </c>
      <c r="N136" s="138">
        <f t="shared" si="36"/>
        <v>0</v>
      </c>
      <c r="O136" s="86">
        <f t="shared" si="38"/>
        <v>5781.83407208726</v>
      </c>
      <c r="P136" s="138">
        <v>0</v>
      </c>
      <c r="Q136" s="138">
        <v>0</v>
      </c>
      <c r="R136" s="138">
        <v>0</v>
      </c>
      <c r="S136" s="138">
        <v>0</v>
      </c>
      <c r="T136" s="138">
        <v>0</v>
      </c>
      <c r="U136" s="138">
        <v>0</v>
      </c>
      <c r="V136" s="138">
        <v>0</v>
      </c>
      <c r="W136" s="138">
        <v>0</v>
      </c>
      <c r="X136" s="138">
        <v>0</v>
      </c>
      <c r="Y136" s="138">
        <v>0</v>
      </c>
      <c r="Z136" s="138">
        <v>0</v>
      </c>
      <c r="AA136" s="138">
        <v>0</v>
      </c>
      <c r="AB136" s="86">
        <v>0</v>
      </c>
      <c r="AC136" s="138">
        <v>0</v>
      </c>
      <c r="AD136" s="138">
        <v>0</v>
      </c>
      <c r="AE136" s="138">
        <v>0</v>
      </c>
      <c r="AF136" s="138">
        <v>0</v>
      </c>
      <c r="AG136" s="138">
        <v>0</v>
      </c>
      <c r="AH136" s="138">
        <v>0</v>
      </c>
      <c r="AI136" s="138">
        <v>0</v>
      </c>
      <c r="AJ136" s="138">
        <v>0</v>
      </c>
      <c r="AK136" s="138">
        <v>0</v>
      </c>
      <c r="AL136" s="138">
        <v>0</v>
      </c>
      <c r="AM136" s="138">
        <v>0</v>
      </c>
      <c r="AN136" s="138">
        <v>0</v>
      </c>
      <c r="AO136" s="86">
        <v>0</v>
      </c>
      <c r="AP136" s="138">
        <v>0</v>
      </c>
      <c r="AQ136" s="138">
        <v>0</v>
      </c>
      <c r="AR136" s="138">
        <v>0</v>
      </c>
      <c r="AS136" s="138">
        <v>0</v>
      </c>
      <c r="AT136" s="138">
        <v>0</v>
      </c>
      <c r="AU136" s="138">
        <v>0</v>
      </c>
      <c r="AV136" s="138">
        <v>0</v>
      </c>
      <c r="AW136" s="138">
        <v>0</v>
      </c>
      <c r="AX136" s="138">
        <v>0</v>
      </c>
      <c r="AY136" s="138">
        <v>0</v>
      </c>
      <c r="AZ136" s="138">
        <v>0</v>
      </c>
      <c r="BA136" s="138">
        <v>0</v>
      </c>
      <c r="BB136" s="86">
        <v>0</v>
      </c>
      <c r="BC136" s="138">
        <v>0</v>
      </c>
      <c r="BD136" s="138">
        <v>0</v>
      </c>
      <c r="BE136" s="138">
        <v>0</v>
      </c>
      <c r="BF136" s="138">
        <v>0</v>
      </c>
      <c r="BG136" s="138">
        <v>0</v>
      </c>
      <c r="BH136" s="138">
        <v>0</v>
      </c>
      <c r="BI136" s="138">
        <v>0</v>
      </c>
      <c r="BJ136" s="138">
        <v>0</v>
      </c>
      <c r="BK136" s="138">
        <v>0</v>
      </c>
      <c r="BL136" s="138">
        <v>0</v>
      </c>
      <c r="BM136" s="138">
        <v>0</v>
      </c>
      <c r="BN136" s="138">
        <v>0</v>
      </c>
      <c r="BO136" s="86">
        <v>0</v>
      </c>
      <c r="BP136" s="138">
        <v>0</v>
      </c>
      <c r="BQ136" s="138">
        <v>0</v>
      </c>
      <c r="BR136" s="138">
        <v>0</v>
      </c>
      <c r="BS136" s="138">
        <v>0</v>
      </c>
      <c r="BT136" s="138">
        <v>0</v>
      </c>
      <c r="BU136" s="138">
        <v>0</v>
      </c>
      <c r="BV136" s="138">
        <v>0</v>
      </c>
      <c r="BW136" s="138">
        <v>0</v>
      </c>
      <c r="BX136" s="138">
        <v>0</v>
      </c>
      <c r="BY136" s="138">
        <v>0</v>
      </c>
      <c r="BZ136" s="138">
        <v>0</v>
      </c>
      <c r="CA136" s="138">
        <v>0</v>
      </c>
      <c r="CB136" s="86">
        <v>0</v>
      </c>
      <c r="CC136" s="138">
        <v>0</v>
      </c>
      <c r="CD136" s="138">
        <v>0</v>
      </c>
      <c r="CE136" s="138">
        <v>0</v>
      </c>
      <c r="CF136" s="138">
        <v>0</v>
      </c>
      <c r="CG136" s="138">
        <v>0</v>
      </c>
      <c r="CH136" s="138">
        <v>0</v>
      </c>
      <c r="CI136" s="138">
        <v>0</v>
      </c>
      <c r="CJ136" s="138">
        <v>0</v>
      </c>
      <c r="CK136" s="138">
        <v>0</v>
      </c>
      <c r="CL136" s="138">
        <v>0</v>
      </c>
      <c r="CM136" s="138">
        <v>0</v>
      </c>
      <c r="CN136" s="138">
        <v>0</v>
      </c>
      <c r="CO136" s="86">
        <v>0</v>
      </c>
      <c r="CP136" s="138">
        <v>0</v>
      </c>
      <c r="CQ136" s="138">
        <v>0</v>
      </c>
      <c r="CR136" s="138">
        <v>0</v>
      </c>
      <c r="CS136" s="138">
        <v>0</v>
      </c>
      <c r="CT136" s="138">
        <v>0</v>
      </c>
      <c r="CU136" s="138">
        <v>0</v>
      </c>
      <c r="CV136" s="138">
        <v>0</v>
      </c>
      <c r="CW136" s="138">
        <v>0</v>
      </c>
      <c r="CX136" s="138">
        <v>0</v>
      </c>
      <c r="CY136" s="138">
        <v>0</v>
      </c>
      <c r="CZ136" s="138">
        <v>0</v>
      </c>
      <c r="DA136" s="138">
        <v>0</v>
      </c>
      <c r="DB136" s="86">
        <v>0</v>
      </c>
      <c r="DC136" s="138">
        <v>0</v>
      </c>
      <c r="DD136" s="138">
        <v>0</v>
      </c>
      <c r="DE136" s="138">
        <v>0</v>
      </c>
      <c r="DF136" s="138">
        <v>0</v>
      </c>
      <c r="DG136" s="138">
        <v>0</v>
      </c>
      <c r="DH136" s="138">
        <v>0</v>
      </c>
      <c r="DI136" s="138">
        <v>0</v>
      </c>
      <c r="DJ136" s="138">
        <v>0</v>
      </c>
      <c r="DK136" s="138">
        <v>0</v>
      </c>
      <c r="DL136" s="138">
        <v>0</v>
      </c>
      <c r="DM136" s="138">
        <v>0</v>
      </c>
      <c r="DN136" s="138">
        <v>0</v>
      </c>
      <c r="DO136" s="86">
        <v>0</v>
      </c>
      <c r="DP136" s="138">
        <v>271.587642455831</v>
      </c>
      <c r="DQ136" s="138">
        <v>0</v>
      </c>
      <c r="DR136" s="138">
        <v>0</v>
      </c>
      <c r="DS136" s="138">
        <v>0</v>
      </c>
      <c r="DT136" s="138">
        <v>0</v>
      </c>
      <c r="DU136" s="138">
        <v>0</v>
      </c>
      <c r="DV136" s="138">
        <v>0</v>
      </c>
      <c r="DW136" s="138">
        <v>0</v>
      </c>
      <c r="DX136" s="138">
        <v>0</v>
      </c>
      <c r="DY136" s="138">
        <v>0</v>
      </c>
      <c r="DZ136" s="138">
        <v>0</v>
      </c>
      <c r="EA136" s="138">
        <v>0</v>
      </c>
      <c r="EB136" s="85">
        <v>271.587642455831</v>
      </c>
      <c r="EC136" s="87">
        <v>0</v>
      </c>
      <c r="ED136" s="85">
        <v>0</v>
      </c>
      <c r="EE136" s="85">
        <v>0</v>
      </c>
      <c r="EF136" s="85">
        <v>0</v>
      </c>
      <c r="EG136" s="85">
        <v>0</v>
      </c>
      <c r="EH136" s="85">
        <v>0</v>
      </c>
      <c r="EI136" s="85">
        <v>0</v>
      </c>
      <c r="EJ136" s="85">
        <v>0</v>
      </c>
      <c r="EK136" s="85">
        <v>0</v>
      </c>
      <c r="EL136" s="85">
        <v>0</v>
      </c>
      <c r="EM136" s="85">
        <v>0</v>
      </c>
      <c r="EN136" s="85">
        <v>0</v>
      </c>
      <c r="EO136" s="152">
        <v>0</v>
      </c>
      <c r="EP136" s="85">
        <v>0</v>
      </c>
      <c r="EQ136" s="85">
        <v>0</v>
      </c>
      <c r="ER136" s="85">
        <v>0</v>
      </c>
      <c r="ES136" s="85">
        <v>0</v>
      </c>
      <c r="ET136" s="85">
        <v>0</v>
      </c>
      <c r="EU136" s="85">
        <v>0</v>
      </c>
      <c r="EV136" s="85">
        <v>0</v>
      </c>
      <c r="EW136" s="85">
        <v>0</v>
      </c>
      <c r="EX136" s="85">
        <v>0</v>
      </c>
      <c r="EY136" s="85">
        <v>0</v>
      </c>
      <c r="EZ136" s="85">
        <v>0</v>
      </c>
      <c r="FA136" s="85">
        <v>0</v>
      </c>
      <c r="FB136" s="85">
        <v>0</v>
      </c>
      <c r="FC136" s="87">
        <v>0</v>
      </c>
      <c r="FD136" s="85">
        <v>0</v>
      </c>
      <c r="FE136" s="85">
        <v>0</v>
      </c>
      <c r="FF136" s="85">
        <v>0</v>
      </c>
      <c r="FG136" s="85">
        <v>0</v>
      </c>
      <c r="FH136" s="85">
        <v>0</v>
      </c>
      <c r="FI136" s="85">
        <v>0</v>
      </c>
      <c r="FJ136" s="85">
        <v>0</v>
      </c>
      <c r="FK136" s="85">
        <v>0</v>
      </c>
      <c r="FL136" s="85">
        <v>0</v>
      </c>
      <c r="FM136" s="85">
        <v>0</v>
      </c>
      <c r="FN136" s="85">
        <v>0</v>
      </c>
      <c r="FO136" s="86">
        <v>0</v>
      </c>
      <c r="FP136" s="87">
        <v>0</v>
      </c>
      <c r="FQ136" s="85">
        <v>1168.97814724886</v>
      </c>
      <c r="FR136" s="85">
        <v>194.142560056377</v>
      </c>
      <c r="FS136" s="85">
        <v>4147.1257223262</v>
      </c>
      <c r="FT136" s="85">
        <v>0</v>
      </c>
      <c r="FU136" s="85">
        <v>0</v>
      </c>
      <c r="FV136" s="85">
        <v>0</v>
      </c>
      <c r="FW136" s="85">
        <v>0</v>
      </c>
      <c r="FX136" s="85">
        <v>0</v>
      </c>
      <c r="FY136" s="85">
        <v>0</v>
      </c>
      <c r="FZ136" s="85">
        <v>0</v>
      </c>
      <c r="GA136" s="85">
        <v>0</v>
      </c>
      <c r="GB136" s="152">
        <v>5510.24642963143</v>
      </c>
      <c r="GD136" s="153"/>
    </row>
    <row r="137" spans="1:186">
      <c r="A137" s="137" t="s">
        <v>309</v>
      </c>
      <c r="B137" s="151">
        <v>426152.031327662</v>
      </c>
      <c r="C137" s="138">
        <f t="shared" si="37"/>
        <v>0</v>
      </c>
      <c r="D137" s="138">
        <f t="shared" si="26"/>
        <v>0</v>
      </c>
      <c r="E137" s="138">
        <f t="shared" si="27"/>
        <v>0</v>
      </c>
      <c r="F137" s="138">
        <f t="shared" si="28"/>
        <v>0</v>
      </c>
      <c r="G137" s="138">
        <f t="shared" si="29"/>
        <v>423.087521387514</v>
      </c>
      <c r="H137" s="138">
        <f t="shared" si="30"/>
        <v>0</v>
      </c>
      <c r="I137" s="138">
        <f t="shared" si="31"/>
        <v>0</v>
      </c>
      <c r="J137" s="138">
        <f t="shared" si="32"/>
        <v>0</v>
      </c>
      <c r="K137" s="138">
        <f t="shared" si="33"/>
        <v>0</v>
      </c>
      <c r="L137" s="138">
        <f t="shared" si="34"/>
        <v>0</v>
      </c>
      <c r="M137" s="138">
        <f t="shared" si="35"/>
        <v>0</v>
      </c>
      <c r="N137" s="138">
        <f t="shared" si="36"/>
        <v>0</v>
      </c>
      <c r="O137" s="86">
        <f t="shared" si="38"/>
        <v>423.087521387514</v>
      </c>
      <c r="P137" s="138">
        <v>0</v>
      </c>
      <c r="Q137" s="138">
        <v>0</v>
      </c>
      <c r="R137" s="138">
        <v>0</v>
      </c>
      <c r="S137" s="138">
        <v>0</v>
      </c>
      <c r="T137" s="138">
        <v>0</v>
      </c>
      <c r="U137" s="138">
        <v>0</v>
      </c>
      <c r="V137" s="138">
        <v>0</v>
      </c>
      <c r="W137" s="138">
        <v>0</v>
      </c>
      <c r="X137" s="138">
        <v>0</v>
      </c>
      <c r="Y137" s="138">
        <v>0</v>
      </c>
      <c r="Z137" s="138">
        <v>0</v>
      </c>
      <c r="AA137" s="138">
        <v>0</v>
      </c>
      <c r="AB137" s="86">
        <v>0</v>
      </c>
      <c r="AC137" s="138">
        <v>0</v>
      </c>
      <c r="AD137" s="138">
        <v>0</v>
      </c>
      <c r="AE137" s="138">
        <v>0</v>
      </c>
      <c r="AF137" s="138">
        <v>0</v>
      </c>
      <c r="AG137" s="138">
        <v>0</v>
      </c>
      <c r="AH137" s="138">
        <v>0</v>
      </c>
      <c r="AI137" s="138">
        <v>0</v>
      </c>
      <c r="AJ137" s="138">
        <v>0</v>
      </c>
      <c r="AK137" s="138">
        <v>0</v>
      </c>
      <c r="AL137" s="138">
        <v>0</v>
      </c>
      <c r="AM137" s="138">
        <v>0</v>
      </c>
      <c r="AN137" s="138">
        <v>0</v>
      </c>
      <c r="AO137" s="86">
        <v>0</v>
      </c>
      <c r="AP137" s="138">
        <v>0</v>
      </c>
      <c r="AQ137" s="138">
        <v>0</v>
      </c>
      <c r="AR137" s="138">
        <v>0</v>
      </c>
      <c r="AS137" s="138">
        <v>0</v>
      </c>
      <c r="AT137" s="138">
        <v>0</v>
      </c>
      <c r="AU137" s="138">
        <v>0</v>
      </c>
      <c r="AV137" s="138">
        <v>0</v>
      </c>
      <c r="AW137" s="138">
        <v>0</v>
      </c>
      <c r="AX137" s="138">
        <v>0</v>
      </c>
      <c r="AY137" s="138">
        <v>0</v>
      </c>
      <c r="AZ137" s="138">
        <v>0</v>
      </c>
      <c r="BA137" s="138">
        <v>0</v>
      </c>
      <c r="BB137" s="86">
        <v>0</v>
      </c>
      <c r="BC137" s="138">
        <v>0</v>
      </c>
      <c r="BD137" s="138">
        <v>0</v>
      </c>
      <c r="BE137" s="138">
        <v>0</v>
      </c>
      <c r="BF137" s="138">
        <v>0</v>
      </c>
      <c r="BG137" s="138">
        <v>0</v>
      </c>
      <c r="BH137" s="138">
        <v>0</v>
      </c>
      <c r="BI137" s="138">
        <v>0</v>
      </c>
      <c r="BJ137" s="138">
        <v>0</v>
      </c>
      <c r="BK137" s="138">
        <v>0</v>
      </c>
      <c r="BL137" s="138">
        <v>0</v>
      </c>
      <c r="BM137" s="138">
        <v>0</v>
      </c>
      <c r="BN137" s="138">
        <v>0</v>
      </c>
      <c r="BO137" s="86">
        <v>0</v>
      </c>
      <c r="BP137" s="138">
        <v>0</v>
      </c>
      <c r="BQ137" s="138">
        <v>0</v>
      </c>
      <c r="BR137" s="138">
        <v>0</v>
      </c>
      <c r="BS137" s="138">
        <v>0</v>
      </c>
      <c r="BT137" s="138">
        <v>0</v>
      </c>
      <c r="BU137" s="138">
        <v>0</v>
      </c>
      <c r="BV137" s="138">
        <v>0</v>
      </c>
      <c r="BW137" s="138">
        <v>0</v>
      </c>
      <c r="BX137" s="138">
        <v>0</v>
      </c>
      <c r="BY137" s="138">
        <v>0</v>
      </c>
      <c r="BZ137" s="138">
        <v>0</v>
      </c>
      <c r="CA137" s="138">
        <v>0</v>
      </c>
      <c r="CB137" s="86">
        <v>0</v>
      </c>
      <c r="CC137" s="138">
        <v>0</v>
      </c>
      <c r="CD137" s="138">
        <v>0</v>
      </c>
      <c r="CE137" s="138">
        <v>0</v>
      </c>
      <c r="CF137" s="138">
        <v>0</v>
      </c>
      <c r="CG137" s="138">
        <v>0</v>
      </c>
      <c r="CH137" s="138">
        <v>0</v>
      </c>
      <c r="CI137" s="138">
        <v>0</v>
      </c>
      <c r="CJ137" s="138">
        <v>0</v>
      </c>
      <c r="CK137" s="138">
        <v>0</v>
      </c>
      <c r="CL137" s="138">
        <v>0</v>
      </c>
      <c r="CM137" s="138">
        <v>0</v>
      </c>
      <c r="CN137" s="138">
        <v>0</v>
      </c>
      <c r="CO137" s="86">
        <v>0</v>
      </c>
      <c r="CP137" s="138">
        <v>0</v>
      </c>
      <c r="CQ137" s="138">
        <v>0</v>
      </c>
      <c r="CR137" s="138">
        <v>0</v>
      </c>
      <c r="CS137" s="138">
        <v>0</v>
      </c>
      <c r="CT137" s="138">
        <v>0</v>
      </c>
      <c r="CU137" s="138">
        <v>0</v>
      </c>
      <c r="CV137" s="138">
        <v>0</v>
      </c>
      <c r="CW137" s="138">
        <v>0</v>
      </c>
      <c r="CX137" s="138">
        <v>0</v>
      </c>
      <c r="CY137" s="138">
        <v>0</v>
      </c>
      <c r="CZ137" s="138">
        <v>0</v>
      </c>
      <c r="DA137" s="138">
        <v>0</v>
      </c>
      <c r="DB137" s="86">
        <v>0</v>
      </c>
      <c r="DC137" s="138">
        <v>0</v>
      </c>
      <c r="DD137" s="138">
        <v>0</v>
      </c>
      <c r="DE137" s="138">
        <v>0</v>
      </c>
      <c r="DF137" s="138">
        <v>0</v>
      </c>
      <c r="DG137" s="138">
        <v>279.449345951438</v>
      </c>
      <c r="DH137" s="138">
        <v>0</v>
      </c>
      <c r="DI137" s="138">
        <v>0</v>
      </c>
      <c r="DJ137" s="138">
        <v>0</v>
      </c>
      <c r="DK137" s="138">
        <v>0</v>
      </c>
      <c r="DL137" s="138">
        <v>0</v>
      </c>
      <c r="DM137" s="138">
        <v>0</v>
      </c>
      <c r="DN137" s="138">
        <v>0</v>
      </c>
      <c r="DO137" s="86">
        <v>279.449345951438</v>
      </c>
      <c r="DP137" s="138">
        <v>0</v>
      </c>
      <c r="DQ137" s="138">
        <v>0</v>
      </c>
      <c r="DR137" s="138">
        <v>0</v>
      </c>
      <c r="DS137" s="138">
        <v>0</v>
      </c>
      <c r="DT137" s="138">
        <v>0</v>
      </c>
      <c r="DU137" s="138">
        <v>0</v>
      </c>
      <c r="DV137" s="138">
        <v>0</v>
      </c>
      <c r="DW137" s="138">
        <v>0</v>
      </c>
      <c r="DX137" s="138">
        <v>0</v>
      </c>
      <c r="DY137" s="138">
        <v>0</v>
      </c>
      <c r="DZ137" s="138">
        <v>0</v>
      </c>
      <c r="EA137" s="138">
        <v>0</v>
      </c>
      <c r="EB137" s="85">
        <v>0</v>
      </c>
      <c r="EC137" s="87">
        <v>0</v>
      </c>
      <c r="ED137" s="85">
        <v>0</v>
      </c>
      <c r="EE137" s="85">
        <v>0</v>
      </c>
      <c r="EF137" s="85">
        <v>0</v>
      </c>
      <c r="EG137" s="85">
        <v>0</v>
      </c>
      <c r="EH137" s="85">
        <v>0</v>
      </c>
      <c r="EI137" s="85">
        <v>0</v>
      </c>
      <c r="EJ137" s="85">
        <v>0</v>
      </c>
      <c r="EK137" s="85">
        <v>0</v>
      </c>
      <c r="EL137" s="85">
        <v>0</v>
      </c>
      <c r="EM137" s="85">
        <v>0</v>
      </c>
      <c r="EN137" s="85">
        <v>0</v>
      </c>
      <c r="EO137" s="152">
        <v>0</v>
      </c>
      <c r="EP137" s="85">
        <v>0</v>
      </c>
      <c r="EQ137" s="85">
        <v>0</v>
      </c>
      <c r="ER137" s="85">
        <v>0</v>
      </c>
      <c r="ES137" s="85">
        <v>0</v>
      </c>
      <c r="ET137" s="85">
        <v>0</v>
      </c>
      <c r="EU137" s="85">
        <v>0</v>
      </c>
      <c r="EV137" s="85">
        <v>0</v>
      </c>
      <c r="EW137" s="85">
        <v>0</v>
      </c>
      <c r="EX137" s="85">
        <v>0</v>
      </c>
      <c r="EY137" s="85">
        <v>0</v>
      </c>
      <c r="EZ137" s="85">
        <v>0</v>
      </c>
      <c r="FA137" s="85">
        <v>0</v>
      </c>
      <c r="FB137" s="85">
        <v>0</v>
      </c>
      <c r="FC137" s="87">
        <v>0</v>
      </c>
      <c r="FD137" s="85">
        <v>0</v>
      </c>
      <c r="FE137" s="85">
        <v>0</v>
      </c>
      <c r="FF137" s="85">
        <v>0</v>
      </c>
      <c r="FG137" s="85">
        <v>0</v>
      </c>
      <c r="FH137" s="85">
        <v>0</v>
      </c>
      <c r="FI137" s="85">
        <v>0</v>
      </c>
      <c r="FJ137" s="85">
        <v>0</v>
      </c>
      <c r="FK137" s="85">
        <v>0</v>
      </c>
      <c r="FL137" s="85">
        <v>0</v>
      </c>
      <c r="FM137" s="85">
        <v>0</v>
      </c>
      <c r="FN137" s="85">
        <v>0</v>
      </c>
      <c r="FO137" s="86">
        <v>0</v>
      </c>
      <c r="FP137" s="87">
        <v>0</v>
      </c>
      <c r="FQ137" s="85">
        <v>0</v>
      </c>
      <c r="FR137" s="85">
        <v>0</v>
      </c>
      <c r="FS137" s="85">
        <v>0</v>
      </c>
      <c r="FT137" s="85">
        <v>143.638175436077</v>
      </c>
      <c r="FU137" s="85">
        <v>0</v>
      </c>
      <c r="FV137" s="85">
        <v>0</v>
      </c>
      <c r="FW137" s="85">
        <v>0</v>
      </c>
      <c r="FX137" s="85">
        <v>0</v>
      </c>
      <c r="FY137" s="85">
        <v>0</v>
      </c>
      <c r="FZ137" s="85">
        <v>0</v>
      </c>
      <c r="GA137" s="85">
        <v>0</v>
      </c>
      <c r="GB137" s="152">
        <v>143.638175436077</v>
      </c>
      <c r="GD137" s="153"/>
    </row>
    <row r="138" spans="1:186">
      <c r="A138" s="137" t="s">
        <v>310</v>
      </c>
      <c r="B138" s="151">
        <v>1407.2792011498</v>
      </c>
      <c r="C138" s="138">
        <f t="shared" si="37"/>
        <v>0</v>
      </c>
      <c r="D138" s="138">
        <f t="shared" si="26"/>
        <v>63.409824796751</v>
      </c>
      <c r="E138" s="138">
        <f t="shared" si="27"/>
        <v>67.0903140455669</v>
      </c>
      <c r="F138" s="138">
        <f t="shared" si="28"/>
        <v>0</v>
      </c>
      <c r="G138" s="138">
        <f t="shared" si="29"/>
        <v>0</v>
      </c>
      <c r="H138" s="138">
        <f t="shared" si="30"/>
        <v>0</v>
      </c>
      <c r="I138" s="138">
        <f t="shared" si="31"/>
        <v>0</v>
      </c>
      <c r="J138" s="138">
        <f t="shared" si="32"/>
        <v>0</v>
      </c>
      <c r="K138" s="138">
        <f t="shared" si="33"/>
        <v>0</v>
      </c>
      <c r="L138" s="138">
        <f t="shared" si="34"/>
        <v>0</v>
      </c>
      <c r="M138" s="138">
        <f t="shared" si="35"/>
        <v>0</v>
      </c>
      <c r="N138" s="138">
        <f t="shared" si="36"/>
        <v>0</v>
      </c>
      <c r="O138" s="86">
        <f t="shared" si="38"/>
        <v>130.500138842318</v>
      </c>
      <c r="P138" s="138">
        <v>0</v>
      </c>
      <c r="Q138" s="138">
        <v>0</v>
      </c>
      <c r="R138" s="138">
        <v>0</v>
      </c>
      <c r="S138" s="138">
        <v>0</v>
      </c>
      <c r="T138" s="138">
        <v>0</v>
      </c>
      <c r="U138" s="138">
        <v>0</v>
      </c>
      <c r="V138" s="138">
        <v>0</v>
      </c>
      <c r="W138" s="138">
        <v>0</v>
      </c>
      <c r="X138" s="138">
        <v>0</v>
      </c>
      <c r="Y138" s="138">
        <v>0</v>
      </c>
      <c r="Z138" s="138">
        <v>0</v>
      </c>
      <c r="AA138" s="138">
        <v>0</v>
      </c>
      <c r="AB138" s="86">
        <v>0</v>
      </c>
      <c r="AC138" s="138">
        <v>0</v>
      </c>
      <c r="AD138" s="138">
        <v>0</v>
      </c>
      <c r="AE138" s="138">
        <v>0</v>
      </c>
      <c r="AF138" s="138">
        <v>0</v>
      </c>
      <c r="AG138" s="138">
        <v>0</v>
      </c>
      <c r="AH138" s="138">
        <v>0</v>
      </c>
      <c r="AI138" s="138">
        <v>0</v>
      </c>
      <c r="AJ138" s="138">
        <v>0</v>
      </c>
      <c r="AK138" s="138">
        <v>0</v>
      </c>
      <c r="AL138" s="138">
        <v>0</v>
      </c>
      <c r="AM138" s="138">
        <v>0</v>
      </c>
      <c r="AN138" s="138">
        <v>0</v>
      </c>
      <c r="AO138" s="86">
        <v>0</v>
      </c>
      <c r="AP138" s="138">
        <v>0</v>
      </c>
      <c r="AQ138" s="138">
        <v>0</v>
      </c>
      <c r="AR138" s="138">
        <v>0</v>
      </c>
      <c r="AS138" s="138">
        <v>0</v>
      </c>
      <c r="AT138" s="138">
        <v>0</v>
      </c>
      <c r="AU138" s="138">
        <v>0</v>
      </c>
      <c r="AV138" s="138">
        <v>0</v>
      </c>
      <c r="AW138" s="138">
        <v>0</v>
      </c>
      <c r="AX138" s="138">
        <v>0</v>
      </c>
      <c r="AY138" s="138">
        <v>0</v>
      </c>
      <c r="AZ138" s="138">
        <v>0</v>
      </c>
      <c r="BA138" s="138">
        <v>0</v>
      </c>
      <c r="BB138" s="86">
        <v>0</v>
      </c>
      <c r="BC138" s="138">
        <v>0</v>
      </c>
      <c r="BD138" s="138">
        <v>0</v>
      </c>
      <c r="BE138" s="138">
        <v>0</v>
      </c>
      <c r="BF138" s="138">
        <v>0</v>
      </c>
      <c r="BG138" s="138">
        <v>0</v>
      </c>
      <c r="BH138" s="138">
        <v>0</v>
      </c>
      <c r="BI138" s="138">
        <v>0</v>
      </c>
      <c r="BJ138" s="138">
        <v>0</v>
      </c>
      <c r="BK138" s="138">
        <v>0</v>
      </c>
      <c r="BL138" s="138">
        <v>0</v>
      </c>
      <c r="BM138" s="138">
        <v>0</v>
      </c>
      <c r="BN138" s="138">
        <v>0</v>
      </c>
      <c r="BO138" s="86">
        <v>0</v>
      </c>
      <c r="BP138" s="138">
        <v>0</v>
      </c>
      <c r="BQ138" s="138">
        <v>0</v>
      </c>
      <c r="BR138" s="138">
        <v>67.0903140455669</v>
      </c>
      <c r="BS138" s="138">
        <v>0</v>
      </c>
      <c r="BT138" s="138">
        <v>0</v>
      </c>
      <c r="BU138" s="138">
        <v>0</v>
      </c>
      <c r="BV138" s="138">
        <v>0</v>
      </c>
      <c r="BW138" s="138">
        <v>0</v>
      </c>
      <c r="BX138" s="138">
        <v>0</v>
      </c>
      <c r="BY138" s="138">
        <v>0</v>
      </c>
      <c r="BZ138" s="138">
        <v>0</v>
      </c>
      <c r="CA138" s="138">
        <v>0</v>
      </c>
      <c r="CB138" s="86">
        <v>67.0903140455669</v>
      </c>
      <c r="CC138" s="138">
        <v>0</v>
      </c>
      <c r="CD138" s="138">
        <v>63.409824796751</v>
      </c>
      <c r="CE138" s="138">
        <v>0</v>
      </c>
      <c r="CF138" s="138">
        <v>0</v>
      </c>
      <c r="CG138" s="138">
        <v>0</v>
      </c>
      <c r="CH138" s="138">
        <v>0</v>
      </c>
      <c r="CI138" s="138">
        <v>0</v>
      </c>
      <c r="CJ138" s="138">
        <v>0</v>
      </c>
      <c r="CK138" s="138">
        <v>0</v>
      </c>
      <c r="CL138" s="138">
        <v>0</v>
      </c>
      <c r="CM138" s="138">
        <v>0</v>
      </c>
      <c r="CN138" s="138">
        <v>0</v>
      </c>
      <c r="CO138" s="86">
        <v>63.409824796751</v>
      </c>
      <c r="CP138" s="138">
        <v>0</v>
      </c>
      <c r="CQ138" s="138">
        <v>0</v>
      </c>
      <c r="CR138" s="138">
        <v>0</v>
      </c>
      <c r="CS138" s="138">
        <v>0</v>
      </c>
      <c r="CT138" s="138">
        <v>0</v>
      </c>
      <c r="CU138" s="138">
        <v>0</v>
      </c>
      <c r="CV138" s="138">
        <v>0</v>
      </c>
      <c r="CW138" s="138">
        <v>0</v>
      </c>
      <c r="CX138" s="138">
        <v>0</v>
      </c>
      <c r="CY138" s="138">
        <v>0</v>
      </c>
      <c r="CZ138" s="138">
        <v>0</v>
      </c>
      <c r="DA138" s="138">
        <v>0</v>
      </c>
      <c r="DB138" s="86">
        <v>0</v>
      </c>
      <c r="DC138" s="138">
        <v>0</v>
      </c>
      <c r="DD138" s="138">
        <v>0</v>
      </c>
      <c r="DE138" s="138">
        <v>0</v>
      </c>
      <c r="DF138" s="138">
        <v>0</v>
      </c>
      <c r="DG138" s="138">
        <v>0</v>
      </c>
      <c r="DH138" s="138">
        <v>0</v>
      </c>
      <c r="DI138" s="138">
        <v>0</v>
      </c>
      <c r="DJ138" s="138">
        <v>0</v>
      </c>
      <c r="DK138" s="138">
        <v>0</v>
      </c>
      <c r="DL138" s="138">
        <v>0</v>
      </c>
      <c r="DM138" s="138">
        <v>0</v>
      </c>
      <c r="DN138" s="138">
        <v>0</v>
      </c>
      <c r="DO138" s="86">
        <v>0</v>
      </c>
      <c r="DP138" s="138">
        <v>0</v>
      </c>
      <c r="DQ138" s="138">
        <v>0</v>
      </c>
      <c r="DR138" s="138">
        <v>0</v>
      </c>
      <c r="DS138" s="138">
        <v>0</v>
      </c>
      <c r="DT138" s="138">
        <v>0</v>
      </c>
      <c r="DU138" s="138">
        <v>0</v>
      </c>
      <c r="DV138" s="138">
        <v>0</v>
      </c>
      <c r="DW138" s="138">
        <v>0</v>
      </c>
      <c r="DX138" s="138">
        <v>0</v>
      </c>
      <c r="DY138" s="138">
        <v>0</v>
      </c>
      <c r="DZ138" s="138">
        <v>0</v>
      </c>
      <c r="EA138" s="138">
        <v>0</v>
      </c>
      <c r="EB138" s="85">
        <v>0</v>
      </c>
      <c r="EC138" s="87">
        <v>0</v>
      </c>
      <c r="ED138" s="85">
        <v>0</v>
      </c>
      <c r="EE138" s="85">
        <v>0</v>
      </c>
      <c r="EF138" s="85">
        <v>0</v>
      </c>
      <c r="EG138" s="85">
        <v>0</v>
      </c>
      <c r="EH138" s="85">
        <v>0</v>
      </c>
      <c r="EI138" s="85">
        <v>0</v>
      </c>
      <c r="EJ138" s="85">
        <v>0</v>
      </c>
      <c r="EK138" s="85">
        <v>0</v>
      </c>
      <c r="EL138" s="85">
        <v>0</v>
      </c>
      <c r="EM138" s="85">
        <v>0</v>
      </c>
      <c r="EN138" s="85">
        <v>0</v>
      </c>
      <c r="EO138" s="152">
        <v>0</v>
      </c>
      <c r="EP138" s="85">
        <v>0</v>
      </c>
      <c r="EQ138" s="85">
        <v>0</v>
      </c>
      <c r="ER138" s="85">
        <v>0</v>
      </c>
      <c r="ES138" s="85">
        <v>0</v>
      </c>
      <c r="ET138" s="85">
        <v>0</v>
      </c>
      <c r="EU138" s="85">
        <v>0</v>
      </c>
      <c r="EV138" s="85">
        <v>0</v>
      </c>
      <c r="EW138" s="85">
        <v>0</v>
      </c>
      <c r="EX138" s="85">
        <v>0</v>
      </c>
      <c r="EY138" s="85">
        <v>0</v>
      </c>
      <c r="EZ138" s="85">
        <v>0</v>
      </c>
      <c r="FA138" s="85">
        <v>0</v>
      </c>
      <c r="FB138" s="85">
        <v>0</v>
      </c>
      <c r="FC138" s="87">
        <v>0</v>
      </c>
      <c r="FD138" s="85">
        <v>0</v>
      </c>
      <c r="FE138" s="85">
        <v>0</v>
      </c>
      <c r="FF138" s="85">
        <v>0</v>
      </c>
      <c r="FG138" s="85">
        <v>0</v>
      </c>
      <c r="FH138" s="85">
        <v>0</v>
      </c>
      <c r="FI138" s="85">
        <v>0</v>
      </c>
      <c r="FJ138" s="85">
        <v>0</v>
      </c>
      <c r="FK138" s="85">
        <v>0</v>
      </c>
      <c r="FL138" s="85">
        <v>0</v>
      </c>
      <c r="FM138" s="85">
        <v>0</v>
      </c>
      <c r="FN138" s="85">
        <v>0</v>
      </c>
      <c r="FO138" s="86">
        <v>0</v>
      </c>
      <c r="FP138" s="87">
        <v>0</v>
      </c>
      <c r="FQ138" s="85">
        <v>0</v>
      </c>
      <c r="FR138" s="85">
        <v>0</v>
      </c>
      <c r="FS138" s="85">
        <v>0</v>
      </c>
      <c r="FT138" s="85">
        <v>0</v>
      </c>
      <c r="FU138" s="85">
        <v>0</v>
      </c>
      <c r="FV138" s="85">
        <v>0</v>
      </c>
      <c r="FW138" s="85">
        <v>0</v>
      </c>
      <c r="FX138" s="85">
        <v>0</v>
      </c>
      <c r="FY138" s="85">
        <v>0</v>
      </c>
      <c r="FZ138" s="85">
        <v>0</v>
      </c>
      <c r="GA138" s="85">
        <v>0</v>
      </c>
      <c r="GB138" s="152">
        <v>0</v>
      </c>
      <c r="GD138" s="153"/>
    </row>
    <row r="139" spans="1:186">
      <c r="A139" s="137" t="s">
        <v>311</v>
      </c>
      <c r="B139" s="151">
        <v>5273.70622922206</v>
      </c>
      <c r="C139" s="138">
        <f t="shared" si="37"/>
        <v>0</v>
      </c>
      <c r="D139" s="138">
        <f t="shared" si="26"/>
        <v>0</v>
      </c>
      <c r="E139" s="138">
        <f t="shared" si="27"/>
        <v>0</v>
      </c>
      <c r="F139" s="138">
        <f t="shared" si="28"/>
        <v>0</v>
      </c>
      <c r="G139" s="138">
        <f t="shared" si="29"/>
        <v>0</v>
      </c>
      <c r="H139" s="138">
        <f t="shared" si="30"/>
        <v>0</v>
      </c>
      <c r="I139" s="138">
        <f t="shared" si="31"/>
        <v>0</v>
      </c>
      <c r="J139" s="138">
        <f t="shared" si="32"/>
        <v>0</v>
      </c>
      <c r="K139" s="138">
        <f t="shared" si="33"/>
        <v>0</v>
      </c>
      <c r="L139" s="138">
        <f t="shared" si="34"/>
        <v>0</v>
      </c>
      <c r="M139" s="138">
        <f t="shared" si="35"/>
        <v>0</v>
      </c>
      <c r="N139" s="138">
        <f t="shared" si="36"/>
        <v>0</v>
      </c>
      <c r="O139" s="86">
        <f t="shared" si="38"/>
        <v>0</v>
      </c>
      <c r="P139" s="138">
        <v>0</v>
      </c>
      <c r="Q139" s="138">
        <v>0</v>
      </c>
      <c r="R139" s="138">
        <v>0</v>
      </c>
      <c r="S139" s="138">
        <v>0</v>
      </c>
      <c r="T139" s="138">
        <v>0</v>
      </c>
      <c r="U139" s="138">
        <v>0</v>
      </c>
      <c r="V139" s="138">
        <v>0</v>
      </c>
      <c r="W139" s="138">
        <v>0</v>
      </c>
      <c r="X139" s="138">
        <v>0</v>
      </c>
      <c r="Y139" s="138">
        <v>0</v>
      </c>
      <c r="Z139" s="138">
        <v>0</v>
      </c>
      <c r="AA139" s="138">
        <v>0</v>
      </c>
      <c r="AB139" s="86">
        <v>0</v>
      </c>
      <c r="AC139" s="138">
        <v>0</v>
      </c>
      <c r="AD139" s="138">
        <v>0</v>
      </c>
      <c r="AE139" s="138">
        <v>0</v>
      </c>
      <c r="AF139" s="138">
        <v>0</v>
      </c>
      <c r="AG139" s="138">
        <v>0</v>
      </c>
      <c r="AH139" s="138">
        <v>0</v>
      </c>
      <c r="AI139" s="138">
        <v>0</v>
      </c>
      <c r="AJ139" s="138">
        <v>0</v>
      </c>
      <c r="AK139" s="138">
        <v>0</v>
      </c>
      <c r="AL139" s="138">
        <v>0</v>
      </c>
      <c r="AM139" s="138">
        <v>0</v>
      </c>
      <c r="AN139" s="138">
        <v>0</v>
      </c>
      <c r="AO139" s="86">
        <v>0</v>
      </c>
      <c r="AP139" s="138">
        <v>0</v>
      </c>
      <c r="AQ139" s="138">
        <v>0</v>
      </c>
      <c r="AR139" s="138">
        <v>0</v>
      </c>
      <c r="AS139" s="138">
        <v>0</v>
      </c>
      <c r="AT139" s="138">
        <v>0</v>
      </c>
      <c r="AU139" s="138">
        <v>0</v>
      </c>
      <c r="AV139" s="138">
        <v>0</v>
      </c>
      <c r="AW139" s="138">
        <v>0</v>
      </c>
      <c r="AX139" s="138">
        <v>0</v>
      </c>
      <c r="AY139" s="138">
        <v>0</v>
      </c>
      <c r="AZ139" s="138">
        <v>0</v>
      </c>
      <c r="BA139" s="138">
        <v>0</v>
      </c>
      <c r="BB139" s="86">
        <v>0</v>
      </c>
      <c r="BC139" s="138">
        <v>0</v>
      </c>
      <c r="BD139" s="138">
        <v>0</v>
      </c>
      <c r="BE139" s="138">
        <v>0</v>
      </c>
      <c r="BF139" s="138">
        <v>0</v>
      </c>
      <c r="BG139" s="138">
        <v>0</v>
      </c>
      <c r="BH139" s="138">
        <v>0</v>
      </c>
      <c r="BI139" s="138">
        <v>0</v>
      </c>
      <c r="BJ139" s="138">
        <v>0</v>
      </c>
      <c r="BK139" s="138">
        <v>0</v>
      </c>
      <c r="BL139" s="138">
        <v>0</v>
      </c>
      <c r="BM139" s="138">
        <v>0</v>
      </c>
      <c r="BN139" s="138">
        <v>0</v>
      </c>
      <c r="BO139" s="86">
        <v>0</v>
      </c>
      <c r="BP139" s="138">
        <v>0</v>
      </c>
      <c r="BQ139" s="138">
        <v>0</v>
      </c>
      <c r="BR139" s="138">
        <v>0</v>
      </c>
      <c r="BS139" s="138">
        <v>0</v>
      </c>
      <c r="BT139" s="138">
        <v>0</v>
      </c>
      <c r="BU139" s="138">
        <v>0</v>
      </c>
      <c r="BV139" s="138">
        <v>0</v>
      </c>
      <c r="BW139" s="138">
        <v>0</v>
      </c>
      <c r="BX139" s="138">
        <v>0</v>
      </c>
      <c r="BY139" s="138">
        <v>0</v>
      </c>
      <c r="BZ139" s="138">
        <v>0</v>
      </c>
      <c r="CA139" s="138">
        <v>0</v>
      </c>
      <c r="CB139" s="86">
        <v>0</v>
      </c>
      <c r="CC139" s="138">
        <v>0</v>
      </c>
      <c r="CD139" s="138">
        <v>0</v>
      </c>
      <c r="CE139" s="138">
        <v>0</v>
      </c>
      <c r="CF139" s="138">
        <v>0</v>
      </c>
      <c r="CG139" s="138">
        <v>0</v>
      </c>
      <c r="CH139" s="138">
        <v>0</v>
      </c>
      <c r="CI139" s="138">
        <v>0</v>
      </c>
      <c r="CJ139" s="138">
        <v>0</v>
      </c>
      <c r="CK139" s="138">
        <v>0</v>
      </c>
      <c r="CL139" s="138">
        <v>0</v>
      </c>
      <c r="CM139" s="138">
        <v>0</v>
      </c>
      <c r="CN139" s="138">
        <v>0</v>
      </c>
      <c r="CO139" s="86">
        <v>0</v>
      </c>
      <c r="CP139" s="138">
        <v>0</v>
      </c>
      <c r="CQ139" s="138">
        <v>0</v>
      </c>
      <c r="CR139" s="138">
        <v>0</v>
      </c>
      <c r="CS139" s="138">
        <v>0</v>
      </c>
      <c r="CT139" s="138">
        <v>0</v>
      </c>
      <c r="CU139" s="138">
        <v>0</v>
      </c>
      <c r="CV139" s="138">
        <v>0</v>
      </c>
      <c r="CW139" s="138">
        <v>0</v>
      </c>
      <c r="CX139" s="138">
        <v>0</v>
      </c>
      <c r="CY139" s="138">
        <v>0</v>
      </c>
      <c r="CZ139" s="138">
        <v>0</v>
      </c>
      <c r="DA139" s="138">
        <v>0</v>
      </c>
      <c r="DB139" s="86">
        <v>0</v>
      </c>
      <c r="DC139" s="138">
        <v>0</v>
      </c>
      <c r="DD139" s="138">
        <v>0</v>
      </c>
      <c r="DE139" s="138">
        <v>0</v>
      </c>
      <c r="DF139" s="138">
        <v>0</v>
      </c>
      <c r="DG139" s="138">
        <v>0</v>
      </c>
      <c r="DH139" s="138">
        <v>0</v>
      </c>
      <c r="DI139" s="138">
        <v>0</v>
      </c>
      <c r="DJ139" s="138">
        <v>0</v>
      </c>
      <c r="DK139" s="138">
        <v>0</v>
      </c>
      <c r="DL139" s="138">
        <v>0</v>
      </c>
      <c r="DM139" s="138">
        <v>0</v>
      </c>
      <c r="DN139" s="138">
        <v>0</v>
      </c>
      <c r="DO139" s="86">
        <v>0</v>
      </c>
      <c r="DP139" s="138">
        <v>0</v>
      </c>
      <c r="DQ139" s="138">
        <v>0</v>
      </c>
      <c r="DR139" s="138">
        <v>0</v>
      </c>
      <c r="DS139" s="138">
        <v>0</v>
      </c>
      <c r="DT139" s="138">
        <v>0</v>
      </c>
      <c r="DU139" s="138">
        <v>0</v>
      </c>
      <c r="DV139" s="138">
        <v>0</v>
      </c>
      <c r="DW139" s="138">
        <v>0</v>
      </c>
      <c r="DX139" s="138">
        <v>0</v>
      </c>
      <c r="DY139" s="138">
        <v>0</v>
      </c>
      <c r="DZ139" s="138">
        <v>0</v>
      </c>
      <c r="EA139" s="138">
        <v>0</v>
      </c>
      <c r="EB139" s="85">
        <v>0</v>
      </c>
      <c r="EC139" s="87">
        <v>0</v>
      </c>
      <c r="ED139" s="85">
        <v>0</v>
      </c>
      <c r="EE139" s="85">
        <v>0</v>
      </c>
      <c r="EF139" s="85">
        <v>0</v>
      </c>
      <c r="EG139" s="85">
        <v>0</v>
      </c>
      <c r="EH139" s="85">
        <v>0</v>
      </c>
      <c r="EI139" s="85">
        <v>0</v>
      </c>
      <c r="EJ139" s="85">
        <v>0</v>
      </c>
      <c r="EK139" s="85">
        <v>0</v>
      </c>
      <c r="EL139" s="85">
        <v>0</v>
      </c>
      <c r="EM139" s="85">
        <v>0</v>
      </c>
      <c r="EN139" s="85">
        <v>0</v>
      </c>
      <c r="EO139" s="152">
        <v>0</v>
      </c>
      <c r="EP139" s="85">
        <v>0</v>
      </c>
      <c r="EQ139" s="85">
        <v>0</v>
      </c>
      <c r="ER139" s="85">
        <v>0</v>
      </c>
      <c r="ES139" s="85">
        <v>0</v>
      </c>
      <c r="ET139" s="85">
        <v>0</v>
      </c>
      <c r="EU139" s="85">
        <v>0</v>
      </c>
      <c r="EV139" s="85">
        <v>0</v>
      </c>
      <c r="EW139" s="85">
        <v>0</v>
      </c>
      <c r="EX139" s="85">
        <v>0</v>
      </c>
      <c r="EY139" s="85">
        <v>0</v>
      </c>
      <c r="EZ139" s="85">
        <v>0</v>
      </c>
      <c r="FA139" s="85">
        <v>0</v>
      </c>
      <c r="FB139" s="85">
        <v>0</v>
      </c>
      <c r="FC139" s="87">
        <v>0</v>
      </c>
      <c r="FD139" s="85">
        <v>0</v>
      </c>
      <c r="FE139" s="85">
        <v>0</v>
      </c>
      <c r="FF139" s="85">
        <v>0</v>
      </c>
      <c r="FG139" s="85">
        <v>0</v>
      </c>
      <c r="FH139" s="85">
        <v>0</v>
      </c>
      <c r="FI139" s="85">
        <v>0</v>
      </c>
      <c r="FJ139" s="85">
        <v>0</v>
      </c>
      <c r="FK139" s="85">
        <v>0</v>
      </c>
      <c r="FL139" s="85">
        <v>0</v>
      </c>
      <c r="FM139" s="85">
        <v>0</v>
      </c>
      <c r="FN139" s="85">
        <v>0</v>
      </c>
      <c r="FO139" s="86">
        <v>0</v>
      </c>
      <c r="FP139" s="87">
        <v>0</v>
      </c>
      <c r="FQ139" s="85">
        <v>0</v>
      </c>
      <c r="FR139" s="85">
        <v>0</v>
      </c>
      <c r="FS139" s="85">
        <v>0</v>
      </c>
      <c r="FT139" s="85">
        <v>0</v>
      </c>
      <c r="FU139" s="85">
        <v>0</v>
      </c>
      <c r="FV139" s="85">
        <v>0</v>
      </c>
      <c r="FW139" s="85">
        <v>0</v>
      </c>
      <c r="FX139" s="85">
        <v>0</v>
      </c>
      <c r="FY139" s="85">
        <v>0</v>
      </c>
      <c r="FZ139" s="85">
        <v>0</v>
      </c>
      <c r="GA139" s="85">
        <v>0</v>
      </c>
      <c r="GB139" s="152">
        <v>0</v>
      </c>
      <c r="GD139" s="153"/>
    </row>
    <row r="140" spans="1:186">
      <c r="A140" s="137" t="s">
        <v>312</v>
      </c>
      <c r="B140" s="151">
        <v>0</v>
      </c>
      <c r="C140" s="138">
        <f t="shared" si="37"/>
        <v>0</v>
      </c>
      <c r="D140" s="138">
        <f t="shared" si="26"/>
        <v>0</v>
      </c>
      <c r="E140" s="138">
        <f t="shared" si="27"/>
        <v>0</v>
      </c>
      <c r="F140" s="138">
        <f t="shared" si="28"/>
        <v>0</v>
      </c>
      <c r="G140" s="138">
        <f t="shared" si="29"/>
        <v>0</v>
      </c>
      <c r="H140" s="138">
        <f t="shared" si="30"/>
        <v>0</v>
      </c>
      <c r="I140" s="138">
        <f t="shared" si="31"/>
        <v>0</v>
      </c>
      <c r="J140" s="138">
        <f t="shared" si="32"/>
        <v>0</v>
      </c>
      <c r="K140" s="138">
        <f t="shared" si="33"/>
        <v>0</v>
      </c>
      <c r="L140" s="138">
        <f t="shared" si="34"/>
        <v>0</v>
      </c>
      <c r="M140" s="138">
        <f t="shared" si="35"/>
        <v>0</v>
      </c>
      <c r="N140" s="138">
        <f t="shared" si="36"/>
        <v>0</v>
      </c>
      <c r="O140" s="86">
        <f t="shared" si="38"/>
        <v>0</v>
      </c>
      <c r="P140" s="138">
        <v>0</v>
      </c>
      <c r="Q140" s="138">
        <v>0</v>
      </c>
      <c r="R140" s="138">
        <v>0</v>
      </c>
      <c r="S140" s="138">
        <v>0</v>
      </c>
      <c r="T140" s="138">
        <v>0</v>
      </c>
      <c r="U140" s="138">
        <v>0</v>
      </c>
      <c r="V140" s="138">
        <v>0</v>
      </c>
      <c r="W140" s="138">
        <v>0</v>
      </c>
      <c r="X140" s="138">
        <v>0</v>
      </c>
      <c r="Y140" s="138">
        <v>0</v>
      </c>
      <c r="Z140" s="138">
        <v>0</v>
      </c>
      <c r="AA140" s="138">
        <v>0</v>
      </c>
      <c r="AB140" s="86">
        <v>0</v>
      </c>
      <c r="AC140" s="138">
        <v>0</v>
      </c>
      <c r="AD140" s="138">
        <v>0</v>
      </c>
      <c r="AE140" s="138">
        <v>0</v>
      </c>
      <c r="AF140" s="138">
        <v>0</v>
      </c>
      <c r="AG140" s="138">
        <v>0</v>
      </c>
      <c r="AH140" s="138">
        <v>0</v>
      </c>
      <c r="AI140" s="138">
        <v>0</v>
      </c>
      <c r="AJ140" s="138">
        <v>0</v>
      </c>
      <c r="AK140" s="138">
        <v>0</v>
      </c>
      <c r="AL140" s="138">
        <v>0</v>
      </c>
      <c r="AM140" s="138">
        <v>0</v>
      </c>
      <c r="AN140" s="138">
        <v>0</v>
      </c>
      <c r="AO140" s="86">
        <v>0</v>
      </c>
      <c r="AP140" s="138">
        <v>0</v>
      </c>
      <c r="AQ140" s="138">
        <v>0</v>
      </c>
      <c r="AR140" s="138">
        <v>0</v>
      </c>
      <c r="AS140" s="138">
        <v>0</v>
      </c>
      <c r="AT140" s="138">
        <v>0</v>
      </c>
      <c r="AU140" s="138">
        <v>0</v>
      </c>
      <c r="AV140" s="138">
        <v>0</v>
      </c>
      <c r="AW140" s="138">
        <v>0</v>
      </c>
      <c r="AX140" s="138">
        <v>0</v>
      </c>
      <c r="AY140" s="138">
        <v>0</v>
      </c>
      <c r="AZ140" s="138">
        <v>0</v>
      </c>
      <c r="BA140" s="138">
        <v>0</v>
      </c>
      <c r="BB140" s="86">
        <v>0</v>
      </c>
      <c r="BC140" s="138">
        <v>0</v>
      </c>
      <c r="BD140" s="138">
        <v>0</v>
      </c>
      <c r="BE140" s="138">
        <v>0</v>
      </c>
      <c r="BF140" s="138">
        <v>0</v>
      </c>
      <c r="BG140" s="138">
        <v>0</v>
      </c>
      <c r="BH140" s="138">
        <v>0</v>
      </c>
      <c r="BI140" s="138">
        <v>0</v>
      </c>
      <c r="BJ140" s="138">
        <v>0</v>
      </c>
      <c r="BK140" s="138">
        <v>0</v>
      </c>
      <c r="BL140" s="138">
        <v>0</v>
      </c>
      <c r="BM140" s="138">
        <v>0</v>
      </c>
      <c r="BN140" s="138">
        <v>0</v>
      </c>
      <c r="BO140" s="86">
        <v>0</v>
      </c>
      <c r="BP140" s="138">
        <v>0</v>
      </c>
      <c r="BQ140" s="138">
        <v>0</v>
      </c>
      <c r="BR140" s="138">
        <v>0</v>
      </c>
      <c r="BS140" s="138">
        <v>0</v>
      </c>
      <c r="BT140" s="138">
        <v>0</v>
      </c>
      <c r="BU140" s="138">
        <v>0</v>
      </c>
      <c r="BV140" s="138">
        <v>0</v>
      </c>
      <c r="BW140" s="138">
        <v>0</v>
      </c>
      <c r="BX140" s="138">
        <v>0</v>
      </c>
      <c r="BY140" s="138">
        <v>0</v>
      </c>
      <c r="BZ140" s="138">
        <v>0</v>
      </c>
      <c r="CA140" s="138">
        <v>0</v>
      </c>
      <c r="CB140" s="86">
        <v>0</v>
      </c>
      <c r="CC140" s="138">
        <v>0</v>
      </c>
      <c r="CD140" s="138">
        <v>0</v>
      </c>
      <c r="CE140" s="138">
        <v>0</v>
      </c>
      <c r="CF140" s="138">
        <v>0</v>
      </c>
      <c r="CG140" s="138">
        <v>0</v>
      </c>
      <c r="CH140" s="138">
        <v>0</v>
      </c>
      <c r="CI140" s="138">
        <v>0</v>
      </c>
      <c r="CJ140" s="138">
        <v>0</v>
      </c>
      <c r="CK140" s="138">
        <v>0</v>
      </c>
      <c r="CL140" s="138">
        <v>0</v>
      </c>
      <c r="CM140" s="138">
        <v>0</v>
      </c>
      <c r="CN140" s="138">
        <v>0</v>
      </c>
      <c r="CO140" s="86">
        <v>0</v>
      </c>
      <c r="CP140" s="138">
        <v>0</v>
      </c>
      <c r="CQ140" s="138">
        <v>0</v>
      </c>
      <c r="CR140" s="138">
        <v>0</v>
      </c>
      <c r="CS140" s="138">
        <v>0</v>
      </c>
      <c r="CT140" s="138">
        <v>0</v>
      </c>
      <c r="CU140" s="138">
        <v>0</v>
      </c>
      <c r="CV140" s="138">
        <v>0</v>
      </c>
      <c r="CW140" s="138">
        <v>0</v>
      </c>
      <c r="CX140" s="138">
        <v>0</v>
      </c>
      <c r="CY140" s="138">
        <v>0</v>
      </c>
      <c r="CZ140" s="138">
        <v>0</v>
      </c>
      <c r="DA140" s="138">
        <v>0</v>
      </c>
      <c r="DB140" s="86">
        <v>0</v>
      </c>
      <c r="DC140" s="138">
        <v>0</v>
      </c>
      <c r="DD140" s="138">
        <v>0</v>
      </c>
      <c r="DE140" s="138">
        <v>0</v>
      </c>
      <c r="DF140" s="138">
        <v>0</v>
      </c>
      <c r="DG140" s="138">
        <v>0</v>
      </c>
      <c r="DH140" s="138">
        <v>0</v>
      </c>
      <c r="DI140" s="138">
        <v>0</v>
      </c>
      <c r="DJ140" s="138">
        <v>0</v>
      </c>
      <c r="DK140" s="138">
        <v>0</v>
      </c>
      <c r="DL140" s="138">
        <v>0</v>
      </c>
      <c r="DM140" s="138">
        <v>0</v>
      </c>
      <c r="DN140" s="138">
        <v>0</v>
      </c>
      <c r="DO140" s="86">
        <v>0</v>
      </c>
      <c r="DP140" s="138">
        <v>0</v>
      </c>
      <c r="DQ140" s="138">
        <v>0</v>
      </c>
      <c r="DR140" s="138">
        <v>0</v>
      </c>
      <c r="DS140" s="138">
        <v>0</v>
      </c>
      <c r="DT140" s="138">
        <v>0</v>
      </c>
      <c r="DU140" s="138">
        <v>0</v>
      </c>
      <c r="DV140" s="138">
        <v>0</v>
      </c>
      <c r="DW140" s="138">
        <v>0</v>
      </c>
      <c r="DX140" s="138">
        <v>0</v>
      </c>
      <c r="DY140" s="138">
        <v>0</v>
      </c>
      <c r="DZ140" s="138">
        <v>0</v>
      </c>
      <c r="EA140" s="138">
        <v>0</v>
      </c>
      <c r="EB140" s="85">
        <v>0</v>
      </c>
      <c r="EC140" s="87">
        <v>0</v>
      </c>
      <c r="ED140" s="85">
        <v>0</v>
      </c>
      <c r="EE140" s="85">
        <v>0</v>
      </c>
      <c r="EF140" s="85">
        <v>0</v>
      </c>
      <c r="EG140" s="85">
        <v>0</v>
      </c>
      <c r="EH140" s="85">
        <v>0</v>
      </c>
      <c r="EI140" s="85">
        <v>0</v>
      </c>
      <c r="EJ140" s="85">
        <v>0</v>
      </c>
      <c r="EK140" s="85">
        <v>0</v>
      </c>
      <c r="EL140" s="85">
        <v>0</v>
      </c>
      <c r="EM140" s="85">
        <v>0</v>
      </c>
      <c r="EN140" s="85">
        <v>0</v>
      </c>
      <c r="EO140" s="152">
        <v>0</v>
      </c>
      <c r="EP140" s="85">
        <v>0</v>
      </c>
      <c r="EQ140" s="85">
        <v>0</v>
      </c>
      <c r="ER140" s="85">
        <v>0</v>
      </c>
      <c r="ES140" s="85">
        <v>0</v>
      </c>
      <c r="ET140" s="85">
        <v>0</v>
      </c>
      <c r="EU140" s="85">
        <v>0</v>
      </c>
      <c r="EV140" s="85">
        <v>0</v>
      </c>
      <c r="EW140" s="85">
        <v>0</v>
      </c>
      <c r="EX140" s="85">
        <v>0</v>
      </c>
      <c r="EY140" s="85">
        <v>0</v>
      </c>
      <c r="EZ140" s="85">
        <v>0</v>
      </c>
      <c r="FA140" s="85">
        <v>0</v>
      </c>
      <c r="FB140" s="85">
        <v>0</v>
      </c>
      <c r="FC140" s="87">
        <v>0</v>
      </c>
      <c r="FD140" s="85">
        <v>0</v>
      </c>
      <c r="FE140" s="85">
        <v>0</v>
      </c>
      <c r="FF140" s="85">
        <v>0</v>
      </c>
      <c r="FG140" s="85">
        <v>0</v>
      </c>
      <c r="FH140" s="85">
        <v>0</v>
      </c>
      <c r="FI140" s="85">
        <v>0</v>
      </c>
      <c r="FJ140" s="85">
        <v>0</v>
      </c>
      <c r="FK140" s="85">
        <v>0</v>
      </c>
      <c r="FL140" s="85">
        <v>0</v>
      </c>
      <c r="FM140" s="85">
        <v>0</v>
      </c>
      <c r="FN140" s="85">
        <v>0</v>
      </c>
      <c r="FO140" s="86">
        <v>0</v>
      </c>
      <c r="FP140" s="87">
        <v>0</v>
      </c>
      <c r="FQ140" s="85">
        <v>0</v>
      </c>
      <c r="FR140" s="85">
        <v>0</v>
      </c>
      <c r="FS140" s="85">
        <v>0</v>
      </c>
      <c r="FT140" s="85">
        <v>0</v>
      </c>
      <c r="FU140" s="85">
        <v>0</v>
      </c>
      <c r="FV140" s="85">
        <v>0</v>
      </c>
      <c r="FW140" s="85">
        <v>0</v>
      </c>
      <c r="FX140" s="85">
        <v>0</v>
      </c>
      <c r="FY140" s="85">
        <v>0</v>
      </c>
      <c r="FZ140" s="85">
        <v>0</v>
      </c>
      <c r="GA140" s="85">
        <v>0</v>
      </c>
      <c r="GB140" s="152">
        <v>0</v>
      </c>
      <c r="GD140" s="153"/>
    </row>
    <row r="141" spans="1:186">
      <c r="A141" s="137" t="s">
        <v>313</v>
      </c>
      <c r="B141" s="151">
        <v>451.278845043401</v>
      </c>
      <c r="C141" s="138">
        <f t="shared" si="37"/>
        <v>0</v>
      </c>
      <c r="D141" s="138">
        <f t="shared" si="26"/>
        <v>0</v>
      </c>
      <c r="E141" s="138">
        <f t="shared" si="27"/>
        <v>0</v>
      </c>
      <c r="F141" s="138">
        <f t="shared" si="28"/>
        <v>0</v>
      </c>
      <c r="G141" s="138">
        <f t="shared" si="29"/>
        <v>0</v>
      </c>
      <c r="H141" s="138">
        <f t="shared" si="30"/>
        <v>0</v>
      </c>
      <c r="I141" s="138">
        <f t="shared" si="31"/>
        <v>0</v>
      </c>
      <c r="J141" s="138">
        <f t="shared" si="32"/>
        <v>0</v>
      </c>
      <c r="K141" s="138">
        <f t="shared" si="33"/>
        <v>0</v>
      </c>
      <c r="L141" s="138">
        <f t="shared" si="34"/>
        <v>0</v>
      </c>
      <c r="M141" s="138">
        <f t="shared" si="35"/>
        <v>0</v>
      </c>
      <c r="N141" s="138">
        <f t="shared" si="36"/>
        <v>0</v>
      </c>
      <c r="O141" s="86">
        <f t="shared" si="38"/>
        <v>0</v>
      </c>
      <c r="P141" s="138">
        <v>0</v>
      </c>
      <c r="Q141" s="138">
        <v>0</v>
      </c>
      <c r="R141" s="138">
        <v>0</v>
      </c>
      <c r="S141" s="138">
        <v>0</v>
      </c>
      <c r="T141" s="138">
        <v>0</v>
      </c>
      <c r="U141" s="138">
        <v>0</v>
      </c>
      <c r="V141" s="138">
        <v>0</v>
      </c>
      <c r="W141" s="138">
        <v>0</v>
      </c>
      <c r="X141" s="138">
        <v>0</v>
      </c>
      <c r="Y141" s="138">
        <v>0</v>
      </c>
      <c r="Z141" s="138">
        <v>0</v>
      </c>
      <c r="AA141" s="138">
        <v>0</v>
      </c>
      <c r="AB141" s="86">
        <v>0</v>
      </c>
      <c r="AC141" s="138">
        <v>0</v>
      </c>
      <c r="AD141" s="138">
        <v>0</v>
      </c>
      <c r="AE141" s="138">
        <v>0</v>
      </c>
      <c r="AF141" s="138">
        <v>0</v>
      </c>
      <c r="AG141" s="138">
        <v>0</v>
      </c>
      <c r="AH141" s="138">
        <v>0</v>
      </c>
      <c r="AI141" s="138">
        <v>0</v>
      </c>
      <c r="AJ141" s="138">
        <v>0</v>
      </c>
      <c r="AK141" s="138">
        <v>0</v>
      </c>
      <c r="AL141" s="138">
        <v>0</v>
      </c>
      <c r="AM141" s="138">
        <v>0</v>
      </c>
      <c r="AN141" s="138">
        <v>0</v>
      </c>
      <c r="AO141" s="86">
        <v>0</v>
      </c>
      <c r="AP141" s="138">
        <v>0</v>
      </c>
      <c r="AQ141" s="138">
        <v>0</v>
      </c>
      <c r="AR141" s="138">
        <v>0</v>
      </c>
      <c r="AS141" s="138">
        <v>0</v>
      </c>
      <c r="AT141" s="138">
        <v>0</v>
      </c>
      <c r="AU141" s="138">
        <v>0</v>
      </c>
      <c r="AV141" s="138">
        <v>0</v>
      </c>
      <c r="AW141" s="138">
        <v>0</v>
      </c>
      <c r="AX141" s="138">
        <v>0</v>
      </c>
      <c r="AY141" s="138">
        <v>0</v>
      </c>
      <c r="AZ141" s="138">
        <v>0</v>
      </c>
      <c r="BA141" s="138">
        <v>0</v>
      </c>
      <c r="BB141" s="86">
        <v>0</v>
      </c>
      <c r="BC141" s="138">
        <v>0</v>
      </c>
      <c r="BD141" s="138">
        <v>0</v>
      </c>
      <c r="BE141" s="138">
        <v>0</v>
      </c>
      <c r="BF141" s="138">
        <v>0</v>
      </c>
      <c r="BG141" s="138">
        <v>0</v>
      </c>
      <c r="BH141" s="138">
        <v>0</v>
      </c>
      <c r="BI141" s="138">
        <v>0</v>
      </c>
      <c r="BJ141" s="138">
        <v>0</v>
      </c>
      <c r="BK141" s="138">
        <v>0</v>
      </c>
      <c r="BL141" s="138">
        <v>0</v>
      </c>
      <c r="BM141" s="138">
        <v>0</v>
      </c>
      <c r="BN141" s="138">
        <v>0</v>
      </c>
      <c r="BO141" s="86">
        <v>0</v>
      </c>
      <c r="BP141" s="138">
        <v>0</v>
      </c>
      <c r="BQ141" s="138">
        <v>0</v>
      </c>
      <c r="BR141" s="138">
        <v>0</v>
      </c>
      <c r="BS141" s="138">
        <v>0</v>
      </c>
      <c r="BT141" s="138">
        <v>0</v>
      </c>
      <c r="BU141" s="138">
        <v>0</v>
      </c>
      <c r="BV141" s="138">
        <v>0</v>
      </c>
      <c r="BW141" s="138">
        <v>0</v>
      </c>
      <c r="BX141" s="138">
        <v>0</v>
      </c>
      <c r="BY141" s="138">
        <v>0</v>
      </c>
      <c r="BZ141" s="138">
        <v>0</v>
      </c>
      <c r="CA141" s="138">
        <v>0</v>
      </c>
      <c r="CB141" s="86">
        <v>0</v>
      </c>
      <c r="CC141" s="138">
        <v>0</v>
      </c>
      <c r="CD141" s="138">
        <v>0</v>
      </c>
      <c r="CE141" s="138">
        <v>0</v>
      </c>
      <c r="CF141" s="138">
        <v>0</v>
      </c>
      <c r="CG141" s="138">
        <v>0</v>
      </c>
      <c r="CH141" s="138">
        <v>0</v>
      </c>
      <c r="CI141" s="138">
        <v>0</v>
      </c>
      <c r="CJ141" s="138">
        <v>0</v>
      </c>
      <c r="CK141" s="138">
        <v>0</v>
      </c>
      <c r="CL141" s="138">
        <v>0</v>
      </c>
      <c r="CM141" s="138">
        <v>0</v>
      </c>
      <c r="CN141" s="138">
        <v>0</v>
      </c>
      <c r="CO141" s="86">
        <v>0</v>
      </c>
      <c r="CP141" s="138">
        <v>0</v>
      </c>
      <c r="CQ141" s="138">
        <v>0</v>
      </c>
      <c r="CR141" s="138">
        <v>0</v>
      </c>
      <c r="CS141" s="138">
        <v>0</v>
      </c>
      <c r="CT141" s="138">
        <v>0</v>
      </c>
      <c r="CU141" s="138">
        <v>0</v>
      </c>
      <c r="CV141" s="138">
        <v>0</v>
      </c>
      <c r="CW141" s="138">
        <v>0</v>
      </c>
      <c r="CX141" s="138">
        <v>0</v>
      </c>
      <c r="CY141" s="138">
        <v>0</v>
      </c>
      <c r="CZ141" s="138">
        <v>0</v>
      </c>
      <c r="DA141" s="138">
        <v>0</v>
      </c>
      <c r="DB141" s="86">
        <v>0</v>
      </c>
      <c r="DC141" s="138">
        <v>0</v>
      </c>
      <c r="DD141" s="138">
        <v>0</v>
      </c>
      <c r="DE141" s="138">
        <v>0</v>
      </c>
      <c r="DF141" s="138">
        <v>0</v>
      </c>
      <c r="DG141" s="138">
        <v>0</v>
      </c>
      <c r="DH141" s="138">
        <v>0</v>
      </c>
      <c r="DI141" s="138">
        <v>0</v>
      </c>
      <c r="DJ141" s="138">
        <v>0</v>
      </c>
      <c r="DK141" s="138">
        <v>0</v>
      </c>
      <c r="DL141" s="138">
        <v>0</v>
      </c>
      <c r="DM141" s="138">
        <v>0</v>
      </c>
      <c r="DN141" s="138">
        <v>0</v>
      </c>
      <c r="DO141" s="86">
        <v>0</v>
      </c>
      <c r="DP141" s="138">
        <v>0</v>
      </c>
      <c r="DQ141" s="138">
        <v>0</v>
      </c>
      <c r="DR141" s="138">
        <v>0</v>
      </c>
      <c r="DS141" s="138">
        <v>0</v>
      </c>
      <c r="DT141" s="138">
        <v>0</v>
      </c>
      <c r="DU141" s="138">
        <v>0</v>
      </c>
      <c r="DV141" s="138">
        <v>0</v>
      </c>
      <c r="DW141" s="138">
        <v>0</v>
      </c>
      <c r="DX141" s="138">
        <v>0</v>
      </c>
      <c r="DY141" s="138">
        <v>0</v>
      </c>
      <c r="DZ141" s="138">
        <v>0</v>
      </c>
      <c r="EA141" s="138">
        <v>0</v>
      </c>
      <c r="EB141" s="85">
        <v>0</v>
      </c>
      <c r="EC141" s="87">
        <v>0</v>
      </c>
      <c r="ED141" s="85">
        <v>0</v>
      </c>
      <c r="EE141" s="85">
        <v>0</v>
      </c>
      <c r="EF141" s="85">
        <v>0</v>
      </c>
      <c r="EG141" s="85">
        <v>0</v>
      </c>
      <c r="EH141" s="85">
        <v>0</v>
      </c>
      <c r="EI141" s="85">
        <v>0</v>
      </c>
      <c r="EJ141" s="85">
        <v>0</v>
      </c>
      <c r="EK141" s="85">
        <v>0</v>
      </c>
      <c r="EL141" s="85">
        <v>0</v>
      </c>
      <c r="EM141" s="85">
        <v>0</v>
      </c>
      <c r="EN141" s="85">
        <v>0</v>
      </c>
      <c r="EO141" s="152">
        <v>0</v>
      </c>
      <c r="EP141" s="85">
        <v>0</v>
      </c>
      <c r="EQ141" s="85">
        <v>0</v>
      </c>
      <c r="ER141" s="85">
        <v>0</v>
      </c>
      <c r="ES141" s="85">
        <v>0</v>
      </c>
      <c r="ET141" s="85">
        <v>0</v>
      </c>
      <c r="EU141" s="85">
        <v>0</v>
      </c>
      <c r="EV141" s="85">
        <v>0</v>
      </c>
      <c r="EW141" s="85">
        <v>0</v>
      </c>
      <c r="EX141" s="85">
        <v>0</v>
      </c>
      <c r="EY141" s="85">
        <v>0</v>
      </c>
      <c r="EZ141" s="85">
        <v>0</v>
      </c>
      <c r="FA141" s="85">
        <v>0</v>
      </c>
      <c r="FB141" s="85">
        <v>0</v>
      </c>
      <c r="FC141" s="87">
        <v>0</v>
      </c>
      <c r="FD141" s="85">
        <v>0</v>
      </c>
      <c r="FE141" s="85">
        <v>0</v>
      </c>
      <c r="FF141" s="85">
        <v>0</v>
      </c>
      <c r="FG141" s="85">
        <v>0</v>
      </c>
      <c r="FH141" s="85">
        <v>0</v>
      </c>
      <c r="FI141" s="85">
        <v>0</v>
      </c>
      <c r="FJ141" s="85">
        <v>0</v>
      </c>
      <c r="FK141" s="85">
        <v>0</v>
      </c>
      <c r="FL141" s="85">
        <v>0</v>
      </c>
      <c r="FM141" s="85">
        <v>0</v>
      </c>
      <c r="FN141" s="85">
        <v>0</v>
      </c>
      <c r="FO141" s="86">
        <v>0</v>
      </c>
      <c r="FP141" s="87">
        <v>0</v>
      </c>
      <c r="FQ141" s="85">
        <v>0</v>
      </c>
      <c r="FR141" s="85">
        <v>0</v>
      </c>
      <c r="FS141" s="85">
        <v>0</v>
      </c>
      <c r="FT141" s="85">
        <v>0</v>
      </c>
      <c r="FU141" s="85">
        <v>0</v>
      </c>
      <c r="FV141" s="85">
        <v>0</v>
      </c>
      <c r="FW141" s="85">
        <v>0</v>
      </c>
      <c r="FX141" s="85">
        <v>0</v>
      </c>
      <c r="FY141" s="85">
        <v>0</v>
      </c>
      <c r="FZ141" s="85">
        <v>0</v>
      </c>
      <c r="GA141" s="85">
        <v>0</v>
      </c>
      <c r="GB141" s="152">
        <v>0</v>
      </c>
      <c r="GD141" s="153"/>
    </row>
    <row r="142" spans="1:186">
      <c r="A142" s="137" t="s">
        <v>314</v>
      </c>
      <c r="B142" s="151">
        <v>552.572292840273</v>
      </c>
      <c r="C142" s="138">
        <f t="shared" si="37"/>
        <v>0</v>
      </c>
      <c r="D142" s="138">
        <f t="shared" si="26"/>
        <v>0</v>
      </c>
      <c r="E142" s="138">
        <f t="shared" si="27"/>
        <v>0</v>
      </c>
      <c r="F142" s="138">
        <f t="shared" si="28"/>
        <v>0</v>
      </c>
      <c r="G142" s="138">
        <f t="shared" si="29"/>
        <v>0</v>
      </c>
      <c r="H142" s="138">
        <f t="shared" si="30"/>
        <v>0</v>
      </c>
      <c r="I142" s="138">
        <f t="shared" si="31"/>
        <v>0</v>
      </c>
      <c r="J142" s="138">
        <f t="shared" si="32"/>
        <v>0</v>
      </c>
      <c r="K142" s="138">
        <f t="shared" si="33"/>
        <v>0</v>
      </c>
      <c r="L142" s="138">
        <f t="shared" si="34"/>
        <v>0</v>
      </c>
      <c r="M142" s="138">
        <f t="shared" si="35"/>
        <v>0</v>
      </c>
      <c r="N142" s="138">
        <f t="shared" si="36"/>
        <v>0</v>
      </c>
      <c r="O142" s="86">
        <f t="shared" si="38"/>
        <v>0</v>
      </c>
      <c r="P142" s="138">
        <v>0</v>
      </c>
      <c r="Q142" s="138">
        <v>0</v>
      </c>
      <c r="R142" s="138">
        <v>0</v>
      </c>
      <c r="S142" s="138">
        <v>0</v>
      </c>
      <c r="T142" s="138">
        <v>0</v>
      </c>
      <c r="U142" s="138">
        <v>0</v>
      </c>
      <c r="V142" s="138">
        <v>0</v>
      </c>
      <c r="W142" s="138">
        <v>0</v>
      </c>
      <c r="X142" s="138">
        <v>0</v>
      </c>
      <c r="Y142" s="138">
        <v>0</v>
      </c>
      <c r="Z142" s="138">
        <v>0</v>
      </c>
      <c r="AA142" s="138">
        <v>0</v>
      </c>
      <c r="AB142" s="86">
        <v>0</v>
      </c>
      <c r="AC142" s="138">
        <v>0</v>
      </c>
      <c r="AD142" s="138">
        <v>0</v>
      </c>
      <c r="AE142" s="138">
        <v>0</v>
      </c>
      <c r="AF142" s="138">
        <v>0</v>
      </c>
      <c r="AG142" s="138">
        <v>0</v>
      </c>
      <c r="AH142" s="138">
        <v>0</v>
      </c>
      <c r="AI142" s="138">
        <v>0</v>
      </c>
      <c r="AJ142" s="138">
        <v>0</v>
      </c>
      <c r="AK142" s="138">
        <v>0</v>
      </c>
      <c r="AL142" s="138">
        <v>0</v>
      </c>
      <c r="AM142" s="138">
        <v>0</v>
      </c>
      <c r="AN142" s="138">
        <v>0</v>
      </c>
      <c r="AO142" s="86">
        <v>0</v>
      </c>
      <c r="AP142" s="138">
        <v>0</v>
      </c>
      <c r="AQ142" s="138">
        <v>0</v>
      </c>
      <c r="AR142" s="138">
        <v>0</v>
      </c>
      <c r="AS142" s="138">
        <v>0</v>
      </c>
      <c r="AT142" s="138">
        <v>0</v>
      </c>
      <c r="AU142" s="138">
        <v>0</v>
      </c>
      <c r="AV142" s="138">
        <v>0</v>
      </c>
      <c r="AW142" s="138">
        <v>0</v>
      </c>
      <c r="AX142" s="138">
        <v>0</v>
      </c>
      <c r="AY142" s="138">
        <v>0</v>
      </c>
      <c r="AZ142" s="138">
        <v>0</v>
      </c>
      <c r="BA142" s="138">
        <v>0</v>
      </c>
      <c r="BB142" s="86">
        <v>0</v>
      </c>
      <c r="BC142" s="138">
        <v>0</v>
      </c>
      <c r="BD142" s="138">
        <v>0</v>
      </c>
      <c r="BE142" s="138">
        <v>0</v>
      </c>
      <c r="BF142" s="138">
        <v>0</v>
      </c>
      <c r="BG142" s="138">
        <v>0</v>
      </c>
      <c r="BH142" s="138">
        <v>0</v>
      </c>
      <c r="BI142" s="138">
        <v>0</v>
      </c>
      <c r="BJ142" s="138">
        <v>0</v>
      </c>
      <c r="BK142" s="138">
        <v>0</v>
      </c>
      <c r="BL142" s="138">
        <v>0</v>
      </c>
      <c r="BM142" s="138">
        <v>0</v>
      </c>
      <c r="BN142" s="138">
        <v>0</v>
      </c>
      <c r="BO142" s="86">
        <v>0</v>
      </c>
      <c r="BP142" s="138">
        <v>0</v>
      </c>
      <c r="BQ142" s="138">
        <v>0</v>
      </c>
      <c r="BR142" s="138">
        <v>0</v>
      </c>
      <c r="BS142" s="138">
        <v>0</v>
      </c>
      <c r="BT142" s="138">
        <v>0</v>
      </c>
      <c r="BU142" s="138">
        <v>0</v>
      </c>
      <c r="BV142" s="138">
        <v>0</v>
      </c>
      <c r="BW142" s="138">
        <v>0</v>
      </c>
      <c r="BX142" s="138">
        <v>0</v>
      </c>
      <c r="BY142" s="138">
        <v>0</v>
      </c>
      <c r="BZ142" s="138">
        <v>0</v>
      </c>
      <c r="CA142" s="138">
        <v>0</v>
      </c>
      <c r="CB142" s="86">
        <v>0</v>
      </c>
      <c r="CC142" s="138">
        <v>0</v>
      </c>
      <c r="CD142" s="138">
        <v>0</v>
      </c>
      <c r="CE142" s="138">
        <v>0</v>
      </c>
      <c r="CF142" s="138">
        <v>0</v>
      </c>
      <c r="CG142" s="138">
        <v>0</v>
      </c>
      <c r="CH142" s="138">
        <v>0</v>
      </c>
      <c r="CI142" s="138">
        <v>0</v>
      </c>
      <c r="CJ142" s="138">
        <v>0</v>
      </c>
      <c r="CK142" s="138">
        <v>0</v>
      </c>
      <c r="CL142" s="138">
        <v>0</v>
      </c>
      <c r="CM142" s="138">
        <v>0</v>
      </c>
      <c r="CN142" s="138">
        <v>0</v>
      </c>
      <c r="CO142" s="86">
        <v>0</v>
      </c>
      <c r="CP142" s="138">
        <v>0</v>
      </c>
      <c r="CQ142" s="138">
        <v>0</v>
      </c>
      <c r="CR142" s="138">
        <v>0</v>
      </c>
      <c r="CS142" s="138">
        <v>0</v>
      </c>
      <c r="CT142" s="138">
        <v>0</v>
      </c>
      <c r="CU142" s="138">
        <v>0</v>
      </c>
      <c r="CV142" s="138">
        <v>0</v>
      </c>
      <c r="CW142" s="138">
        <v>0</v>
      </c>
      <c r="CX142" s="138">
        <v>0</v>
      </c>
      <c r="CY142" s="138">
        <v>0</v>
      </c>
      <c r="CZ142" s="138">
        <v>0</v>
      </c>
      <c r="DA142" s="138">
        <v>0</v>
      </c>
      <c r="DB142" s="86">
        <v>0</v>
      </c>
      <c r="DC142" s="138">
        <v>0</v>
      </c>
      <c r="DD142" s="138">
        <v>0</v>
      </c>
      <c r="DE142" s="138">
        <v>0</v>
      </c>
      <c r="DF142" s="138">
        <v>0</v>
      </c>
      <c r="DG142" s="138">
        <v>0</v>
      </c>
      <c r="DH142" s="138">
        <v>0</v>
      </c>
      <c r="DI142" s="138">
        <v>0</v>
      </c>
      <c r="DJ142" s="138">
        <v>0</v>
      </c>
      <c r="DK142" s="138">
        <v>0</v>
      </c>
      <c r="DL142" s="138">
        <v>0</v>
      </c>
      <c r="DM142" s="138">
        <v>0</v>
      </c>
      <c r="DN142" s="138">
        <v>0</v>
      </c>
      <c r="DO142" s="86">
        <v>0</v>
      </c>
      <c r="DP142" s="138">
        <v>0</v>
      </c>
      <c r="DQ142" s="138">
        <v>0</v>
      </c>
      <c r="DR142" s="138">
        <v>0</v>
      </c>
      <c r="DS142" s="138">
        <v>0</v>
      </c>
      <c r="DT142" s="138">
        <v>0</v>
      </c>
      <c r="DU142" s="138">
        <v>0</v>
      </c>
      <c r="DV142" s="138">
        <v>0</v>
      </c>
      <c r="DW142" s="138">
        <v>0</v>
      </c>
      <c r="DX142" s="138">
        <v>0</v>
      </c>
      <c r="DY142" s="138">
        <v>0</v>
      </c>
      <c r="DZ142" s="138">
        <v>0</v>
      </c>
      <c r="EA142" s="138">
        <v>0</v>
      </c>
      <c r="EB142" s="85">
        <v>0</v>
      </c>
      <c r="EC142" s="87">
        <v>0</v>
      </c>
      <c r="ED142" s="85">
        <v>0</v>
      </c>
      <c r="EE142" s="85">
        <v>0</v>
      </c>
      <c r="EF142" s="85">
        <v>0</v>
      </c>
      <c r="EG142" s="85">
        <v>0</v>
      </c>
      <c r="EH142" s="85">
        <v>0</v>
      </c>
      <c r="EI142" s="85">
        <v>0</v>
      </c>
      <c r="EJ142" s="85">
        <v>0</v>
      </c>
      <c r="EK142" s="85">
        <v>0</v>
      </c>
      <c r="EL142" s="85">
        <v>0</v>
      </c>
      <c r="EM142" s="85">
        <v>0</v>
      </c>
      <c r="EN142" s="85">
        <v>0</v>
      </c>
      <c r="EO142" s="152">
        <v>0</v>
      </c>
      <c r="EP142" s="85">
        <v>0</v>
      </c>
      <c r="EQ142" s="85">
        <v>0</v>
      </c>
      <c r="ER142" s="85">
        <v>0</v>
      </c>
      <c r="ES142" s="85">
        <v>0</v>
      </c>
      <c r="ET142" s="85">
        <v>0</v>
      </c>
      <c r="EU142" s="85">
        <v>0</v>
      </c>
      <c r="EV142" s="85">
        <v>0</v>
      </c>
      <c r="EW142" s="85">
        <v>0</v>
      </c>
      <c r="EX142" s="85">
        <v>0</v>
      </c>
      <c r="EY142" s="85">
        <v>0</v>
      </c>
      <c r="EZ142" s="85">
        <v>0</v>
      </c>
      <c r="FA142" s="85">
        <v>0</v>
      </c>
      <c r="FB142" s="85">
        <v>0</v>
      </c>
      <c r="FC142" s="87">
        <v>0</v>
      </c>
      <c r="FD142" s="85">
        <v>0</v>
      </c>
      <c r="FE142" s="85">
        <v>0</v>
      </c>
      <c r="FF142" s="85">
        <v>0</v>
      </c>
      <c r="FG142" s="85">
        <v>0</v>
      </c>
      <c r="FH142" s="85">
        <v>0</v>
      </c>
      <c r="FI142" s="85">
        <v>0</v>
      </c>
      <c r="FJ142" s="85">
        <v>0</v>
      </c>
      <c r="FK142" s="85">
        <v>0</v>
      </c>
      <c r="FL142" s="85">
        <v>0</v>
      </c>
      <c r="FM142" s="85">
        <v>0</v>
      </c>
      <c r="FN142" s="85">
        <v>0</v>
      </c>
      <c r="FO142" s="86">
        <v>0</v>
      </c>
      <c r="FP142" s="87">
        <v>0</v>
      </c>
      <c r="FQ142" s="85">
        <v>0</v>
      </c>
      <c r="FR142" s="85">
        <v>0</v>
      </c>
      <c r="FS142" s="85">
        <v>0</v>
      </c>
      <c r="FT142" s="85">
        <v>0</v>
      </c>
      <c r="FU142" s="85">
        <v>0</v>
      </c>
      <c r="FV142" s="85">
        <v>0</v>
      </c>
      <c r="FW142" s="85">
        <v>0</v>
      </c>
      <c r="FX142" s="85">
        <v>0</v>
      </c>
      <c r="FY142" s="85">
        <v>0</v>
      </c>
      <c r="FZ142" s="85">
        <v>0</v>
      </c>
      <c r="GA142" s="85">
        <v>0</v>
      </c>
      <c r="GB142" s="152">
        <v>0</v>
      </c>
      <c r="GD142" s="153"/>
    </row>
    <row r="143" spans="1:186">
      <c r="A143" s="137" t="s">
        <v>315</v>
      </c>
      <c r="B143" s="151">
        <v>248536.32965426</v>
      </c>
      <c r="C143" s="138">
        <f t="shared" si="37"/>
        <v>0</v>
      </c>
      <c r="D143" s="138">
        <f t="shared" si="26"/>
        <v>0</v>
      </c>
      <c r="E143" s="138">
        <f t="shared" si="27"/>
        <v>0</v>
      </c>
      <c r="F143" s="138">
        <f t="shared" si="28"/>
        <v>0</v>
      </c>
      <c r="G143" s="138">
        <f t="shared" si="29"/>
        <v>0</v>
      </c>
      <c r="H143" s="138">
        <f t="shared" si="30"/>
        <v>0</v>
      </c>
      <c r="I143" s="138">
        <f t="shared" si="31"/>
        <v>0</v>
      </c>
      <c r="J143" s="138">
        <f t="shared" si="32"/>
        <v>0</v>
      </c>
      <c r="K143" s="138">
        <f t="shared" si="33"/>
        <v>0</v>
      </c>
      <c r="L143" s="138">
        <f t="shared" si="34"/>
        <v>0</v>
      </c>
      <c r="M143" s="138">
        <f t="shared" si="35"/>
        <v>0</v>
      </c>
      <c r="N143" s="138">
        <f t="shared" si="36"/>
        <v>0</v>
      </c>
      <c r="O143" s="86">
        <f t="shared" si="38"/>
        <v>0</v>
      </c>
      <c r="P143" s="138">
        <v>0</v>
      </c>
      <c r="Q143" s="138">
        <v>0</v>
      </c>
      <c r="R143" s="138">
        <v>0</v>
      </c>
      <c r="S143" s="138">
        <v>0</v>
      </c>
      <c r="T143" s="138">
        <v>0</v>
      </c>
      <c r="U143" s="138">
        <v>0</v>
      </c>
      <c r="V143" s="138">
        <v>0</v>
      </c>
      <c r="W143" s="138">
        <v>0</v>
      </c>
      <c r="X143" s="138">
        <v>0</v>
      </c>
      <c r="Y143" s="138">
        <v>0</v>
      </c>
      <c r="Z143" s="138">
        <v>0</v>
      </c>
      <c r="AA143" s="138">
        <v>0</v>
      </c>
      <c r="AB143" s="86">
        <v>0</v>
      </c>
      <c r="AC143" s="138">
        <v>0</v>
      </c>
      <c r="AD143" s="138">
        <v>0</v>
      </c>
      <c r="AE143" s="138">
        <v>0</v>
      </c>
      <c r="AF143" s="138">
        <v>0</v>
      </c>
      <c r="AG143" s="138">
        <v>0</v>
      </c>
      <c r="AH143" s="138">
        <v>0</v>
      </c>
      <c r="AI143" s="138">
        <v>0</v>
      </c>
      <c r="AJ143" s="138">
        <v>0</v>
      </c>
      <c r="AK143" s="138">
        <v>0</v>
      </c>
      <c r="AL143" s="138">
        <v>0</v>
      </c>
      <c r="AM143" s="138">
        <v>0</v>
      </c>
      <c r="AN143" s="138">
        <v>0</v>
      </c>
      <c r="AO143" s="86">
        <v>0</v>
      </c>
      <c r="AP143" s="138">
        <v>0</v>
      </c>
      <c r="AQ143" s="138">
        <v>0</v>
      </c>
      <c r="AR143" s="138">
        <v>0</v>
      </c>
      <c r="AS143" s="138">
        <v>0</v>
      </c>
      <c r="AT143" s="138">
        <v>0</v>
      </c>
      <c r="AU143" s="138">
        <v>0</v>
      </c>
      <c r="AV143" s="138">
        <v>0</v>
      </c>
      <c r="AW143" s="138">
        <v>0</v>
      </c>
      <c r="AX143" s="138">
        <v>0</v>
      </c>
      <c r="AY143" s="138">
        <v>0</v>
      </c>
      <c r="AZ143" s="138">
        <v>0</v>
      </c>
      <c r="BA143" s="138">
        <v>0</v>
      </c>
      <c r="BB143" s="86">
        <v>0</v>
      </c>
      <c r="BC143" s="138">
        <v>0</v>
      </c>
      <c r="BD143" s="138">
        <v>0</v>
      </c>
      <c r="BE143" s="138">
        <v>0</v>
      </c>
      <c r="BF143" s="138">
        <v>0</v>
      </c>
      <c r="BG143" s="138">
        <v>0</v>
      </c>
      <c r="BH143" s="138">
        <v>0</v>
      </c>
      <c r="BI143" s="138">
        <v>0</v>
      </c>
      <c r="BJ143" s="138">
        <v>0</v>
      </c>
      <c r="BK143" s="138">
        <v>0</v>
      </c>
      <c r="BL143" s="138">
        <v>0</v>
      </c>
      <c r="BM143" s="138">
        <v>0</v>
      </c>
      <c r="BN143" s="138">
        <v>0</v>
      </c>
      <c r="BO143" s="86">
        <v>0</v>
      </c>
      <c r="BP143" s="138">
        <v>0</v>
      </c>
      <c r="BQ143" s="138">
        <v>0</v>
      </c>
      <c r="BR143" s="138">
        <v>0</v>
      </c>
      <c r="BS143" s="138">
        <v>0</v>
      </c>
      <c r="BT143" s="138">
        <v>0</v>
      </c>
      <c r="BU143" s="138">
        <v>0</v>
      </c>
      <c r="BV143" s="138">
        <v>0</v>
      </c>
      <c r="BW143" s="138">
        <v>0</v>
      </c>
      <c r="BX143" s="138">
        <v>0</v>
      </c>
      <c r="BY143" s="138">
        <v>0</v>
      </c>
      <c r="BZ143" s="138">
        <v>0</v>
      </c>
      <c r="CA143" s="138">
        <v>0</v>
      </c>
      <c r="CB143" s="86">
        <v>0</v>
      </c>
      <c r="CC143" s="138">
        <v>0</v>
      </c>
      <c r="CD143" s="138">
        <v>0</v>
      </c>
      <c r="CE143" s="138">
        <v>0</v>
      </c>
      <c r="CF143" s="138">
        <v>0</v>
      </c>
      <c r="CG143" s="138">
        <v>0</v>
      </c>
      <c r="CH143" s="138">
        <v>0</v>
      </c>
      <c r="CI143" s="138">
        <v>0</v>
      </c>
      <c r="CJ143" s="138">
        <v>0</v>
      </c>
      <c r="CK143" s="138">
        <v>0</v>
      </c>
      <c r="CL143" s="138">
        <v>0</v>
      </c>
      <c r="CM143" s="138">
        <v>0</v>
      </c>
      <c r="CN143" s="138">
        <v>0</v>
      </c>
      <c r="CO143" s="86">
        <v>0</v>
      </c>
      <c r="CP143" s="138">
        <v>0</v>
      </c>
      <c r="CQ143" s="138">
        <v>0</v>
      </c>
      <c r="CR143" s="138">
        <v>0</v>
      </c>
      <c r="CS143" s="138">
        <v>0</v>
      </c>
      <c r="CT143" s="138">
        <v>0</v>
      </c>
      <c r="CU143" s="138">
        <v>0</v>
      </c>
      <c r="CV143" s="138">
        <v>0</v>
      </c>
      <c r="CW143" s="138">
        <v>0</v>
      </c>
      <c r="CX143" s="138">
        <v>0</v>
      </c>
      <c r="CY143" s="138">
        <v>0</v>
      </c>
      <c r="CZ143" s="138">
        <v>0</v>
      </c>
      <c r="DA143" s="138">
        <v>0</v>
      </c>
      <c r="DB143" s="86">
        <v>0</v>
      </c>
      <c r="DC143" s="138">
        <v>0</v>
      </c>
      <c r="DD143" s="138">
        <v>0</v>
      </c>
      <c r="DE143" s="138">
        <v>0</v>
      </c>
      <c r="DF143" s="138">
        <v>0</v>
      </c>
      <c r="DG143" s="138">
        <v>0</v>
      </c>
      <c r="DH143" s="138">
        <v>0</v>
      </c>
      <c r="DI143" s="138">
        <v>0</v>
      </c>
      <c r="DJ143" s="138">
        <v>0</v>
      </c>
      <c r="DK143" s="138">
        <v>0</v>
      </c>
      <c r="DL143" s="138">
        <v>0</v>
      </c>
      <c r="DM143" s="138">
        <v>0</v>
      </c>
      <c r="DN143" s="138">
        <v>0</v>
      </c>
      <c r="DO143" s="86">
        <v>0</v>
      </c>
      <c r="DP143" s="138">
        <v>0</v>
      </c>
      <c r="DQ143" s="138">
        <v>0</v>
      </c>
      <c r="DR143" s="138">
        <v>0</v>
      </c>
      <c r="DS143" s="138">
        <v>0</v>
      </c>
      <c r="DT143" s="138">
        <v>0</v>
      </c>
      <c r="DU143" s="138">
        <v>0</v>
      </c>
      <c r="DV143" s="138">
        <v>0</v>
      </c>
      <c r="DW143" s="138">
        <v>0</v>
      </c>
      <c r="DX143" s="138">
        <v>0</v>
      </c>
      <c r="DY143" s="138">
        <v>0</v>
      </c>
      <c r="DZ143" s="138">
        <v>0</v>
      </c>
      <c r="EA143" s="138">
        <v>0</v>
      </c>
      <c r="EB143" s="85">
        <v>0</v>
      </c>
      <c r="EC143" s="87">
        <v>0</v>
      </c>
      <c r="ED143" s="85">
        <v>0</v>
      </c>
      <c r="EE143" s="85">
        <v>0</v>
      </c>
      <c r="EF143" s="85">
        <v>0</v>
      </c>
      <c r="EG143" s="85">
        <v>0</v>
      </c>
      <c r="EH143" s="85">
        <v>0</v>
      </c>
      <c r="EI143" s="85">
        <v>0</v>
      </c>
      <c r="EJ143" s="85">
        <v>0</v>
      </c>
      <c r="EK143" s="85">
        <v>0</v>
      </c>
      <c r="EL143" s="85">
        <v>0</v>
      </c>
      <c r="EM143" s="85">
        <v>0</v>
      </c>
      <c r="EN143" s="85">
        <v>0</v>
      </c>
      <c r="EO143" s="152">
        <v>0</v>
      </c>
      <c r="EP143" s="85">
        <v>0</v>
      </c>
      <c r="EQ143" s="85">
        <v>0</v>
      </c>
      <c r="ER143" s="85">
        <v>0</v>
      </c>
      <c r="ES143" s="85">
        <v>0</v>
      </c>
      <c r="ET143" s="85">
        <v>0</v>
      </c>
      <c r="EU143" s="85">
        <v>0</v>
      </c>
      <c r="EV143" s="85">
        <v>0</v>
      </c>
      <c r="EW143" s="85">
        <v>0</v>
      </c>
      <c r="EX143" s="85">
        <v>0</v>
      </c>
      <c r="EY143" s="85">
        <v>0</v>
      </c>
      <c r="EZ143" s="85">
        <v>0</v>
      </c>
      <c r="FA143" s="85">
        <v>0</v>
      </c>
      <c r="FB143" s="85">
        <v>0</v>
      </c>
      <c r="FC143" s="87">
        <v>0</v>
      </c>
      <c r="FD143" s="85">
        <v>0</v>
      </c>
      <c r="FE143" s="85">
        <v>0</v>
      </c>
      <c r="FF143" s="85">
        <v>0</v>
      </c>
      <c r="FG143" s="85">
        <v>0</v>
      </c>
      <c r="FH143" s="85">
        <v>0</v>
      </c>
      <c r="FI143" s="85">
        <v>0</v>
      </c>
      <c r="FJ143" s="85">
        <v>0</v>
      </c>
      <c r="FK143" s="85">
        <v>0</v>
      </c>
      <c r="FL143" s="85">
        <v>0</v>
      </c>
      <c r="FM143" s="85">
        <v>0</v>
      </c>
      <c r="FN143" s="85">
        <v>0</v>
      </c>
      <c r="FO143" s="86">
        <v>0</v>
      </c>
      <c r="FP143" s="87">
        <v>0</v>
      </c>
      <c r="FQ143" s="85">
        <v>0</v>
      </c>
      <c r="FR143" s="85">
        <v>0</v>
      </c>
      <c r="FS143" s="85">
        <v>0</v>
      </c>
      <c r="FT143" s="85">
        <v>0</v>
      </c>
      <c r="FU143" s="85">
        <v>0</v>
      </c>
      <c r="FV143" s="85">
        <v>0</v>
      </c>
      <c r="FW143" s="85">
        <v>0</v>
      </c>
      <c r="FX143" s="85">
        <v>0</v>
      </c>
      <c r="FY143" s="85">
        <v>0</v>
      </c>
      <c r="FZ143" s="85">
        <v>0</v>
      </c>
      <c r="GA143" s="85">
        <v>0</v>
      </c>
      <c r="GB143" s="152">
        <v>0</v>
      </c>
      <c r="GD143" s="153"/>
    </row>
    <row r="144" spans="1:186">
      <c r="A144" s="137" t="s">
        <v>316</v>
      </c>
      <c r="B144" s="151">
        <v>9476.14826774242</v>
      </c>
      <c r="C144" s="138">
        <f t="shared" si="37"/>
        <v>0</v>
      </c>
      <c r="D144" s="138">
        <f t="shared" si="26"/>
        <v>0</v>
      </c>
      <c r="E144" s="138">
        <f t="shared" si="27"/>
        <v>0</v>
      </c>
      <c r="F144" s="138">
        <f t="shared" si="28"/>
        <v>1229.31858854387</v>
      </c>
      <c r="G144" s="138">
        <f t="shared" si="29"/>
        <v>0</v>
      </c>
      <c r="H144" s="138">
        <f t="shared" si="30"/>
        <v>0</v>
      </c>
      <c r="I144" s="138">
        <f t="shared" si="31"/>
        <v>0</v>
      </c>
      <c r="J144" s="138">
        <f t="shared" si="32"/>
        <v>0</v>
      </c>
      <c r="K144" s="138">
        <f t="shared" si="33"/>
        <v>0</v>
      </c>
      <c r="L144" s="138">
        <f t="shared" si="34"/>
        <v>0</v>
      </c>
      <c r="M144" s="138">
        <f t="shared" si="35"/>
        <v>0</v>
      </c>
      <c r="N144" s="138">
        <f t="shared" si="36"/>
        <v>0</v>
      </c>
      <c r="O144" s="86">
        <f t="shared" si="38"/>
        <v>1229.31858854387</v>
      </c>
      <c r="P144" s="138">
        <v>0</v>
      </c>
      <c r="Q144" s="138">
        <v>0</v>
      </c>
      <c r="R144" s="138">
        <v>0</v>
      </c>
      <c r="S144" s="138">
        <v>0</v>
      </c>
      <c r="T144" s="138">
        <v>0</v>
      </c>
      <c r="U144" s="138">
        <v>0</v>
      </c>
      <c r="V144" s="138">
        <v>0</v>
      </c>
      <c r="W144" s="138">
        <v>0</v>
      </c>
      <c r="X144" s="138">
        <v>0</v>
      </c>
      <c r="Y144" s="138">
        <v>0</v>
      </c>
      <c r="Z144" s="138">
        <v>0</v>
      </c>
      <c r="AA144" s="138">
        <v>0</v>
      </c>
      <c r="AB144" s="86">
        <v>0</v>
      </c>
      <c r="AC144" s="138">
        <v>0</v>
      </c>
      <c r="AD144" s="138">
        <v>0</v>
      </c>
      <c r="AE144" s="138">
        <v>0</v>
      </c>
      <c r="AF144" s="138">
        <v>0</v>
      </c>
      <c r="AG144" s="138">
        <v>0</v>
      </c>
      <c r="AH144" s="138">
        <v>0</v>
      </c>
      <c r="AI144" s="138">
        <v>0</v>
      </c>
      <c r="AJ144" s="138">
        <v>0</v>
      </c>
      <c r="AK144" s="138">
        <v>0</v>
      </c>
      <c r="AL144" s="138">
        <v>0</v>
      </c>
      <c r="AM144" s="138">
        <v>0</v>
      </c>
      <c r="AN144" s="138">
        <v>0</v>
      </c>
      <c r="AO144" s="86">
        <v>0</v>
      </c>
      <c r="AP144" s="138">
        <v>0</v>
      </c>
      <c r="AQ144" s="138">
        <v>0</v>
      </c>
      <c r="AR144" s="138">
        <v>0</v>
      </c>
      <c r="AS144" s="138">
        <v>0</v>
      </c>
      <c r="AT144" s="138">
        <v>0</v>
      </c>
      <c r="AU144" s="138">
        <v>0</v>
      </c>
      <c r="AV144" s="138">
        <v>0</v>
      </c>
      <c r="AW144" s="138">
        <v>0</v>
      </c>
      <c r="AX144" s="138">
        <v>0</v>
      </c>
      <c r="AY144" s="138">
        <v>0</v>
      </c>
      <c r="AZ144" s="138">
        <v>0</v>
      </c>
      <c r="BA144" s="138">
        <v>0</v>
      </c>
      <c r="BB144" s="86">
        <v>0</v>
      </c>
      <c r="BC144" s="138">
        <v>0</v>
      </c>
      <c r="BD144" s="138">
        <v>0</v>
      </c>
      <c r="BE144" s="138">
        <v>0</v>
      </c>
      <c r="BF144" s="138">
        <v>0</v>
      </c>
      <c r="BG144" s="138">
        <v>0</v>
      </c>
      <c r="BH144" s="138">
        <v>0</v>
      </c>
      <c r="BI144" s="138">
        <v>0</v>
      </c>
      <c r="BJ144" s="138">
        <v>0</v>
      </c>
      <c r="BK144" s="138">
        <v>0</v>
      </c>
      <c r="BL144" s="138">
        <v>0</v>
      </c>
      <c r="BM144" s="138">
        <v>0</v>
      </c>
      <c r="BN144" s="138">
        <v>0</v>
      </c>
      <c r="BO144" s="86">
        <v>0</v>
      </c>
      <c r="BP144" s="138">
        <v>0</v>
      </c>
      <c r="BQ144" s="138">
        <v>0</v>
      </c>
      <c r="BR144" s="138">
        <v>0</v>
      </c>
      <c r="BS144" s="138">
        <v>0</v>
      </c>
      <c r="BT144" s="138">
        <v>0</v>
      </c>
      <c r="BU144" s="138">
        <v>0</v>
      </c>
      <c r="BV144" s="138">
        <v>0</v>
      </c>
      <c r="BW144" s="138">
        <v>0</v>
      </c>
      <c r="BX144" s="138">
        <v>0</v>
      </c>
      <c r="BY144" s="138">
        <v>0</v>
      </c>
      <c r="BZ144" s="138">
        <v>0</v>
      </c>
      <c r="CA144" s="138">
        <v>0</v>
      </c>
      <c r="CB144" s="86">
        <v>0</v>
      </c>
      <c r="CC144" s="138">
        <v>0</v>
      </c>
      <c r="CD144" s="138">
        <v>0</v>
      </c>
      <c r="CE144" s="138">
        <v>0</v>
      </c>
      <c r="CF144" s="138">
        <v>0</v>
      </c>
      <c r="CG144" s="138">
        <v>0</v>
      </c>
      <c r="CH144" s="138">
        <v>0</v>
      </c>
      <c r="CI144" s="138">
        <v>0</v>
      </c>
      <c r="CJ144" s="138">
        <v>0</v>
      </c>
      <c r="CK144" s="138">
        <v>0</v>
      </c>
      <c r="CL144" s="138">
        <v>0</v>
      </c>
      <c r="CM144" s="138">
        <v>0</v>
      </c>
      <c r="CN144" s="138">
        <v>0</v>
      </c>
      <c r="CO144" s="86">
        <v>0</v>
      </c>
      <c r="CP144" s="138">
        <v>0</v>
      </c>
      <c r="CQ144" s="138">
        <v>0</v>
      </c>
      <c r="CR144" s="138">
        <v>0</v>
      </c>
      <c r="CS144" s="138">
        <v>0</v>
      </c>
      <c r="CT144" s="138">
        <v>0</v>
      </c>
      <c r="CU144" s="138">
        <v>0</v>
      </c>
      <c r="CV144" s="138">
        <v>0</v>
      </c>
      <c r="CW144" s="138">
        <v>0</v>
      </c>
      <c r="CX144" s="138">
        <v>0</v>
      </c>
      <c r="CY144" s="138">
        <v>0</v>
      </c>
      <c r="CZ144" s="138">
        <v>0</v>
      </c>
      <c r="DA144" s="138">
        <v>0</v>
      </c>
      <c r="DB144" s="86">
        <v>0</v>
      </c>
      <c r="DC144" s="138">
        <v>0</v>
      </c>
      <c r="DD144" s="138">
        <v>0</v>
      </c>
      <c r="DE144" s="138">
        <v>0</v>
      </c>
      <c r="DF144" s="138">
        <v>0</v>
      </c>
      <c r="DG144" s="138">
        <v>0</v>
      </c>
      <c r="DH144" s="138">
        <v>0</v>
      </c>
      <c r="DI144" s="138">
        <v>0</v>
      </c>
      <c r="DJ144" s="138">
        <v>0</v>
      </c>
      <c r="DK144" s="138">
        <v>0</v>
      </c>
      <c r="DL144" s="138">
        <v>0</v>
      </c>
      <c r="DM144" s="138">
        <v>0</v>
      </c>
      <c r="DN144" s="138">
        <v>0</v>
      </c>
      <c r="DO144" s="86">
        <v>0</v>
      </c>
      <c r="DP144" s="138">
        <v>0</v>
      </c>
      <c r="DQ144" s="138">
        <v>0</v>
      </c>
      <c r="DR144" s="138">
        <v>0</v>
      </c>
      <c r="DS144" s="138">
        <v>0</v>
      </c>
      <c r="DT144" s="138">
        <v>0</v>
      </c>
      <c r="DU144" s="138">
        <v>0</v>
      </c>
      <c r="DV144" s="138">
        <v>0</v>
      </c>
      <c r="DW144" s="138">
        <v>0</v>
      </c>
      <c r="DX144" s="138">
        <v>0</v>
      </c>
      <c r="DY144" s="138">
        <v>0</v>
      </c>
      <c r="DZ144" s="138">
        <v>0</v>
      </c>
      <c r="EA144" s="138">
        <v>0</v>
      </c>
      <c r="EB144" s="85">
        <v>0</v>
      </c>
      <c r="EC144" s="87">
        <v>0</v>
      </c>
      <c r="ED144" s="85">
        <v>0</v>
      </c>
      <c r="EE144" s="85">
        <v>0</v>
      </c>
      <c r="EF144" s="85">
        <v>0</v>
      </c>
      <c r="EG144" s="85">
        <v>0</v>
      </c>
      <c r="EH144" s="85">
        <v>0</v>
      </c>
      <c r="EI144" s="85">
        <v>0</v>
      </c>
      <c r="EJ144" s="85">
        <v>0</v>
      </c>
      <c r="EK144" s="85">
        <v>0</v>
      </c>
      <c r="EL144" s="85">
        <v>0</v>
      </c>
      <c r="EM144" s="85">
        <v>0</v>
      </c>
      <c r="EN144" s="85">
        <v>0</v>
      </c>
      <c r="EO144" s="152">
        <v>0</v>
      </c>
      <c r="EP144" s="85">
        <v>0</v>
      </c>
      <c r="EQ144" s="85">
        <v>0</v>
      </c>
      <c r="ER144" s="85">
        <v>0</v>
      </c>
      <c r="ES144" s="85">
        <v>0</v>
      </c>
      <c r="ET144" s="85">
        <v>0</v>
      </c>
      <c r="EU144" s="85">
        <v>0</v>
      </c>
      <c r="EV144" s="85">
        <v>0</v>
      </c>
      <c r="EW144" s="85">
        <v>0</v>
      </c>
      <c r="EX144" s="85">
        <v>0</v>
      </c>
      <c r="EY144" s="85">
        <v>0</v>
      </c>
      <c r="EZ144" s="85">
        <v>0</v>
      </c>
      <c r="FA144" s="85">
        <v>0</v>
      </c>
      <c r="FB144" s="85">
        <v>0</v>
      </c>
      <c r="FC144" s="87">
        <v>0</v>
      </c>
      <c r="FD144" s="85">
        <v>0</v>
      </c>
      <c r="FE144" s="85">
        <v>0</v>
      </c>
      <c r="FF144" s="85">
        <v>0</v>
      </c>
      <c r="FG144" s="85">
        <v>0</v>
      </c>
      <c r="FH144" s="85">
        <v>0</v>
      </c>
      <c r="FI144" s="85">
        <v>0</v>
      </c>
      <c r="FJ144" s="85">
        <v>0</v>
      </c>
      <c r="FK144" s="85">
        <v>0</v>
      </c>
      <c r="FL144" s="85">
        <v>0</v>
      </c>
      <c r="FM144" s="85">
        <v>0</v>
      </c>
      <c r="FN144" s="85">
        <v>0</v>
      </c>
      <c r="FO144" s="86">
        <v>0</v>
      </c>
      <c r="FP144" s="87">
        <v>0</v>
      </c>
      <c r="FQ144" s="85">
        <v>0</v>
      </c>
      <c r="FR144" s="85">
        <v>0</v>
      </c>
      <c r="FS144" s="85">
        <v>1229.31858854387</v>
      </c>
      <c r="FT144" s="85">
        <v>0</v>
      </c>
      <c r="FU144" s="85">
        <v>0</v>
      </c>
      <c r="FV144" s="85">
        <v>0</v>
      </c>
      <c r="FW144" s="85">
        <v>0</v>
      </c>
      <c r="FX144" s="85">
        <v>0</v>
      </c>
      <c r="FY144" s="85">
        <v>0</v>
      </c>
      <c r="FZ144" s="85">
        <v>0</v>
      </c>
      <c r="GA144" s="85">
        <v>0</v>
      </c>
      <c r="GB144" s="152">
        <v>1229.31858854387</v>
      </c>
      <c r="GD144" s="153"/>
    </row>
    <row r="145" spans="1:186">
      <c r="A145" s="137" t="s">
        <v>317</v>
      </c>
      <c r="B145" s="151">
        <v>0</v>
      </c>
      <c r="C145" s="138">
        <f t="shared" si="37"/>
        <v>0</v>
      </c>
      <c r="D145" s="138">
        <f t="shared" si="26"/>
        <v>0</v>
      </c>
      <c r="E145" s="138">
        <f t="shared" si="27"/>
        <v>0</v>
      </c>
      <c r="F145" s="138">
        <f t="shared" si="28"/>
        <v>0</v>
      </c>
      <c r="G145" s="138">
        <f t="shared" si="29"/>
        <v>0</v>
      </c>
      <c r="H145" s="138">
        <f t="shared" si="30"/>
        <v>0</v>
      </c>
      <c r="I145" s="138">
        <f t="shared" si="31"/>
        <v>0</v>
      </c>
      <c r="J145" s="138">
        <f t="shared" si="32"/>
        <v>0</v>
      </c>
      <c r="K145" s="138">
        <f t="shared" si="33"/>
        <v>0</v>
      </c>
      <c r="L145" s="138">
        <f t="shared" si="34"/>
        <v>0</v>
      </c>
      <c r="M145" s="138">
        <f t="shared" si="35"/>
        <v>0</v>
      </c>
      <c r="N145" s="138">
        <f t="shared" si="36"/>
        <v>0</v>
      </c>
      <c r="O145" s="86">
        <f t="shared" si="38"/>
        <v>0</v>
      </c>
      <c r="P145" s="138">
        <v>0</v>
      </c>
      <c r="Q145" s="138">
        <v>0</v>
      </c>
      <c r="R145" s="138">
        <v>0</v>
      </c>
      <c r="S145" s="138">
        <v>0</v>
      </c>
      <c r="T145" s="138">
        <v>0</v>
      </c>
      <c r="U145" s="138">
        <v>0</v>
      </c>
      <c r="V145" s="138">
        <v>0</v>
      </c>
      <c r="W145" s="138">
        <v>0</v>
      </c>
      <c r="X145" s="138">
        <v>0</v>
      </c>
      <c r="Y145" s="138">
        <v>0</v>
      </c>
      <c r="Z145" s="138">
        <v>0</v>
      </c>
      <c r="AA145" s="138">
        <v>0</v>
      </c>
      <c r="AB145" s="86">
        <v>0</v>
      </c>
      <c r="AC145" s="138">
        <v>0</v>
      </c>
      <c r="AD145" s="138">
        <v>0</v>
      </c>
      <c r="AE145" s="138">
        <v>0</v>
      </c>
      <c r="AF145" s="138">
        <v>0</v>
      </c>
      <c r="AG145" s="138">
        <v>0</v>
      </c>
      <c r="AH145" s="138">
        <v>0</v>
      </c>
      <c r="AI145" s="138">
        <v>0</v>
      </c>
      <c r="AJ145" s="138">
        <v>0</v>
      </c>
      <c r="AK145" s="138">
        <v>0</v>
      </c>
      <c r="AL145" s="138">
        <v>0</v>
      </c>
      <c r="AM145" s="138">
        <v>0</v>
      </c>
      <c r="AN145" s="138">
        <v>0</v>
      </c>
      <c r="AO145" s="86">
        <v>0</v>
      </c>
      <c r="AP145" s="138">
        <v>0</v>
      </c>
      <c r="AQ145" s="138">
        <v>0</v>
      </c>
      <c r="AR145" s="138">
        <v>0</v>
      </c>
      <c r="AS145" s="138">
        <v>0</v>
      </c>
      <c r="AT145" s="138">
        <v>0</v>
      </c>
      <c r="AU145" s="138">
        <v>0</v>
      </c>
      <c r="AV145" s="138">
        <v>0</v>
      </c>
      <c r="AW145" s="138">
        <v>0</v>
      </c>
      <c r="AX145" s="138">
        <v>0</v>
      </c>
      <c r="AY145" s="138">
        <v>0</v>
      </c>
      <c r="AZ145" s="138">
        <v>0</v>
      </c>
      <c r="BA145" s="138">
        <v>0</v>
      </c>
      <c r="BB145" s="86">
        <v>0</v>
      </c>
      <c r="BC145" s="138">
        <v>0</v>
      </c>
      <c r="BD145" s="138">
        <v>0</v>
      </c>
      <c r="BE145" s="138">
        <v>0</v>
      </c>
      <c r="BF145" s="138">
        <v>0</v>
      </c>
      <c r="BG145" s="138">
        <v>0</v>
      </c>
      <c r="BH145" s="138">
        <v>0</v>
      </c>
      <c r="BI145" s="138">
        <v>0</v>
      </c>
      <c r="BJ145" s="138">
        <v>0</v>
      </c>
      <c r="BK145" s="138">
        <v>0</v>
      </c>
      <c r="BL145" s="138">
        <v>0</v>
      </c>
      <c r="BM145" s="138">
        <v>0</v>
      </c>
      <c r="BN145" s="138">
        <v>0</v>
      </c>
      <c r="BO145" s="86">
        <v>0</v>
      </c>
      <c r="BP145" s="138">
        <v>0</v>
      </c>
      <c r="BQ145" s="138">
        <v>0</v>
      </c>
      <c r="BR145" s="138">
        <v>0</v>
      </c>
      <c r="BS145" s="138">
        <v>0</v>
      </c>
      <c r="BT145" s="138">
        <v>0</v>
      </c>
      <c r="BU145" s="138">
        <v>0</v>
      </c>
      <c r="BV145" s="138">
        <v>0</v>
      </c>
      <c r="BW145" s="138">
        <v>0</v>
      </c>
      <c r="BX145" s="138">
        <v>0</v>
      </c>
      <c r="BY145" s="138">
        <v>0</v>
      </c>
      <c r="BZ145" s="138">
        <v>0</v>
      </c>
      <c r="CA145" s="138">
        <v>0</v>
      </c>
      <c r="CB145" s="86">
        <v>0</v>
      </c>
      <c r="CC145" s="138">
        <v>0</v>
      </c>
      <c r="CD145" s="138">
        <v>0</v>
      </c>
      <c r="CE145" s="138">
        <v>0</v>
      </c>
      <c r="CF145" s="138">
        <v>0</v>
      </c>
      <c r="CG145" s="138">
        <v>0</v>
      </c>
      <c r="CH145" s="138">
        <v>0</v>
      </c>
      <c r="CI145" s="138">
        <v>0</v>
      </c>
      <c r="CJ145" s="138">
        <v>0</v>
      </c>
      <c r="CK145" s="138">
        <v>0</v>
      </c>
      <c r="CL145" s="138">
        <v>0</v>
      </c>
      <c r="CM145" s="138">
        <v>0</v>
      </c>
      <c r="CN145" s="138">
        <v>0</v>
      </c>
      <c r="CO145" s="86">
        <v>0</v>
      </c>
      <c r="CP145" s="138">
        <v>0</v>
      </c>
      <c r="CQ145" s="138">
        <v>0</v>
      </c>
      <c r="CR145" s="138">
        <v>0</v>
      </c>
      <c r="CS145" s="138">
        <v>0</v>
      </c>
      <c r="CT145" s="138">
        <v>0</v>
      </c>
      <c r="CU145" s="138">
        <v>0</v>
      </c>
      <c r="CV145" s="138">
        <v>0</v>
      </c>
      <c r="CW145" s="138">
        <v>0</v>
      </c>
      <c r="CX145" s="138">
        <v>0</v>
      </c>
      <c r="CY145" s="138">
        <v>0</v>
      </c>
      <c r="CZ145" s="138">
        <v>0</v>
      </c>
      <c r="DA145" s="138">
        <v>0</v>
      </c>
      <c r="DB145" s="86">
        <v>0</v>
      </c>
      <c r="DC145" s="138">
        <v>0</v>
      </c>
      <c r="DD145" s="138">
        <v>0</v>
      </c>
      <c r="DE145" s="138">
        <v>0</v>
      </c>
      <c r="DF145" s="138">
        <v>0</v>
      </c>
      <c r="DG145" s="138">
        <v>0</v>
      </c>
      <c r="DH145" s="138">
        <v>0</v>
      </c>
      <c r="DI145" s="138">
        <v>0</v>
      </c>
      <c r="DJ145" s="138">
        <v>0</v>
      </c>
      <c r="DK145" s="138">
        <v>0</v>
      </c>
      <c r="DL145" s="138">
        <v>0</v>
      </c>
      <c r="DM145" s="138">
        <v>0</v>
      </c>
      <c r="DN145" s="138">
        <v>0</v>
      </c>
      <c r="DO145" s="86">
        <v>0</v>
      </c>
      <c r="DP145" s="138">
        <v>0</v>
      </c>
      <c r="DQ145" s="138">
        <v>0</v>
      </c>
      <c r="DR145" s="138">
        <v>0</v>
      </c>
      <c r="DS145" s="138">
        <v>0</v>
      </c>
      <c r="DT145" s="138">
        <v>0</v>
      </c>
      <c r="DU145" s="138">
        <v>0</v>
      </c>
      <c r="DV145" s="138">
        <v>0</v>
      </c>
      <c r="DW145" s="138">
        <v>0</v>
      </c>
      <c r="DX145" s="138">
        <v>0</v>
      </c>
      <c r="DY145" s="138">
        <v>0</v>
      </c>
      <c r="DZ145" s="138">
        <v>0</v>
      </c>
      <c r="EA145" s="138">
        <v>0</v>
      </c>
      <c r="EB145" s="85">
        <v>0</v>
      </c>
      <c r="EC145" s="87">
        <v>0</v>
      </c>
      <c r="ED145" s="85">
        <v>0</v>
      </c>
      <c r="EE145" s="85">
        <v>0</v>
      </c>
      <c r="EF145" s="85">
        <v>0</v>
      </c>
      <c r="EG145" s="85">
        <v>0</v>
      </c>
      <c r="EH145" s="85">
        <v>0</v>
      </c>
      <c r="EI145" s="85">
        <v>0</v>
      </c>
      <c r="EJ145" s="85">
        <v>0</v>
      </c>
      <c r="EK145" s="85">
        <v>0</v>
      </c>
      <c r="EL145" s="85">
        <v>0</v>
      </c>
      <c r="EM145" s="85">
        <v>0</v>
      </c>
      <c r="EN145" s="85">
        <v>0</v>
      </c>
      <c r="EO145" s="152">
        <v>0</v>
      </c>
      <c r="EP145" s="85">
        <v>0</v>
      </c>
      <c r="EQ145" s="85">
        <v>0</v>
      </c>
      <c r="ER145" s="85">
        <v>0</v>
      </c>
      <c r="ES145" s="85">
        <v>0</v>
      </c>
      <c r="ET145" s="85">
        <v>0</v>
      </c>
      <c r="EU145" s="85">
        <v>0</v>
      </c>
      <c r="EV145" s="85">
        <v>0</v>
      </c>
      <c r="EW145" s="85">
        <v>0</v>
      </c>
      <c r="EX145" s="85">
        <v>0</v>
      </c>
      <c r="EY145" s="85">
        <v>0</v>
      </c>
      <c r="EZ145" s="85">
        <v>0</v>
      </c>
      <c r="FA145" s="85">
        <v>0</v>
      </c>
      <c r="FB145" s="85">
        <v>0</v>
      </c>
      <c r="FC145" s="87">
        <v>0</v>
      </c>
      <c r="FD145" s="85">
        <v>0</v>
      </c>
      <c r="FE145" s="85">
        <v>0</v>
      </c>
      <c r="FF145" s="85">
        <v>0</v>
      </c>
      <c r="FG145" s="85">
        <v>0</v>
      </c>
      <c r="FH145" s="85">
        <v>0</v>
      </c>
      <c r="FI145" s="85">
        <v>0</v>
      </c>
      <c r="FJ145" s="85">
        <v>0</v>
      </c>
      <c r="FK145" s="85">
        <v>0</v>
      </c>
      <c r="FL145" s="85">
        <v>0</v>
      </c>
      <c r="FM145" s="85">
        <v>0</v>
      </c>
      <c r="FN145" s="85">
        <v>0</v>
      </c>
      <c r="FO145" s="86">
        <v>0</v>
      </c>
      <c r="FP145" s="87">
        <v>0</v>
      </c>
      <c r="FQ145" s="85">
        <v>0</v>
      </c>
      <c r="FR145" s="85">
        <v>0</v>
      </c>
      <c r="FS145" s="85">
        <v>0</v>
      </c>
      <c r="FT145" s="85">
        <v>0</v>
      </c>
      <c r="FU145" s="85">
        <v>0</v>
      </c>
      <c r="FV145" s="85">
        <v>0</v>
      </c>
      <c r="FW145" s="85">
        <v>0</v>
      </c>
      <c r="FX145" s="85">
        <v>0</v>
      </c>
      <c r="FY145" s="85">
        <v>0</v>
      </c>
      <c r="FZ145" s="85">
        <v>0</v>
      </c>
      <c r="GA145" s="85">
        <v>0</v>
      </c>
      <c r="GB145" s="152">
        <v>0</v>
      </c>
      <c r="GD145" s="153"/>
    </row>
    <row r="146" spans="1:186">
      <c r="A146" s="137" t="s">
        <v>318</v>
      </c>
      <c r="B146" s="151">
        <v>7145673.7252087</v>
      </c>
      <c r="C146" s="138">
        <f t="shared" si="37"/>
        <v>333845.173585664</v>
      </c>
      <c r="D146" s="138">
        <f t="shared" si="26"/>
        <v>199818.246502431</v>
      </c>
      <c r="E146" s="138">
        <f t="shared" si="27"/>
        <v>185240.058523734</v>
      </c>
      <c r="F146" s="138">
        <f t="shared" si="28"/>
        <v>250583.80256368</v>
      </c>
      <c r="G146" s="138">
        <f t="shared" si="29"/>
        <v>203830.944478068</v>
      </c>
      <c r="H146" s="138">
        <f t="shared" si="30"/>
        <v>200974.944677212</v>
      </c>
      <c r="I146" s="138">
        <f t="shared" si="31"/>
        <v>161020.29857201</v>
      </c>
      <c r="J146" s="138">
        <f t="shared" si="32"/>
        <v>148156.670561039</v>
      </c>
      <c r="K146" s="138">
        <f t="shared" si="33"/>
        <v>65169.0786226777</v>
      </c>
      <c r="L146" s="138">
        <f t="shared" si="34"/>
        <v>854.142506907459</v>
      </c>
      <c r="M146" s="138">
        <f t="shared" si="35"/>
        <v>854.142506907459</v>
      </c>
      <c r="N146" s="138">
        <f t="shared" si="36"/>
        <v>854.142506907459</v>
      </c>
      <c r="O146" s="86">
        <f t="shared" si="38"/>
        <v>1751201.64560724</v>
      </c>
      <c r="P146" s="138">
        <v>226104.944349555</v>
      </c>
      <c r="Q146" s="138">
        <v>100614.86839195</v>
      </c>
      <c r="R146" s="138">
        <v>94747.1104814591</v>
      </c>
      <c r="S146" s="138">
        <v>162547.633276826</v>
      </c>
      <c r="T146" s="138">
        <v>112888.722559455</v>
      </c>
      <c r="U146" s="138">
        <v>135210.36484644</v>
      </c>
      <c r="V146" s="138">
        <v>96472.4041736554</v>
      </c>
      <c r="W146" s="138">
        <v>96472.4041736554</v>
      </c>
      <c r="X146" s="138">
        <v>64314.9361157703</v>
      </c>
      <c r="Y146" s="138">
        <v>0</v>
      </c>
      <c r="Z146" s="138">
        <v>0</v>
      </c>
      <c r="AA146" s="138">
        <v>0</v>
      </c>
      <c r="AB146" s="86">
        <v>1089373.38836877</v>
      </c>
      <c r="AC146" s="138">
        <v>74461.247306898</v>
      </c>
      <c r="AD146" s="138">
        <v>50966.9336412263</v>
      </c>
      <c r="AE146" s="138">
        <v>51152.7952783691</v>
      </c>
      <c r="AF146" s="138">
        <v>60412.3803730576</v>
      </c>
      <c r="AG146" s="138">
        <v>61906.501470765</v>
      </c>
      <c r="AH146" s="138">
        <v>50830.1238804757</v>
      </c>
      <c r="AI146" s="138">
        <v>50830.1238804757</v>
      </c>
      <c r="AJ146" s="138">
        <v>50830.1238804757</v>
      </c>
      <c r="AK146" s="138">
        <v>0</v>
      </c>
      <c r="AL146" s="138">
        <v>0</v>
      </c>
      <c r="AM146" s="138">
        <v>0</v>
      </c>
      <c r="AN146" s="138">
        <v>0</v>
      </c>
      <c r="AO146" s="86">
        <v>451390.229711743</v>
      </c>
      <c r="AP146" s="138">
        <v>222.558385311975</v>
      </c>
      <c r="AQ146" s="138">
        <v>0</v>
      </c>
      <c r="AR146" s="138">
        <v>217.825390346651</v>
      </c>
      <c r="AS146" s="138">
        <v>0</v>
      </c>
      <c r="AT146" s="138">
        <v>2445.85459179798</v>
      </c>
      <c r="AU146" s="138">
        <v>0</v>
      </c>
      <c r="AV146" s="138">
        <v>0</v>
      </c>
      <c r="AW146" s="138">
        <v>0</v>
      </c>
      <c r="AX146" s="138">
        <v>0</v>
      </c>
      <c r="AY146" s="138">
        <v>0</v>
      </c>
      <c r="AZ146" s="138">
        <v>0</v>
      </c>
      <c r="BA146" s="138">
        <v>0</v>
      </c>
      <c r="BB146" s="86">
        <v>2886.23836745661</v>
      </c>
      <c r="BC146" s="138">
        <v>10603.1942816193</v>
      </c>
      <c r="BD146" s="138">
        <v>10003.2271864163</v>
      </c>
      <c r="BE146" s="138">
        <v>5960.58577166237</v>
      </c>
      <c r="BF146" s="138">
        <v>84.8622701567611</v>
      </c>
      <c r="BG146" s="138">
        <v>0</v>
      </c>
      <c r="BH146" s="138">
        <v>0</v>
      </c>
      <c r="BI146" s="138">
        <v>0</v>
      </c>
      <c r="BJ146" s="138">
        <v>0</v>
      </c>
      <c r="BK146" s="138">
        <v>0</v>
      </c>
      <c r="BL146" s="138">
        <v>0</v>
      </c>
      <c r="BM146" s="138">
        <v>0</v>
      </c>
      <c r="BN146" s="138">
        <v>0</v>
      </c>
      <c r="BO146" s="86">
        <v>26651.8695098548</v>
      </c>
      <c r="BP146" s="138">
        <v>0</v>
      </c>
      <c r="BQ146" s="138">
        <v>0</v>
      </c>
      <c r="BR146" s="138">
        <v>0</v>
      </c>
      <c r="BS146" s="138">
        <v>0</v>
      </c>
      <c r="BT146" s="138">
        <v>0</v>
      </c>
      <c r="BU146" s="138">
        <v>0</v>
      </c>
      <c r="BV146" s="138">
        <v>0</v>
      </c>
      <c r="BW146" s="138">
        <v>0</v>
      </c>
      <c r="BX146" s="138">
        <v>0</v>
      </c>
      <c r="BY146" s="138">
        <v>0</v>
      </c>
      <c r="BZ146" s="138">
        <v>0</v>
      </c>
      <c r="CA146" s="138">
        <v>0</v>
      </c>
      <c r="CB146" s="86">
        <v>0</v>
      </c>
      <c r="CC146" s="138">
        <v>5030.43157145703</v>
      </c>
      <c r="CD146" s="138">
        <v>0</v>
      </c>
      <c r="CE146" s="138">
        <v>0</v>
      </c>
      <c r="CF146" s="138">
        <v>3635.66335900447</v>
      </c>
      <c r="CG146" s="138">
        <v>6065.22162386922</v>
      </c>
      <c r="CH146" s="138">
        <v>4591.00600088081</v>
      </c>
      <c r="CI146" s="138">
        <v>5784.66756110982</v>
      </c>
      <c r="CJ146" s="138">
        <v>0</v>
      </c>
      <c r="CK146" s="138">
        <v>0</v>
      </c>
      <c r="CL146" s="138">
        <v>0</v>
      </c>
      <c r="CM146" s="138">
        <v>0</v>
      </c>
      <c r="CN146" s="138">
        <v>0</v>
      </c>
      <c r="CO146" s="86">
        <v>25106.9901163214</v>
      </c>
      <c r="CP146" s="138">
        <v>0</v>
      </c>
      <c r="CQ146" s="138">
        <v>0</v>
      </c>
      <c r="CR146" s="138">
        <v>0</v>
      </c>
      <c r="CS146" s="138">
        <v>0</v>
      </c>
      <c r="CT146" s="138">
        <v>0</v>
      </c>
      <c r="CU146" s="138">
        <v>0</v>
      </c>
      <c r="CV146" s="138">
        <v>0</v>
      </c>
      <c r="CW146" s="138">
        <v>0</v>
      </c>
      <c r="CX146" s="138">
        <v>0</v>
      </c>
      <c r="CY146" s="138">
        <v>0</v>
      </c>
      <c r="CZ146" s="138">
        <v>0</v>
      </c>
      <c r="DA146" s="138">
        <v>0</v>
      </c>
      <c r="DB146" s="86">
        <v>0</v>
      </c>
      <c r="DC146" s="138">
        <v>6751.20378490379</v>
      </c>
      <c r="DD146" s="138">
        <v>4635.7083137144</v>
      </c>
      <c r="DE146" s="138">
        <v>4362.98137419883</v>
      </c>
      <c r="DF146" s="138">
        <v>3297.47931390836</v>
      </c>
      <c r="DG146" s="138">
        <v>4191.71231591524</v>
      </c>
      <c r="DH146" s="138">
        <v>2562.42752072238</v>
      </c>
      <c r="DI146" s="138">
        <v>1708.28501381492</v>
      </c>
      <c r="DJ146" s="138">
        <v>854.142506907459</v>
      </c>
      <c r="DK146" s="138">
        <v>854.142506907459</v>
      </c>
      <c r="DL146" s="138">
        <v>854.142506907459</v>
      </c>
      <c r="DM146" s="138">
        <v>854.142506907459</v>
      </c>
      <c r="DN146" s="138">
        <v>854.142506907459</v>
      </c>
      <c r="DO146" s="86">
        <v>31780.5101717152</v>
      </c>
      <c r="DP146" s="138">
        <v>426.776154234868</v>
      </c>
      <c r="DQ146" s="138">
        <v>107.40297941555</v>
      </c>
      <c r="DR146" s="138">
        <v>0</v>
      </c>
      <c r="DS146" s="138">
        <v>0</v>
      </c>
      <c r="DT146" s="138">
        <v>0</v>
      </c>
      <c r="DU146" s="138">
        <v>0</v>
      </c>
      <c r="DV146" s="138">
        <v>0</v>
      </c>
      <c r="DW146" s="138">
        <v>0</v>
      </c>
      <c r="DX146" s="138">
        <v>0</v>
      </c>
      <c r="DY146" s="138">
        <v>0</v>
      </c>
      <c r="DZ146" s="138">
        <v>0</v>
      </c>
      <c r="EA146" s="138">
        <v>0</v>
      </c>
      <c r="EB146" s="85">
        <v>534.179133650418</v>
      </c>
      <c r="EC146" s="87">
        <v>0</v>
      </c>
      <c r="ED146" s="85">
        <v>0</v>
      </c>
      <c r="EE146" s="85">
        <v>0</v>
      </c>
      <c r="EF146" s="85">
        <v>0</v>
      </c>
      <c r="EG146" s="85">
        <v>0</v>
      </c>
      <c r="EH146" s="85">
        <v>0</v>
      </c>
      <c r="EI146" s="85">
        <v>0</v>
      </c>
      <c r="EJ146" s="85">
        <v>0</v>
      </c>
      <c r="EK146" s="85">
        <v>0</v>
      </c>
      <c r="EL146" s="85">
        <v>0</v>
      </c>
      <c r="EM146" s="85">
        <v>0</v>
      </c>
      <c r="EN146" s="85">
        <v>0</v>
      </c>
      <c r="EO146" s="152">
        <v>0</v>
      </c>
      <c r="EP146" s="85">
        <v>0</v>
      </c>
      <c r="EQ146" s="85">
        <v>25461.0770330859</v>
      </c>
      <c r="ER146" s="85">
        <v>16254.8777110886</v>
      </c>
      <c r="ES146" s="85">
        <v>11421.5011569207</v>
      </c>
      <c r="ET146" s="85">
        <v>8383.00777517623</v>
      </c>
      <c r="EU146" s="85">
        <v>7781.02242869228</v>
      </c>
      <c r="EV146" s="85">
        <v>6224.81794295382</v>
      </c>
      <c r="EW146" s="85">
        <v>0</v>
      </c>
      <c r="EX146" s="85">
        <v>0</v>
      </c>
      <c r="EY146" s="85">
        <v>0</v>
      </c>
      <c r="EZ146" s="85">
        <v>0</v>
      </c>
      <c r="FA146" s="85">
        <v>0</v>
      </c>
      <c r="FB146" s="85">
        <v>75526.3040479176</v>
      </c>
      <c r="FC146" s="87">
        <v>0</v>
      </c>
      <c r="FD146" s="85">
        <v>0</v>
      </c>
      <c r="FE146" s="85">
        <v>0</v>
      </c>
      <c r="FF146" s="85">
        <v>0</v>
      </c>
      <c r="FG146" s="85">
        <v>0</v>
      </c>
      <c r="FH146" s="85">
        <v>0</v>
      </c>
      <c r="FI146" s="85">
        <v>0</v>
      </c>
      <c r="FJ146" s="85">
        <v>0</v>
      </c>
      <c r="FK146" s="85">
        <v>0</v>
      </c>
      <c r="FL146" s="85">
        <v>0</v>
      </c>
      <c r="FM146" s="85">
        <v>0</v>
      </c>
      <c r="FN146" s="85">
        <v>0</v>
      </c>
      <c r="FO146" s="86">
        <v>0</v>
      </c>
      <c r="FP146" s="87">
        <v>10244.8177516835</v>
      </c>
      <c r="FQ146" s="85">
        <v>8029.02895662312</v>
      </c>
      <c r="FR146" s="85">
        <v>12543.8825166098</v>
      </c>
      <c r="FS146" s="85">
        <v>9184.28281380628</v>
      </c>
      <c r="FT146" s="85">
        <v>7949.9241410886</v>
      </c>
      <c r="FU146" s="85">
        <v>0</v>
      </c>
      <c r="FV146" s="85">
        <v>0</v>
      </c>
      <c r="FW146" s="85">
        <v>0</v>
      </c>
      <c r="FX146" s="85">
        <v>0</v>
      </c>
      <c r="FY146" s="85">
        <v>0</v>
      </c>
      <c r="FZ146" s="85">
        <v>0</v>
      </c>
      <c r="GA146" s="85">
        <v>0</v>
      </c>
      <c r="GB146" s="152">
        <v>47951.9361798112</v>
      </c>
      <c r="GD146" s="153"/>
    </row>
    <row r="147" spans="1:186">
      <c r="A147" s="137" t="s">
        <v>319</v>
      </c>
      <c r="B147" s="151">
        <v>5072.9150258039</v>
      </c>
      <c r="C147" s="138">
        <f t="shared" si="37"/>
        <v>0</v>
      </c>
      <c r="D147" s="138">
        <f t="shared" si="26"/>
        <v>0</v>
      </c>
      <c r="E147" s="138">
        <f t="shared" si="27"/>
        <v>0</v>
      </c>
      <c r="F147" s="138">
        <f t="shared" si="28"/>
        <v>0</v>
      </c>
      <c r="G147" s="138">
        <f t="shared" si="29"/>
        <v>0</v>
      </c>
      <c r="H147" s="138">
        <f t="shared" si="30"/>
        <v>0</v>
      </c>
      <c r="I147" s="138">
        <f t="shared" si="31"/>
        <v>0</v>
      </c>
      <c r="J147" s="138">
        <f t="shared" si="32"/>
        <v>0</v>
      </c>
      <c r="K147" s="138">
        <f t="shared" si="33"/>
        <v>0</v>
      </c>
      <c r="L147" s="138">
        <f t="shared" si="34"/>
        <v>0</v>
      </c>
      <c r="M147" s="138">
        <f t="shared" si="35"/>
        <v>0</v>
      </c>
      <c r="N147" s="138">
        <f t="shared" si="36"/>
        <v>0</v>
      </c>
      <c r="O147" s="86">
        <f t="shared" si="38"/>
        <v>0</v>
      </c>
      <c r="P147" s="138">
        <v>0</v>
      </c>
      <c r="Q147" s="138">
        <v>0</v>
      </c>
      <c r="R147" s="138">
        <v>0</v>
      </c>
      <c r="S147" s="138">
        <v>0</v>
      </c>
      <c r="T147" s="138">
        <v>0</v>
      </c>
      <c r="U147" s="138">
        <v>0</v>
      </c>
      <c r="V147" s="138">
        <v>0</v>
      </c>
      <c r="W147" s="138">
        <v>0</v>
      </c>
      <c r="X147" s="138">
        <v>0</v>
      </c>
      <c r="Y147" s="138">
        <v>0</v>
      </c>
      <c r="Z147" s="138">
        <v>0</v>
      </c>
      <c r="AA147" s="138">
        <v>0</v>
      </c>
      <c r="AB147" s="86">
        <v>0</v>
      </c>
      <c r="AC147" s="138">
        <v>0</v>
      </c>
      <c r="AD147" s="138">
        <v>0</v>
      </c>
      <c r="AE147" s="138">
        <v>0</v>
      </c>
      <c r="AF147" s="138">
        <v>0</v>
      </c>
      <c r="AG147" s="138">
        <v>0</v>
      </c>
      <c r="AH147" s="138">
        <v>0</v>
      </c>
      <c r="AI147" s="138">
        <v>0</v>
      </c>
      <c r="AJ147" s="138">
        <v>0</v>
      </c>
      <c r="AK147" s="138">
        <v>0</v>
      </c>
      <c r="AL147" s="138">
        <v>0</v>
      </c>
      <c r="AM147" s="138">
        <v>0</v>
      </c>
      <c r="AN147" s="138">
        <v>0</v>
      </c>
      <c r="AO147" s="86">
        <v>0</v>
      </c>
      <c r="AP147" s="138">
        <v>0</v>
      </c>
      <c r="AQ147" s="138">
        <v>0</v>
      </c>
      <c r="AR147" s="138">
        <v>0</v>
      </c>
      <c r="AS147" s="138">
        <v>0</v>
      </c>
      <c r="AT147" s="138">
        <v>0</v>
      </c>
      <c r="AU147" s="138">
        <v>0</v>
      </c>
      <c r="AV147" s="138">
        <v>0</v>
      </c>
      <c r="AW147" s="138">
        <v>0</v>
      </c>
      <c r="AX147" s="138">
        <v>0</v>
      </c>
      <c r="AY147" s="138">
        <v>0</v>
      </c>
      <c r="AZ147" s="138">
        <v>0</v>
      </c>
      <c r="BA147" s="138">
        <v>0</v>
      </c>
      <c r="BB147" s="86">
        <v>0</v>
      </c>
      <c r="BC147" s="138">
        <v>0</v>
      </c>
      <c r="BD147" s="138">
        <v>0</v>
      </c>
      <c r="BE147" s="138">
        <v>0</v>
      </c>
      <c r="BF147" s="138">
        <v>0</v>
      </c>
      <c r="BG147" s="138">
        <v>0</v>
      </c>
      <c r="BH147" s="138">
        <v>0</v>
      </c>
      <c r="BI147" s="138">
        <v>0</v>
      </c>
      <c r="BJ147" s="138">
        <v>0</v>
      </c>
      <c r="BK147" s="138">
        <v>0</v>
      </c>
      <c r="BL147" s="138">
        <v>0</v>
      </c>
      <c r="BM147" s="138">
        <v>0</v>
      </c>
      <c r="BN147" s="138">
        <v>0</v>
      </c>
      <c r="BO147" s="86">
        <v>0</v>
      </c>
      <c r="BP147" s="138">
        <v>0</v>
      </c>
      <c r="BQ147" s="138">
        <v>0</v>
      </c>
      <c r="BR147" s="138">
        <v>0</v>
      </c>
      <c r="BS147" s="138">
        <v>0</v>
      </c>
      <c r="BT147" s="138">
        <v>0</v>
      </c>
      <c r="BU147" s="138">
        <v>0</v>
      </c>
      <c r="BV147" s="138">
        <v>0</v>
      </c>
      <c r="BW147" s="138">
        <v>0</v>
      </c>
      <c r="BX147" s="138">
        <v>0</v>
      </c>
      <c r="BY147" s="138">
        <v>0</v>
      </c>
      <c r="BZ147" s="138">
        <v>0</v>
      </c>
      <c r="CA147" s="138">
        <v>0</v>
      </c>
      <c r="CB147" s="86">
        <v>0</v>
      </c>
      <c r="CC147" s="138">
        <v>0</v>
      </c>
      <c r="CD147" s="138">
        <v>0</v>
      </c>
      <c r="CE147" s="138">
        <v>0</v>
      </c>
      <c r="CF147" s="138">
        <v>0</v>
      </c>
      <c r="CG147" s="138">
        <v>0</v>
      </c>
      <c r="CH147" s="138">
        <v>0</v>
      </c>
      <c r="CI147" s="138">
        <v>0</v>
      </c>
      <c r="CJ147" s="138">
        <v>0</v>
      </c>
      <c r="CK147" s="138">
        <v>0</v>
      </c>
      <c r="CL147" s="138">
        <v>0</v>
      </c>
      <c r="CM147" s="138">
        <v>0</v>
      </c>
      <c r="CN147" s="138">
        <v>0</v>
      </c>
      <c r="CO147" s="86">
        <v>0</v>
      </c>
      <c r="CP147" s="138">
        <v>0</v>
      </c>
      <c r="CQ147" s="138">
        <v>0</v>
      </c>
      <c r="CR147" s="138">
        <v>0</v>
      </c>
      <c r="CS147" s="138">
        <v>0</v>
      </c>
      <c r="CT147" s="138">
        <v>0</v>
      </c>
      <c r="CU147" s="138">
        <v>0</v>
      </c>
      <c r="CV147" s="138">
        <v>0</v>
      </c>
      <c r="CW147" s="138">
        <v>0</v>
      </c>
      <c r="CX147" s="138">
        <v>0</v>
      </c>
      <c r="CY147" s="138">
        <v>0</v>
      </c>
      <c r="CZ147" s="138">
        <v>0</v>
      </c>
      <c r="DA147" s="138">
        <v>0</v>
      </c>
      <c r="DB147" s="86">
        <v>0</v>
      </c>
      <c r="DC147" s="138">
        <v>0</v>
      </c>
      <c r="DD147" s="138">
        <v>0</v>
      </c>
      <c r="DE147" s="138">
        <v>0</v>
      </c>
      <c r="DF147" s="138">
        <v>0</v>
      </c>
      <c r="DG147" s="138">
        <v>0</v>
      </c>
      <c r="DH147" s="138">
        <v>0</v>
      </c>
      <c r="DI147" s="138">
        <v>0</v>
      </c>
      <c r="DJ147" s="138">
        <v>0</v>
      </c>
      <c r="DK147" s="138">
        <v>0</v>
      </c>
      <c r="DL147" s="138">
        <v>0</v>
      </c>
      <c r="DM147" s="138">
        <v>0</v>
      </c>
      <c r="DN147" s="138">
        <v>0</v>
      </c>
      <c r="DO147" s="86">
        <v>0</v>
      </c>
      <c r="DP147" s="138">
        <v>0</v>
      </c>
      <c r="DQ147" s="138">
        <v>0</v>
      </c>
      <c r="DR147" s="138">
        <v>0</v>
      </c>
      <c r="DS147" s="138">
        <v>0</v>
      </c>
      <c r="DT147" s="138">
        <v>0</v>
      </c>
      <c r="DU147" s="138">
        <v>0</v>
      </c>
      <c r="DV147" s="138">
        <v>0</v>
      </c>
      <c r="DW147" s="138">
        <v>0</v>
      </c>
      <c r="DX147" s="138">
        <v>0</v>
      </c>
      <c r="DY147" s="138">
        <v>0</v>
      </c>
      <c r="DZ147" s="138">
        <v>0</v>
      </c>
      <c r="EA147" s="138">
        <v>0</v>
      </c>
      <c r="EB147" s="85">
        <v>0</v>
      </c>
      <c r="EC147" s="87">
        <v>0</v>
      </c>
      <c r="ED147" s="85">
        <v>0</v>
      </c>
      <c r="EE147" s="85">
        <v>0</v>
      </c>
      <c r="EF147" s="85">
        <v>0</v>
      </c>
      <c r="EG147" s="85">
        <v>0</v>
      </c>
      <c r="EH147" s="85">
        <v>0</v>
      </c>
      <c r="EI147" s="85">
        <v>0</v>
      </c>
      <c r="EJ147" s="85">
        <v>0</v>
      </c>
      <c r="EK147" s="85">
        <v>0</v>
      </c>
      <c r="EL147" s="85">
        <v>0</v>
      </c>
      <c r="EM147" s="85">
        <v>0</v>
      </c>
      <c r="EN147" s="85">
        <v>0</v>
      </c>
      <c r="EO147" s="152">
        <v>0</v>
      </c>
      <c r="EP147" s="85">
        <v>0</v>
      </c>
      <c r="EQ147" s="85">
        <v>0</v>
      </c>
      <c r="ER147" s="85">
        <v>0</v>
      </c>
      <c r="ES147" s="85">
        <v>0</v>
      </c>
      <c r="ET147" s="85">
        <v>0</v>
      </c>
      <c r="EU147" s="85">
        <v>0</v>
      </c>
      <c r="EV147" s="85">
        <v>0</v>
      </c>
      <c r="EW147" s="85">
        <v>0</v>
      </c>
      <c r="EX147" s="85">
        <v>0</v>
      </c>
      <c r="EY147" s="85">
        <v>0</v>
      </c>
      <c r="EZ147" s="85">
        <v>0</v>
      </c>
      <c r="FA147" s="85">
        <v>0</v>
      </c>
      <c r="FB147" s="85">
        <v>0</v>
      </c>
      <c r="FC147" s="87">
        <v>0</v>
      </c>
      <c r="FD147" s="85">
        <v>0</v>
      </c>
      <c r="FE147" s="85">
        <v>0</v>
      </c>
      <c r="FF147" s="85">
        <v>0</v>
      </c>
      <c r="FG147" s="85">
        <v>0</v>
      </c>
      <c r="FH147" s="85">
        <v>0</v>
      </c>
      <c r="FI147" s="85">
        <v>0</v>
      </c>
      <c r="FJ147" s="85">
        <v>0</v>
      </c>
      <c r="FK147" s="85">
        <v>0</v>
      </c>
      <c r="FL147" s="85">
        <v>0</v>
      </c>
      <c r="FM147" s="85">
        <v>0</v>
      </c>
      <c r="FN147" s="85">
        <v>0</v>
      </c>
      <c r="FO147" s="86">
        <v>0</v>
      </c>
      <c r="FP147" s="87">
        <v>0</v>
      </c>
      <c r="FQ147" s="85">
        <v>0</v>
      </c>
      <c r="FR147" s="85">
        <v>0</v>
      </c>
      <c r="FS147" s="85">
        <v>0</v>
      </c>
      <c r="FT147" s="85">
        <v>0</v>
      </c>
      <c r="FU147" s="85">
        <v>0</v>
      </c>
      <c r="FV147" s="85">
        <v>0</v>
      </c>
      <c r="FW147" s="85">
        <v>0</v>
      </c>
      <c r="FX147" s="85">
        <v>0</v>
      </c>
      <c r="FY147" s="85">
        <v>0</v>
      </c>
      <c r="FZ147" s="85">
        <v>0</v>
      </c>
      <c r="GA147" s="85">
        <v>0</v>
      </c>
      <c r="GB147" s="152">
        <v>0</v>
      </c>
      <c r="GD147" s="153"/>
    </row>
    <row r="148" spans="1:186">
      <c r="A148" s="137" t="s">
        <v>320</v>
      </c>
      <c r="B148" s="151">
        <v>371564.406726731</v>
      </c>
      <c r="C148" s="138">
        <f t="shared" si="37"/>
        <v>43876.796894878</v>
      </c>
      <c r="D148" s="138">
        <f t="shared" si="26"/>
        <v>273429.381381774</v>
      </c>
      <c r="E148" s="138">
        <f t="shared" si="27"/>
        <v>19735.109333452</v>
      </c>
      <c r="F148" s="138">
        <f t="shared" si="28"/>
        <v>156475.418799422</v>
      </c>
      <c r="G148" s="138">
        <f t="shared" si="29"/>
        <v>52048.6527889375</v>
      </c>
      <c r="H148" s="138">
        <f t="shared" si="30"/>
        <v>46031.3867327078</v>
      </c>
      <c r="I148" s="138">
        <f t="shared" si="31"/>
        <v>25978.2619398683</v>
      </c>
      <c r="J148" s="138">
        <f t="shared" si="32"/>
        <v>5845.10893647036</v>
      </c>
      <c r="K148" s="138">
        <f t="shared" si="33"/>
        <v>0</v>
      </c>
      <c r="L148" s="138">
        <f t="shared" si="34"/>
        <v>0</v>
      </c>
      <c r="M148" s="138">
        <f t="shared" si="35"/>
        <v>0</v>
      </c>
      <c r="N148" s="138">
        <f t="shared" si="36"/>
        <v>0</v>
      </c>
      <c r="O148" s="86">
        <f t="shared" si="38"/>
        <v>623420.11680751</v>
      </c>
      <c r="P148" s="138">
        <v>0</v>
      </c>
      <c r="Q148" s="138">
        <v>0</v>
      </c>
      <c r="R148" s="138">
        <v>0</v>
      </c>
      <c r="S148" s="138">
        <v>0</v>
      </c>
      <c r="T148" s="138">
        <v>0</v>
      </c>
      <c r="U148" s="138">
        <v>0</v>
      </c>
      <c r="V148" s="138">
        <v>0</v>
      </c>
      <c r="W148" s="138">
        <v>0</v>
      </c>
      <c r="X148" s="138">
        <v>0</v>
      </c>
      <c r="Y148" s="138">
        <v>0</v>
      </c>
      <c r="Z148" s="138">
        <v>0</v>
      </c>
      <c r="AA148" s="138">
        <v>0</v>
      </c>
      <c r="AB148" s="86">
        <v>0</v>
      </c>
      <c r="AC148" s="138">
        <v>230.048684430697</v>
      </c>
      <c r="AD148" s="138">
        <v>0</v>
      </c>
      <c r="AE148" s="138">
        <v>0</v>
      </c>
      <c r="AF148" s="138">
        <v>0</v>
      </c>
      <c r="AG148" s="138">
        <v>0</v>
      </c>
      <c r="AH148" s="138">
        <v>0</v>
      </c>
      <c r="AI148" s="138">
        <v>0</v>
      </c>
      <c r="AJ148" s="138">
        <v>0</v>
      </c>
      <c r="AK148" s="138">
        <v>0</v>
      </c>
      <c r="AL148" s="138">
        <v>0</v>
      </c>
      <c r="AM148" s="138">
        <v>0</v>
      </c>
      <c r="AN148" s="138">
        <v>0</v>
      </c>
      <c r="AO148" s="86">
        <v>230.048684430697</v>
      </c>
      <c r="AP148" s="138">
        <v>0</v>
      </c>
      <c r="AQ148" s="138">
        <v>0</v>
      </c>
      <c r="AR148" s="138">
        <v>0</v>
      </c>
      <c r="AS148" s="138">
        <v>0</v>
      </c>
      <c r="AT148" s="138">
        <v>0</v>
      </c>
      <c r="AU148" s="138">
        <v>0</v>
      </c>
      <c r="AV148" s="138">
        <v>0</v>
      </c>
      <c r="AW148" s="138">
        <v>0</v>
      </c>
      <c r="AX148" s="138">
        <v>0</v>
      </c>
      <c r="AY148" s="138">
        <v>0</v>
      </c>
      <c r="AZ148" s="138">
        <v>0</v>
      </c>
      <c r="BA148" s="138">
        <v>0</v>
      </c>
      <c r="BB148" s="86">
        <v>0</v>
      </c>
      <c r="BC148" s="138">
        <v>0</v>
      </c>
      <c r="BD148" s="138">
        <v>0</v>
      </c>
      <c r="BE148" s="138">
        <v>0</v>
      </c>
      <c r="BF148" s="138">
        <v>0</v>
      </c>
      <c r="BG148" s="138">
        <v>0</v>
      </c>
      <c r="BH148" s="138">
        <v>0</v>
      </c>
      <c r="BI148" s="138">
        <v>0</v>
      </c>
      <c r="BJ148" s="138">
        <v>0</v>
      </c>
      <c r="BK148" s="138">
        <v>0</v>
      </c>
      <c r="BL148" s="138">
        <v>0</v>
      </c>
      <c r="BM148" s="138">
        <v>0</v>
      </c>
      <c r="BN148" s="138">
        <v>0</v>
      </c>
      <c r="BO148" s="86">
        <v>0</v>
      </c>
      <c r="BP148" s="138">
        <v>0</v>
      </c>
      <c r="BQ148" s="138">
        <v>0</v>
      </c>
      <c r="BR148" s="138">
        <v>0</v>
      </c>
      <c r="BS148" s="138">
        <v>0</v>
      </c>
      <c r="BT148" s="138">
        <v>0</v>
      </c>
      <c r="BU148" s="138">
        <v>0</v>
      </c>
      <c r="BV148" s="138">
        <v>0</v>
      </c>
      <c r="BW148" s="138">
        <v>0</v>
      </c>
      <c r="BX148" s="138">
        <v>0</v>
      </c>
      <c r="BY148" s="138">
        <v>0</v>
      </c>
      <c r="BZ148" s="138">
        <v>0</v>
      </c>
      <c r="CA148" s="138">
        <v>0</v>
      </c>
      <c r="CB148" s="86">
        <v>0</v>
      </c>
      <c r="CC148" s="138">
        <v>0</v>
      </c>
      <c r="CD148" s="138">
        <v>0</v>
      </c>
      <c r="CE148" s="138">
        <v>0</v>
      </c>
      <c r="CF148" s="138">
        <v>0</v>
      </c>
      <c r="CG148" s="138">
        <v>0</v>
      </c>
      <c r="CH148" s="138">
        <v>0</v>
      </c>
      <c r="CI148" s="138">
        <v>0</v>
      </c>
      <c r="CJ148" s="138">
        <v>0</v>
      </c>
      <c r="CK148" s="138">
        <v>0</v>
      </c>
      <c r="CL148" s="138">
        <v>0</v>
      </c>
      <c r="CM148" s="138">
        <v>0</v>
      </c>
      <c r="CN148" s="138">
        <v>0</v>
      </c>
      <c r="CO148" s="86">
        <v>0</v>
      </c>
      <c r="CP148" s="138">
        <v>0</v>
      </c>
      <c r="CQ148" s="138">
        <v>0</v>
      </c>
      <c r="CR148" s="138">
        <v>0</v>
      </c>
      <c r="CS148" s="138">
        <v>0</v>
      </c>
      <c r="CT148" s="138">
        <v>0</v>
      </c>
      <c r="CU148" s="138">
        <v>0</v>
      </c>
      <c r="CV148" s="138">
        <v>0</v>
      </c>
      <c r="CW148" s="138">
        <v>0</v>
      </c>
      <c r="CX148" s="138">
        <v>0</v>
      </c>
      <c r="CY148" s="138">
        <v>0</v>
      </c>
      <c r="CZ148" s="138">
        <v>0</v>
      </c>
      <c r="DA148" s="138">
        <v>0</v>
      </c>
      <c r="DB148" s="86">
        <v>0</v>
      </c>
      <c r="DC148" s="138">
        <v>0</v>
      </c>
      <c r="DD148" s="138">
        <v>0</v>
      </c>
      <c r="DE148" s="138">
        <v>0</v>
      </c>
      <c r="DF148" s="138">
        <v>23265.5373439022</v>
      </c>
      <c r="DG148" s="138">
        <v>4284.88404041515</v>
      </c>
      <c r="DH148" s="138">
        <v>569.428337938306</v>
      </c>
      <c r="DI148" s="138">
        <v>0</v>
      </c>
      <c r="DJ148" s="138">
        <v>0</v>
      </c>
      <c r="DK148" s="138">
        <v>0</v>
      </c>
      <c r="DL148" s="138">
        <v>0</v>
      </c>
      <c r="DM148" s="138">
        <v>0</v>
      </c>
      <c r="DN148" s="138">
        <v>0</v>
      </c>
      <c r="DO148" s="86">
        <v>28119.8497222557</v>
      </c>
      <c r="DP148" s="138">
        <v>0</v>
      </c>
      <c r="DQ148" s="138">
        <v>0</v>
      </c>
      <c r="DR148" s="138">
        <v>0</v>
      </c>
      <c r="DS148" s="138">
        <v>113532.346902521</v>
      </c>
      <c r="DT148" s="138">
        <v>47763.7687485224</v>
      </c>
      <c r="DU148" s="138">
        <v>45461.9583947694</v>
      </c>
      <c r="DV148" s="138">
        <v>25978.2619398683</v>
      </c>
      <c r="DW148" s="138">
        <v>5845.10893647036</v>
      </c>
      <c r="DX148" s="138">
        <v>0</v>
      </c>
      <c r="DY148" s="138">
        <v>0</v>
      </c>
      <c r="DZ148" s="138">
        <v>0</v>
      </c>
      <c r="EA148" s="138">
        <v>0</v>
      </c>
      <c r="EB148" s="85">
        <v>238581.444922152</v>
      </c>
      <c r="EC148" s="87">
        <v>0</v>
      </c>
      <c r="ED148" s="85">
        <v>0</v>
      </c>
      <c r="EE148" s="85">
        <v>0</v>
      </c>
      <c r="EF148" s="85">
        <v>0</v>
      </c>
      <c r="EG148" s="85">
        <v>0</v>
      </c>
      <c r="EH148" s="85">
        <v>0</v>
      </c>
      <c r="EI148" s="85">
        <v>0</v>
      </c>
      <c r="EJ148" s="85">
        <v>0</v>
      </c>
      <c r="EK148" s="85">
        <v>0</v>
      </c>
      <c r="EL148" s="85">
        <v>0</v>
      </c>
      <c r="EM148" s="85">
        <v>0</v>
      </c>
      <c r="EN148" s="85">
        <v>0</v>
      </c>
      <c r="EO148" s="152">
        <v>0</v>
      </c>
      <c r="EP148" s="85">
        <v>0</v>
      </c>
      <c r="EQ148" s="85">
        <v>0</v>
      </c>
      <c r="ER148" s="85">
        <v>0</v>
      </c>
      <c r="ES148" s="85">
        <v>0</v>
      </c>
      <c r="ET148" s="85">
        <v>0</v>
      </c>
      <c r="EU148" s="85">
        <v>0</v>
      </c>
      <c r="EV148" s="85">
        <v>0</v>
      </c>
      <c r="EW148" s="85">
        <v>0</v>
      </c>
      <c r="EX148" s="85">
        <v>0</v>
      </c>
      <c r="EY148" s="85">
        <v>0</v>
      </c>
      <c r="EZ148" s="85">
        <v>0</v>
      </c>
      <c r="FA148" s="85">
        <v>0</v>
      </c>
      <c r="FB148" s="85">
        <v>0</v>
      </c>
      <c r="FC148" s="87">
        <v>0</v>
      </c>
      <c r="FD148" s="85">
        <v>0</v>
      </c>
      <c r="FE148" s="85">
        <v>0</v>
      </c>
      <c r="FF148" s="85">
        <v>0</v>
      </c>
      <c r="FG148" s="85">
        <v>0</v>
      </c>
      <c r="FH148" s="85">
        <v>0</v>
      </c>
      <c r="FI148" s="85">
        <v>0</v>
      </c>
      <c r="FJ148" s="85">
        <v>0</v>
      </c>
      <c r="FK148" s="85">
        <v>0</v>
      </c>
      <c r="FL148" s="85">
        <v>0</v>
      </c>
      <c r="FM148" s="85">
        <v>0</v>
      </c>
      <c r="FN148" s="85">
        <v>0</v>
      </c>
      <c r="FO148" s="86">
        <v>0</v>
      </c>
      <c r="FP148" s="87">
        <v>43646.7482104473</v>
      </c>
      <c r="FQ148" s="85">
        <v>273429.381381774</v>
      </c>
      <c r="FR148" s="85">
        <v>19735.109333452</v>
      </c>
      <c r="FS148" s="85">
        <v>19677.5345529983</v>
      </c>
      <c r="FT148" s="85">
        <v>0</v>
      </c>
      <c r="FU148" s="85">
        <v>0</v>
      </c>
      <c r="FV148" s="85">
        <v>0</v>
      </c>
      <c r="FW148" s="85">
        <v>0</v>
      </c>
      <c r="FX148" s="85">
        <v>0</v>
      </c>
      <c r="FY148" s="85">
        <v>0</v>
      </c>
      <c r="FZ148" s="85">
        <v>0</v>
      </c>
      <c r="GA148" s="85">
        <v>0</v>
      </c>
      <c r="GB148" s="152">
        <v>356488.773478672</v>
      </c>
      <c r="GD148" s="153"/>
    </row>
    <row r="149" spans="1:186">
      <c r="A149" s="137">
        <v>1001</v>
      </c>
      <c r="B149" s="151">
        <v>1302964.09824329</v>
      </c>
      <c r="C149" s="138">
        <f t="shared" si="37"/>
        <v>319803.113655873</v>
      </c>
      <c r="D149" s="138">
        <f t="shared" si="26"/>
        <v>141466.133569603</v>
      </c>
      <c r="E149" s="138">
        <f t="shared" si="27"/>
        <v>126286.287744742</v>
      </c>
      <c r="F149" s="138">
        <f t="shared" si="28"/>
        <v>71552.1978913927</v>
      </c>
      <c r="G149" s="138">
        <f t="shared" si="29"/>
        <v>212364.058180161</v>
      </c>
      <c r="H149" s="138">
        <f t="shared" si="30"/>
        <v>134607.392191386</v>
      </c>
      <c r="I149" s="138">
        <f t="shared" si="31"/>
        <v>112117.537533079</v>
      </c>
      <c r="J149" s="138">
        <f t="shared" si="32"/>
        <v>96462.584160142</v>
      </c>
      <c r="K149" s="138">
        <f t="shared" si="33"/>
        <v>74973.5787312666</v>
      </c>
      <c r="L149" s="138">
        <f t="shared" si="34"/>
        <v>3735818.69394525</v>
      </c>
      <c r="M149" s="138">
        <f t="shared" si="35"/>
        <v>1105746.88568135</v>
      </c>
      <c r="N149" s="138">
        <f t="shared" si="36"/>
        <v>514059.083227582</v>
      </c>
      <c r="O149" s="86">
        <f t="shared" si="38"/>
        <v>6645257.54651183</v>
      </c>
      <c r="P149" s="138">
        <v>0</v>
      </c>
      <c r="Q149" s="138">
        <v>0</v>
      </c>
      <c r="R149" s="138">
        <v>0</v>
      </c>
      <c r="S149" s="138">
        <v>0</v>
      </c>
      <c r="T149" s="138">
        <v>0</v>
      </c>
      <c r="U149" s="138">
        <v>0</v>
      </c>
      <c r="V149" s="138">
        <v>0</v>
      </c>
      <c r="W149" s="138">
        <v>0</v>
      </c>
      <c r="X149" s="138">
        <v>0</v>
      </c>
      <c r="Y149" s="138">
        <v>270930.552139863</v>
      </c>
      <c r="Z149" s="138">
        <v>135465.276069932</v>
      </c>
      <c r="AA149" s="138">
        <v>67732.6380349658</v>
      </c>
      <c r="AB149" s="86">
        <v>474128.46624476</v>
      </c>
      <c r="AC149" s="138">
        <v>0</v>
      </c>
      <c r="AD149" s="138">
        <v>0</v>
      </c>
      <c r="AE149" s="138">
        <v>0</v>
      </c>
      <c r="AF149" s="138">
        <v>0</v>
      </c>
      <c r="AG149" s="138">
        <v>0</v>
      </c>
      <c r="AH149" s="138">
        <v>0</v>
      </c>
      <c r="AI149" s="138">
        <v>0</v>
      </c>
      <c r="AJ149" s="138">
        <v>0</v>
      </c>
      <c r="AK149" s="138">
        <v>0</v>
      </c>
      <c r="AL149" s="138">
        <v>200742.155904777</v>
      </c>
      <c r="AM149" s="138">
        <v>66914.051968259</v>
      </c>
      <c r="AN149" s="138">
        <v>66914.051968259</v>
      </c>
      <c r="AO149" s="86">
        <v>334570.259841295</v>
      </c>
      <c r="AP149" s="138">
        <v>15347.0297922576</v>
      </c>
      <c r="AQ149" s="138">
        <v>0</v>
      </c>
      <c r="AR149" s="138">
        <v>0</v>
      </c>
      <c r="AS149" s="138">
        <v>0</v>
      </c>
      <c r="AT149" s="138">
        <v>0</v>
      </c>
      <c r="AU149" s="138">
        <v>0</v>
      </c>
      <c r="AV149" s="138">
        <v>0</v>
      </c>
      <c r="AW149" s="138">
        <v>0</v>
      </c>
      <c r="AX149" s="138">
        <v>0</v>
      </c>
      <c r="AY149" s="138">
        <v>249547.829316076</v>
      </c>
      <c r="AZ149" s="138">
        <v>124773.914658038</v>
      </c>
      <c r="BA149" s="138">
        <v>62386.9573290189</v>
      </c>
      <c r="BB149" s="86">
        <v>452055.73109539</v>
      </c>
      <c r="BC149" s="138">
        <v>33897.1963693931</v>
      </c>
      <c r="BD149" s="138">
        <v>26733.0694104155</v>
      </c>
      <c r="BE149" s="138">
        <v>20692.421955458</v>
      </c>
      <c r="BF149" s="138">
        <v>9589.19738924365</v>
      </c>
      <c r="BG149" s="138">
        <v>6994.46024739001</v>
      </c>
      <c r="BH149" s="138">
        <v>7471.64432036194</v>
      </c>
      <c r="BI149" s="138">
        <v>7471.64432036194</v>
      </c>
      <c r="BJ149" s="138">
        <v>7471.64432036194</v>
      </c>
      <c r="BK149" s="138">
        <v>0</v>
      </c>
      <c r="BL149" s="138">
        <v>337229.495204742</v>
      </c>
      <c r="BM149" s="138">
        <v>168614.747602371</v>
      </c>
      <c r="BN149" s="138">
        <v>84307.3738011855</v>
      </c>
      <c r="BO149" s="86">
        <v>710472.894941285</v>
      </c>
      <c r="BP149" s="138">
        <v>0</v>
      </c>
      <c r="BQ149" s="138">
        <v>0</v>
      </c>
      <c r="BR149" s="138">
        <v>0</v>
      </c>
      <c r="BS149" s="138">
        <v>0</v>
      </c>
      <c r="BT149" s="138">
        <v>0</v>
      </c>
      <c r="BU149" s="138">
        <v>0</v>
      </c>
      <c r="BV149" s="138">
        <v>0</v>
      </c>
      <c r="BW149" s="138">
        <v>0</v>
      </c>
      <c r="BX149" s="138">
        <v>0</v>
      </c>
      <c r="BY149" s="138">
        <v>593238.568172222</v>
      </c>
      <c r="BZ149" s="138">
        <v>148309.642043056</v>
      </c>
      <c r="CA149" s="138">
        <v>74154.8210215278</v>
      </c>
      <c r="CB149" s="86">
        <v>815703.031236806</v>
      </c>
      <c r="CC149" s="138">
        <v>856.865710716738</v>
      </c>
      <c r="CD149" s="138">
        <v>536.245592183394</v>
      </c>
      <c r="CE149" s="138">
        <v>839.366232907178</v>
      </c>
      <c r="CF149" s="138">
        <v>301.399966930793</v>
      </c>
      <c r="CG149" s="138">
        <v>0</v>
      </c>
      <c r="CH149" s="138">
        <v>207.775814439863</v>
      </c>
      <c r="CI149" s="138">
        <v>0</v>
      </c>
      <c r="CJ149" s="138">
        <v>0</v>
      </c>
      <c r="CK149" s="138">
        <v>0</v>
      </c>
      <c r="CL149" s="138">
        <v>54704.2603235388</v>
      </c>
      <c r="CM149" s="138">
        <v>34190.1627022117</v>
      </c>
      <c r="CN149" s="138">
        <v>0</v>
      </c>
      <c r="CO149" s="86">
        <v>91636.0763429285</v>
      </c>
      <c r="CP149" s="138">
        <v>13876.0005713772</v>
      </c>
      <c r="CQ149" s="138">
        <v>13428.8347894133</v>
      </c>
      <c r="CR149" s="138">
        <v>21984.0195085631</v>
      </c>
      <c r="CS149" s="138">
        <v>9262.29211764888</v>
      </c>
      <c r="CT149" s="138">
        <v>8656.42696587089</v>
      </c>
      <c r="CU149" s="138">
        <v>4072.00130368571</v>
      </c>
      <c r="CV149" s="138">
        <v>4072.00130368571</v>
      </c>
      <c r="CW149" s="138">
        <v>4072.00130368571</v>
      </c>
      <c r="CX149" s="138">
        <v>0</v>
      </c>
      <c r="CY149" s="138">
        <v>361832.724539464</v>
      </c>
      <c r="CZ149" s="138">
        <v>160814.544239762</v>
      </c>
      <c r="DA149" s="138">
        <v>80407.2721198808</v>
      </c>
      <c r="DB149" s="86">
        <v>682478.118763036</v>
      </c>
      <c r="DC149" s="138">
        <v>10126.8330736062</v>
      </c>
      <c r="DD149" s="138">
        <v>4730.31232866217</v>
      </c>
      <c r="DE149" s="138">
        <v>6271.82435400979</v>
      </c>
      <c r="DF149" s="138">
        <v>3847.05635981576</v>
      </c>
      <c r="DG149" s="138">
        <v>25551.0606521826</v>
      </c>
      <c r="DH149" s="138">
        <v>1138.85667587661</v>
      </c>
      <c r="DI149" s="138">
        <v>1138.85667587661</v>
      </c>
      <c r="DJ149" s="138">
        <v>1138.85667587661</v>
      </c>
      <c r="DK149" s="138">
        <v>1138.85667587661</v>
      </c>
      <c r="DL149" s="138">
        <v>23627.1497321358</v>
      </c>
      <c r="DM149" s="138">
        <v>23627.1497321358</v>
      </c>
      <c r="DN149" s="138">
        <v>1138.85667587661</v>
      </c>
      <c r="DO149" s="86">
        <v>103475.669611931</v>
      </c>
      <c r="DP149" s="138">
        <v>74258.5859023377</v>
      </c>
      <c r="DQ149" s="138">
        <v>38127.1888507581</v>
      </c>
      <c r="DR149" s="138">
        <v>38722.9704800081</v>
      </c>
      <c r="DS149" s="138">
        <v>27179.419274082</v>
      </c>
      <c r="DT149" s="138">
        <v>17670.5121564403</v>
      </c>
      <c r="DU149" s="138">
        <v>10391.3047759473</v>
      </c>
      <c r="DV149" s="138">
        <v>6494.56548496706</v>
      </c>
      <c r="DW149" s="138">
        <v>3896.73929098024</v>
      </c>
      <c r="DX149" s="138">
        <v>0</v>
      </c>
      <c r="DY149" s="138">
        <v>307785.929504961</v>
      </c>
      <c r="DZ149" s="138">
        <v>102595.309834987</v>
      </c>
      <c r="EA149" s="138">
        <v>0</v>
      </c>
      <c r="EB149" s="85">
        <v>627122.525555469</v>
      </c>
      <c r="EC149" s="87">
        <v>0</v>
      </c>
      <c r="ED149" s="85">
        <v>0</v>
      </c>
      <c r="EE149" s="85">
        <v>0</v>
      </c>
      <c r="EF149" s="85">
        <v>0</v>
      </c>
      <c r="EG149" s="85">
        <v>0</v>
      </c>
      <c r="EH149" s="85">
        <v>0</v>
      </c>
      <c r="EI149" s="85">
        <v>0</v>
      </c>
      <c r="EJ149" s="85">
        <v>0</v>
      </c>
      <c r="EK149" s="85">
        <v>0</v>
      </c>
      <c r="EL149" s="85">
        <v>0</v>
      </c>
      <c r="EM149" s="85">
        <v>0</v>
      </c>
      <c r="EN149" s="85">
        <v>0</v>
      </c>
      <c r="EO149" s="152">
        <v>0</v>
      </c>
      <c r="EP149" s="85">
        <v>8849.20445584139</v>
      </c>
      <c r="EQ149" s="85">
        <v>9194.30281464187</v>
      </c>
      <c r="ER149" s="85">
        <v>5600.42464805468</v>
      </c>
      <c r="ES149" s="85">
        <v>2137.35553155557</v>
      </c>
      <c r="ET149" s="85">
        <v>2112.25153599747</v>
      </c>
      <c r="EU149" s="85">
        <v>4509.8493010748</v>
      </c>
      <c r="EV149" s="85">
        <v>4218.62974818807</v>
      </c>
      <c r="EW149" s="85">
        <v>931.902569237529</v>
      </c>
      <c r="EX149" s="85">
        <v>745.522055390026</v>
      </c>
      <c r="EY149" s="85">
        <v>126849.949107471</v>
      </c>
      <c r="EZ149" s="85">
        <v>95137.4618306029</v>
      </c>
      <c r="FA149" s="85">
        <v>31712.4872768676</v>
      </c>
      <c r="FB149" s="85">
        <v>291999.340874922</v>
      </c>
      <c r="FC149" s="87">
        <v>0</v>
      </c>
      <c r="FD149" s="85">
        <v>0</v>
      </c>
      <c r="FE149" s="85">
        <v>0</v>
      </c>
      <c r="FF149" s="85">
        <v>0</v>
      </c>
      <c r="FG149" s="85">
        <v>0</v>
      </c>
      <c r="FH149" s="85">
        <v>0</v>
      </c>
      <c r="FI149" s="85">
        <v>0</v>
      </c>
      <c r="FJ149" s="85">
        <v>0</v>
      </c>
      <c r="FK149" s="85">
        <v>0</v>
      </c>
      <c r="FL149" s="85">
        <v>0</v>
      </c>
      <c r="FM149" s="85">
        <v>0</v>
      </c>
      <c r="FN149" s="85">
        <v>0</v>
      </c>
      <c r="FO149" s="86">
        <v>0</v>
      </c>
      <c r="FP149" s="87">
        <v>162591.397780343</v>
      </c>
      <c r="FQ149" s="85">
        <v>48716.1797835292</v>
      </c>
      <c r="FR149" s="85">
        <v>32175.2605657413</v>
      </c>
      <c r="FS149" s="85">
        <v>19235.4772521161</v>
      </c>
      <c r="FT149" s="85">
        <v>151379.34662228</v>
      </c>
      <c r="FU149" s="85">
        <v>106815.96</v>
      </c>
      <c r="FV149" s="85">
        <v>88721.84</v>
      </c>
      <c r="FW149" s="85">
        <v>78951.44</v>
      </c>
      <c r="FX149" s="85">
        <v>73089.2</v>
      </c>
      <c r="FY149" s="85">
        <v>1209330.08</v>
      </c>
      <c r="FZ149" s="85">
        <v>45304.625</v>
      </c>
      <c r="GA149" s="85">
        <v>45304.625</v>
      </c>
      <c r="GB149" s="152">
        <v>2061615.43200401</v>
      </c>
      <c r="GD149" s="153"/>
    </row>
    <row r="150" spans="1:186">
      <c r="A150" s="137" t="s">
        <v>321</v>
      </c>
      <c r="B150" s="151">
        <v>0</v>
      </c>
      <c r="C150" s="138">
        <f t="shared" si="37"/>
        <v>0</v>
      </c>
      <c r="D150" s="138">
        <f t="shared" si="26"/>
        <v>0</v>
      </c>
      <c r="E150" s="138">
        <f t="shared" si="27"/>
        <v>0</v>
      </c>
      <c r="F150" s="138">
        <f t="shared" si="28"/>
        <v>0</v>
      </c>
      <c r="G150" s="138">
        <f t="shared" si="29"/>
        <v>0</v>
      </c>
      <c r="H150" s="138">
        <f t="shared" si="30"/>
        <v>0</v>
      </c>
      <c r="I150" s="138">
        <f t="shared" si="31"/>
        <v>0</v>
      </c>
      <c r="J150" s="138">
        <f t="shared" si="32"/>
        <v>0</v>
      </c>
      <c r="K150" s="138">
        <f t="shared" si="33"/>
        <v>0</v>
      </c>
      <c r="L150" s="138">
        <f t="shared" si="34"/>
        <v>0</v>
      </c>
      <c r="M150" s="138">
        <f t="shared" si="35"/>
        <v>0</v>
      </c>
      <c r="N150" s="138">
        <f t="shared" si="36"/>
        <v>0</v>
      </c>
      <c r="O150" s="86">
        <f t="shared" si="38"/>
        <v>0</v>
      </c>
      <c r="P150" s="138">
        <v>0</v>
      </c>
      <c r="Q150" s="138">
        <v>0</v>
      </c>
      <c r="R150" s="138">
        <v>0</v>
      </c>
      <c r="S150" s="138">
        <v>0</v>
      </c>
      <c r="T150" s="138">
        <v>0</v>
      </c>
      <c r="U150" s="138">
        <v>0</v>
      </c>
      <c r="V150" s="138">
        <v>0</v>
      </c>
      <c r="W150" s="138">
        <v>0</v>
      </c>
      <c r="X150" s="138">
        <v>0</v>
      </c>
      <c r="Y150" s="138">
        <v>0</v>
      </c>
      <c r="Z150" s="138">
        <v>0</v>
      </c>
      <c r="AA150" s="138">
        <v>0</v>
      </c>
      <c r="AB150" s="86">
        <v>0</v>
      </c>
      <c r="AC150" s="138">
        <v>0</v>
      </c>
      <c r="AD150" s="138">
        <v>0</v>
      </c>
      <c r="AE150" s="138">
        <v>0</v>
      </c>
      <c r="AF150" s="138">
        <v>0</v>
      </c>
      <c r="AG150" s="138">
        <v>0</v>
      </c>
      <c r="AH150" s="138">
        <v>0</v>
      </c>
      <c r="AI150" s="138">
        <v>0</v>
      </c>
      <c r="AJ150" s="138">
        <v>0</v>
      </c>
      <c r="AK150" s="138">
        <v>0</v>
      </c>
      <c r="AL150" s="138">
        <v>0</v>
      </c>
      <c r="AM150" s="138">
        <v>0</v>
      </c>
      <c r="AN150" s="138">
        <v>0</v>
      </c>
      <c r="AO150" s="86">
        <v>0</v>
      </c>
      <c r="AP150" s="138">
        <v>0</v>
      </c>
      <c r="AQ150" s="138">
        <v>0</v>
      </c>
      <c r="AR150" s="138">
        <v>0</v>
      </c>
      <c r="AS150" s="138">
        <v>0</v>
      </c>
      <c r="AT150" s="138">
        <v>0</v>
      </c>
      <c r="AU150" s="138">
        <v>0</v>
      </c>
      <c r="AV150" s="138">
        <v>0</v>
      </c>
      <c r="AW150" s="138">
        <v>0</v>
      </c>
      <c r="AX150" s="138">
        <v>0</v>
      </c>
      <c r="AY150" s="138">
        <v>0</v>
      </c>
      <c r="AZ150" s="138">
        <v>0</v>
      </c>
      <c r="BA150" s="138">
        <v>0</v>
      </c>
      <c r="BB150" s="86">
        <v>0</v>
      </c>
      <c r="BC150" s="138">
        <v>0</v>
      </c>
      <c r="BD150" s="138">
        <v>0</v>
      </c>
      <c r="BE150" s="138">
        <v>0</v>
      </c>
      <c r="BF150" s="138">
        <v>0</v>
      </c>
      <c r="BG150" s="138">
        <v>0</v>
      </c>
      <c r="BH150" s="138">
        <v>0</v>
      </c>
      <c r="BI150" s="138">
        <v>0</v>
      </c>
      <c r="BJ150" s="138">
        <v>0</v>
      </c>
      <c r="BK150" s="138">
        <v>0</v>
      </c>
      <c r="BL150" s="138">
        <v>0</v>
      </c>
      <c r="BM150" s="138">
        <v>0</v>
      </c>
      <c r="BN150" s="138">
        <v>0</v>
      </c>
      <c r="BO150" s="86">
        <v>0</v>
      </c>
      <c r="BP150" s="138">
        <v>0</v>
      </c>
      <c r="BQ150" s="138">
        <v>0</v>
      </c>
      <c r="BR150" s="138">
        <v>0</v>
      </c>
      <c r="BS150" s="138">
        <v>0</v>
      </c>
      <c r="BT150" s="138">
        <v>0</v>
      </c>
      <c r="BU150" s="138">
        <v>0</v>
      </c>
      <c r="BV150" s="138">
        <v>0</v>
      </c>
      <c r="BW150" s="138">
        <v>0</v>
      </c>
      <c r="BX150" s="138">
        <v>0</v>
      </c>
      <c r="BY150" s="138">
        <v>0</v>
      </c>
      <c r="BZ150" s="138">
        <v>0</v>
      </c>
      <c r="CA150" s="138">
        <v>0</v>
      </c>
      <c r="CB150" s="86">
        <v>0</v>
      </c>
      <c r="CC150" s="138">
        <v>0</v>
      </c>
      <c r="CD150" s="138">
        <v>0</v>
      </c>
      <c r="CE150" s="138">
        <v>0</v>
      </c>
      <c r="CF150" s="138">
        <v>0</v>
      </c>
      <c r="CG150" s="138">
        <v>0</v>
      </c>
      <c r="CH150" s="138">
        <v>0</v>
      </c>
      <c r="CI150" s="138">
        <v>0</v>
      </c>
      <c r="CJ150" s="138">
        <v>0</v>
      </c>
      <c r="CK150" s="138">
        <v>0</v>
      </c>
      <c r="CL150" s="138">
        <v>0</v>
      </c>
      <c r="CM150" s="138">
        <v>0</v>
      </c>
      <c r="CN150" s="138">
        <v>0</v>
      </c>
      <c r="CO150" s="86">
        <v>0</v>
      </c>
      <c r="CP150" s="138">
        <v>0</v>
      </c>
      <c r="CQ150" s="138">
        <v>0</v>
      </c>
      <c r="CR150" s="138">
        <v>0</v>
      </c>
      <c r="CS150" s="138">
        <v>0</v>
      </c>
      <c r="CT150" s="138">
        <v>0</v>
      </c>
      <c r="CU150" s="138">
        <v>0</v>
      </c>
      <c r="CV150" s="138">
        <v>0</v>
      </c>
      <c r="CW150" s="138">
        <v>0</v>
      </c>
      <c r="CX150" s="138">
        <v>0</v>
      </c>
      <c r="CY150" s="138">
        <v>0</v>
      </c>
      <c r="CZ150" s="138">
        <v>0</v>
      </c>
      <c r="DA150" s="138">
        <v>0</v>
      </c>
      <c r="DB150" s="86">
        <v>0</v>
      </c>
      <c r="DC150" s="138">
        <v>0</v>
      </c>
      <c r="DD150" s="138">
        <v>0</v>
      </c>
      <c r="DE150" s="138">
        <v>0</v>
      </c>
      <c r="DF150" s="138">
        <v>0</v>
      </c>
      <c r="DG150" s="138">
        <v>0</v>
      </c>
      <c r="DH150" s="138">
        <v>0</v>
      </c>
      <c r="DI150" s="138">
        <v>0</v>
      </c>
      <c r="DJ150" s="138">
        <v>0</v>
      </c>
      <c r="DK150" s="138">
        <v>0</v>
      </c>
      <c r="DL150" s="138">
        <v>0</v>
      </c>
      <c r="DM150" s="138">
        <v>0</v>
      </c>
      <c r="DN150" s="138">
        <v>0</v>
      </c>
      <c r="DO150" s="86">
        <v>0</v>
      </c>
      <c r="DP150" s="138">
        <v>0</v>
      </c>
      <c r="DQ150" s="138">
        <v>0</v>
      </c>
      <c r="DR150" s="138">
        <v>0</v>
      </c>
      <c r="DS150" s="138">
        <v>0</v>
      </c>
      <c r="DT150" s="138">
        <v>0</v>
      </c>
      <c r="DU150" s="138">
        <v>0</v>
      </c>
      <c r="DV150" s="138">
        <v>0</v>
      </c>
      <c r="DW150" s="138">
        <v>0</v>
      </c>
      <c r="DX150" s="138">
        <v>0</v>
      </c>
      <c r="DY150" s="138">
        <v>0</v>
      </c>
      <c r="DZ150" s="138">
        <v>0</v>
      </c>
      <c r="EA150" s="138">
        <v>0</v>
      </c>
      <c r="EB150" s="85">
        <v>0</v>
      </c>
      <c r="EC150" s="87">
        <v>0</v>
      </c>
      <c r="ED150" s="85">
        <v>0</v>
      </c>
      <c r="EE150" s="85">
        <v>0</v>
      </c>
      <c r="EF150" s="85">
        <v>0</v>
      </c>
      <c r="EG150" s="85">
        <v>0</v>
      </c>
      <c r="EH150" s="85">
        <v>0</v>
      </c>
      <c r="EI150" s="85">
        <v>0</v>
      </c>
      <c r="EJ150" s="85">
        <v>0</v>
      </c>
      <c r="EK150" s="85">
        <v>0</v>
      </c>
      <c r="EL150" s="85">
        <v>0</v>
      </c>
      <c r="EM150" s="85">
        <v>0</v>
      </c>
      <c r="EN150" s="85">
        <v>0</v>
      </c>
      <c r="EO150" s="152">
        <v>0</v>
      </c>
      <c r="EP150" s="85">
        <v>0</v>
      </c>
      <c r="EQ150" s="85">
        <v>0</v>
      </c>
      <c r="ER150" s="85">
        <v>0</v>
      </c>
      <c r="ES150" s="85">
        <v>0</v>
      </c>
      <c r="ET150" s="85">
        <v>0</v>
      </c>
      <c r="EU150" s="85">
        <v>0</v>
      </c>
      <c r="EV150" s="85">
        <v>0</v>
      </c>
      <c r="EW150" s="85">
        <v>0</v>
      </c>
      <c r="EX150" s="85">
        <v>0</v>
      </c>
      <c r="EY150" s="85">
        <v>0</v>
      </c>
      <c r="EZ150" s="85">
        <v>0</v>
      </c>
      <c r="FA150" s="85">
        <v>0</v>
      </c>
      <c r="FB150" s="85">
        <v>0</v>
      </c>
      <c r="FC150" s="87">
        <v>0</v>
      </c>
      <c r="FD150" s="85">
        <v>0</v>
      </c>
      <c r="FE150" s="85">
        <v>0</v>
      </c>
      <c r="FF150" s="85">
        <v>0</v>
      </c>
      <c r="FG150" s="85">
        <v>0</v>
      </c>
      <c r="FH150" s="85">
        <v>0</v>
      </c>
      <c r="FI150" s="85">
        <v>0</v>
      </c>
      <c r="FJ150" s="85">
        <v>0</v>
      </c>
      <c r="FK150" s="85">
        <v>0</v>
      </c>
      <c r="FL150" s="85">
        <v>0</v>
      </c>
      <c r="FM150" s="85">
        <v>0</v>
      </c>
      <c r="FN150" s="85">
        <v>0</v>
      </c>
      <c r="FO150" s="86">
        <v>0</v>
      </c>
      <c r="FP150" s="87">
        <v>0</v>
      </c>
      <c r="FQ150" s="85">
        <v>0</v>
      </c>
      <c r="FR150" s="85">
        <v>0</v>
      </c>
      <c r="FS150" s="85">
        <v>0</v>
      </c>
      <c r="FT150" s="85">
        <v>0</v>
      </c>
      <c r="FU150" s="85">
        <v>0</v>
      </c>
      <c r="FV150" s="85">
        <v>0</v>
      </c>
      <c r="FW150" s="85">
        <v>0</v>
      </c>
      <c r="FX150" s="85">
        <v>0</v>
      </c>
      <c r="FY150" s="85">
        <v>0</v>
      </c>
      <c r="FZ150" s="85">
        <v>0</v>
      </c>
      <c r="GA150" s="85">
        <v>0</v>
      </c>
      <c r="GB150" s="152">
        <v>0</v>
      </c>
      <c r="GD150" s="153"/>
    </row>
    <row r="151" spans="1:186">
      <c r="A151" s="137" t="s">
        <v>322</v>
      </c>
      <c r="B151" s="151">
        <v>0</v>
      </c>
      <c r="C151" s="138">
        <f t="shared" si="37"/>
        <v>0</v>
      </c>
      <c r="D151" s="138">
        <f t="shared" si="26"/>
        <v>0</v>
      </c>
      <c r="E151" s="138">
        <f t="shared" si="27"/>
        <v>0</v>
      </c>
      <c r="F151" s="138">
        <f t="shared" si="28"/>
        <v>0</v>
      </c>
      <c r="G151" s="138">
        <f t="shared" si="29"/>
        <v>0</v>
      </c>
      <c r="H151" s="138">
        <f t="shared" si="30"/>
        <v>0</v>
      </c>
      <c r="I151" s="138">
        <f t="shared" si="31"/>
        <v>0</v>
      </c>
      <c r="J151" s="138">
        <f t="shared" si="32"/>
        <v>0</v>
      </c>
      <c r="K151" s="138">
        <f t="shared" si="33"/>
        <v>0</v>
      </c>
      <c r="L151" s="138">
        <f t="shared" si="34"/>
        <v>0</v>
      </c>
      <c r="M151" s="138">
        <f t="shared" si="35"/>
        <v>0</v>
      </c>
      <c r="N151" s="138">
        <f t="shared" si="36"/>
        <v>0</v>
      </c>
      <c r="O151" s="86">
        <f t="shared" si="38"/>
        <v>0</v>
      </c>
      <c r="P151" s="138">
        <v>0</v>
      </c>
      <c r="Q151" s="138">
        <v>0</v>
      </c>
      <c r="R151" s="138">
        <v>0</v>
      </c>
      <c r="S151" s="138">
        <v>0</v>
      </c>
      <c r="T151" s="138">
        <v>0</v>
      </c>
      <c r="U151" s="138">
        <v>0</v>
      </c>
      <c r="V151" s="138">
        <v>0</v>
      </c>
      <c r="W151" s="138">
        <v>0</v>
      </c>
      <c r="X151" s="138">
        <v>0</v>
      </c>
      <c r="Y151" s="138">
        <v>0</v>
      </c>
      <c r="Z151" s="138">
        <v>0</v>
      </c>
      <c r="AA151" s="138">
        <v>0</v>
      </c>
      <c r="AB151" s="86">
        <v>0</v>
      </c>
      <c r="AC151" s="138">
        <v>0</v>
      </c>
      <c r="AD151" s="138">
        <v>0</v>
      </c>
      <c r="AE151" s="138">
        <v>0</v>
      </c>
      <c r="AF151" s="138">
        <v>0</v>
      </c>
      <c r="AG151" s="138">
        <v>0</v>
      </c>
      <c r="AH151" s="138">
        <v>0</v>
      </c>
      <c r="AI151" s="138">
        <v>0</v>
      </c>
      <c r="AJ151" s="138">
        <v>0</v>
      </c>
      <c r="AK151" s="138">
        <v>0</v>
      </c>
      <c r="AL151" s="138">
        <v>0</v>
      </c>
      <c r="AM151" s="138">
        <v>0</v>
      </c>
      <c r="AN151" s="138">
        <v>0</v>
      </c>
      <c r="AO151" s="86">
        <v>0</v>
      </c>
      <c r="AP151" s="138">
        <v>0</v>
      </c>
      <c r="AQ151" s="138">
        <v>0</v>
      </c>
      <c r="AR151" s="138">
        <v>0</v>
      </c>
      <c r="AS151" s="138">
        <v>0</v>
      </c>
      <c r="AT151" s="138">
        <v>0</v>
      </c>
      <c r="AU151" s="138">
        <v>0</v>
      </c>
      <c r="AV151" s="138">
        <v>0</v>
      </c>
      <c r="AW151" s="138">
        <v>0</v>
      </c>
      <c r="AX151" s="138">
        <v>0</v>
      </c>
      <c r="AY151" s="138">
        <v>0</v>
      </c>
      <c r="AZ151" s="138">
        <v>0</v>
      </c>
      <c r="BA151" s="138">
        <v>0</v>
      </c>
      <c r="BB151" s="86">
        <v>0</v>
      </c>
      <c r="BC151" s="138">
        <v>0</v>
      </c>
      <c r="BD151" s="138">
        <v>0</v>
      </c>
      <c r="BE151" s="138">
        <v>0</v>
      </c>
      <c r="BF151" s="138">
        <v>0</v>
      </c>
      <c r="BG151" s="138">
        <v>0</v>
      </c>
      <c r="BH151" s="138">
        <v>0</v>
      </c>
      <c r="BI151" s="138">
        <v>0</v>
      </c>
      <c r="BJ151" s="138">
        <v>0</v>
      </c>
      <c r="BK151" s="138">
        <v>0</v>
      </c>
      <c r="BL151" s="138">
        <v>0</v>
      </c>
      <c r="BM151" s="138">
        <v>0</v>
      </c>
      <c r="BN151" s="138">
        <v>0</v>
      </c>
      <c r="BO151" s="86">
        <v>0</v>
      </c>
      <c r="BP151" s="138">
        <v>0</v>
      </c>
      <c r="BQ151" s="138">
        <v>0</v>
      </c>
      <c r="BR151" s="138">
        <v>0</v>
      </c>
      <c r="BS151" s="138">
        <v>0</v>
      </c>
      <c r="BT151" s="138">
        <v>0</v>
      </c>
      <c r="BU151" s="138">
        <v>0</v>
      </c>
      <c r="BV151" s="138">
        <v>0</v>
      </c>
      <c r="BW151" s="138">
        <v>0</v>
      </c>
      <c r="BX151" s="138">
        <v>0</v>
      </c>
      <c r="BY151" s="138">
        <v>0</v>
      </c>
      <c r="BZ151" s="138">
        <v>0</v>
      </c>
      <c r="CA151" s="138">
        <v>0</v>
      </c>
      <c r="CB151" s="86">
        <v>0</v>
      </c>
      <c r="CC151" s="138">
        <v>0</v>
      </c>
      <c r="CD151" s="138">
        <v>0</v>
      </c>
      <c r="CE151" s="138">
        <v>0</v>
      </c>
      <c r="CF151" s="138">
        <v>0</v>
      </c>
      <c r="CG151" s="138">
        <v>0</v>
      </c>
      <c r="CH151" s="138">
        <v>0</v>
      </c>
      <c r="CI151" s="138">
        <v>0</v>
      </c>
      <c r="CJ151" s="138">
        <v>0</v>
      </c>
      <c r="CK151" s="138">
        <v>0</v>
      </c>
      <c r="CL151" s="138">
        <v>0</v>
      </c>
      <c r="CM151" s="138">
        <v>0</v>
      </c>
      <c r="CN151" s="138">
        <v>0</v>
      </c>
      <c r="CO151" s="86">
        <v>0</v>
      </c>
      <c r="CP151" s="138">
        <v>0</v>
      </c>
      <c r="CQ151" s="138">
        <v>0</v>
      </c>
      <c r="CR151" s="138">
        <v>0</v>
      </c>
      <c r="CS151" s="138">
        <v>0</v>
      </c>
      <c r="CT151" s="138">
        <v>0</v>
      </c>
      <c r="CU151" s="138">
        <v>0</v>
      </c>
      <c r="CV151" s="138">
        <v>0</v>
      </c>
      <c r="CW151" s="138">
        <v>0</v>
      </c>
      <c r="CX151" s="138">
        <v>0</v>
      </c>
      <c r="CY151" s="138">
        <v>0</v>
      </c>
      <c r="CZ151" s="138">
        <v>0</v>
      </c>
      <c r="DA151" s="138">
        <v>0</v>
      </c>
      <c r="DB151" s="86">
        <v>0</v>
      </c>
      <c r="DC151" s="138">
        <v>0</v>
      </c>
      <c r="DD151" s="138">
        <v>0</v>
      </c>
      <c r="DE151" s="138">
        <v>0</v>
      </c>
      <c r="DF151" s="138">
        <v>0</v>
      </c>
      <c r="DG151" s="138">
        <v>0</v>
      </c>
      <c r="DH151" s="138">
        <v>0</v>
      </c>
      <c r="DI151" s="138">
        <v>0</v>
      </c>
      <c r="DJ151" s="138">
        <v>0</v>
      </c>
      <c r="DK151" s="138">
        <v>0</v>
      </c>
      <c r="DL151" s="138">
        <v>0</v>
      </c>
      <c r="DM151" s="138">
        <v>0</v>
      </c>
      <c r="DN151" s="138">
        <v>0</v>
      </c>
      <c r="DO151" s="86">
        <v>0</v>
      </c>
      <c r="DP151" s="138">
        <v>0</v>
      </c>
      <c r="DQ151" s="138">
        <v>0</v>
      </c>
      <c r="DR151" s="138">
        <v>0</v>
      </c>
      <c r="DS151" s="138">
        <v>0</v>
      </c>
      <c r="DT151" s="138">
        <v>0</v>
      </c>
      <c r="DU151" s="138">
        <v>0</v>
      </c>
      <c r="DV151" s="138">
        <v>0</v>
      </c>
      <c r="DW151" s="138">
        <v>0</v>
      </c>
      <c r="DX151" s="138">
        <v>0</v>
      </c>
      <c r="DY151" s="138">
        <v>0</v>
      </c>
      <c r="DZ151" s="138">
        <v>0</v>
      </c>
      <c r="EA151" s="138">
        <v>0</v>
      </c>
      <c r="EB151" s="85">
        <v>0</v>
      </c>
      <c r="EC151" s="87">
        <v>0</v>
      </c>
      <c r="ED151" s="85">
        <v>0</v>
      </c>
      <c r="EE151" s="85">
        <v>0</v>
      </c>
      <c r="EF151" s="85">
        <v>0</v>
      </c>
      <c r="EG151" s="85">
        <v>0</v>
      </c>
      <c r="EH151" s="85">
        <v>0</v>
      </c>
      <c r="EI151" s="85">
        <v>0</v>
      </c>
      <c r="EJ151" s="85">
        <v>0</v>
      </c>
      <c r="EK151" s="85">
        <v>0</v>
      </c>
      <c r="EL151" s="85">
        <v>0</v>
      </c>
      <c r="EM151" s="85">
        <v>0</v>
      </c>
      <c r="EN151" s="85">
        <v>0</v>
      </c>
      <c r="EO151" s="152">
        <v>0</v>
      </c>
      <c r="EP151" s="85">
        <v>0</v>
      </c>
      <c r="EQ151" s="85">
        <v>0</v>
      </c>
      <c r="ER151" s="85">
        <v>0</v>
      </c>
      <c r="ES151" s="85">
        <v>0</v>
      </c>
      <c r="ET151" s="85">
        <v>0</v>
      </c>
      <c r="EU151" s="85">
        <v>0</v>
      </c>
      <c r="EV151" s="85">
        <v>0</v>
      </c>
      <c r="EW151" s="85">
        <v>0</v>
      </c>
      <c r="EX151" s="85">
        <v>0</v>
      </c>
      <c r="EY151" s="85">
        <v>0</v>
      </c>
      <c r="EZ151" s="85">
        <v>0</v>
      </c>
      <c r="FA151" s="85">
        <v>0</v>
      </c>
      <c r="FB151" s="85">
        <v>0</v>
      </c>
      <c r="FC151" s="87">
        <v>0</v>
      </c>
      <c r="FD151" s="85">
        <v>0</v>
      </c>
      <c r="FE151" s="85">
        <v>0</v>
      </c>
      <c r="FF151" s="85">
        <v>0</v>
      </c>
      <c r="FG151" s="85">
        <v>0</v>
      </c>
      <c r="FH151" s="85">
        <v>0</v>
      </c>
      <c r="FI151" s="85">
        <v>0</v>
      </c>
      <c r="FJ151" s="85">
        <v>0</v>
      </c>
      <c r="FK151" s="85">
        <v>0</v>
      </c>
      <c r="FL151" s="85">
        <v>0</v>
      </c>
      <c r="FM151" s="85">
        <v>0</v>
      </c>
      <c r="FN151" s="85">
        <v>0</v>
      </c>
      <c r="FO151" s="86">
        <v>0</v>
      </c>
      <c r="FP151" s="87">
        <v>0</v>
      </c>
      <c r="FQ151" s="85">
        <v>0</v>
      </c>
      <c r="FR151" s="85">
        <v>0</v>
      </c>
      <c r="FS151" s="85">
        <v>0</v>
      </c>
      <c r="FT151" s="85">
        <v>0</v>
      </c>
      <c r="FU151" s="85">
        <v>0</v>
      </c>
      <c r="FV151" s="85">
        <v>0</v>
      </c>
      <c r="FW151" s="85">
        <v>0</v>
      </c>
      <c r="FX151" s="85">
        <v>0</v>
      </c>
      <c r="FY151" s="85">
        <v>0</v>
      </c>
      <c r="FZ151" s="85">
        <v>0</v>
      </c>
      <c r="GA151" s="85">
        <v>0</v>
      </c>
      <c r="GB151" s="152">
        <v>0</v>
      </c>
      <c r="GD151" s="153"/>
    </row>
    <row r="152" spans="1:186">
      <c r="A152" s="137" t="s">
        <v>323</v>
      </c>
      <c r="B152" s="151">
        <v>1095166.41222101</v>
      </c>
      <c r="C152" s="138">
        <f t="shared" si="37"/>
        <v>623595.094365856</v>
      </c>
      <c r="D152" s="138">
        <f t="shared" si="26"/>
        <v>549246.49408875</v>
      </c>
      <c r="E152" s="138">
        <f t="shared" si="27"/>
        <v>347408.415904712</v>
      </c>
      <c r="F152" s="138">
        <f t="shared" si="28"/>
        <v>209471.442012434</v>
      </c>
      <c r="G152" s="138">
        <f t="shared" si="29"/>
        <v>163858.713470276</v>
      </c>
      <c r="H152" s="138">
        <f t="shared" si="30"/>
        <v>125783.267453412</v>
      </c>
      <c r="I152" s="138">
        <f t="shared" si="31"/>
        <v>96362.4516090035</v>
      </c>
      <c r="J152" s="138">
        <f t="shared" si="32"/>
        <v>25329.2602116374</v>
      </c>
      <c r="K152" s="138">
        <f t="shared" si="33"/>
        <v>11591.2011733596</v>
      </c>
      <c r="L152" s="138">
        <f t="shared" si="34"/>
        <v>9649.15627609558</v>
      </c>
      <c r="M152" s="138">
        <f t="shared" si="35"/>
        <v>5356.03737155883</v>
      </c>
      <c r="N152" s="138">
        <f t="shared" si="36"/>
        <v>4895.86499176942</v>
      </c>
      <c r="O152" s="86">
        <f t="shared" si="38"/>
        <v>2172547.39892886</v>
      </c>
      <c r="P152" s="138">
        <v>0</v>
      </c>
      <c r="Q152" s="138">
        <v>0</v>
      </c>
      <c r="R152" s="138">
        <v>0</v>
      </c>
      <c r="S152" s="138">
        <v>0</v>
      </c>
      <c r="T152" s="138">
        <v>0</v>
      </c>
      <c r="U152" s="138">
        <v>0</v>
      </c>
      <c r="V152" s="138">
        <v>0</v>
      </c>
      <c r="W152" s="138">
        <v>0</v>
      </c>
      <c r="X152" s="138">
        <v>0</v>
      </c>
      <c r="Y152" s="138">
        <v>0</v>
      </c>
      <c r="Z152" s="138">
        <v>0</v>
      </c>
      <c r="AA152" s="138">
        <v>0</v>
      </c>
      <c r="AB152" s="86">
        <v>0</v>
      </c>
      <c r="AC152" s="138">
        <v>187169.606694356</v>
      </c>
      <c r="AD152" s="138">
        <v>212531.815760073</v>
      </c>
      <c r="AE152" s="138">
        <v>167054.298005069</v>
      </c>
      <c r="AF152" s="138">
        <v>96626.7330775206</v>
      </c>
      <c r="AG152" s="138">
        <v>83490.5909790827</v>
      </c>
      <c r="AH152" s="138">
        <v>72746.0106260431</v>
      </c>
      <c r="AI152" s="138">
        <v>58196.8085008345</v>
      </c>
      <c r="AJ152" s="138">
        <v>0</v>
      </c>
      <c r="AK152" s="138">
        <v>0</v>
      </c>
      <c r="AL152" s="138">
        <v>0</v>
      </c>
      <c r="AM152" s="138">
        <v>0</v>
      </c>
      <c r="AN152" s="138">
        <v>0</v>
      </c>
      <c r="AO152" s="86">
        <v>877815.863642979</v>
      </c>
      <c r="AP152" s="138">
        <v>51086.8183243056</v>
      </c>
      <c r="AQ152" s="138">
        <v>35302.4122886576</v>
      </c>
      <c r="AR152" s="138">
        <v>7006.50555518538</v>
      </c>
      <c r="AS152" s="138">
        <v>1693.40279211894</v>
      </c>
      <c r="AT152" s="138">
        <v>7252.16760059407</v>
      </c>
      <c r="AU152" s="138">
        <v>4521.62351283715</v>
      </c>
      <c r="AV152" s="138">
        <v>4521.62351283715</v>
      </c>
      <c r="AW152" s="138">
        <v>0</v>
      </c>
      <c r="AX152" s="138">
        <v>0</v>
      </c>
      <c r="AY152" s="138">
        <v>0</v>
      </c>
      <c r="AZ152" s="138">
        <v>0</v>
      </c>
      <c r="BA152" s="138">
        <v>0</v>
      </c>
      <c r="BB152" s="86">
        <v>111384.553586536</v>
      </c>
      <c r="BC152" s="138">
        <v>52797.725204814</v>
      </c>
      <c r="BD152" s="138">
        <v>33347.9521123171</v>
      </c>
      <c r="BE152" s="138">
        <v>13198.7791260074</v>
      </c>
      <c r="BF152" s="138">
        <v>8502.50686291337</v>
      </c>
      <c r="BG152" s="138">
        <v>6706.53288448249</v>
      </c>
      <c r="BH152" s="138">
        <v>5499.31585070118</v>
      </c>
      <c r="BI152" s="138">
        <v>5499.31585070118</v>
      </c>
      <c r="BJ152" s="138">
        <v>5499.31585070118</v>
      </c>
      <c r="BK152" s="138">
        <v>3055.17547261177</v>
      </c>
      <c r="BL152" s="138">
        <v>3055.17547261177</v>
      </c>
      <c r="BM152" s="138">
        <v>3055.17547261177</v>
      </c>
      <c r="BN152" s="138">
        <v>3055.17547261177</v>
      </c>
      <c r="BO152" s="86">
        <v>143272.145633085</v>
      </c>
      <c r="BP152" s="138">
        <v>0</v>
      </c>
      <c r="BQ152" s="138">
        <v>0</v>
      </c>
      <c r="BR152" s="138">
        <v>0</v>
      </c>
      <c r="BS152" s="138">
        <v>0</v>
      </c>
      <c r="BT152" s="138">
        <v>0</v>
      </c>
      <c r="BU152" s="138">
        <v>0</v>
      </c>
      <c r="BV152" s="138">
        <v>0</v>
      </c>
      <c r="BW152" s="138">
        <v>0</v>
      </c>
      <c r="BX152" s="138">
        <v>0</v>
      </c>
      <c r="BY152" s="138">
        <v>0</v>
      </c>
      <c r="BZ152" s="138">
        <v>0</v>
      </c>
      <c r="CA152" s="138">
        <v>0</v>
      </c>
      <c r="CB152" s="86">
        <v>0</v>
      </c>
      <c r="CC152" s="138">
        <v>5508.34383842006</v>
      </c>
      <c r="CD152" s="138">
        <v>5096.85265989402</v>
      </c>
      <c r="CE152" s="138">
        <v>5922.3335443076</v>
      </c>
      <c r="CF152" s="138">
        <v>7003.91409316385</v>
      </c>
      <c r="CG152" s="138">
        <v>415.357558866078</v>
      </c>
      <c r="CH152" s="138">
        <v>0</v>
      </c>
      <c r="CI152" s="138">
        <v>0</v>
      </c>
      <c r="CJ152" s="138">
        <v>0</v>
      </c>
      <c r="CK152" s="138">
        <v>0</v>
      </c>
      <c r="CL152" s="138">
        <v>0</v>
      </c>
      <c r="CM152" s="138">
        <v>0</v>
      </c>
      <c r="CN152" s="138">
        <v>0</v>
      </c>
      <c r="CO152" s="86">
        <v>23946.8016946516</v>
      </c>
      <c r="CP152" s="138">
        <v>53563.4360930499</v>
      </c>
      <c r="CQ152" s="138">
        <v>31320.2007081537</v>
      </c>
      <c r="CR152" s="138">
        <v>18740.1061153813</v>
      </c>
      <c r="CS152" s="138">
        <v>9266.42522435021</v>
      </c>
      <c r="CT152" s="138">
        <v>7601.21404019421</v>
      </c>
      <c r="CU152" s="138">
        <v>4079.37811764166</v>
      </c>
      <c r="CV152" s="138">
        <v>4079.37811764166</v>
      </c>
      <c r="CW152" s="138">
        <v>4079.37811764166</v>
      </c>
      <c r="CX152" s="138">
        <v>0</v>
      </c>
      <c r="CY152" s="138">
        <v>0</v>
      </c>
      <c r="CZ152" s="138">
        <v>0</v>
      </c>
      <c r="DA152" s="138">
        <v>0</v>
      </c>
      <c r="DB152" s="86">
        <v>132729.516534054</v>
      </c>
      <c r="DC152" s="138">
        <v>0</v>
      </c>
      <c r="DD152" s="138">
        <v>53309.2076897698</v>
      </c>
      <c r="DE152" s="138">
        <v>8366.99200456628</v>
      </c>
      <c r="DF152" s="138">
        <v>4042.4769994326</v>
      </c>
      <c r="DG152" s="138">
        <v>0</v>
      </c>
      <c r="DH152" s="138">
        <v>0</v>
      </c>
      <c r="DI152" s="138">
        <v>0</v>
      </c>
      <c r="DJ152" s="138">
        <v>0</v>
      </c>
      <c r="DK152" s="138">
        <v>0</v>
      </c>
      <c r="DL152" s="138">
        <v>0</v>
      </c>
      <c r="DM152" s="138">
        <v>0</v>
      </c>
      <c r="DN152" s="138">
        <v>0</v>
      </c>
      <c r="DO152" s="86">
        <v>65718.6766937687</v>
      </c>
      <c r="DP152" s="138">
        <v>211631.027809065</v>
      </c>
      <c r="DQ152" s="138">
        <v>118911.957613571</v>
      </c>
      <c r="DR152" s="138">
        <v>78567.1644538822</v>
      </c>
      <c r="DS152" s="138">
        <v>68575.3430253665</v>
      </c>
      <c r="DT152" s="138">
        <v>41032.8678850005</v>
      </c>
      <c r="DU152" s="138">
        <v>29743.2274383999</v>
      </c>
      <c r="DV152" s="138">
        <v>14871.6137191999</v>
      </c>
      <c r="DW152" s="138">
        <v>11153.7102894</v>
      </c>
      <c r="DX152" s="138">
        <v>5948.64548767998</v>
      </c>
      <c r="DY152" s="138">
        <v>3717.90342979999</v>
      </c>
      <c r="DZ152" s="138">
        <v>0</v>
      </c>
      <c r="EA152" s="138">
        <v>0</v>
      </c>
      <c r="EB152" s="85">
        <v>584153.461151365</v>
      </c>
      <c r="EC152" s="87">
        <v>0</v>
      </c>
      <c r="ED152" s="85">
        <v>0</v>
      </c>
      <c r="EE152" s="85">
        <v>0</v>
      </c>
      <c r="EF152" s="85">
        <v>0</v>
      </c>
      <c r="EG152" s="85">
        <v>0</v>
      </c>
      <c r="EH152" s="85">
        <v>0</v>
      </c>
      <c r="EI152" s="85">
        <v>0</v>
      </c>
      <c r="EJ152" s="85">
        <v>0</v>
      </c>
      <c r="EK152" s="85">
        <v>0</v>
      </c>
      <c r="EL152" s="85">
        <v>0</v>
      </c>
      <c r="EM152" s="85">
        <v>0</v>
      </c>
      <c r="EN152" s="85">
        <v>0</v>
      </c>
      <c r="EO152" s="152">
        <v>0</v>
      </c>
      <c r="EP152" s="85">
        <v>16990.5723576553</v>
      </c>
      <c r="EQ152" s="85">
        <v>14646.7867165658</v>
      </c>
      <c r="ER152" s="85">
        <v>16698.8958152611</v>
      </c>
      <c r="ES152" s="85">
        <v>9718.34281035494</v>
      </c>
      <c r="ET152" s="85">
        <v>14455.798162458</v>
      </c>
      <c r="EU152" s="85">
        <v>9193.71190778915</v>
      </c>
      <c r="EV152" s="85">
        <v>9193.71190778915</v>
      </c>
      <c r="EW152" s="85">
        <v>4596.85595389457</v>
      </c>
      <c r="EX152" s="85">
        <v>2587.38021306783</v>
      </c>
      <c r="EY152" s="85">
        <v>2876.07737368383</v>
      </c>
      <c r="EZ152" s="85">
        <v>2300.86189894706</v>
      </c>
      <c r="FA152" s="85">
        <v>1840.68951915765</v>
      </c>
      <c r="FB152" s="85">
        <v>105099.684636624</v>
      </c>
      <c r="FC152" s="87">
        <v>0</v>
      </c>
      <c r="FD152" s="85">
        <v>0</v>
      </c>
      <c r="FE152" s="85">
        <v>0</v>
      </c>
      <c r="FF152" s="85">
        <v>0</v>
      </c>
      <c r="FG152" s="85">
        <v>0</v>
      </c>
      <c r="FH152" s="85">
        <v>0</v>
      </c>
      <c r="FI152" s="85">
        <v>0</v>
      </c>
      <c r="FJ152" s="85">
        <v>0</v>
      </c>
      <c r="FK152" s="85">
        <v>0</v>
      </c>
      <c r="FL152" s="85">
        <v>0</v>
      </c>
      <c r="FM152" s="85">
        <v>0</v>
      </c>
      <c r="FN152" s="85">
        <v>0</v>
      </c>
      <c r="FO152" s="86">
        <v>0</v>
      </c>
      <c r="FP152" s="87">
        <v>44847.5640441899</v>
      </c>
      <c r="FQ152" s="85">
        <v>44779.3085397483</v>
      </c>
      <c r="FR152" s="85">
        <v>31853.3412850513</v>
      </c>
      <c r="FS152" s="85">
        <v>4042.29712721293</v>
      </c>
      <c r="FT152" s="85">
        <v>2904.18435959817</v>
      </c>
      <c r="FU152" s="85">
        <v>0</v>
      </c>
      <c r="FV152" s="85">
        <v>0</v>
      </c>
      <c r="FW152" s="85">
        <v>0</v>
      </c>
      <c r="FX152" s="85">
        <v>0</v>
      </c>
      <c r="FY152" s="85">
        <v>0</v>
      </c>
      <c r="FZ152" s="85">
        <v>0</v>
      </c>
      <c r="GA152" s="85">
        <v>0</v>
      </c>
      <c r="GB152" s="152">
        <v>128426.695355801</v>
      </c>
      <c r="GD152" s="153"/>
    </row>
    <row r="153" spans="1:186">
      <c r="A153" s="137" t="s">
        <v>324</v>
      </c>
      <c r="B153" s="151">
        <v>0</v>
      </c>
      <c r="C153" s="138">
        <f t="shared" si="37"/>
        <v>0</v>
      </c>
      <c r="D153" s="138">
        <f t="shared" si="26"/>
        <v>0</v>
      </c>
      <c r="E153" s="138">
        <f t="shared" si="27"/>
        <v>0</v>
      </c>
      <c r="F153" s="138">
        <f t="shared" si="28"/>
        <v>0</v>
      </c>
      <c r="G153" s="138">
        <f t="shared" si="29"/>
        <v>0</v>
      </c>
      <c r="H153" s="138">
        <f t="shared" si="30"/>
        <v>0</v>
      </c>
      <c r="I153" s="138">
        <f t="shared" si="31"/>
        <v>0</v>
      </c>
      <c r="J153" s="138">
        <f t="shared" si="32"/>
        <v>0</v>
      </c>
      <c r="K153" s="138">
        <f t="shared" si="33"/>
        <v>0</v>
      </c>
      <c r="L153" s="138">
        <f t="shared" si="34"/>
        <v>0</v>
      </c>
      <c r="M153" s="138">
        <f t="shared" si="35"/>
        <v>0</v>
      </c>
      <c r="N153" s="138">
        <f t="shared" si="36"/>
        <v>0</v>
      </c>
      <c r="O153" s="86">
        <f t="shared" si="38"/>
        <v>0</v>
      </c>
      <c r="P153" s="138">
        <v>0</v>
      </c>
      <c r="Q153" s="138">
        <v>0</v>
      </c>
      <c r="R153" s="138">
        <v>0</v>
      </c>
      <c r="S153" s="138">
        <v>0</v>
      </c>
      <c r="T153" s="138">
        <v>0</v>
      </c>
      <c r="U153" s="138">
        <v>0</v>
      </c>
      <c r="V153" s="138">
        <v>0</v>
      </c>
      <c r="W153" s="138">
        <v>0</v>
      </c>
      <c r="X153" s="138">
        <v>0</v>
      </c>
      <c r="Y153" s="138">
        <v>0</v>
      </c>
      <c r="Z153" s="138">
        <v>0</v>
      </c>
      <c r="AA153" s="138">
        <v>0</v>
      </c>
      <c r="AB153" s="86">
        <v>0</v>
      </c>
      <c r="AC153" s="138">
        <v>0</v>
      </c>
      <c r="AD153" s="138">
        <v>0</v>
      </c>
      <c r="AE153" s="138">
        <v>0</v>
      </c>
      <c r="AF153" s="138">
        <v>0</v>
      </c>
      <c r="AG153" s="138">
        <v>0</v>
      </c>
      <c r="AH153" s="138">
        <v>0</v>
      </c>
      <c r="AI153" s="138">
        <v>0</v>
      </c>
      <c r="AJ153" s="138">
        <v>0</v>
      </c>
      <c r="AK153" s="138">
        <v>0</v>
      </c>
      <c r="AL153" s="138">
        <v>0</v>
      </c>
      <c r="AM153" s="138">
        <v>0</v>
      </c>
      <c r="AN153" s="138">
        <v>0</v>
      </c>
      <c r="AO153" s="86">
        <v>0</v>
      </c>
      <c r="AP153" s="138">
        <v>0</v>
      </c>
      <c r="AQ153" s="138">
        <v>0</v>
      </c>
      <c r="AR153" s="138">
        <v>0</v>
      </c>
      <c r="AS153" s="138">
        <v>0</v>
      </c>
      <c r="AT153" s="138">
        <v>0</v>
      </c>
      <c r="AU153" s="138">
        <v>0</v>
      </c>
      <c r="AV153" s="138">
        <v>0</v>
      </c>
      <c r="AW153" s="138">
        <v>0</v>
      </c>
      <c r="AX153" s="138">
        <v>0</v>
      </c>
      <c r="AY153" s="138">
        <v>0</v>
      </c>
      <c r="AZ153" s="138">
        <v>0</v>
      </c>
      <c r="BA153" s="138">
        <v>0</v>
      </c>
      <c r="BB153" s="86">
        <v>0</v>
      </c>
      <c r="BC153" s="138">
        <v>0</v>
      </c>
      <c r="BD153" s="138">
        <v>0</v>
      </c>
      <c r="BE153" s="138">
        <v>0</v>
      </c>
      <c r="BF153" s="138">
        <v>0</v>
      </c>
      <c r="BG153" s="138">
        <v>0</v>
      </c>
      <c r="BH153" s="138">
        <v>0</v>
      </c>
      <c r="BI153" s="138">
        <v>0</v>
      </c>
      <c r="BJ153" s="138">
        <v>0</v>
      </c>
      <c r="BK153" s="138">
        <v>0</v>
      </c>
      <c r="BL153" s="138">
        <v>0</v>
      </c>
      <c r="BM153" s="138">
        <v>0</v>
      </c>
      <c r="BN153" s="138">
        <v>0</v>
      </c>
      <c r="BO153" s="86">
        <v>0</v>
      </c>
      <c r="BP153" s="138">
        <v>0</v>
      </c>
      <c r="BQ153" s="138">
        <v>0</v>
      </c>
      <c r="BR153" s="138">
        <v>0</v>
      </c>
      <c r="BS153" s="138">
        <v>0</v>
      </c>
      <c r="BT153" s="138">
        <v>0</v>
      </c>
      <c r="BU153" s="138">
        <v>0</v>
      </c>
      <c r="BV153" s="138">
        <v>0</v>
      </c>
      <c r="BW153" s="138">
        <v>0</v>
      </c>
      <c r="BX153" s="138">
        <v>0</v>
      </c>
      <c r="BY153" s="138">
        <v>0</v>
      </c>
      <c r="BZ153" s="138">
        <v>0</v>
      </c>
      <c r="CA153" s="138">
        <v>0</v>
      </c>
      <c r="CB153" s="86">
        <v>0</v>
      </c>
      <c r="CC153" s="138">
        <v>0</v>
      </c>
      <c r="CD153" s="138">
        <v>0</v>
      </c>
      <c r="CE153" s="138">
        <v>0</v>
      </c>
      <c r="CF153" s="138">
        <v>0</v>
      </c>
      <c r="CG153" s="138">
        <v>0</v>
      </c>
      <c r="CH153" s="138">
        <v>0</v>
      </c>
      <c r="CI153" s="138">
        <v>0</v>
      </c>
      <c r="CJ153" s="138">
        <v>0</v>
      </c>
      <c r="CK153" s="138">
        <v>0</v>
      </c>
      <c r="CL153" s="138">
        <v>0</v>
      </c>
      <c r="CM153" s="138">
        <v>0</v>
      </c>
      <c r="CN153" s="138">
        <v>0</v>
      </c>
      <c r="CO153" s="86">
        <v>0</v>
      </c>
      <c r="CP153" s="138">
        <v>0</v>
      </c>
      <c r="CQ153" s="138">
        <v>0</v>
      </c>
      <c r="CR153" s="138">
        <v>0</v>
      </c>
      <c r="CS153" s="138">
        <v>0</v>
      </c>
      <c r="CT153" s="138">
        <v>0</v>
      </c>
      <c r="CU153" s="138">
        <v>0</v>
      </c>
      <c r="CV153" s="138">
        <v>0</v>
      </c>
      <c r="CW153" s="138">
        <v>0</v>
      </c>
      <c r="CX153" s="138">
        <v>0</v>
      </c>
      <c r="CY153" s="138">
        <v>0</v>
      </c>
      <c r="CZ153" s="138">
        <v>0</v>
      </c>
      <c r="DA153" s="138">
        <v>0</v>
      </c>
      <c r="DB153" s="86">
        <v>0</v>
      </c>
      <c r="DC153" s="138">
        <v>0</v>
      </c>
      <c r="DD153" s="138">
        <v>0</v>
      </c>
      <c r="DE153" s="138">
        <v>0</v>
      </c>
      <c r="DF153" s="138">
        <v>0</v>
      </c>
      <c r="DG153" s="138">
        <v>0</v>
      </c>
      <c r="DH153" s="138">
        <v>0</v>
      </c>
      <c r="DI153" s="138">
        <v>0</v>
      </c>
      <c r="DJ153" s="138">
        <v>0</v>
      </c>
      <c r="DK153" s="138">
        <v>0</v>
      </c>
      <c r="DL153" s="138">
        <v>0</v>
      </c>
      <c r="DM153" s="138">
        <v>0</v>
      </c>
      <c r="DN153" s="138">
        <v>0</v>
      </c>
      <c r="DO153" s="86">
        <v>0</v>
      </c>
      <c r="DP153" s="138">
        <v>0</v>
      </c>
      <c r="DQ153" s="138">
        <v>0</v>
      </c>
      <c r="DR153" s="138">
        <v>0</v>
      </c>
      <c r="DS153" s="138">
        <v>0</v>
      </c>
      <c r="DT153" s="138">
        <v>0</v>
      </c>
      <c r="DU153" s="138">
        <v>0</v>
      </c>
      <c r="DV153" s="138">
        <v>0</v>
      </c>
      <c r="DW153" s="138">
        <v>0</v>
      </c>
      <c r="DX153" s="138">
        <v>0</v>
      </c>
      <c r="DY153" s="138">
        <v>0</v>
      </c>
      <c r="DZ153" s="138">
        <v>0</v>
      </c>
      <c r="EA153" s="138">
        <v>0</v>
      </c>
      <c r="EB153" s="85">
        <v>0</v>
      </c>
      <c r="EC153" s="87">
        <v>0</v>
      </c>
      <c r="ED153" s="85">
        <v>0</v>
      </c>
      <c r="EE153" s="85">
        <v>0</v>
      </c>
      <c r="EF153" s="85">
        <v>0</v>
      </c>
      <c r="EG153" s="85">
        <v>0</v>
      </c>
      <c r="EH153" s="85">
        <v>0</v>
      </c>
      <c r="EI153" s="85">
        <v>0</v>
      </c>
      <c r="EJ153" s="85">
        <v>0</v>
      </c>
      <c r="EK153" s="85">
        <v>0</v>
      </c>
      <c r="EL153" s="85">
        <v>0</v>
      </c>
      <c r="EM153" s="85">
        <v>0</v>
      </c>
      <c r="EN153" s="85">
        <v>0</v>
      </c>
      <c r="EO153" s="152">
        <v>0</v>
      </c>
      <c r="EP153" s="85">
        <v>0</v>
      </c>
      <c r="EQ153" s="85">
        <v>0</v>
      </c>
      <c r="ER153" s="85">
        <v>0</v>
      </c>
      <c r="ES153" s="85">
        <v>0</v>
      </c>
      <c r="ET153" s="85">
        <v>0</v>
      </c>
      <c r="EU153" s="85">
        <v>0</v>
      </c>
      <c r="EV153" s="85">
        <v>0</v>
      </c>
      <c r="EW153" s="85">
        <v>0</v>
      </c>
      <c r="EX153" s="85">
        <v>0</v>
      </c>
      <c r="EY153" s="85">
        <v>0</v>
      </c>
      <c r="EZ153" s="85">
        <v>0</v>
      </c>
      <c r="FA153" s="85">
        <v>0</v>
      </c>
      <c r="FB153" s="85">
        <v>0</v>
      </c>
      <c r="FC153" s="87">
        <v>0</v>
      </c>
      <c r="FD153" s="85">
        <v>0</v>
      </c>
      <c r="FE153" s="85">
        <v>0</v>
      </c>
      <c r="FF153" s="85">
        <v>0</v>
      </c>
      <c r="FG153" s="85">
        <v>0</v>
      </c>
      <c r="FH153" s="85">
        <v>0</v>
      </c>
      <c r="FI153" s="85">
        <v>0</v>
      </c>
      <c r="FJ153" s="85">
        <v>0</v>
      </c>
      <c r="FK153" s="85">
        <v>0</v>
      </c>
      <c r="FL153" s="85">
        <v>0</v>
      </c>
      <c r="FM153" s="85">
        <v>0</v>
      </c>
      <c r="FN153" s="85">
        <v>0</v>
      </c>
      <c r="FO153" s="86">
        <v>0</v>
      </c>
      <c r="FP153" s="87">
        <v>0</v>
      </c>
      <c r="FQ153" s="85">
        <v>0</v>
      </c>
      <c r="FR153" s="85">
        <v>0</v>
      </c>
      <c r="FS153" s="85">
        <v>0</v>
      </c>
      <c r="FT153" s="85">
        <v>0</v>
      </c>
      <c r="FU153" s="85">
        <v>0</v>
      </c>
      <c r="FV153" s="85">
        <v>0</v>
      </c>
      <c r="FW153" s="85">
        <v>0</v>
      </c>
      <c r="FX153" s="85">
        <v>0</v>
      </c>
      <c r="FY153" s="85">
        <v>0</v>
      </c>
      <c r="FZ153" s="85">
        <v>0</v>
      </c>
      <c r="GA153" s="85">
        <v>0</v>
      </c>
      <c r="GB153" s="152">
        <v>0</v>
      </c>
      <c r="GD153" s="153"/>
    </row>
    <row r="154" spans="1:186">
      <c r="A154" s="137" t="s">
        <v>325</v>
      </c>
      <c r="B154" s="151">
        <v>0</v>
      </c>
      <c r="C154" s="138">
        <f t="shared" si="37"/>
        <v>0</v>
      </c>
      <c r="D154" s="138">
        <f t="shared" si="26"/>
        <v>0</v>
      </c>
      <c r="E154" s="138">
        <f t="shared" si="27"/>
        <v>0</v>
      </c>
      <c r="F154" s="138">
        <f t="shared" si="28"/>
        <v>0</v>
      </c>
      <c r="G154" s="138">
        <f t="shared" si="29"/>
        <v>0</v>
      </c>
      <c r="H154" s="138">
        <f t="shared" si="30"/>
        <v>70183.3882094782</v>
      </c>
      <c r="I154" s="138">
        <f t="shared" si="31"/>
        <v>44166.5876838322</v>
      </c>
      <c r="J154" s="138">
        <f t="shared" si="32"/>
        <v>36058.9917543448</v>
      </c>
      <c r="K154" s="138">
        <f t="shared" si="33"/>
        <v>19751.3776001043</v>
      </c>
      <c r="L154" s="138">
        <f t="shared" si="34"/>
        <v>13468.5914244296</v>
      </c>
      <c r="M154" s="138">
        <f t="shared" si="35"/>
        <v>8742.6914244296</v>
      </c>
      <c r="N154" s="138">
        <f t="shared" si="36"/>
        <v>8742.6914244296</v>
      </c>
      <c r="O154" s="86">
        <f t="shared" si="38"/>
        <v>201114.319521048</v>
      </c>
      <c r="P154" s="138">
        <v>0</v>
      </c>
      <c r="Q154" s="138">
        <v>0</v>
      </c>
      <c r="R154" s="138">
        <v>0</v>
      </c>
      <c r="S154" s="138">
        <v>0</v>
      </c>
      <c r="T154" s="138">
        <v>0</v>
      </c>
      <c r="U154" s="138">
        <v>0</v>
      </c>
      <c r="V154" s="138">
        <v>0</v>
      </c>
      <c r="W154" s="138">
        <v>0</v>
      </c>
      <c r="X154" s="138">
        <v>0</v>
      </c>
      <c r="Y154" s="138">
        <v>0</v>
      </c>
      <c r="Z154" s="138">
        <v>0</v>
      </c>
      <c r="AA154" s="138">
        <v>0</v>
      </c>
      <c r="AB154" s="86">
        <v>0</v>
      </c>
      <c r="AC154" s="138">
        <v>0</v>
      </c>
      <c r="AD154" s="138">
        <v>0</v>
      </c>
      <c r="AE154" s="138">
        <v>0</v>
      </c>
      <c r="AF154" s="138">
        <v>0</v>
      </c>
      <c r="AG154" s="138">
        <v>0</v>
      </c>
      <c r="AH154" s="138">
        <v>0</v>
      </c>
      <c r="AI154" s="138">
        <v>0</v>
      </c>
      <c r="AJ154" s="138">
        <v>0</v>
      </c>
      <c r="AK154" s="138">
        <v>0</v>
      </c>
      <c r="AL154" s="138">
        <v>0</v>
      </c>
      <c r="AM154" s="138">
        <v>0</v>
      </c>
      <c r="AN154" s="138">
        <v>0</v>
      </c>
      <c r="AO154" s="86">
        <v>0</v>
      </c>
      <c r="AP154" s="138">
        <v>0</v>
      </c>
      <c r="AQ154" s="138">
        <v>0</v>
      </c>
      <c r="AR154" s="138">
        <v>0</v>
      </c>
      <c r="AS154" s="138">
        <v>0</v>
      </c>
      <c r="AT154" s="138">
        <v>0</v>
      </c>
      <c r="AU154" s="138">
        <v>7640.97137928809</v>
      </c>
      <c r="AV154" s="138">
        <v>7640.97137928809</v>
      </c>
      <c r="AW154" s="138">
        <v>7640.97137928809</v>
      </c>
      <c r="AX154" s="138">
        <v>7640.97137928809</v>
      </c>
      <c r="AY154" s="138">
        <v>7640.97137928809</v>
      </c>
      <c r="AZ154" s="138">
        <v>7640.97137928809</v>
      </c>
      <c r="BA154" s="138">
        <v>7640.97137928809</v>
      </c>
      <c r="BB154" s="86">
        <v>53486.7996550167</v>
      </c>
      <c r="BC154" s="138">
        <v>0</v>
      </c>
      <c r="BD154" s="138">
        <v>0</v>
      </c>
      <c r="BE154" s="138">
        <v>0</v>
      </c>
      <c r="BF154" s="138">
        <v>0</v>
      </c>
      <c r="BG154" s="138">
        <v>0</v>
      </c>
      <c r="BH154" s="138">
        <v>10325.7196352828</v>
      </c>
      <c r="BI154" s="138">
        <v>5162.85981764141</v>
      </c>
      <c r="BJ154" s="138">
        <v>5162.85981764141</v>
      </c>
      <c r="BK154" s="138">
        <v>0</v>
      </c>
      <c r="BL154" s="138">
        <v>0</v>
      </c>
      <c r="BM154" s="138">
        <v>0</v>
      </c>
      <c r="BN154" s="138">
        <v>0</v>
      </c>
      <c r="BO154" s="86">
        <v>20651.4392705656</v>
      </c>
      <c r="BP154" s="138">
        <v>0</v>
      </c>
      <c r="BQ154" s="138">
        <v>0</v>
      </c>
      <c r="BR154" s="138">
        <v>0</v>
      </c>
      <c r="BS154" s="138">
        <v>0</v>
      </c>
      <c r="BT154" s="138">
        <v>0</v>
      </c>
      <c r="BU154" s="138">
        <v>0</v>
      </c>
      <c r="BV154" s="138">
        <v>0</v>
      </c>
      <c r="BW154" s="138">
        <v>0</v>
      </c>
      <c r="BX154" s="138">
        <v>0</v>
      </c>
      <c r="BY154" s="138">
        <v>0</v>
      </c>
      <c r="BZ154" s="138">
        <v>0</v>
      </c>
      <c r="CA154" s="138">
        <v>0</v>
      </c>
      <c r="CB154" s="86">
        <v>0</v>
      </c>
      <c r="CC154" s="138">
        <v>0</v>
      </c>
      <c r="CD154" s="138">
        <v>0</v>
      </c>
      <c r="CE154" s="138">
        <v>0</v>
      </c>
      <c r="CF154" s="138">
        <v>0</v>
      </c>
      <c r="CG154" s="138">
        <v>0</v>
      </c>
      <c r="CH154" s="138">
        <v>0</v>
      </c>
      <c r="CI154" s="138">
        <v>0</v>
      </c>
      <c r="CJ154" s="138">
        <v>0</v>
      </c>
      <c r="CK154" s="138">
        <v>0</v>
      </c>
      <c r="CL154" s="138">
        <v>0</v>
      </c>
      <c r="CM154" s="138">
        <v>0</v>
      </c>
      <c r="CN154" s="138">
        <v>0</v>
      </c>
      <c r="CO154" s="86">
        <v>0</v>
      </c>
      <c r="CP154" s="138">
        <v>0</v>
      </c>
      <c r="CQ154" s="138">
        <v>0</v>
      </c>
      <c r="CR154" s="138">
        <v>0</v>
      </c>
      <c r="CS154" s="138">
        <v>0</v>
      </c>
      <c r="CT154" s="138">
        <v>0</v>
      </c>
      <c r="CU154" s="138">
        <v>1969.60932623928</v>
      </c>
      <c r="CV154" s="138">
        <v>1969.60932623928</v>
      </c>
      <c r="CW154" s="138">
        <v>1969.60932623928</v>
      </c>
      <c r="CX154" s="138">
        <v>0</v>
      </c>
      <c r="CY154" s="138">
        <v>0</v>
      </c>
      <c r="CZ154" s="138">
        <v>0</v>
      </c>
      <c r="DA154" s="138">
        <v>0</v>
      </c>
      <c r="DB154" s="86">
        <v>5908.82797871785</v>
      </c>
      <c r="DC154" s="138">
        <v>0</v>
      </c>
      <c r="DD154" s="138">
        <v>0</v>
      </c>
      <c r="DE154" s="138">
        <v>0</v>
      </c>
      <c r="DF154" s="138">
        <v>0</v>
      </c>
      <c r="DG154" s="138">
        <v>0</v>
      </c>
      <c r="DH154" s="138">
        <v>3305.16013542451</v>
      </c>
      <c r="DI154" s="138">
        <v>2203.44009028301</v>
      </c>
      <c r="DJ154" s="138">
        <v>1101.7200451415</v>
      </c>
      <c r="DK154" s="138">
        <v>1101.7200451415</v>
      </c>
      <c r="DL154" s="138">
        <v>1101.7200451415</v>
      </c>
      <c r="DM154" s="138">
        <v>1101.7200451415</v>
      </c>
      <c r="DN154" s="138">
        <v>1101.7200451415</v>
      </c>
      <c r="DO154" s="86">
        <v>11017.200451415</v>
      </c>
      <c r="DP154" s="138">
        <v>0</v>
      </c>
      <c r="DQ154" s="138">
        <v>0</v>
      </c>
      <c r="DR154" s="138">
        <v>0</v>
      </c>
      <c r="DS154" s="138">
        <v>0</v>
      </c>
      <c r="DT154" s="138">
        <v>0</v>
      </c>
      <c r="DU154" s="138">
        <v>37696.717054048</v>
      </c>
      <c r="DV154" s="138">
        <v>18848.358527024</v>
      </c>
      <c r="DW154" s="138">
        <v>12565.5723513493</v>
      </c>
      <c r="DX154" s="138">
        <v>6282.78617567466</v>
      </c>
      <c r="DY154" s="138">
        <v>0</v>
      </c>
      <c r="DZ154" s="138">
        <v>0</v>
      </c>
      <c r="EA154" s="138">
        <v>0</v>
      </c>
      <c r="EB154" s="85">
        <v>75393.4341080959</v>
      </c>
      <c r="EC154" s="87">
        <v>0</v>
      </c>
      <c r="ED154" s="85">
        <v>0</v>
      </c>
      <c r="EE154" s="85">
        <v>0</v>
      </c>
      <c r="EF154" s="85">
        <v>0</v>
      </c>
      <c r="EG154" s="85">
        <v>0</v>
      </c>
      <c r="EH154" s="85">
        <v>0</v>
      </c>
      <c r="EI154" s="85">
        <v>0</v>
      </c>
      <c r="EJ154" s="85">
        <v>0</v>
      </c>
      <c r="EK154" s="85">
        <v>0</v>
      </c>
      <c r="EL154" s="85">
        <v>0</v>
      </c>
      <c r="EM154" s="85">
        <v>0</v>
      </c>
      <c r="EN154" s="85">
        <v>0</v>
      </c>
      <c r="EO154" s="152">
        <v>0</v>
      </c>
      <c r="EP154" s="85">
        <v>0</v>
      </c>
      <c r="EQ154" s="85">
        <v>0</v>
      </c>
      <c r="ER154" s="85">
        <v>0</v>
      </c>
      <c r="ES154" s="85">
        <v>0</v>
      </c>
      <c r="ET154" s="85">
        <v>0</v>
      </c>
      <c r="EU154" s="85">
        <v>4519.31067919554</v>
      </c>
      <c r="EV154" s="85">
        <v>3615.44854335643</v>
      </c>
      <c r="EW154" s="85">
        <v>2892.35883468515</v>
      </c>
      <c r="EX154" s="85">
        <v>0</v>
      </c>
      <c r="EY154" s="85">
        <v>0</v>
      </c>
      <c r="EZ154" s="85">
        <v>0</v>
      </c>
      <c r="FA154" s="85">
        <v>0</v>
      </c>
      <c r="FB154" s="85">
        <v>11027.1180572371</v>
      </c>
      <c r="FC154" s="87">
        <v>0</v>
      </c>
      <c r="FD154" s="85">
        <v>0</v>
      </c>
      <c r="FE154" s="85">
        <v>0</v>
      </c>
      <c r="FF154" s="85">
        <v>0</v>
      </c>
      <c r="FG154" s="85">
        <v>0</v>
      </c>
      <c r="FH154" s="85">
        <v>0</v>
      </c>
      <c r="FI154" s="85">
        <v>0</v>
      </c>
      <c r="FJ154" s="85">
        <v>0</v>
      </c>
      <c r="FK154" s="85">
        <v>0</v>
      </c>
      <c r="FL154" s="85">
        <v>0</v>
      </c>
      <c r="FM154" s="85">
        <v>0</v>
      </c>
      <c r="FN154" s="85">
        <v>0</v>
      </c>
      <c r="FO154" s="86">
        <v>0</v>
      </c>
      <c r="FP154" s="87">
        <v>0</v>
      </c>
      <c r="FQ154" s="85">
        <v>0</v>
      </c>
      <c r="FR154" s="85">
        <v>0</v>
      </c>
      <c r="FS154" s="85">
        <v>0</v>
      </c>
      <c r="FT154" s="85">
        <v>0</v>
      </c>
      <c r="FU154" s="85">
        <v>4725.9</v>
      </c>
      <c r="FV154" s="85">
        <v>4725.9</v>
      </c>
      <c r="FW154" s="85">
        <v>4725.9</v>
      </c>
      <c r="FX154" s="85">
        <v>4725.9</v>
      </c>
      <c r="FY154" s="85">
        <v>4725.9</v>
      </c>
      <c r="FZ154" s="85">
        <v>0</v>
      </c>
      <c r="GA154" s="85">
        <v>0</v>
      </c>
      <c r="GB154" s="152">
        <v>23629.5</v>
      </c>
      <c r="GD154" s="153"/>
    </row>
    <row r="155" spans="1:186">
      <c r="A155" s="137" t="s">
        <v>326</v>
      </c>
      <c r="B155" s="151">
        <v>0</v>
      </c>
      <c r="C155" s="138">
        <f t="shared" si="37"/>
        <v>0</v>
      </c>
      <c r="D155" s="138">
        <f t="shared" si="26"/>
        <v>326365.695134203</v>
      </c>
      <c r="E155" s="138">
        <f t="shared" si="27"/>
        <v>992882.966896782</v>
      </c>
      <c r="F155" s="138">
        <f t="shared" si="28"/>
        <v>472497.34087225</v>
      </c>
      <c r="G155" s="138">
        <f t="shared" si="29"/>
        <v>298232.695919746</v>
      </c>
      <c r="H155" s="138">
        <f t="shared" si="30"/>
        <v>244384.693354835</v>
      </c>
      <c r="I155" s="138">
        <f t="shared" si="31"/>
        <v>215313.49473909</v>
      </c>
      <c r="J155" s="138">
        <f t="shared" si="32"/>
        <v>137049.304881605</v>
      </c>
      <c r="K155" s="138">
        <f t="shared" si="33"/>
        <v>46592.29401199</v>
      </c>
      <c r="L155" s="138">
        <f t="shared" si="34"/>
        <v>607424.67472101</v>
      </c>
      <c r="M155" s="138">
        <f t="shared" si="35"/>
        <v>216953.389236043</v>
      </c>
      <c r="N155" s="138">
        <f t="shared" si="36"/>
        <v>21545.3892360427</v>
      </c>
      <c r="O155" s="86">
        <f t="shared" si="38"/>
        <v>3579241.9390036</v>
      </c>
      <c r="P155" s="138">
        <v>0</v>
      </c>
      <c r="Q155" s="138">
        <v>7556.7431368619</v>
      </c>
      <c r="R155" s="138">
        <v>58053.9385338519</v>
      </c>
      <c r="S155" s="138">
        <v>36232.8166692388</v>
      </c>
      <c r="T155" s="138">
        <v>15320.4613517196</v>
      </c>
      <c r="U155" s="138">
        <v>12862.9872231541</v>
      </c>
      <c r="V155" s="138">
        <v>12862.9872231541</v>
      </c>
      <c r="W155" s="138">
        <v>0</v>
      </c>
      <c r="X155" s="138">
        <v>0</v>
      </c>
      <c r="Y155" s="138">
        <v>0</v>
      </c>
      <c r="Z155" s="138">
        <v>0</v>
      </c>
      <c r="AA155" s="138">
        <v>0</v>
      </c>
      <c r="AB155" s="86">
        <v>142889.93413798</v>
      </c>
      <c r="AC155" s="138">
        <v>0</v>
      </c>
      <c r="AD155" s="138">
        <v>6015.03831941176</v>
      </c>
      <c r="AE155" s="138">
        <v>25576.3695826721</v>
      </c>
      <c r="AF155" s="138">
        <v>955.420344272397</v>
      </c>
      <c r="AG155" s="138">
        <v>0</v>
      </c>
      <c r="AH155" s="138">
        <v>0</v>
      </c>
      <c r="AI155" s="138">
        <v>0</v>
      </c>
      <c r="AJ155" s="138">
        <v>0</v>
      </c>
      <c r="AK155" s="138">
        <v>0</v>
      </c>
      <c r="AL155" s="138">
        <v>0</v>
      </c>
      <c r="AM155" s="138">
        <v>0</v>
      </c>
      <c r="AN155" s="138">
        <v>0</v>
      </c>
      <c r="AO155" s="86">
        <v>32546.8282463563</v>
      </c>
      <c r="AP155" s="138">
        <v>0</v>
      </c>
      <c r="AQ155" s="138">
        <v>0</v>
      </c>
      <c r="AR155" s="138">
        <v>0</v>
      </c>
      <c r="AS155" s="138">
        <v>0</v>
      </c>
      <c r="AT155" s="138">
        <v>0</v>
      </c>
      <c r="AU155" s="138">
        <v>0</v>
      </c>
      <c r="AV155" s="138">
        <v>0</v>
      </c>
      <c r="AW155" s="138">
        <v>0</v>
      </c>
      <c r="AX155" s="138">
        <v>0</v>
      </c>
      <c r="AY155" s="138">
        <v>0</v>
      </c>
      <c r="AZ155" s="138">
        <v>0</v>
      </c>
      <c r="BA155" s="138">
        <v>0</v>
      </c>
      <c r="BB155" s="86">
        <v>0</v>
      </c>
      <c r="BC155" s="138">
        <v>0</v>
      </c>
      <c r="BD155" s="138">
        <v>54068.1710234667</v>
      </c>
      <c r="BE155" s="138">
        <v>180186.436444112</v>
      </c>
      <c r="BF155" s="138">
        <v>66018.4335988409</v>
      </c>
      <c r="BG155" s="138">
        <v>50139.9126283582</v>
      </c>
      <c r="BH155" s="138">
        <v>54436.265762637</v>
      </c>
      <c r="BI155" s="138">
        <v>54436.265762637</v>
      </c>
      <c r="BJ155" s="138">
        <v>10673.7776005171</v>
      </c>
      <c r="BK155" s="138">
        <v>0</v>
      </c>
      <c r="BL155" s="138">
        <v>0</v>
      </c>
      <c r="BM155" s="138">
        <v>0</v>
      </c>
      <c r="BN155" s="138">
        <v>0</v>
      </c>
      <c r="BO155" s="86">
        <v>469959.262820569</v>
      </c>
      <c r="BP155" s="138">
        <v>0</v>
      </c>
      <c r="BQ155" s="138">
        <v>76325.7036017135</v>
      </c>
      <c r="BR155" s="138">
        <v>184116.705116054</v>
      </c>
      <c r="BS155" s="138">
        <v>80846.7697393108</v>
      </c>
      <c r="BT155" s="138">
        <v>66477.4344449163</v>
      </c>
      <c r="BU155" s="138">
        <v>45064.3609584037</v>
      </c>
      <c r="BV155" s="138">
        <v>45064.3609584037</v>
      </c>
      <c r="BW155" s="138">
        <v>37553.6341320031</v>
      </c>
      <c r="BX155" s="138">
        <v>0</v>
      </c>
      <c r="BY155" s="138">
        <v>0</v>
      </c>
      <c r="BZ155" s="138">
        <v>0</v>
      </c>
      <c r="CA155" s="138">
        <v>0</v>
      </c>
      <c r="CB155" s="86">
        <v>535448.968950805</v>
      </c>
      <c r="CC155" s="138">
        <v>0</v>
      </c>
      <c r="CD155" s="138">
        <v>613.247784834708</v>
      </c>
      <c r="CE155" s="138">
        <v>3585.12191193578</v>
      </c>
      <c r="CF155" s="138">
        <v>3014.58141472</v>
      </c>
      <c r="CG155" s="138">
        <v>4486.73869062312</v>
      </c>
      <c r="CH155" s="138">
        <v>3462.93024066438</v>
      </c>
      <c r="CI155" s="138">
        <v>3462.93024066438</v>
      </c>
      <c r="CJ155" s="138">
        <v>3462.93024066438</v>
      </c>
      <c r="CK155" s="138">
        <v>865.732560166095</v>
      </c>
      <c r="CL155" s="138">
        <v>865.732560166095</v>
      </c>
      <c r="CM155" s="138">
        <v>865.732560166095</v>
      </c>
      <c r="CN155" s="138">
        <v>865.732560166095</v>
      </c>
      <c r="CO155" s="86">
        <v>25551.4107647711</v>
      </c>
      <c r="CP155" s="138">
        <v>0</v>
      </c>
      <c r="CQ155" s="138">
        <v>39015.4232266638</v>
      </c>
      <c r="CR155" s="138">
        <v>130965.574831495</v>
      </c>
      <c r="CS155" s="138">
        <v>53644.6251530541</v>
      </c>
      <c r="CT155" s="138">
        <v>35389.510242825</v>
      </c>
      <c r="CU155" s="138">
        <v>30540.0097776428</v>
      </c>
      <c r="CV155" s="138">
        <v>30540.0097776428</v>
      </c>
      <c r="CW155" s="138">
        <v>30540.0097776428</v>
      </c>
      <c r="CX155" s="138">
        <v>0</v>
      </c>
      <c r="CY155" s="138">
        <v>0</v>
      </c>
      <c r="CZ155" s="138">
        <v>0</v>
      </c>
      <c r="DA155" s="138">
        <v>0</v>
      </c>
      <c r="DB155" s="86">
        <v>350635.162786966</v>
      </c>
      <c r="DC155" s="138">
        <v>0</v>
      </c>
      <c r="DD155" s="138">
        <v>3594.99629098415</v>
      </c>
      <c r="DE155" s="138">
        <v>14725.1357150519</v>
      </c>
      <c r="DF155" s="138">
        <v>8060.48941691803</v>
      </c>
      <c r="DG155" s="138">
        <v>3539.67709017634</v>
      </c>
      <c r="DH155" s="138">
        <v>3416.57002762983</v>
      </c>
      <c r="DI155" s="138">
        <v>2277.71335175322</v>
      </c>
      <c r="DJ155" s="138">
        <v>1138.85667587661</v>
      </c>
      <c r="DK155" s="138">
        <v>1138.85667587661</v>
      </c>
      <c r="DL155" s="138">
        <v>1138.85667587661</v>
      </c>
      <c r="DM155" s="138">
        <v>1138.85667587661</v>
      </c>
      <c r="DN155" s="138">
        <v>1138.85667587661</v>
      </c>
      <c r="DO155" s="86">
        <v>41308.8652718965</v>
      </c>
      <c r="DP155" s="138">
        <v>0</v>
      </c>
      <c r="DQ155" s="138">
        <v>0</v>
      </c>
      <c r="DR155" s="138">
        <v>103571.763216175</v>
      </c>
      <c r="DS155" s="138">
        <v>161043.040081338</v>
      </c>
      <c r="DT155" s="138">
        <v>82033.8170921551</v>
      </c>
      <c r="DU155" s="138">
        <v>58451.0893647036</v>
      </c>
      <c r="DV155" s="138">
        <v>32472.8274248353</v>
      </c>
      <c r="DW155" s="138">
        <v>19483.6964549012</v>
      </c>
      <c r="DX155" s="138">
        <v>10391.3047759473</v>
      </c>
      <c r="DY155" s="138">
        <v>6494.56548496706</v>
      </c>
      <c r="DZ155" s="138">
        <v>0</v>
      </c>
      <c r="EA155" s="138">
        <v>0</v>
      </c>
      <c r="EB155" s="85">
        <v>473942.103895023</v>
      </c>
      <c r="EC155" s="87">
        <v>0</v>
      </c>
      <c r="ED155" s="85">
        <v>0</v>
      </c>
      <c r="EE155" s="85">
        <v>0</v>
      </c>
      <c r="EF155" s="85">
        <v>0</v>
      </c>
      <c r="EG155" s="85">
        <v>0</v>
      </c>
      <c r="EH155" s="85">
        <v>0</v>
      </c>
      <c r="EI155" s="85">
        <v>0</v>
      </c>
      <c r="EJ155" s="85">
        <v>0</v>
      </c>
      <c r="EK155" s="85">
        <v>0</v>
      </c>
      <c r="EL155" s="85">
        <v>0</v>
      </c>
      <c r="EM155" s="85">
        <v>0</v>
      </c>
      <c r="EN155" s="85">
        <v>0</v>
      </c>
      <c r="EO155" s="152">
        <v>0</v>
      </c>
      <c r="EP155" s="85">
        <v>0</v>
      </c>
      <c r="EQ155" s="85">
        <v>15286.9833701706</v>
      </c>
      <c r="ER155" s="85">
        <v>15640.2119204847</v>
      </c>
      <c r="ES155" s="85">
        <v>0</v>
      </c>
      <c r="ET155" s="85">
        <v>0</v>
      </c>
      <c r="EU155" s="85">
        <v>0</v>
      </c>
      <c r="EV155" s="85">
        <v>0</v>
      </c>
      <c r="EW155" s="85">
        <v>0</v>
      </c>
      <c r="EX155" s="85">
        <v>0</v>
      </c>
      <c r="EY155" s="85">
        <v>0</v>
      </c>
      <c r="EZ155" s="85">
        <v>0</v>
      </c>
      <c r="FA155" s="85">
        <v>0</v>
      </c>
      <c r="FB155" s="85">
        <v>30927.1952906553</v>
      </c>
      <c r="FC155" s="87">
        <v>0</v>
      </c>
      <c r="FD155" s="85">
        <v>0</v>
      </c>
      <c r="FE155" s="85">
        <v>0</v>
      </c>
      <c r="FF155" s="85">
        <v>0</v>
      </c>
      <c r="FG155" s="85">
        <v>0</v>
      </c>
      <c r="FH155" s="85">
        <v>0</v>
      </c>
      <c r="FI155" s="85">
        <v>0</v>
      </c>
      <c r="FJ155" s="85">
        <v>0</v>
      </c>
      <c r="FK155" s="85">
        <v>0</v>
      </c>
      <c r="FL155" s="85">
        <v>0</v>
      </c>
      <c r="FM155" s="85">
        <v>0</v>
      </c>
      <c r="FN155" s="85">
        <v>0</v>
      </c>
      <c r="FO155" s="86">
        <v>0</v>
      </c>
      <c r="FP155" s="87">
        <v>0</v>
      </c>
      <c r="FQ155" s="85">
        <v>123889.388380096</v>
      </c>
      <c r="FR155" s="85">
        <v>276461.709624951</v>
      </c>
      <c r="FS155" s="85">
        <v>62681.1644545569</v>
      </c>
      <c r="FT155" s="85">
        <v>40845.1443789726</v>
      </c>
      <c r="FU155" s="85">
        <v>36150.48</v>
      </c>
      <c r="FV155" s="85">
        <v>34196.4</v>
      </c>
      <c r="FW155" s="85">
        <v>34196.4</v>
      </c>
      <c r="FX155" s="85">
        <v>34196.4</v>
      </c>
      <c r="FY155" s="85">
        <v>598925.52</v>
      </c>
      <c r="FZ155" s="85">
        <v>214948.8</v>
      </c>
      <c r="GA155" s="85">
        <v>19540.8</v>
      </c>
      <c r="GB155" s="152">
        <v>1476032.20683858</v>
      </c>
      <c r="GD155" s="153"/>
    </row>
    <row r="156" spans="1:186">
      <c r="A156" s="137" t="s">
        <v>327</v>
      </c>
      <c r="B156" s="151">
        <v>0</v>
      </c>
      <c r="C156" s="138">
        <f t="shared" si="37"/>
        <v>0</v>
      </c>
      <c r="D156" s="138">
        <f t="shared" si="26"/>
        <v>0</v>
      </c>
      <c r="E156" s="138">
        <f t="shared" si="27"/>
        <v>0</v>
      </c>
      <c r="F156" s="138">
        <f t="shared" si="28"/>
        <v>0</v>
      </c>
      <c r="G156" s="138">
        <f t="shared" si="29"/>
        <v>0</v>
      </c>
      <c r="H156" s="138">
        <f t="shared" si="30"/>
        <v>0</v>
      </c>
      <c r="I156" s="138">
        <f t="shared" si="31"/>
        <v>0</v>
      </c>
      <c r="J156" s="138">
        <f t="shared" si="32"/>
        <v>0</v>
      </c>
      <c r="K156" s="138">
        <f t="shared" si="33"/>
        <v>0</v>
      </c>
      <c r="L156" s="138">
        <f t="shared" si="34"/>
        <v>0</v>
      </c>
      <c r="M156" s="138">
        <f t="shared" si="35"/>
        <v>0</v>
      </c>
      <c r="N156" s="138">
        <f t="shared" si="36"/>
        <v>0</v>
      </c>
      <c r="O156" s="86">
        <f t="shared" si="38"/>
        <v>0</v>
      </c>
      <c r="P156" s="138">
        <v>0</v>
      </c>
      <c r="Q156" s="138">
        <v>0</v>
      </c>
      <c r="R156" s="138">
        <v>0</v>
      </c>
      <c r="S156" s="138">
        <v>0</v>
      </c>
      <c r="T156" s="138">
        <v>0</v>
      </c>
      <c r="U156" s="138">
        <v>0</v>
      </c>
      <c r="V156" s="138">
        <v>0</v>
      </c>
      <c r="W156" s="138">
        <v>0</v>
      </c>
      <c r="X156" s="138">
        <v>0</v>
      </c>
      <c r="Y156" s="138">
        <v>0</v>
      </c>
      <c r="Z156" s="138">
        <v>0</v>
      </c>
      <c r="AA156" s="138">
        <v>0</v>
      </c>
      <c r="AB156" s="86">
        <v>0</v>
      </c>
      <c r="AC156" s="138">
        <v>0</v>
      </c>
      <c r="AD156" s="138">
        <v>0</v>
      </c>
      <c r="AE156" s="138">
        <v>0</v>
      </c>
      <c r="AF156" s="138">
        <v>0</v>
      </c>
      <c r="AG156" s="138">
        <v>0</v>
      </c>
      <c r="AH156" s="138">
        <v>0</v>
      </c>
      <c r="AI156" s="138">
        <v>0</v>
      </c>
      <c r="AJ156" s="138">
        <v>0</v>
      </c>
      <c r="AK156" s="138">
        <v>0</v>
      </c>
      <c r="AL156" s="138">
        <v>0</v>
      </c>
      <c r="AM156" s="138">
        <v>0</v>
      </c>
      <c r="AN156" s="138">
        <v>0</v>
      </c>
      <c r="AO156" s="86">
        <v>0</v>
      </c>
      <c r="AP156" s="138">
        <v>0</v>
      </c>
      <c r="AQ156" s="138">
        <v>0</v>
      </c>
      <c r="AR156" s="138">
        <v>0</v>
      </c>
      <c r="AS156" s="138">
        <v>0</v>
      </c>
      <c r="AT156" s="138">
        <v>0</v>
      </c>
      <c r="AU156" s="138">
        <v>0</v>
      </c>
      <c r="AV156" s="138">
        <v>0</v>
      </c>
      <c r="AW156" s="138">
        <v>0</v>
      </c>
      <c r="AX156" s="138">
        <v>0</v>
      </c>
      <c r="AY156" s="138">
        <v>0</v>
      </c>
      <c r="AZ156" s="138">
        <v>0</v>
      </c>
      <c r="BA156" s="138">
        <v>0</v>
      </c>
      <c r="BB156" s="86">
        <v>0</v>
      </c>
      <c r="BC156" s="138">
        <v>0</v>
      </c>
      <c r="BD156" s="138">
        <v>0</v>
      </c>
      <c r="BE156" s="138">
        <v>0</v>
      </c>
      <c r="BF156" s="138">
        <v>0</v>
      </c>
      <c r="BG156" s="138">
        <v>0</v>
      </c>
      <c r="BH156" s="138">
        <v>0</v>
      </c>
      <c r="BI156" s="138">
        <v>0</v>
      </c>
      <c r="BJ156" s="138">
        <v>0</v>
      </c>
      <c r="BK156" s="138">
        <v>0</v>
      </c>
      <c r="BL156" s="138">
        <v>0</v>
      </c>
      <c r="BM156" s="138">
        <v>0</v>
      </c>
      <c r="BN156" s="138">
        <v>0</v>
      </c>
      <c r="BO156" s="86">
        <v>0</v>
      </c>
      <c r="BP156" s="138">
        <v>0</v>
      </c>
      <c r="BQ156" s="138">
        <v>0</v>
      </c>
      <c r="BR156" s="138">
        <v>0</v>
      </c>
      <c r="BS156" s="138">
        <v>0</v>
      </c>
      <c r="BT156" s="138">
        <v>0</v>
      </c>
      <c r="BU156" s="138">
        <v>0</v>
      </c>
      <c r="BV156" s="138">
        <v>0</v>
      </c>
      <c r="BW156" s="138">
        <v>0</v>
      </c>
      <c r="BX156" s="138">
        <v>0</v>
      </c>
      <c r="BY156" s="138">
        <v>0</v>
      </c>
      <c r="BZ156" s="138">
        <v>0</v>
      </c>
      <c r="CA156" s="138">
        <v>0</v>
      </c>
      <c r="CB156" s="86">
        <v>0</v>
      </c>
      <c r="CC156" s="138">
        <v>0</v>
      </c>
      <c r="CD156" s="138">
        <v>0</v>
      </c>
      <c r="CE156" s="138">
        <v>0</v>
      </c>
      <c r="CF156" s="138">
        <v>0</v>
      </c>
      <c r="CG156" s="138">
        <v>0</v>
      </c>
      <c r="CH156" s="138">
        <v>0</v>
      </c>
      <c r="CI156" s="138">
        <v>0</v>
      </c>
      <c r="CJ156" s="138">
        <v>0</v>
      </c>
      <c r="CK156" s="138">
        <v>0</v>
      </c>
      <c r="CL156" s="138">
        <v>0</v>
      </c>
      <c r="CM156" s="138">
        <v>0</v>
      </c>
      <c r="CN156" s="138">
        <v>0</v>
      </c>
      <c r="CO156" s="86">
        <v>0</v>
      </c>
      <c r="CP156" s="138">
        <v>0</v>
      </c>
      <c r="CQ156" s="138">
        <v>0</v>
      </c>
      <c r="CR156" s="138">
        <v>0</v>
      </c>
      <c r="CS156" s="138">
        <v>0</v>
      </c>
      <c r="CT156" s="138">
        <v>0</v>
      </c>
      <c r="CU156" s="138">
        <v>0</v>
      </c>
      <c r="CV156" s="138">
        <v>0</v>
      </c>
      <c r="CW156" s="138">
        <v>0</v>
      </c>
      <c r="CX156" s="138">
        <v>0</v>
      </c>
      <c r="CY156" s="138">
        <v>0</v>
      </c>
      <c r="CZ156" s="138">
        <v>0</v>
      </c>
      <c r="DA156" s="138">
        <v>0</v>
      </c>
      <c r="DB156" s="86">
        <v>0</v>
      </c>
      <c r="DC156" s="138">
        <v>0</v>
      </c>
      <c r="DD156" s="138">
        <v>0</v>
      </c>
      <c r="DE156" s="138">
        <v>0</v>
      </c>
      <c r="DF156" s="138">
        <v>0</v>
      </c>
      <c r="DG156" s="138">
        <v>0</v>
      </c>
      <c r="DH156" s="138">
        <v>0</v>
      </c>
      <c r="DI156" s="138">
        <v>0</v>
      </c>
      <c r="DJ156" s="138">
        <v>0</v>
      </c>
      <c r="DK156" s="138">
        <v>0</v>
      </c>
      <c r="DL156" s="138">
        <v>0</v>
      </c>
      <c r="DM156" s="138">
        <v>0</v>
      </c>
      <c r="DN156" s="138">
        <v>0</v>
      </c>
      <c r="DO156" s="86">
        <v>0</v>
      </c>
      <c r="DP156" s="138">
        <v>0</v>
      </c>
      <c r="DQ156" s="138">
        <v>0</v>
      </c>
      <c r="DR156" s="138">
        <v>0</v>
      </c>
      <c r="DS156" s="138">
        <v>0</v>
      </c>
      <c r="DT156" s="138">
        <v>0</v>
      </c>
      <c r="DU156" s="138">
        <v>0</v>
      </c>
      <c r="DV156" s="138">
        <v>0</v>
      </c>
      <c r="DW156" s="138">
        <v>0</v>
      </c>
      <c r="DX156" s="138">
        <v>0</v>
      </c>
      <c r="DY156" s="138">
        <v>0</v>
      </c>
      <c r="DZ156" s="138">
        <v>0</v>
      </c>
      <c r="EA156" s="138">
        <v>0</v>
      </c>
      <c r="EB156" s="85">
        <v>0</v>
      </c>
      <c r="EC156" s="87">
        <v>0</v>
      </c>
      <c r="ED156" s="85">
        <v>0</v>
      </c>
      <c r="EE156" s="85">
        <v>0</v>
      </c>
      <c r="EF156" s="85">
        <v>0</v>
      </c>
      <c r="EG156" s="85">
        <v>0</v>
      </c>
      <c r="EH156" s="85">
        <v>0</v>
      </c>
      <c r="EI156" s="85">
        <v>0</v>
      </c>
      <c r="EJ156" s="85">
        <v>0</v>
      </c>
      <c r="EK156" s="85">
        <v>0</v>
      </c>
      <c r="EL156" s="85">
        <v>0</v>
      </c>
      <c r="EM156" s="85">
        <v>0</v>
      </c>
      <c r="EN156" s="85">
        <v>0</v>
      </c>
      <c r="EO156" s="152">
        <v>0</v>
      </c>
      <c r="EP156" s="85">
        <v>0</v>
      </c>
      <c r="EQ156" s="85">
        <v>0</v>
      </c>
      <c r="ER156" s="85">
        <v>0</v>
      </c>
      <c r="ES156" s="85">
        <v>0</v>
      </c>
      <c r="ET156" s="85">
        <v>0</v>
      </c>
      <c r="EU156" s="85">
        <v>0</v>
      </c>
      <c r="EV156" s="85">
        <v>0</v>
      </c>
      <c r="EW156" s="85">
        <v>0</v>
      </c>
      <c r="EX156" s="85">
        <v>0</v>
      </c>
      <c r="EY156" s="85">
        <v>0</v>
      </c>
      <c r="EZ156" s="85">
        <v>0</v>
      </c>
      <c r="FA156" s="85">
        <v>0</v>
      </c>
      <c r="FB156" s="85">
        <v>0</v>
      </c>
      <c r="FC156" s="87">
        <v>0</v>
      </c>
      <c r="FD156" s="85">
        <v>0</v>
      </c>
      <c r="FE156" s="85">
        <v>0</v>
      </c>
      <c r="FF156" s="85">
        <v>0</v>
      </c>
      <c r="FG156" s="85">
        <v>0</v>
      </c>
      <c r="FH156" s="85">
        <v>0</v>
      </c>
      <c r="FI156" s="85">
        <v>0</v>
      </c>
      <c r="FJ156" s="85">
        <v>0</v>
      </c>
      <c r="FK156" s="85">
        <v>0</v>
      </c>
      <c r="FL156" s="85">
        <v>0</v>
      </c>
      <c r="FM156" s="85">
        <v>0</v>
      </c>
      <c r="FN156" s="85">
        <v>0</v>
      </c>
      <c r="FO156" s="86">
        <v>0</v>
      </c>
      <c r="FP156" s="87">
        <v>0</v>
      </c>
      <c r="FQ156" s="85">
        <v>0</v>
      </c>
      <c r="FR156" s="85">
        <v>0</v>
      </c>
      <c r="FS156" s="85">
        <v>0</v>
      </c>
      <c r="FT156" s="85">
        <v>0</v>
      </c>
      <c r="FU156" s="85">
        <v>0</v>
      </c>
      <c r="FV156" s="85">
        <v>0</v>
      </c>
      <c r="FW156" s="85">
        <v>0</v>
      </c>
      <c r="FX156" s="85">
        <v>0</v>
      </c>
      <c r="FY156" s="85">
        <v>0</v>
      </c>
      <c r="FZ156" s="85">
        <v>0</v>
      </c>
      <c r="GA156" s="85">
        <v>0</v>
      </c>
      <c r="GB156" s="152">
        <v>0</v>
      </c>
      <c r="GD156" s="153"/>
    </row>
    <row r="157" spans="1:186">
      <c r="A157" s="137" t="s">
        <v>328</v>
      </c>
      <c r="B157" s="151">
        <v>0</v>
      </c>
      <c r="C157" s="138">
        <f t="shared" si="37"/>
        <v>0</v>
      </c>
      <c r="D157" s="138">
        <f t="shared" si="26"/>
        <v>0</v>
      </c>
      <c r="E157" s="138">
        <f t="shared" si="27"/>
        <v>0</v>
      </c>
      <c r="F157" s="138">
        <f t="shared" si="28"/>
        <v>0</v>
      </c>
      <c r="G157" s="138">
        <f t="shared" si="29"/>
        <v>0</v>
      </c>
      <c r="H157" s="138">
        <f t="shared" si="30"/>
        <v>0</v>
      </c>
      <c r="I157" s="138">
        <f t="shared" si="31"/>
        <v>0</v>
      </c>
      <c r="J157" s="138">
        <f t="shared" si="32"/>
        <v>0</v>
      </c>
      <c r="K157" s="138">
        <f t="shared" si="33"/>
        <v>0</v>
      </c>
      <c r="L157" s="138">
        <f t="shared" si="34"/>
        <v>0</v>
      </c>
      <c r="M157" s="138">
        <f t="shared" si="35"/>
        <v>0</v>
      </c>
      <c r="N157" s="138">
        <f t="shared" si="36"/>
        <v>0</v>
      </c>
      <c r="O157" s="86">
        <f t="shared" si="38"/>
        <v>0</v>
      </c>
      <c r="P157" s="138">
        <v>0</v>
      </c>
      <c r="Q157" s="138">
        <v>0</v>
      </c>
      <c r="R157" s="138">
        <v>0</v>
      </c>
      <c r="S157" s="138">
        <v>0</v>
      </c>
      <c r="T157" s="138">
        <v>0</v>
      </c>
      <c r="U157" s="138">
        <v>0</v>
      </c>
      <c r="V157" s="138">
        <v>0</v>
      </c>
      <c r="W157" s="138">
        <v>0</v>
      </c>
      <c r="X157" s="138">
        <v>0</v>
      </c>
      <c r="Y157" s="138">
        <v>0</v>
      </c>
      <c r="Z157" s="138">
        <v>0</v>
      </c>
      <c r="AA157" s="138">
        <v>0</v>
      </c>
      <c r="AB157" s="86">
        <v>0</v>
      </c>
      <c r="AC157" s="138">
        <v>0</v>
      </c>
      <c r="AD157" s="138">
        <v>0</v>
      </c>
      <c r="AE157" s="138">
        <v>0</v>
      </c>
      <c r="AF157" s="138">
        <v>0</v>
      </c>
      <c r="AG157" s="138">
        <v>0</v>
      </c>
      <c r="AH157" s="138">
        <v>0</v>
      </c>
      <c r="AI157" s="138">
        <v>0</v>
      </c>
      <c r="AJ157" s="138">
        <v>0</v>
      </c>
      <c r="AK157" s="138">
        <v>0</v>
      </c>
      <c r="AL157" s="138">
        <v>0</v>
      </c>
      <c r="AM157" s="138">
        <v>0</v>
      </c>
      <c r="AN157" s="138">
        <v>0</v>
      </c>
      <c r="AO157" s="86">
        <v>0</v>
      </c>
      <c r="AP157" s="138">
        <v>0</v>
      </c>
      <c r="AQ157" s="138">
        <v>0</v>
      </c>
      <c r="AR157" s="138">
        <v>0</v>
      </c>
      <c r="AS157" s="138">
        <v>0</v>
      </c>
      <c r="AT157" s="138">
        <v>0</v>
      </c>
      <c r="AU157" s="138">
        <v>0</v>
      </c>
      <c r="AV157" s="138">
        <v>0</v>
      </c>
      <c r="AW157" s="138">
        <v>0</v>
      </c>
      <c r="AX157" s="138">
        <v>0</v>
      </c>
      <c r="AY157" s="138">
        <v>0</v>
      </c>
      <c r="AZ157" s="138">
        <v>0</v>
      </c>
      <c r="BA157" s="138">
        <v>0</v>
      </c>
      <c r="BB157" s="86">
        <v>0</v>
      </c>
      <c r="BC157" s="138">
        <v>0</v>
      </c>
      <c r="BD157" s="138">
        <v>0</v>
      </c>
      <c r="BE157" s="138">
        <v>0</v>
      </c>
      <c r="BF157" s="138">
        <v>0</v>
      </c>
      <c r="BG157" s="138">
        <v>0</v>
      </c>
      <c r="BH157" s="138">
        <v>0</v>
      </c>
      <c r="BI157" s="138">
        <v>0</v>
      </c>
      <c r="BJ157" s="138">
        <v>0</v>
      </c>
      <c r="BK157" s="138">
        <v>0</v>
      </c>
      <c r="BL157" s="138">
        <v>0</v>
      </c>
      <c r="BM157" s="138">
        <v>0</v>
      </c>
      <c r="BN157" s="138">
        <v>0</v>
      </c>
      <c r="BO157" s="86">
        <v>0</v>
      </c>
      <c r="BP157" s="138">
        <v>0</v>
      </c>
      <c r="BQ157" s="138">
        <v>0</v>
      </c>
      <c r="BR157" s="138">
        <v>0</v>
      </c>
      <c r="BS157" s="138">
        <v>0</v>
      </c>
      <c r="BT157" s="138">
        <v>0</v>
      </c>
      <c r="BU157" s="138">
        <v>0</v>
      </c>
      <c r="BV157" s="138">
        <v>0</v>
      </c>
      <c r="BW157" s="138">
        <v>0</v>
      </c>
      <c r="BX157" s="138">
        <v>0</v>
      </c>
      <c r="BY157" s="138">
        <v>0</v>
      </c>
      <c r="BZ157" s="138">
        <v>0</v>
      </c>
      <c r="CA157" s="138">
        <v>0</v>
      </c>
      <c r="CB157" s="86">
        <v>0</v>
      </c>
      <c r="CC157" s="138">
        <v>0</v>
      </c>
      <c r="CD157" s="138">
        <v>0</v>
      </c>
      <c r="CE157" s="138">
        <v>0</v>
      </c>
      <c r="CF157" s="138">
        <v>0</v>
      </c>
      <c r="CG157" s="138">
        <v>0</v>
      </c>
      <c r="CH157" s="138">
        <v>0</v>
      </c>
      <c r="CI157" s="138">
        <v>0</v>
      </c>
      <c r="CJ157" s="138">
        <v>0</v>
      </c>
      <c r="CK157" s="138">
        <v>0</v>
      </c>
      <c r="CL157" s="138">
        <v>0</v>
      </c>
      <c r="CM157" s="138">
        <v>0</v>
      </c>
      <c r="CN157" s="138">
        <v>0</v>
      </c>
      <c r="CO157" s="86">
        <v>0</v>
      </c>
      <c r="CP157" s="138">
        <v>0</v>
      </c>
      <c r="CQ157" s="138">
        <v>0</v>
      </c>
      <c r="CR157" s="138">
        <v>0</v>
      </c>
      <c r="CS157" s="138">
        <v>0</v>
      </c>
      <c r="CT157" s="138">
        <v>0</v>
      </c>
      <c r="CU157" s="138">
        <v>0</v>
      </c>
      <c r="CV157" s="138">
        <v>0</v>
      </c>
      <c r="CW157" s="138">
        <v>0</v>
      </c>
      <c r="CX157" s="138">
        <v>0</v>
      </c>
      <c r="CY157" s="138">
        <v>0</v>
      </c>
      <c r="CZ157" s="138">
        <v>0</v>
      </c>
      <c r="DA157" s="138">
        <v>0</v>
      </c>
      <c r="DB157" s="86">
        <v>0</v>
      </c>
      <c r="DC157" s="138">
        <v>0</v>
      </c>
      <c r="DD157" s="138">
        <v>0</v>
      </c>
      <c r="DE157" s="138">
        <v>0</v>
      </c>
      <c r="DF157" s="138">
        <v>0</v>
      </c>
      <c r="DG157" s="138">
        <v>0</v>
      </c>
      <c r="DH157" s="138">
        <v>0</v>
      </c>
      <c r="DI157" s="138">
        <v>0</v>
      </c>
      <c r="DJ157" s="138">
        <v>0</v>
      </c>
      <c r="DK157" s="138">
        <v>0</v>
      </c>
      <c r="DL157" s="138">
        <v>0</v>
      </c>
      <c r="DM157" s="138">
        <v>0</v>
      </c>
      <c r="DN157" s="138">
        <v>0</v>
      </c>
      <c r="DO157" s="86">
        <v>0</v>
      </c>
      <c r="DP157" s="138">
        <v>0</v>
      </c>
      <c r="DQ157" s="138">
        <v>0</v>
      </c>
      <c r="DR157" s="138">
        <v>0</v>
      </c>
      <c r="DS157" s="138">
        <v>0</v>
      </c>
      <c r="DT157" s="138">
        <v>0</v>
      </c>
      <c r="DU157" s="138">
        <v>0</v>
      </c>
      <c r="DV157" s="138">
        <v>0</v>
      </c>
      <c r="DW157" s="138">
        <v>0</v>
      </c>
      <c r="DX157" s="138">
        <v>0</v>
      </c>
      <c r="DY157" s="138">
        <v>0</v>
      </c>
      <c r="DZ157" s="138">
        <v>0</v>
      </c>
      <c r="EA157" s="138">
        <v>0</v>
      </c>
      <c r="EB157" s="85">
        <v>0</v>
      </c>
      <c r="EC157" s="87">
        <v>0</v>
      </c>
      <c r="ED157" s="85">
        <v>0</v>
      </c>
      <c r="EE157" s="85">
        <v>0</v>
      </c>
      <c r="EF157" s="85">
        <v>0</v>
      </c>
      <c r="EG157" s="85">
        <v>0</v>
      </c>
      <c r="EH157" s="85">
        <v>0</v>
      </c>
      <c r="EI157" s="85">
        <v>0</v>
      </c>
      <c r="EJ157" s="85">
        <v>0</v>
      </c>
      <c r="EK157" s="85">
        <v>0</v>
      </c>
      <c r="EL157" s="85">
        <v>0</v>
      </c>
      <c r="EM157" s="85">
        <v>0</v>
      </c>
      <c r="EN157" s="85">
        <v>0</v>
      </c>
      <c r="EO157" s="152">
        <v>0</v>
      </c>
      <c r="EP157" s="85">
        <v>0</v>
      </c>
      <c r="EQ157" s="85">
        <v>0</v>
      </c>
      <c r="ER157" s="85">
        <v>0</v>
      </c>
      <c r="ES157" s="85">
        <v>0</v>
      </c>
      <c r="ET157" s="85">
        <v>0</v>
      </c>
      <c r="EU157" s="85">
        <v>0</v>
      </c>
      <c r="EV157" s="85">
        <v>0</v>
      </c>
      <c r="EW157" s="85">
        <v>0</v>
      </c>
      <c r="EX157" s="85">
        <v>0</v>
      </c>
      <c r="EY157" s="85">
        <v>0</v>
      </c>
      <c r="EZ157" s="85">
        <v>0</v>
      </c>
      <c r="FA157" s="85">
        <v>0</v>
      </c>
      <c r="FB157" s="85">
        <v>0</v>
      </c>
      <c r="FC157" s="87">
        <v>0</v>
      </c>
      <c r="FD157" s="85">
        <v>0</v>
      </c>
      <c r="FE157" s="85">
        <v>0</v>
      </c>
      <c r="FF157" s="85">
        <v>0</v>
      </c>
      <c r="FG157" s="85">
        <v>0</v>
      </c>
      <c r="FH157" s="85">
        <v>0</v>
      </c>
      <c r="FI157" s="85">
        <v>0</v>
      </c>
      <c r="FJ157" s="85">
        <v>0</v>
      </c>
      <c r="FK157" s="85">
        <v>0</v>
      </c>
      <c r="FL157" s="85">
        <v>0</v>
      </c>
      <c r="FM157" s="85">
        <v>0</v>
      </c>
      <c r="FN157" s="85">
        <v>0</v>
      </c>
      <c r="FO157" s="86">
        <v>0</v>
      </c>
      <c r="FP157" s="87">
        <v>0</v>
      </c>
      <c r="FQ157" s="85">
        <v>0</v>
      </c>
      <c r="FR157" s="85">
        <v>0</v>
      </c>
      <c r="FS157" s="85">
        <v>0</v>
      </c>
      <c r="FT157" s="85">
        <v>0</v>
      </c>
      <c r="FU157" s="85">
        <v>0</v>
      </c>
      <c r="FV157" s="85">
        <v>0</v>
      </c>
      <c r="FW157" s="85">
        <v>0</v>
      </c>
      <c r="FX157" s="85">
        <v>0</v>
      </c>
      <c r="FY157" s="85">
        <v>0</v>
      </c>
      <c r="FZ157" s="85">
        <v>0</v>
      </c>
      <c r="GA157" s="85">
        <v>0</v>
      </c>
      <c r="GB157" s="152">
        <v>0</v>
      </c>
      <c r="GD157" s="153"/>
    </row>
    <row r="158" spans="1:186">
      <c r="A158" s="137" t="s">
        <v>329</v>
      </c>
      <c r="B158" s="151">
        <v>0</v>
      </c>
      <c r="C158" s="138">
        <f t="shared" si="37"/>
        <v>0</v>
      </c>
      <c r="D158" s="138">
        <f t="shared" si="26"/>
        <v>0</v>
      </c>
      <c r="E158" s="138">
        <f t="shared" si="27"/>
        <v>0</v>
      </c>
      <c r="F158" s="138">
        <f t="shared" si="28"/>
        <v>0</v>
      </c>
      <c r="G158" s="138">
        <f t="shared" si="29"/>
        <v>0</v>
      </c>
      <c r="H158" s="138">
        <f t="shared" si="30"/>
        <v>0</v>
      </c>
      <c r="I158" s="138">
        <f t="shared" si="31"/>
        <v>0</v>
      </c>
      <c r="J158" s="138">
        <f t="shared" si="32"/>
        <v>0</v>
      </c>
      <c r="K158" s="138">
        <f t="shared" si="33"/>
        <v>0</v>
      </c>
      <c r="L158" s="138">
        <f t="shared" si="34"/>
        <v>0</v>
      </c>
      <c r="M158" s="138">
        <f t="shared" si="35"/>
        <v>0</v>
      </c>
      <c r="N158" s="138">
        <f t="shared" si="36"/>
        <v>0</v>
      </c>
      <c r="O158" s="86">
        <f t="shared" si="38"/>
        <v>0</v>
      </c>
      <c r="P158" s="138">
        <v>0</v>
      </c>
      <c r="Q158" s="138">
        <v>0</v>
      </c>
      <c r="R158" s="138">
        <v>0</v>
      </c>
      <c r="S158" s="138">
        <v>0</v>
      </c>
      <c r="T158" s="138">
        <v>0</v>
      </c>
      <c r="U158" s="138">
        <v>0</v>
      </c>
      <c r="V158" s="138">
        <v>0</v>
      </c>
      <c r="W158" s="138">
        <v>0</v>
      </c>
      <c r="X158" s="138">
        <v>0</v>
      </c>
      <c r="Y158" s="138">
        <v>0</v>
      </c>
      <c r="Z158" s="138">
        <v>0</v>
      </c>
      <c r="AA158" s="138">
        <v>0</v>
      </c>
      <c r="AB158" s="86">
        <v>0</v>
      </c>
      <c r="AC158" s="138">
        <v>0</v>
      </c>
      <c r="AD158" s="138">
        <v>0</v>
      </c>
      <c r="AE158" s="138">
        <v>0</v>
      </c>
      <c r="AF158" s="138">
        <v>0</v>
      </c>
      <c r="AG158" s="138">
        <v>0</v>
      </c>
      <c r="AH158" s="138">
        <v>0</v>
      </c>
      <c r="AI158" s="138">
        <v>0</v>
      </c>
      <c r="AJ158" s="138">
        <v>0</v>
      </c>
      <c r="AK158" s="138">
        <v>0</v>
      </c>
      <c r="AL158" s="138">
        <v>0</v>
      </c>
      <c r="AM158" s="138">
        <v>0</v>
      </c>
      <c r="AN158" s="138">
        <v>0</v>
      </c>
      <c r="AO158" s="86">
        <v>0</v>
      </c>
      <c r="AP158" s="138">
        <v>0</v>
      </c>
      <c r="AQ158" s="138">
        <v>0</v>
      </c>
      <c r="AR158" s="138">
        <v>0</v>
      </c>
      <c r="AS158" s="138">
        <v>0</v>
      </c>
      <c r="AT158" s="138">
        <v>0</v>
      </c>
      <c r="AU158" s="138">
        <v>0</v>
      </c>
      <c r="AV158" s="138">
        <v>0</v>
      </c>
      <c r="AW158" s="138">
        <v>0</v>
      </c>
      <c r="AX158" s="138">
        <v>0</v>
      </c>
      <c r="AY158" s="138">
        <v>0</v>
      </c>
      <c r="AZ158" s="138">
        <v>0</v>
      </c>
      <c r="BA158" s="138">
        <v>0</v>
      </c>
      <c r="BB158" s="86">
        <v>0</v>
      </c>
      <c r="BC158" s="138">
        <v>0</v>
      </c>
      <c r="BD158" s="138">
        <v>0</v>
      </c>
      <c r="BE158" s="138">
        <v>0</v>
      </c>
      <c r="BF158" s="138">
        <v>0</v>
      </c>
      <c r="BG158" s="138">
        <v>0</v>
      </c>
      <c r="BH158" s="138">
        <v>0</v>
      </c>
      <c r="BI158" s="138">
        <v>0</v>
      </c>
      <c r="BJ158" s="138">
        <v>0</v>
      </c>
      <c r="BK158" s="138">
        <v>0</v>
      </c>
      <c r="BL158" s="138">
        <v>0</v>
      </c>
      <c r="BM158" s="138">
        <v>0</v>
      </c>
      <c r="BN158" s="138">
        <v>0</v>
      </c>
      <c r="BO158" s="86">
        <v>0</v>
      </c>
      <c r="BP158" s="138">
        <v>0</v>
      </c>
      <c r="BQ158" s="138">
        <v>0</v>
      </c>
      <c r="BR158" s="138">
        <v>0</v>
      </c>
      <c r="BS158" s="138">
        <v>0</v>
      </c>
      <c r="BT158" s="138">
        <v>0</v>
      </c>
      <c r="BU158" s="138">
        <v>0</v>
      </c>
      <c r="BV158" s="138">
        <v>0</v>
      </c>
      <c r="BW158" s="138">
        <v>0</v>
      </c>
      <c r="BX158" s="138">
        <v>0</v>
      </c>
      <c r="BY158" s="138">
        <v>0</v>
      </c>
      <c r="BZ158" s="138">
        <v>0</v>
      </c>
      <c r="CA158" s="138">
        <v>0</v>
      </c>
      <c r="CB158" s="86">
        <v>0</v>
      </c>
      <c r="CC158" s="138">
        <v>0</v>
      </c>
      <c r="CD158" s="138">
        <v>0</v>
      </c>
      <c r="CE158" s="138">
        <v>0</v>
      </c>
      <c r="CF158" s="138">
        <v>0</v>
      </c>
      <c r="CG158" s="138">
        <v>0</v>
      </c>
      <c r="CH158" s="138">
        <v>0</v>
      </c>
      <c r="CI158" s="138">
        <v>0</v>
      </c>
      <c r="CJ158" s="138">
        <v>0</v>
      </c>
      <c r="CK158" s="138">
        <v>0</v>
      </c>
      <c r="CL158" s="138">
        <v>0</v>
      </c>
      <c r="CM158" s="138">
        <v>0</v>
      </c>
      <c r="CN158" s="138">
        <v>0</v>
      </c>
      <c r="CO158" s="86">
        <v>0</v>
      </c>
      <c r="CP158" s="138">
        <v>0</v>
      </c>
      <c r="CQ158" s="138">
        <v>0</v>
      </c>
      <c r="CR158" s="138">
        <v>0</v>
      </c>
      <c r="CS158" s="138">
        <v>0</v>
      </c>
      <c r="CT158" s="138">
        <v>0</v>
      </c>
      <c r="CU158" s="138">
        <v>0</v>
      </c>
      <c r="CV158" s="138">
        <v>0</v>
      </c>
      <c r="CW158" s="138">
        <v>0</v>
      </c>
      <c r="CX158" s="138">
        <v>0</v>
      </c>
      <c r="CY158" s="138">
        <v>0</v>
      </c>
      <c r="CZ158" s="138">
        <v>0</v>
      </c>
      <c r="DA158" s="138">
        <v>0</v>
      </c>
      <c r="DB158" s="86">
        <v>0</v>
      </c>
      <c r="DC158" s="138">
        <v>0</v>
      </c>
      <c r="DD158" s="138">
        <v>0</v>
      </c>
      <c r="DE158" s="138">
        <v>0</v>
      </c>
      <c r="DF158" s="138">
        <v>0</v>
      </c>
      <c r="DG158" s="138">
        <v>0</v>
      </c>
      <c r="DH158" s="138">
        <v>0</v>
      </c>
      <c r="DI158" s="138">
        <v>0</v>
      </c>
      <c r="DJ158" s="138">
        <v>0</v>
      </c>
      <c r="DK158" s="138">
        <v>0</v>
      </c>
      <c r="DL158" s="138">
        <v>0</v>
      </c>
      <c r="DM158" s="138">
        <v>0</v>
      </c>
      <c r="DN158" s="138">
        <v>0</v>
      </c>
      <c r="DO158" s="86">
        <v>0</v>
      </c>
      <c r="DP158" s="138">
        <v>0</v>
      </c>
      <c r="DQ158" s="138">
        <v>0</v>
      </c>
      <c r="DR158" s="138">
        <v>0</v>
      </c>
      <c r="DS158" s="138">
        <v>0</v>
      </c>
      <c r="DT158" s="138">
        <v>0</v>
      </c>
      <c r="DU158" s="138">
        <v>0</v>
      </c>
      <c r="DV158" s="138">
        <v>0</v>
      </c>
      <c r="DW158" s="138">
        <v>0</v>
      </c>
      <c r="DX158" s="138">
        <v>0</v>
      </c>
      <c r="DY158" s="138">
        <v>0</v>
      </c>
      <c r="DZ158" s="138">
        <v>0</v>
      </c>
      <c r="EA158" s="138">
        <v>0</v>
      </c>
      <c r="EB158" s="85">
        <v>0</v>
      </c>
      <c r="EC158" s="87">
        <v>0</v>
      </c>
      <c r="ED158" s="85">
        <v>0</v>
      </c>
      <c r="EE158" s="85">
        <v>0</v>
      </c>
      <c r="EF158" s="85">
        <v>0</v>
      </c>
      <c r="EG158" s="85">
        <v>0</v>
      </c>
      <c r="EH158" s="85">
        <v>0</v>
      </c>
      <c r="EI158" s="85">
        <v>0</v>
      </c>
      <c r="EJ158" s="85">
        <v>0</v>
      </c>
      <c r="EK158" s="85">
        <v>0</v>
      </c>
      <c r="EL158" s="85">
        <v>0</v>
      </c>
      <c r="EM158" s="85">
        <v>0</v>
      </c>
      <c r="EN158" s="85">
        <v>0</v>
      </c>
      <c r="EO158" s="152">
        <v>0</v>
      </c>
      <c r="EP158" s="85">
        <v>0</v>
      </c>
      <c r="EQ158" s="85">
        <v>0</v>
      </c>
      <c r="ER158" s="85">
        <v>0</v>
      </c>
      <c r="ES158" s="85">
        <v>0</v>
      </c>
      <c r="ET158" s="85">
        <v>0</v>
      </c>
      <c r="EU158" s="85">
        <v>0</v>
      </c>
      <c r="EV158" s="85">
        <v>0</v>
      </c>
      <c r="EW158" s="85">
        <v>0</v>
      </c>
      <c r="EX158" s="85">
        <v>0</v>
      </c>
      <c r="EY158" s="85">
        <v>0</v>
      </c>
      <c r="EZ158" s="85">
        <v>0</v>
      </c>
      <c r="FA158" s="85">
        <v>0</v>
      </c>
      <c r="FB158" s="85">
        <v>0</v>
      </c>
      <c r="FC158" s="87">
        <v>0</v>
      </c>
      <c r="FD158" s="85">
        <v>0</v>
      </c>
      <c r="FE158" s="85">
        <v>0</v>
      </c>
      <c r="FF158" s="85">
        <v>0</v>
      </c>
      <c r="FG158" s="85">
        <v>0</v>
      </c>
      <c r="FH158" s="85">
        <v>0</v>
      </c>
      <c r="FI158" s="85">
        <v>0</v>
      </c>
      <c r="FJ158" s="85">
        <v>0</v>
      </c>
      <c r="FK158" s="85">
        <v>0</v>
      </c>
      <c r="FL158" s="85">
        <v>0</v>
      </c>
      <c r="FM158" s="85">
        <v>0</v>
      </c>
      <c r="FN158" s="85">
        <v>0</v>
      </c>
      <c r="FO158" s="86">
        <v>0</v>
      </c>
      <c r="FP158" s="87">
        <v>0</v>
      </c>
      <c r="FQ158" s="85">
        <v>0</v>
      </c>
      <c r="FR158" s="85">
        <v>0</v>
      </c>
      <c r="FS158" s="85">
        <v>0</v>
      </c>
      <c r="FT158" s="85">
        <v>0</v>
      </c>
      <c r="FU158" s="85">
        <v>0</v>
      </c>
      <c r="FV158" s="85">
        <v>0</v>
      </c>
      <c r="FW158" s="85">
        <v>0</v>
      </c>
      <c r="FX158" s="85">
        <v>0</v>
      </c>
      <c r="FY158" s="85">
        <v>0</v>
      </c>
      <c r="FZ158" s="85">
        <v>0</v>
      </c>
      <c r="GA158" s="85">
        <v>0</v>
      </c>
      <c r="GB158" s="152">
        <v>0</v>
      </c>
      <c r="GD158" s="153"/>
    </row>
    <row r="159" spans="1:186">
      <c r="A159" s="137" t="s">
        <v>330</v>
      </c>
      <c r="B159" s="151">
        <v>0</v>
      </c>
      <c r="C159" s="138">
        <f t="shared" si="37"/>
        <v>0</v>
      </c>
      <c r="D159" s="138">
        <f t="shared" si="26"/>
        <v>0</v>
      </c>
      <c r="E159" s="138">
        <f t="shared" si="27"/>
        <v>0</v>
      </c>
      <c r="F159" s="138">
        <f t="shared" si="28"/>
        <v>0</v>
      </c>
      <c r="G159" s="138">
        <f t="shared" si="29"/>
        <v>0</v>
      </c>
      <c r="H159" s="138">
        <f t="shared" si="30"/>
        <v>0</v>
      </c>
      <c r="I159" s="138">
        <f t="shared" si="31"/>
        <v>0</v>
      </c>
      <c r="J159" s="138">
        <f t="shared" si="32"/>
        <v>0</v>
      </c>
      <c r="K159" s="138">
        <f t="shared" si="33"/>
        <v>0</v>
      </c>
      <c r="L159" s="138">
        <f t="shared" si="34"/>
        <v>0</v>
      </c>
      <c r="M159" s="138">
        <f t="shared" si="35"/>
        <v>0</v>
      </c>
      <c r="N159" s="138">
        <f t="shared" si="36"/>
        <v>0</v>
      </c>
      <c r="O159" s="86">
        <f t="shared" si="38"/>
        <v>0</v>
      </c>
      <c r="P159" s="138">
        <v>0</v>
      </c>
      <c r="Q159" s="138">
        <v>0</v>
      </c>
      <c r="R159" s="138">
        <v>0</v>
      </c>
      <c r="S159" s="138">
        <v>0</v>
      </c>
      <c r="T159" s="138">
        <v>0</v>
      </c>
      <c r="U159" s="138">
        <v>0</v>
      </c>
      <c r="V159" s="138">
        <v>0</v>
      </c>
      <c r="W159" s="138">
        <v>0</v>
      </c>
      <c r="X159" s="138">
        <v>0</v>
      </c>
      <c r="Y159" s="138">
        <v>0</v>
      </c>
      <c r="Z159" s="138">
        <v>0</v>
      </c>
      <c r="AA159" s="138">
        <v>0</v>
      </c>
      <c r="AB159" s="86">
        <v>0</v>
      </c>
      <c r="AC159" s="138">
        <v>0</v>
      </c>
      <c r="AD159" s="138">
        <v>0</v>
      </c>
      <c r="AE159" s="138">
        <v>0</v>
      </c>
      <c r="AF159" s="138">
        <v>0</v>
      </c>
      <c r="AG159" s="138">
        <v>0</v>
      </c>
      <c r="AH159" s="138">
        <v>0</v>
      </c>
      <c r="AI159" s="138">
        <v>0</v>
      </c>
      <c r="AJ159" s="138">
        <v>0</v>
      </c>
      <c r="AK159" s="138">
        <v>0</v>
      </c>
      <c r="AL159" s="138">
        <v>0</v>
      </c>
      <c r="AM159" s="138">
        <v>0</v>
      </c>
      <c r="AN159" s="138">
        <v>0</v>
      </c>
      <c r="AO159" s="86">
        <v>0</v>
      </c>
      <c r="AP159" s="138">
        <v>0</v>
      </c>
      <c r="AQ159" s="138">
        <v>0</v>
      </c>
      <c r="AR159" s="138">
        <v>0</v>
      </c>
      <c r="AS159" s="138">
        <v>0</v>
      </c>
      <c r="AT159" s="138">
        <v>0</v>
      </c>
      <c r="AU159" s="138">
        <v>0</v>
      </c>
      <c r="AV159" s="138">
        <v>0</v>
      </c>
      <c r="AW159" s="138">
        <v>0</v>
      </c>
      <c r="AX159" s="138">
        <v>0</v>
      </c>
      <c r="AY159" s="138">
        <v>0</v>
      </c>
      <c r="AZ159" s="138">
        <v>0</v>
      </c>
      <c r="BA159" s="138">
        <v>0</v>
      </c>
      <c r="BB159" s="86">
        <v>0</v>
      </c>
      <c r="BC159" s="138">
        <v>0</v>
      </c>
      <c r="BD159" s="138">
        <v>0</v>
      </c>
      <c r="BE159" s="138">
        <v>0</v>
      </c>
      <c r="BF159" s="138">
        <v>0</v>
      </c>
      <c r="BG159" s="138">
        <v>0</v>
      </c>
      <c r="BH159" s="138">
        <v>0</v>
      </c>
      <c r="BI159" s="138">
        <v>0</v>
      </c>
      <c r="BJ159" s="138">
        <v>0</v>
      </c>
      <c r="BK159" s="138">
        <v>0</v>
      </c>
      <c r="BL159" s="138">
        <v>0</v>
      </c>
      <c r="BM159" s="138">
        <v>0</v>
      </c>
      <c r="BN159" s="138">
        <v>0</v>
      </c>
      <c r="BO159" s="86">
        <v>0</v>
      </c>
      <c r="BP159" s="138">
        <v>0</v>
      </c>
      <c r="BQ159" s="138">
        <v>0</v>
      </c>
      <c r="BR159" s="138">
        <v>0</v>
      </c>
      <c r="BS159" s="138">
        <v>0</v>
      </c>
      <c r="BT159" s="138">
        <v>0</v>
      </c>
      <c r="BU159" s="138">
        <v>0</v>
      </c>
      <c r="BV159" s="138">
        <v>0</v>
      </c>
      <c r="BW159" s="138">
        <v>0</v>
      </c>
      <c r="BX159" s="138">
        <v>0</v>
      </c>
      <c r="BY159" s="138">
        <v>0</v>
      </c>
      <c r="BZ159" s="138">
        <v>0</v>
      </c>
      <c r="CA159" s="138">
        <v>0</v>
      </c>
      <c r="CB159" s="86">
        <v>0</v>
      </c>
      <c r="CC159" s="138">
        <v>0</v>
      </c>
      <c r="CD159" s="138">
        <v>0</v>
      </c>
      <c r="CE159" s="138">
        <v>0</v>
      </c>
      <c r="CF159" s="138">
        <v>0</v>
      </c>
      <c r="CG159" s="138">
        <v>0</v>
      </c>
      <c r="CH159" s="138">
        <v>0</v>
      </c>
      <c r="CI159" s="138">
        <v>0</v>
      </c>
      <c r="CJ159" s="138">
        <v>0</v>
      </c>
      <c r="CK159" s="138">
        <v>0</v>
      </c>
      <c r="CL159" s="138">
        <v>0</v>
      </c>
      <c r="CM159" s="138">
        <v>0</v>
      </c>
      <c r="CN159" s="138">
        <v>0</v>
      </c>
      <c r="CO159" s="86">
        <v>0</v>
      </c>
      <c r="CP159" s="138">
        <v>0</v>
      </c>
      <c r="CQ159" s="138">
        <v>0</v>
      </c>
      <c r="CR159" s="138">
        <v>0</v>
      </c>
      <c r="CS159" s="138">
        <v>0</v>
      </c>
      <c r="CT159" s="138">
        <v>0</v>
      </c>
      <c r="CU159" s="138">
        <v>0</v>
      </c>
      <c r="CV159" s="138">
        <v>0</v>
      </c>
      <c r="CW159" s="138">
        <v>0</v>
      </c>
      <c r="CX159" s="138">
        <v>0</v>
      </c>
      <c r="CY159" s="138">
        <v>0</v>
      </c>
      <c r="CZ159" s="138">
        <v>0</v>
      </c>
      <c r="DA159" s="138">
        <v>0</v>
      </c>
      <c r="DB159" s="86">
        <v>0</v>
      </c>
      <c r="DC159" s="138">
        <v>0</v>
      </c>
      <c r="DD159" s="138">
        <v>0</v>
      </c>
      <c r="DE159" s="138">
        <v>0</v>
      </c>
      <c r="DF159" s="138">
        <v>0</v>
      </c>
      <c r="DG159" s="138">
        <v>0</v>
      </c>
      <c r="DH159" s="138">
        <v>0</v>
      </c>
      <c r="DI159" s="138">
        <v>0</v>
      </c>
      <c r="DJ159" s="138">
        <v>0</v>
      </c>
      <c r="DK159" s="138">
        <v>0</v>
      </c>
      <c r="DL159" s="138">
        <v>0</v>
      </c>
      <c r="DM159" s="138">
        <v>0</v>
      </c>
      <c r="DN159" s="138">
        <v>0</v>
      </c>
      <c r="DO159" s="86">
        <v>0</v>
      </c>
      <c r="DP159" s="138">
        <v>0</v>
      </c>
      <c r="DQ159" s="138">
        <v>0</v>
      </c>
      <c r="DR159" s="138">
        <v>0</v>
      </c>
      <c r="DS159" s="138">
        <v>0</v>
      </c>
      <c r="DT159" s="138">
        <v>0</v>
      </c>
      <c r="DU159" s="138">
        <v>0</v>
      </c>
      <c r="DV159" s="138">
        <v>0</v>
      </c>
      <c r="DW159" s="138">
        <v>0</v>
      </c>
      <c r="DX159" s="138">
        <v>0</v>
      </c>
      <c r="DY159" s="138">
        <v>0</v>
      </c>
      <c r="DZ159" s="138">
        <v>0</v>
      </c>
      <c r="EA159" s="138">
        <v>0</v>
      </c>
      <c r="EB159" s="85">
        <v>0</v>
      </c>
      <c r="EC159" s="87">
        <v>0</v>
      </c>
      <c r="ED159" s="85">
        <v>0</v>
      </c>
      <c r="EE159" s="85">
        <v>0</v>
      </c>
      <c r="EF159" s="85">
        <v>0</v>
      </c>
      <c r="EG159" s="85">
        <v>0</v>
      </c>
      <c r="EH159" s="85">
        <v>0</v>
      </c>
      <c r="EI159" s="85">
        <v>0</v>
      </c>
      <c r="EJ159" s="85">
        <v>0</v>
      </c>
      <c r="EK159" s="85">
        <v>0</v>
      </c>
      <c r="EL159" s="85">
        <v>0</v>
      </c>
      <c r="EM159" s="85">
        <v>0</v>
      </c>
      <c r="EN159" s="85">
        <v>0</v>
      </c>
      <c r="EO159" s="152">
        <v>0</v>
      </c>
      <c r="EP159" s="85">
        <v>0</v>
      </c>
      <c r="EQ159" s="85">
        <v>0</v>
      </c>
      <c r="ER159" s="85">
        <v>0</v>
      </c>
      <c r="ES159" s="85">
        <v>0</v>
      </c>
      <c r="ET159" s="85">
        <v>0</v>
      </c>
      <c r="EU159" s="85">
        <v>0</v>
      </c>
      <c r="EV159" s="85">
        <v>0</v>
      </c>
      <c r="EW159" s="85">
        <v>0</v>
      </c>
      <c r="EX159" s="85">
        <v>0</v>
      </c>
      <c r="EY159" s="85">
        <v>0</v>
      </c>
      <c r="EZ159" s="85">
        <v>0</v>
      </c>
      <c r="FA159" s="85">
        <v>0</v>
      </c>
      <c r="FB159" s="85">
        <v>0</v>
      </c>
      <c r="FC159" s="87">
        <v>0</v>
      </c>
      <c r="FD159" s="85">
        <v>0</v>
      </c>
      <c r="FE159" s="85">
        <v>0</v>
      </c>
      <c r="FF159" s="85">
        <v>0</v>
      </c>
      <c r="FG159" s="85">
        <v>0</v>
      </c>
      <c r="FH159" s="85">
        <v>0</v>
      </c>
      <c r="FI159" s="85">
        <v>0</v>
      </c>
      <c r="FJ159" s="85">
        <v>0</v>
      </c>
      <c r="FK159" s="85">
        <v>0</v>
      </c>
      <c r="FL159" s="85">
        <v>0</v>
      </c>
      <c r="FM159" s="85">
        <v>0</v>
      </c>
      <c r="FN159" s="85">
        <v>0</v>
      </c>
      <c r="FO159" s="86">
        <v>0</v>
      </c>
      <c r="FP159" s="87">
        <v>0</v>
      </c>
      <c r="FQ159" s="85">
        <v>0</v>
      </c>
      <c r="FR159" s="85">
        <v>0</v>
      </c>
      <c r="FS159" s="85">
        <v>0</v>
      </c>
      <c r="FT159" s="85">
        <v>0</v>
      </c>
      <c r="FU159" s="85">
        <v>0</v>
      </c>
      <c r="FV159" s="85">
        <v>0</v>
      </c>
      <c r="FW159" s="85">
        <v>0</v>
      </c>
      <c r="FX159" s="85">
        <v>0</v>
      </c>
      <c r="FY159" s="85">
        <v>0</v>
      </c>
      <c r="FZ159" s="85">
        <v>0</v>
      </c>
      <c r="GA159" s="85">
        <v>0</v>
      </c>
      <c r="GB159" s="152">
        <v>0</v>
      </c>
      <c r="GD159" s="153"/>
    </row>
    <row r="160" spans="1:186">
      <c r="A160" s="137" t="s">
        <v>331</v>
      </c>
      <c r="B160" s="151">
        <v>0</v>
      </c>
      <c r="C160" s="138">
        <f t="shared" si="37"/>
        <v>0</v>
      </c>
      <c r="D160" s="138">
        <f t="shared" si="26"/>
        <v>0</v>
      </c>
      <c r="E160" s="138">
        <f t="shared" si="27"/>
        <v>0</v>
      </c>
      <c r="F160" s="138">
        <f t="shared" si="28"/>
        <v>0</v>
      </c>
      <c r="G160" s="138">
        <f t="shared" si="29"/>
        <v>0</v>
      </c>
      <c r="H160" s="138">
        <f t="shared" si="30"/>
        <v>0</v>
      </c>
      <c r="I160" s="138">
        <f t="shared" si="31"/>
        <v>0</v>
      </c>
      <c r="J160" s="138">
        <f t="shared" si="32"/>
        <v>0</v>
      </c>
      <c r="K160" s="138">
        <f t="shared" si="33"/>
        <v>0</v>
      </c>
      <c r="L160" s="138">
        <f t="shared" si="34"/>
        <v>0</v>
      </c>
      <c r="M160" s="138">
        <f t="shared" si="35"/>
        <v>0</v>
      </c>
      <c r="N160" s="138">
        <f t="shared" si="36"/>
        <v>0</v>
      </c>
      <c r="O160" s="86">
        <f t="shared" si="38"/>
        <v>0</v>
      </c>
      <c r="P160" s="138">
        <v>0</v>
      </c>
      <c r="Q160" s="138">
        <v>0</v>
      </c>
      <c r="R160" s="138">
        <v>0</v>
      </c>
      <c r="S160" s="138">
        <v>0</v>
      </c>
      <c r="T160" s="138">
        <v>0</v>
      </c>
      <c r="U160" s="138">
        <v>0</v>
      </c>
      <c r="V160" s="138">
        <v>0</v>
      </c>
      <c r="W160" s="138">
        <v>0</v>
      </c>
      <c r="X160" s="138">
        <v>0</v>
      </c>
      <c r="Y160" s="138">
        <v>0</v>
      </c>
      <c r="Z160" s="138">
        <v>0</v>
      </c>
      <c r="AA160" s="138">
        <v>0</v>
      </c>
      <c r="AB160" s="86">
        <v>0</v>
      </c>
      <c r="AC160" s="138">
        <v>0</v>
      </c>
      <c r="AD160" s="138">
        <v>0</v>
      </c>
      <c r="AE160" s="138">
        <v>0</v>
      </c>
      <c r="AF160" s="138">
        <v>0</v>
      </c>
      <c r="AG160" s="138">
        <v>0</v>
      </c>
      <c r="AH160" s="138">
        <v>0</v>
      </c>
      <c r="AI160" s="138">
        <v>0</v>
      </c>
      <c r="AJ160" s="138">
        <v>0</v>
      </c>
      <c r="AK160" s="138">
        <v>0</v>
      </c>
      <c r="AL160" s="138">
        <v>0</v>
      </c>
      <c r="AM160" s="138">
        <v>0</v>
      </c>
      <c r="AN160" s="138">
        <v>0</v>
      </c>
      <c r="AO160" s="86">
        <v>0</v>
      </c>
      <c r="AP160" s="138">
        <v>0</v>
      </c>
      <c r="AQ160" s="138">
        <v>0</v>
      </c>
      <c r="AR160" s="138">
        <v>0</v>
      </c>
      <c r="AS160" s="138">
        <v>0</v>
      </c>
      <c r="AT160" s="138">
        <v>0</v>
      </c>
      <c r="AU160" s="138">
        <v>0</v>
      </c>
      <c r="AV160" s="138">
        <v>0</v>
      </c>
      <c r="AW160" s="138">
        <v>0</v>
      </c>
      <c r="AX160" s="138">
        <v>0</v>
      </c>
      <c r="AY160" s="138">
        <v>0</v>
      </c>
      <c r="AZ160" s="138">
        <v>0</v>
      </c>
      <c r="BA160" s="138">
        <v>0</v>
      </c>
      <c r="BB160" s="86">
        <v>0</v>
      </c>
      <c r="BC160" s="138">
        <v>0</v>
      </c>
      <c r="BD160" s="138">
        <v>0</v>
      </c>
      <c r="BE160" s="138">
        <v>0</v>
      </c>
      <c r="BF160" s="138">
        <v>0</v>
      </c>
      <c r="BG160" s="138">
        <v>0</v>
      </c>
      <c r="BH160" s="138">
        <v>0</v>
      </c>
      <c r="BI160" s="138">
        <v>0</v>
      </c>
      <c r="BJ160" s="138">
        <v>0</v>
      </c>
      <c r="BK160" s="138">
        <v>0</v>
      </c>
      <c r="BL160" s="138">
        <v>0</v>
      </c>
      <c r="BM160" s="138">
        <v>0</v>
      </c>
      <c r="BN160" s="138">
        <v>0</v>
      </c>
      <c r="BO160" s="86">
        <v>0</v>
      </c>
      <c r="BP160" s="138">
        <v>0</v>
      </c>
      <c r="BQ160" s="138">
        <v>0</v>
      </c>
      <c r="BR160" s="138">
        <v>0</v>
      </c>
      <c r="BS160" s="138">
        <v>0</v>
      </c>
      <c r="BT160" s="138">
        <v>0</v>
      </c>
      <c r="BU160" s="138">
        <v>0</v>
      </c>
      <c r="BV160" s="138">
        <v>0</v>
      </c>
      <c r="BW160" s="138">
        <v>0</v>
      </c>
      <c r="BX160" s="138">
        <v>0</v>
      </c>
      <c r="BY160" s="138">
        <v>0</v>
      </c>
      <c r="BZ160" s="138">
        <v>0</v>
      </c>
      <c r="CA160" s="138">
        <v>0</v>
      </c>
      <c r="CB160" s="86">
        <v>0</v>
      </c>
      <c r="CC160" s="138">
        <v>0</v>
      </c>
      <c r="CD160" s="138">
        <v>0</v>
      </c>
      <c r="CE160" s="138">
        <v>0</v>
      </c>
      <c r="CF160" s="138">
        <v>0</v>
      </c>
      <c r="CG160" s="138">
        <v>0</v>
      </c>
      <c r="CH160" s="138">
        <v>0</v>
      </c>
      <c r="CI160" s="138">
        <v>0</v>
      </c>
      <c r="CJ160" s="138">
        <v>0</v>
      </c>
      <c r="CK160" s="138">
        <v>0</v>
      </c>
      <c r="CL160" s="138">
        <v>0</v>
      </c>
      <c r="CM160" s="138">
        <v>0</v>
      </c>
      <c r="CN160" s="138">
        <v>0</v>
      </c>
      <c r="CO160" s="86">
        <v>0</v>
      </c>
      <c r="CP160" s="138">
        <v>0</v>
      </c>
      <c r="CQ160" s="138">
        <v>0</v>
      </c>
      <c r="CR160" s="138">
        <v>0</v>
      </c>
      <c r="CS160" s="138">
        <v>0</v>
      </c>
      <c r="CT160" s="138">
        <v>0</v>
      </c>
      <c r="CU160" s="138">
        <v>0</v>
      </c>
      <c r="CV160" s="138">
        <v>0</v>
      </c>
      <c r="CW160" s="138">
        <v>0</v>
      </c>
      <c r="CX160" s="138">
        <v>0</v>
      </c>
      <c r="CY160" s="138">
        <v>0</v>
      </c>
      <c r="CZ160" s="138">
        <v>0</v>
      </c>
      <c r="DA160" s="138">
        <v>0</v>
      </c>
      <c r="DB160" s="86">
        <v>0</v>
      </c>
      <c r="DC160" s="138">
        <v>0</v>
      </c>
      <c r="DD160" s="138">
        <v>0</v>
      </c>
      <c r="DE160" s="138">
        <v>0</v>
      </c>
      <c r="DF160" s="138">
        <v>0</v>
      </c>
      <c r="DG160" s="138">
        <v>0</v>
      </c>
      <c r="DH160" s="138">
        <v>0</v>
      </c>
      <c r="DI160" s="138">
        <v>0</v>
      </c>
      <c r="DJ160" s="138">
        <v>0</v>
      </c>
      <c r="DK160" s="138">
        <v>0</v>
      </c>
      <c r="DL160" s="138">
        <v>0</v>
      </c>
      <c r="DM160" s="138">
        <v>0</v>
      </c>
      <c r="DN160" s="138">
        <v>0</v>
      </c>
      <c r="DO160" s="86">
        <v>0</v>
      </c>
      <c r="DP160" s="138">
        <v>0</v>
      </c>
      <c r="DQ160" s="138">
        <v>0</v>
      </c>
      <c r="DR160" s="138">
        <v>0</v>
      </c>
      <c r="DS160" s="138">
        <v>0</v>
      </c>
      <c r="DT160" s="138">
        <v>0</v>
      </c>
      <c r="DU160" s="138">
        <v>0</v>
      </c>
      <c r="DV160" s="138">
        <v>0</v>
      </c>
      <c r="DW160" s="138">
        <v>0</v>
      </c>
      <c r="DX160" s="138">
        <v>0</v>
      </c>
      <c r="DY160" s="138">
        <v>0</v>
      </c>
      <c r="DZ160" s="138">
        <v>0</v>
      </c>
      <c r="EA160" s="138">
        <v>0</v>
      </c>
      <c r="EB160" s="85">
        <v>0</v>
      </c>
      <c r="EC160" s="87">
        <v>0</v>
      </c>
      <c r="ED160" s="85">
        <v>0</v>
      </c>
      <c r="EE160" s="85">
        <v>0</v>
      </c>
      <c r="EF160" s="85">
        <v>0</v>
      </c>
      <c r="EG160" s="85">
        <v>0</v>
      </c>
      <c r="EH160" s="85">
        <v>0</v>
      </c>
      <c r="EI160" s="85">
        <v>0</v>
      </c>
      <c r="EJ160" s="85">
        <v>0</v>
      </c>
      <c r="EK160" s="85">
        <v>0</v>
      </c>
      <c r="EL160" s="85">
        <v>0</v>
      </c>
      <c r="EM160" s="85">
        <v>0</v>
      </c>
      <c r="EN160" s="85">
        <v>0</v>
      </c>
      <c r="EO160" s="152">
        <v>0</v>
      </c>
      <c r="EP160" s="85">
        <v>0</v>
      </c>
      <c r="EQ160" s="85">
        <v>0</v>
      </c>
      <c r="ER160" s="85">
        <v>0</v>
      </c>
      <c r="ES160" s="85">
        <v>0</v>
      </c>
      <c r="ET160" s="85">
        <v>0</v>
      </c>
      <c r="EU160" s="85">
        <v>0</v>
      </c>
      <c r="EV160" s="85">
        <v>0</v>
      </c>
      <c r="EW160" s="85">
        <v>0</v>
      </c>
      <c r="EX160" s="85">
        <v>0</v>
      </c>
      <c r="EY160" s="85">
        <v>0</v>
      </c>
      <c r="EZ160" s="85">
        <v>0</v>
      </c>
      <c r="FA160" s="85">
        <v>0</v>
      </c>
      <c r="FB160" s="85">
        <v>0</v>
      </c>
      <c r="FC160" s="87">
        <v>0</v>
      </c>
      <c r="FD160" s="85">
        <v>0</v>
      </c>
      <c r="FE160" s="85">
        <v>0</v>
      </c>
      <c r="FF160" s="85">
        <v>0</v>
      </c>
      <c r="FG160" s="85">
        <v>0</v>
      </c>
      <c r="FH160" s="85">
        <v>0</v>
      </c>
      <c r="FI160" s="85">
        <v>0</v>
      </c>
      <c r="FJ160" s="85">
        <v>0</v>
      </c>
      <c r="FK160" s="85">
        <v>0</v>
      </c>
      <c r="FL160" s="85">
        <v>0</v>
      </c>
      <c r="FM160" s="85">
        <v>0</v>
      </c>
      <c r="FN160" s="85">
        <v>0</v>
      </c>
      <c r="FO160" s="86">
        <v>0</v>
      </c>
      <c r="FP160" s="87">
        <v>0</v>
      </c>
      <c r="FQ160" s="85">
        <v>0</v>
      </c>
      <c r="FR160" s="85">
        <v>0</v>
      </c>
      <c r="FS160" s="85">
        <v>0</v>
      </c>
      <c r="FT160" s="85">
        <v>0</v>
      </c>
      <c r="FU160" s="85">
        <v>0</v>
      </c>
      <c r="FV160" s="85">
        <v>0</v>
      </c>
      <c r="FW160" s="85">
        <v>0</v>
      </c>
      <c r="FX160" s="85">
        <v>0</v>
      </c>
      <c r="FY160" s="85">
        <v>0</v>
      </c>
      <c r="FZ160" s="85">
        <v>0</v>
      </c>
      <c r="GA160" s="85">
        <v>0</v>
      </c>
      <c r="GB160" s="152">
        <v>0</v>
      </c>
      <c r="GD160" s="153"/>
    </row>
    <row r="161" spans="1:186">
      <c r="A161" s="137" t="s">
        <v>332</v>
      </c>
      <c r="B161" s="151">
        <v>0</v>
      </c>
      <c r="C161" s="138">
        <f t="shared" si="37"/>
        <v>0</v>
      </c>
      <c r="D161" s="138">
        <f t="shared" si="26"/>
        <v>0</v>
      </c>
      <c r="E161" s="138">
        <f t="shared" si="27"/>
        <v>0</v>
      </c>
      <c r="F161" s="138">
        <f t="shared" si="28"/>
        <v>0</v>
      </c>
      <c r="G161" s="138">
        <f t="shared" si="29"/>
        <v>0</v>
      </c>
      <c r="H161" s="138">
        <f t="shared" si="30"/>
        <v>0</v>
      </c>
      <c r="I161" s="138">
        <f t="shared" si="31"/>
        <v>0</v>
      </c>
      <c r="J161" s="138">
        <f t="shared" si="32"/>
        <v>0</v>
      </c>
      <c r="K161" s="138">
        <f t="shared" si="33"/>
        <v>0</v>
      </c>
      <c r="L161" s="138">
        <f t="shared" si="34"/>
        <v>0</v>
      </c>
      <c r="M161" s="138">
        <f t="shared" si="35"/>
        <v>621790.013012024</v>
      </c>
      <c r="N161" s="138">
        <f t="shared" si="36"/>
        <v>896515.177553001</v>
      </c>
      <c r="O161" s="86">
        <f t="shared" si="38"/>
        <v>1518305.19056503</v>
      </c>
      <c r="P161" s="138">
        <v>0</v>
      </c>
      <c r="Q161" s="138">
        <v>0</v>
      </c>
      <c r="R161" s="138">
        <v>0</v>
      </c>
      <c r="S161" s="138">
        <v>0</v>
      </c>
      <c r="T161" s="138">
        <v>0</v>
      </c>
      <c r="U161" s="138">
        <v>0</v>
      </c>
      <c r="V161" s="138">
        <v>0</v>
      </c>
      <c r="W161" s="138">
        <v>0</v>
      </c>
      <c r="X161" s="138">
        <v>0</v>
      </c>
      <c r="Y161" s="138">
        <v>0</v>
      </c>
      <c r="Z161" s="138">
        <v>368653.576365742</v>
      </c>
      <c r="AA161" s="138">
        <v>348436.083021002</v>
      </c>
      <c r="AB161" s="86">
        <v>717089.659386744</v>
      </c>
      <c r="AC161" s="138">
        <v>0</v>
      </c>
      <c r="AD161" s="138">
        <v>0</v>
      </c>
      <c r="AE161" s="138">
        <v>0</v>
      </c>
      <c r="AF161" s="138">
        <v>0</v>
      </c>
      <c r="AG161" s="138">
        <v>0</v>
      </c>
      <c r="AH161" s="138">
        <v>0</v>
      </c>
      <c r="AI161" s="138">
        <v>0</v>
      </c>
      <c r="AJ161" s="138">
        <v>0</v>
      </c>
      <c r="AK161" s="138">
        <v>0</v>
      </c>
      <c r="AL161" s="138">
        <v>0</v>
      </c>
      <c r="AM161" s="138">
        <v>40414.4503478017</v>
      </c>
      <c r="AN161" s="138">
        <v>121243.351043405</v>
      </c>
      <c r="AO161" s="86">
        <v>161657.801391207</v>
      </c>
      <c r="AP161" s="138">
        <v>0</v>
      </c>
      <c r="AQ161" s="138">
        <v>0</v>
      </c>
      <c r="AR161" s="138">
        <v>0</v>
      </c>
      <c r="AS161" s="138">
        <v>0</v>
      </c>
      <c r="AT161" s="138">
        <v>0</v>
      </c>
      <c r="AU161" s="138">
        <v>0</v>
      </c>
      <c r="AV161" s="138">
        <v>0</v>
      </c>
      <c r="AW161" s="138">
        <v>0</v>
      </c>
      <c r="AX161" s="138">
        <v>0</v>
      </c>
      <c r="AY161" s="138">
        <v>0</v>
      </c>
      <c r="AZ161" s="138">
        <v>37680.1959403096</v>
      </c>
      <c r="BA161" s="138">
        <v>15072.0783761238</v>
      </c>
      <c r="BB161" s="86">
        <v>52752.2743164334</v>
      </c>
      <c r="BC161" s="138">
        <v>0</v>
      </c>
      <c r="BD161" s="138">
        <v>0</v>
      </c>
      <c r="BE161" s="138">
        <v>0</v>
      </c>
      <c r="BF161" s="138">
        <v>0</v>
      </c>
      <c r="BG161" s="138">
        <v>0</v>
      </c>
      <c r="BH161" s="138">
        <v>0</v>
      </c>
      <c r="BI161" s="138">
        <v>0</v>
      </c>
      <c r="BJ161" s="138">
        <v>0</v>
      </c>
      <c r="BK161" s="138">
        <v>0</v>
      </c>
      <c r="BL161" s="138">
        <v>0</v>
      </c>
      <c r="BM161" s="138">
        <v>0</v>
      </c>
      <c r="BN161" s="138">
        <v>0</v>
      </c>
      <c r="BO161" s="86">
        <v>0</v>
      </c>
      <c r="BP161" s="138">
        <v>0</v>
      </c>
      <c r="BQ161" s="138">
        <v>0</v>
      </c>
      <c r="BR161" s="138">
        <v>0</v>
      </c>
      <c r="BS161" s="138">
        <v>0</v>
      </c>
      <c r="BT161" s="138">
        <v>0</v>
      </c>
      <c r="BU161" s="138">
        <v>0</v>
      </c>
      <c r="BV161" s="138">
        <v>0</v>
      </c>
      <c r="BW161" s="138">
        <v>0</v>
      </c>
      <c r="BX161" s="138">
        <v>0</v>
      </c>
      <c r="BY161" s="138">
        <v>0</v>
      </c>
      <c r="BZ161" s="138">
        <v>0</v>
      </c>
      <c r="CA161" s="138">
        <v>0</v>
      </c>
      <c r="CB161" s="86">
        <v>0</v>
      </c>
      <c r="CC161" s="138">
        <v>0</v>
      </c>
      <c r="CD161" s="138">
        <v>0</v>
      </c>
      <c r="CE161" s="138">
        <v>0</v>
      </c>
      <c r="CF161" s="138">
        <v>0</v>
      </c>
      <c r="CG161" s="138">
        <v>0</v>
      </c>
      <c r="CH161" s="138">
        <v>0</v>
      </c>
      <c r="CI161" s="138">
        <v>0</v>
      </c>
      <c r="CJ161" s="138">
        <v>0</v>
      </c>
      <c r="CK161" s="138">
        <v>0</v>
      </c>
      <c r="CL161" s="138">
        <v>0</v>
      </c>
      <c r="CM161" s="138">
        <v>12390.0130893336</v>
      </c>
      <c r="CN161" s="138">
        <v>24780.0261786672</v>
      </c>
      <c r="CO161" s="86">
        <v>37170.0392680008</v>
      </c>
      <c r="CP161" s="138">
        <v>0</v>
      </c>
      <c r="CQ161" s="138">
        <v>0</v>
      </c>
      <c r="CR161" s="138">
        <v>0</v>
      </c>
      <c r="CS161" s="138">
        <v>0</v>
      </c>
      <c r="CT161" s="138">
        <v>0</v>
      </c>
      <c r="CU161" s="138">
        <v>0</v>
      </c>
      <c r="CV161" s="138">
        <v>0</v>
      </c>
      <c r="CW161" s="138">
        <v>0</v>
      </c>
      <c r="CX161" s="138">
        <v>0</v>
      </c>
      <c r="CY161" s="138">
        <v>0</v>
      </c>
      <c r="CZ161" s="138">
        <v>77702.4403360316</v>
      </c>
      <c r="DA161" s="138">
        <v>38851.2201680158</v>
      </c>
      <c r="DB161" s="86">
        <v>116553.660504047</v>
      </c>
      <c r="DC161" s="138">
        <v>0</v>
      </c>
      <c r="DD161" s="138">
        <v>0</v>
      </c>
      <c r="DE161" s="138">
        <v>0</v>
      </c>
      <c r="DF161" s="138">
        <v>0</v>
      </c>
      <c r="DG161" s="138">
        <v>0</v>
      </c>
      <c r="DH161" s="138">
        <v>0</v>
      </c>
      <c r="DI161" s="138">
        <v>0</v>
      </c>
      <c r="DJ161" s="138">
        <v>0</v>
      </c>
      <c r="DK161" s="138">
        <v>0</v>
      </c>
      <c r="DL161" s="138">
        <v>0</v>
      </c>
      <c r="DM161" s="138">
        <v>0</v>
      </c>
      <c r="DN161" s="138">
        <v>0</v>
      </c>
      <c r="DO161" s="86">
        <v>0</v>
      </c>
      <c r="DP161" s="138">
        <v>0</v>
      </c>
      <c r="DQ161" s="138">
        <v>0</v>
      </c>
      <c r="DR161" s="138">
        <v>0</v>
      </c>
      <c r="DS161" s="138">
        <v>0</v>
      </c>
      <c r="DT161" s="138">
        <v>0</v>
      </c>
      <c r="DU161" s="138">
        <v>0</v>
      </c>
      <c r="DV161" s="138">
        <v>0</v>
      </c>
      <c r="DW161" s="138">
        <v>0</v>
      </c>
      <c r="DX161" s="138">
        <v>0</v>
      </c>
      <c r="DY161" s="138">
        <v>0</v>
      </c>
      <c r="DZ161" s="138">
        <v>61965.0571633331</v>
      </c>
      <c r="EA161" s="138">
        <v>309825.285816666</v>
      </c>
      <c r="EB161" s="85">
        <v>371790.342979999</v>
      </c>
      <c r="EC161" s="87">
        <v>0</v>
      </c>
      <c r="ED161" s="85">
        <v>0</v>
      </c>
      <c r="EE161" s="85">
        <v>0</v>
      </c>
      <c r="EF161" s="85">
        <v>0</v>
      </c>
      <c r="EG161" s="85">
        <v>0</v>
      </c>
      <c r="EH161" s="85">
        <v>0</v>
      </c>
      <c r="EI161" s="85">
        <v>0</v>
      </c>
      <c r="EJ161" s="85">
        <v>0</v>
      </c>
      <c r="EK161" s="85">
        <v>0</v>
      </c>
      <c r="EL161" s="85">
        <v>0</v>
      </c>
      <c r="EM161" s="85">
        <v>0</v>
      </c>
      <c r="EN161" s="85">
        <v>0</v>
      </c>
      <c r="EO161" s="152">
        <v>0</v>
      </c>
      <c r="EP161" s="85">
        <v>0</v>
      </c>
      <c r="EQ161" s="85">
        <v>0</v>
      </c>
      <c r="ER161" s="85">
        <v>0</v>
      </c>
      <c r="ES161" s="85">
        <v>0</v>
      </c>
      <c r="ET161" s="85">
        <v>0</v>
      </c>
      <c r="EU161" s="85">
        <v>0</v>
      </c>
      <c r="EV161" s="85">
        <v>0</v>
      </c>
      <c r="EW161" s="85">
        <v>0</v>
      </c>
      <c r="EX161" s="85">
        <v>0</v>
      </c>
      <c r="EY161" s="85">
        <v>0</v>
      </c>
      <c r="EZ161" s="85">
        <v>22984.2797694729</v>
      </c>
      <c r="FA161" s="85">
        <v>38307.1329491214</v>
      </c>
      <c r="FB161" s="85">
        <v>61291.4127185943</v>
      </c>
      <c r="FC161" s="87">
        <v>0</v>
      </c>
      <c r="FD161" s="85">
        <v>0</v>
      </c>
      <c r="FE161" s="85">
        <v>0</v>
      </c>
      <c r="FF161" s="85">
        <v>0</v>
      </c>
      <c r="FG161" s="85">
        <v>0</v>
      </c>
      <c r="FH161" s="85">
        <v>0</v>
      </c>
      <c r="FI161" s="85">
        <v>0</v>
      </c>
      <c r="FJ161" s="85">
        <v>0</v>
      </c>
      <c r="FK161" s="85">
        <v>0</v>
      </c>
      <c r="FL161" s="85">
        <v>0</v>
      </c>
      <c r="FM161" s="85">
        <v>0</v>
      </c>
      <c r="FN161" s="85">
        <v>0</v>
      </c>
      <c r="FO161" s="86">
        <v>0</v>
      </c>
      <c r="FP161" s="87">
        <v>0</v>
      </c>
      <c r="FQ161" s="85">
        <v>0</v>
      </c>
      <c r="FR161" s="85">
        <v>0</v>
      </c>
      <c r="FS161" s="85">
        <v>0</v>
      </c>
      <c r="FT161" s="85">
        <v>0</v>
      </c>
      <c r="FU161" s="85">
        <v>0</v>
      </c>
      <c r="FV161" s="85">
        <v>0</v>
      </c>
      <c r="FW161" s="85">
        <v>0</v>
      </c>
      <c r="FX161" s="85">
        <v>0</v>
      </c>
      <c r="FY161" s="85">
        <v>0</v>
      </c>
      <c r="FZ161" s="85">
        <v>0</v>
      </c>
      <c r="GA161" s="85">
        <v>0</v>
      </c>
      <c r="GB161" s="152">
        <v>0</v>
      </c>
      <c r="GD161" s="153"/>
    </row>
    <row r="162" spans="1:186">
      <c r="A162" s="137" t="s">
        <v>333</v>
      </c>
      <c r="B162" s="151">
        <v>0</v>
      </c>
      <c r="C162" s="138">
        <f t="shared" si="37"/>
        <v>0</v>
      </c>
      <c r="D162" s="138">
        <f t="shared" si="26"/>
        <v>0</v>
      </c>
      <c r="E162" s="138">
        <f t="shared" si="27"/>
        <v>0</v>
      </c>
      <c r="F162" s="138">
        <f t="shared" si="28"/>
        <v>0</v>
      </c>
      <c r="G162" s="138">
        <f t="shared" si="29"/>
        <v>0</v>
      </c>
      <c r="H162" s="138">
        <f t="shared" si="30"/>
        <v>1784201.02308356</v>
      </c>
      <c r="I162" s="138">
        <f t="shared" si="31"/>
        <v>1254569.86614724</v>
      </c>
      <c r="J162" s="138">
        <f t="shared" si="32"/>
        <v>363076.994089615</v>
      </c>
      <c r="K162" s="138">
        <f t="shared" si="33"/>
        <v>0</v>
      </c>
      <c r="L162" s="138">
        <f t="shared" si="34"/>
        <v>0</v>
      </c>
      <c r="M162" s="138">
        <f t="shared" si="35"/>
        <v>0</v>
      </c>
      <c r="N162" s="138">
        <f t="shared" si="36"/>
        <v>0</v>
      </c>
      <c r="O162" s="86">
        <f t="shared" si="38"/>
        <v>3401847.88332041</v>
      </c>
      <c r="P162" s="138">
        <v>0</v>
      </c>
      <c r="Q162" s="138">
        <v>0</v>
      </c>
      <c r="R162" s="138">
        <v>0</v>
      </c>
      <c r="S162" s="138">
        <v>0</v>
      </c>
      <c r="T162" s="138">
        <v>0</v>
      </c>
      <c r="U162" s="138">
        <v>139721.525759143</v>
      </c>
      <c r="V162" s="138">
        <v>111479.222600668</v>
      </c>
      <c r="W162" s="138">
        <v>85753.2481543604</v>
      </c>
      <c r="X162" s="138">
        <v>0</v>
      </c>
      <c r="Y162" s="138">
        <v>0</v>
      </c>
      <c r="Z162" s="138">
        <v>0</v>
      </c>
      <c r="AA162" s="138">
        <v>0</v>
      </c>
      <c r="AB162" s="86">
        <v>336953.996514171</v>
      </c>
      <c r="AC162" s="138">
        <v>0</v>
      </c>
      <c r="AD162" s="138">
        <v>0</v>
      </c>
      <c r="AE162" s="138">
        <v>0</v>
      </c>
      <c r="AF162" s="138">
        <v>0</v>
      </c>
      <c r="AG162" s="138">
        <v>0</v>
      </c>
      <c r="AH162" s="138">
        <v>25415.0619402378</v>
      </c>
      <c r="AI162" s="138">
        <v>67773.4985073009</v>
      </c>
      <c r="AJ162" s="138">
        <v>25415.0619402378</v>
      </c>
      <c r="AK162" s="138">
        <v>0</v>
      </c>
      <c r="AL162" s="138">
        <v>0</v>
      </c>
      <c r="AM162" s="138">
        <v>0</v>
      </c>
      <c r="AN162" s="138">
        <v>0</v>
      </c>
      <c r="AO162" s="86">
        <v>118603.622387777</v>
      </c>
      <c r="AP162" s="138">
        <v>0</v>
      </c>
      <c r="AQ162" s="138">
        <v>0</v>
      </c>
      <c r="AR162" s="138">
        <v>0</v>
      </c>
      <c r="AS162" s="138">
        <v>0</v>
      </c>
      <c r="AT162" s="138">
        <v>0</v>
      </c>
      <c r="AU162" s="138">
        <v>116108.423520778</v>
      </c>
      <c r="AV162" s="138">
        <v>52130.3126011655</v>
      </c>
      <c r="AW162" s="138">
        <v>23695.5966368934</v>
      </c>
      <c r="AX162" s="138">
        <v>0</v>
      </c>
      <c r="AY162" s="138">
        <v>0</v>
      </c>
      <c r="AZ162" s="138">
        <v>0</v>
      </c>
      <c r="BA162" s="138">
        <v>0</v>
      </c>
      <c r="BB162" s="86">
        <v>191934.332758837</v>
      </c>
      <c r="BC162" s="138">
        <v>0</v>
      </c>
      <c r="BD162" s="138">
        <v>0</v>
      </c>
      <c r="BE162" s="138">
        <v>0</v>
      </c>
      <c r="BF162" s="138">
        <v>0</v>
      </c>
      <c r="BG162" s="138">
        <v>0</v>
      </c>
      <c r="BH162" s="138">
        <v>106737.776005171</v>
      </c>
      <c r="BI162" s="138">
        <v>42695.1104020683</v>
      </c>
      <c r="BJ162" s="138">
        <v>21347.5552010341</v>
      </c>
      <c r="BK162" s="138">
        <v>0</v>
      </c>
      <c r="BL162" s="138">
        <v>0</v>
      </c>
      <c r="BM162" s="138">
        <v>0</v>
      </c>
      <c r="BN162" s="138">
        <v>0</v>
      </c>
      <c r="BO162" s="86">
        <v>170780.441608273</v>
      </c>
      <c r="BP162" s="138">
        <v>0</v>
      </c>
      <c r="BQ162" s="138">
        <v>0</v>
      </c>
      <c r="BR162" s="138">
        <v>0</v>
      </c>
      <c r="BS162" s="138">
        <v>0</v>
      </c>
      <c r="BT162" s="138">
        <v>0</v>
      </c>
      <c r="BU162" s="138">
        <v>113599.743249309</v>
      </c>
      <c r="BV162" s="138">
        <v>260058.916364121</v>
      </c>
      <c r="BW162" s="138">
        <v>78862.6316772065</v>
      </c>
      <c r="BX162" s="138">
        <v>0</v>
      </c>
      <c r="BY162" s="138">
        <v>0</v>
      </c>
      <c r="BZ162" s="138">
        <v>0</v>
      </c>
      <c r="CA162" s="138">
        <v>0</v>
      </c>
      <c r="CB162" s="86">
        <v>452521.291290637</v>
      </c>
      <c r="CC162" s="138">
        <v>0</v>
      </c>
      <c r="CD162" s="138">
        <v>0</v>
      </c>
      <c r="CE162" s="138">
        <v>0</v>
      </c>
      <c r="CF162" s="138">
        <v>0</v>
      </c>
      <c r="CG162" s="138">
        <v>0</v>
      </c>
      <c r="CH162" s="138">
        <v>29769.7244326948</v>
      </c>
      <c r="CI162" s="138">
        <v>12985.9884024914</v>
      </c>
      <c r="CJ162" s="138">
        <v>0</v>
      </c>
      <c r="CK162" s="138">
        <v>0</v>
      </c>
      <c r="CL162" s="138">
        <v>0</v>
      </c>
      <c r="CM162" s="138">
        <v>0</v>
      </c>
      <c r="CN162" s="138">
        <v>0</v>
      </c>
      <c r="CO162" s="86">
        <v>42755.7128351862</v>
      </c>
      <c r="CP162" s="138">
        <v>0</v>
      </c>
      <c r="CQ162" s="138">
        <v>0</v>
      </c>
      <c r="CR162" s="138">
        <v>0</v>
      </c>
      <c r="CS162" s="138">
        <v>0</v>
      </c>
      <c r="CT162" s="138">
        <v>0</v>
      </c>
      <c r="CU162" s="138">
        <v>0</v>
      </c>
      <c r="CV162" s="138">
        <v>0</v>
      </c>
      <c r="CW162" s="138">
        <v>0</v>
      </c>
      <c r="CX162" s="138">
        <v>0</v>
      </c>
      <c r="CY162" s="138">
        <v>0</v>
      </c>
      <c r="CZ162" s="138">
        <v>0</v>
      </c>
      <c r="DA162" s="138">
        <v>0</v>
      </c>
      <c r="DB162" s="86">
        <v>0</v>
      </c>
      <c r="DC162" s="138">
        <v>0</v>
      </c>
      <c r="DD162" s="138">
        <v>0</v>
      </c>
      <c r="DE162" s="138">
        <v>0</v>
      </c>
      <c r="DF162" s="138">
        <v>0</v>
      </c>
      <c r="DG162" s="138">
        <v>0</v>
      </c>
      <c r="DH162" s="138">
        <v>0</v>
      </c>
      <c r="DI162" s="138">
        <v>0</v>
      </c>
      <c r="DJ162" s="138">
        <v>0</v>
      </c>
      <c r="DK162" s="138">
        <v>0</v>
      </c>
      <c r="DL162" s="138">
        <v>0</v>
      </c>
      <c r="DM162" s="138">
        <v>0</v>
      </c>
      <c r="DN162" s="138">
        <v>0</v>
      </c>
      <c r="DO162" s="86">
        <v>0</v>
      </c>
      <c r="DP162" s="138">
        <v>0</v>
      </c>
      <c r="DQ162" s="138">
        <v>0</v>
      </c>
      <c r="DR162" s="138">
        <v>0</v>
      </c>
      <c r="DS162" s="138">
        <v>0</v>
      </c>
      <c r="DT162" s="138">
        <v>0</v>
      </c>
      <c r="DU162" s="138">
        <v>194836.964549012</v>
      </c>
      <c r="DV162" s="138">
        <v>194836.964549012</v>
      </c>
      <c r="DW162" s="138">
        <v>103913.047759473</v>
      </c>
      <c r="DX162" s="138">
        <v>0</v>
      </c>
      <c r="DY162" s="138">
        <v>0</v>
      </c>
      <c r="DZ162" s="138">
        <v>0</v>
      </c>
      <c r="EA162" s="138">
        <v>0</v>
      </c>
      <c r="EB162" s="85">
        <v>493586.976857497</v>
      </c>
      <c r="EC162" s="87">
        <v>0</v>
      </c>
      <c r="ED162" s="85">
        <v>0</v>
      </c>
      <c r="EE162" s="85">
        <v>0</v>
      </c>
      <c r="EF162" s="85">
        <v>0</v>
      </c>
      <c r="EG162" s="85">
        <v>0</v>
      </c>
      <c r="EH162" s="85">
        <v>0</v>
      </c>
      <c r="EI162" s="85">
        <v>0</v>
      </c>
      <c r="EJ162" s="85">
        <v>0</v>
      </c>
      <c r="EK162" s="85">
        <v>0</v>
      </c>
      <c r="EL162" s="85">
        <v>0</v>
      </c>
      <c r="EM162" s="85">
        <v>0</v>
      </c>
      <c r="EN162" s="85">
        <v>0</v>
      </c>
      <c r="EO162" s="152">
        <v>0</v>
      </c>
      <c r="EP162" s="85">
        <v>0</v>
      </c>
      <c r="EQ162" s="85">
        <v>0</v>
      </c>
      <c r="ER162" s="85">
        <v>0</v>
      </c>
      <c r="ES162" s="85">
        <v>0</v>
      </c>
      <c r="ET162" s="85">
        <v>0</v>
      </c>
      <c r="EU162" s="85">
        <v>32119.8036272127</v>
      </c>
      <c r="EV162" s="85">
        <v>24089.8527204095</v>
      </c>
      <c r="EW162" s="85">
        <v>24089.8527204095</v>
      </c>
      <c r="EX162" s="85">
        <v>0</v>
      </c>
      <c r="EY162" s="85">
        <v>0</v>
      </c>
      <c r="EZ162" s="85">
        <v>0</v>
      </c>
      <c r="FA162" s="85">
        <v>0</v>
      </c>
      <c r="FB162" s="85">
        <v>80299.5090680318</v>
      </c>
      <c r="FC162" s="87">
        <v>0</v>
      </c>
      <c r="FD162" s="85">
        <v>0</v>
      </c>
      <c r="FE162" s="85">
        <v>0</v>
      </c>
      <c r="FF162" s="85">
        <v>0</v>
      </c>
      <c r="FG162" s="85">
        <v>0</v>
      </c>
      <c r="FH162" s="85">
        <v>0</v>
      </c>
      <c r="FI162" s="85">
        <v>0</v>
      </c>
      <c r="FJ162" s="85">
        <v>0</v>
      </c>
      <c r="FK162" s="85">
        <v>0</v>
      </c>
      <c r="FL162" s="85">
        <v>0</v>
      </c>
      <c r="FM162" s="85">
        <v>0</v>
      </c>
      <c r="FN162" s="85">
        <v>0</v>
      </c>
      <c r="FO162" s="86">
        <v>0</v>
      </c>
      <c r="FP162" s="87">
        <v>0</v>
      </c>
      <c r="FQ162" s="85">
        <v>0</v>
      </c>
      <c r="FR162" s="85">
        <v>0</v>
      </c>
      <c r="FS162" s="85">
        <v>0</v>
      </c>
      <c r="FT162" s="85">
        <v>0</v>
      </c>
      <c r="FU162" s="85">
        <v>1025892</v>
      </c>
      <c r="FV162" s="85">
        <v>488520</v>
      </c>
      <c r="FW162" s="85">
        <v>0</v>
      </c>
      <c r="FX162" s="85">
        <v>0</v>
      </c>
      <c r="FY162" s="85">
        <v>0</v>
      </c>
      <c r="FZ162" s="85">
        <v>0</v>
      </c>
      <c r="GA162" s="85">
        <v>0</v>
      </c>
      <c r="GB162" s="152">
        <v>1514412</v>
      </c>
      <c r="GD162" s="153"/>
    </row>
    <row r="163" spans="1:186">
      <c r="A163" s="137" t="s">
        <v>334</v>
      </c>
      <c r="B163" s="151">
        <v>0</v>
      </c>
      <c r="C163" s="138">
        <f t="shared" si="37"/>
        <v>0</v>
      </c>
      <c r="D163" s="138">
        <f t="shared" si="26"/>
        <v>0</v>
      </c>
      <c r="E163" s="138">
        <f t="shared" si="27"/>
        <v>0</v>
      </c>
      <c r="F163" s="138">
        <f t="shared" si="28"/>
        <v>0</v>
      </c>
      <c r="G163" s="138">
        <f t="shared" si="29"/>
        <v>0</v>
      </c>
      <c r="H163" s="138">
        <f t="shared" si="30"/>
        <v>0</v>
      </c>
      <c r="I163" s="138">
        <f t="shared" si="31"/>
        <v>0</v>
      </c>
      <c r="J163" s="138">
        <f t="shared" si="32"/>
        <v>0</v>
      </c>
      <c r="K163" s="138">
        <f t="shared" si="33"/>
        <v>0</v>
      </c>
      <c r="L163" s="138">
        <f t="shared" si="34"/>
        <v>0</v>
      </c>
      <c r="M163" s="138">
        <f t="shared" si="35"/>
        <v>0</v>
      </c>
      <c r="N163" s="138">
        <f t="shared" si="36"/>
        <v>0</v>
      </c>
      <c r="O163" s="86">
        <f t="shared" si="38"/>
        <v>0</v>
      </c>
      <c r="P163" s="138">
        <v>0</v>
      </c>
      <c r="Q163" s="138">
        <v>0</v>
      </c>
      <c r="R163" s="138">
        <v>0</v>
      </c>
      <c r="S163" s="138">
        <v>0</v>
      </c>
      <c r="T163" s="138">
        <v>0</v>
      </c>
      <c r="U163" s="138">
        <v>0</v>
      </c>
      <c r="V163" s="138">
        <v>0</v>
      </c>
      <c r="W163" s="138">
        <v>0</v>
      </c>
      <c r="X163" s="138">
        <v>0</v>
      </c>
      <c r="Y163" s="138">
        <v>0</v>
      </c>
      <c r="Z163" s="138">
        <v>0</v>
      </c>
      <c r="AA163" s="138">
        <v>0</v>
      </c>
      <c r="AB163" s="86">
        <v>0</v>
      </c>
      <c r="AC163" s="138">
        <v>0</v>
      </c>
      <c r="AD163" s="138">
        <v>0</v>
      </c>
      <c r="AE163" s="138">
        <v>0</v>
      </c>
      <c r="AF163" s="138">
        <v>0</v>
      </c>
      <c r="AG163" s="138">
        <v>0</v>
      </c>
      <c r="AH163" s="138">
        <v>0</v>
      </c>
      <c r="AI163" s="138">
        <v>0</v>
      </c>
      <c r="AJ163" s="138">
        <v>0</v>
      </c>
      <c r="AK163" s="138">
        <v>0</v>
      </c>
      <c r="AL163" s="138">
        <v>0</v>
      </c>
      <c r="AM163" s="138">
        <v>0</v>
      </c>
      <c r="AN163" s="138">
        <v>0</v>
      </c>
      <c r="AO163" s="86">
        <v>0</v>
      </c>
      <c r="AP163" s="138">
        <v>0</v>
      </c>
      <c r="AQ163" s="138">
        <v>0</v>
      </c>
      <c r="AR163" s="138">
        <v>0</v>
      </c>
      <c r="AS163" s="138">
        <v>0</v>
      </c>
      <c r="AT163" s="138">
        <v>0</v>
      </c>
      <c r="AU163" s="138">
        <v>0</v>
      </c>
      <c r="AV163" s="138">
        <v>0</v>
      </c>
      <c r="AW163" s="138">
        <v>0</v>
      </c>
      <c r="AX163" s="138">
        <v>0</v>
      </c>
      <c r="AY163" s="138">
        <v>0</v>
      </c>
      <c r="AZ163" s="138">
        <v>0</v>
      </c>
      <c r="BA163" s="138">
        <v>0</v>
      </c>
      <c r="BB163" s="86">
        <v>0</v>
      </c>
      <c r="BC163" s="138">
        <v>0</v>
      </c>
      <c r="BD163" s="138">
        <v>0</v>
      </c>
      <c r="BE163" s="138">
        <v>0</v>
      </c>
      <c r="BF163" s="138">
        <v>0</v>
      </c>
      <c r="BG163" s="138">
        <v>0</v>
      </c>
      <c r="BH163" s="138">
        <v>0</v>
      </c>
      <c r="BI163" s="138">
        <v>0</v>
      </c>
      <c r="BJ163" s="138">
        <v>0</v>
      </c>
      <c r="BK163" s="138">
        <v>0</v>
      </c>
      <c r="BL163" s="138">
        <v>0</v>
      </c>
      <c r="BM163" s="138">
        <v>0</v>
      </c>
      <c r="BN163" s="138">
        <v>0</v>
      </c>
      <c r="BO163" s="86">
        <v>0</v>
      </c>
      <c r="BP163" s="138">
        <v>0</v>
      </c>
      <c r="BQ163" s="138">
        <v>0</v>
      </c>
      <c r="BR163" s="138">
        <v>0</v>
      </c>
      <c r="BS163" s="138">
        <v>0</v>
      </c>
      <c r="BT163" s="138">
        <v>0</v>
      </c>
      <c r="BU163" s="138">
        <v>0</v>
      </c>
      <c r="BV163" s="138">
        <v>0</v>
      </c>
      <c r="BW163" s="138">
        <v>0</v>
      </c>
      <c r="BX163" s="138">
        <v>0</v>
      </c>
      <c r="BY163" s="138">
        <v>0</v>
      </c>
      <c r="BZ163" s="138">
        <v>0</v>
      </c>
      <c r="CA163" s="138">
        <v>0</v>
      </c>
      <c r="CB163" s="86">
        <v>0</v>
      </c>
      <c r="CC163" s="138">
        <v>0</v>
      </c>
      <c r="CD163" s="138">
        <v>0</v>
      </c>
      <c r="CE163" s="138">
        <v>0</v>
      </c>
      <c r="CF163" s="138">
        <v>0</v>
      </c>
      <c r="CG163" s="138">
        <v>0</v>
      </c>
      <c r="CH163" s="138">
        <v>0</v>
      </c>
      <c r="CI163" s="138">
        <v>0</v>
      </c>
      <c r="CJ163" s="138">
        <v>0</v>
      </c>
      <c r="CK163" s="138">
        <v>0</v>
      </c>
      <c r="CL163" s="138">
        <v>0</v>
      </c>
      <c r="CM163" s="138">
        <v>0</v>
      </c>
      <c r="CN163" s="138">
        <v>0</v>
      </c>
      <c r="CO163" s="86">
        <v>0</v>
      </c>
      <c r="CP163" s="138">
        <v>0</v>
      </c>
      <c r="CQ163" s="138">
        <v>0</v>
      </c>
      <c r="CR163" s="138">
        <v>0</v>
      </c>
      <c r="CS163" s="138">
        <v>0</v>
      </c>
      <c r="CT163" s="138">
        <v>0</v>
      </c>
      <c r="CU163" s="138">
        <v>0</v>
      </c>
      <c r="CV163" s="138">
        <v>0</v>
      </c>
      <c r="CW163" s="138">
        <v>0</v>
      </c>
      <c r="CX163" s="138">
        <v>0</v>
      </c>
      <c r="CY163" s="138">
        <v>0</v>
      </c>
      <c r="CZ163" s="138">
        <v>0</v>
      </c>
      <c r="DA163" s="138">
        <v>0</v>
      </c>
      <c r="DB163" s="86">
        <v>0</v>
      </c>
      <c r="DC163" s="138">
        <v>0</v>
      </c>
      <c r="DD163" s="138">
        <v>0</v>
      </c>
      <c r="DE163" s="138">
        <v>0</v>
      </c>
      <c r="DF163" s="138">
        <v>0</v>
      </c>
      <c r="DG163" s="138">
        <v>0</v>
      </c>
      <c r="DH163" s="138">
        <v>0</v>
      </c>
      <c r="DI163" s="138">
        <v>0</v>
      </c>
      <c r="DJ163" s="138">
        <v>0</v>
      </c>
      <c r="DK163" s="138">
        <v>0</v>
      </c>
      <c r="DL163" s="138">
        <v>0</v>
      </c>
      <c r="DM163" s="138">
        <v>0</v>
      </c>
      <c r="DN163" s="138">
        <v>0</v>
      </c>
      <c r="DO163" s="86">
        <v>0</v>
      </c>
      <c r="DP163" s="138">
        <v>0</v>
      </c>
      <c r="DQ163" s="138">
        <v>0</v>
      </c>
      <c r="DR163" s="138">
        <v>0</v>
      </c>
      <c r="DS163" s="138">
        <v>0</v>
      </c>
      <c r="DT163" s="138">
        <v>0</v>
      </c>
      <c r="DU163" s="138">
        <v>0</v>
      </c>
      <c r="DV163" s="138">
        <v>0</v>
      </c>
      <c r="DW163" s="138">
        <v>0</v>
      </c>
      <c r="DX163" s="138">
        <v>0</v>
      </c>
      <c r="DY163" s="138">
        <v>0</v>
      </c>
      <c r="DZ163" s="138">
        <v>0</v>
      </c>
      <c r="EA163" s="138">
        <v>0</v>
      </c>
      <c r="EB163" s="85">
        <v>0</v>
      </c>
      <c r="EC163" s="87">
        <v>0</v>
      </c>
      <c r="ED163" s="85">
        <v>0</v>
      </c>
      <c r="EE163" s="85">
        <v>0</v>
      </c>
      <c r="EF163" s="85">
        <v>0</v>
      </c>
      <c r="EG163" s="85">
        <v>0</v>
      </c>
      <c r="EH163" s="85">
        <v>0</v>
      </c>
      <c r="EI163" s="85">
        <v>0</v>
      </c>
      <c r="EJ163" s="85">
        <v>0</v>
      </c>
      <c r="EK163" s="85">
        <v>0</v>
      </c>
      <c r="EL163" s="85">
        <v>0</v>
      </c>
      <c r="EM163" s="85">
        <v>0</v>
      </c>
      <c r="EN163" s="85">
        <v>0</v>
      </c>
      <c r="EO163" s="152">
        <v>0</v>
      </c>
      <c r="EP163" s="85">
        <v>0</v>
      </c>
      <c r="EQ163" s="85">
        <v>0</v>
      </c>
      <c r="ER163" s="85">
        <v>0</v>
      </c>
      <c r="ES163" s="85">
        <v>0</v>
      </c>
      <c r="ET163" s="85">
        <v>0</v>
      </c>
      <c r="EU163" s="85">
        <v>0</v>
      </c>
      <c r="EV163" s="85">
        <v>0</v>
      </c>
      <c r="EW163" s="85">
        <v>0</v>
      </c>
      <c r="EX163" s="85">
        <v>0</v>
      </c>
      <c r="EY163" s="85">
        <v>0</v>
      </c>
      <c r="EZ163" s="85">
        <v>0</v>
      </c>
      <c r="FA163" s="85">
        <v>0</v>
      </c>
      <c r="FB163" s="85">
        <v>0</v>
      </c>
      <c r="FC163" s="87">
        <v>0</v>
      </c>
      <c r="FD163" s="85">
        <v>0</v>
      </c>
      <c r="FE163" s="85">
        <v>0</v>
      </c>
      <c r="FF163" s="85">
        <v>0</v>
      </c>
      <c r="FG163" s="85">
        <v>0</v>
      </c>
      <c r="FH163" s="85">
        <v>0</v>
      </c>
      <c r="FI163" s="85">
        <v>0</v>
      </c>
      <c r="FJ163" s="85">
        <v>0</v>
      </c>
      <c r="FK163" s="85">
        <v>0</v>
      </c>
      <c r="FL163" s="85">
        <v>0</v>
      </c>
      <c r="FM163" s="85">
        <v>0</v>
      </c>
      <c r="FN163" s="85">
        <v>0</v>
      </c>
      <c r="FO163" s="86">
        <v>0</v>
      </c>
      <c r="FP163" s="87">
        <v>0</v>
      </c>
      <c r="FQ163" s="85">
        <v>0</v>
      </c>
      <c r="FR163" s="85">
        <v>0</v>
      </c>
      <c r="FS163" s="85">
        <v>0</v>
      </c>
      <c r="FT163" s="85">
        <v>0</v>
      </c>
      <c r="FU163" s="85">
        <v>0</v>
      </c>
      <c r="FV163" s="85">
        <v>0</v>
      </c>
      <c r="FW163" s="85">
        <v>0</v>
      </c>
      <c r="FX163" s="85">
        <v>0</v>
      </c>
      <c r="FY163" s="85">
        <v>0</v>
      </c>
      <c r="FZ163" s="85">
        <v>0</v>
      </c>
      <c r="GA163" s="85">
        <v>0</v>
      </c>
      <c r="GB163" s="152">
        <v>0</v>
      </c>
      <c r="GD163" s="153"/>
    </row>
    <row r="164" spans="1:186">
      <c r="A164" s="137" t="s">
        <v>335</v>
      </c>
      <c r="B164" s="151">
        <v>77.1887737535957</v>
      </c>
      <c r="C164" s="138">
        <f t="shared" si="37"/>
        <v>0</v>
      </c>
      <c r="D164" s="138">
        <f t="shared" si="26"/>
        <v>0</v>
      </c>
      <c r="E164" s="138">
        <f t="shared" si="27"/>
        <v>0</v>
      </c>
      <c r="F164" s="138">
        <f t="shared" si="28"/>
        <v>0</v>
      </c>
      <c r="G164" s="138">
        <f t="shared" si="29"/>
        <v>0</v>
      </c>
      <c r="H164" s="138">
        <f t="shared" si="30"/>
        <v>0</v>
      </c>
      <c r="I164" s="138">
        <f t="shared" si="31"/>
        <v>0</v>
      </c>
      <c r="J164" s="138">
        <f t="shared" si="32"/>
        <v>0</v>
      </c>
      <c r="K164" s="138">
        <f t="shared" si="33"/>
        <v>0</v>
      </c>
      <c r="L164" s="138">
        <f t="shared" si="34"/>
        <v>0</v>
      </c>
      <c r="M164" s="138">
        <f t="shared" si="35"/>
        <v>0</v>
      </c>
      <c r="N164" s="138">
        <f t="shared" si="36"/>
        <v>0</v>
      </c>
      <c r="O164" s="86">
        <f t="shared" si="38"/>
        <v>0</v>
      </c>
      <c r="P164" s="138">
        <v>0</v>
      </c>
      <c r="Q164" s="138">
        <v>0</v>
      </c>
      <c r="R164" s="138">
        <v>0</v>
      </c>
      <c r="S164" s="138">
        <v>0</v>
      </c>
      <c r="T164" s="138">
        <v>0</v>
      </c>
      <c r="U164" s="138">
        <v>0</v>
      </c>
      <c r="V164" s="138">
        <v>0</v>
      </c>
      <c r="W164" s="138">
        <v>0</v>
      </c>
      <c r="X164" s="138">
        <v>0</v>
      </c>
      <c r="Y164" s="138">
        <v>0</v>
      </c>
      <c r="Z164" s="138">
        <v>0</v>
      </c>
      <c r="AA164" s="138">
        <v>0</v>
      </c>
      <c r="AB164" s="86">
        <v>0</v>
      </c>
      <c r="AC164" s="138">
        <v>0</v>
      </c>
      <c r="AD164" s="138">
        <v>0</v>
      </c>
      <c r="AE164" s="138">
        <v>0</v>
      </c>
      <c r="AF164" s="138">
        <v>0</v>
      </c>
      <c r="AG164" s="138">
        <v>0</v>
      </c>
      <c r="AH164" s="138">
        <v>0</v>
      </c>
      <c r="AI164" s="138">
        <v>0</v>
      </c>
      <c r="AJ164" s="138">
        <v>0</v>
      </c>
      <c r="AK164" s="138">
        <v>0</v>
      </c>
      <c r="AL164" s="138">
        <v>0</v>
      </c>
      <c r="AM164" s="138">
        <v>0</v>
      </c>
      <c r="AN164" s="138">
        <v>0</v>
      </c>
      <c r="AO164" s="86">
        <v>0</v>
      </c>
      <c r="AP164" s="138">
        <v>0</v>
      </c>
      <c r="AQ164" s="138">
        <v>0</v>
      </c>
      <c r="AR164" s="138">
        <v>0</v>
      </c>
      <c r="AS164" s="138">
        <v>0</v>
      </c>
      <c r="AT164" s="138">
        <v>0</v>
      </c>
      <c r="AU164" s="138">
        <v>0</v>
      </c>
      <c r="AV164" s="138">
        <v>0</v>
      </c>
      <c r="AW164" s="138">
        <v>0</v>
      </c>
      <c r="AX164" s="138">
        <v>0</v>
      </c>
      <c r="AY164" s="138">
        <v>0</v>
      </c>
      <c r="AZ164" s="138">
        <v>0</v>
      </c>
      <c r="BA164" s="138">
        <v>0</v>
      </c>
      <c r="BB164" s="86">
        <v>0</v>
      </c>
      <c r="BC164" s="138">
        <v>0</v>
      </c>
      <c r="BD164" s="138">
        <v>0</v>
      </c>
      <c r="BE164" s="138">
        <v>0</v>
      </c>
      <c r="BF164" s="138">
        <v>0</v>
      </c>
      <c r="BG164" s="138">
        <v>0</v>
      </c>
      <c r="BH164" s="138">
        <v>0</v>
      </c>
      <c r="BI164" s="138">
        <v>0</v>
      </c>
      <c r="BJ164" s="138">
        <v>0</v>
      </c>
      <c r="BK164" s="138">
        <v>0</v>
      </c>
      <c r="BL164" s="138">
        <v>0</v>
      </c>
      <c r="BM164" s="138">
        <v>0</v>
      </c>
      <c r="BN164" s="138">
        <v>0</v>
      </c>
      <c r="BO164" s="86">
        <v>0</v>
      </c>
      <c r="BP164" s="138">
        <v>0</v>
      </c>
      <c r="BQ164" s="138">
        <v>0</v>
      </c>
      <c r="BR164" s="138">
        <v>0</v>
      </c>
      <c r="BS164" s="138">
        <v>0</v>
      </c>
      <c r="BT164" s="138">
        <v>0</v>
      </c>
      <c r="BU164" s="138">
        <v>0</v>
      </c>
      <c r="BV164" s="138">
        <v>0</v>
      </c>
      <c r="BW164" s="138">
        <v>0</v>
      </c>
      <c r="BX164" s="138">
        <v>0</v>
      </c>
      <c r="BY164" s="138">
        <v>0</v>
      </c>
      <c r="BZ164" s="138">
        <v>0</v>
      </c>
      <c r="CA164" s="138">
        <v>0</v>
      </c>
      <c r="CB164" s="86">
        <v>0</v>
      </c>
      <c r="CC164" s="138">
        <v>0</v>
      </c>
      <c r="CD164" s="138">
        <v>0</v>
      </c>
      <c r="CE164" s="138">
        <v>0</v>
      </c>
      <c r="CF164" s="138">
        <v>0</v>
      </c>
      <c r="CG164" s="138">
        <v>0</v>
      </c>
      <c r="CH164" s="138">
        <v>0</v>
      </c>
      <c r="CI164" s="138">
        <v>0</v>
      </c>
      <c r="CJ164" s="138">
        <v>0</v>
      </c>
      <c r="CK164" s="138">
        <v>0</v>
      </c>
      <c r="CL164" s="138">
        <v>0</v>
      </c>
      <c r="CM164" s="138">
        <v>0</v>
      </c>
      <c r="CN164" s="138">
        <v>0</v>
      </c>
      <c r="CO164" s="86">
        <v>0</v>
      </c>
      <c r="CP164" s="138">
        <v>0</v>
      </c>
      <c r="CQ164" s="138">
        <v>0</v>
      </c>
      <c r="CR164" s="138">
        <v>0</v>
      </c>
      <c r="CS164" s="138">
        <v>0</v>
      </c>
      <c r="CT164" s="138">
        <v>0</v>
      </c>
      <c r="CU164" s="138">
        <v>0</v>
      </c>
      <c r="CV164" s="138">
        <v>0</v>
      </c>
      <c r="CW164" s="138">
        <v>0</v>
      </c>
      <c r="CX164" s="138">
        <v>0</v>
      </c>
      <c r="CY164" s="138">
        <v>0</v>
      </c>
      <c r="CZ164" s="138">
        <v>0</v>
      </c>
      <c r="DA164" s="138">
        <v>0</v>
      </c>
      <c r="DB164" s="86">
        <v>0</v>
      </c>
      <c r="DC164" s="138">
        <v>0</v>
      </c>
      <c r="DD164" s="138">
        <v>0</v>
      </c>
      <c r="DE164" s="138">
        <v>0</v>
      </c>
      <c r="DF164" s="138">
        <v>0</v>
      </c>
      <c r="DG164" s="138">
        <v>0</v>
      </c>
      <c r="DH164" s="138">
        <v>0</v>
      </c>
      <c r="DI164" s="138">
        <v>0</v>
      </c>
      <c r="DJ164" s="138">
        <v>0</v>
      </c>
      <c r="DK164" s="138">
        <v>0</v>
      </c>
      <c r="DL164" s="138">
        <v>0</v>
      </c>
      <c r="DM164" s="138">
        <v>0</v>
      </c>
      <c r="DN164" s="138">
        <v>0</v>
      </c>
      <c r="DO164" s="86">
        <v>0</v>
      </c>
      <c r="DP164" s="138">
        <v>0</v>
      </c>
      <c r="DQ164" s="138">
        <v>0</v>
      </c>
      <c r="DR164" s="138">
        <v>0</v>
      </c>
      <c r="DS164" s="138">
        <v>0</v>
      </c>
      <c r="DT164" s="138">
        <v>0</v>
      </c>
      <c r="DU164" s="138">
        <v>0</v>
      </c>
      <c r="DV164" s="138">
        <v>0</v>
      </c>
      <c r="DW164" s="138">
        <v>0</v>
      </c>
      <c r="DX164" s="138">
        <v>0</v>
      </c>
      <c r="DY164" s="138">
        <v>0</v>
      </c>
      <c r="DZ164" s="138">
        <v>0</v>
      </c>
      <c r="EA164" s="138">
        <v>0</v>
      </c>
      <c r="EB164" s="85">
        <v>0</v>
      </c>
      <c r="EC164" s="87">
        <v>0</v>
      </c>
      <c r="ED164" s="85">
        <v>0</v>
      </c>
      <c r="EE164" s="85">
        <v>0</v>
      </c>
      <c r="EF164" s="85">
        <v>0</v>
      </c>
      <c r="EG164" s="85">
        <v>0</v>
      </c>
      <c r="EH164" s="85">
        <v>0</v>
      </c>
      <c r="EI164" s="85">
        <v>0</v>
      </c>
      <c r="EJ164" s="85">
        <v>0</v>
      </c>
      <c r="EK164" s="85">
        <v>0</v>
      </c>
      <c r="EL164" s="85">
        <v>0</v>
      </c>
      <c r="EM164" s="85">
        <v>0</v>
      </c>
      <c r="EN164" s="85">
        <v>0</v>
      </c>
      <c r="EO164" s="152">
        <v>0</v>
      </c>
      <c r="EP164" s="85">
        <v>0</v>
      </c>
      <c r="EQ164" s="85">
        <v>0</v>
      </c>
      <c r="ER164" s="85">
        <v>0</v>
      </c>
      <c r="ES164" s="85">
        <v>0</v>
      </c>
      <c r="ET164" s="85">
        <v>0</v>
      </c>
      <c r="EU164" s="85">
        <v>0</v>
      </c>
      <c r="EV164" s="85">
        <v>0</v>
      </c>
      <c r="EW164" s="85">
        <v>0</v>
      </c>
      <c r="EX164" s="85">
        <v>0</v>
      </c>
      <c r="EY164" s="85">
        <v>0</v>
      </c>
      <c r="EZ164" s="85">
        <v>0</v>
      </c>
      <c r="FA164" s="85">
        <v>0</v>
      </c>
      <c r="FB164" s="85">
        <v>0</v>
      </c>
      <c r="FC164" s="87">
        <v>0</v>
      </c>
      <c r="FD164" s="85">
        <v>0</v>
      </c>
      <c r="FE164" s="85">
        <v>0</v>
      </c>
      <c r="FF164" s="85">
        <v>0</v>
      </c>
      <c r="FG164" s="85">
        <v>0</v>
      </c>
      <c r="FH164" s="85">
        <v>0</v>
      </c>
      <c r="FI164" s="85">
        <v>0</v>
      </c>
      <c r="FJ164" s="85">
        <v>0</v>
      </c>
      <c r="FK164" s="85">
        <v>0</v>
      </c>
      <c r="FL164" s="85">
        <v>0</v>
      </c>
      <c r="FM164" s="85">
        <v>0</v>
      </c>
      <c r="FN164" s="85">
        <v>0</v>
      </c>
      <c r="FO164" s="86">
        <v>0</v>
      </c>
      <c r="FP164" s="87">
        <v>0</v>
      </c>
      <c r="FQ164" s="85">
        <v>0</v>
      </c>
      <c r="FR164" s="85">
        <v>0</v>
      </c>
      <c r="FS164" s="85">
        <v>0</v>
      </c>
      <c r="FT164" s="85">
        <v>0</v>
      </c>
      <c r="FU164" s="85">
        <v>0</v>
      </c>
      <c r="FV164" s="85">
        <v>0</v>
      </c>
      <c r="FW164" s="85">
        <v>0</v>
      </c>
      <c r="FX164" s="85">
        <v>0</v>
      </c>
      <c r="FY164" s="85">
        <v>0</v>
      </c>
      <c r="FZ164" s="85">
        <v>0</v>
      </c>
      <c r="GA164" s="85">
        <v>0</v>
      </c>
      <c r="GB164" s="152">
        <v>0</v>
      </c>
      <c r="GD164" s="153"/>
    </row>
    <row r="165" spans="1:186">
      <c r="A165" s="137" t="s">
        <v>336</v>
      </c>
      <c r="B165" s="151">
        <v>0</v>
      </c>
      <c r="C165" s="138">
        <f t="shared" si="37"/>
        <v>0</v>
      </c>
      <c r="D165" s="138">
        <f t="shared" si="26"/>
        <v>0</v>
      </c>
      <c r="E165" s="138">
        <f t="shared" si="27"/>
        <v>0</v>
      </c>
      <c r="F165" s="138">
        <f t="shared" si="28"/>
        <v>0</v>
      </c>
      <c r="G165" s="138">
        <f t="shared" si="29"/>
        <v>0</v>
      </c>
      <c r="H165" s="138">
        <f t="shared" si="30"/>
        <v>0</v>
      </c>
      <c r="I165" s="138">
        <f t="shared" si="31"/>
        <v>0</v>
      </c>
      <c r="J165" s="138">
        <f t="shared" si="32"/>
        <v>0</v>
      </c>
      <c r="K165" s="138">
        <f t="shared" si="33"/>
        <v>0</v>
      </c>
      <c r="L165" s="138">
        <f t="shared" si="34"/>
        <v>0</v>
      </c>
      <c r="M165" s="138">
        <f t="shared" si="35"/>
        <v>0</v>
      </c>
      <c r="N165" s="138">
        <f t="shared" si="36"/>
        <v>0</v>
      </c>
      <c r="O165" s="86">
        <f t="shared" si="38"/>
        <v>0</v>
      </c>
      <c r="P165" s="138">
        <v>0</v>
      </c>
      <c r="Q165" s="138">
        <v>0</v>
      </c>
      <c r="R165" s="138">
        <v>0</v>
      </c>
      <c r="S165" s="138">
        <v>0</v>
      </c>
      <c r="T165" s="138">
        <v>0</v>
      </c>
      <c r="U165" s="138">
        <v>0</v>
      </c>
      <c r="V165" s="138">
        <v>0</v>
      </c>
      <c r="W165" s="138">
        <v>0</v>
      </c>
      <c r="X165" s="138">
        <v>0</v>
      </c>
      <c r="Y165" s="138">
        <v>0</v>
      </c>
      <c r="Z165" s="138">
        <v>0</v>
      </c>
      <c r="AA165" s="138">
        <v>0</v>
      </c>
      <c r="AB165" s="86">
        <v>0</v>
      </c>
      <c r="AC165" s="138">
        <v>0</v>
      </c>
      <c r="AD165" s="138">
        <v>0</v>
      </c>
      <c r="AE165" s="138">
        <v>0</v>
      </c>
      <c r="AF165" s="138">
        <v>0</v>
      </c>
      <c r="AG165" s="138">
        <v>0</v>
      </c>
      <c r="AH165" s="138">
        <v>0</v>
      </c>
      <c r="AI165" s="138">
        <v>0</v>
      </c>
      <c r="AJ165" s="138">
        <v>0</v>
      </c>
      <c r="AK165" s="138">
        <v>0</v>
      </c>
      <c r="AL165" s="138">
        <v>0</v>
      </c>
      <c r="AM165" s="138">
        <v>0</v>
      </c>
      <c r="AN165" s="138">
        <v>0</v>
      </c>
      <c r="AO165" s="86">
        <v>0</v>
      </c>
      <c r="AP165" s="138">
        <v>0</v>
      </c>
      <c r="AQ165" s="138">
        <v>0</v>
      </c>
      <c r="AR165" s="138">
        <v>0</v>
      </c>
      <c r="AS165" s="138">
        <v>0</v>
      </c>
      <c r="AT165" s="138">
        <v>0</v>
      </c>
      <c r="AU165" s="138">
        <v>0</v>
      </c>
      <c r="AV165" s="138">
        <v>0</v>
      </c>
      <c r="AW165" s="138">
        <v>0</v>
      </c>
      <c r="AX165" s="138">
        <v>0</v>
      </c>
      <c r="AY165" s="138">
        <v>0</v>
      </c>
      <c r="AZ165" s="138">
        <v>0</v>
      </c>
      <c r="BA165" s="138">
        <v>0</v>
      </c>
      <c r="BB165" s="86">
        <v>0</v>
      </c>
      <c r="BC165" s="138">
        <v>0</v>
      </c>
      <c r="BD165" s="138">
        <v>0</v>
      </c>
      <c r="BE165" s="138">
        <v>0</v>
      </c>
      <c r="BF165" s="138">
        <v>0</v>
      </c>
      <c r="BG165" s="138">
        <v>0</v>
      </c>
      <c r="BH165" s="138">
        <v>0</v>
      </c>
      <c r="BI165" s="138">
        <v>0</v>
      </c>
      <c r="BJ165" s="138">
        <v>0</v>
      </c>
      <c r="BK165" s="138">
        <v>0</v>
      </c>
      <c r="BL165" s="138">
        <v>0</v>
      </c>
      <c r="BM165" s="138">
        <v>0</v>
      </c>
      <c r="BN165" s="138">
        <v>0</v>
      </c>
      <c r="BO165" s="86">
        <v>0</v>
      </c>
      <c r="BP165" s="138">
        <v>0</v>
      </c>
      <c r="BQ165" s="138">
        <v>0</v>
      </c>
      <c r="BR165" s="138">
        <v>0</v>
      </c>
      <c r="BS165" s="138">
        <v>0</v>
      </c>
      <c r="BT165" s="138">
        <v>0</v>
      </c>
      <c r="BU165" s="138">
        <v>0</v>
      </c>
      <c r="BV165" s="138">
        <v>0</v>
      </c>
      <c r="BW165" s="138">
        <v>0</v>
      </c>
      <c r="BX165" s="138">
        <v>0</v>
      </c>
      <c r="BY165" s="138">
        <v>0</v>
      </c>
      <c r="BZ165" s="138">
        <v>0</v>
      </c>
      <c r="CA165" s="138">
        <v>0</v>
      </c>
      <c r="CB165" s="86">
        <v>0</v>
      </c>
      <c r="CC165" s="138">
        <v>0</v>
      </c>
      <c r="CD165" s="138">
        <v>0</v>
      </c>
      <c r="CE165" s="138">
        <v>0</v>
      </c>
      <c r="CF165" s="138">
        <v>0</v>
      </c>
      <c r="CG165" s="138">
        <v>0</v>
      </c>
      <c r="CH165" s="138">
        <v>0</v>
      </c>
      <c r="CI165" s="138">
        <v>0</v>
      </c>
      <c r="CJ165" s="138">
        <v>0</v>
      </c>
      <c r="CK165" s="138">
        <v>0</v>
      </c>
      <c r="CL165" s="138">
        <v>0</v>
      </c>
      <c r="CM165" s="138">
        <v>0</v>
      </c>
      <c r="CN165" s="138">
        <v>0</v>
      </c>
      <c r="CO165" s="86">
        <v>0</v>
      </c>
      <c r="CP165" s="138">
        <v>0</v>
      </c>
      <c r="CQ165" s="138">
        <v>0</v>
      </c>
      <c r="CR165" s="138">
        <v>0</v>
      </c>
      <c r="CS165" s="138">
        <v>0</v>
      </c>
      <c r="CT165" s="138">
        <v>0</v>
      </c>
      <c r="CU165" s="138">
        <v>0</v>
      </c>
      <c r="CV165" s="138">
        <v>0</v>
      </c>
      <c r="CW165" s="138">
        <v>0</v>
      </c>
      <c r="CX165" s="138">
        <v>0</v>
      </c>
      <c r="CY165" s="138">
        <v>0</v>
      </c>
      <c r="CZ165" s="138">
        <v>0</v>
      </c>
      <c r="DA165" s="138">
        <v>0</v>
      </c>
      <c r="DB165" s="86">
        <v>0</v>
      </c>
      <c r="DC165" s="138">
        <v>0</v>
      </c>
      <c r="DD165" s="138">
        <v>0</v>
      </c>
      <c r="DE165" s="138">
        <v>0</v>
      </c>
      <c r="DF165" s="138">
        <v>0</v>
      </c>
      <c r="DG165" s="138">
        <v>0</v>
      </c>
      <c r="DH165" s="138">
        <v>0</v>
      </c>
      <c r="DI165" s="138">
        <v>0</v>
      </c>
      <c r="DJ165" s="138">
        <v>0</v>
      </c>
      <c r="DK165" s="138">
        <v>0</v>
      </c>
      <c r="DL165" s="138">
        <v>0</v>
      </c>
      <c r="DM165" s="138">
        <v>0</v>
      </c>
      <c r="DN165" s="138">
        <v>0</v>
      </c>
      <c r="DO165" s="86">
        <v>0</v>
      </c>
      <c r="DP165" s="138">
        <v>0</v>
      </c>
      <c r="DQ165" s="138">
        <v>0</v>
      </c>
      <c r="DR165" s="138">
        <v>0</v>
      </c>
      <c r="DS165" s="138">
        <v>0</v>
      </c>
      <c r="DT165" s="138">
        <v>0</v>
      </c>
      <c r="DU165" s="138">
        <v>0</v>
      </c>
      <c r="DV165" s="138">
        <v>0</v>
      </c>
      <c r="DW165" s="138">
        <v>0</v>
      </c>
      <c r="DX165" s="138">
        <v>0</v>
      </c>
      <c r="DY165" s="138">
        <v>0</v>
      </c>
      <c r="DZ165" s="138">
        <v>0</v>
      </c>
      <c r="EA165" s="138">
        <v>0</v>
      </c>
      <c r="EB165" s="85">
        <v>0</v>
      </c>
      <c r="EC165" s="87">
        <v>0</v>
      </c>
      <c r="ED165" s="85">
        <v>0</v>
      </c>
      <c r="EE165" s="85">
        <v>0</v>
      </c>
      <c r="EF165" s="85">
        <v>0</v>
      </c>
      <c r="EG165" s="85">
        <v>0</v>
      </c>
      <c r="EH165" s="85">
        <v>0</v>
      </c>
      <c r="EI165" s="85">
        <v>0</v>
      </c>
      <c r="EJ165" s="85">
        <v>0</v>
      </c>
      <c r="EK165" s="85">
        <v>0</v>
      </c>
      <c r="EL165" s="85">
        <v>0</v>
      </c>
      <c r="EM165" s="85">
        <v>0</v>
      </c>
      <c r="EN165" s="85">
        <v>0</v>
      </c>
      <c r="EO165" s="152">
        <v>0</v>
      </c>
      <c r="EP165" s="85">
        <v>0</v>
      </c>
      <c r="EQ165" s="85">
        <v>0</v>
      </c>
      <c r="ER165" s="85">
        <v>0</v>
      </c>
      <c r="ES165" s="85">
        <v>0</v>
      </c>
      <c r="ET165" s="85">
        <v>0</v>
      </c>
      <c r="EU165" s="85">
        <v>0</v>
      </c>
      <c r="EV165" s="85">
        <v>0</v>
      </c>
      <c r="EW165" s="85">
        <v>0</v>
      </c>
      <c r="EX165" s="85">
        <v>0</v>
      </c>
      <c r="EY165" s="85">
        <v>0</v>
      </c>
      <c r="EZ165" s="85">
        <v>0</v>
      </c>
      <c r="FA165" s="85">
        <v>0</v>
      </c>
      <c r="FB165" s="85">
        <v>0</v>
      </c>
      <c r="FC165" s="87">
        <v>0</v>
      </c>
      <c r="FD165" s="85">
        <v>0</v>
      </c>
      <c r="FE165" s="85">
        <v>0</v>
      </c>
      <c r="FF165" s="85">
        <v>0</v>
      </c>
      <c r="FG165" s="85">
        <v>0</v>
      </c>
      <c r="FH165" s="85">
        <v>0</v>
      </c>
      <c r="FI165" s="85">
        <v>0</v>
      </c>
      <c r="FJ165" s="85">
        <v>0</v>
      </c>
      <c r="FK165" s="85">
        <v>0</v>
      </c>
      <c r="FL165" s="85">
        <v>0</v>
      </c>
      <c r="FM165" s="85">
        <v>0</v>
      </c>
      <c r="FN165" s="85">
        <v>0</v>
      </c>
      <c r="FO165" s="86">
        <v>0</v>
      </c>
      <c r="FP165" s="87">
        <v>0</v>
      </c>
      <c r="FQ165" s="85">
        <v>0</v>
      </c>
      <c r="FR165" s="85">
        <v>0</v>
      </c>
      <c r="FS165" s="85">
        <v>0</v>
      </c>
      <c r="FT165" s="85">
        <v>0</v>
      </c>
      <c r="FU165" s="85">
        <v>0</v>
      </c>
      <c r="FV165" s="85">
        <v>0</v>
      </c>
      <c r="FW165" s="85">
        <v>0</v>
      </c>
      <c r="FX165" s="85">
        <v>0</v>
      </c>
      <c r="FY165" s="85">
        <v>0</v>
      </c>
      <c r="FZ165" s="85">
        <v>0</v>
      </c>
      <c r="GA165" s="85">
        <v>0</v>
      </c>
      <c r="GB165" s="152">
        <v>0</v>
      </c>
      <c r="GD165" s="153"/>
    </row>
    <row r="166" spans="1:186">
      <c r="A166" s="137" t="s">
        <v>337</v>
      </c>
      <c r="B166" s="151">
        <v>0</v>
      </c>
      <c r="C166" s="138">
        <f t="shared" si="37"/>
        <v>0</v>
      </c>
      <c r="D166" s="138">
        <f t="shared" si="26"/>
        <v>0</v>
      </c>
      <c r="E166" s="138">
        <f t="shared" si="27"/>
        <v>0</v>
      </c>
      <c r="F166" s="138">
        <f t="shared" si="28"/>
        <v>0</v>
      </c>
      <c r="G166" s="138">
        <f t="shared" si="29"/>
        <v>0</v>
      </c>
      <c r="H166" s="138">
        <f t="shared" si="30"/>
        <v>0</v>
      </c>
      <c r="I166" s="138">
        <f t="shared" si="31"/>
        <v>0</v>
      </c>
      <c r="J166" s="138">
        <f t="shared" si="32"/>
        <v>0</v>
      </c>
      <c r="K166" s="138">
        <f t="shared" si="33"/>
        <v>0</v>
      </c>
      <c r="L166" s="138">
        <f t="shared" si="34"/>
        <v>0</v>
      </c>
      <c r="M166" s="138">
        <f t="shared" si="35"/>
        <v>0</v>
      </c>
      <c r="N166" s="138">
        <f t="shared" si="36"/>
        <v>0</v>
      </c>
      <c r="O166" s="86">
        <f t="shared" si="38"/>
        <v>0</v>
      </c>
      <c r="P166" s="138">
        <v>0</v>
      </c>
      <c r="Q166" s="138">
        <v>0</v>
      </c>
      <c r="R166" s="138">
        <v>0</v>
      </c>
      <c r="S166" s="138">
        <v>0</v>
      </c>
      <c r="T166" s="138">
        <v>0</v>
      </c>
      <c r="U166" s="138">
        <v>0</v>
      </c>
      <c r="V166" s="138">
        <v>0</v>
      </c>
      <c r="W166" s="138">
        <v>0</v>
      </c>
      <c r="X166" s="138">
        <v>0</v>
      </c>
      <c r="Y166" s="138">
        <v>0</v>
      </c>
      <c r="Z166" s="138">
        <v>0</v>
      </c>
      <c r="AA166" s="138">
        <v>0</v>
      </c>
      <c r="AB166" s="86">
        <v>0</v>
      </c>
      <c r="AC166" s="138">
        <v>0</v>
      </c>
      <c r="AD166" s="138">
        <v>0</v>
      </c>
      <c r="AE166" s="138">
        <v>0</v>
      </c>
      <c r="AF166" s="138">
        <v>0</v>
      </c>
      <c r="AG166" s="138">
        <v>0</v>
      </c>
      <c r="AH166" s="138">
        <v>0</v>
      </c>
      <c r="AI166" s="138">
        <v>0</v>
      </c>
      <c r="AJ166" s="138">
        <v>0</v>
      </c>
      <c r="AK166" s="138">
        <v>0</v>
      </c>
      <c r="AL166" s="138">
        <v>0</v>
      </c>
      <c r="AM166" s="138">
        <v>0</v>
      </c>
      <c r="AN166" s="138">
        <v>0</v>
      </c>
      <c r="AO166" s="86">
        <v>0</v>
      </c>
      <c r="AP166" s="138">
        <v>0</v>
      </c>
      <c r="AQ166" s="138">
        <v>0</v>
      </c>
      <c r="AR166" s="138">
        <v>0</v>
      </c>
      <c r="AS166" s="138">
        <v>0</v>
      </c>
      <c r="AT166" s="138">
        <v>0</v>
      </c>
      <c r="AU166" s="138">
        <v>0</v>
      </c>
      <c r="AV166" s="138">
        <v>0</v>
      </c>
      <c r="AW166" s="138">
        <v>0</v>
      </c>
      <c r="AX166" s="138">
        <v>0</v>
      </c>
      <c r="AY166" s="138">
        <v>0</v>
      </c>
      <c r="AZ166" s="138">
        <v>0</v>
      </c>
      <c r="BA166" s="138">
        <v>0</v>
      </c>
      <c r="BB166" s="86">
        <v>0</v>
      </c>
      <c r="BC166" s="138">
        <v>0</v>
      </c>
      <c r="BD166" s="138">
        <v>0</v>
      </c>
      <c r="BE166" s="138">
        <v>0</v>
      </c>
      <c r="BF166" s="138">
        <v>0</v>
      </c>
      <c r="BG166" s="138">
        <v>0</v>
      </c>
      <c r="BH166" s="138">
        <v>0</v>
      </c>
      <c r="BI166" s="138">
        <v>0</v>
      </c>
      <c r="BJ166" s="138">
        <v>0</v>
      </c>
      <c r="BK166" s="138">
        <v>0</v>
      </c>
      <c r="BL166" s="138">
        <v>0</v>
      </c>
      <c r="BM166" s="138">
        <v>0</v>
      </c>
      <c r="BN166" s="138">
        <v>0</v>
      </c>
      <c r="BO166" s="86">
        <v>0</v>
      </c>
      <c r="BP166" s="138">
        <v>0</v>
      </c>
      <c r="BQ166" s="138">
        <v>0</v>
      </c>
      <c r="BR166" s="138">
        <v>0</v>
      </c>
      <c r="BS166" s="138">
        <v>0</v>
      </c>
      <c r="BT166" s="138">
        <v>0</v>
      </c>
      <c r="BU166" s="138">
        <v>0</v>
      </c>
      <c r="BV166" s="138">
        <v>0</v>
      </c>
      <c r="BW166" s="138">
        <v>0</v>
      </c>
      <c r="BX166" s="138">
        <v>0</v>
      </c>
      <c r="BY166" s="138">
        <v>0</v>
      </c>
      <c r="BZ166" s="138">
        <v>0</v>
      </c>
      <c r="CA166" s="138">
        <v>0</v>
      </c>
      <c r="CB166" s="86">
        <v>0</v>
      </c>
      <c r="CC166" s="138">
        <v>0</v>
      </c>
      <c r="CD166" s="138">
        <v>0</v>
      </c>
      <c r="CE166" s="138">
        <v>0</v>
      </c>
      <c r="CF166" s="138">
        <v>0</v>
      </c>
      <c r="CG166" s="138">
        <v>0</v>
      </c>
      <c r="CH166" s="138">
        <v>0</v>
      </c>
      <c r="CI166" s="138">
        <v>0</v>
      </c>
      <c r="CJ166" s="138">
        <v>0</v>
      </c>
      <c r="CK166" s="138">
        <v>0</v>
      </c>
      <c r="CL166" s="138">
        <v>0</v>
      </c>
      <c r="CM166" s="138">
        <v>0</v>
      </c>
      <c r="CN166" s="138">
        <v>0</v>
      </c>
      <c r="CO166" s="86">
        <v>0</v>
      </c>
      <c r="CP166" s="138">
        <v>0</v>
      </c>
      <c r="CQ166" s="138">
        <v>0</v>
      </c>
      <c r="CR166" s="138">
        <v>0</v>
      </c>
      <c r="CS166" s="138">
        <v>0</v>
      </c>
      <c r="CT166" s="138">
        <v>0</v>
      </c>
      <c r="CU166" s="138">
        <v>0</v>
      </c>
      <c r="CV166" s="138">
        <v>0</v>
      </c>
      <c r="CW166" s="138">
        <v>0</v>
      </c>
      <c r="CX166" s="138">
        <v>0</v>
      </c>
      <c r="CY166" s="138">
        <v>0</v>
      </c>
      <c r="CZ166" s="138">
        <v>0</v>
      </c>
      <c r="DA166" s="138">
        <v>0</v>
      </c>
      <c r="DB166" s="86">
        <v>0</v>
      </c>
      <c r="DC166" s="138">
        <v>0</v>
      </c>
      <c r="DD166" s="138">
        <v>0</v>
      </c>
      <c r="DE166" s="138">
        <v>0</v>
      </c>
      <c r="DF166" s="138">
        <v>0</v>
      </c>
      <c r="DG166" s="138">
        <v>0</v>
      </c>
      <c r="DH166" s="138">
        <v>0</v>
      </c>
      <c r="DI166" s="138">
        <v>0</v>
      </c>
      <c r="DJ166" s="138">
        <v>0</v>
      </c>
      <c r="DK166" s="138">
        <v>0</v>
      </c>
      <c r="DL166" s="138">
        <v>0</v>
      </c>
      <c r="DM166" s="138">
        <v>0</v>
      </c>
      <c r="DN166" s="138">
        <v>0</v>
      </c>
      <c r="DO166" s="86">
        <v>0</v>
      </c>
      <c r="DP166" s="138">
        <v>0</v>
      </c>
      <c r="DQ166" s="138">
        <v>0</v>
      </c>
      <c r="DR166" s="138">
        <v>0</v>
      </c>
      <c r="DS166" s="138">
        <v>0</v>
      </c>
      <c r="DT166" s="138">
        <v>0</v>
      </c>
      <c r="DU166" s="138">
        <v>0</v>
      </c>
      <c r="DV166" s="138">
        <v>0</v>
      </c>
      <c r="DW166" s="138">
        <v>0</v>
      </c>
      <c r="DX166" s="138">
        <v>0</v>
      </c>
      <c r="DY166" s="138">
        <v>0</v>
      </c>
      <c r="DZ166" s="138">
        <v>0</v>
      </c>
      <c r="EA166" s="138">
        <v>0</v>
      </c>
      <c r="EB166" s="85">
        <v>0</v>
      </c>
      <c r="EC166" s="87">
        <v>0</v>
      </c>
      <c r="ED166" s="85">
        <v>0</v>
      </c>
      <c r="EE166" s="85">
        <v>0</v>
      </c>
      <c r="EF166" s="85">
        <v>0</v>
      </c>
      <c r="EG166" s="85">
        <v>0</v>
      </c>
      <c r="EH166" s="85">
        <v>0</v>
      </c>
      <c r="EI166" s="85">
        <v>0</v>
      </c>
      <c r="EJ166" s="85">
        <v>0</v>
      </c>
      <c r="EK166" s="85">
        <v>0</v>
      </c>
      <c r="EL166" s="85">
        <v>0</v>
      </c>
      <c r="EM166" s="85">
        <v>0</v>
      </c>
      <c r="EN166" s="85">
        <v>0</v>
      </c>
      <c r="EO166" s="152">
        <v>0</v>
      </c>
      <c r="EP166" s="85">
        <v>0</v>
      </c>
      <c r="EQ166" s="85">
        <v>0</v>
      </c>
      <c r="ER166" s="85">
        <v>0</v>
      </c>
      <c r="ES166" s="85">
        <v>0</v>
      </c>
      <c r="ET166" s="85">
        <v>0</v>
      </c>
      <c r="EU166" s="85">
        <v>0</v>
      </c>
      <c r="EV166" s="85">
        <v>0</v>
      </c>
      <c r="EW166" s="85">
        <v>0</v>
      </c>
      <c r="EX166" s="85">
        <v>0</v>
      </c>
      <c r="EY166" s="85">
        <v>0</v>
      </c>
      <c r="EZ166" s="85">
        <v>0</v>
      </c>
      <c r="FA166" s="85">
        <v>0</v>
      </c>
      <c r="FB166" s="85">
        <v>0</v>
      </c>
      <c r="FC166" s="87">
        <v>0</v>
      </c>
      <c r="FD166" s="85">
        <v>0</v>
      </c>
      <c r="FE166" s="85">
        <v>0</v>
      </c>
      <c r="FF166" s="85">
        <v>0</v>
      </c>
      <c r="FG166" s="85">
        <v>0</v>
      </c>
      <c r="FH166" s="85">
        <v>0</v>
      </c>
      <c r="FI166" s="85">
        <v>0</v>
      </c>
      <c r="FJ166" s="85">
        <v>0</v>
      </c>
      <c r="FK166" s="85">
        <v>0</v>
      </c>
      <c r="FL166" s="85">
        <v>0</v>
      </c>
      <c r="FM166" s="85">
        <v>0</v>
      </c>
      <c r="FN166" s="85">
        <v>0</v>
      </c>
      <c r="FO166" s="86">
        <v>0</v>
      </c>
      <c r="FP166" s="87">
        <v>0</v>
      </c>
      <c r="FQ166" s="85">
        <v>0</v>
      </c>
      <c r="FR166" s="85">
        <v>0</v>
      </c>
      <c r="FS166" s="85">
        <v>0</v>
      </c>
      <c r="FT166" s="85">
        <v>0</v>
      </c>
      <c r="FU166" s="85">
        <v>0</v>
      </c>
      <c r="FV166" s="85">
        <v>0</v>
      </c>
      <c r="FW166" s="85">
        <v>0</v>
      </c>
      <c r="FX166" s="85">
        <v>0</v>
      </c>
      <c r="FY166" s="85">
        <v>0</v>
      </c>
      <c r="FZ166" s="85">
        <v>0</v>
      </c>
      <c r="GA166" s="85">
        <v>0</v>
      </c>
      <c r="GB166" s="152">
        <v>0</v>
      </c>
      <c r="GD166" s="153"/>
    </row>
    <row r="167" spans="1:186">
      <c r="A167" s="137" t="s">
        <v>338</v>
      </c>
      <c r="B167" s="151">
        <v>0</v>
      </c>
      <c r="C167" s="138">
        <f t="shared" si="37"/>
        <v>0</v>
      </c>
      <c r="D167" s="138">
        <f t="shared" si="26"/>
        <v>0</v>
      </c>
      <c r="E167" s="138">
        <f t="shared" si="27"/>
        <v>0</v>
      </c>
      <c r="F167" s="138">
        <f t="shared" si="28"/>
        <v>0</v>
      </c>
      <c r="G167" s="138">
        <f t="shared" si="29"/>
        <v>0</v>
      </c>
      <c r="H167" s="138">
        <f t="shared" si="30"/>
        <v>0</v>
      </c>
      <c r="I167" s="138">
        <f t="shared" si="31"/>
        <v>0</v>
      </c>
      <c r="J167" s="138">
        <f t="shared" si="32"/>
        <v>0</v>
      </c>
      <c r="K167" s="138">
        <f t="shared" si="33"/>
        <v>0</v>
      </c>
      <c r="L167" s="138">
        <f t="shared" si="34"/>
        <v>0</v>
      </c>
      <c r="M167" s="138">
        <f t="shared" si="35"/>
        <v>0</v>
      </c>
      <c r="N167" s="138">
        <f t="shared" si="36"/>
        <v>0</v>
      </c>
      <c r="O167" s="86">
        <f t="shared" si="38"/>
        <v>0</v>
      </c>
      <c r="P167" s="138">
        <v>0</v>
      </c>
      <c r="Q167" s="138">
        <v>0</v>
      </c>
      <c r="R167" s="138">
        <v>0</v>
      </c>
      <c r="S167" s="138">
        <v>0</v>
      </c>
      <c r="T167" s="138">
        <v>0</v>
      </c>
      <c r="U167" s="138">
        <v>0</v>
      </c>
      <c r="V167" s="138">
        <v>0</v>
      </c>
      <c r="W167" s="138">
        <v>0</v>
      </c>
      <c r="X167" s="138">
        <v>0</v>
      </c>
      <c r="Y167" s="138">
        <v>0</v>
      </c>
      <c r="Z167" s="138">
        <v>0</v>
      </c>
      <c r="AA167" s="138">
        <v>0</v>
      </c>
      <c r="AB167" s="86">
        <v>0</v>
      </c>
      <c r="AC167" s="138">
        <v>0</v>
      </c>
      <c r="AD167" s="138">
        <v>0</v>
      </c>
      <c r="AE167" s="138">
        <v>0</v>
      </c>
      <c r="AF167" s="138">
        <v>0</v>
      </c>
      <c r="AG167" s="138">
        <v>0</v>
      </c>
      <c r="AH167" s="138">
        <v>0</v>
      </c>
      <c r="AI167" s="138">
        <v>0</v>
      </c>
      <c r="AJ167" s="138">
        <v>0</v>
      </c>
      <c r="AK167" s="138">
        <v>0</v>
      </c>
      <c r="AL167" s="138">
        <v>0</v>
      </c>
      <c r="AM167" s="138">
        <v>0</v>
      </c>
      <c r="AN167" s="138">
        <v>0</v>
      </c>
      <c r="AO167" s="86">
        <v>0</v>
      </c>
      <c r="AP167" s="138">
        <v>0</v>
      </c>
      <c r="AQ167" s="138">
        <v>0</v>
      </c>
      <c r="AR167" s="138">
        <v>0</v>
      </c>
      <c r="AS167" s="138">
        <v>0</v>
      </c>
      <c r="AT167" s="138">
        <v>0</v>
      </c>
      <c r="AU167" s="138">
        <v>0</v>
      </c>
      <c r="AV167" s="138">
        <v>0</v>
      </c>
      <c r="AW167" s="138">
        <v>0</v>
      </c>
      <c r="AX167" s="138">
        <v>0</v>
      </c>
      <c r="AY167" s="138">
        <v>0</v>
      </c>
      <c r="AZ167" s="138">
        <v>0</v>
      </c>
      <c r="BA167" s="138">
        <v>0</v>
      </c>
      <c r="BB167" s="86">
        <v>0</v>
      </c>
      <c r="BC167" s="138">
        <v>0</v>
      </c>
      <c r="BD167" s="138">
        <v>0</v>
      </c>
      <c r="BE167" s="138">
        <v>0</v>
      </c>
      <c r="BF167" s="138">
        <v>0</v>
      </c>
      <c r="BG167" s="138">
        <v>0</v>
      </c>
      <c r="BH167" s="138">
        <v>0</v>
      </c>
      <c r="BI167" s="138">
        <v>0</v>
      </c>
      <c r="BJ167" s="138">
        <v>0</v>
      </c>
      <c r="BK167" s="138">
        <v>0</v>
      </c>
      <c r="BL167" s="138">
        <v>0</v>
      </c>
      <c r="BM167" s="138">
        <v>0</v>
      </c>
      <c r="BN167" s="138">
        <v>0</v>
      </c>
      <c r="BO167" s="86">
        <v>0</v>
      </c>
      <c r="BP167" s="138">
        <v>0</v>
      </c>
      <c r="BQ167" s="138">
        <v>0</v>
      </c>
      <c r="BR167" s="138">
        <v>0</v>
      </c>
      <c r="BS167" s="138">
        <v>0</v>
      </c>
      <c r="BT167" s="138">
        <v>0</v>
      </c>
      <c r="BU167" s="138">
        <v>0</v>
      </c>
      <c r="BV167" s="138">
        <v>0</v>
      </c>
      <c r="BW167" s="138">
        <v>0</v>
      </c>
      <c r="BX167" s="138">
        <v>0</v>
      </c>
      <c r="BY167" s="138">
        <v>0</v>
      </c>
      <c r="BZ167" s="138">
        <v>0</v>
      </c>
      <c r="CA167" s="138">
        <v>0</v>
      </c>
      <c r="CB167" s="86">
        <v>0</v>
      </c>
      <c r="CC167" s="138">
        <v>0</v>
      </c>
      <c r="CD167" s="138">
        <v>0</v>
      </c>
      <c r="CE167" s="138">
        <v>0</v>
      </c>
      <c r="CF167" s="138">
        <v>0</v>
      </c>
      <c r="CG167" s="138">
        <v>0</v>
      </c>
      <c r="CH167" s="138">
        <v>0</v>
      </c>
      <c r="CI167" s="138">
        <v>0</v>
      </c>
      <c r="CJ167" s="138">
        <v>0</v>
      </c>
      <c r="CK167" s="138">
        <v>0</v>
      </c>
      <c r="CL167" s="138">
        <v>0</v>
      </c>
      <c r="CM167" s="138">
        <v>0</v>
      </c>
      <c r="CN167" s="138">
        <v>0</v>
      </c>
      <c r="CO167" s="86">
        <v>0</v>
      </c>
      <c r="CP167" s="138">
        <v>0</v>
      </c>
      <c r="CQ167" s="138">
        <v>0</v>
      </c>
      <c r="CR167" s="138">
        <v>0</v>
      </c>
      <c r="CS167" s="138">
        <v>0</v>
      </c>
      <c r="CT167" s="138">
        <v>0</v>
      </c>
      <c r="CU167" s="138">
        <v>0</v>
      </c>
      <c r="CV167" s="138">
        <v>0</v>
      </c>
      <c r="CW167" s="138">
        <v>0</v>
      </c>
      <c r="CX167" s="138">
        <v>0</v>
      </c>
      <c r="CY167" s="138">
        <v>0</v>
      </c>
      <c r="CZ167" s="138">
        <v>0</v>
      </c>
      <c r="DA167" s="138">
        <v>0</v>
      </c>
      <c r="DB167" s="86">
        <v>0</v>
      </c>
      <c r="DC167" s="138">
        <v>0</v>
      </c>
      <c r="DD167" s="138">
        <v>0</v>
      </c>
      <c r="DE167" s="138">
        <v>0</v>
      </c>
      <c r="DF167" s="138">
        <v>0</v>
      </c>
      <c r="DG167" s="138">
        <v>0</v>
      </c>
      <c r="DH167" s="138">
        <v>0</v>
      </c>
      <c r="DI167" s="138">
        <v>0</v>
      </c>
      <c r="DJ167" s="138">
        <v>0</v>
      </c>
      <c r="DK167" s="138">
        <v>0</v>
      </c>
      <c r="DL167" s="138">
        <v>0</v>
      </c>
      <c r="DM167" s="138">
        <v>0</v>
      </c>
      <c r="DN167" s="138">
        <v>0</v>
      </c>
      <c r="DO167" s="86">
        <v>0</v>
      </c>
      <c r="DP167" s="138">
        <v>0</v>
      </c>
      <c r="DQ167" s="138">
        <v>0</v>
      </c>
      <c r="DR167" s="138">
        <v>0</v>
      </c>
      <c r="DS167" s="138">
        <v>0</v>
      </c>
      <c r="DT167" s="138">
        <v>0</v>
      </c>
      <c r="DU167" s="138">
        <v>0</v>
      </c>
      <c r="DV167" s="138">
        <v>0</v>
      </c>
      <c r="DW167" s="138">
        <v>0</v>
      </c>
      <c r="DX167" s="138">
        <v>0</v>
      </c>
      <c r="DY167" s="138">
        <v>0</v>
      </c>
      <c r="DZ167" s="138">
        <v>0</v>
      </c>
      <c r="EA167" s="138">
        <v>0</v>
      </c>
      <c r="EB167" s="85">
        <v>0</v>
      </c>
      <c r="EC167" s="87">
        <v>0</v>
      </c>
      <c r="ED167" s="85">
        <v>0</v>
      </c>
      <c r="EE167" s="85">
        <v>0</v>
      </c>
      <c r="EF167" s="85">
        <v>0</v>
      </c>
      <c r="EG167" s="85">
        <v>0</v>
      </c>
      <c r="EH167" s="85">
        <v>0</v>
      </c>
      <c r="EI167" s="85">
        <v>0</v>
      </c>
      <c r="EJ167" s="85">
        <v>0</v>
      </c>
      <c r="EK167" s="85">
        <v>0</v>
      </c>
      <c r="EL167" s="85">
        <v>0</v>
      </c>
      <c r="EM167" s="85">
        <v>0</v>
      </c>
      <c r="EN167" s="85">
        <v>0</v>
      </c>
      <c r="EO167" s="152">
        <v>0</v>
      </c>
      <c r="EP167" s="85">
        <v>0</v>
      </c>
      <c r="EQ167" s="85">
        <v>0</v>
      </c>
      <c r="ER167" s="85">
        <v>0</v>
      </c>
      <c r="ES167" s="85">
        <v>0</v>
      </c>
      <c r="ET167" s="85">
        <v>0</v>
      </c>
      <c r="EU167" s="85">
        <v>0</v>
      </c>
      <c r="EV167" s="85">
        <v>0</v>
      </c>
      <c r="EW167" s="85">
        <v>0</v>
      </c>
      <c r="EX167" s="85">
        <v>0</v>
      </c>
      <c r="EY167" s="85">
        <v>0</v>
      </c>
      <c r="EZ167" s="85">
        <v>0</v>
      </c>
      <c r="FA167" s="85">
        <v>0</v>
      </c>
      <c r="FB167" s="85">
        <v>0</v>
      </c>
      <c r="FC167" s="87">
        <v>0</v>
      </c>
      <c r="FD167" s="85">
        <v>0</v>
      </c>
      <c r="FE167" s="85">
        <v>0</v>
      </c>
      <c r="FF167" s="85">
        <v>0</v>
      </c>
      <c r="FG167" s="85">
        <v>0</v>
      </c>
      <c r="FH167" s="85">
        <v>0</v>
      </c>
      <c r="FI167" s="85">
        <v>0</v>
      </c>
      <c r="FJ167" s="85">
        <v>0</v>
      </c>
      <c r="FK167" s="85">
        <v>0</v>
      </c>
      <c r="FL167" s="85">
        <v>0</v>
      </c>
      <c r="FM167" s="85">
        <v>0</v>
      </c>
      <c r="FN167" s="85">
        <v>0</v>
      </c>
      <c r="FO167" s="86">
        <v>0</v>
      </c>
      <c r="FP167" s="87">
        <v>0</v>
      </c>
      <c r="FQ167" s="85">
        <v>0</v>
      </c>
      <c r="FR167" s="85">
        <v>0</v>
      </c>
      <c r="FS167" s="85">
        <v>0</v>
      </c>
      <c r="FT167" s="85">
        <v>0</v>
      </c>
      <c r="FU167" s="85">
        <v>0</v>
      </c>
      <c r="FV167" s="85">
        <v>0</v>
      </c>
      <c r="FW167" s="85">
        <v>0</v>
      </c>
      <c r="FX167" s="85">
        <v>0</v>
      </c>
      <c r="FY167" s="85">
        <v>0</v>
      </c>
      <c r="FZ167" s="85">
        <v>0</v>
      </c>
      <c r="GA167" s="85">
        <v>0</v>
      </c>
      <c r="GB167" s="152">
        <v>0</v>
      </c>
      <c r="GD167" s="153"/>
    </row>
    <row r="168" spans="1:186">
      <c r="A168" s="137" t="s">
        <v>339</v>
      </c>
      <c r="B168" s="151">
        <v>0</v>
      </c>
      <c r="C168" s="138">
        <f t="shared" si="37"/>
        <v>0</v>
      </c>
      <c r="D168" s="138">
        <f t="shared" si="26"/>
        <v>0</v>
      </c>
      <c r="E168" s="138">
        <f t="shared" si="27"/>
        <v>0</v>
      </c>
      <c r="F168" s="138">
        <f t="shared" si="28"/>
        <v>0</v>
      </c>
      <c r="G168" s="138">
        <f t="shared" si="29"/>
        <v>0</v>
      </c>
      <c r="H168" s="138">
        <f t="shared" si="30"/>
        <v>0</v>
      </c>
      <c r="I168" s="138">
        <f t="shared" si="31"/>
        <v>0</v>
      </c>
      <c r="J168" s="138">
        <f t="shared" si="32"/>
        <v>0</v>
      </c>
      <c r="K168" s="138">
        <f t="shared" si="33"/>
        <v>0</v>
      </c>
      <c r="L168" s="138">
        <f t="shared" si="34"/>
        <v>0</v>
      </c>
      <c r="M168" s="138">
        <f t="shared" si="35"/>
        <v>0</v>
      </c>
      <c r="N168" s="138">
        <f t="shared" si="36"/>
        <v>5349935.19652971</v>
      </c>
      <c r="O168" s="86">
        <f t="shared" si="38"/>
        <v>5349935.19652971</v>
      </c>
      <c r="P168" s="138">
        <v>0</v>
      </c>
      <c r="Q168" s="138">
        <v>0</v>
      </c>
      <c r="R168" s="138">
        <v>0</v>
      </c>
      <c r="S168" s="138">
        <v>0</v>
      </c>
      <c r="T168" s="138">
        <v>0</v>
      </c>
      <c r="U168" s="138">
        <v>0</v>
      </c>
      <c r="V168" s="138">
        <v>0</v>
      </c>
      <c r="W168" s="138">
        <v>0</v>
      </c>
      <c r="X168" s="138">
        <v>0</v>
      </c>
      <c r="Y168" s="138">
        <v>0</v>
      </c>
      <c r="Z168" s="138">
        <v>0</v>
      </c>
      <c r="AA168" s="138">
        <v>500227.280900435</v>
      </c>
      <c r="AB168" s="86">
        <v>500227.280900435</v>
      </c>
      <c r="AC168" s="138">
        <v>0</v>
      </c>
      <c r="AD168" s="138">
        <v>0</v>
      </c>
      <c r="AE168" s="138">
        <v>0</v>
      </c>
      <c r="AF168" s="138">
        <v>0</v>
      </c>
      <c r="AG168" s="138">
        <v>0</v>
      </c>
      <c r="AH168" s="138">
        <v>0</v>
      </c>
      <c r="AI168" s="138">
        <v>0</v>
      </c>
      <c r="AJ168" s="138">
        <v>0</v>
      </c>
      <c r="AK168" s="138">
        <v>0</v>
      </c>
      <c r="AL168" s="138">
        <v>0</v>
      </c>
      <c r="AM168" s="138">
        <v>0</v>
      </c>
      <c r="AN168" s="138">
        <v>141194.788556877</v>
      </c>
      <c r="AO168" s="86">
        <v>141194.788556877</v>
      </c>
      <c r="AP168" s="138">
        <v>0</v>
      </c>
      <c r="AQ168" s="138">
        <v>0</v>
      </c>
      <c r="AR168" s="138">
        <v>0</v>
      </c>
      <c r="AS168" s="138">
        <v>0</v>
      </c>
      <c r="AT168" s="138">
        <v>0</v>
      </c>
      <c r="AU168" s="138">
        <v>0</v>
      </c>
      <c r="AV168" s="138">
        <v>0</v>
      </c>
      <c r="AW168" s="138">
        <v>0</v>
      </c>
      <c r="AX168" s="138">
        <v>0</v>
      </c>
      <c r="AY168" s="138">
        <v>0</v>
      </c>
      <c r="AZ168" s="138">
        <v>0</v>
      </c>
      <c r="BA168" s="138">
        <v>263284.407076593</v>
      </c>
      <c r="BB168" s="86">
        <v>263284.407076593</v>
      </c>
      <c r="BC168" s="138">
        <v>0</v>
      </c>
      <c r="BD168" s="138">
        <v>0</v>
      </c>
      <c r="BE168" s="138">
        <v>0</v>
      </c>
      <c r="BF168" s="138">
        <v>0</v>
      </c>
      <c r="BG168" s="138">
        <v>0</v>
      </c>
      <c r="BH168" s="138">
        <v>0</v>
      </c>
      <c r="BI168" s="138">
        <v>0</v>
      </c>
      <c r="BJ168" s="138">
        <v>0</v>
      </c>
      <c r="BK168" s="138">
        <v>0</v>
      </c>
      <c r="BL168" s="138">
        <v>0</v>
      </c>
      <c r="BM168" s="138">
        <v>0</v>
      </c>
      <c r="BN168" s="138">
        <v>355792.586683902</v>
      </c>
      <c r="BO168" s="86">
        <v>355792.586683902</v>
      </c>
      <c r="BP168" s="138">
        <v>0</v>
      </c>
      <c r="BQ168" s="138">
        <v>0</v>
      </c>
      <c r="BR168" s="138">
        <v>0</v>
      </c>
      <c r="BS168" s="138">
        <v>0</v>
      </c>
      <c r="BT168" s="138">
        <v>0</v>
      </c>
      <c r="BU168" s="138">
        <v>0</v>
      </c>
      <c r="BV168" s="138">
        <v>0</v>
      </c>
      <c r="BW168" s="138">
        <v>0</v>
      </c>
      <c r="BX168" s="138">
        <v>0</v>
      </c>
      <c r="BY168" s="138">
        <v>0</v>
      </c>
      <c r="BZ168" s="138">
        <v>0</v>
      </c>
      <c r="CA168" s="138">
        <v>133002.454217511</v>
      </c>
      <c r="CB168" s="86">
        <v>133002.454217511</v>
      </c>
      <c r="CC168" s="138">
        <v>0</v>
      </c>
      <c r="CD168" s="138">
        <v>0</v>
      </c>
      <c r="CE168" s="138">
        <v>0</v>
      </c>
      <c r="CF168" s="138">
        <v>0</v>
      </c>
      <c r="CG168" s="138">
        <v>0</v>
      </c>
      <c r="CH168" s="138">
        <v>0</v>
      </c>
      <c r="CI168" s="138">
        <v>0</v>
      </c>
      <c r="CJ168" s="138">
        <v>0</v>
      </c>
      <c r="CK168" s="138">
        <v>0</v>
      </c>
      <c r="CL168" s="138">
        <v>0</v>
      </c>
      <c r="CM168" s="138">
        <v>0</v>
      </c>
      <c r="CN168" s="138">
        <v>28857.7520055365</v>
      </c>
      <c r="CO168" s="86">
        <v>28857.7520055365</v>
      </c>
      <c r="CP168" s="138">
        <v>0</v>
      </c>
      <c r="CQ168" s="138">
        <v>0</v>
      </c>
      <c r="CR168" s="138">
        <v>0</v>
      </c>
      <c r="CS168" s="138">
        <v>0</v>
      </c>
      <c r="CT168" s="138">
        <v>0</v>
      </c>
      <c r="CU168" s="138">
        <v>0</v>
      </c>
      <c r="CV168" s="138">
        <v>0</v>
      </c>
      <c r="CW168" s="138">
        <v>0</v>
      </c>
      <c r="CX168" s="138">
        <v>0</v>
      </c>
      <c r="CY168" s="138">
        <v>0</v>
      </c>
      <c r="CZ168" s="138">
        <v>0</v>
      </c>
      <c r="DA168" s="138">
        <v>509000.162960713</v>
      </c>
      <c r="DB168" s="86">
        <v>509000.162960713</v>
      </c>
      <c r="DC168" s="138">
        <v>0</v>
      </c>
      <c r="DD168" s="138">
        <v>0</v>
      </c>
      <c r="DE168" s="138">
        <v>0</v>
      </c>
      <c r="DF168" s="138">
        <v>0</v>
      </c>
      <c r="DG168" s="138">
        <v>0</v>
      </c>
      <c r="DH168" s="138">
        <v>0</v>
      </c>
      <c r="DI168" s="138">
        <v>0</v>
      </c>
      <c r="DJ168" s="138">
        <v>0</v>
      </c>
      <c r="DK168" s="138">
        <v>0</v>
      </c>
      <c r="DL168" s="138">
        <v>0</v>
      </c>
      <c r="DM168" s="138">
        <v>0</v>
      </c>
      <c r="DN168" s="138">
        <v>0</v>
      </c>
      <c r="DO168" s="86">
        <v>0</v>
      </c>
      <c r="DP168" s="138">
        <v>0</v>
      </c>
      <c r="DQ168" s="138">
        <v>0</v>
      </c>
      <c r="DR168" s="138">
        <v>0</v>
      </c>
      <c r="DS168" s="138">
        <v>0</v>
      </c>
      <c r="DT168" s="138">
        <v>0</v>
      </c>
      <c r="DU168" s="138">
        <v>0</v>
      </c>
      <c r="DV168" s="138">
        <v>0</v>
      </c>
      <c r="DW168" s="138">
        <v>0</v>
      </c>
      <c r="DX168" s="138">
        <v>0</v>
      </c>
      <c r="DY168" s="138">
        <v>0</v>
      </c>
      <c r="DZ168" s="138">
        <v>0</v>
      </c>
      <c r="EA168" s="138">
        <v>108242.758082784</v>
      </c>
      <c r="EB168" s="85">
        <v>108242.758082784</v>
      </c>
      <c r="EC168" s="87">
        <v>0</v>
      </c>
      <c r="ED168" s="85">
        <v>0</v>
      </c>
      <c r="EE168" s="85">
        <v>0</v>
      </c>
      <c r="EF168" s="85">
        <v>0</v>
      </c>
      <c r="EG168" s="85">
        <v>0</v>
      </c>
      <c r="EH168" s="85">
        <v>0</v>
      </c>
      <c r="EI168" s="85">
        <v>0</v>
      </c>
      <c r="EJ168" s="85">
        <v>0</v>
      </c>
      <c r="EK168" s="85">
        <v>0</v>
      </c>
      <c r="EL168" s="85">
        <v>0</v>
      </c>
      <c r="EM168" s="85">
        <v>0</v>
      </c>
      <c r="EN168" s="85">
        <v>0</v>
      </c>
      <c r="EO168" s="152">
        <v>0</v>
      </c>
      <c r="EP168" s="85">
        <v>0</v>
      </c>
      <c r="EQ168" s="85">
        <v>0</v>
      </c>
      <c r="ER168" s="85">
        <v>0</v>
      </c>
      <c r="ES168" s="85">
        <v>0</v>
      </c>
      <c r="ET168" s="85">
        <v>0</v>
      </c>
      <c r="EU168" s="85">
        <v>0</v>
      </c>
      <c r="EV168" s="85">
        <v>0</v>
      </c>
      <c r="EW168" s="85">
        <v>0</v>
      </c>
      <c r="EX168" s="85">
        <v>0</v>
      </c>
      <c r="EY168" s="85">
        <v>0</v>
      </c>
      <c r="EZ168" s="85">
        <v>0</v>
      </c>
      <c r="FA168" s="85">
        <v>53533.0060453545</v>
      </c>
      <c r="FB168" s="85">
        <v>53533.0060453545</v>
      </c>
      <c r="FC168" s="87">
        <v>0</v>
      </c>
      <c r="FD168" s="85">
        <v>0</v>
      </c>
      <c r="FE168" s="85">
        <v>0</v>
      </c>
      <c r="FF168" s="85">
        <v>0</v>
      </c>
      <c r="FG168" s="85">
        <v>0</v>
      </c>
      <c r="FH168" s="85">
        <v>0</v>
      </c>
      <c r="FI168" s="85">
        <v>0</v>
      </c>
      <c r="FJ168" s="85">
        <v>0</v>
      </c>
      <c r="FK168" s="85">
        <v>0</v>
      </c>
      <c r="FL168" s="85">
        <v>0</v>
      </c>
      <c r="FM168" s="85">
        <v>0</v>
      </c>
      <c r="FN168" s="85">
        <v>0</v>
      </c>
      <c r="FO168" s="86">
        <v>0</v>
      </c>
      <c r="FP168" s="87">
        <v>0</v>
      </c>
      <c r="FQ168" s="85">
        <v>0</v>
      </c>
      <c r="FR168" s="85">
        <v>0</v>
      </c>
      <c r="FS168" s="85">
        <v>0</v>
      </c>
      <c r="FT168" s="85">
        <v>0</v>
      </c>
      <c r="FU168" s="85">
        <v>0</v>
      </c>
      <c r="FV168" s="85">
        <v>0</v>
      </c>
      <c r="FW168" s="85">
        <v>0</v>
      </c>
      <c r="FX168" s="85">
        <v>0</v>
      </c>
      <c r="FY168" s="85">
        <v>0</v>
      </c>
      <c r="FZ168" s="85">
        <v>0</v>
      </c>
      <c r="GA168" s="85">
        <v>3256800</v>
      </c>
      <c r="GB168" s="152">
        <v>3256800</v>
      </c>
      <c r="GD168" s="153"/>
    </row>
    <row r="169" spans="1:186">
      <c r="A169" s="137" t="s">
        <v>340</v>
      </c>
      <c r="B169" s="151">
        <v>724284.062834271</v>
      </c>
      <c r="C169" s="138">
        <f t="shared" si="37"/>
        <v>258861.71010969</v>
      </c>
      <c r="D169" s="138">
        <f t="shared" si="26"/>
        <v>165133.151020555</v>
      </c>
      <c r="E169" s="138">
        <f t="shared" si="27"/>
        <v>147072.411972923</v>
      </c>
      <c r="F169" s="138">
        <f t="shared" si="28"/>
        <v>97300.522779914</v>
      </c>
      <c r="G169" s="138">
        <f t="shared" si="29"/>
        <v>70372.356510048</v>
      </c>
      <c r="H169" s="138">
        <f t="shared" si="30"/>
        <v>69539.3796555893</v>
      </c>
      <c r="I169" s="138">
        <f t="shared" si="31"/>
        <v>64460.2131375909</v>
      </c>
      <c r="J169" s="138">
        <f t="shared" si="32"/>
        <v>24475.0934570963</v>
      </c>
      <c r="K169" s="138">
        <f t="shared" si="33"/>
        <v>13093.8260253536</v>
      </c>
      <c r="L169" s="138">
        <f t="shared" si="34"/>
        <v>12850.6232513675</v>
      </c>
      <c r="M169" s="138">
        <f t="shared" si="35"/>
        <v>12631.7407547801</v>
      </c>
      <c r="N169" s="138">
        <f t="shared" si="36"/>
        <v>12631.7407547801</v>
      </c>
      <c r="O169" s="86">
        <f t="shared" si="38"/>
        <v>948422.769429689</v>
      </c>
      <c r="P169" s="138">
        <v>47637.5049984479</v>
      </c>
      <c r="Q169" s="138">
        <v>28464.7403650277</v>
      </c>
      <c r="R169" s="138">
        <v>40275.4359549248</v>
      </c>
      <c r="S169" s="138">
        <v>38145.4982437396</v>
      </c>
      <c r="T169" s="138">
        <v>33697.3315200099</v>
      </c>
      <c r="U169" s="138">
        <v>36072.2902562364</v>
      </c>
      <c r="V169" s="138">
        <v>36072.2902562364</v>
      </c>
      <c r="W169" s="138">
        <v>0</v>
      </c>
      <c r="X169" s="138">
        <v>0</v>
      </c>
      <c r="Y169" s="138">
        <v>0</v>
      </c>
      <c r="Z169" s="138">
        <v>0</v>
      </c>
      <c r="AA169" s="138">
        <v>0</v>
      </c>
      <c r="AB169" s="86">
        <v>260365.091594623</v>
      </c>
      <c r="AC169" s="138">
        <v>0</v>
      </c>
      <c r="AD169" s="138">
        <v>0</v>
      </c>
      <c r="AE169" s="138">
        <v>0</v>
      </c>
      <c r="AF169" s="138">
        <v>0</v>
      </c>
      <c r="AG169" s="138">
        <v>0</v>
      </c>
      <c r="AH169" s="138">
        <v>0</v>
      </c>
      <c r="AI169" s="138">
        <v>0</v>
      </c>
      <c r="AJ169" s="138">
        <v>0</v>
      </c>
      <c r="AK169" s="138">
        <v>0</v>
      </c>
      <c r="AL169" s="138">
        <v>0</v>
      </c>
      <c r="AM169" s="138">
        <v>0</v>
      </c>
      <c r="AN169" s="138">
        <v>0</v>
      </c>
      <c r="AO169" s="86">
        <v>0</v>
      </c>
      <c r="AP169" s="138">
        <v>23933.6053869695</v>
      </c>
      <c r="AQ169" s="138">
        <v>5556.17170714212</v>
      </c>
      <c r="AR169" s="138">
        <v>2757.49521933192</v>
      </c>
      <c r="AS169" s="138">
        <v>2034.97558085448</v>
      </c>
      <c r="AT169" s="138">
        <v>1838.56695353372</v>
      </c>
      <c r="AU169" s="138">
        <v>2215.02316388351</v>
      </c>
      <c r="AV169" s="138">
        <v>2215.02316388351</v>
      </c>
      <c r="AW169" s="138">
        <v>2215.02316388351</v>
      </c>
      <c r="AX169" s="138">
        <v>2215.02316388351</v>
      </c>
      <c r="AY169" s="138">
        <v>2215.02316388351</v>
      </c>
      <c r="AZ169" s="138">
        <v>2215.02316388351</v>
      </c>
      <c r="BA169" s="138">
        <v>2215.02316388351</v>
      </c>
      <c r="BB169" s="86">
        <v>51625.9769950163</v>
      </c>
      <c r="BC169" s="138">
        <v>32683.1961868638</v>
      </c>
      <c r="BD169" s="138">
        <v>21240.0635683121</v>
      </c>
      <c r="BE169" s="138">
        <v>6083.97266885289</v>
      </c>
      <c r="BF169" s="138">
        <v>4467.32370636644</v>
      </c>
      <c r="BG169" s="138">
        <v>3327.18917657954</v>
      </c>
      <c r="BH169" s="138">
        <v>4489.94775152185</v>
      </c>
      <c r="BI169" s="138">
        <v>4489.94775152185</v>
      </c>
      <c r="BJ169" s="138">
        <v>4489.94775152185</v>
      </c>
      <c r="BK169" s="138">
        <v>0</v>
      </c>
      <c r="BL169" s="138">
        <v>0</v>
      </c>
      <c r="BM169" s="138">
        <v>0</v>
      </c>
      <c r="BN169" s="138">
        <v>0</v>
      </c>
      <c r="BO169" s="86">
        <v>81271.5885615403</v>
      </c>
      <c r="BP169" s="138">
        <v>0</v>
      </c>
      <c r="BQ169" s="138">
        <v>0</v>
      </c>
      <c r="BR169" s="138">
        <v>0</v>
      </c>
      <c r="BS169" s="138">
        <v>0</v>
      </c>
      <c r="BT169" s="138">
        <v>0</v>
      </c>
      <c r="BU169" s="138">
        <v>0</v>
      </c>
      <c r="BV169" s="138">
        <v>0</v>
      </c>
      <c r="BW169" s="138">
        <v>0</v>
      </c>
      <c r="BX169" s="138">
        <v>0</v>
      </c>
      <c r="BY169" s="138">
        <v>0</v>
      </c>
      <c r="BZ169" s="138">
        <v>0</v>
      </c>
      <c r="CA169" s="138">
        <v>0</v>
      </c>
      <c r="CB169" s="86">
        <v>0</v>
      </c>
      <c r="CC169" s="138">
        <v>0</v>
      </c>
      <c r="CD169" s="138">
        <v>0</v>
      </c>
      <c r="CE169" s="138">
        <v>0</v>
      </c>
      <c r="CF169" s="138">
        <v>0</v>
      </c>
      <c r="CG169" s="138">
        <v>0</v>
      </c>
      <c r="CH169" s="138">
        <v>0</v>
      </c>
      <c r="CI169" s="138">
        <v>0</v>
      </c>
      <c r="CJ169" s="138">
        <v>0</v>
      </c>
      <c r="CK169" s="138">
        <v>0</v>
      </c>
      <c r="CL169" s="138">
        <v>0</v>
      </c>
      <c r="CM169" s="138">
        <v>0</v>
      </c>
      <c r="CN169" s="138">
        <v>0</v>
      </c>
      <c r="CO169" s="86">
        <v>0</v>
      </c>
      <c r="CP169" s="138">
        <v>10136.6543750033</v>
      </c>
      <c r="CQ169" s="138">
        <v>6922.56310022542</v>
      </c>
      <c r="CR169" s="138">
        <v>1635.9596918658</v>
      </c>
      <c r="CS169" s="138">
        <v>2144.7379524245</v>
      </c>
      <c r="CT169" s="138">
        <v>1306.06457725873</v>
      </c>
      <c r="CU169" s="138">
        <v>1427.41350047678</v>
      </c>
      <c r="CV169" s="138">
        <v>1427.41350047678</v>
      </c>
      <c r="CW169" s="138">
        <v>1427.41350047678</v>
      </c>
      <c r="CX169" s="138">
        <v>0</v>
      </c>
      <c r="CY169" s="138">
        <v>0</v>
      </c>
      <c r="CZ169" s="138">
        <v>0</v>
      </c>
      <c r="DA169" s="138">
        <v>0</v>
      </c>
      <c r="DB169" s="86">
        <v>26428.2201982081</v>
      </c>
      <c r="DC169" s="138">
        <v>901.526702415895</v>
      </c>
      <c r="DD169" s="138">
        <v>8666.543457499</v>
      </c>
      <c r="DE169" s="138">
        <v>9856.06082646346</v>
      </c>
      <c r="DF169" s="138">
        <v>4794.76600087135</v>
      </c>
      <c r="DG169" s="138">
        <v>3308.72387444047</v>
      </c>
      <c r="DH169" s="138">
        <v>1596.8751216096</v>
      </c>
      <c r="DI169" s="138">
        <v>1596.8751216096</v>
      </c>
      <c r="DJ169" s="138">
        <v>1596.8751216096</v>
      </c>
      <c r="DK169" s="138">
        <v>1596.8751216096</v>
      </c>
      <c r="DL169" s="138">
        <v>1596.8751216096</v>
      </c>
      <c r="DM169" s="138">
        <v>1596.8751216096</v>
      </c>
      <c r="DN169" s="138">
        <v>1596.8751216096</v>
      </c>
      <c r="DO169" s="86">
        <v>38705.7467129573</v>
      </c>
      <c r="DP169" s="138">
        <v>82490.2374765109</v>
      </c>
      <c r="DQ169" s="138">
        <v>68069.5385300504</v>
      </c>
      <c r="DR169" s="138">
        <v>62089.2772513961</v>
      </c>
      <c r="DS169" s="138">
        <v>33092.5385826786</v>
      </c>
      <c r="DT169" s="138">
        <v>16355.4607843147</v>
      </c>
      <c r="DU169" s="138">
        <v>14570.4164793174</v>
      </c>
      <c r="DV169" s="138">
        <v>9106.51029957338</v>
      </c>
      <c r="DW169" s="138">
        <v>5463.90617974403</v>
      </c>
      <c r="DX169" s="138">
        <v>0</v>
      </c>
      <c r="DY169" s="138">
        <v>0</v>
      </c>
      <c r="DZ169" s="138">
        <v>0</v>
      </c>
      <c r="EA169" s="138">
        <v>0</v>
      </c>
      <c r="EB169" s="85">
        <v>291237.885583585</v>
      </c>
      <c r="EC169" s="87">
        <v>0</v>
      </c>
      <c r="ED169" s="85">
        <v>0</v>
      </c>
      <c r="EE169" s="85">
        <v>0</v>
      </c>
      <c r="EF169" s="85">
        <v>0</v>
      </c>
      <c r="EG169" s="85">
        <v>0</v>
      </c>
      <c r="EH169" s="85">
        <v>0</v>
      </c>
      <c r="EI169" s="85">
        <v>0</v>
      </c>
      <c r="EJ169" s="85">
        <v>0</v>
      </c>
      <c r="EK169" s="85">
        <v>0</v>
      </c>
      <c r="EL169" s="85">
        <v>0</v>
      </c>
      <c r="EM169" s="85">
        <v>0</v>
      </c>
      <c r="EN169" s="85">
        <v>0</v>
      </c>
      <c r="EO169" s="152">
        <v>0</v>
      </c>
      <c r="EP169" s="85">
        <v>135.689291895253</v>
      </c>
      <c r="EQ169" s="85">
        <v>6147.40545409767</v>
      </c>
      <c r="ER169" s="85">
        <v>7461.60387698494</v>
      </c>
      <c r="ES169" s="85">
        <v>3840.60529340973</v>
      </c>
      <c r="ET169" s="85">
        <v>5693.23863947007</v>
      </c>
      <c r="EU169" s="85">
        <v>3002.50338254379</v>
      </c>
      <c r="EV169" s="85">
        <v>2702.25304428942</v>
      </c>
      <c r="EW169" s="85">
        <v>2432.02773986048</v>
      </c>
      <c r="EX169" s="85">
        <v>2432.02773986048</v>
      </c>
      <c r="EY169" s="85">
        <v>2188.82496587443</v>
      </c>
      <c r="EZ169" s="85">
        <v>1969.94246928699</v>
      </c>
      <c r="FA169" s="85">
        <v>1969.94246928699</v>
      </c>
      <c r="FB169" s="85">
        <v>39976.0643668602</v>
      </c>
      <c r="FC169" s="87">
        <v>0</v>
      </c>
      <c r="FD169" s="85">
        <v>0</v>
      </c>
      <c r="FE169" s="85">
        <v>0</v>
      </c>
      <c r="FF169" s="85">
        <v>0</v>
      </c>
      <c r="FG169" s="85">
        <v>0</v>
      </c>
      <c r="FH169" s="85">
        <v>0</v>
      </c>
      <c r="FI169" s="85">
        <v>0</v>
      </c>
      <c r="FJ169" s="85">
        <v>0</v>
      </c>
      <c r="FK169" s="85">
        <v>0</v>
      </c>
      <c r="FL169" s="85">
        <v>0</v>
      </c>
      <c r="FM169" s="85">
        <v>0</v>
      </c>
      <c r="FN169" s="85">
        <v>0</v>
      </c>
      <c r="FO169" s="86">
        <v>0</v>
      </c>
      <c r="FP169" s="87">
        <v>60943.2956915836</v>
      </c>
      <c r="FQ169" s="85">
        <v>20066.1248382009</v>
      </c>
      <c r="FR169" s="85">
        <v>16912.606483103</v>
      </c>
      <c r="FS169" s="85">
        <v>8780.07741956935</v>
      </c>
      <c r="FT169" s="85">
        <v>4845.78098444089</v>
      </c>
      <c r="FU169" s="85">
        <v>6164.91</v>
      </c>
      <c r="FV169" s="85">
        <v>6849.9</v>
      </c>
      <c r="FW169" s="85">
        <v>6849.9</v>
      </c>
      <c r="FX169" s="85">
        <v>6849.9</v>
      </c>
      <c r="FY169" s="85">
        <v>6849.9</v>
      </c>
      <c r="FZ169" s="85">
        <v>6849.9</v>
      </c>
      <c r="GA169" s="85">
        <v>6849.9</v>
      </c>
      <c r="GB169" s="152">
        <v>158812.195416898</v>
      </c>
      <c r="GD169" s="153"/>
    </row>
    <row r="170" spans="1:186">
      <c r="A170" s="137" t="s">
        <v>341</v>
      </c>
      <c r="B170" s="151">
        <v>0</v>
      </c>
      <c r="C170" s="138">
        <f t="shared" si="37"/>
        <v>0</v>
      </c>
      <c r="D170" s="138">
        <f t="shared" si="26"/>
        <v>0</v>
      </c>
      <c r="E170" s="138">
        <f t="shared" si="27"/>
        <v>0</v>
      </c>
      <c r="F170" s="138">
        <f t="shared" si="28"/>
        <v>0</v>
      </c>
      <c r="G170" s="138">
        <f t="shared" si="29"/>
        <v>0</v>
      </c>
      <c r="H170" s="138">
        <f t="shared" si="30"/>
        <v>0</v>
      </c>
      <c r="I170" s="138">
        <f t="shared" si="31"/>
        <v>0</v>
      </c>
      <c r="J170" s="138">
        <f t="shared" si="32"/>
        <v>0</v>
      </c>
      <c r="K170" s="138">
        <f t="shared" si="33"/>
        <v>0</v>
      </c>
      <c r="L170" s="138">
        <f t="shared" si="34"/>
        <v>0</v>
      </c>
      <c r="M170" s="138">
        <f t="shared" si="35"/>
        <v>0</v>
      </c>
      <c r="N170" s="138">
        <f t="shared" si="36"/>
        <v>0</v>
      </c>
      <c r="O170" s="86">
        <f t="shared" si="38"/>
        <v>0</v>
      </c>
      <c r="P170" s="138">
        <v>0</v>
      </c>
      <c r="Q170" s="138">
        <v>0</v>
      </c>
      <c r="R170" s="138">
        <v>0</v>
      </c>
      <c r="S170" s="138">
        <v>0</v>
      </c>
      <c r="T170" s="138">
        <v>0</v>
      </c>
      <c r="U170" s="138">
        <v>0</v>
      </c>
      <c r="V170" s="138">
        <v>0</v>
      </c>
      <c r="W170" s="138">
        <v>0</v>
      </c>
      <c r="X170" s="138">
        <v>0</v>
      </c>
      <c r="Y170" s="138">
        <v>0</v>
      </c>
      <c r="Z170" s="138">
        <v>0</v>
      </c>
      <c r="AA170" s="138">
        <v>0</v>
      </c>
      <c r="AB170" s="86">
        <v>0</v>
      </c>
      <c r="AC170" s="138">
        <v>0</v>
      </c>
      <c r="AD170" s="138">
        <v>0</v>
      </c>
      <c r="AE170" s="138">
        <v>0</v>
      </c>
      <c r="AF170" s="138">
        <v>0</v>
      </c>
      <c r="AG170" s="138">
        <v>0</v>
      </c>
      <c r="AH170" s="138">
        <v>0</v>
      </c>
      <c r="AI170" s="138">
        <v>0</v>
      </c>
      <c r="AJ170" s="138">
        <v>0</v>
      </c>
      <c r="AK170" s="138">
        <v>0</v>
      </c>
      <c r="AL170" s="138">
        <v>0</v>
      </c>
      <c r="AM170" s="138">
        <v>0</v>
      </c>
      <c r="AN170" s="138">
        <v>0</v>
      </c>
      <c r="AO170" s="86">
        <v>0</v>
      </c>
      <c r="AP170" s="138">
        <v>0</v>
      </c>
      <c r="AQ170" s="138">
        <v>0</v>
      </c>
      <c r="AR170" s="138">
        <v>0</v>
      </c>
      <c r="AS170" s="138">
        <v>0</v>
      </c>
      <c r="AT170" s="138">
        <v>0</v>
      </c>
      <c r="AU170" s="138">
        <v>0</v>
      </c>
      <c r="AV170" s="138">
        <v>0</v>
      </c>
      <c r="AW170" s="138">
        <v>0</v>
      </c>
      <c r="AX170" s="138">
        <v>0</v>
      </c>
      <c r="AY170" s="138">
        <v>0</v>
      </c>
      <c r="AZ170" s="138">
        <v>0</v>
      </c>
      <c r="BA170" s="138">
        <v>0</v>
      </c>
      <c r="BB170" s="86">
        <v>0</v>
      </c>
      <c r="BC170" s="138">
        <v>0</v>
      </c>
      <c r="BD170" s="138">
        <v>0</v>
      </c>
      <c r="BE170" s="138">
        <v>0</v>
      </c>
      <c r="BF170" s="138">
        <v>0</v>
      </c>
      <c r="BG170" s="138">
        <v>0</v>
      </c>
      <c r="BH170" s="138">
        <v>0</v>
      </c>
      <c r="BI170" s="138">
        <v>0</v>
      </c>
      <c r="BJ170" s="138">
        <v>0</v>
      </c>
      <c r="BK170" s="138">
        <v>0</v>
      </c>
      <c r="BL170" s="138">
        <v>0</v>
      </c>
      <c r="BM170" s="138">
        <v>0</v>
      </c>
      <c r="BN170" s="138">
        <v>0</v>
      </c>
      <c r="BO170" s="86">
        <v>0</v>
      </c>
      <c r="BP170" s="138">
        <v>0</v>
      </c>
      <c r="BQ170" s="138">
        <v>0</v>
      </c>
      <c r="BR170" s="138">
        <v>0</v>
      </c>
      <c r="BS170" s="138">
        <v>0</v>
      </c>
      <c r="BT170" s="138">
        <v>0</v>
      </c>
      <c r="BU170" s="138">
        <v>0</v>
      </c>
      <c r="BV170" s="138">
        <v>0</v>
      </c>
      <c r="BW170" s="138">
        <v>0</v>
      </c>
      <c r="BX170" s="138">
        <v>0</v>
      </c>
      <c r="BY170" s="138">
        <v>0</v>
      </c>
      <c r="BZ170" s="138">
        <v>0</v>
      </c>
      <c r="CA170" s="138">
        <v>0</v>
      </c>
      <c r="CB170" s="86">
        <v>0</v>
      </c>
      <c r="CC170" s="138">
        <v>0</v>
      </c>
      <c r="CD170" s="138">
        <v>0</v>
      </c>
      <c r="CE170" s="138">
        <v>0</v>
      </c>
      <c r="CF170" s="138">
        <v>0</v>
      </c>
      <c r="CG170" s="138">
        <v>0</v>
      </c>
      <c r="CH170" s="138">
        <v>0</v>
      </c>
      <c r="CI170" s="138">
        <v>0</v>
      </c>
      <c r="CJ170" s="138">
        <v>0</v>
      </c>
      <c r="CK170" s="138">
        <v>0</v>
      </c>
      <c r="CL170" s="138">
        <v>0</v>
      </c>
      <c r="CM170" s="138">
        <v>0</v>
      </c>
      <c r="CN170" s="138">
        <v>0</v>
      </c>
      <c r="CO170" s="86">
        <v>0</v>
      </c>
      <c r="CP170" s="138">
        <v>0</v>
      </c>
      <c r="CQ170" s="138">
        <v>0</v>
      </c>
      <c r="CR170" s="138">
        <v>0</v>
      </c>
      <c r="CS170" s="138">
        <v>0</v>
      </c>
      <c r="CT170" s="138">
        <v>0</v>
      </c>
      <c r="CU170" s="138">
        <v>0</v>
      </c>
      <c r="CV170" s="138">
        <v>0</v>
      </c>
      <c r="CW170" s="138">
        <v>0</v>
      </c>
      <c r="CX170" s="138">
        <v>0</v>
      </c>
      <c r="CY170" s="138">
        <v>0</v>
      </c>
      <c r="CZ170" s="138">
        <v>0</v>
      </c>
      <c r="DA170" s="138">
        <v>0</v>
      </c>
      <c r="DB170" s="86">
        <v>0</v>
      </c>
      <c r="DC170" s="138">
        <v>0</v>
      </c>
      <c r="DD170" s="138">
        <v>0</v>
      </c>
      <c r="DE170" s="138">
        <v>0</v>
      </c>
      <c r="DF170" s="138">
        <v>0</v>
      </c>
      <c r="DG170" s="138">
        <v>0</v>
      </c>
      <c r="DH170" s="138">
        <v>0</v>
      </c>
      <c r="DI170" s="138">
        <v>0</v>
      </c>
      <c r="DJ170" s="138">
        <v>0</v>
      </c>
      <c r="DK170" s="138">
        <v>0</v>
      </c>
      <c r="DL170" s="138">
        <v>0</v>
      </c>
      <c r="DM170" s="138">
        <v>0</v>
      </c>
      <c r="DN170" s="138">
        <v>0</v>
      </c>
      <c r="DO170" s="86">
        <v>0</v>
      </c>
      <c r="DP170" s="138">
        <v>0</v>
      </c>
      <c r="DQ170" s="138">
        <v>0</v>
      </c>
      <c r="DR170" s="138">
        <v>0</v>
      </c>
      <c r="DS170" s="138">
        <v>0</v>
      </c>
      <c r="DT170" s="138">
        <v>0</v>
      </c>
      <c r="DU170" s="138">
        <v>0</v>
      </c>
      <c r="DV170" s="138">
        <v>0</v>
      </c>
      <c r="DW170" s="138">
        <v>0</v>
      </c>
      <c r="DX170" s="138">
        <v>0</v>
      </c>
      <c r="DY170" s="138">
        <v>0</v>
      </c>
      <c r="DZ170" s="138">
        <v>0</v>
      </c>
      <c r="EA170" s="138">
        <v>0</v>
      </c>
      <c r="EB170" s="85">
        <v>0</v>
      </c>
      <c r="EC170" s="87">
        <v>0</v>
      </c>
      <c r="ED170" s="85">
        <v>0</v>
      </c>
      <c r="EE170" s="85">
        <v>0</v>
      </c>
      <c r="EF170" s="85">
        <v>0</v>
      </c>
      <c r="EG170" s="85">
        <v>0</v>
      </c>
      <c r="EH170" s="85">
        <v>0</v>
      </c>
      <c r="EI170" s="85">
        <v>0</v>
      </c>
      <c r="EJ170" s="85">
        <v>0</v>
      </c>
      <c r="EK170" s="85">
        <v>0</v>
      </c>
      <c r="EL170" s="85">
        <v>0</v>
      </c>
      <c r="EM170" s="85">
        <v>0</v>
      </c>
      <c r="EN170" s="85">
        <v>0</v>
      </c>
      <c r="EO170" s="152">
        <v>0</v>
      </c>
      <c r="EP170" s="85">
        <v>0</v>
      </c>
      <c r="EQ170" s="85">
        <v>0</v>
      </c>
      <c r="ER170" s="85">
        <v>0</v>
      </c>
      <c r="ES170" s="85">
        <v>0</v>
      </c>
      <c r="ET170" s="85">
        <v>0</v>
      </c>
      <c r="EU170" s="85">
        <v>0</v>
      </c>
      <c r="EV170" s="85">
        <v>0</v>
      </c>
      <c r="EW170" s="85">
        <v>0</v>
      </c>
      <c r="EX170" s="85">
        <v>0</v>
      </c>
      <c r="EY170" s="85">
        <v>0</v>
      </c>
      <c r="EZ170" s="85">
        <v>0</v>
      </c>
      <c r="FA170" s="85">
        <v>0</v>
      </c>
      <c r="FB170" s="85">
        <v>0</v>
      </c>
      <c r="FC170" s="87">
        <v>0</v>
      </c>
      <c r="FD170" s="85">
        <v>0</v>
      </c>
      <c r="FE170" s="85">
        <v>0</v>
      </c>
      <c r="FF170" s="85">
        <v>0</v>
      </c>
      <c r="FG170" s="85">
        <v>0</v>
      </c>
      <c r="FH170" s="85">
        <v>0</v>
      </c>
      <c r="FI170" s="85">
        <v>0</v>
      </c>
      <c r="FJ170" s="85">
        <v>0</v>
      </c>
      <c r="FK170" s="85">
        <v>0</v>
      </c>
      <c r="FL170" s="85">
        <v>0</v>
      </c>
      <c r="FM170" s="85">
        <v>0</v>
      </c>
      <c r="FN170" s="85">
        <v>0</v>
      </c>
      <c r="FO170" s="86">
        <v>0</v>
      </c>
      <c r="FP170" s="87">
        <v>0</v>
      </c>
      <c r="FQ170" s="85">
        <v>0</v>
      </c>
      <c r="FR170" s="85">
        <v>0</v>
      </c>
      <c r="FS170" s="85">
        <v>0</v>
      </c>
      <c r="FT170" s="85">
        <v>0</v>
      </c>
      <c r="FU170" s="85">
        <v>0</v>
      </c>
      <c r="FV170" s="85">
        <v>0</v>
      </c>
      <c r="FW170" s="85">
        <v>0</v>
      </c>
      <c r="FX170" s="85">
        <v>0</v>
      </c>
      <c r="FY170" s="85">
        <v>0</v>
      </c>
      <c r="FZ170" s="85">
        <v>0</v>
      </c>
      <c r="GA170" s="85">
        <v>0</v>
      </c>
      <c r="GB170" s="152">
        <v>0</v>
      </c>
      <c r="GD170" s="153"/>
    </row>
    <row r="171" spans="1:186">
      <c r="A171" s="137" t="s">
        <v>342</v>
      </c>
      <c r="B171" s="151">
        <v>6218290.56746782</v>
      </c>
      <c r="C171" s="138">
        <f t="shared" si="37"/>
        <v>1020937.41723697</v>
      </c>
      <c r="D171" s="138">
        <f t="shared" si="26"/>
        <v>243633.586823004</v>
      </c>
      <c r="E171" s="138">
        <f t="shared" si="27"/>
        <v>165415.736702359</v>
      </c>
      <c r="F171" s="138">
        <f t="shared" si="28"/>
        <v>87314.4289522741</v>
      </c>
      <c r="G171" s="138">
        <f t="shared" si="29"/>
        <v>66520.2843030847</v>
      </c>
      <c r="H171" s="138">
        <f t="shared" si="30"/>
        <v>54862.015022756</v>
      </c>
      <c r="I171" s="138">
        <f t="shared" si="31"/>
        <v>45936.0369457044</v>
      </c>
      <c r="J171" s="138">
        <f t="shared" si="32"/>
        <v>43524.6380834231</v>
      </c>
      <c r="K171" s="138">
        <f t="shared" si="33"/>
        <v>33068.1013999647</v>
      </c>
      <c r="L171" s="138">
        <f t="shared" si="34"/>
        <v>24672.2171968388</v>
      </c>
      <c r="M171" s="138">
        <f t="shared" si="35"/>
        <v>18939.373193104</v>
      </c>
      <c r="N171" s="138">
        <f t="shared" si="36"/>
        <v>17880.8802575832</v>
      </c>
      <c r="O171" s="86">
        <f t="shared" si="38"/>
        <v>1822704.71611706</v>
      </c>
      <c r="P171" s="138">
        <v>0</v>
      </c>
      <c r="Q171" s="138">
        <v>0</v>
      </c>
      <c r="R171" s="138">
        <v>0</v>
      </c>
      <c r="S171" s="138">
        <v>0</v>
      </c>
      <c r="T171" s="138">
        <v>0</v>
      </c>
      <c r="U171" s="138">
        <v>0</v>
      </c>
      <c r="V171" s="138">
        <v>0</v>
      </c>
      <c r="W171" s="138">
        <v>0</v>
      </c>
      <c r="X171" s="138">
        <v>0</v>
      </c>
      <c r="Y171" s="138">
        <v>0</v>
      </c>
      <c r="Z171" s="138">
        <v>0</v>
      </c>
      <c r="AA171" s="138">
        <v>0</v>
      </c>
      <c r="AB171" s="86">
        <v>0</v>
      </c>
      <c r="AC171" s="138">
        <v>0</v>
      </c>
      <c r="AD171" s="138">
        <v>0</v>
      </c>
      <c r="AE171" s="138">
        <v>0</v>
      </c>
      <c r="AF171" s="138">
        <v>0</v>
      </c>
      <c r="AG171" s="138">
        <v>0</v>
      </c>
      <c r="AH171" s="138">
        <v>0</v>
      </c>
      <c r="AI171" s="138">
        <v>0</v>
      </c>
      <c r="AJ171" s="138">
        <v>0</v>
      </c>
      <c r="AK171" s="138">
        <v>0</v>
      </c>
      <c r="AL171" s="138">
        <v>0</v>
      </c>
      <c r="AM171" s="138">
        <v>0</v>
      </c>
      <c r="AN171" s="138">
        <v>0</v>
      </c>
      <c r="AO171" s="86">
        <v>0</v>
      </c>
      <c r="AP171" s="138">
        <v>87929.5006413027</v>
      </c>
      <c r="AQ171" s="138">
        <v>54910.6199893685</v>
      </c>
      <c r="AR171" s="138">
        <v>31288.2234864214</v>
      </c>
      <c r="AS171" s="138">
        <v>13856.5869328146</v>
      </c>
      <c r="AT171" s="138">
        <v>13587.076628432</v>
      </c>
      <c r="AU171" s="138">
        <v>11075.1158194176</v>
      </c>
      <c r="AV171" s="138">
        <v>11075.1158194176</v>
      </c>
      <c r="AW171" s="138">
        <v>11075.1158194176</v>
      </c>
      <c r="AX171" s="138">
        <v>11075.1158194176</v>
      </c>
      <c r="AY171" s="138">
        <v>11075.1158194176</v>
      </c>
      <c r="AZ171" s="138">
        <v>11075.1158194176</v>
      </c>
      <c r="BA171" s="138">
        <v>11075.1158194176</v>
      </c>
      <c r="BB171" s="86">
        <v>279097.818414262</v>
      </c>
      <c r="BC171" s="138">
        <v>156716.966984209</v>
      </c>
      <c r="BD171" s="138">
        <v>80582.5081226502</v>
      </c>
      <c r="BE171" s="138">
        <v>32981.7876752995</v>
      </c>
      <c r="BF171" s="138">
        <v>18826.6078773291</v>
      </c>
      <c r="BG171" s="138">
        <v>6654.36983744648</v>
      </c>
      <c r="BH171" s="138">
        <v>8979.8955030437</v>
      </c>
      <c r="BI171" s="138">
        <v>8979.8955030437</v>
      </c>
      <c r="BJ171" s="138">
        <v>8979.8955030437</v>
      </c>
      <c r="BK171" s="138">
        <v>0</v>
      </c>
      <c r="BL171" s="138">
        <v>0</v>
      </c>
      <c r="BM171" s="138">
        <v>0</v>
      </c>
      <c r="BN171" s="138">
        <v>0</v>
      </c>
      <c r="BO171" s="86">
        <v>322701.927006065</v>
      </c>
      <c r="BP171" s="138">
        <v>0</v>
      </c>
      <c r="BQ171" s="138">
        <v>0</v>
      </c>
      <c r="BR171" s="138">
        <v>0</v>
      </c>
      <c r="BS171" s="138">
        <v>0</v>
      </c>
      <c r="BT171" s="138">
        <v>0</v>
      </c>
      <c r="BU171" s="138">
        <v>0</v>
      </c>
      <c r="BV171" s="138">
        <v>0</v>
      </c>
      <c r="BW171" s="138">
        <v>0</v>
      </c>
      <c r="BX171" s="138">
        <v>0</v>
      </c>
      <c r="BY171" s="138">
        <v>0</v>
      </c>
      <c r="BZ171" s="138">
        <v>0</v>
      </c>
      <c r="CA171" s="138">
        <v>0</v>
      </c>
      <c r="CB171" s="86">
        <v>0</v>
      </c>
      <c r="CC171" s="138">
        <v>38857.2016483422</v>
      </c>
      <c r="CD171" s="138">
        <v>26069.301557948</v>
      </c>
      <c r="CE171" s="138">
        <v>32303.347934889</v>
      </c>
      <c r="CF171" s="138">
        <v>22387.3049927055</v>
      </c>
      <c r="CG171" s="138">
        <v>22590.9089752201</v>
      </c>
      <c r="CH171" s="138">
        <v>15596.4717480476</v>
      </c>
      <c r="CI171" s="138">
        <v>8655.70737856415</v>
      </c>
      <c r="CJ171" s="138">
        <v>8928.46348233743</v>
      </c>
      <c r="CK171" s="138">
        <v>8137.83427476626</v>
      </c>
      <c r="CL171" s="138">
        <v>7052.59796301484</v>
      </c>
      <c r="CM171" s="138">
        <v>1319.75395928001</v>
      </c>
      <c r="CN171" s="138">
        <v>1174.58102375921</v>
      </c>
      <c r="CO171" s="86">
        <v>193073.474938874</v>
      </c>
      <c r="CP171" s="138">
        <v>0</v>
      </c>
      <c r="CQ171" s="138">
        <v>0</v>
      </c>
      <c r="CR171" s="138">
        <v>0</v>
      </c>
      <c r="CS171" s="138">
        <v>0</v>
      </c>
      <c r="CT171" s="138">
        <v>0</v>
      </c>
      <c r="CU171" s="138">
        <v>0</v>
      </c>
      <c r="CV171" s="138">
        <v>0</v>
      </c>
      <c r="CW171" s="138">
        <v>0</v>
      </c>
      <c r="CX171" s="138">
        <v>0</v>
      </c>
      <c r="CY171" s="138">
        <v>0</v>
      </c>
      <c r="CZ171" s="138">
        <v>0</v>
      </c>
      <c r="DA171" s="138">
        <v>0</v>
      </c>
      <c r="DB171" s="86">
        <v>0</v>
      </c>
      <c r="DC171" s="138">
        <v>0</v>
      </c>
      <c r="DD171" s="138">
        <v>6544.09251604581</v>
      </c>
      <c r="DE171" s="138">
        <v>4248.28784507475</v>
      </c>
      <c r="DF171" s="138">
        <v>2568.59101375831</v>
      </c>
      <c r="DG171" s="138">
        <v>1218.99295895639</v>
      </c>
      <c r="DH171" s="138">
        <v>1064.5834144064</v>
      </c>
      <c r="DI171" s="138">
        <v>1064.5834144064</v>
      </c>
      <c r="DJ171" s="138">
        <v>1064.5834144064</v>
      </c>
      <c r="DK171" s="138">
        <v>1064.5834144064</v>
      </c>
      <c r="DL171" s="138">
        <v>1064.5834144064</v>
      </c>
      <c r="DM171" s="138">
        <v>1064.5834144064</v>
      </c>
      <c r="DN171" s="138">
        <v>1064.5834144064</v>
      </c>
      <c r="DO171" s="86">
        <v>22032.0482346801</v>
      </c>
      <c r="DP171" s="138">
        <v>0</v>
      </c>
      <c r="DQ171" s="138">
        <v>0</v>
      </c>
      <c r="DR171" s="138">
        <v>0</v>
      </c>
      <c r="DS171" s="138">
        <v>0</v>
      </c>
      <c r="DT171" s="138">
        <v>0</v>
      </c>
      <c r="DU171" s="138">
        <v>0</v>
      </c>
      <c r="DV171" s="138">
        <v>0</v>
      </c>
      <c r="DW171" s="138">
        <v>0</v>
      </c>
      <c r="DX171" s="138">
        <v>0</v>
      </c>
      <c r="DY171" s="138">
        <v>0</v>
      </c>
      <c r="DZ171" s="138">
        <v>0</v>
      </c>
      <c r="EA171" s="138">
        <v>0</v>
      </c>
      <c r="EB171" s="85">
        <v>0</v>
      </c>
      <c r="EC171" s="87">
        <v>282345.996819099</v>
      </c>
      <c r="ED171" s="85">
        <v>0</v>
      </c>
      <c r="EE171" s="85">
        <v>0</v>
      </c>
      <c r="EF171" s="85">
        <v>0</v>
      </c>
      <c r="EG171" s="85">
        <v>0</v>
      </c>
      <c r="EH171" s="85">
        <v>0</v>
      </c>
      <c r="EI171" s="85">
        <v>0</v>
      </c>
      <c r="EJ171" s="85">
        <v>0</v>
      </c>
      <c r="EK171" s="85">
        <v>0</v>
      </c>
      <c r="EL171" s="85">
        <v>0</v>
      </c>
      <c r="EM171" s="85">
        <v>0</v>
      </c>
      <c r="EN171" s="85">
        <v>0</v>
      </c>
      <c r="EO171" s="152">
        <v>282345.996819099</v>
      </c>
      <c r="EP171" s="85">
        <v>678.446521364192</v>
      </c>
      <c r="EQ171" s="85">
        <v>10109.0630517139</v>
      </c>
      <c r="ER171" s="85">
        <v>14006.8805834785</v>
      </c>
      <c r="ES171" s="85">
        <v>8065.26985697841</v>
      </c>
      <c r="ET171" s="85">
        <v>6325.80676540527</v>
      </c>
      <c r="EU171" s="85">
        <v>5359.46853784068</v>
      </c>
      <c r="EV171" s="85">
        <v>4287.57483027254</v>
      </c>
      <c r="EW171" s="85">
        <v>3430.05986421803</v>
      </c>
      <c r="EX171" s="85">
        <v>2744.04789137443</v>
      </c>
      <c r="EY171" s="85">
        <v>0</v>
      </c>
      <c r="EZ171" s="85">
        <v>0</v>
      </c>
      <c r="FA171" s="85">
        <v>0</v>
      </c>
      <c r="FB171" s="85">
        <v>55006.6179026459</v>
      </c>
      <c r="FC171" s="87">
        <v>0</v>
      </c>
      <c r="FD171" s="85">
        <v>0</v>
      </c>
      <c r="FE171" s="85">
        <v>0</v>
      </c>
      <c r="FF171" s="85">
        <v>0</v>
      </c>
      <c r="FG171" s="85">
        <v>0</v>
      </c>
      <c r="FH171" s="85">
        <v>0</v>
      </c>
      <c r="FI171" s="85">
        <v>0</v>
      </c>
      <c r="FJ171" s="85">
        <v>0</v>
      </c>
      <c r="FK171" s="85">
        <v>0</v>
      </c>
      <c r="FL171" s="85">
        <v>0</v>
      </c>
      <c r="FM171" s="85">
        <v>0</v>
      </c>
      <c r="FN171" s="85">
        <v>0</v>
      </c>
      <c r="FO171" s="86">
        <v>0</v>
      </c>
      <c r="FP171" s="87">
        <v>454409.304622651</v>
      </c>
      <c r="FQ171" s="85">
        <v>65418.0015852771</v>
      </c>
      <c r="FR171" s="85">
        <v>50587.2091771962</v>
      </c>
      <c r="FS171" s="85">
        <v>21610.0682786882</v>
      </c>
      <c r="FT171" s="85">
        <v>16143.1291376245</v>
      </c>
      <c r="FU171" s="85">
        <v>12786.48</v>
      </c>
      <c r="FV171" s="85">
        <v>11873.16</v>
      </c>
      <c r="FW171" s="85">
        <v>10046.52</v>
      </c>
      <c r="FX171" s="85">
        <v>10046.52</v>
      </c>
      <c r="FY171" s="85">
        <v>5479.92</v>
      </c>
      <c r="FZ171" s="85">
        <v>5479.92</v>
      </c>
      <c r="GA171" s="85">
        <v>4566.6</v>
      </c>
      <c r="GB171" s="152">
        <v>668446.832801437</v>
      </c>
      <c r="GD171" s="153"/>
    </row>
    <row r="172" spans="1:186">
      <c r="A172" s="137" t="s">
        <v>343</v>
      </c>
      <c r="B172" s="151">
        <v>0</v>
      </c>
      <c r="C172" s="138">
        <f t="shared" si="37"/>
        <v>0</v>
      </c>
      <c r="D172" s="138">
        <f t="shared" si="26"/>
        <v>84594.0687460437</v>
      </c>
      <c r="E172" s="138">
        <f t="shared" si="27"/>
        <v>108804.893603767</v>
      </c>
      <c r="F172" s="138">
        <f t="shared" si="28"/>
        <v>34949.2319013885</v>
      </c>
      <c r="G172" s="138">
        <f t="shared" si="29"/>
        <v>2382887.29288143</v>
      </c>
      <c r="H172" s="138">
        <f t="shared" si="30"/>
        <v>1866331.31544335</v>
      </c>
      <c r="I172" s="138">
        <f t="shared" si="31"/>
        <v>316182.405267211</v>
      </c>
      <c r="J172" s="138">
        <f t="shared" si="32"/>
        <v>4307669.34068311</v>
      </c>
      <c r="K172" s="138">
        <f t="shared" si="33"/>
        <v>1926921.22337688</v>
      </c>
      <c r="L172" s="138">
        <f t="shared" si="34"/>
        <v>2120611.02674081</v>
      </c>
      <c r="M172" s="138">
        <f t="shared" si="35"/>
        <v>1581176.39990824</v>
      </c>
      <c r="N172" s="138">
        <f t="shared" si="36"/>
        <v>1496459.52677411</v>
      </c>
      <c r="O172" s="86">
        <f t="shared" si="38"/>
        <v>16226586.7253263</v>
      </c>
      <c r="P172" s="138">
        <v>0</v>
      </c>
      <c r="Q172" s="138">
        <v>0</v>
      </c>
      <c r="R172" s="138">
        <v>0</v>
      </c>
      <c r="S172" s="138">
        <v>0</v>
      </c>
      <c r="T172" s="138">
        <v>1242589.57210142</v>
      </c>
      <c r="U172" s="138">
        <v>1200545.47416104</v>
      </c>
      <c r="V172" s="138">
        <v>0</v>
      </c>
      <c r="W172" s="138">
        <v>943285.729697964</v>
      </c>
      <c r="X172" s="138">
        <v>1286298.72231541</v>
      </c>
      <c r="Y172" s="138">
        <v>1479988.52567933</v>
      </c>
      <c r="Z172" s="138">
        <v>1029038.97785232</v>
      </c>
      <c r="AA172" s="138">
        <v>1029038.97785232</v>
      </c>
      <c r="AB172" s="86">
        <v>8210785.97965982</v>
      </c>
      <c r="AC172" s="138">
        <v>0</v>
      </c>
      <c r="AD172" s="138">
        <v>0</v>
      </c>
      <c r="AE172" s="138">
        <v>0</v>
      </c>
      <c r="AF172" s="138">
        <v>0</v>
      </c>
      <c r="AG172" s="138">
        <v>709636.092691439</v>
      </c>
      <c r="AH172" s="138">
        <v>234665.738581529</v>
      </c>
      <c r="AI172" s="138">
        <v>0</v>
      </c>
      <c r="AJ172" s="138">
        <v>593018.111938883</v>
      </c>
      <c r="AK172" s="138">
        <v>508301.238804757</v>
      </c>
      <c r="AL172" s="138">
        <v>508301.238804757</v>
      </c>
      <c r="AM172" s="138">
        <v>508301.238804757</v>
      </c>
      <c r="AN172" s="138">
        <v>423584.365670631</v>
      </c>
      <c r="AO172" s="86">
        <v>3485808.02529675</v>
      </c>
      <c r="AP172" s="138">
        <v>0</v>
      </c>
      <c r="AQ172" s="138">
        <v>0</v>
      </c>
      <c r="AR172" s="138">
        <v>92710.9693625171</v>
      </c>
      <c r="AS172" s="138">
        <v>34949.2319013885</v>
      </c>
      <c r="AT172" s="138">
        <v>189421.740470471</v>
      </c>
      <c r="AU172" s="138">
        <v>126376.515396765</v>
      </c>
      <c r="AV172" s="138">
        <v>86883.8543352759</v>
      </c>
      <c r="AW172" s="138">
        <v>86883.8543352759</v>
      </c>
      <c r="AX172" s="138">
        <v>86883.8543352759</v>
      </c>
      <c r="AY172" s="138">
        <v>86883.8543352759</v>
      </c>
      <c r="AZ172" s="138">
        <v>19746.3305307445</v>
      </c>
      <c r="BA172" s="138">
        <v>19746.3305307445</v>
      </c>
      <c r="BB172" s="86">
        <v>830486.535533734</v>
      </c>
      <c r="BC172" s="138">
        <v>0</v>
      </c>
      <c r="BD172" s="138">
        <v>84594.0687460437</v>
      </c>
      <c r="BE172" s="138">
        <v>16093.9242412501</v>
      </c>
      <c r="BF172" s="138">
        <v>0</v>
      </c>
      <c r="BG172" s="138">
        <v>113827.374789868</v>
      </c>
      <c r="BH172" s="138">
        <v>74716.4432036194</v>
      </c>
      <c r="BI172" s="138">
        <v>32021.3328015512</v>
      </c>
      <c r="BJ172" s="138">
        <v>21347.5552010341</v>
      </c>
      <c r="BK172" s="138">
        <v>21347.5552010341</v>
      </c>
      <c r="BL172" s="138">
        <v>21347.5552010341</v>
      </c>
      <c r="BM172" s="138">
        <v>0</v>
      </c>
      <c r="BN172" s="138">
        <v>0</v>
      </c>
      <c r="BO172" s="86">
        <v>385295.809385435</v>
      </c>
      <c r="BP172" s="138">
        <v>0</v>
      </c>
      <c r="BQ172" s="138">
        <v>0</v>
      </c>
      <c r="BR172" s="138">
        <v>0</v>
      </c>
      <c r="BS172" s="138">
        <v>0</v>
      </c>
      <c r="BT172" s="138">
        <v>0</v>
      </c>
      <c r="BU172" s="138">
        <v>0</v>
      </c>
      <c r="BV172" s="138">
        <v>0</v>
      </c>
      <c r="BW172" s="138">
        <v>0</v>
      </c>
      <c r="BX172" s="138">
        <v>0</v>
      </c>
      <c r="BY172" s="138">
        <v>0</v>
      </c>
      <c r="BZ172" s="138">
        <v>0</v>
      </c>
      <c r="CA172" s="138">
        <v>0</v>
      </c>
      <c r="CB172" s="86">
        <v>0</v>
      </c>
      <c r="CC172" s="138">
        <v>0</v>
      </c>
      <c r="CD172" s="138">
        <v>0</v>
      </c>
      <c r="CE172" s="138">
        <v>0</v>
      </c>
      <c r="CF172" s="138">
        <v>0</v>
      </c>
      <c r="CG172" s="138">
        <v>2069.80971104269</v>
      </c>
      <c r="CH172" s="138">
        <v>8657.32560166095</v>
      </c>
      <c r="CI172" s="138">
        <v>4328.66280083048</v>
      </c>
      <c r="CJ172" s="138">
        <v>0</v>
      </c>
      <c r="CK172" s="138">
        <v>0</v>
      </c>
      <c r="CL172" s="138">
        <v>0</v>
      </c>
      <c r="CM172" s="138">
        <v>0</v>
      </c>
      <c r="CN172" s="138">
        <v>0</v>
      </c>
      <c r="CO172" s="86">
        <v>15055.7981135341</v>
      </c>
      <c r="CP172" s="138">
        <v>0</v>
      </c>
      <c r="CQ172" s="138">
        <v>0</v>
      </c>
      <c r="CR172" s="138">
        <v>0</v>
      </c>
      <c r="CS172" s="138">
        <v>0</v>
      </c>
      <c r="CT172" s="138">
        <v>0</v>
      </c>
      <c r="CU172" s="138">
        <v>0</v>
      </c>
      <c r="CV172" s="138">
        <v>0</v>
      </c>
      <c r="CW172" s="138">
        <v>0</v>
      </c>
      <c r="CX172" s="138">
        <v>0</v>
      </c>
      <c r="CY172" s="138">
        <v>0</v>
      </c>
      <c r="CZ172" s="138">
        <v>0</v>
      </c>
      <c r="DA172" s="138">
        <v>0</v>
      </c>
      <c r="DB172" s="86">
        <v>0</v>
      </c>
      <c r="DC172" s="138">
        <v>0</v>
      </c>
      <c r="DD172" s="138">
        <v>0</v>
      </c>
      <c r="DE172" s="138">
        <v>0</v>
      </c>
      <c r="DF172" s="138">
        <v>0</v>
      </c>
      <c r="DG172" s="138">
        <v>0</v>
      </c>
      <c r="DH172" s="138">
        <v>0</v>
      </c>
      <c r="DI172" s="138">
        <v>0</v>
      </c>
      <c r="DJ172" s="138">
        <v>0</v>
      </c>
      <c r="DK172" s="138">
        <v>0</v>
      </c>
      <c r="DL172" s="138">
        <v>0</v>
      </c>
      <c r="DM172" s="138">
        <v>0</v>
      </c>
      <c r="DN172" s="138">
        <v>0</v>
      </c>
      <c r="DO172" s="86">
        <v>0</v>
      </c>
      <c r="DP172" s="138">
        <v>0</v>
      </c>
      <c r="DQ172" s="138">
        <v>0</v>
      </c>
      <c r="DR172" s="138">
        <v>0</v>
      </c>
      <c r="DS172" s="138">
        <v>0</v>
      </c>
      <c r="DT172" s="138">
        <v>0</v>
      </c>
      <c r="DU172" s="138">
        <v>194836.964549012</v>
      </c>
      <c r="DV172" s="138">
        <v>168858.702609144</v>
      </c>
      <c r="DW172" s="138">
        <v>90923.9167895389</v>
      </c>
      <c r="DX172" s="138">
        <v>0</v>
      </c>
      <c r="DY172" s="138">
        <v>0</v>
      </c>
      <c r="DZ172" s="138">
        <v>0</v>
      </c>
      <c r="EA172" s="138">
        <v>0</v>
      </c>
      <c r="EB172" s="85">
        <v>454619.583947695</v>
      </c>
      <c r="EC172" s="87">
        <v>0</v>
      </c>
      <c r="ED172" s="85">
        <v>0</v>
      </c>
      <c r="EE172" s="85">
        <v>0</v>
      </c>
      <c r="EF172" s="85">
        <v>0</v>
      </c>
      <c r="EG172" s="85">
        <v>0</v>
      </c>
      <c r="EH172" s="85">
        <v>0</v>
      </c>
      <c r="EI172" s="85">
        <v>0</v>
      </c>
      <c r="EJ172" s="85">
        <v>0</v>
      </c>
      <c r="EK172" s="85">
        <v>0</v>
      </c>
      <c r="EL172" s="85">
        <v>0</v>
      </c>
      <c r="EM172" s="85">
        <v>0</v>
      </c>
      <c r="EN172" s="85">
        <v>0</v>
      </c>
      <c r="EO172" s="152">
        <v>0</v>
      </c>
      <c r="EP172" s="85">
        <v>0</v>
      </c>
      <c r="EQ172" s="85">
        <v>0</v>
      </c>
      <c r="ER172" s="85">
        <v>0</v>
      </c>
      <c r="ES172" s="85">
        <v>0</v>
      </c>
      <c r="ET172" s="85">
        <v>35644.4155390424</v>
      </c>
      <c r="EU172" s="85">
        <v>26532.8539497225</v>
      </c>
      <c r="EV172" s="85">
        <v>24089.8527204095</v>
      </c>
      <c r="EW172" s="85">
        <v>24089.8527204095</v>
      </c>
      <c r="EX172" s="85">
        <v>24089.8527204095</v>
      </c>
      <c r="EY172" s="85">
        <v>24089.8527204095</v>
      </c>
      <c r="EZ172" s="85">
        <v>24089.8527204095</v>
      </c>
      <c r="FA172" s="85">
        <v>24089.8527204095</v>
      </c>
      <c r="FB172" s="85">
        <v>206716.385811222</v>
      </c>
      <c r="FC172" s="87">
        <v>0</v>
      </c>
      <c r="FD172" s="85">
        <v>0</v>
      </c>
      <c r="FE172" s="85">
        <v>0</v>
      </c>
      <c r="FF172" s="85">
        <v>0</v>
      </c>
      <c r="FG172" s="85">
        <v>0</v>
      </c>
      <c r="FH172" s="85">
        <v>0</v>
      </c>
      <c r="FI172" s="85">
        <v>0</v>
      </c>
      <c r="FJ172" s="85">
        <v>0</v>
      </c>
      <c r="FK172" s="85">
        <v>0</v>
      </c>
      <c r="FL172" s="85">
        <v>0</v>
      </c>
      <c r="FM172" s="85">
        <v>0</v>
      </c>
      <c r="FN172" s="85">
        <v>0</v>
      </c>
      <c r="FO172" s="86">
        <v>0</v>
      </c>
      <c r="FP172" s="87">
        <v>0</v>
      </c>
      <c r="FQ172" s="85">
        <v>0</v>
      </c>
      <c r="FR172" s="85">
        <v>0</v>
      </c>
      <c r="FS172" s="85">
        <v>0</v>
      </c>
      <c r="FT172" s="85">
        <v>89698.2875781462</v>
      </c>
      <c r="FU172" s="85">
        <v>0</v>
      </c>
      <c r="FV172" s="85">
        <v>0</v>
      </c>
      <c r="FW172" s="85">
        <v>2548120.32</v>
      </c>
      <c r="FX172" s="85">
        <v>0</v>
      </c>
      <c r="FY172" s="85">
        <v>0</v>
      </c>
      <c r="FZ172" s="85">
        <v>0</v>
      </c>
      <c r="GA172" s="85">
        <v>0</v>
      </c>
      <c r="GB172" s="152">
        <v>2637818.60757815</v>
      </c>
      <c r="GD172" s="153"/>
    </row>
    <row r="173" spans="1:186">
      <c r="A173" s="137" t="s">
        <v>344</v>
      </c>
      <c r="B173" s="151">
        <v>0</v>
      </c>
      <c r="C173" s="138">
        <f t="shared" si="37"/>
        <v>0</v>
      </c>
      <c r="D173" s="138">
        <f t="shared" si="26"/>
        <v>0</v>
      </c>
      <c r="E173" s="138">
        <f t="shared" si="27"/>
        <v>0</v>
      </c>
      <c r="F173" s="138">
        <f t="shared" si="28"/>
        <v>0</v>
      </c>
      <c r="G173" s="138">
        <f t="shared" si="29"/>
        <v>205288.394990514</v>
      </c>
      <c r="H173" s="138">
        <f t="shared" si="30"/>
        <v>531524.17474812</v>
      </c>
      <c r="I173" s="138">
        <f t="shared" si="31"/>
        <v>344114.245251314</v>
      </c>
      <c r="J173" s="138">
        <f t="shared" si="32"/>
        <v>197697.615671896</v>
      </c>
      <c r="K173" s="138">
        <f t="shared" si="33"/>
        <v>130290.068596</v>
      </c>
      <c r="L173" s="138">
        <f t="shared" si="34"/>
        <v>55932</v>
      </c>
      <c r="M173" s="138">
        <f t="shared" si="35"/>
        <v>55932</v>
      </c>
      <c r="N173" s="138">
        <f t="shared" si="36"/>
        <v>55932</v>
      </c>
      <c r="O173" s="86">
        <f t="shared" si="38"/>
        <v>1576710.49925784</v>
      </c>
      <c r="P173" s="138">
        <v>0</v>
      </c>
      <c r="Q173" s="138">
        <v>0</v>
      </c>
      <c r="R173" s="138">
        <v>0</v>
      </c>
      <c r="S173" s="138">
        <v>0</v>
      </c>
      <c r="T173" s="138">
        <v>0</v>
      </c>
      <c r="U173" s="138">
        <v>0</v>
      </c>
      <c r="V173" s="138">
        <v>0</v>
      </c>
      <c r="W173" s="138">
        <v>0</v>
      </c>
      <c r="X173" s="138">
        <v>0</v>
      </c>
      <c r="Y173" s="138">
        <v>0</v>
      </c>
      <c r="Z173" s="138">
        <v>0</v>
      </c>
      <c r="AA173" s="138">
        <v>0</v>
      </c>
      <c r="AB173" s="86">
        <v>0</v>
      </c>
      <c r="AC173" s="138">
        <v>0</v>
      </c>
      <c r="AD173" s="138">
        <v>0</v>
      </c>
      <c r="AE173" s="138">
        <v>0</v>
      </c>
      <c r="AF173" s="138">
        <v>0</v>
      </c>
      <c r="AG173" s="138">
        <v>0</v>
      </c>
      <c r="AH173" s="138">
        <v>0</v>
      </c>
      <c r="AI173" s="138">
        <v>0</v>
      </c>
      <c r="AJ173" s="138">
        <v>0</v>
      </c>
      <c r="AK173" s="138">
        <v>0</v>
      </c>
      <c r="AL173" s="138">
        <v>0</v>
      </c>
      <c r="AM173" s="138">
        <v>0</v>
      </c>
      <c r="AN173" s="138">
        <v>0</v>
      </c>
      <c r="AO173" s="86">
        <v>0</v>
      </c>
      <c r="AP173" s="138">
        <v>0</v>
      </c>
      <c r="AQ173" s="138">
        <v>0</v>
      </c>
      <c r="AR173" s="138">
        <v>0</v>
      </c>
      <c r="AS173" s="138">
        <v>0</v>
      </c>
      <c r="AT173" s="138">
        <v>0</v>
      </c>
      <c r="AU173" s="138">
        <v>22608.1175641857</v>
      </c>
      <c r="AV173" s="138">
        <v>18086.4940513486</v>
      </c>
      <c r="AW173" s="138">
        <v>0</v>
      </c>
      <c r="AX173" s="138">
        <v>0</v>
      </c>
      <c r="AY173" s="138">
        <v>0</v>
      </c>
      <c r="AZ173" s="138">
        <v>0</v>
      </c>
      <c r="BA173" s="138">
        <v>0</v>
      </c>
      <c r="BB173" s="86">
        <v>40694.6116155343</v>
      </c>
      <c r="BC173" s="138">
        <v>0</v>
      </c>
      <c r="BD173" s="138">
        <v>0</v>
      </c>
      <c r="BE173" s="138">
        <v>0</v>
      </c>
      <c r="BF173" s="138">
        <v>0</v>
      </c>
      <c r="BG173" s="138">
        <v>0</v>
      </c>
      <c r="BH173" s="138">
        <v>0</v>
      </c>
      <c r="BI173" s="138">
        <v>0</v>
      </c>
      <c r="BJ173" s="138">
        <v>0</v>
      </c>
      <c r="BK173" s="138">
        <v>0</v>
      </c>
      <c r="BL173" s="138">
        <v>0</v>
      </c>
      <c r="BM173" s="138">
        <v>0</v>
      </c>
      <c r="BN173" s="138">
        <v>0</v>
      </c>
      <c r="BO173" s="86">
        <v>0</v>
      </c>
      <c r="BP173" s="138">
        <v>0</v>
      </c>
      <c r="BQ173" s="138">
        <v>0</v>
      </c>
      <c r="BR173" s="138">
        <v>0</v>
      </c>
      <c r="BS173" s="138">
        <v>0</v>
      </c>
      <c r="BT173" s="138">
        <v>0</v>
      </c>
      <c r="BU173" s="138">
        <v>0</v>
      </c>
      <c r="BV173" s="138">
        <v>0</v>
      </c>
      <c r="BW173" s="138">
        <v>0</v>
      </c>
      <c r="BX173" s="138">
        <v>0</v>
      </c>
      <c r="BY173" s="138">
        <v>0</v>
      </c>
      <c r="BZ173" s="138">
        <v>0</v>
      </c>
      <c r="CA173" s="138">
        <v>0</v>
      </c>
      <c r="CB173" s="86">
        <v>0</v>
      </c>
      <c r="CC173" s="138">
        <v>0</v>
      </c>
      <c r="CD173" s="138">
        <v>0</v>
      </c>
      <c r="CE173" s="138">
        <v>0</v>
      </c>
      <c r="CF173" s="138">
        <v>0</v>
      </c>
      <c r="CG173" s="138">
        <v>0</v>
      </c>
      <c r="CH173" s="138">
        <v>13150.0442366364</v>
      </c>
      <c r="CI173" s="138">
        <v>6938.40733002682</v>
      </c>
      <c r="CJ173" s="138">
        <v>4956.00523573344</v>
      </c>
      <c r="CK173" s="138">
        <v>0</v>
      </c>
      <c r="CL173" s="138">
        <v>0</v>
      </c>
      <c r="CM173" s="138">
        <v>0</v>
      </c>
      <c r="CN173" s="138">
        <v>0</v>
      </c>
      <c r="CO173" s="86">
        <v>25044.4568023967</v>
      </c>
      <c r="CP173" s="138">
        <v>0</v>
      </c>
      <c r="CQ173" s="138">
        <v>0</v>
      </c>
      <c r="CR173" s="138">
        <v>0</v>
      </c>
      <c r="CS173" s="138">
        <v>0</v>
      </c>
      <c r="CT173" s="138">
        <v>0</v>
      </c>
      <c r="CU173" s="138">
        <v>0</v>
      </c>
      <c r="CV173" s="138">
        <v>0</v>
      </c>
      <c r="CW173" s="138">
        <v>0</v>
      </c>
      <c r="CX173" s="138">
        <v>0</v>
      </c>
      <c r="CY173" s="138">
        <v>0</v>
      </c>
      <c r="CZ173" s="138">
        <v>0</v>
      </c>
      <c r="DA173" s="138">
        <v>0</v>
      </c>
      <c r="DB173" s="86">
        <v>0</v>
      </c>
      <c r="DC173" s="138">
        <v>0</v>
      </c>
      <c r="DD173" s="138">
        <v>0</v>
      </c>
      <c r="DE173" s="138">
        <v>0</v>
      </c>
      <c r="DF173" s="138">
        <v>0</v>
      </c>
      <c r="DG173" s="138">
        <v>0</v>
      </c>
      <c r="DH173" s="138">
        <v>5215.63347213057</v>
      </c>
      <c r="DI173" s="138">
        <v>9779.31276024481</v>
      </c>
      <c r="DJ173" s="138">
        <v>6519.54184016321</v>
      </c>
      <c r="DK173" s="138">
        <v>0</v>
      </c>
      <c r="DL173" s="138">
        <v>0</v>
      </c>
      <c r="DM173" s="138">
        <v>0</v>
      </c>
      <c r="DN173" s="138">
        <v>0</v>
      </c>
      <c r="DO173" s="86">
        <v>21514.4880725386</v>
      </c>
      <c r="DP173" s="138">
        <v>0</v>
      </c>
      <c r="DQ173" s="138">
        <v>0</v>
      </c>
      <c r="DR173" s="138">
        <v>0</v>
      </c>
      <c r="DS173" s="138">
        <v>0</v>
      </c>
      <c r="DT173" s="138">
        <v>0</v>
      </c>
      <c r="DU173" s="138">
        <v>185895.171489999</v>
      </c>
      <c r="DV173" s="138">
        <v>111537.102894</v>
      </c>
      <c r="DW173" s="138">
        <v>74358.0685959997</v>
      </c>
      <c r="DX173" s="138">
        <v>74358.0685959997</v>
      </c>
      <c r="DY173" s="138">
        <v>0</v>
      </c>
      <c r="DZ173" s="138">
        <v>0</v>
      </c>
      <c r="EA173" s="138">
        <v>0</v>
      </c>
      <c r="EB173" s="85">
        <v>446148.411575998</v>
      </c>
      <c r="EC173" s="87">
        <v>0</v>
      </c>
      <c r="ED173" s="85">
        <v>0</v>
      </c>
      <c r="EE173" s="85">
        <v>0</v>
      </c>
      <c r="EF173" s="85">
        <v>0</v>
      </c>
      <c r="EG173" s="85">
        <v>0</v>
      </c>
      <c r="EH173" s="85">
        <v>0</v>
      </c>
      <c r="EI173" s="85">
        <v>0</v>
      </c>
      <c r="EJ173" s="85">
        <v>0</v>
      </c>
      <c r="EK173" s="85">
        <v>0</v>
      </c>
      <c r="EL173" s="85">
        <v>0</v>
      </c>
      <c r="EM173" s="85">
        <v>0</v>
      </c>
      <c r="EN173" s="85">
        <v>0</v>
      </c>
      <c r="EO173" s="152">
        <v>0</v>
      </c>
      <c r="EP173" s="85">
        <v>0</v>
      </c>
      <c r="EQ173" s="85">
        <v>0</v>
      </c>
      <c r="ER173" s="85">
        <v>0</v>
      </c>
      <c r="ES173" s="85">
        <v>0</v>
      </c>
      <c r="ET173" s="85">
        <v>28185.1398595686</v>
      </c>
      <c r="EU173" s="85">
        <v>52961.2079851675</v>
      </c>
      <c r="EV173" s="85">
        <v>29976.9282156946</v>
      </c>
      <c r="EW173" s="85">
        <v>0</v>
      </c>
      <c r="EX173" s="85">
        <v>0</v>
      </c>
      <c r="EY173" s="85">
        <v>0</v>
      </c>
      <c r="EZ173" s="85">
        <v>0</v>
      </c>
      <c r="FA173" s="85">
        <v>0</v>
      </c>
      <c r="FB173" s="85">
        <v>111123.276060431</v>
      </c>
      <c r="FC173" s="87">
        <v>0</v>
      </c>
      <c r="FD173" s="85">
        <v>0</v>
      </c>
      <c r="FE173" s="85">
        <v>0</v>
      </c>
      <c r="FF173" s="85">
        <v>0</v>
      </c>
      <c r="FG173" s="85">
        <v>0</v>
      </c>
      <c r="FH173" s="85">
        <v>0</v>
      </c>
      <c r="FI173" s="85">
        <v>0</v>
      </c>
      <c r="FJ173" s="85">
        <v>0</v>
      </c>
      <c r="FK173" s="85">
        <v>0</v>
      </c>
      <c r="FL173" s="85">
        <v>0</v>
      </c>
      <c r="FM173" s="85">
        <v>0</v>
      </c>
      <c r="FN173" s="85">
        <v>0</v>
      </c>
      <c r="FO173" s="86">
        <v>0</v>
      </c>
      <c r="FP173" s="87">
        <v>0</v>
      </c>
      <c r="FQ173" s="85">
        <v>0</v>
      </c>
      <c r="FR173" s="85">
        <v>0</v>
      </c>
      <c r="FS173" s="85">
        <v>0</v>
      </c>
      <c r="FT173" s="85">
        <v>177103.255130945</v>
      </c>
      <c r="FU173" s="85">
        <v>251694</v>
      </c>
      <c r="FV173" s="85">
        <v>167796</v>
      </c>
      <c r="FW173" s="85">
        <v>111864</v>
      </c>
      <c r="FX173" s="85">
        <v>55932</v>
      </c>
      <c r="FY173" s="85">
        <v>55932</v>
      </c>
      <c r="FZ173" s="85">
        <v>55932</v>
      </c>
      <c r="GA173" s="85">
        <v>55932</v>
      </c>
      <c r="GB173" s="152">
        <v>932185.255130945</v>
      </c>
      <c r="GD173" s="153"/>
    </row>
    <row r="174" spans="1:186">
      <c r="A174" s="137" t="s">
        <v>345</v>
      </c>
      <c r="B174" s="151">
        <v>1202687.2330282</v>
      </c>
      <c r="C174" s="138">
        <f t="shared" si="37"/>
        <v>873716.108659581</v>
      </c>
      <c r="D174" s="138">
        <f t="shared" si="26"/>
        <v>883891.250260908</v>
      </c>
      <c r="E174" s="138">
        <f t="shared" si="27"/>
        <v>352034.079854351</v>
      </c>
      <c r="F174" s="138">
        <f t="shared" si="28"/>
        <v>532888.630880125</v>
      </c>
      <c r="G174" s="138">
        <f t="shared" si="29"/>
        <v>424065.328619186</v>
      </c>
      <c r="H174" s="138">
        <f t="shared" si="30"/>
        <v>170244.674604908</v>
      </c>
      <c r="I174" s="138">
        <f t="shared" si="31"/>
        <v>71287.0571633331</v>
      </c>
      <c r="J174" s="138">
        <f t="shared" si="32"/>
        <v>40304.5285816666</v>
      </c>
      <c r="K174" s="138">
        <f t="shared" si="33"/>
        <v>34108.0228653332</v>
      </c>
      <c r="L174" s="138">
        <f t="shared" si="34"/>
        <v>29447.0228653332</v>
      </c>
      <c r="M174" s="138">
        <f t="shared" si="35"/>
        <v>17054.0114326666</v>
      </c>
      <c r="N174" s="138">
        <f t="shared" si="36"/>
        <v>4661</v>
      </c>
      <c r="O174" s="86">
        <f t="shared" si="38"/>
        <v>3433701.71578739</v>
      </c>
      <c r="P174" s="138">
        <v>180994.127249358</v>
      </c>
      <c r="Q174" s="138">
        <v>183149.67612722</v>
      </c>
      <c r="R174" s="138">
        <v>183340.641493077</v>
      </c>
      <c r="S174" s="138">
        <v>40595.9936694634</v>
      </c>
      <c r="T174" s="138">
        <v>1278.26875669719</v>
      </c>
      <c r="U174" s="138">
        <v>0</v>
      </c>
      <c r="V174" s="138">
        <v>0</v>
      </c>
      <c r="W174" s="138">
        <v>0</v>
      </c>
      <c r="X174" s="138">
        <v>0</v>
      </c>
      <c r="Y174" s="138">
        <v>0</v>
      </c>
      <c r="Z174" s="138">
        <v>0</v>
      </c>
      <c r="AA174" s="138">
        <v>0</v>
      </c>
      <c r="AB174" s="86">
        <v>589358.707295815</v>
      </c>
      <c r="AC174" s="138">
        <v>160348.850853753</v>
      </c>
      <c r="AD174" s="138">
        <v>288821.050811472</v>
      </c>
      <c r="AE174" s="138">
        <v>18736.7178682919</v>
      </c>
      <c r="AF174" s="138">
        <v>16789.789219998</v>
      </c>
      <c r="AG174" s="138">
        <v>190770.38965966</v>
      </c>
      <c r="AH174" s="138">
        <v>32331.5602782414</v>
      </c>
      <c r="AI174" s="138">
        <v>0</v>
      </c>
      <c r="AJ174" s="138">
        <v>0</v>
      </c>
      <c r="AK174" s="138">
        <v>0</v>
      </c>
      <c r="AL174" s="138">
        <v>0</v>
      </c>
      <c r="AM174" s="138">
        <v>0</v>
      </c>
      <c r="AN174" s="138">
        <v>0</v>
      </c>
      <c r="AO174" s="86">
        <v>707798.358691417</v>
      </c>
      <c r="AP174" s="138">
        <v>0</v>
      </c>
      <c r="AQ174" s="138">
        <v>0</v>
      </c>
      <c r="AR174" s="138">
        <v>0</v>
      </c>
      <c r="AS174" s="138">
        <v>0</v>
      </c>
      <c r="AT174" s="138">
        <v>0</v>
      </c>
      <c r="AU174" s="138">
        <v>0</v>
      </c>
      <c r="AV174" s="138">
        <v>0</v>
      </c>
      <c r="AW174" s="138">
        <v>0</v>
      </c>
      <c r="AX174" s="138">
        <v>0</v>
      </c>
      <c r="AY174" s="138">
        <v>0</v>
      </c>
      <c r="AZ174" s="138">
        <v>0</v>
      </c>
      <c r="BA174" s="138">
        <v>0</v>
      </c>
      <c r="BB174" s="86">
        <v>0</v>
      </c>
      <c r="BC174" s="138">
        <v>0</v>
      </c>
      <c r="BD174" s="138">
        <v>0</v>
      </c>
      <c r="BE174" s="138">
        <v>0</v>
      </c>
      <c r="BF174" s="138">
        <v>0</v>
      </c>
      <c r="BG174" s="138">
        <v>0</v>
      </c>
      <c r="BH174" s="138">
        <v>0</v>
      </c>
      <c r="BI174" s="138">
        <v>0</v>
      </c>
      <c r="BJ174" s="138">
        <v>0</v>
      </c>
      <c r="BK174" s="138">
        <v>0</v>
      </c>
      <c r="BL174" s="138">
        <v>0</v>
      </c>
      <c r="BM174" s="138">
        <v>0</v>
      </c>
      <c r="BN174" s="138">
        <v>0</v>
      </c>
      <c r="BO174" s="86">
        <v>0</v>
      </c>
      <c r="BP174" s="138">
        <v>0</v>
      </c>
      <c r="BQ174" s="138">
        <v>0</v>
      </c>
      <c r="BR174" s="138">
        <v>0</v>
      </c>
      <c r="BS174" s="138">
        <v>0</v>
      </c>
      <c r="BT174" s="138">
        <v>0</v>
      </c>
      <c r="BU174" s="138">
        <v>0</v>
      </c>
      <c r="BV174" s="138">
        <v>0</v>
      </c>
      <c r="BW174" s="138">
        <v>0</v>
      </c>
      <c r="BX174" s="138">
        <v>0</v>
      </c>
      <c r="BY174" s="138">
        <v>0</v>
      </c>
      <c r="BZ174" s="138">
        <v>0</v>
      </c>
      <c r="CA174" s="138">
        <v>0</v>
      </c>
      <c r="CB174" s="86">
        <v>0</v>
      </c>
      <c r="CC174" s="138">
        <v>0</v>
      </c>
      <c r="CD174" s="138">
        <v>0</v>
      </c>
      <c r="CE174" s="138">
        <v>0</v>
      </c>
      <c r="CF174" s="138">
        <v>0</v>
      </c>
      <c r="CG174" s="138">
        <v>0</v>
      </c>
      <c r="CH174" s="138">
        <v>0</v>
      </c>
      <c r="CI174" s="138">
        <v>0</v>
      </c>
      <c r="CJ174" s="138">
        <v>0</v>
      </c>
      <c r="CK174" s="138">
        <v>0</v>
      </c>
      <c r="CL174" s="138">
        <v>0</v>
      </c>
      <c r="CM174" s="138">
        <v>0</v>
      </c>
      <c r="CN174" s="138">
        <v>0</v>
      </c>
      <c r="CO174" s="86">
        <v>0</v>
      </c>
      <c r="CP174" s="138">
        <v>63175.2699492638</v>
      </c>
      <c r="CQ174" s="138">
        <v>4130.4849742065</v>
      </c>
      <c r="CR174" s="138">
        <v>857.5980764666</v>
      </c>
      <c r="CS174" s="138">
        <v>96.0947308055942</v>
      </c>
      <c r="CT174" s="138">
        <v>0</v>
      </c>
      <c r="CU174" s="138">
        <v>0</v>
      </c>
      <c r="CV174" s="138">
        <v>0</v>
      </c>
      <c r="CW174" s="138">
        <v>0</v>
      </c>
      <c r="CX174" s="138">
        <v>0</v>
      </c>
      <c r="CY174" s="138">
        <v>0</v>
      </c>
      <c r="CZ174" s="138">
        <v>0</v>
      </c>
      <c r="DA174" s="138">
        <v>0</v>
      </c>
      <c r="DB174" s="86">
        <v>68259.4477307425</v>
      </c>
      <c r="DC174" s="138">
        <v>0</v>
      </c>
      <c r="DD174" s="138">
        <v>17417.1003287132</v>
      </c>
      <c r="DE174" s="138">
        <v>24299.099821509</v>
      </c>
      <c r="DF174" s="138">
        <v>18826.5482010665</v>
      </c>
      <c r="DG174" s="138">
        <v>2349.21402271158</v>
      </c>
      <c r="DH174" s="138">
        <v>0</v>
      </c>
      <c r="DI174" s="138">
        <v>0</v>
      </c>
      <c r="DJ174" s="138">
        <v>0</v>
      </c>
      <c r="DK174" s="138">
        <v>0</v>
      </c>
      <c r="DL174" s="138">
        <v>0</v>
      </c>
      <c r="DM174" s="138">
        <v>0</v>
      </c>
      <c r="DN174" s="138">
        <v>0</v>
      </c>
      <c r="DO174" s="86">
        <v>62891.9623740002</v>
      </c>
      <c r="DP174" s="138">
        <v>166865.501283378</v>
      </c>
      <c r="DQ174" s="138">
        <v>220177.72279752</v>
      </c>
      <c r="DR174" s="138">
        <v>5569.48251164297</v>
      </c>
      <c r="DS174" s="138">
        <v>411542.043177627</v>
      </c>
      <c r="DT174" s="138">
        <v>207556.075708212</v>
      </c>
      <c r="DU174" s="138">
        <v>123930.114326666</v>
      </c>
      <c r="DV174" s="138">
        <v>61965.0571633331</v>
      </c>
      <c r="DW174" s="138">
        <v>30982.5285816666</v>
      </c>
      <c r="DX174" s="138">
        <v>24786.0228653332</v>
      </c>
      <c r="DY174" s="138">
        <v>24786.0228653332</v>
      </c>
      <c r="DZ174" s="138">
        <v>12393.0114326666</v>
      </c>
      <c r="EA174" s="138">
        <v>0</v>
      </c>
      <c r="EB174" s="85">
        <v>1290553.58271338</v>
      </c>
      <c r="EC174" s="87">
        <v>0</v>
      </c>
      <c r="ED174" s="85">
        <v>0</v>
      </c>
      <c r="EE174" s="85">
        <v>0</v>
      </c>
      <c r="EF174" s="85">
        <v>0</v>
      </c>
      <c r="EG174" s="85">
        <v>0</v>
      </c>
      <c r="EH174" s="85">
        <v>0</v>
      </c>
      <c r="EI174" s="85">
        <v>0</v>
      </c>
      <c r="EJ174" s="85">
        <v>0</v>
      </c>
      <c r="EK174" s="85">
        <v>0</v>
      </c>
      <c r="EL174" s="85">
        <v>0</v>
      </c>
      <c r="EM174" s="85">
        <v>0</v>
      </c>
      <c r="EN174" s="85">
        <v>0</v>
      </c>
      <c r="EO174" s="152">
        <v>0</v>
      </c>
      <c r="EP174" s="85">
        <v>8837.46613743815</v>
      </c>
      <c r="EQ174" s="85">
        <v>23033.3791340788</v>
      </c>
      <c r="ER174" s="85">
        <v>27091.6359454258</v>
      </c>
      <c r="ES174" s="85">
        <v>18234.4484572902</v>
      </c>
      <c r="ET174" s="85">
        <v>2002.25228237982</v>
      </c>
      <c r="EU174" s="85">
        <v>0</v>
      </c>
      <c r="EV174" s="85">
        <v>0</v>
      </c>
      <c r="EW174" s="85">
        <v>0</v>
      </c>
      <c r="EX174" s="85">
        <v>0</v>
      </c>
      <c r="EY174" s="85">
        <v>0</v>
      </c>
      <c r="EZ174" s="85">
        <v>0</v>
      </c>
      <c r="FA174" s="85">
        <v>0</v>
      </c>
      <c r="FB174" s="85">
        <v>79199.1819566127</v>
      </c>
      <c r="FC174" s="87">
        <v>0</v>
      </c>
      <c r="FD174" s="85">
        <v>0</v>
      </c>
      <c r="FE174" s="85">
        <v>0</v>
      </c>
      <c r="FF174" s="85">
        <v>0</v>
      </c>
      <c r="FG174" s="85">
        <v>0</v>
      </c>
      <c r="FH174" s="85">
        <v>0</v>
      </c>
      <c r="FI174" s="85">
        <v>0</v>
      </c>
      <c r="FJ174" s="85">
        <v>0</v>
      </c>
      <c r="FK174" s="85">
        <v>0</v>
      </c>
      <c r="FL174" s="85">
        <v>0</v>
      </c>
      <c r="FM174" s="85">
        <v>0</v>
      </c>
      <c r="FN174" s="85">
        <v>0</v>
      </c>
      <c r="FO174" s="86">
        <v>0</v>
      </c>
      <c r="FP174" s="87">
        <v>293494.89318639</v>
      </c>
      <c r="FQ174" s="85">
        <v>147161.836087698</v>
      </c>
      <c r="FR174" s="85">
        <v>92138.9041379384</v>
      </c>
      <c r="FS174" s="85">
        <v>26803.7134238744</v>
      </c>
      <c r="FT174" s="85">
        <v>20109.1281895253</v>
      </c>
      <c r="FU174" s="85">
        <v>13983</v>
      </c>
      <c r="FV174" s="85">
        <v>9322</v>
      </c>
      <c r="FW174" s="85">
        <v>9322</v>
      </c>
      <c r="FX174" s="85">
        <v>9322</v>
      </c>
      <c r="FY174" s="85">
        <v>4661</v>
      </c>
      <c r="FZ174" s="85">
        <v>4661</v>
      </c>
      <c r="GA174" s="85">
        <v>4661</v>
      </c>
      <c r="GB174" s="152">
        <v>635640.475025426</v>
      </c>
      <c r="GD174" s="153"/>
    </row>
    <row r="175" spans="1:186">
      <c r="A175" s="137" t="s">
        <v>346</v>
      </c>
      <c r="B175" s="151">
        <v>0</v>
      </c>
      <c r="C175" s="138">
        <f t="shared" si="37"/>
        <v>0</v>
      </c>
      <c r="D175" s="138">
        <f t="shared" si="26"/>
        <v>0</v>
      </c>
      <c r="E175" s="138">
        <f t="shared" si="27"/>
        <v>0</v>
      </c>
      <c r="F175" s="138">
        <f t="shared" si="28"/>
        <v>0</v>
      </c>
      <c r="G175" s="138">
        <f t="shared" si="29"/>
        <v>0</v>
      </c>
      <c r="H175" s="138">
        <f t="shared" si="30"/>
        <v>0</v>
      </c>
      <c r="I175" s="138">
        <f t="shared" si="31"/>
        <v>0</v>
      </c>
      <c r="J175" s="138">
        <f t="shared" si="32"/>
        <v>0</v>
      </c>
      <c r="K175" s="138">
        <f t="shared" si="33"/>
        <v>0</v>
      </c>
      <c r="L175" s="138">
        <f t="shared" si="34"/>
        <v>0</v>
      </c>
      <c r="M175" s="138">
        <f t="shared" si="35"/>
        <v>0</v>
      </c>
      <c r="N175" s="138">
        <f t="shared" si="36"/>
        <v>0</v>
      </c>
      <c r="O175" s="86">
        <f t="shared" si="38"/>
        <v>0</v>
      </c>
      <c r="P175" s="138">
        <v>0</v>
      </c>
      <c r="Q175" s="138">
        <v>0</v>
      </c>
      <c r="R175" s="138">
        <v>0</v>
      </c>
      <c r="S175" s="138">
        <v>0</v>
      </c>
      <c r="T175" s="138">
        <v>0</v>
      </c>
      <c r="U175" s="138">
        <v>0</v>
      </c>
      <c r="V175" s="138">
        <v>0</v>
      </c>
      <c r="W175" s="138">
        <v>0</v>
      </c>
      <c r="X175" s="138">
        <v>0</v>
      </c>
      <c r="Y175" s="138">
        <v>0</v>
      </c>
      <c r="Z175" s="138">
        <v>0</v>
      </c>
      <c r="AA175" s="138">
        <v>0</v>
      </c>
      <c r="AB175" s="86">
        <v>0</v>
      </c>
      <c r="AC175" s="138">
        <v>0</v>
      </c>
      <c r="AD175" s="138">
        <v>0</v>
      </c>
      <c r="AE175" s="138">
        <v>0</v>
      </c>
      <c r="AF175" s="138">
        <v>0</v>
      </c>
      <c r="AG175" s="138">
        <v>0</v>
      </c>
      <c r="AH175" s="138">
        <v>0</v>
      </c>
      <c r="AI175" s="138">
        <v>0</v>
      </c>
      <c r="AJ175" s="138">
        <v>0</v>
      </c>
      <c r="AK175" s="138">
        <v>0</v>
      </c>
      <c r="AL175" s="138">
        <v>0</v>
      </c>
      <c r="AM175" s="138">
        <v>0</v>
      </c>
      <c r="AN175" s="138">
        <v>0</v>
      </c>
      <c r="AO175" s="86">
        <v>0</v>
      </c>
      <c r="AP175" s="138">
        <v>0</v>
      </c>
      <c r="AQ175" s="138">
        <v>0</v>
      </c>
      <c r="AR175" s="138">
        <v>0</v>
      </c>
      <c r="AS175" s="138">
        <v>0</v>
      </c>
      <c r="AT175" s="138">
        <v>0</v>
      </c>
      <c r="AU175" s="138">
        <v>0</v>
      </c>
      <c r="AV175" s="138">
        <v>0</v>
      </c>
      <c r="AW175" s="138">
        <v>0</v>
      </c>
      <c r="AX175" s="138">
        <v>0</v>
      </c>
      <c r="AY175" s="138">
        <v>0</v>
      </c>
      <c r="AZ175" s="138">
        <v>0</v>
      </c>
      <c r="BA175" s="138">
        <v>0</v>
      </c>
      <c r="BB175" s="86">
        <v>0</v>
      </c>
      <c r="BC175" s="138">
        <v>0</v>
      </c>
      <c r="BD175" s="138">
        <v>0</v>
      </c>
      <c r="BE175" s="138">
        <v>0</v>
      </c>
      <c r="BF175" s="138">
        <v>0</v>
      </c>
      <c r="BG175" s="138">
        <v>0</v>
      </c>
      <c r="BH175" s="138">
        <v>0</v>
      </c>
      <c r="BI175" s="138">
        <v>0</v>
      </c>
      <c r="BJ175" s="138">
        <v>0</v>
      </c>
      <c r="BK175" s="138">
        <v>0</v>
      </c>
      <c r="BL175" s="138">
        <v>0</v>
      </c>
      <c r="BM175" s="138">
        <v>0</v>
      </c>
      <c r="BN175" s="138">
        <v>0</v>
      </c>
      <c r="BO175" s="86">
        <v>0</v>
      </c>
      <c r="BP175" s="138">
        <v>0</v>
      </c>
      <c r="BQ175" s="138">
        <v>0</v>
      </c>
      <c r="BR175" s="138">
        <v>0</v>
      </c>
      <c r="BS175" s="138">
        <v>0</v>
      </c>
      <c r="BT175" s="138">
        <v>0</v>
      </c>
      <c r="BU175" s="138">
        <v>0</v>
      </c>
      <c r="BV175" s="138">
        <v>0</v>
      </c>
      <c r="BW175" s="138">
        <v>0</v>
      </c>
      <c r="BX175" s="138">
        <v>0</v>
      </c>
      <c r="BY175" s="138">
        <v>0</v>
      </c>
      <c r="BZ175" s="138">
        <v>0</v>
      </c>
      <c r="CA175" s="138">
        <v>0</v>
      </c>
      <c r="CB175" s="86">
        <v>0</v>
      </c>
      <c r="CC175" s="138">
        <v>0</v>
      </c>
      <c r="CD175" s="138">
        <v>0</v>
      </c>
      <c r="CE175" s="138">
        <v>0</v>
      </c>
      <c r="CF175" s="138">
        <v>0</v>
      </c>
      <c r="CG175" s="138">
        <v>0</v>
      </c>
      <c r="CH175" s="138">
        <v>0</v>
      </c>
      <c r="CI175" s="138">
        <v>0</v>
      </c>
      <c r="CJ175" s="138">
        <v>0</v>
      </c>
      <c r="CK175" s="138">
        <v>0</v>
      </c>
      <c r="CL175" s="138">
        <v>0</v>
      </c>
      <c r="CM175" s="138">
        <v>0</v>
      </c>
      <c r="CN175" s="138">
        <v>0</v>
      </c>
      <c r="CO175" s="86">
        <v>0</v>
      </c>
      <c r="CP175" s="138">
        <v>0</v>
      </c>
      <c r="CQ175" s="138">
        <v>0</v>
      </c>
      <c r="CR175" s="138">
        <v>0</v>
      </c>
      <c r="CS175" s="138">
        <v>0</v>
      </c>
      <c r="CT175" s="138">
        <v>0</v>
      </c>
      <c r="CU175" s="138">
        <v>0</v>
      </c>
      <c r="CV175" s="138">
        <v>0</v>
      </c>
      <c r="CW175" s="138">
        <v>0</v>
      </c>
      <c r="CX175" s="138">
        <v>0</v>
      </c>
      <c r="CY175" s="138">
        <v>0</v>
      </c>
      <c r="CZ175" s="138">
        <v>0</v>
      </c>
      <c r="DA175" s="138">
        <v>0</v>
      </c>
      <c r="DB175" s="86">
        <v>0</v>
      </c>
      <c r="DC175" s="138">
        <v>0</v>
      </c>
      <c r="DD175" s="138">
        <v>0</v>
      </c>
      <c r="DE175" s="138">
        <v>0</v>
      </c>
      <c r="DF175" s="138">
        <v>0</v>
      </c>
      <c r="DG175" s="138">
        <v>0</v>
      </c>
      <c r="DH175" s="138">
        <v>0</v>
      </c>
      <c r="DI175" s="138">
        <v>0</v>
      </c>
      <c r="DJ175" s="138">
        <v>0</v>
      </c>
      <c r="DK175" s="138">
        <v>0</v>
      </c>
      <c r="DL175" s="138">
        <v>0</v>
      </c>
      <c r="DM175" s="138">
        <v>0</v>
      </c>
      <c r="DN175" s="138">
        <v>0</v>
      </c>
      <c r="DO175" s="86">
        <v>0</v>
      </c>
      <c r="DP175" s="138">
        <v>0</v>
      </c>
      <c r="DQ175" s="138">
        <v>0</v>
      </c>
      <c r="DR175" s="138">
        <v>0</v>
      </c>
      <c r="DS175" s="138">
        <v>0</v>
      </c>
      <c r="DT175" s="138">
        <v>0</v>
      </c>
      <c r="DU175" s="138">
        <v>0</v>
      </c>
      <c r="DV175" s="138">
        <v>0</v>
      </c>
      <c r="DW175" s="138">
        <v>0</v>
      </c>
      <c r="DX175" s="138">
        <v>0</v>
      </c>
      <c r="DY175" s="138">
        <v>0</v>
      </c>
      <c r="DZ175" s="138">
        <v>0</v>
      </c>
      <c r="EA175" s="138">
        <v>0</v>
      </c>
      <c r="EB175" s="85">
        <v>0</v>
      </c>
      <c r="EC175" s="87">
        <v>0</v>
      </c>
      <c r="ED175" s="85">
        <v>0</v>
      </c>
      <c r="EE175" s="85">
        <v>0</v>
      </c>
      <c r="EF175" s="85">
        <v>0</v>
      </c>
      <c r="EG175" s="85">
        <v>0</v>
      </c>
      <c r="EH175" s="85">
        <v>0</v>
      </c>
      <c r="EI175" s="85">
        <v>0</v>
      </c>
      <c r="EJ175" s="85">
        <v>0</v>
      </c>
      <c r="EK175" s="85">
        <v>0</v>
      </c>
      <c r="EL175" s="85">
        <v>0</v>
      </c>
      <c r="EM175" s="85">
        <v>0</v>
      </c>
      <c r="EN175" s="85">
        <v>0</v>
      </c>
      <c r="EO175" s="152">
        <v>0</v>
      </c>
      <c r="EP175" s="85">
        <v>0</v>
      </c>
      <c r="EQ175" s="85">
        <v>0</v>
      </c>
      <c r="ER175" s="85">
        <v>0</v>
      </c>
      <c r="ES175" s="85">
        <v>0</v>
      </c>
      <c r="ET175" s="85">
        <v>0</v>
      </c>
      <c r="EU175" s="85">
        <v>0</v>
      </c>
      <c r="EV175" s="85">
        <v>0</v>
      </c>
      <c r="EW175" s="85">
        <v>0</v>
      </c>
      <c r="EX175" s="85">
        <v>0</v>
      </c>
      <c r="EY175" s="85">
        <v>0</v>
      </c>
      <c r="EZ175" s="85">
        <v>0</v>
      </c>
      <c r="FA175" s="85">
        <v>0</v>
      </c>
      <c r="FB175" s="85">
        <v>0</v>
      </c>
      <c r="FC175" s="87">
        <v>0</v>
      </c>
      <c r="FD175" s="85">
        <v>0</v>
      </c>
      <c r="FE175" s="85">
        <v>0</v>
      </c>
      <c r="FF175" s="85">
        <v>0</v>
      </c>
      <c r="FG175" s="85">
        <v>0</v>
      </c>
      <c r="FH175" s="85">
        <v>0</v>
      </c>
      <c r="FI175" s="85">
        <v>0</v>
      </c>
      <c r="FJ175" s="85">
        <v>0</v>
      </c>
      <c r="FK175" s="85">
        <v>0</v>
      </c>
      <c r="FL175" s="85">
        <v>0</v>
      </c>
      <c r="FM175" s="85">
        <v>0</v>
      </c>
      <c r="FN175" s="85">
        <v>0</v>
      </c>
      <c r="FO175" s="86">
        <v>0</v>
      </c>
      <c r="FP175" s="87">
        <v>0</v>
      </c>
      <c r="FQ175" s="85">
        <v>0</v>
      </c>
      <c r="FR175" s="85">
        <v>0</v>
      </c>
      <c r="FS175" s="85">
        <v>0</v>
      </c>
      <c r="FT175" s="85">
        <v>0</v>
      </c>
      <c r="FU175" s="85">
        <v>0</v>
      </c>
      <c r="FV175" s="85">
        <v>0</v>
      </c>
      <c r="FW175" s="85">
        <v>0</v>
      </c>
      <c r="FX175" s="85">
        <v>0</v>
      </c>
      <c r="FY175" s="85">
        <v>0</v>
      </c>
      <c r="FZ175" s="85">
        <v>0</v>
      </c>
      <c r="GA175" s="85">
        <v>0</v>
      </c>
      <c r="GB175" s="152">
        <v>0</v>
      </c>
      <c r="GD175" s="153"/>
    </row>
    <row r="176" spans="1:186">
      <c r="A176" s="137" t="s">
        <v>347</v>
      </c>
      <c r="B176" s="151">
        <v>0</v>
      </c>
      <c r="C176" s="138">
        <f t="shared" si="37"/>
        <v>83219.5056552758</v>
      </c>
      <c r="D176" s="138">
        <f t="shared" si="26"/>
        <v>1126432.16942601</v>
      </c>
      <c r="E176" s="138">
        <f t="shared" si="27"/>
        <v>644855.518344709</v>
      </c>
      <c r="F176" s="138">
        <f t="shared" si="28"/>
        <v>633181.031467613</v>
      </c>
      <c r="G176" s="138">
        <f t="shared" si="29"/>
        <v>712080.997713706</v>
      </c>
      <c r="H176" s="138">
        <f t="shared" si="30"/>
        <v>799300.750812366</v>
      </c>
      <c r="I176" s="138">
        <f t="shared" si="31"/>
        <v>679369.07450048</v>
      </c>
      <c r="J176" s="138">
        <f t="shared" si="32"/>
        <v>577971.725779324</v>
      </c>
      <c r="K176" s="138">
        <f t="shared" si="33"/>
        <v>377885.465969035</v>
      </c>
      <c r="L176" s="138">
        <f t="shared" si="34"/>
        <v>373988.726678054</v>
      </c>
      <c r="M176" s="138">
        <f t="shared" si="35"/>
        <v>367494.161193087</v>
      </c>
      <c r="N176" s="138">
        <f t="shared" si="36"/>
        <v>367494.161193087</v>
      </c>
      <c r="O176" s="86">
        <f t="shared" si="38"/>
        <v>6743273.28873275</v>
      </c>
      <c r="P176" s="138">
        <v>0</v>
      </c>
      <c r="Q176" s="138">
        <v>0</v>
      </c>
      <c r="R176" s="138">
        <v>0</v>
      </c>
      <c r="S176" s="138">
        <v>0</v>
      </c>
      <c r="T176" s="138">
        <v>198816.64163229</v>
      </c>
      <c r="U176" s="138">
        <v>515512.815614981</v>
      </c>
      <c r="V176" s="138">
        <v>412211.587154221</v>
      </c>
      <c r="W176" s="138">
        <v>334735.665808651</v>
      </c>
      <c r="X176" s="138">
        <v>171506.496308721</v>
      </c>
      <c r="Y176" s="138">
        <v>171506.496308721</v>
      </c>
      <c r="Z176" s="138">
        <v>171506.496308721</v>
      </c>
      <c r="AA176" s="138">
        <v>171506.496308721</v>
      </c>
      <c r="AB176" s="86">
        <v>2147302.69544503</v>
      </c>
      <c r="AC176" s="138">
        <v>0</v>
      </c>
      <c r="AD176" s="138">
        <v>597619.413151363</v>
      </c>
      <c r="AE176" s="138">
        <v>352824.186987353</v>
      </c>
      <c r="AF176" s="138">
        <v>226730.790632343</v>
      </c>
      <c r="AG176" s="138">
        <v>233190.538909318</v>
      </c>
      <c r="AH176" s="138">
        <v>194848.80820849</v>
      </c>
      <c r="AI176" s="138">
        <v>194848.80820849</v>
      </c>
      <c r="AJ176" s="138">
        <v>194848.80820849</v>
      </c>
      <c r="AK176" s="138">
        <v>194848.80820849</v>
      </c>
      <c r="AL176" s="138">
        <v>194848.80820849</v>
      </c>
      <c r="AM176" s="138">
        <v>194848.80820849</v>
      </c>
      <c r="AN176" s="138">
        <v>194848.80820849</v>
      </c>
      <c r="AO176" s="86">
        <v>2774306.58713981</v>
      </c>
      <c r="AP176" s="138">
        <v>0</v>
      </c>
      <c r="AQ176" s="138">
        <v>94511.9635938544</v>
      </c>
      <c r="AR176" s="138">
        <v>44671.7823883593</v>
      </c>
      <c r="AS176" s="138">
        <v>9848.81357356579</v>
      </c>
      <c r="AT176" s="138">
        <v>1123.48641472026</v>
      </c>
      <c r="AU176" s="138">
        <v>0</v>
      </c>
      <c r="AV176" s="138">
        <v>0</v>
      </c>
      <c r="AW176" s="138">
        <v>0</v>
      </c>
      <c r="AX176" s="138">
        <v>0</v>
      </c>
      <c r="AY176" s="138">
        <v>0</v>
      </c>
      <c r="AZ176" s="138">
        <v>0</v>
      </c>
      <c r="BA176" s="138">
        <v>0</v>
      </c>
      <c r="BB176" s="86">
        <v>150156.0459705</v>
      </c>
      <c r="BC176" s="138">
        <v>0</v>
      </c>
      <c r="BD176" s="138">
        <v>0</v>
      </c>
      <c r="BE176" s="138">
        <v>0</v>
      </c>
      <c r="BF176" s="138">
        <v>0</v>
      </c>
      <c r="BG176" s="138">
        <v>0</v>
      </c>
      <c r="BH176" s="138">
        <v>0</v>
      </c>
      <c r="BI176" s="138">
        <v>0</v>
      </c>
      <c r="BJ176" s="138">
        <v>0</v>
      </c>
      <c r="BK176" s="138">
        <v>0</v>
      </c>
      <c r="BL176" s="138">
        <v>0</v>
      </c>
      <c r="BM176" s="138">
        <v>0</v>
      </c>
      <c r="BN176" s="138">
        <v>0</v>
      </c>
      <c r="BO176" s="86">
        <v>0</v>
      </c>
      <c r="BP176" s="138">
        <v>0</v>
      </c>
      <c r="BQ176" s="138">
        <v>0</v>
      </c>
      <c r="BR176" s="138">
        <v>0</v>
      </c>
      <c r="BS176" s="138">
        <v>0</v>
      </c>
      <c r="BT176" s="138">
        <v>0</v>
      </c>
      <c r="BU176" s="138">
        <v>0</v>
      </c>
      <c r="BV176" s="138">
        <v>0</v>
      </c>
      <c r="BW176" s="138">
        <v>0</v>
      </c>
      <c r="BX176" s="138">
        <v>0</v>
      </c>
      <c r="BY176" s="138">
        <v>0</v>
      </c>
      <c r="BZ176" s="138">
        <v>0</v>
      </c>
      <c r="CA176" s="138">
        <v>0</v>
      </c>
      <c r="CB176" s="86">
        <v>0</v>
      </c>
      <c r="CC176" s="138">
        <v>0</v>
      </c>
      <c r="CD176" s="138">
        <v>5438.32354479864</v>
      </c>
      <c r="CE176" s="138">
        <v>3814.69904434405</v>
      </c>
      <c r="CF176" s="138">
        <v>8062.72604067626</v>
      </c>
      <c r="CG176" s="138">
        <v>10118.3779576511</v>
      </c>
      <c r="CH176" s="138">
        <v>0</v>
      </c>
      <c r="CI176" s="138">
        <v>0</v>
      </c>
      <c r="CJ176" s="138">
        <v>0</v>
      </c>
      <c r="CK176" s="138">
        <v>0</v>
      </c>
      <c r="CL176" s="138">
        <v>0</v>
      </c>
      <c r="CM176" s="138">
        <v>0</v>
      </c>
      <c r="CN176" s="138">
        <v>0</v>
      </c>
      <c r="CO176" s="86">
        <v>27434.1265874701</v>
      </c>
      <c r="CP176" s="138">
        <v>9484.86115005529</v>
      </c>
      <c r="CQ176" s="138">
        <v>94967.3153081383</v>
      </c>
      <c r="CR176" s="138">
        <v>32571.3085457548</v>
      </c>
      <c r="CS176" s="138">
        <v>17323.9167385655</v>
      </c>
      <c r="CT176" s="138">
        <v>19349.6602766526</v>
      </c>
      <c r="CU176" s="138">
        <v>16288.0052147428</v>
      </c>
      <c r="CV176" s="138">
        <v>22396.0071702714</v>
      </c>
      <c r="CW176" s="138">
        <v>6108.00195552856</v>
      </c>
      <c r="CX176" s="138">
        <v>0</v>
      </c>
      <c r="CY176" s="138">
        <v>0</v>
      </c>
      <c r="CZ176" s="138">
        <v>0</v>
      </c>
      <c r="DA176" s="138">
        <v>0</v>
      </c>
      <c r="DB176" s="86">
        <v>218489.076359709</v>
      </c>
      <c r="DC176" s="138">
        <v>0</v>
      </c>
      <c r="DD176" s="138">
        <v>0</v>
      </c>
      <c r="DE176" s="138">
        <v>6180.90746425944</v>
      </c>
      <c r="DF176" s="138">
        <v>16670.564113487</v>
      </c>
      <c r="DG176" s="138">
        <v>9501.21092240511</v>
      </c>
      <c r="DH176" s="138">
        <v>5694.28337938306</v>
      </c>
      <c r="DI176" s="138">
        <v>3416.57002762983</v>
      </c>
      <c r="DJ176" s="138">
        <v>2277.71335175322</v>
      </c>
      <c r="DK176" s="138">
        <v>1138.85667587661</v>
      </c>
      <c r="DL176" s="138">
        <v>1138.85667587661</v>
      </c>
      <c r="DM176" s="138">
        <v>1138.85667587661</v>
      </c>
      <c r="DN176" s="138">
        <v>1138.85667587661</v>
      </c>
      <c r="DO176" s="86">
        <v>48296.6759624241</v>
      </c>
      <c r="DP176" s="138">
        <v>0</v>
      </c>
      <c r="DQ176" s="138">
        <v>0</v>
      </c>
      <c r="DR176" s="138">
        <v>65330.777344101</v>
      </c>
      <c r="DS176" s="138">
        <v>292386.968191343</v>
      </c>
      <c r="DT176" s="138">
        <v>66505.1837040773</v>
      </c>
      <c r="DU176" s="138">
        <v>45461.9583947694</v>
      </c>
      <c r="DV176" s="138">
        <v>25978.2619398683</v>
      </c>
      <c r="DW176" s="138">
        <v>19483.6964549012</v>
      </c>
      <c r="DX176" s="138">
        <v>10391.3047759473</v>
      </c>
      <c r="DY176" s="138">
        <v>6494.56548496706</v>
      </c>
      <c r="DZ176" s="138">
        <v>0</v>
      </c>
      <c r="EA176" s="138">
        <v>0</v>
      </c>
      <c r="EB176" s="85">
        <v>532032.716289974</v>
      </c>
      <c r="EC176" s="87">
        <v>0</v>
      </c>
      <c r="ED176" s="85">
        <v>0</v>
      </c>
      <c r="EE176" s="85">
        <v>0</v>
      </c>
      <c r="EF176" s="85">
        <v>0</v>
      </c>
      <c r="EG176" s="85">
        <v>0</v>
      </c>
      <c r="EH176" s="85">
        <v>0</v>
      </c>
      <c r="EI176" s="85">
        <v>0</v>
      </c>
      <c r="EJ176" s="85">
        <v>0</v>
      </c>
      <c r="EK176" s="85">
        <v>0</v>
      </c>
      <c r="EL176" s="85">
        <v>0</v>
      </c>
      <c r="EM176" s="85">
        <v>0</v>
      </c>
      <c r="EN176" s="85">
        <v>0</v>
      </c>
      <c r="EO176" s="152">
        <v>0</v>
      </c>
      <c r="EP176" s="85">
        <v>65896.2752717311</v>
      </c>
      <c r="EQ176" s="85">
        <v>53034.7763556337</v>
      </c>
      <c r="ER176" s="85">
        <v>15571.9053752078</v>
      </c>
      <c r="ES176" s="85">
        <v>10018.8634253666</v>
      </c>
      <c r="ET176" s="85">
        <v>14653.7407298627</v>
      </c>
      <c r="EU176" s="85">
        <v>0</v>
      </c>
      <c r="EV176" s="85">
        <v>0</v>
      </c>
      <c r="EW176" s="85">
        <v>0</v>
      </c>
      <c r="EX176" s="85">
        <v>0</v>
      </c>
      <c r="EY176" s="85">
        <v>0</v>
      </c>
      <c r="EZ176" s="85">
        <v>0</v>
      </c>
      <c r="FA176" s="85">
        <v>0</v>
      </c>
      <c r="FB176" s="85">
        <v>159175.561157802</v>
      </c>
      <c r="FC176" s="87">
        <v>0</v>
      </c>
      <c r="FD176" s="85">
        <v>0</v>
      </c>
      <c r="FE176" s="85">
        <v>0</v>
      </c>
      <c r="FF176" s="85">
        <v>0</v>
      </c>
      <c r="FG176" s="85">
        <v>0</v>
      </c>
      <c r="FH176" s="85">
        <v>0</v>
      </c>
      <c r="FI176" s="85">
        <v>0</v>
      </c>
      <c r="FJ176" s="85">
        <v>0</v>
      </c>
      <c r="FK176" s="85">
        <v>0</v>
      </c>
      <c r="FL176" s="85">
        <v>0</v>
      </c>
      <c r="FM176" s="85">
        <v>0</v>
      </c>
      <c r="FN176" s="85">
        <v>0</v>
      </c>
      <c r="FO176" s="86">
        <v>0</v>
      </c>
      <c r="FP176" s="87">
        <v>7838.36923348937</v>
      </c>
      <c r="FQ176" s="85">
        <v>280860.377472226</v>
      </c>
      <c r="FR176" s="85">
        <v>123889.95119533</v>
      </c>
      <c r="FS176" s="85">
        <v>52138.3887522668</v>
      </c>
      <c r="FT176" s="85">
        <v>158822.157166729</v>
      </c>
      <c r="FU176" s="85">
        <v>21494.88</v>
      </c>
      <c r="FV176" s="85">
        <v>20517.84</v>
      </c>
      <c r="FW176" s="85">
        <v>20517.84</v>
      </c>
      <c r="FX176" s="85">
        <v>0</v>
      </c>
      <c r="FY176" s="85">
        <v>0</v>
      </c>
      <c r="FZ176" s="85">
        <v>0</v>
      </c>
      <c r="GA176" s="85">
        <v>0</v>
      </c>
      <c r="GB176" s="152">
        <v>686079.80382004</v>
      </c>
      <c r="GD176" s="153"/>
    </row>
    <row r="177" spans="1:186">
      <c r="A177" s="137" t="s">
        <v>348</v>
      </c>
      <c r="B177" s="151">
        <v>0</v>
      </c>
      <c r="C177" s="138">
        <f t="shared" si="37"/>
        <v>0</v>
      </c>
      <c r="D177" s="138">
        <f t="shared" si="26"/>
        <v>0</v>
      </c>
      <c r="E177" s="138">
        <f t="shared" si="27"/>
        <v>0</v>
      </c>
      <c r="F177" s="138">
        <f t="shared" si="28"/>
        <v>0</v>
      </c>
      <c r="G177" s="138">
        <f t="shared" si="29"/>
        <v>0</v>
      </c>
      <c r="H177" s="138">
        <f t="shared" si="30"/>
        <v>0</v>
      </c>
      <c r="I177" s="138">
        <f t="shared" si="31"/>
        <v>0</v>
      </c>
      <c r="J177" s="138">
        <f t="shared" si="32"/>
        <v>0</v>
      </c>
      <c r="K177" s="138">
        <f t="shared" si="33"/>
        <v>0</v>
      </c>
      <c r="L177" s="138">
        <f t="shared" si="34"/>
        <v>0</v>
      </c>
      <c r="M177" s="138">
        <f t="shared" si="35"/>
        <v>0</v>
      </c>
      <c r="N177" s="138">
        <f t="shared" si="36"/>
        <v>0</v>
      </c>
      <c r="O177" s="86">
        <f t="shared" si="38"/>
        <v>0</v>
      </c>
      <c r="P177" s="138">
        <v>0</v>
      </c>
      <c r="Q177" s="138">
        <v>0</v>
      </c>
      <c r="R177" s="138">
        <v>0</v>
      </c>
      <c r="S177" s="138">
        <v>0</v>
      </c>
      <c r="T177" s="138">
        <v>0</v>
      </c>
      <c r="U177" s="138">
        <v>0</v>
      </c>
      <c r="V177" s="138">
        <v>0</v>
      </c>
      <c r="W177" s="138">
        <v>0</v>
      </c>
      <c r="X177" s="138">
        <v>0</v>
      </c>
      <c r="Y177" s="138">
        <v>0</v>
      </c>
      <c r="Z177" s="138">
        <v>0</v>
      </c>
      <c r="AA177" s="138">
        <v>0</v>
      </c>
      <c r="AB177" s="86">
        <v>0</v>
      </c>
      <c r="AC177" s="138">
        <v>0</v>
      </c>
      <c r="AD177" s="138">
        <v>0</v>
      </c>
      <c r="AE177" s="138">
        <v>0</v>
      </c>
      <c r="AF177" s="138">
        <v>0</v>
      </c>
      <c r="AG177" s="138">
        <v>0</v>
      </c>
      <c r="AH177" s="138">
        <v>0</v>
      </c>
      <c r="AI177" s="138">
        <v>0</v>
      </c>
      <c r="AJ177" s="138">
        <v>0</v>
      </c>
      <c r="AK177" s="138">
        <v>0</v>
      </c>
      <c r="AL177" s="138">
        <v>0</v>
      </c>
      <c r="AM177" s="138">
        <v>0</v>
      </c>
      <c r="AN177" s="138">
        <v>0</v>
      </c>
      <c r="AO177" s="86">
        <v>0</v>
      </c>
      <c r="AP177" s="138">
        <v>0</v>
      </c>
      <c r="AQ177" s="138">
        <v>0</v>
      </c>
      <c r="AR177" s="138">
        <v>0</v>
      </c>
      <c r="AS177" s="138">
        <v>0</v>
      </c>
      <c r="AT177" s="138">
        <v>0</v>
      </c>
      <c r="AU177" s="138">
        <v>0</v>
      </c>
      <c r="AV177" s="138">
        <v>0</v>
      </c>
      <c r="AW177" s="138">
        <v>0</v>
      </c>
      <c r="AX177" s="138">
        <v>0</v>
      </c>
      <c r="AY177" s="138">
        <v>0</v>
      </c>
      <c r="AZ177" s="138">
        <v>0</v>
      </c>
      <c r="BA177" s="138">
        <v>0</v>
      </c>
      <c r="BB177" s="86">
        <v>0</v>
      </c>
      <c r="BC177" s="138">
        <v>0</v>
      </c>
      <c r="BD177" s="138">
        <v>0</v>
      </c>
      <c r="BE177" s="138">
        <v>0</v>
      </c>
      <c r="BF177" s="138">
        <v>0</v>
      </c>
      <c r="BG177" s="138">
        <v>0</v>
      </c>
      <c r="BH177" s="138">
        <v>0</v>
      </c>
      <c r="BI177" s="138">
        <v>0</v>
      </c>
      <c r="BJ177" s="138">
        <v>0</v>
      </c>
      <c r="BK177" s="138">
        <v>0</v>
      </c>
      <c r="BL177" s="138">
        <v>0</v>
      </c>
      <c r="BM177" s="138">
        <v>0</v>
      </c>
      <c r="BN177" s="138">
        <v>0</v>
      </c>
      <c r="BO177" s="86">
        <v>0</v>
      </c>
      <c r="BP177" s="138">
        <v>0</v>
      </c>
      <c r="BQ177" s="138">
        <v>0</v>
      </c>
      <c r="BR177" s="138">
        <v>0</v>
      </c>
      <c r="BS177" s="138">
        <v>0</v>
      </c>
      <c r="BT177" s="138">
        <v>0</v>
      </c>
      <c r="BU177" s="138">
        <v>0</v>
      </c>
      <c r="BV177" s="138">
        <v>0</v>
      </c>
      <c r="BW177" s="138">
        <v>0</v>
      </c>
      <c r="BX177" s="138">
        <v>0</v>
      </c>
      <c r="BY177" s="138">
        <v>0</v>
      </c>
      <c r="BZ177" s="138">
        <v>0</v>
      </c>
      <c r="CA177" s="138">
        <v>0</v>
      </c>
      <c r="CB177" s="86">
        <v>0</v>
      </c>
      <c r="CC177" s="138">
        <v>0</v>
      </c>
      <c r="CD177" s="138">
        <v>0</v>
      </c>
      <c r="CE177" s="138">
        <v>0</v>
      </c>
      <c r="CF177" s="138">
        <v>0</v>
      </c>
      <c r="CG177" s="138">
        <v>0</v>
      </c>
      <c r="CH177" s="138">
        <v>0</v>
      </c>
      <c r="CI177" s="138">
        <v>0</v>
      </c>
      <c r="CJ177" s="138">
        <v>0</v>
      </c>
      <c r="CK177" s="138">
        <v>0</v>
      </c>
      <c r="CL177" s="138">
        <v>0</v>
      </c>
      <c r="CM177" s="138">
        <v>0</v>
      </c>
      <c r="CN177" s="138">
        <v>0</v>
      </c>
      <c r="CO177" s="86">
        <v>0</v>
      </c>
      <c r="CP177" s="138">
        <v>0</v>
      </c>
      <c r="CQ177" s="138">
        <v>0</v>
      </c>
      <c r="CR177" s="138">
        <v>0</v>
      </c>
      <c r="CS177" s="138">
        <v>0</v>
      </c>
      <c r="CT177" s="138">
        <v>0</v>
      </c>
      <c r="CU177" s="138">
        <v>0</v>
      </c>
      <c r="CV177" s="138">
        <v>0</v>
      </c>
      <c r="CW177" s="138">
        <v>0</v>
      </c>
      <c r="CX177" s="138">
        <v>0</v>
      </c>
      <c r="CY177" s="138">
        <v>0</v>
      </c>
      <c r="CZ177" s="138">
        <v>0</v>
      </c>
      <c r="DA177" s="138">
        <v>0</v>
      </c>
      <c r="DB177" s="86">
        <v>0</v>
      </c>
      <c r="DC177" s="138">
        <v>0</v>
      </c>
      <c r="DD177" s="138">
        <v>0</v>
      </c>
      <c r="DE177" s="138">
        <v>0</v>
      </c>
      <c r="DF177" s="138">
        <v>0</v>
      </c>
      <c r="DG177" s="138">
        <v>0</v>
      </c>
      <c r="DH177" s="138">
        <v>0</v>
      </c>
      <c r="DI177" s="138">
        <v>0</v>
      </c>
      <c r="DJ177" s="138">
        <v>0</v>
      </c>
      <c r="DK177" s="138">
        <v>0</v>
      </c>
      <c r="DL177" s="138">
        <v>0</v>
      </c>
      <c r="DM177" s="138">
        <v>0</v>
      </c>
      <c r="DN177" s="138">
        <v>0</v>
      </c>
      <c r="DO177" s="86">
        <v>0</v>
      </c>
      <c r="DP177" s="138">
        <v>0</v>
      </c>
      <c r="DQ177" s="138">
        <v>0</v>
      </c>
      <c r="DR177" s="138">
        <v>0</v>
      </c>
      <c r="DS177" s="138">
        <v>0</v>
      </c>
      <c r="DT177" s="138">
        <v>0</v>
      </c>
      <c r="DU177" s="138">
        <v>0</v>
      </c>
      <c r="DV177" s="138">
        <v>0</v>
      </c>
      <c r="DW177" s="138">
        <v>0</v>
      </c>
      <c r="DX177" s="138">
        <v>0</v>
      </c>
      <c r="DY177" s="138">
        <v>0</v>
      </c>
      <c r="DZ177" s="138">
        <v>0</v>
      </c>
      <c r="EA177" s="138">
        <v>0</v>
      </c>
      <c r="EB177" s="85">
        <v>0</v>
      </c>
      <c r="EC177" s="87">
        <v>0</v>
      </c>
      <c r="ED177" s="85">
        <v>0</v>
      </c>
      <c r="EE177" s="85">
        <v>0</v>
      </c>
      <c r="EF177" s="85">
        <v>0</v>
      </c>
      <c r="EG177" s="85">
        <v>0</v>
      </c>
      <c r="EH177" s="85">
        <v>0</v>
      </c>
      <c r="EI177" s="85">
        <v>0</v>
      </c>
      <c r="EJ177" s="85">
        <v>0</v>
      </c>
      <c r="EK177" s="85">
        <v>0</v>
      </c>
      <c r="EL177" s="85">
        <v>0</v>
      </c>
      <c r="EM177" s="85">
        <v>0</v>
      </c>
      <c r="EN177" s="85">
        <v>0</v>
      </c>
      <c r="EO177" s="152">
        <v>0</v>
      </c>
      <c r="EP177" s="85">
        <v>0</v>
      </c>
      <c r="EQ177" s="85">
        <v>0</v>
      </c>
      <c r="ER177" s="85">
        <v>0</v>
      </c>
      <c r="ES177" s="85">
        <v>0</v>
      </c>
      <c r="ET177" s="85">
        <v>0</v>
      </c>
      <c r="EU177" s="85">
        <v>0</v>
      </c>
      <c r="EV177" s="85">
        <v>0</v>
      </c>
      <c r="EW177" s="85">
        <v>0</v>
      </c>
      <c r="EX177" s="85">
        <v>0</v>
      </c>
      <c r="EY177" s="85">
        <v>0</v>
      </c>
      <c r="EZ177" s="85">
        <v>0</v>
      </c>
      <c r="FA177" s="85">
        <v>0</v>
      </c>
      <c r="FB177" s="85">
        <v>0</v>
      </c>
      <c r="FC177" s="87">
        <v>0</v>
      </c>
      <c r="FD177" s="85">
        <v>0</v>
      </c>
      <c r="FE177" s="85">
        <v>0</v>
      </c>
      <c r="FF177" s="85">
        <v>0</v>
      </c>
      <c r="FG177" s="85">
        <v>0</v>
      </c>
      <c r="FH177" s="85">
        <v>0</v>
      </c>
      <c r="FI177" s="85">
        <v>0</v>
      </c>
      <c r="FJ177" s="85">
        <v>0</v>
      </c>
      <c r="FK177" s="85">
        <v>0</v>
      </c>
      <c r="FL177" s="85">
        <v>0</v>
      </c>
      <c r="FM177" s="85">
        <v>0</v>
      </c>
      <c r="FN177" s="85">
        <v>0</v>
      </c>
      <c r="FO177" s="86">
        <v>0</v>
      </c>
      <c r="FP177" s="87">
        <v>0</v>
      </c>
      <c r="FQ177" s="85">
        <v>0</v>
      </c>
      <c r="FR177" s="85">
        <v>0</v>
      </c>
      <c r="FS177" s="85">
        <v>0</v>
      </c>
      <c r="FT177" s="85">
        <v>0</v>
      </c>
      <c r="FU177" s="85">
        <v>0</v>
      </c>
      <c r="FV177" s="85">
        <v>0</v>
      </c>
      <c r="FW177" s="85">
        <v>0</v>
      </c>
      <c r="FX177" s="85">
        <v>0</v>
      </c>
      <c r="FY177" s="85">
        <v>0</v>
      </c>
      <c r="FZ177" s="85">
        <v>0</v>
      </c>
      <c r="GA177" s="85">
        <v>0</v>
      </c>
      <c r="GB177" s="152">
        <v>0</v>
      </c>
      <c r="GD177" s="153"/>
    </row>
    <row r="178" spans="1:186">
      <c r="A178" s="137" t="s">
        <v>349</v>
      </c>
      <c r="B178" s="151">
        <v>225719.37709958</v>
      </c>
      <c r="C178" s="138">
        <f t="shared" ref="C178:C185" si="39">P178+AC178+AP178+BC178+BP178+CC178+CP178+DC178+DP178+EC178+EP178+FP178+FC178</f>
        <v>64055.3661536935</v>
      </c>
      <c r="D178" s="138">
        <f t="shared" ref="D178:D185" si="40">Q178+AD178+AQ178+BD178+BQ178+CD178+CQ178+DD178+DQ178+ED178+EQ178+FQ178+FD178</f>
        <v>72813.1792373824</v>
      </c>
      <c r="E178" s="138">
        <f t="shared" ref="E178:E185" si="41">R178+AE178+AR178+BE178+BR178+CE178+CR178+DE178+DR178+EE178+ER178+FR178+FE178</f>
        <v>40116.2050301244</v>
      </c>
      <c r="F178" s="138">
        <f t="shared" ref="F178:F185" si="42">S178+AF178+AS178+BF178+BS178+CF178+CS178+DF178+DS178+EF178+ES178+FS178+FF178</f>
        <v>15092.9749179304</v>
      </c>
      <c r="G178" s="138">
        <f t="shared" ref="G178:G185" si="43">T178+AG178+AT178+BG178+BT178+CG178+CT178+DG178+DT178+EG178+ET178+FT178+FG178</f>
        <v>6516.89702300998</v>
      </c>
      <c r="H178" s="138">
        <f t="shared" ref="H178:H185" si="44">U178+AH178+AU178+BH178+BU178+CH178+CU178+DH178+DU178+EH178+EU178+FU178+FH178</f>
        <v>6209.99166740843</v>
      </c>
      <c r="I178" s="138">
        <f t="shared" ref="I178:I185" si="45">V178+AI178+AV178+BI178+BV178+CI178+CV178+DI178+DV178+EI178+EV178+FV178+FI178</f>
        <v>4649.09972114219</v>
      </c>
      <c r="J178" s="138">
        <f t="shared" ref="J178:J185" si="46">W178+AJ178+AW178+BJ178+BW178+CJ178+CW178+DJ178+DW178+EJ178+EW178+FW178+FJ178</f>
        <v>3712.56455338244</v>
      </c>
      <c r="K178" s="138">
        <f t="shared" ref="K178:K185" si="47">X178+AK178+AX178+BK178+BX178+CK178+CX178+DK178+DX178+EK178+EX178+FX178+FK178</f>
        <v>2814.49705205053</v>
      </c>
      <c r="L178" s="138">
        <f t="shared" ref="L178:L185" si="48">Y178+AL178+AY178+BL178+BY178+CL178+CY178+DL178+DY178+EL178+EY178+FY178+FL178</f>
        <v>959.61701045078</v>
      </c>
      <c r="M178" s="138">
        <f t="shared" ref="M178:M185" si="49">Z178+AM178+AZ178+BM178+BZ178+CM178+CZ178+DM178+DZ178+EM178+EZ178+FZ178+FM178</f>
        <v>547.421445650835</v>
      </c>
      <c r="N178" s="138">
        <f t="shared" ref="N178:N185" si="50">AA178+AN178+BA178+BN178+CA178+CN178+DA178+DN178+EA178+EN178+FA178+GA178+FN178</f>
        <v>547.421445650835</v>
      </c>
      <c r="O178" s="86">
        <f t="shared" ref="O178:O185" si="51">SUM(C178:N178)</f>
        <v>218035.235257877</v>
      </c>
      <c r="P178" s="138">
        <v>7708.26122689315</v>
      </c>
      <c r="Q178" s="138">
        <v>20846.7639445033</v>
      </c>
      <c r="R178" s="138">
        <v>13625.6427388817</v>
      </c>
      <c r="S178" s="138">
        <v>5542.76887857414</v>
      </c>
      <c r="T178" s="138">
        <v>2236.3979538089</v>
      </c>
      <c r="U178" s="138">
        <v>2267.0756063997</v>
      </c>
      <c r="V178" s="138">
        <v>2267.0756063997</v>
      </c>
      <c r="W178" s="138">
        <v>2267.0756063997</v>
      </c>
      <c r="X178" s="138">
        <v>2267.0756063997</v>
      </c>
      <c r="Y178" s="138">
        <v>412.195564799945</v>
      </c>
      <c r="Z178" s="138">
        <v>0</v>
      </c>
      <c r="AA178" s="138">
        <v>0</v>
      </c>
      <c r="AB178" s="86">
        <v>59440.3327330599</v>
      </c>
      <c r="AC178" s="138">
        <v>0</v>
      </c>
      <c r="AD178" s="138">
        <v>0</v>
      </c>
      <c r="AE178" s="138">
        <v>0</v>
      </c>
      <c r="AF178" s="138">
        <v>0</v>
      </c>
      <c r="AG178" s="138">
        <v>0</v>
      </c>
      <c r="AH178" s="138">
        <v>0</v>
      </c>
      <c r="AI178" s="138">
        <v>0</v>
      </c>
      <c r="AJ178" s="138">
        <v>0</v>
      </c>
      <c r="AK178" s="138">
        <v>0</v>
      </c>
      <c r="AL178" s="138">
        <v>0</v>
      </c>
      <c r="AM178" s="138">
        <v>0</v>
      </c>
      <c r="AN178" s="138">
        <v>0</v>
      </c>
      <c r="AO178" s="86">
        <v>0</v>
      </c>
      <c r="AP178" s="138">
        <v>9192.40571224056</v>
      </c>
      <c r="AQ178" s="138">
        <v>19903.0815341253</v>
      </c>
      <c r="AR178" s="138">
        <v>13115.7063489771</v>
      </c>
      <c r="AS178" s="138">
        <v>4080.37519984475</v>
      </c>
      <c r="AT178" s="138">
        <v>933.706724120719</v>
      </c>
      <c r="AU178" s="138">
        <v>0</v>
      </c>
      <c r="AV178" s="138">
        <v>0</v>
      </c>
      <c r="AW178" s="138">
        <v>0</v>
      </c>
      <c r="AX178" s="138">
        <v>0</v>
      </c>
      <c r="AY178" s="138">
        <v>0</v>
      </c>
      <c r="AZ178" s="138">
        <v>0</v>
      </c>
      <c r="BA178" s="138">
        <v>0</v>
      </c>
      <c r="BB178" s="86">
        <v>47225.2755193084</v>
      </c>
      <c r="BC178" s="138">
        <v>0</v>
      </c>
      <c r="BD178" s="138">
        <v>0</v>
      </c>
      <c r="BE178" s="138">
        <v>0</v>
      </c>
      <c r="BF178" s="138">
        <v>0</v>
      </c>
      <c r="BG178" s="138">
        <v>0</v>
      </c>
      <c r="BH178" s="138">
        <v>0</v>
      </c>
      <c r="BI178" s="138">
        <v>0</v>
      </c>
      <c r="BJ178" s="138">
        <v>0</v>
      </c>
      <c r="BK178" s="138">
        <v>0</v>
      </c>
      <c r="BL178" s="138">
        <v>0</v>
      </c>
      <c r="BM178" s="138">
        <v>0</v>
      </c>
      <c r="BN178" s="138">
        <v>0</v>
      </c>
      <c r="BO178" s="86">
        <v>0</v>
      </c>
      <c r="BP178" s="138">
        <v>0</v>
      </c>
      <c r="BQ178" s="138">
        <v>0</v>
      </c>
      <c r="BR178" s="138">
        <v>0</v>
      </c>
      <c r="BS178" s="138">
        <v>0</v>
      </c>
      <c r="BT178" s="138">
        <v>0</v>
      </c>
      <c r="BU178" s="138">
        <v>0</v>
      </c>
      <c r="BV178" s="138">
        <v>0</v>
      </c>
      <c r="BW178" s="138">
        <v>0</v>
      </c>
      <c r="BX178" s="138">
        <v>0</v>
      </c>
      <c r="BY178" s="138">
        <v>0</v>
      </c>
      <c r="BZ178" s="138">
        <v>0</v>
      </c>
      <c r="CA178" s="138">
        <v>0</v>
      </c>
      <c r="CB178" s="86">
        <v>0</v>
      </c>
      <c r="CC178" s="138">
        <v>0</v>
      </c>
      <c r="CD178" s="138">
        <v>0</v>
      </c>
      <c r="CE178" s="138">
        <v>0</v>
      </c>
      <c r="CF178" s="138">
        <v>0</v>
      </c>
      <c r="CG178" s="138">
        <v>0</v>
      </c>
      <c r="CH178" s="138">
        <v>0</v>
      </c>
      <c r="CI178" s="138">
        <v>0</v>
      </c>
      <c r="CJ178" s="138">
        <v>0</v>
      </c>
      <c r="CK178" s="138">
        <v>0</v>
      </c>
      <c r="CL178" s="138">
        <v>0</v>
      </c>
      <c r="CM178" s="138">
        <v>0</v>
      </c>
      <c r="CN178" s="138">
        <v>0</v>
      </c>
      <c r="CO178" s="86">
        <v>0</v>
      </c>
      <c r="CP178" s="138">
        <v>0</v>
      </c>
      <c r="CQ178" s="138">
        <v>0</v>
      </c>
      <c r="CR178" s="138">
        <v>0</v>
      </c>
      <c r="CS178" s="138">
        <v>0</v>
      </c>
      <c r="CT178" s="138">
        <v>0</v>
      </c>
      <c r="CU178" s="138">
        <v>0</v>
      </c>
      <c r="CV178" s="138">
        <v>0</v>
      </c>
      <c r="CW178" s="138">
        <v>0</v>
      </c>
      <c r="CX178" s="138">
        <v>0</v>
      </c>
      <c r="CY178" s="138">
        <v>0</v>
      </c>
      <c r="CZ178" s="138">
        <v>0</v>
      </c>
      <c r="DA178" s="138">
        <v>0</v>
      </c>
      <c r="DB178" s="86">
        <v>0</v>
      </c>
      <c r="DC178" s="138">
        <v>0</v>
      </c>
      <c r="DD178" s="138">
        <v>485.328841199717</v>
      </c>
      <c r="DE178" s="138">
        <v>2098.32445873045</v>
      </c>
      <c r="DF178" s="138">
        <v>234.946440520129</v>
      </c>
      <c r="DG178" s="138">
        <v>0</v>
      </c>
      <c r="DH178" s="138">
        <v>821.132168476252</v>
      </c>
      <c r="DI178" s="138">
        <v>821.132168476252</v>
      </c>
      <c r="DJ178" s="138">
        <v>821.132168476252</v>
      </c>
      <c r="DK178" s="138">
        <v>547.421445650835</v>
      </c>
      <c r="DL178" s="138">
        <v>547.421445650835</v>
      </c>
      <c r="DM178" s="138">
        <v>547.421445650835</v>
      </c>
      <c r="DN178" s="138">
        <v>547.421445650835</v>
      </c>
      <c r="DO178" s="86">
        <v>7471.68202848239</v>
      </c>
      <c r="DP178" s="138">
        <v>0</v>
      </c>
      <c r="DQ178" s="138">
        <v>19683.9210012518</v>
      </c>
      <c r="DR178" s="138">
        <v>8752.73034922387</v>
      </c>
      <c r="DS178" s="138">
        <v>4085.75332759789</v>
      </c>
      <c r="DT178" s="138">
        <v>2998.70873020342</v>
      </c>
      <c r="DU178" s="138">
        <v>3121.78389253248</v>
      </c>
      <c r="DV178" s="138">
        <v>1560.89194626624</v>
      </c>
      <c r="DW178" s="138">
        <v>624.356778506496</v>
      </c>
      <c r="DX178" s="138">
        <v>0</v>
      </c>
      <c r="DY178" s="138">
        <v>0</v>
      </c>
      <c r="DZ178" s="138">
        <v>0</v>
      </c>
      <c r="EA178" s="138">
        <v>0</v>
      </c>
      <c r="EB178" s="85">
        <v>40828.1460255822</v>
      </c>
      <c r="EC178" s="87">
        <v>0</v>
      </c>
      <c r="ED178" s="85">
        <v>0</v>
      </c>
      <c r="EE178" s="85">
        <v>0</v>
      </c>
      <c r="EF178" s="85">
        <v>0</v>
      </c>
      <c r="EG178" s="85">
        <v>0</v>
      </c>
      <c r="EH178" s="85">
        <v>0</v>
      </c>
      <c r="EI178" s="85">
        <v>0</v>
      </c>
      <c r="EJ178" s="85">
        <v>0</v>
      </c>
      <c r="EK178" s="85">
        <v>0</v>
      </c>
      <c r="EL178" s="85">
        <v>0</v>
      </c>
      <c r="EM178" s="85">
        <v>0</v>
      </c>
      <c r="EN178" s="85">
        <v>0</v>
      </c>
      <c r="EO178" s="152">
        <v>0</v>
      </c>
      <c r="EP178" s="85">
        <v>0</v>
      </c>
      <c r="EQ178" s="85">
        <v>0</v>
      </c>
      <c r="ER178" s="85">
        <v>0</v>
      </c>
      <c r="ES178" s="85">
        <v>0</v>
      </c>
      <c r="ET178" s="85">
        <v>0</v>
      </c>
      <c r="EU178" s="85">
        <v>0</v>
      </c>
      <c r="EV178" s="85">
        <v>0</v>
      </c>
      <c r="EW178" s="85">
        <v>0</v>
      </c>
      <c r="EX178" s="85">
        <v>0</v>
      </c>
      <c r="EY178" s="85">
        <v>0</v>
      </c>
      <c r="EZ178" s="85">
        <v>0</v>
      </c>
      <c r="FA178" s="85">
        <v>0</v>
      </c>
      <c r="FB178" s="85">
        <v>0</v>
      </c>
      <c r="FC178" s="87">
        <v>0</v>
      </c>
      <c r="FD178" s="85">
        <v>0</v>
      </c>
      <c r="FE178" s="85">
        <v>0</v>
      </c>
      <c r="FF178" s="85">
        <v>0</v>
      </c>
      <c r="FG178" s="85">
        <v>0</v>
      </c>
      <c r="FH178" s="85">
        <v>0</v>
      </c>
      <c r="FI178" s="85">
        <v>0</v>
      </c>
      <c r="FJ178" s="85">
        <v>0</v>
      </c>
      <c r="FK178" s="85">
        <v>0</v>
      </c>
      <c r="FL178" s="85">
        <v>0</v>
      </c>
      <c r="FM178" s="85">
        <v>0</v>
      </c>
      <c r="FN178" s="85">
        <v>0</v>
      </c>
      <c r="FO178" s="86">
        <v>0</v>
      </c>
      <c r="FP178" s="87">
        <v>47154.6992145598</v>
      </c>
      <c r="FQ178" s="85">
        <v>11894.0839163022</v>
      </c>
      <c r="FR178" s="85">
        <v>2523.80113431128</v>
      </c>
      <c r="FS178" s="85">
        <v>1149.13107139349</v>
      </c>
      <c r="FT178" s="85">
        <v>348.083614876944</v>
      </c>
      <c r="FU178" s="85">
        <v>0</v>
      </c>
      <c r="FV178" s="85">
        <v>0</v>
      </c>
      <c r="FW178" s="85">
        <v>0</v>
      </c>
      <c r="FX178" s="85">
        <v>0</v>
      </c>
      <c r="FY178" s="85">
        <v>0</v>
      </c>
      <c r="FZ178" s="85">
        <v>0</v>
      </c>
      <c r="GA178" s="85">
        <v>0</v>
      </c>
      <c r="GB178" s="152">
        <v>63069.7989514438</v>
      </c>
      <c r="GD178" s="153"/>
    </row>
    <row r="179" spans="1:186">
      <c r="A179" s="137" t="s">
        <v>350</v>
      </c>
      <c r="B179" s="151">
        <v>148894.615153395</v>
      </c>
      <c r="C179" s="138">
        <f t="shared" si="39"/>
        <v>396157.894069093</v>
      </c>
      <c r="D179" s="138">
        <f t="shared" si="40"/>
        <v>127258.321423787</v>
      </c>
      <c r="E179" s="138">
        <f t="shared" si="41"/>
        <v>75492.8898862784</v>
      </c>
      <c r="F179" s="138">
        <f t="shared" si="42"/>
        <v>45020.9969480299</v>
      </c>
      <c r="G179" s="138">
        <f t="shared" si="43"/>
        <v>35643.6345162866</v>
      </c>
      <c r="H179" s="138">
        <f t="shared" si="44"/>
        <v>40944.8028104521</v>
      </c>
      <c r="I179" s="138">
        <f t="shared" si="45"/>
        <v>30365.1263962845</v>
      </c>
      <c r="J179" s="138">
        <f t="shared" si="46"/>
        <v>20928.0202022977</v>
      </c>
      <c r="K179" s="138">
        <f t="shared" si="47"/>
        <v>7341.47803630124</v>
      </c>
      <c r="L179" s="138">
        <f t="shared" si="48"/>
        <v>6475.74547613514</v>
      </c>
      <c r="M179" s="138">
        <f t="shared" si="49"/>
        <v>6475.74547613514</v>
      </c>
      <c r="N179" s="138">
        <f t="shared" si="50"/>
        <v>6475.74547613514</v>
      </c>
      <c r="O179" s="86">
        <f t="shared" si="51"/>
        <v>798580.400717216</v>
      </c>
      <c r="P179" s="138">
        <v>0</v>
      </c>
      <c r="Q179" s="138">
        <v>0</v>
      </c>
      <c r="R179" s="138">
        <v>0</v>
      </c>
      <c r="S179" s="138">
        <v>0</v>
      </c>
      <c r="T179" s="138">
        <v>0</v>
      </c>
      <c r="U179" s="138">
        <v>0</v>
      </c>
      <c r="V179" s="138">
        <v>0</v>
      </c>
      <c r="W179" s="138">
        <v>0</v>
      </c>
      <c r="X179" s="138">
        <v>0</v>
      </c>
      <c r="Y179" s="138">
        <v>0</v>
      </c>
      <c r="Z179" s="138">
        <v>0</v>
      </c>
      <c r="AA179" s="138">
        <v>0</v>
      </c>
      <c r="AB179" s="86">
        <v>0</v>
      </c>
      <c r="AC179" s="138">
        <v>0</v>
      </c>
      <c r="AD179" s="138">
        <v>0</v>
      </c>
      <c r="AE179" s="138">
        <v>0</v>
      </c>
      <c r="AF179" s="138">
        <v>0</v>
      </c>
      <c r="AG179" s="138">
        <v>0</v>
      </c>
      <c r="AH179" s="138">
        <v>0</v>
      </c>
      <c r="AI179" s="138">
        <v>0</v>
      </c>
      <c r="AJ179" s="138">
        <v>0</v>
      </c>
      <c r="AK179" s="138">
        <v>0</v>
      </c>
      <c r="AL179" s="138">
        <v>0</v>
      </c>
      <c r="AM179" s="138">
        <v>0</v>
      </c>
      <c r="AN179" s="138">
        <v>0</v>
      </c>
      <c r="AO179" s="86">
        <v>0</v>
      </c>
      <c r="AP179" s="138">
        <v>10231.3531948384</v>
      </c>
      <c r="AQ179" s="138">
        <v>0</v>
      </c>
      <c r="AR179" s="138">
        <v>0</v>
      </c>
      <c r="AS179" s="138">
        <v>0</v>
      </c>
      <c r="AT179" s="138">
        <v>0</v>
      </c>
      <c r="AU179" s="138">
        <v>0</v>
      </c>
      <c r="AV179" s="138">
        <v>0</v>
      </c>
      <c r="AW179" s="138">
        <v>0</v>
      </c>
      <c r="AX179" s="138">
        <v>0</v>
      </c>
      <c r="AY179" s="138">
        <v>0</v>
      </c>
      <c r="AZ179" s="138">
        <v>0</v>
      </c>
      <c r="BA179" s="138">
        <v>0</v>
      </c>
      <c r="BB179" s="86">
        <v>10231.3531948384</v>
      </c>
      <c r="BC179" s="138">
        <v>36678.3209604661</v>
      </c>
      <c r="BD179" s="138">
        <v>17247.0362884038</v>
      </c>
      <c r="BE179" s="138">
        <v>12772.9230079866</v>
      </c>
      <c r="BF179" s="138">
        <v>11201.2390561959</v>
      </c>
      <c r="BG179" s="138">
        <v>10028.1586818521</v>
      </c>
      <c r="BH179" s="138">
        <v>10673.7776005171</v>
      </c>
      <c r="BI179" s="138">
        <v>10673.7776005171</v>
      </c>
      <c r="BJ179" s="138">
        <v>10673.7776005171</v>
      </c>
      <c r="BK179" s="138">
        <v>5336.88880025853</v>
      </c>
      <c r="BL179" s="138">
        <v>5336.88880025853</v>
      </c>
      <c r="BM179" s="138">
        <v>5336.88880025853</v>
      </c>
      <c r="BN179" s="138">
        <v>5336.88880025853</v>
      </c>
      <c r="BO179" s="86">
        <v>141296.56599749</v>
      </c>
      <c r="BP179" s="138">
        <v>0</v>
      </c>
      <c r="BQ179" s="138">
        <v>0</v>
      </c>
      <c r="BR179" s="138">
        <v>0</v>
      </c>
      <c r="BS179" s="138">
        <v>0</v>
      </c>
      <c r="BT179" s="138">
        <v>0</v>
      </c>
      <c r="BU179" s="138">
        <v>0</v>
      </c>
      <c r="BV179" s="138">
        <v>0</v>
      </c>
      <c r="BW179" s="138">
        <v>0</v>
      </c>
      <c r="BX179" s="138">
        <v>0</v>
      </c>
      <c r="BY179" s="138">
        <v>0</v>
      </c>
      <c r="BZ179" s="138">
        <v>0</v>
      </c>
      <c r="CA179" s="138">
        <v>0</v>
      </c>
      <c r="CB179" s="86">
        <v>0</v>
      </c>
      <c r="CC179" s="138">
        <v>467.478700248625</v>
      </c>
      <c r="CD179" s="138">
        <v>383.104373012624</v>
      </c>
      <c r="CE179" s="138">
        <v>839.39337587725</v>
      </c>
      <c r="CF179" s="138">
        <v>1355.75524089068</v>
      </c>
      <c r="CG179" s="138">
        <v>1944.87377040034</v>
      </c>
      <c r="CH179" s="138">
        <v>1731.46512033219</v>
      </c>
      <c r="CI179" s="138">
        <v>865.732560166095</v>
      </c>
      <c r="CJ179" s="138">
        <v>865.732560166095</v>
      </c>
      <c r="CK179" s="138">
        <v>865.732560166095</v>
      </c>
      <c r="CL179" s="138">
        <v>0</v>
      </c>
      <c r="CM179" s="138">
        <v>0</v>
      </c>
      <c r="CN179" s="138">
        <v>0</v>
      </c>
      <c r="CO179" s="86">
        <v>9319.26826125999</v>
      </c>
      <c r="CP179" s="138">
        <v>34603.2367459012</v>
      </c>
      <c r="CQ179" s="138">
        <v>14394.3065716587</v>
      </c>
      <c r="CR179" s="138">
        <v>5102.55486356472</v>
      </c>
      <c r="CS179" s="138">
        <v>2487.09695751683</v>
      </c>
      <c r="CT179" s="138">
        <v>3649.27803463184</v>
      </c>
      <c r="CU179" s="138">
        <v>3054.00097776428</v>
      </c>
      <c r="CV179" s="138">
        <v>3054.00097776428</v>
      </c>
      <c r="CW179" s="138">
        <v>3054.00097776428</v>
      </c>
      <c r="CX179" s="138">
        <v>0</v>
      </c>
      <c r="CY179" s="138">
        <v>0</v>
      </c>
      <c r="CZ179" s="138">
        <v>0</v>
      </c>
      <c r="DA179" s="138">
        <v>0</v>
      </c>
      <c r="DB179" s="86">
        <v>69398.4761065661</v>
      </c>
      <c r="DC179" s="138">
        <v>1350.24597099159</v>
      </c>
      <c r="DD179" s="138">
        <v>38817.5822075876</v>
      </c>
      <c r="DE179" s="138">
        <v>1454.33162782442</v>
      </c>
      <c r="DF179" s="138">
        <v>2106.71823638256</v>
      </c>
      <c r="DG179" s="138">
        <v>652.046342011933</v>
      </c>
      <c r="DH179" s="138">
        <v>1138.85667587661</v>
      </c>
      <c r="DI179" s="138">
        <v>1138.85667587661</v>
      </c>
      <c r="DJ179" s="138">
        <v>1138.85667587661</v>
      </c>
      <c r="DK179" s="138">
        <v>1138.85667587661</v>
      </c>
      <c r="DL179" s="138">
        <v>1138.85667587661</v>
      </c>
      <c r="DM179" s="138">
        <v>1138.85667587661</v>
      </c>
      <c r="DN179" s="138">
        <v>1138.85667587661</v>
      </c>
      <c r="DO179" s="86">
        <v>52352.9211159344</v>
      </c>
      <c r="DP179" s="138">
        <v>28593.6950181254</v>
      </c>
      <c r="DQ179" s="138">
        <v>34475.488566237</v>
      </c>
      <c r="DR179" s="138">
        <v>33863.9550533263</v>
      </c>
      <c r="DS179" s="138">
        <v>18511.8386838169</v>
      </c>
      <c r="DT179" s="138">
        <v>13815.1439937935</v>
      </c>
      <c r="DU179" s="138">
        <v>15586.957163921</v>
      </c>
      <c r="DV179" s="138">
        <v>7793.47858196048</v>
      </c>
      <c r="DW179" s="138">
        <v>5195.65238797365</v>
      </c>
      <c r="DX179" s="138">
        <v>0</v>
      </c>
      <c r="DY179" s="138">
        <v>0</v>
      </c>
      <c r="DZ179" s="138">
        <v>0</v>
      </c>
      <c r="EA179" s="138">
        <v>0</v>
      </c>
      <c r="EB179" s="85">
        <v>157836.209449154</v>
      </c>
      <c r="EC179" s="87">
        <v>0</v>
      </c>
      <c r="ED179" s="85">
        <v>0</v>
      </c>
      <c r="EE179" s="85">
        <v>0</v>
      </c>
      <c r="EF179" s="85">
        <v>0</v>
      </c>
      <c r="EG179" s="85">
        <v>0</v>
      </c>
      <c r="EH179" s="85">
        <v>0</v>
      </c>
      <c r="EI179" s="85">
        <v>0</v>
      </c>
      <c r="EJ179" s="85">
        <v>0</v>
      </c>
      <c r="EK179" s="85">
        <v>0</v>
      </c>
      <c r="EL179" s="85">
        <v>0</v>
      </c>
      <c r="EM179" s="85">
        <v>0</v>
      </c>
      <c r="EN179" s="85">
        <v>0</v>
      </c>
      <c r="EO179" s="152">
        <v>0</v>
      </c>
      <c r="EP179" s="85">
        <v>12206.3649622423</v>
      </c>
      <c r="EQ179" s="85">
        <v>3920.04722131406</v>
      </c>
      <c r="ER179" s="85">
        <v>2936.80886861964</v>
      </c>
      <c r="ES179" s="85">
        <v>467.546320185117</v>
      </c>
      <c r="ET179" s="85">
        <v>594.069986485814</v>
      </c>
      <c r="EU179" s="85">
        <v>2408.98527204095</v>
      </c>
      <c r="EV179" s="85">
        <v>0</v>
      </c>
      <c r="EW179" s="85">
        <v>0</v>
      </c>
      <c r="EX179" s="85">
        <v>0</v>
      </c>
      <c r="EY179" s="85">
        <v>0</v>
      </c>
      <c r="EZ179" s="85">
        <v>0</v>
      </c>
      <c r="FA179" s="85">
        <v>0</v>
      </c>
      <c r="FB179" s="85">
        <v>22533.8226308879</v>
      </c>
      <c r="FC179" s="87">
        <v>0</v>
      </c>
      <c r="FD179" s="85">
        <v>0</v>
      </c>
      <c r="FE179" s="85">
        <v>0</v>
      </c>
      <c r="FF179" s="85">
        <v>0</v>
      </c>
      <c r="FG179" s="85">
        <v>0</v>
      </c>
      <c r="FH179" s="85">
        <v>0</v>
      </c>
      <c r="FI179" s="85">
        <v>0</v>
      </c>
      <c r="FJ179" s="85">
        <v>0</v>
      </c>
      <c r="FK179" s="85">
        <v>0</v>
      </c>
      <c r="FL179" s="85">
        <v>0</v>
      </c>
      <c r="FM179" s="85">
        <v>0</v>
      </c>
      <c r="FN179" s="85">
        <v>0</v>
      </c>
      <c r="FO179" s="86">
        <v>0</v>
      </c>
      <c r="FP179" s="87">
        <v>272027.19851628</v>
      </c>
      <c r="FQ179" s="85">
        <v>18020.7561955732</v>
      </c>
      <c r="FR179" s="85">
        <v>18522.9230890795</v>
      </c>
      <c r="FS179" s="85">
        <v>8890.80245304193</v>
      </c>
      <c r="FT179" s="85">
        <v>4960.06370711115</v>
      </c>
      <c r="FU179" s="85">
        <v>6350.76</v>
      </c>
      <c r="FV179" s="85">
        <v>6839.28</v>
      </c>
      <c r="FW179" s="85">
        <v>0</v>
      </c>
      <c r="FX179" s="85">
        <v>0</v>
      </c>
      <c r="FY179" s="85">
        <v>0</v>
      </c>
      <c r="FZ179" s="85">
        <v>0</v>
      </c>
      <c r="GA179" s="85">
        <v>0</v>
      </c>
      <c r="GB179" s="152">
        <v>335611.783961085</v>
      </c>
      <c r="GD179" s="153"/>
    </row>
    <row r="180" spans="1:186">
      <c r="A180" s="137" t="s">
        <v>351</v>
      </c>
      <c r="B180" s="151">
        <v>0</v>
      </c>
      <c r="C180" s="138">
        <f t="shared" si="39"/>
        <v>0</v>
      </c>
      <c r="D180" s="138">
        <f t="shared" si="40"/>
        <v>0</v>
      </c>
      <c r="E180" s="138">
        <f t="shared" si="41"/>
        <v>0</v>
      </c>
      <c r="F180" s="138">
        <f t="shared" si="42"/>
        <v>0</v>
      </c>
      <c r="G180" s="138">
        <f t="shared" si="43"/>
        <v>13658.8364341619</v>
      </c>
      <c r="H180" s="138">
        <f t="shared" si="44"/>
        <v>437843.304650634</v>
      </c>
      <c r="I180" s="138">
        <f t="shared" si="45"/>
        <v>411722.824928339</v>
      </c>
      <c r="J180" s="138">
        <f t="shared" si="46"/>
        <v>224302.469819828</v>
      </c>
      <c r="K180" s="138">
        <f t="shared" si="47"/>
        <v>142084.977715469</v>
      </c>
      <c r="L180" s="138">
        <f t="shared" si="48"/>
        <v>122824.61882667</v>
      </c>
      <c r="M180" s="138">
        <f t="shared" si="49"/>
        <v>0</v>
      </c>
      <c r="N180" s="138">
        <f t="shared" si="50"/>
        <v>0</v>
      </c>
      <c r="O180" s="86">
        <f t="shared" si="51"/>
        <v>1352437.0323751</v>
      </c>
      <c r="P180" s="138">
        <v>0</v>
      </c>
      <c r="Q180" s="138">
        <v>0</v>
      </c>
      <c r="R180" s="138">
        <v>0</v>
      </c>
      <c r="S180" s="138">
        <v>0</v>
      </c>
      <c r="T180" s="138">
        <v>0</v>
      </c>
      <c r="U180" s="138">
        <v>209061.649812601</v>
      </c>
      <c r="V180" s="138">
        <v>209061.649812601</v>
      </c>
      <c r="W180" s="138">
        <v>132715.287491667</v>
      </c>
      <c r="X180" s="138">
        <v>63817.8158366146</v>
      </c>
      <c r="Y180" s="138">
        <v>63817.8158366146</v>
      </c>
      <c r="Z180" s="138">
        <v>0</v>
      </c>
      <c r="AA180" s="138">
        <v>0</v>
      </c>
      <c r="AB180" s="86">
        <v>678474.218790099</v>
      </c>
      <c r="AC180" s="138">
        <v>0</v>
      </c>
      <c r="AD180" s="138">
        <v>0</v>
      </c>
      <c r="AE180" s="138">
        <v>0</v>
      </c>
      <c r="AF180" s="138">
        <v>0</v>
      </c>
      <c r="AG180" s="138">
        <v>0</v>
      </c>
      <c r="AH180" s="138">
        <v>0</v>
      </c>
      <c r="AI180" s="138">
        <v>0</v>
      </c>
      <c r="AJ180" s="138">
        <v>0</v>
      </c>
      <c r="AK180" s="138">
        <v>0</v>
      </c>
      <c r="AL180" s="138">
        <v>0</v>
      </c>
      <c r="AM180" s="138">
        <v>0</v>
      </c>
      <c r="AN180" s="138">
        <v>0</v>
      </c>
      <c r="AO180" s="86">
        <v>0</v>
      </c>
      <c r="AP180" s="138">
        <v>0</v>
      </c>
      <c r="AQ180" s="138">
        <v>0</v>
      </c>
      <c r="AR180" s="138">
        <v>0</v>
      </c>
      <c r="AS180" s="138">
        <v>0</v>
      </c>
      <c r="AT180" s="138">
        <v>0</v>
      </c>
      <c r="AU180" s="138">
        <v>90432.470256743</v>
      </c>
      <c r="AV180" s="138">
        <v>90432.470256743</v>
      </c>
      <c r="AW180" s="138">
        <v>45216.2351283715</v>
      </c>
      <c r="AX180" s="138">
        <v>45216.2351283715</v>
      </c>
      <c r="AY180" s="138">
        <v>45216.2351283715</v>
      </c>
      <c r="AZ180" s="138">
        <v>0</v>
      </c>
      <c r="BA180" s="138">
        <v>0</v>
      </c>
      <c r="BB180" s="86">
        <v>316513.6458986</v>
      </c>
      <c r="BC180" s="138">
        <v>0</v>
      </c>
      <c r="BD180" s="138">
        <v>0</v>
      </c>
      <c r="BE180" s="138">
        <v>0</v>
      </c>
      <c r="BF180" s="138">
        <v>0</v>
      </c>
      <c r="BG180" s="138">
        <v>0</v>
      </c>
      <c r="BH180" s="138">
        <v>0</v>
      </c>
      <c r="BI180" s="138">
        <v>0</v>
      </c>
      <c r="BJ180" s="138">
        <v>0</v>
      </c>
      <c r="BK180" s="138">
        <v>0</v>
      </c>
      <c r="BL180" s="138">
        <v>0</v>
      </c>
      <c r="BM180" s="138">
        <v>0</v>
      </c>
      <c r="BN180" s="138">
        <v>0</v>
      </c>
      <c r="BO180" s="86">
        <v>0</v>
      </c>
      <c r="BP180" s="138">
        <v>0</v>
      </c>
      <c r="BQ180" s="138">
        <v>0</v>
      </c>
      <c r="BR180" s="138">
        <v>0</v>
      </c>
      <c r="BS180" s="138">
        <v>0</v>
      </c>
      <c r="BT180" s="138">
        <v>0</v>
      </c>
      <c r="BU180" s="138">
        <v>0</v>
      </c>
      <c r="BV180" s="138">
        <v>0</v>
      </c>
      <c r="BW180" s="138">
        <v>0</v>
      </c>
      <c r="BX180" s="138">
        <v>0</v>
      </c>
      <c r="BY180" s="138">
        <v>0</v>
      </c>
      <c r="BZ180" s="138">
        <v>0</v>
      </c>
      <c r="CA180" s="138">
        <v>0</v>
      </c>
      <c r="CB180" s="86">
        <v>0</v>
      </c>
      <c r="CC180" s="138">
        <v>0</v>
      </c>
      <c r="CD180" s="138">
        <v>0</v>
      </c>
      <c r="CE180" s="138">
        <v>0</v>
      </c>
      <c r="CF180" s="138">
        <v>0</v>
      </c>
      <c r="CG180" s="138">
        <v>0</v>
      </c>
      <c r="CH180" s="138">
        <v>18601.6499959432</v>
      </c>
      <c r="CI180" s="138">
        <v>12390.0130893336</v>
      </c>
      <c r="CJ180" s="138">
        <v>7434.00785360016</v>
      </c>
      <c r="CK180" s="138">
        <v>2478.00261786672</v>
      </c>
      <c r="CL180" s="138">
        <v>0</v>
      </c>
      <c r="CM180" s="138">
        <v>0</v>
      </c>
      <c r="CN180" s="138">
        <v>0</v>
      </c>
      <c r="CO180" s="86">
        <v>40903.6735567437</v>
      </c>
      <c r="CP180" s="138">
        <v>0</v>
      </c>
      <c r="CQ180" s="138">
        <v>0</v>
      </c>
      <c r="CR180" s="138">
        <v>0</v>
      </c>
      <c r="CS180" s="138">
        <v>0</v>
      </c>
      <c r="CT180" s="138">
        <v>0</v>
      </c>
      <c r="CU180" s="138">
        <v>0</v>
      </c>
      <c r="CV180" s="138">
        <v>0</v>
      </c>
      <c r="CW180" s="138">
        <v>0</v>
      </c>
      <c r="CX180" s="138">
        <v>0</v>
      </c>
      <c r="CY180" s="138">
        <v>0</v>
      </c>
      <c r="CZ180" s="138">
        <v>0</v>
      </c>
      <c r="DA180" s="138">
        <v>0</v>
      </c>
      <c r="DB180" s="86">
        <v>0</v>
      </c>
      <c r="DC180" s="138">
        <v>0</v>
      </c>
      <c r="DD180" s="138">
        <v>0</v>
      </c>
      <c r="DE180" s="138">
        <v>0</v>
      </c>
      <c r="DF180" s="138">
        <v>0</v>
      </c>
      <c r="DG180" s="138">
        <v>0</v>
      </c>
      <c r="DH180" s="138">
        <v>16298.854600408</v>
      </c>
      <c r="DI180" s="138">
        <v>9779.31276024481</v>
      </c>
      <c r="DJ180" s="138">
        <v>0</v>
      </c>
      <c r="DK180" s="138">
        <v>0</v>
      </c>
      <c r="DL180" s="138">
        <v>0</v>
      </c>
      <c r="DM180" s="138">
        <v>0</v>
      </c>
      <c r="DN180" s="138">
        <v>0</v>
      </c>
      <c r="DO180" s="86">
        <v>26078.1673606528</v>
      </c>
      <c r="DP180" s="138">
        <v>0</v>
      </c>
      <c r="DQ180" s="138">
        <v>0</v>
      </c>
      <c r="DR180" s="138">
        <v>0</v>
      </c>
      <c r="DS180" s="138">
        <v>0</v>
      </c>
      <c r="DT180" s="138">
        <v>0</v>
      </c>
      <c r="DU180" s="138">
        <v>59486.4548767998</v>
      </c>
      <c r="DV180" s="138">
        <v>59486.4548767998</v>
      </c>
      <c r="DW180" s="138">
        <v>29743.2274383999</v>
      </c>
      <c r="DX180" s="138">
        <v>0</v>
      </c>
      <c r="DY180" s="138">
        <v>0</v>
      </c>
      <c r="DZ180" s="138">
        <v>0</v>
      </c>
      <c r="EA180" s="138">
        <v>0</v>
      </c>
      <c r="EB180" s="85">
        <v>148716.137191999</v>
      </c>
      <c r="EC180" s="87">
        <v>0</v>
      </c>
      <c r="ED180" s="85">
        <v>0</v>
      </c>
      <c r="EE180" s="85">
        <v>0</v>
      </c>
      <c r="EF180" s="85">
        <v>0</v>
      </c>
      <c r="EG180" s="85">
        <v>0</v>
      </c>
      <c r="EH180" s="85">
        <v>0</v>
      </c>
      <c r="EI180" s="85">
        <v>0</v>
      </c>
      <c r="EJ180" s="85">
        <v>0</v>
      </c>
      <c r="EK180" s="85">
        <v>0</v>
      </c>
      <c r="EL180" s="85">
        <v>0</v>
      </c>
      <c r="EM180" s="85">
        <v>0</v>
      </c>
      <c r="EN180" s="85">
        <v>0</v>
      </c>
      <c r="EO180" s="152">
        <v>0</v>
      </c>
      <c r="EP180" s="85">
        <v>0</v>
      </c>
      <c r="EQ180" s="85">
        <v>0</v>
      </c>
      <c r="ER180" s="85">
        <v>0</v>
      </c>
      <c r="ES180" s="85">
        <v>0</v>
      </c>
      <c r="ET180" s="85">
        <v>13658.8364341619</v>
      </c>
      <c r="EU180" s="85">
        <v>43962.2251081382</v>
      </c>
      <c r="EV180" s="85">
        <v>30572.924132616</v>
      </c>
      <c r="EW180" s="85">
        <v>9193.71190778915</v>
      </c>
      <c r="EX180" s="85">
        <v>30572.924132616</v>
      </c>
      <c r="EY180" s="85">
        <v>13790.5678616837</v>
      </c>
      <c r="EZ180" s="85">
        <v>0</v>
      </c>
      <c r="FA180" s="85">
        <v>0</v>
      </c>
      <c r="FB180" s="85">
        <v>141751.189577005</v>
      </c>
      <c r="FC180" s="87">
        <v>0</v>
      </c>
      <c r="FD180" s="85">
        <v>0</v>
      </c>
      <c r="FE180" s="85">
        <v>0</v>
      </c>
      <c r="FF180" s="85">
        <v>0</v>
      </c>
      <c r="FG180" s="85">
        <v>0</v>
      </c>
      <c r="FH180" s="85">
        <v>0</v>
      </c>
      <c r="FI180" s="85">
        <v>0</v>
      </c>
      <c r="FJ180" s="85">
        <v>0</v>
      </c>
      <c r="FK180" s="85">
        <v>0</v>
      </c>
      <c r="FL180" s="85">
        <v>0</v>
      </c>
      <c r="FM180" s="85">
        <v>0</v>
      </c>
      <c r="FN180" s="85">
        <v>0</v>
      </c>
      <c r="FO180" s="86">
        <v>0</v>
      </c>
      <c r="FP180" s="87">
        <v>0</v>
      </c>
      <c r="FQ180" s="85">
        <v>0</v>
      </c>
      <c r="FR180" s="85">
        <v>0</v>
      </c>
      <c r="FS180" s="85">
        <v>0</v>
      </c>
      <c r="FT180" s="85">
        <v>0</v>
      </c>
      <c r="FU180" s="85">
        <v>0</v>
      </c>
      <c r="FV180" s="85">
        <v>0</v>
      </c>
      <c r="FW180" s="85">
        <v>0</v>
      </c>
      <c r="FX180" s="85">
        <v>0</v>
      </c>
      <c r="FY180" s="85">
        <v>0</v>
      </c>
      <c r="FZ180" s="85">
        <v>0</v>
      </c>
      <c r="GA180" s="85">
        <v>0</v>
      </c>
      <c r="GB180" s="152">
        <v>0</v>
      </c>
      <c r="GD180" s="153"/>
    </row>
    <row r="181" spans="1:186">
      <c r="A181" s="137" t="s">
        <v>352</v>
      </c>
      <c r="B181" s="151">
        <v>0</v>
      </c>
      <c r="C181" s="138">
        <f t="shared" si="39"/>
        <v>0</v>
      </c>
      <c r="D181" s="138">
        <f t="shared" si="40"/>
        <v>0</v>
      </c>
      <c r="E181" s="138">
        <f t="shared" si="41"/>
        <v>0</v>
      </c>
      <c r="F181" s="138">
        <f t="shared" si="42"/>
        <v>0</v>
      </c>
      <c r="G181" s="138">
        <f t="shared" si="43"/>
        <v>0</v>
      </c>
      <c r="H181" s="138">
        <f t="shared" si="44"/>
        <v>0</v>
      </c>
      <c r="I181" s="138">
        <f t="shared" si="45"/>
        <v>0</v>
      </c>
      <c r="J181" s="138">
        <f t="shared" si="46"/>
        <v>0</v>
      </c>
      <c r="K181" s="138">
        <f t="shared" si="47"/>
        <v>0</v>
      </c>
      <c r="L181" s="138">
        <f t="shared" si="48"/>
        <v>0</v>
      </c>
      <c r="M181" s="138">
        <f t="shared" si="49"/>
        <v>0</v>
      </c>
      <c r="N181" s="138">
        <f t="shared" si="50"/>
        <v>0</v>
      </c>
      <c r="O181" s="86">
        <f t="shared" si="51"/>
        <v>0</v>
      </c>
      <c r="P181" s="138">
        <v>0</v>
      </c>
      <c r="Q181" s="138">
        <v>0</v>
      </c>
      <c r="R181" s="138">
        <v>0</v>
      </c>
      <c r="S181" s="138">
        <v>0</v>
      </c>
      <c r="T181" s="138">
        <v>0</v>
      </c>
      <c r="U181" s="138">
        <v>0</v>
      </c>
      <c r="V181" s="138">
        <v>0</v>
      </c>
      <c r="W181" s="138">
        <v>0</v>
      </c>
      <c r="X181" s="138">
        <v>0</v>
      </c>
      <c r="Y181" s="138">
        <v>0</v>
      </c>
      <c r="Z181" s="138">
        <v>0</v>
      </c>
      <c r="AA181" s="138">
        <v>0</v>
      </c>
      <c r="AB181" s="86">
        <v>0</v>
      </c>
      <c r="AC181" s="138">
        <v>0</v>
      </c>
      <c r="AD181" s="138">
        <v>0</v>
      </c>
      <c r="AE181" s="138">
        <v>0</v>
      </c>
      <c r="AF181" s="138">
        <v>0</v>
      </c>
      <c r="AG181" s="138">
        <v>0</v>
      </c>
      <c r="AH181" s="138">
        <v>0</v>
      </c>
      <c r="AI181" s="138">
        <v>0</v>
      </c>
      <c r="AJ181" s="138">
        <v>0</v>
      </c>
      <c r="AK181" s="138">
        <v>0</v>
      </c>
      <c r="AL181" s="138">
        <v>0</v>
      </c>
      <c r="AM181" s="138">
        <v>0</v>
      </c>
      <c r="AN181" s="138">
        <v>0</v>
      </c>
      <c r="AO181" s="86">
        <v>0</v>
      </c>
      <c r="AP181" s="138">
        <v>0</v>
      </c>
      <c r="AQ181" s="138">
        <v>0</v>
      </c>
      <c r="AR181" s="138">
        <v>0</v>
      </c>
      <c r="AS181" s="138">
        <v>0</v>
      </c>
      <c r="AT181" s="138">
        <v>0</v>
      </c>
      <c r="AU181" s="138">
        <v>0</v>
      </c>
      <c r="AV181" s="138">
        <v>0</v>
      </c>
      <c r="AW181" s="138">
        <v>0</v>
      </c>
      <c r="AX181" s="138">
        <v>0</v>
      </c>
      <c r="AY181" s="138">
        <v>0</v>
      </c>
      <c r="AZ181" s="138">
        <v>0</v>
      </c>
      <c r="BA181" s="138">
        <v>0</v>
      </c>
      <c r="BB181" s="86">
        <v>0</v>
      </c>
      <c r="BC181" s="138">
        <v>0</v>
      </c>
      <c r="BD181" s="138">
        <v>0</v>
      </c>
      <c r="BE181" s="138">
        <v>0</v>
      </c>
      <c r="BF181" s="138">
        <v>0</v>
      </c>
      <c r="BG181" s="138">
        <v>0</v>
      </c>
      <c r="BH181" s="138">
        <v>0</v>
      </c>
      <c r="BI181" s="138">
        <v>0</v>
      </c>
      <c r="BJ181" s="138">
        <v>0</v>
      </c>
      <c r="BK181" s="138">
        <v>0</v>
      </c>
      <c r="BL181" s="138">
        <v>0</v>
      </c>
      <c r="BM181" s="138">
        <v>0</v>
      </c>
      <c r="BN181" s="138">
        <v>0</v>
      </c>
      <c r="BO181" s="86">
        <v>0</v>
      </c>
      <c r="BP181" s="138">
        <v>0</v>
      </c>
      <c r="BQ181" s="138">
        <v>0</v>
      </c>
      <c r="BR181" s="138">
        <v>0</v>
      </c>
      <c r="BS181" s="138">
        <v>0</v>
      </c>
      <c r="BT181" s="138">
        <v>0</v>
      </c>
      <c r="BU181" s="138">
        <v>0</v>
      </c>
      <c r="BV181" s="138">
        <v>0</v>
      </c>
      <c r="BW181" s="138">
        <v>0</v>
      </c>
      <c r="BX181" s="138">
        <v>0</v>
      </c>
      <c r="BY181" s="138">
        <v>0</v>
      </c>
      <c r="BZ181" s="138">
        <v>0</v>
      </c>
      <c r="CA181" s="138">
        <v>0</v>
      </c>
      <c r="CB181" s="86">
        <v>0</v>
      </c>
      <c r="CC181" s="138">
        <v>0</v>
      </c>
      <c r="CD181" s="138">
        <v>0</v>
      </c>
      <c r="CE181" s="138">
        <v>0</v>
      </c>
      <c r="CF181" s="138">
        <v>0</v>
      </c>
      <c r="CG181" s="138">
        <v>0</v>
      </c>
      <c r="CH181" s="138">
        <v>0</v>
      </c>
      <c r="CI181" s="138">
        <v>0</v>
      </c>
      <c r="CJ181" s="138">
        <v>0</v>
      </c>
      <c r="CK181" s="138">
        <v>0</v>
      </c>
      <c r="CL181" s="138">
        <v>0</v>
      </c>
      <c r="CM181" s="138">
        <v>0</v>
      </c>
      <c r="CN181" s="138">
        <v>0</v>
      </c>
      <c r="CO181" s="86">
        <v>0</v>
      </c>
      <c r="CP181" s="138">
        <v>0</v>
      </c>
      <c r="CQ181" s="138">
        <v>0</v>
      </c>
      <c r="CR181" s="138">
        <v>0</v>
      </c>
      <c r="CS181" s="138">
        <v>0</v>
      </c>
      <c r="CT181" s="138">
        <v>0</v>
      </c>
      <c r="CU181" s="138">
        <v>0</v>
      </c>
      <c r="CV181" s="138">
        <v>0</v>
      </c>
      <c r="CW181" s="138">
        <v>0</v>
      </c>
      <c r="CX181" s="138">
        <v>0</v>
      </c>
      <c r="CY181" s="138">
        <v>0</v>
      </c>
      <c r="CZ181" s="138">
        <v>0</v>
      </c>
      <c r="DA181" s="138">
        <v>0</v>
      </c>
      <c r="DB181" s="86">
        <v>0</v>
      </c>
      <c r="DC181" s="138">
        <v>0</v>
      </c>
      <c r="DD181" s="138">
        <v>0</v>
      </c>
      <c r="DE181" s="138">
        <v>0</v>
      </c>
      <c r="DF181" s="138">
        <v>0</v>
      </c>
      <c r="DG181" s="138">
        <v>0</v>
      </c>
      <c r="DH181" s="138">
        <v>0</v>
      </c>
      <c r="DI181" s="138">
        <v>0</v>
      </c>
      <c r="DJ181" s="138">
        <v>0</v>
      </c>
      <c r="DK181" s="138">
        <v>0</v>
      </c>
      <c r="DL181" s="138">
        <v>0</v>
      </c>
      <c r="DM181" s="138">
        <v>0</v>
      </c>
      <c r="DN181" s="138">
        <v>0</v>
      </c>
      <c r="DO181" s="86">
        <v>0</v>
      </c>
      <c r="DP181" s="138">
        <v>0</v>
      </c>
      <c r="DQ181" s="138">
        <v>0</v>
      </c>
      <c r="DR181" s="138">
        <v>0</v>
      </c>
      <c r="DS181" s="138">
        <v>0</v>
      </c>
      <c r="DT181" s="138">
        <v>0</v>
      </c>
      <c r="DU181" s="138">
        <v>0</v>
      </c>
      <c r="DV181" s="138">
        <v>0</v>
      </c>
      <c r="DW181" s="138">
        <v>0</v>
      </c>
      <c r="DX181" s="138">
        <v>0</v>
      </c>
      <c r="DY181" s="138">
        <v>0</v>
      </c>
      <c r="DZ181" s="138">
        <v>0</v>
      </c>
      <c r="EA181" s="138">
        <v>0</v>
      </c>
      <c r="EB181" s="85">
        <v>0</v>
      </c>
      <c r="EC181" s="87">
        <v>0</v>
      </c>
      <c r="ED181" s="85">
        <v>0</v>
      </c>
      <c r="EE181" s="85">
        <v>0</v>
      </c>
      <c r="EF181" s="85">
        <v>0</v>
      </c>
      <c r="EG181" s="85">
        <v>0</v>
      </c>
      <c r="EH181" s="85">
        <v>0</v>
      </c>
      <c r="EI181" s="85">
        <v>0</v>
      </c>
      <c r="EJ181" s="85">
        <v>0</v>
      </c>
      <c r="EK181" s="85">
        <v>0</v>
      </c>
      <c r="EL181" s="85">
        <v>0</v>
      </c>
      <c r="EM181" s="85">
        <v>0</v>
      </c>
      <c r="EN181" s="85">
        <v>0</v>
      </c>
      <c r="EO181" s="152">
        <v>0</v>
      </c>
      <c r="EP181" s="85">
        <v>0</v>
      </c>
      <c r="EQ181" s="85">
        <v>0</v>
      </c>
      <c r="ER181" s="85">
        <v>0</v>
      </c>
      <c r="ES181" s="85">
        <v>0</v>
      </c>
      <c r="ET181" s="85">
        <v>0</v>
      </c>
      <c r="EU181" s="85">
        <v>0</v>
      </c>
      <c r="EV181" s="85">
        <v>0</v>
      </c>
      <c r="EW181" s="85">
        <v>0</v>
      </c>
      <c r="EX181" s="85">
        <v>0</v>
      </c>
      <c r="EY181" s="85">
        <v>0</v>
      </c>
      <c r="EZ181" s="85">
        <v>0</v>
      </c>
      <c r="FA181" s="85">
        <v>0</v>
      </c>
      <c r="FB181" s="85">
        <v>0</v>
      </c>
      <c r="FC181" s="87">
        <v>0</v>
      </c>
      <c r="FD181" s="85">
        <v>0</v>
      </c>
      <c r="FE181" s="85">
        <v>0</v>
      </c>
      <c r="FF181" s="85">
        <v>0</v>
      </c>
      <c r="FG181" s="85">
        <v>0</v>
      </c>
      <c r="FH181" s="85">
        <v>0</v>
      </c>
      <c r="FI181" s="85">
        <v>0</v>
      </c>
      <c r="FJ181" s="85">
        <v>0</v>
      </c>
      <c r="FK181" s="85">
        <v>0</v>
      </c>
      <c r="FL181" s="85">
        <v>0</v>
      </c>
      <c r="FM181" s="85">
        <v>0</v>
      </c>
      <c r="FN181" s="85">
        <v>0</v>
      </c>
      <c r="FO181" s="86">
        <v>0</v>
      </c>
      <c r="FP181" s="87">
        <v>0</v>
      </c>
      <c r="FQ181" s="85">
        <v>0</v>
      </c>
      <c r="FR181" s="85">
        <v>0</v>
      </c>
      <c r="FS181" s="85">
        <v>0</v>
      </c>
      <c r="FT181" s="85">
        <v>0</v>
      </c>
      <c r="FU181" s="85">
        <v>0</v>
      </c>
      <c r="FV181" s="85">
        <v>0</v>
      </c>
      <c r="FW181" s="85">
        <v>0</v>
      </c>
      <c r="FX181" s="85">
        <v>0</v>
      </c>
      <c r="FY181" s="85">
        <v>0</v>
      </c>
      <c r="FZ181" s="85">
        <v>0</v>
      </c>
      <c r="GA181" s="85">
        <v>0</v>
      </c>
      <c r="GB181" s="152">
        <v>0</v>
      </c>
      <c r="GD181" s="153"/>
    </row>
    <row r="182" spans="1:186">
      <c r="A182" s="137" t="s">
        <v>353</v>
      </c>
      <c r="B182" s="151">
        <v>0</v>
      </c>
      <c r="C182" s="138">
        <f t="shared" si="39"/>
        <v>0</v>
      </c>
      <c r="D182" s="138">
        <f t="shared" si="40"/>
        <v>0</v>
      </c>
      <c r="E182" s="138">
        <f t="shared" si="41"/>
        <v>0</v>
      </c>
      <c r="F182" s="138">
        <f t="shared" si="42"/>
        <v>0</v>
      </c>
      <c r="G182" s="138">
        <f t="shared" si="43"/>
        <v>0</v>
      </c>
      <c r="H182" s="138">
        <f t="shared" si="44"/>
        <v>0</v>
      </c>
      <c r="I182" s="138">
        <f t="shared" si="45"/>
        <v>0</v>
      </c>
      <c r="J182" s="138">
        <f t="shared" si="46"/>
        <v>0</v>
      </c>
      <c r="K182" s="138">
        <f t="shared" si="47"/>
        <v>0</v>
      </c>
      <c r="L182" s="138">
        <f t="shared" si="48"/>
        <v>0</v>
      </c>
      <c r="M182" s="138">
        <f t="shared" si="49"/>
        <v>0</v>
      </c>
      <c r="N182" s="138">
        <f t="shared" si="50"/>
        <v>0</v>
      </c>
      <c r="O182" s="86">
        <f t="shared" si="51"/>
        <v>0</v>
      </c>
      <c r="P182" s="138">
        <v>0</v>
      </c>
      <c r="Q182" s="138">
        <v>0</v>
      </c>
      <c r="R182" s="138">
        <v>0</v>
      </c>
      <c r="S182" s="138">
        <v>0</v>
      </c>
      <c r="T182" s="138">
        <v>0</v>
      </c>
      <c r="U182" s="138">
        <v>0</v>
      </c>
      <c r="V182" s="138">
        <v>0</v>
      </c>
      <c r="W182" s="138">
        <v>0</v>
      </c>
      <c r="X182" s="138">
        <v>0</v>
      </c>
      <c r="Y182" s="138">
        <v>0</v>
      </c>
      <c r="Z182" s="138">
        <v>0</v>
      </c>
      <c r="AA182" s="138">
        <v>0</v>
      </c>
      <c r="AB182" s="86">
        <v>0</v>
      </c>
      <c r="AC182" s="138">
        <v>0</v>
      </c>
      <c r="AD182" s="138">
        <v>0</v>
      </c>
      <c r="AE182" s="138">
        <v>0</v>
      </c>
      <c r="AF182" s="138">
        <v>0</v>
      </c>
      <c r="AG182" s="138">
        <v>0</v>
      </c>
      <c r="AH182" s="138">
        <v>0</v>
      </c>
      <c r="AI182" s="138">
        <v>0</v>
      </c>
      <c r="AJ182" s="138">
        <v>0</v>
      </c>
      <c r="AK182" s="138">
        <v>0</v>
      </c>
      <c r="AL182" s="138">
        <v>0</v>
      </c>
      <c r="AM182" s="138">
        <v>0</v>
      </c>
      <c r="AN182" s="138">
        <v>0</v>
      </c>
      <c r="AO182" s="86">
        <v>0</v>
      </c>
      <c r="AP182" s="138">
        <v>0</v>
      </c>
      <c r="AQ182" s="138">
        <v>0</v>
      </c>
      <c r="AR182" s="138">
        <v>0</v>
      </c>
      <c r="AS182" s="138">
        <v>0</v>
      </c>
      <c r="AT182" s="138">
        <v>0</v>
      </c>
      <c r="AU182" s="138">
        <v>0</v>
      </c>
      <c r="AV182" s="138">
        <v>0</v>
      </c>
      <c r="AW182" s="138">
        <v>0</v>
      </c>
      <c r="AX182" s="138">
        <v>0</v>
      </c>
      <c r="AY182" s="138">
        <v>0</v>
      </c>
      <c r="AZ182" s="138">
        <v>0</v>
      </c>
      <c r="BA182" s="138">
        <v>0</v>
      </c>
      <c r="BB182" s="86">
        <v>0</v>
      </c>
      <c r="BC182" s="138">
        <v>0</v>
      </c>
      <c r="BD182" s="138">
        <v>0</v>
      </c>
      <c r="BE182" s="138">
        <v>0</v>
      </c>
      <c r="BF182" s="138">
        <v>0</v>
      </c>
      <c r="BG182" s="138">
        <v>0</v>
      </c>
      <c r="BH182" s="138">
        <v>0</v>
      </c>
      <c r="BI182" s="138">
        <v>0</v>
      </c>
      <c r="BJ182" s="138">
        <v>0</v>
      </c>
      <c r="BK182" s="138">
        <v>0</v>
      </c>
      <c r="BL182" s="138">
        <v>0</v>
      </c>
      <c r="BM182" s="138">
        <v>0</v>
      </c>
      <c r="BN182" s="138">
        <v>0</v>
      </c>
      <c r="BO182" s="86">
        <v>0</v>
      </c>
      <c r="BP182" s="138">
        <v>0</v>
      </c>
      <c r="BQ182" s="138">
        <v>0</v>
      </c>
      <c r="BR182" s="138">
        <v>0</v>
      </c>
      <c r="BS182" s="138">
        <v>0</v>
      </c>
      <c r="BT182" s="138">
        <v>0</v>
      </c>
      <c r="BU182" s="138">
        <v>0</v>
      </c>
      <c r="BV182" s="138">
        <v>0</v>
      </c>
      <c r="BW182" s="138">
        <v>0</v>
      </c>
      <c r="BX182" s="138">
        <v>0</v>
      </c>
      <c r="BY182" s="138">
        <v>0</v>
      </c>
      <c r="BZ182" s="138">
        <v>0</v>
      </c>
      <c r="CA182" s="138">
        <v>0</v>
      </c>
      <c r="CB182" s="86">
        <v>0</v>
      </c>
      <c r="CC182" s="138">
        <v>0</v>
      </c>
      <c r="CD182" s="138">
        <v>0</v>
      </c>
      <c r="CE182" s="138">
        <v>0</v>
      </c>
      <c r="CF182" s="138">
        <v>0</v>
      </c>
      <c r="CG182" s="138">
        <v>0</v>
      </c>
      <c r="CH182" s="138">
        <v>0</v>
      </c>
      <c r="CI182" s="138">
        <v>0</v>
      </c>
      <c r="CJ182" s="138">
        <v>0</v>
      </c>
      <c r="CK182" s="138">
        <v>0</v>
      </c>
      <c r="CL182" s="138">
        <v>0</v>
      </c>
      <c r="CM182" s="138">
        <v>0</v>
      </c>
      <c r="CN182" s="138">
        <v>0</v>
      </c>
      <c r="CO182" s="86">
        <v>0</v>
      </c>
      <c r="CP182" s="138">
        <v>0</v>
      </c>
      <c r="CQ182" s="138">
        <v>0</v>
      </c>
      <c r="CR182" s="138">
        <v>0</v>
      </c>
      <c r="CS182" s="138">
        <v>0</v>
      </c>
      <c r="CT182" s="138">
        <v>0</v>
      </c>
      <c r="CU182" s="138">
        <v>0</v>
      </c>
      <c r="CV182" s="138">
        <v>0</v>
      </c>
      <c r="CW182" s="138">
        <v>0</v>
      </c>
      <c r="CX182" s="138">
        <v>0</v>
      </c>
      <c r="CY182" s="138">
        <v>0</v>
      </c>
      <c r="CZ182" s="138">
        <v>0</v>
      </c>
      <c r="DA182" s="138">
        <v>0</v>
      </c>
      <c r="DB182" s="86">
        <v>0</v>
      </c>
      <c r="DC182" s="138">
        <v>0</v>
      </c>
      <c r="DD182" s="138">
        <v>0</v>
      </c>
      <c r="DE182" s="138">
        <v>0</v>
      </c>
      <c r="DF182" s="138">
        <v>0</v>
      </c>
      <c r="DG182" s="138">
        <v>0</v>
      </c>
      <c r="DH182" s="138">
        <v>0</v>
      </c>
      <c r="DI182" s="138">
        <v>0</v>
      </c>
      <c r="DJ182" s="138">
        <v>0</v>
      </c>
      <c r="DK182" s="138">
        <v>0</v>
      </c>
      <c r="DL182" s="138">
        <v>0</v>
      </c>
      <c r="DM182" s="138">
        <v>0</v>
      </c>
      <c r="DN182" s="138">
        <v>0</v>
      </c>
      <c r="DO182" s="86">
        <v>0</v>
      </c>
      <c r="DP182" s="138">
        <v>0</v>
      </c>
      <c r="DQ182" s="138">
        <v>0</v>
      </c>
      <c r="DR182" s="138">
        <v>0</v>
      </c>
      <c r="DS182" s="138">
        <v>0</v>
      </c>
      <c r="DT182" s="138">
        <v>0</v>
      </c>
      <c r="DU182" s="138">
        <v>0</v>
      </c>
      <c r="DV182" s="138">
        <v>0</v>
      </c>
      <c r="DW182" s="138">
        <v>0</v>
      </c>
      <c r="DX182" s="138">
        <v>0</v>
      </c>
      <c r="DY182" s="138">
        <v>0</v>
      </c>
      <c r="DZ182" s="138">
        <v>0</v>
      </c>
      <c r="EA182" s="138">
        <v>0</v>
      </c>
      <c r="EB182" s="85">
        <v>0</v>
      </c>
      <c r="EC182" s="87">
        <v>0</v>
      </c>
      <c r="ED182" s="85">
        <v>0</v>
      </c>
      <c r="EE182" s="85">
        <v>0</v>
      </c>
      <c r="EF182" s="85">
        <v>0</v>
      </c>
      <c r="EG182" s="85">
        <v>0</v>
      </c>
      <c r="EH182" s="85">
        <v>0</v>
      </c>
      <c r="EI182" s="85">
        <v>0</v>
      </c>
      <c r="EJ182" s="85">
        <v>0</v>
      </c>
      <c r="EK182" s="85">
        <v>0</v>
      </c>
      <c r="EL182" s="85">
        <v>0</v>
      </c>
      <c r="EM182" s="85">
        <v>0</v>
      </c>
      <c r="EN182" s="85">
        <v>0</v>
      </c>
      <c r="EO182" s="152">
        <v>0</v>
      </c>
      <c r="EP182" s="85">
        <v>0</v>
      </c>
      <c r="EQ182" s="85">
        <v>0</v>
      </c>
      <c r="ER182" s="85">
        <v>0</v>
      </c>
      <c r="ES182" s="85">
        <v>0</v>
      </c>
      <c r="ET182" s="85">
        <v>0</v>
      </c>
      <c r="EU182" s="85">
        <v>0</v>
      </c>
      <c r="EV182" s="85">
        <v>0</v>
      </c>
      <c r="EW182" s="85">
        <v>0</v>
      </c>
      <c r="EX182" s="85">
        <v>0</v>
      </c>
      <c r="EY182" s="85">
        <v>0</v>
      </c>
      <c r="EZ182" s="85">
        <v>0</v>
      </c>
      <c r="FA182" s="85">
        <v>0</v>
      </c>
      <c r="FB182" s="85">
        <v>0</v>
      </c>
      <c r="FC182" s="87">
        <v>0</v>
      </c>
      <c r="FD182" s="85">
        <v>0</v>
      </c>
      <c r="FE182" s="85">
        <v>0</v>
      </c>
      <c r="FF182" s="85">
        <v>0</v>
      </c>
      <c r="FG182" s="85">
        <v>0</v>
      </c>
      <c r="FH182" s="85">
        <v>0</v>
      </c>
      <c r="FI182" s="85">
        <v>0</v>
      </c>
      <c r="FJ182" s="85">
        <v>0</v>
      </c>
      <c r="FK182" s="85">
        <v>0</v>
      </c>
      <c r="FL182" s="85">
        <v>0</v>
      </c>
      <c r="FM182" s="85">
        <v>0</v>
      </c>
      <c r="FN182" s="85">
        <v>0</v>
      </c>
      <c r="FO182" s="86">
        <v>0</v>
      </c>
      <c r="FP182" s="87">
        <v>0</v>
      </c>
      <c r="FQ182" s="85">
        <v>0</v>
      </c>
      <c r="FR182" s="85">
        <v>0</v>
      </c>
      <c r="FS182" s="85">
        <v>0</v>
      </c>
      <c r="FT182" s="85">
        <v>0</v>
      </c>
      <c r="FU182" s="85">
        <v>0</v>
      </c>
      <c r="FV182" s="85">
        <v>0</v>
      </c>
      <c r="FW182" s="85">
        <v>0</v>
      </c>
      <c r="FX182" s="85">
        <v>0</v>
      </c>
      <c r="FY182" s="85">
        <v>0</v>
      </c>
      <c r="FZ182" s="85">
        <v>0</v>
      </c>
      <c r="GA182" s="85">
        <v>0</v>
      </c>
      <c r="GB182" s="152">
        <v>0</v>
      </c>
      <c r="GD182" s="153"/>
    </row>
    <row r="183" spans="1:186">
      <c r="A183" s="137" t="s">
        <v>354</v>
      </c>
      <c r="B183" s="151">
        <v>0</v>
      </c>
      <c r="C183" s="138">
        <f t="shared" si="39"/>
        <v>41979.4738552994</v>
      </c>
      <c r="D183" s="138">
        <f t="shared" si="40"/>
        <v>6323.18723773154</v>
      </c>
      <c r="E183" s="138">
        <f t="shared" si="41"/>
        <v>4405.35579713751</v>
      </c>
      <c r="F183" s="138">
        <f t="shared" si="42"/>
        <v>5838.12911639677</v>
      </c>
      <c r="G183" s="138">
        <f t="shared" si="43"/>
        <v>4254.18653652991</v>
      </c>
      <c r="H183" s="138">
        <f t="shared" si="44"/>
        <v>2835.54</v>
      </c>
      <c r="I183" s="138">
        <f t="shared" si="45"/>
        <v>3150.6</v>
      </c>
      <c r="J183" s="138">
        <f t="shared" si="46"/>
        <v>0</v>
      </c>
      <c r="K183" s="138">
        <f t="shared" si="47"/>
        <v>0</v>
      </c>
      <c r="L183" s="138">
        <f t="shared" si="48"/>
        <v>0</v>
      </c>
      <c r="M183" s="138">
        <f t="shared" si="49"/>
        <v>0</v>
      </c>
      <c r="N183" s="138">
        <f t="shared" si="50"/>
        <v>0</v>
      </c>
      <c r="O183" s="86">
        <f t="shared" si="51"/>
        <v>68786.4725430951</v>
      </c>
      <c r="P183" s="138">
        <v>0</v>
      </c>
      <c r="Q183" s="138">
        <v>0</v>
      </c>
      <c r="R183" s="138">
        <v>0</v>
      </c>
      <c r="S183" s="138">
        <v>0</v>
      </c>
      <c r="T183" s="138">
        <v>0</v>
      </c>
      <c r="U183" s="138">
        <v>0</v>
      </c>
      <c r="V183" s="138">
        <v>0</v>
      </c>
      <c r="W183" s="138">
        <v>0</v>
      </c>
      <c r="X183" s="138">
        <v>0</v>
      </c>
      <c r="Y183" s="138">
        <v>0</v>
      </c>
      <c r="Z183" s="138">
        <v>0</v>
      </c>
      <c r="AA183" s="138">
        <v>0</v>
      </c>
      <c r="AB183" s="86">
        <v>0</v>
      </c>
      <c r="AC183" s="138">
        <v>23389.038700269</v>
      </c>
      <c r="AD183" s="138">
        <v>0</v>
      </c>
      <c r="AE183" s="138">
        <v>0</v>
      </c>
      <c r="AF183" s="138">
        <v>0</v>
      </c>
      <c r="AG183" s="138">
        <v>0</v>
      </c>
      <c r="AH183" s="138">
        <v>0</v>
      </c>
      <c r="AI183" s="138">
        <v>0</v>
      </c>
      <c r="AJ183" s="138">
        <v>0</v>
      </c>
      <c r="AK183" s="138">
        <v>0</v>
      </c>
      <c r="AL183" s="138">
        <v>0</v>
      </c>
      <c r="AM183" s="138">
        <v>0</v>
      </c>
      <c r="AN183" s="138">
        <v>0</v>
      </c>
      <c r="AO183" s="86">
        <v>23389.038700269</v>
      </c>
      <c r="AP183" s="138">
        <v>0</v>
      </c>
      <c r="AQ183" s="138">
        <v>0</v>
      </c>
      <c r="AR183" s="138">
        <v>0</v>
      </c>
      <c r="AS183" s="138">
        <v>0</v>
      </c>
      <c r="AT183" s="138">
        <v>0</v>
      </c>
      <c r="AU183" s="138">
        <v>0</v>
      </c>
      <c r="AV183" s="138">
        <v>0</v>
      </c>
      <c r="AW183" s="138">
        <v>0</v>
      </c>
      <c r="AX183" s="138">
        <v>0</v>
      </c>
      <c r="AY183" s="138">
        <v>0</v>
      </c>
      <c r="AZ183" s="138">
        <v>0</v>
      </c>
      <c r="BA183" s="138">
        <v>0</v>
      </c>
      <c r="BB183" s="86">
        <v>0</v>
      </c>
      <c r="BC183" s="138">
        <v>0</v>
      </c>
      <c r="BD183" s="138">
        <v>0</v>
      </c>
      <c r="BE183" s="138">
        <v>0</v>
      </c>
      <c r="BF183" s="138">
        <v>0</v>
      </c>
      <c r="BG183" s="138">
        <v>0</v>
      </c>
      <c r="BH183" s="138">
        <v>0</v>
      </c>
      <c r="BI183" s="138">
        <v>0</v>
      </c>
      <c r="BJ183" s="138">
        <v>0</v>
      </c>
      <c r="BK183" s="138">
        <v>0</v>
      </c>
      <c r="BL183" s="138">
        <v>0</v>
      </c>
      <c r="BM183" s="138">
        <v>0</v>
      </c>
      <c r="BN183" s="138">
        <v>0</v>
      </c>
      <c r="BO183" s="86">
        <v>0</v>
      </c>
      <c r="BP183" s="138">
        <v>0</v>
      </c>
      <c r="BQ183" s="138">
        <v>0</v>
      </c>
      <c r="BR183" s="138">
        <v>0</v>
      </c>
      <c r="BS183" s="138">
        <v>0</v>
      </c>
      <c r="BT183" s="138">
        <v>0</v>
      </c>
      <c r="BU183" s="138">
        <v>0</v>
      </c>
      <c r="BV183" s="138">
        <v>0</v>
      </c>
      <c r="BW183" s="138">
        <v>0</v>
      </c>
      <c r="BX183" s="138">
        <v>0</v>
      </c>
      <c r="BY183" s="138">
        <v>0</v>
      </c>
      <c r="BZ183" s="138">
        <v>0</v>
      </c>
      <c r="CA183" s="138">
        <v>0</v>
      </c>
      <c r="CB183" s="86">
        <v>0</v>
      </c>
      <c r="CC183" s="138">
        <v>0</v>
      </c>
      <c r="CD183" s="138">
        <v>0</v>
      </c>
      <c r="CE183" s="138">
        <v>0</v>
      </c>
      <c r="CF183" s="138">
        <v>0</v>
      </c>
      <c r="CG183" s="138">
        <v>0</v>
      </c>
      <c r="CH183" s="138">
        <v>0</v>
      </c>
      <c r="CI183" s="138">
        <v>0</v>
      </c>
      <c r="CJ183" s="138">
        <v>0</v>
      </c>
      <c r="CK183" s="138">
        <v>0</v>
      </c>
      <c r="CL183" s="138">
        <v>0</v>
      </c>
      <c r="CM183" s="138">
        <v>0</v>
      </c>
      <c r="CN183" s="138">
        <v>0</v>
      </c>
      <c r="CO183" s="86">
        <v>0</v>
      </c>
      <c r="CP183" s="138">
        <v>0</v>
      </c>
      <c r="CQ183" s="138">
        <v>0</v>
      </c>
      <c r="CR183" s="138">
        <v>0</v>
      </c>
      <c r="CS183" s="138">
        <v>0</v>
      </c>
      <c r="CT183" s="138">
        <v>0</v>
      </c>
      <c r="CU183" s="138">
        <v>0</v>
      </c>
      <c r="CV183" s="138">
        <v>0</v>
      </c>
      <c r="CW183" s="138">
        <v>0</v>
      </c>
      <c r="CX183" s="138">
        <v>0</v>
      </c>
      <c r="CY183" s="138">
        <v>0</v>
      </c>
      <c r="CZ183" s="138">
        <v>0</v>
      </c>
      <c r="DA183" s="138">
        <v>0</v>
      </c>
      <c r="DB183" s="86">
        <v>0</v>
      </c>
      <c r="DC183" s="138">
        <v>0</v>
      </c>
      <c r="DD183" s="138">
        <v>0</v>
      </c>
      <c r="DE183" s="138">
        <v>0</v>
      </c>
      <c r="DF183" s="138">
        <v>0</v>
      </c>
      <c r="DG183" s="138">
        <v>0</v>
      </c>
      <c r="DH183" s="138">
        <v>0</v>
      </c>
      <c r="DI183" s="138">
        <v>0</v>
      </c>
      <c r="DJ183" s="138">
        <v>0</v>
      </c>
      <c r="DK183" s="138">
        <v>0</v>
      </c>
      <c r="DL183" s="138">
        <v>0</v>
      </c>
      <c r="DM183" s="138">
        <v>0</v>
      </c>
      <c r="DN183" s="138">
        <v>0</v>
      </c>
      <c r="DO183" s="86">
        <v>0</v>
      </c>
      <c r="DP183" s="138">
        <v>0</v>
      </c>
      <c r="DQ183" s="138">
        <v>0</v>
      </c>
      <c r="DR183" s="138">
        <v>0</v>
      </c>
      <c r="DS183" s="138">
        <v>0</v>
      </c>
      <c r="DT183" s="138">
        <v>0</v>
      </c>
      <c r="DU183" s="138">
        <v>0</v>
      </c>
      <c r="DV183" s="138">
        <v>0</v>
      </c>
      <c r="DW183" s="138">
        <v>0</v>
      </c>
      <c r="DX183" s="138">
        <v>0</v>
      </c>
      <c r="DY183" s="138">
        <v>0</v>
      </c>
      <c r="DZ183" s="138">
        <v>0</v>
      </c>
      <c r="EA183" s="138">
        <v>0</v>
      </c>
      <c r="EB183" s="85">
        <v>0</v>
      </c>
      <c r="EC183" s="87">
        <v>0</v>
      </c>
      <c r="ED183" s="85">
        <v>0</v>
      </c>
      <c r="EE183" s="85">
        <v>0</v>
      </c>
      <c r="EF183" s="85">
        <v>0</v>
      </c>
      <c r="EG183" s="85">
        <v>0</v>
      </c>
      <c r="EH183" s="85">
        <v>0</v>
      </c>
      <c r="EI183" s="85">
        <v>0</v>
      </c>
      <c r="EJ183" s="85">
        <v>0</v>
      </c>
      <c r="EK183" s="85">
        <v>0</v>
      </c>
      <c r="EL183" s="85">
        <v>0</v>
      </c>
      <c r="EM183" s="85">
        <v>0</v>
      </c>
      <c r="EN183" s="85">
        <v>0</v>
      </c>
      <c r="EO183" s="152">
        <v>0</v>
      </c>
      <c r="EP183" s="85">
        <v>0</v>
      </c>
      <c r="EQ183" s="85">
        <v>0</v>
      </c>
      <c r="ER183" s="85">
        <v>0</v>
      </c>
      <c r="ES183" s="85">
        <v>0</v>
      </c>
      <c r="ET183" s="85">
        <v>0</v>
      </c>
      <c r="EU183" s="85">
        <v>0</v>
      </c>
      <c r="EV183" s="85">
        <v>0</v>
      </c>
      <c r="EW183" s="85">
        <v>0</v>
      </c>
      <c r="EX183" s="85">
        <v>0</v>
      </c>
      <c r="EY183" s="85">
        <v>0</v>
      </c>
      <c r="EZ183" s="85">
        <v>0</v>
      </c>
      <c r="FA183" s="85">
        <v>0</v>
      </c>
      <c r="FB183" s="85">
        <v>0</v>
      </c>
      <c r="FC183" s="87">
        <v>0</v>
      </c>
      <c r="FD183" s="85">
        <v>0</v>
      </c>
      <c r="FE183" s="85">
        <v>0</v>
      </c>
      <c r="FF183" s="85">
        <v>0</v>
      </c>
      <c r="FG183" s="85">
        <v>0</v>
      </c>
      <c r="FH183" s="85">
        <v>0</v>
      </c>
      <c r="FI183" s="85">
        <v>0</v>
      </c>
      <c r="FJ183" s="85">
        <v>0</v>
      </c>
      <c r="FK183" s="85">
        <v>0</v>
      </c>
      <c r="FL183" s="85">
        <v>0</v>
      </c>
      <c r="FM183" s="85">
        <v>0</v>
      </c>
      <c r="FN183" s="85">
        <v>0</v>
      </c>
      <c r="FO183" s="86">
        <v>0</v>
      </c>
      <c r="FP183" s="87">
        <v>18590.4351550303</v>
      </c>
      <c r="FQ183" s="85">
        <v>6323.18723773154</v>
      </c>
      <c r="FR183" s="85">
        <v>4405.35579713751</v>
      </c>
      <c r="FS183" s="85">
        <v>5838.12911639677</v>
      </c>
      <c r="FT183" s="85">
        <v>4254.18653652991</v>
      </c>
      <c r="FU183" s="85">
        <v>2835.54</v>
      </c>
      <c r="FV183" s="85">
        <v>3150.6</v>
      </c>
      <c r="FW183" s="85">
        <v>0</v>
      </c>
      <c r="FX183" s="85">
        <v>0</v>
      </c>
      <c r="FY183" s="85">
        <v>0</v>
      </c>
      <c r="FZ183" s="85">
        <v>0</v>
      </c>
      <c r="GA183" s="85">
        <v>0</v>
      </c>
      <c r="GB183" s="152">
        <v>45397.4338428261</v>
      </c>
      <c r="GD183" s="153"/>
    </row>
    <row r="184" spans="1:186">
      <c r="A184" s="137" t="s">
        <v>355</v>
      </c>
      <c r="B184" s="151">
        <v>23636332.3896343</v>
      </c>
      <c r="C184" s="138">
        <f t="shared" si="39"/>
        <v>5511534.07375626</v>
      </c>
      <c r="D184" s="138">
        <f t="shared" si="40"/>
        <v>0</v>
      </c>
      <c r="E184" s="138">
        <f t="shared" si="41"/>
        <v>0</v>
      </c>
      <c r="F184" s="138">
        <f t="shared" si="42"/>
        <v>0</v>
      </c>
      <c r="G184" s="138">
        <f t="shared" si="43"/>
        <v>0</v>
      </c>
      <c r="H184" s="138">
        <f t="shared" si="44"/>
        <v>0</v>
      </c>
      <c r="I184" s="138">
        <f t="shared" si="45"/>
        <v>0</v>
      </c>
      <c r="J184" s="138">
        <f t="shared" si="46"/>
        <v>0</v>
      </c>
      <c r="K184" s="138">
        <f t="shared" si="47"/>
        <v>0</v>
      </c>
      <c r="L184" s="138">
        <f t="shared" si="48"/>
        <v>0</v>
      </c>
      <c r="M184" s="138">
        <f t="shared" si="49"/>
        <v>0</v>
      </c>
      <c r="N184" s="138">
        <f t="shared" si="50"/>
        <v>0</v>
      </c>
      <c r="O184" s="86">
        <f t="shared" si="51"/>
        <v>5511534.07375626</v>
      </c>
      <c r="P184" s="138">
        <v>0</v>
      </c>
      <c r="Q184" s="138">
        <v>0</v>
      </c>
      <c r="R184" s="138">
        <v>0</v>
      </c>
      <c r="S184" s="138">
        <v>0</v>
      </c>
      <c r="T184" s="138">
        <v>0</v>
      </c>
      <c r="U184" s="138">
        <v>0</v>
      </c>
      <c r="V184" s="138">
        <v>0</v>
      </c>
      <c r="W184" s="138">
        <v>0</v>
      </c>
      <c r="X184" s="138">
        <v>0</v>
      </c>
      <c r="Y184" s="138">
        <v>0</v>
      </c>
      <c r="Z184" s="138">
        <v>0</v>
      </c>
      <c r="AA184" s="138">
        <v>0</v>
      </c>
      <c r="AB184" s="86">
        <v>0</v>
      </c>
      <c r="AC184" s="138">
        <v>0</v>
      </c>
      <c r="AD184" s="138">
        <v>0</v>
      </c>
      <c r="AE184" s="138">
        <v>0</v>
      </c>
      <c r="AF184" s="138">
        <v>0</v>
      </c>
      <c r="AG184" s="138">
        <v>0</v>
      </c>
      <c r="AH184" s="138">
        <v>0</v>
      </c>
      <c r="AI184" s="138">
        <v>0</v>
      </c>
      <c r="AJ184" s="138">
        <v>0</v>
      </c>
      <c r="AK184" s="138">
        <v>0</v>
      </c>
      <c r="AL184" s="138">
        <v>0</v>
      </c>
      <c r="AM184" s="138">
        <v>0</v>
      </c>
      <c r="AN184" s="138">
        <v>0</v>
      </c>
      <c r="AO184" s="86">
        <v>0</v>
      </c>
      <c r="AP184" s="138">
        <v>0</v>
      </c>
      <c r="AQ184" s="138">
        <v>0</v>
      </c>
      <c r="AR184" s="138">
        <v>0</v>
      </c>
      <c r="AS184" s="138">
        <v>0</v>
      </c>
      <c r="AT184" s="138">
        <v>0</v>
      </c>
      <c r="AU184" s="138">
        <v>0</v>
      </c>
      <c r="AV184" s="138">
        <v>0</v>
      </c>
      <c r="AW184" s="138">
        <v>0</v>
      </c>
      <c r="AX184" s="138">
        <v>0</v>
      </c>
      <c r="AY184" s="138">
        <v>0</v>
      </c>
      <c r="AZ184" s="138">
        <v>0</v>
      </c>
      <c r="BA184" s="138">
        <v>0</v>
      </c>
      <c r="BB184" s="86">
        <v>0</v>
      </c>
      <c r="BC184" s="138">
        <v>0</v>
      </c>
      <c r="BD184" s="138">
        <v>0</v>
      </c>
      <c r="BE184" s="138">
        <v>0</v>
      </c>
      <c r="BF184" s="138">
        <v>0</v>
      </c>
      <c r="BG184" s="138">
        <v>0</v>
      </c>
      <c r="BH184" s="138">
        <v>0</v>
      </c>
      <c r="BI184" s="138">
        <v>0</v>
      </c>
      <c r="BJ184" s="138">
        <v>0</v>
      </c>
      <c r="BK184" s="138">
        <v>0</v>
      </c>
      <c r="BL184" s="138">
        <v>0</v>
      </c>
      <c r="BM184" s="138">
        <v>0</v>
      </c>
      <c r="BN184" s="138">
        <v>0</v>
      </c>
      <c r="BO184" s="86">
        <v>0</v>
      </c>
      <c r="BP184" s="138">
        <v>5511534.07375626</v>
      </c>
      <c r="BQ184" s="138">
        <v>0</v>
      </c>
      <c r="BR184" s="138">
        <v>0</v>
      </c>
      <c r="BS184" s="138">
        <v>0</v>
      </c>
      <c r="BT184" s="138">
        <v>0</v>
      </c>
      <c r="BU184" s="138">
        <v>0</v>
      </c>
      <c r="BV184" s="138">
        <v>0</v>
      </c>
      <c r="BW184" s="138">
        <v>0</v>
      </c>
      <c r="BX184" s="138">
        <v>0</v>
      </c>
      <c r="BY184" s="138">
        <v>0</v>
      </c>
      <c r="BZ184" s="138">
        <v>0</v>
      </c>
      <c r="CA184" s="138">
        <v>0</v>
      </c>
      <c r="CB184" s="86">
        <v>5511534.07375626</v>
      </c>
      <c r="CC184" s="138">
        <v>0</v>
      </c>
      <c r="CD184" s="138">
        <v>0</v>
      </c>
      <c r="CE184" s="138">
        <v>0</v>
      </c>
      <c r="CF184" s="138">
        <v>0</v>
      </c>
      <c r="CG184" s="138">
        <v>0</v>
      </c>
      <c r="CH184" s="138">
        <v>0</v>
      </c>
      <c r="CI184" s="138">
        <v>0</v>
      </c>
      <c r="CJ184" s="138">
        <v>0</v>
      </c>
      <c r="CK184" s="138">
        <v>0</v>
      </c>
      <c r="CL184" s="138">
        <v>0</v>
      </c>
      <c r="CM184" s="138">
        <v>0</v>
      </c>
      <c r="CN184" s="138">
        <v>0</v>
      </c>
      <c r="CO184" s="86">
        <v>0</v>
      </c>
      <c r="CP184" s="138">
        <v>0</v>
      </c>
      <c r="CQ184" s="138">
        <v>0</v>
      </c>
      <c r="CR184" s="138">
        <v>0</v>
      </c>
      <c r="CS184" s="138">
        <v>0</v>
      </c>
      <c r="CT184" s="138">
        <v>0</v>
      </c>
      <c r="CU184" s="138">
        <v>0</v>
      </c>
      <c r="CV184" s="138">
        <v>0</v>
      </c>
      <c r="CW184" s="138">
        <v>0</v>
      </c>
      <c r="CX184" s="138">
        <v>0</v>
      </c>
      <c r="CY184" s="138">
        <v>0</v>
      </c>
      <c r="CZ184" s="138">
        <v>0</v>
      </c>
      <c r="DA184" s="138">
        <v>0</v>
      </c>
      <c r="DB184" s="86">
        <v>0</v>
      </c>
      <c r="DC184" s="138">
        <v>0</v>
      </c>
      <c r="DD184" s="138">
        <v>0</v>
      </c>
      <c r="DE184" s="138">
        <v>0</v>
      </c>
      <c r="DF184" s="138">
        <v>0</v>
      </c>
      <c r="DG184" s="138">
        <v>0</v>
      </c>
      <c r="DH184" s="138">
        <v>0</v>
      </c>
      <c r="DI184" s="138">
        <v>0</v>
      </c>
      <c r="DJ184" s="138">
        <v>0</v>
      </c>
      <c r="DK184" s="138">
        <v>0</v>
      </c>
      <c r="DL184" s="138">
        <v>0</v>
      </c>
      <c r="DM184" s="138">
        <v>0</v>
      </c>
      <c r="DN184" s="138">
        <v>0</v>
      </c>
      <c r="DO184" s="86">
        <v>0</v>
      </c>
      <c r="DP184" s="138">
        <v>0</v>
      </c>
      <c r="DQ184" s="138">
        <v>0</v>
      </c>
      <c r="DR184" s="138">
        <v>0</v>
      </c>
      <c r="DS184" s="138">
        <v>0</v>
      </c>
      <c r="DT184" s="138">
        <v>0</v>
      </c>
      <c r="DU184" s="138">
        <v>0</v>
      </c>
      <c r="DV184" s="138">
        <v>0</v>
      </c>
      <c r="DW184" s="138">
        <v>0</v>
      </c>
      <c r="DX184" s="138">
        <v>0</v>
      </c>
      <c r="DY184" s="138">
        <v>0</v>
      </c>
      <c r="DZ184" s="138">
        <v>0</v>
      </c>
      <c r="EA184" s="138">
        <v>0</v>
      </c>
      <c r="EB184" s="85">
        <v>0</v>
      </c>
      <c r="EC184" s="87">
        <v>0</v>
      </c>
      <c r="ED184" s="85">
        <v>0</v>
      </c>
      <c r="EE184" s="85">
        <v>0</v>
      </c>
      <c r="EF184" s="85">
        <v>0</v>
      </c>
      <c r="EG184" s="85">
        <v>0</v>
      </c>
      <c r="EH184" s="85">
        <v>0</v>
      </c>
      <c r="EI184" s="85">
        <v>0</v>
      </c>
      <c r="EJ184" s="85">
        <v>0</v>
      </c>
      <c r="EK184" s="85">
        <v>0</v>
      </c>
      <c r="EL184" s="85">
        <v>0</v>
      </c>
      <c r="EM184" s="85">
        <v>0</v>
      </c>
      <c r="EN184" s="85">
        <v>0</v>
      </c>
      <c r="EO184" s="152">
        <v>0</v>
      </c>
      <c r="EP184" s="85">
        <v>0</v>
      </c>
      <c r="EQ184" s="85">
        <v>0</v>
      </c>
      <c r="ER184" s="85">
        <v>0</v>
      </c>
      <c r="ES184" s="85">
        <v>0</v>
      </c>
      <c r="ET184" s="85">
        <v>0</v>
      </c>
      <c r="EU184" s="85">
        <v>0</v>
      </c>
      <c r="EV184" s="85">
        <v>0</v>
      </c>
      <c r="EW184" s="85">
        <v>0</v>
      </c>
      <c r="EX184" s="85">
        <v>0</v>
      </c>
      <c r="EY184" s="85">
        <v>0</v>
      </c>
      <c r="EZ184" s="85">
        <v>0</v>
      </c>
      <c r="FA184" s="85">
        <v>0</v>
      </c>
      <c r="FB184" s="85">
        <v>0</v>
      </c>
      <c r="FC184" s="87">
        <v>0</v>
      </c>
      <c r="FD184" s="85">
        <v>0</v>
      </c>
      <c r="FE184" s="85">
        <v>0</v>
      </c>
      <c r="FF184" s="85">
        <v>0</v>
      </c>
      <c r="FG184" s="85">
        <v>0</v>
      </c>
      <c r="FH184" s="85">
        <v>0</v>
      </c>
      <c r="FI184" s="85">
        <v>0</v>
      </c>
      <c r="FJ184" s="85">
        <v>0</v>
      </c>
      <c r="FK184" s="85">
        <v>0</v>
      </c>
      <c r="FL184" s="85">
        <v>0</v>
      </c>
      <c r="FM184" s="85">
        <v>0</v>
      </c>
      <c r="FN184" s="85">
        <v>0</v>
      </c>
      <c r="FO184" s="86">
        <v>0</v>
      </c>
      <c r="FP184" s="87">
        <v>0</v>
      </c>
      <c r="FQ184" s="85">
        <v>0</v>
      </c>
      <c r="FR184" s="85">
        <v>0</v>
      </c>
      <c r="FS184" s="85">
        <v>0</v>
      </c>
      <c r="FT184" s="85">
        <v>0</v>
      </c>
      <c r="FU184" s="85">
        <v>0</v>
      </c>
      <c r="FV184" s="85">
        <v>0</v>
      </c>
      <c r="FW184" s="85">
        <v>0</v>
      </c>
      <c r="FX184" s="85">
        <v>0</v>
      </c>
      <c r="FY184" s="85">
        <v>0</v>
      </c>
      <c r="FZ184" s="85">
        <v>0</v>
      </c>
      <c r="GA184" s="85">
        <v>0</v>
      </c>
      <c r="GB184" s="152">
        <v>0</v>
      </c>
      <c r="GD184" s="153"/>
    </row>
    <row r="185" spans="1:186">
      <c r="A185" s="137" t="s">
        <v>356</v>
      </c>
      <c r="B185" s="151">
        <v>0</v>
      </c>
      <c r="C185" s="138">
        <f t="shared" si="39"/>
        <v>0</v>
      </c>
      <c r="D185" s="138">
        <f t="shared" si="40"/>
        <v>0</v>
      </c>
      <c r="E185" s="138">
        <f t="shared" si="41"/>
        <v>0</v>
      </c>
      <c r="F185" s="138">
        <f t="shared" si="42"/>
        <v>0</v>
      </c>
      <c r="G185" s="138">
        <f t="shared" si="43"/>
        <v>0</v>
      </c>
      <c r="H185" s="138">
        <f t="shared" si="44"/>
        <v>0</v>
      </c>
      <c r="I185" s="138">
        <f t="shared" si="45"/>
        <v>0</v>
      </c>
      <c r="J185" s="138">
        <f t="shared" si="46"/>
        <v>0</v>
      </c>
      <c r="K185" s="138">
        <f t="shared" si="47"/>
        <v>0</v>
      </c>
      <c r="L185" s="138">
        <f t="shared" si="48"/>
        <v>0</v>
      </c>
      <c r="M185" s="138">
        <f t="shared" si="49"/>
        <v>0</v>
      </c>
      <c r="N185" s="138">
        <f t="shared" si="50"/>
        <v>0</v>
      </c>
      <c r="O185" s="86">
        <f t="shared" si="51"/>
        <v>0</v>
      </c>
      <c r="P185" s="138">
        <v>0</v>
      </c>
      <c r="Q185" s="138">
        <v>0</v>
      </c>
      <c r="R185" s="138">
        <v>0</v>
      </c>
      <c r="S185" s="138">
        <v>0</v>
      </c>
      <c r="T185" s="138">
        <v>0</v>
      </c>
      <c r="U185" s="138">
        <v>0</v>
      </c>
      <c r="V185" s="138">
        <v>0</v>
      </c>
      <c r="W185" s="138">
        <v>0</v>
      </c>
      <c r="X185" s="138">
        <v>0</v>
      </c>
      <c r="Y185" s="138">
        <v>0</v>
      </c>
      <c r="Z185" s="138">
        <v>0</v>
      </c>
      <c r="AA185" s="138">
        <v>0</v>
      </c>
      <c r="AB185" s="86">
        <v>0</v>
      </c>
      <c r="AC185" s="138">
        <v>0</v>
      </c>
      <c r="AD185" s="138">
        <v>0</v>
      </c>
      <c r="AE185" s="138">
        <v>0</v>
      </c>
      <c r="AF185" s="138">
        <v>0</v>
      </c>
      <c r="AG185" s="138">
        <v>0</v>
      </c>
      <c r="AH185" s="138">
        <v>0</v>
      </c>
      <c r="AI185" s="138">
        <v>0</v>
      </c>
      <c r="AJ185" s="138">
        <v>0</v>
      </c>
      <c r="AK185" s="138">
        <v>0</v>
      </c>
      <c r="AL185" s="138">
        <v>0</v>
      </c>
      <c r="AM185" s="138">
        <v>0</v>
      </c>
      <c r="AN185" s="138">
        <v>0</v>
      </c>
      <c r="AO185" s="86">
        <v>0</v>
      </c>
      <c r="AP185" s="138">
        <v>0</v>
      </c>
      <c r="AQ185" s="138">
        <v>0</v>
      </c>
      <c r="AR185" s="138">
        <v>0</v>
      </c>
      <c r="AS185" s="138">
        <v>0</v>
      </c>
      <c r="AT185" s="138">
        <v>0</v>
      </c>
      <c r="AU185" s="138">
        <v>0</v>
      </c>
      <c r="AV185" s="138">
        <v>0</v>
      </c>
      <c r="AW185" s="138">
        <v>0</v>
      </c>
      <c r="AX185" s="138">
        <v>0</v>
      </c>
      <c r="AY185" s="138">
        <v>0</v>
      </c>
      <c r="AZ185" s="138">
        <v>0</v>
      </c>
      <c r="BA185" s="138">
        <v>0</v>
      </c>
      <c r="BB185" s="86">
        <v>0</v>
      </c>
      <c r="BC185" s="138">
        <v>0</v>
      </c>
      <c r="BD185" s="138">
        <v>0</v>
      </c>
      <c r="BE185" s="138">
        <v>0</v>
      </c>
      <c r="BF185" s="138">
        <v>0</v>
      </c>
      <c r="BG185" s="138">
        <v>0</v>
      </c>
      <c r="BH185" s="138">
        <v>0</v>
      </c>
      <c r="BI185" s="138">
        <v>0</v>
      </c>
      <c r="BJ185" s="138">
        <v>0</v>
      </c>
      <c r="BK185" s="138">
        <v>0</v>
      </c>
      <c r="BL185" s="138">
        <v>0</v>
      </c>
      <c r="BM185" s="138">
        <v>0</v>
      </c>
      <c r="BN185" s="138">
        <v>0</v>
      </c>
      <c r="BO185" s="86">
        <v>0</v>
      </c>
      <c r="BP185" s="138">
        <v>0</v>
      </c>
      <c r="BQ185" s="138">
        <v>0</v>
      </c>
      <c r="BR185" s="138">
        <v>0</v>
      </c>
      <c r="BS185" s="138">
        <v>0</v>
      </c>
      <c r="BT185" s="138">
        <v>0</v>
      </c>
      <c r="BU185" s="138">
        <v>0</v>
      </c>
      <c r="BV185" s="138">
        <v>0</v>
      </c>
      <c r="BW185" s="138">
        <v>0</v>
      </c>
      <c r="BX185" s="138">
        <v>0</v>
      </c>
      <c r="BY185" s="138">
        <v>0</v>
      </c>
      <c r="BZ185" s="138">
        <v>0</v>
      </c>
      <c r="CA185" s="138">
        <v>0</v>
      </c>
      <c r="CB185" s="86">
        <v>0</v>
      </c>
      <c r="CC185" s="138">
        <v>0</v>
      </c>
      <c r="CD185" s="138">
        <v>0</v>
      </c>
      <c r="CE185" s="138">
        <v>0</v>
      </c>
      <c r="CF185" s="138">
        <v>0</v>
      </c>
      <c r="CG185" s="138">
        <v>0</v>
      </c>
      <c r="CH185" s="138">
        <v>0</v>
      </c>
      <c r="CI185" s="138">
        <v>0</v>
      </c>
      <c r="CJ185" s="138">
        <v>0</v>
      </c>
      <c r="CK185" s="138">
        <v>0</v>
      </c>
      <c r="CL185" s="138">
        <v>0</v>
      </c>
      <c r="CM185" s="138">
        <v>0</v>
      </c>
      <c r="CN185" s="138">
        <v>0</v>
      </c>
      <c r="CO185" s="86">
        <v>0</v>
      </c>
      <c r="CP185" s="138">
        <v>0</v>
      </c>
      <c r="CQ185" s="138">
        <v>0</v>
      </c>
      <c r="CR185" s="138">
        <v>0</v>
      </c>
      <c r="CS185" s="138">
        <v>0</v>
      </c>
      <c r="CT185" s="138">
        <v>0</v>
      </c>
      <c r="CU185" s="138">
        <v>0</v>
      </c>
      <c r="CV185" s="138">
        <v>0</v>
      </c>
      <c r="CW185" s="138">
        <v>0</v>
      </c>
      <c r="CX185" s="138">
        <v>0</v>
      </c>
      <c r="CY185" s="138">
        <v>0</v>
      </c>
      <c r="CZ185" s="138">
        <v>0</v>
      </c>
      <c r="DA185" s="138">
        <v>0</v>
      </c>
      <c r="DB185" s="86">
        <v>0</v>
      </c>
      <c r="DC185" s="138">
        <v>0</v>
      </c>
      <c r="DD185" s="138">
        <v>0</v>
      </c>
      <c r="DE185" s="138">
        <v>0</v>
      </c>
      <c r="DF185" s="138">
        <v>0</v>
      </c>
      <c r="DG185" s="138">
        <v>0</v>
      </c>
      <c r="DH185" s="138">
        <v>0</v>
      </c>
      <c r="DI185" s="138">
        <v>0</v>
      </c>
      <c r="DJ185" s="138">
        <v>0</v>
      </c>
      <c r="DK185" s="138">
        <v>0</v>
      </c>
      <c r="DL185" s="138">
        <v>0</v>
      </c>
      <c r="DM185" s="138">
        <v>0</v>
      </c>
      <c r="DN185" s="138">
        <v>0</v>
      </c>
      <c r="DO185" s="86">
        <v>0</v>
      </c>
      <c r="DP185" s="138">
        <v>0</v>
      </c>
      <c r="DQ185" s="138">
        <v>0</v>
      </c>
      <c r="DR185" s="138">
        <v>0</v>
      </c>
      <c r="DS185" s="138">
        <v>0</v>
      </c>
      <c r="DT185" s="138">
        <v>0</v>
      </c>
      <c r="DU185" s="138">
        <v>0</v>
      </c>
      <c r="DV185" s="138">
        <v>0</v>
      </c>
      <c r="DW185" s="138">
        <v>0</v>
      </c>
      <c r="DX185" s="138">
        <v>0</v>
      </c>
      <c r="DY185" s="138">
        <v>0</v>
      </c>
      <c r="DZ185" s="138">
        <v>0</v>
      </c>
      <c r="EA185" s="138">
        <v>0</v>
      </c>
      <c r="EB185" s="85">
        <v>0</v>
      </c>
      <c r="EC185" s="87">
        <v>0</v>
      </c>
      <c r="ED185" s="85">
        <v>0</v>
      </c>
      <c r="EE185" s="85">
        <v>0</v>
      </c>
      <c r="EF185" s="85">
        <v>0</v>
      </c>
      <c r="EG185" s="85">
        <v>0</v>
      </c>
      <c r="EH185" s="85">
        <v>0</v>
      </c>
      <c r="EI185" s="85">
        <v>0</v>
      </c>
      <c r="EJ185" s="85">
        <v>0</v>
      </c>
      <c r="EK185" s="85">
        <v>0</v>
      </c>
      <c r="EL185" s="85">
        <v>0</v>
      </c>
      <c r="EM185" s="85">
        <v>0</v>
      </c>
      <c r="EN185" s="85">
        <v>0</v>
      </c>
      <c r="EO185" s="152">
        <v>0</v>
      </c>
      <c r="EP185" s="85">
        <v>0</v>
      </c>
      <c r="EQ185" s="85">
        <v>0</v>
      </c>
      <c r="ER185" s="85">
        <v>0</v>
      </c>
      <c r="ES185" s="85">
        <v>0</v>
      </c>
      <c r="ET185" s="85">
        <v>0</v>
      </c>
      <c r="EU185" s="85">
        <v>0</v>
      </c>
      <c r="EV185" s="85">
        <v>0</v>
      </c>
      <c r="EW185" s="85">
        <v>0</v>
      </c>
      <c r="EX185" s="85">
        <v>0</v>
      </c>
      <c r="EY185" s="85">
        <v>0</v>
      </c>
      <c r="EZ185" s="85">
        <v>0</v>
      </c>
      <c r="FA185" s="85">
        <v>0</v>
      </c>
      <c r="FB185" s="85">
        <v>0</v>
      </c>
      <c r="FC185" s="87">
        <v>0</v>
      </c>
      <c r="FD185" s="85">
        <v>0</v>
      </c>
      <c r="FE185" s="85">
        <v>0</v>
      </c>
      <c r="FF185" s="85">
        <v>0</v>
      </c>
      <c r="FG185" s="85">
        <v>0</v>
      </c>
      <c r="FH185" s="85">
        <v>0</v>
      </c>
      <c r="FI185" s="85">
        <v>0</v>
      </c>
      <c r="FJ185" s="85">
        <v>0</v>
      </c>
      <c r="FK185" s="85">
        <v>0</v>
      </c>
      <c r="FL185" s="85">
        <v>0</v>
      </c>
      <c r="FM185" s="85">
        <v>0</v>
      </c>
      <c r="FN185" s="85">
        <v>0</v>
      </c>
      <c r="FO185" s="86">
        <v>0</v>
      </c>
      <c r="FP185" s="87">
        <v>0</v>
      </c>
      <c r="FQ185" s="85">
        <v>0</v>
      </c>
      <c r="FR185" s="85">
        <v>0</v>
      </c>
      <c r="FS185" s="85">
        <v>0</v>
      </c>
      <c r="FT185" s="85">
        <v>0</v>
      </c>
      <c r="FU185" s="85">
        <v>0</v>
      </c>
      <c r="FV185" s="85">
        <v>0</v>
      </c>
      <c r="FW185" s="85">
        <v>0</v>
      </c>
      <c r="FX185" s="85">
        <v>0</v>
      </c>
      <c r="FY185" s="85">
        <v>0</v>
      </c>
      <c r="FZ185" s="85">
        <v>0</v>
      </c>
      <c r="GA185" s="85">
        <v>0</v>
      </c>
      <c r="GB185" s="152">
        <v>0</v>
      </c>
      <c r="GD185" s="153"/>
    </row>
    <row r="186" spans="1:186">
      <c r="A186" s="137" t="s">
        <v>357</v>
      </c>
      <c r="B186" s="151">
        <v>0</v>
      </c>
      <c r="C186" s="138">
        <f t="shared" ref="C186:C187" si="52">P186+AC186+AP186+BC186+BP186+CC186+CP186+DC186+DP186+EC186+EP186+FP186+FC186</f>
        <v>0</v>
      </c>
      <c r="D186" s="138">
        <f t="shared" ref="D186:D187" si="53">Q186+AD186+AQ186+BD186+BQ186+CD186+CQ186+DD186+DQ186+ED186+EQ186+FQ186+FD186</f>
        <v>41949.7646573976</v>
      </c>
      <c r="E186" s="138">
        <f t="shared" ref="E186:E187" si="54">R186+AE186+AR186+BE186+BR186+CE186+CR186+DE186+DR186+EE186+ER186+FR186+FE186</f>
        <v>151203.846040666</v>
      </c>
      <c r="F186" s="138">
        <f t="shared" ref="F186:F187" si="55">S186+AF186+AS186+BF186+BS186+CF186+CS186+DF186+DS186+EF186+ES186+FS186+FF186</f>
        <v>170649.021923664</v>
      </c>
      <c r="G186" s="138">
        <f t="shared" ref="G186:G187" si="56">T186+AG186+AT186+BG186+BT186+CG186+CT186+DG186+DT186+EG186+ET186+FT186+FG186</f>
        <v>90613.5586671328</v>
      </c>
      <c r="H186" s="138">
        <f t="shared" ref="H186:H187" si="57">U186+AH186+AU186+BH186+BU186+CH186+CU186+DH186+DU186+EH186+EU186+FU186+FH186</f>
        <v>0</v>
      </c>
      <c r="I186" s="138">
        <f t="shared" ref="I186:I187" si="58">V186+AI186+AV186+BI186+BV186+CI186+CV186+DI186+DV186+EI186+EV186+FV186+FI186</f>
        <v>0</v>
      </c>
      <c r="J186" s="138">
        <f t="shared" ref="J186:J187" si="59">W186+AJ186+AW186+BJ186+BW186+CJ186+CW186+DJ186+DW186+EJ186+EW186+FW186+FJ186</f>
        <v>0</v>
      </c>
      <c r="K186" s="138">
        <f t="shared" ref="K186:K187" si="60">X186+AK186+AX186+BK186+BX186+CK186+CX186+DK186+DX186+EK186+EX186+FX186+FK186</f>
        <v>0</v>
      </c>
      <c r="L186" s="138">
        <f t="shared" ref="L186:L187" si="61">Y186+AL186+AY186+BL186+BY186+CL186+CY186+DL186+DY186+EL186+EY186+FY186+FL186</f>
        <v>0</v>
      </c>
      <c r="M186" s="138">
        <f t="shared" ref="M186:M187" si="62">Z186+AM186+AZ186+BM186+BZ186+CM186+CZ186+DM186+DZ186+EM186+EZ186+FZ186+FM186</f>
        <v>0</v>
      </c>
      <c r="N186" s="138">
        <f t="shared" ref="N186:N187" si="63">AA186+AN186+BA186+BN186+CA186+CN186+DA186+DN186+EA186+EN186+FA186+GA186+FN186</f>
        <v>0</v>
      </c>
      <c r="O186" s="86">
        <f t="shared" ref="O186:O187" si="64">SUM(C186:N186)</f>
        <v>454416.19128886</v>
      </c>
      <c r="P186" s="138">
        <v>0</v>
      </c>
      <c r="Q186" s="138">
        <v>0</v>
      </c>
      <c r="R186" s="138">
        <v>0</v>
      </c>
      <c r="S186" s="138">
        <v>0</v>
      </c>
      <c r="T186" s="138">
        <v>0</v>
      </c>
      <c r="U186" s="138">
        <v>0</v>
      </c>
      <c r="V186" s="138">
        <v>0</v>
      </c>
      <c r="W186" s="138">
        <v>0</v>
      </c>
      <c r="X186" s="138">
        <v>0</v>
      </c>
      <c r="Y186" s="138">
        <v>0</v>
      </c>
      <c r="Z186" s="138">
        <v>0</v>
      </c>
      <c r="AA186" s="138">
        <v>0</v>
      </c>
      <c r="AB186" s="86">
        <v>0</v>
      </c>
      <c r="AC186" s="138">
        <v>0</v>
      </c>
      <c r="AD186" s="138">
        <v>0</v>
      </c>
      <c r="AE186" s="138">
        <v>0</v>
      </c>
      <c r="AF186" s="138">
        <v>0</v>
      </c>
      <c r="AG186" s="138">
        <v>0</v>
      </c>
      <c r="AH186" s="138">
        <v>0</v>
      </c>
      <c r="AI186" s="138">
        <v>0</v>
      </c>
      <c r="AJ186" s="138">
        <v>0</v>
      </c>
      <c r="AK186" s="138">
        <v>0</v>
      </c>
      <c r="AL186" s="138">
        <v>0</v>
      </c>
      <c r="AM186" s="138">
        <v>0</v>
      </c>
      <c r="AN186" s="138">
        <v>0</v>
      </c>
      <c r="AO186" s="86">
        <v>0</v>
      </c>
      <c r="AP186" s="138">
        <v>0</v>
      </c>
      <c r="AQ186" s="138">
        <v>0</v>
      </c>
      <c r="AR186" s="138">
        <v>12299.2993216662</v>
      </c>
      <c r="AS186" s="138">
        <v>10665.7633289047</v>
      </c>
      <c r="AT186" s="138">
        <v>6157.14697827822</v>
      </c>
      <c r="AU186" s="138">
        <v>0</v>
      </c>
      <c r="AV186" s="138">
        <v>0</v>
      </c>
      <c r="AW186" s="138">
        <v>0</v>
      </c>
      <c r="AX186" s="138">
        <v>0</v>
      </c>
      <c r="AY186" s="138">
        <v>0</v>
      </c>
      <c r="AZ186" s="138">
        <v>0</v>
      </c>
      <c r="BA186" s="138">
        <v>0</v>
      </c>
      <c r="BB186" s="86">
        <v>29122.2096288491</v>
      </c>
      <c r="BC186" s="138">
        <v>0</v>
      </c>
      <c r="BD186" s="138">
        <v>0</v>
      </c>
      <c r="BE186" s="138">
        <v>12398.7002623448</v>
      </c>
      <c r="BF186" s="138">
        <v>17005.2880450549</v>
      </c>
      <c r="BG186" s="138">
        <v>7387.84883413788</v>
      </c>
      <c r="BH186" s="138">
        <v>0</v>
      </c>
      <c r="BI186" s="138">
        <v>0</v>
      </c>
      <c r="BJ186" s="138">
        <v>0</v>
      </c>
      <c r="BK186" s="138">
        <v>0</v>
      </c>
      <c r="BL186" s="138">
        <v>0</v>
      </c>
      <c r="BM186" s="138">
        <v>0</v>
      </c>
      <c r="BN186" s="138">
        <v>0</v>
      </c>
      <c r="BO186" s="86">
        <v>36791.8371415376</v>
      </c>
      <c r="BP186" s="138">
        <v>0</v>
      </c>
      <c r="BQ186" s="138">
        <v>0</v>
      </c>
      <c r="BR186" s="138">
        <v>0</v>
      </c>
      <c r="BS186" s="138">
        <v>0</v>
      </c>
      <c r="BT186" s="138">
        <v>0</v>
      </c>
      <c r="BU186" s="138">
        <v>0</v>
      </c>
      <c r="BV186" s="138">
        <v>0</v>
      </c>
      <c r="BW186" s="138">
        <v>0</v>
      </c>
      <c r="BX186" s="138">
        <v>0</v>
      </c>
      <c r="BY186" s="138">
        <v>0</v>
      </c>
      <c r="BZ186" s="138">
        <v>0</v>
      </c>
      <c r="CA186" s="138">
        <v>0</v>
      </c>
      <c r="CB186" s="86">
        <v>0</v>
      </c>
      <c r="CC186" s="138">
        <v>0</v>
      </c>
      <c r="CD186" s="138">
        <v>0</v>
      </c>
      <c r="CE186" s="138">
        <v>0</v>
      </c>
      <c r="CF186" s="138">
        <v>10402.2369024877</v>
      </c>
      <c r="CG186" s="138">
        <v>2582.49299200373</v>
      </c>
      <c r="CH186" s="138">
        <v>0</v>
      </c>
      <c r="CI186" s="138">
        <v>0</v>
      </c>
      <c r="CJ186" s="138">
        <v>0</v>
      </c>
      <c r="CK186" s="138">
        <v>0</v>
      </c>
      <c r="CL186" s="138">
        <v>0</v>
      </c>
      <c r="CM186" s="138">
        <v>0</v>
      </c>
      <c r="CN186" s="138">
        <v>0</v>
      </c>
      <c r="CO186" s="86">
        <v>12984.7298944914</v>
      </c>
      <c r="CP186" s="138">
        <v>0</v>
      </c>
      <c r="CQ186" s="138">
        <v>0</v>
      </c>
      <c r="CR186" s="138">
        <v>27631.6665784364</v>
      </c>
      <c r="CS186" s="138">
        <v>8778.71863359493</v>
      </c>
      <c r="CT186" s="138">
        <v>2775.04639562646</v>
      </c>
      <c r="CU186" s="138">
        <v>0</v>
      </c>
      <c r="CV186" s="138">
        <v>0</v>
      </c>
      <c r="CW186" s="138">
        <v>0</v>
      </c>
      <c r="CX186" s="138">
        <v>0</v>
      </c>
      <c r="CY186" s="138">
        <v>0</v>
      </c>
      <c r="CZ186" s="138">
        <v>0</v>
      </c>
      <c r="DA186" s="138">
        <v>0</v>
      </c>
      <c r="DB186" s="86">
        <v>39185.4316076578</v>
      </c>
      <c r="DC186" s="138">
        <v>0</v>
      </c>
      <c r="DD186" s="138">
        <v>0</v>
      </c>
      <c r="DE186" s="138">
        <v>1375.43835488405</v>
      </c>
      <c r="DF186" s="138">
        <v>4966.5503298686</v>
      </c>
      <c r="DG186" s="138">
        <v>2818.97837216072</v>
      </c>
      <c r="DH186" s="138">
        <v>0</v>
      </c>
      <c r="DI186" s="138">
        <v>0</v>
      </c>
      <c r="DJ186" s="138">
        <v>0</v>
      </c>
      <c r="DK186" s="138">
        <v>0</v>
      </c>
      <c r="DL186" s="138">
        <v>0</v>
      </c>
      <c r="DM186" s="138">
        <v>0</v>
      </c>
      <c r="DN186" s="138">
        <v>0</v>
      </c>
      <c r="DO186" s="86">
        <v>9160.96705691337</v>
      </c>
      <c r="DP186" s="138">
        <v>0</v>
      </c>
      <c r="DQ186" s="138">
        <v>0</v>
      </c>
      <c r="DR186" s="138">
        <v>19038.1917844582</v>
      </c>
      <c r="DS186" s="138">
        <v>83749.0437818418</v>
      </c>
      <c r="DT186" s="138">
        <v>47458.3303635551</v>
      </c>
      <c r="DU186" s="138">
        <v>0</v>
      </c>
      <c r="DV186" s="138">
        <v>0</v>
      </c>
      <c r="DW186" s="138">
        <v>0</v>
      </c>
      <c r="DX186" s="138">
        <v>0</v>
      </c>
      <c r="DY186" s="138">
        <v>0</v>
      </c>
      <c r="DZ186" s="138">
        <v>0</v>
      </c>
      <c r="EA186" s="138">
        <v>0</v>
      </c>
      <c r="EB186" s="85">
        <v>150245.565929855</v>
      </c>
      <c r="EC186" s="87">
        <v>0</v>
      </c>
      <c r="ED186" s="85">
        <v>0</v>
      </c>
      <c r="EE186" s="85">
        <v>0</v>
      </c>
      <c r="EF186" s="85">
        <v>0</v>
      </c>
      <c r="EG186" s="85">
        <v>0</v>
      </c>
      <c r="EH186" s="85">
        <v>0</v>
      </c>
      <c r="EI186" s="85">
        <v>0</v>
      </c>
      <c r="EJ186" s="85">
        <v>0</v>
      </c>
      <c r="EK186" s="85">
        <v>0</v>
      </c>
      <c r="EL186" s="85">
        <v>0</v>
      </c>
      <c r="EM186" s="85">
        <v>0</v>
      </c>
      <c r="EN186" s="85">
        <v>0</v>
      </c>
      <c r="EO186" s="152">
        <v>0</v>
      </c>
      <c r="EP186" s="85">
        <v>0</v>
      </c>
      <c r="EQ186" s="85">
        <v>41949.7646573976</v>
      </c>
      <c r="ER186" s="85">
        <v>0</v>
      </c>
      <c r="ES186" s="85">
        <v>7714.56083309094</v>
      </c>
      <c r="ET186" s="85">
        <v>9109.10799039153</v>
      </c>
      <c r="EU186" s="85">
        <v>0</v>
      </c>
      <c r="EV186" s="85">
        <v>0</v>
      </c>
      <c r="EW186" s="85">
        <v>0</v>
      </c>
      <c r="EX186" s="85">
        <v>0</v>
      </c>
      <c r="EY186" s="85">
        <v>0</v>
      </c>
      <c r="EZ186" s="85">
        <v>0</v>
      </c>
      <c r="FA186" s="85">
        <v>0</v>
      </c>
      <c r="FB186" s="85">
        <v>58773.43348088</v>
      </c>
      <c r="FC186" s="87">
        <v>0</v>
      </c>
      <c r="FD186" s="85">
        <v>0</v>
      </c>
      <c r="FE186" s="85">
        <v>0</v>
      </c>
      <c r="FF186" s="85">
        <v>0</v>
      </c>
      <c r="FG186" s="85">
        <v>0</v>
      </c>
      <c r="FH186" s="85">
        <v>0</v>
      </c>
      <c r="FI186" s="85">
        <v>0</v>
      </c>
      <c r="FJ186" s="85">
        <v>0</v>
      </c>
      <c r="FK186" s="85">
        <v>0</v>
      </c>
      <c r="FL186" s="85">
        <v>0</v>
      </c>
      <c r="FM186" s="85">
        <v>0</v>
      </c>
      <c r="FN186" s="85">
        <v>0</v>
      </c>
      <c r="FO186" s="86">
        <v>0</v>
      </c>
      <c r="FP186" s="87">
        <v>0</v>
      </c>
      <c r="FQ186" s="85">
        <v>0</v>
      </c>
      <c r="FR186" s="85">
        <v>78460.5497388761</v>
      </c>
      <c r="FS186" s="85">
        <v>27366.86006882</v>
      </c>
      <c r="FT186" s="85">
        <v>12324.6067409792</v>
      </c>
      <c r="FU186" s="85">
        <v>0</v>
      </c>
      <c r="FV186" s="85">
        <v>0</v>
      </c>
      <c r="FW186" s="85">
        <v>0</v>
      </c>
      <c r="FX186" s="85">
        <v>0</v>
      </c>
      <c r="FY186" s="85">
        <v>0</v>
      </c>
      <c r="FZ186" s="85">
        <v>0</v>
      </c>
      <c r="GA186" s="85">
        <v>0</v>
      </c>
      <c r="GB186" s="152">
        <v>118152.016548675</v>
      </c>
      <c r="GD186" s="153"/>
    </row>
    <row r="187" spans="1:186">
      <c r="A187" s="137" t="s">
        <v>358</v>
      </c>
      <c r="B187" s="151">
        <v>24176813.6870159</v>
      </c>
      <c r="C187" s="138">
        <f t="shared" si="52"/>
        <v>4164397.61719867</v>
      </c>
      <c r="D187" s="138">
        <f t="shared" si="53"/>
        <v>3596644.42229206</v>
      </c>
      <c r="E187" s="138">
        <f t="shared" si="54"/>
        <v>3799448.92986736</v>
      </c>
      <c r="F187" s="138">
        <f t="shared" si="55"/>
        <v>2340979.80049499</v>
      </c>
      <c r="G187" s="138">
        <f t="shared" si="56"/>
        <v>2371685.8834138</v>
      </c>
      <c r="H187" s="138">
        <f t="shared" si="57"/>
        <v>992529.784946191</v>
      </c>
      <c r="I187" s="138">
        <f t="shared" si="58"/>
        <v>380230.379156371</v>
      </c>
      <c r="J187" s="138">
        <f t="shared" si="59"/>
        <v>314466.470031971</v>
      </c>
      <c r="K187" s="138">
        <f t="shared" si="60"/>
        <v>226156.509494153</v>
      </c>
      <c r="L187" s="138">
        <f t="shared" si="61"/>
        <v>140721.520240755</v>
      </c>
      <c r="M187" s="138">
        <f t="shared" si="62"/>
        <v>136314.640060189</v>
      </c>
      <c r="N187" s="138">
        <f t="shared" si="63"/>
        <v>133794.160060189</v>
      </c>
      <c r="O187" s="86">
        <f t="shared" si="64"/>
        <v>18597370.1172567</v>
      </c>
      <c r="P187" s="138">
        <v>0</v>
      </c>
      <c r="Q187" s="138">
        <v>0</v>
      </c>
      <c r="R187" s="138">
        <v>0</v>
      </c>
      <c r="S187" s="138">
        <v>0</v>
      </c>
      <c r="T187" s="138">
        <v>0</v>
      </c>
      <c r="U187" s="138">
        <v>0</v>
      </c>
      <c r="V187" s="138">
        <v>0</v>
      </c>
      <c r="W187" s="138">
        <v>0</v>
      </c>
      <c r="X187" s="138">
        <v>0</v>
      </c>
      <c r="Y187" s="138">
        <v>0</v>
      </c>
      <c r="Z187" s="138">
        <v>0</v>
      </c>
      <c r="AA187" s="138">
        <v>0</v>
      </c>
      <c r="AB187" s="86">
        <v>0</v>
      </c>
      <c r="AC187" s="138">
        <v>595557.212942421</v>
      </c>
      <c r="AD187" s="138">
        <v>532176.083972421</v>
      </c>
      <c r="AE187" s="138">
        <v>567766.174860056</v>
      </c>
      <c r="AF187" s="138">
        <v>470076.720473046</v>
      </c>
      <c r="AG187" s="138">
        <v>483401.339501137</v>
      </c>
      <c r="AH187" s="138">
        <v>156259.658605511</v>
      </c>
      <c r="AI187" s="138">
        <v>0</v>
      </c>
      <c r="AJ187" s="138">
        <v>0</v>
      </c>
      <c r="AK187" s="138">
        <v>0</v>
      </c>
      <c r="AL187" s="138">
        <v>0</v>
      </c>
      <c r="AM187" s="138">
        <v>0</v>
      </c>
      <c r="AN187" s="138">
        <v>0</v>
      </c>
      <c r="AO187" s="86">
        <v>2805237.19035459</v>
      </c>
      <c r="AP187" s="138">
        <v>346178.854588955</v>
      </c>
      <c r="AQ187" s="138">
        <v>423872.888800308</v>
      </c>
      <c r="AR187" s="138">
        <v>505713.118324933</v>
      </c>
      <c r="AS187" s="138">
        <v>303463.974015866</v>
      </c>
      <c r="AT187" s="138">
        <v>5735.46473553786</v>
      </c>
      <c r="AU187" s="138">
        <v>0</v>
      </c>
      <c r="AV187" s="138">
        <v>0</v>
      </c>
      <c r="AW187" s="138">
        <v>0</v>
      </c>
      <c r="AX187" s="138">
        <v>0</v>
      </c>
      <c r="AY187" s="138">
        <v>0</v>
      </c>
      <c r="AZ187" s="138">
        <v>0</v>
      </c>
      <c r="BA187" s="138">
        <v>0</v>
      </c>
      <c r="BB187" s="86">
        <v>1584964.3004656</v>
      </c>
      <c r="BC187" s="138">
        <v>357610.056829577</v>
      </c>
      <c r="BD187" s="138">
        <v>293244.387469409</v>
      </c>
      <c r="BE187" s="138">
        <v>265038.274019242</v>
      </c>
      <c r="BF187" s="138">
        <v>36401.6604142723</v>
      </c>
      <c r="BG187" s="138">
        <v>78366.21508757</v>
      </c>
      <c r="BH187" s="138">
        <v>34419.0654509427</v>
      </c>
      <c r="BI187" s="138">
        <v>0</v>
      </c>
      <c r="BJ187" s="138">
        <v>0</v>
      </c>
      <c r="BK187" s="138">
        <v>0</v>
      </c>
      <c r="BL187" s="138">
        <v>0</v>
      </c>
      <c r="BM187" s="138">
        <v>0</v>
      </c>
      <c r="BN187" s="138">
        <v>0</v>
      </c>
      <c r="BO187" s="86">
        <v>1065079.65927101</v>
      </c>
      <c r="BP187" s="138">
        <v>989627.007720439</v>
      </c>
      <c r="BQ187" s="138">
        <v>982634.306975713</v>
      </c>
      <c r="BR187" s="138">
        <v>1011974.03297555</v>
      </c>
      <c r="BS187" s="138">
        <v>207026.841252216</v>
      </c>
      <c r="BT187" s="138">
        <v>944838.86709625</v>
      </c>
      <c r="BU187" s="138">
        <v>290632.472847676</v>
      </c>
      <c r="BV187" s="138">
        <v>0</v>
      </c>
      <c r="BW187" s="138">
        <v>0</v>
      </c>
      <c r="BX187" s="138">
        <v>0</v>
      </c>
      <c r="BY187" s="138">
        <v>0</v>
      </c>
      <c r="BZ187" s="138">
        <v>0</v>
      </c>
      <c r="CA187" s="138">
        <v>0</v>
      </c>
      <c r="CB187" s="86">
        <v>4426733.52886784</v>
      </c>
      <c r="CC187" s="138">
        <v>0</v>
      </c>
      <c r="CD187" s="138">
        <v>45218.6108514879</v>
      </c>
      <c r="CE187" s="138">
        <v>7797.14088667786</v>
      </c>
      <c r="CF187" s="138">
        <v>167378.972335852</v>
      </c>
      <c r="CG187" s="138">
        <v>44533.169603398</v>
      </c>
      <c r="CH187" s="138">
        <v>11166.6953412728</v>
      </c>
      <c r="CI187" s="138">
        <v>13565.3500514275</v>
      </c>
      <c r="CJ187" s="138">
        <v>15628.2270877551</v>
      </c>
      <c r="CK187" s="138">
        <v>16547.1490126432</v>
      </c>
      <c r="CL187" s="138">
        <v>0</v>
      </c>
      <c r="CM187" s="138">
        <v>0</v>
      </c>
      <c r="CN187" s="138">
        <v>0</v>
      </c>
      <c r="CO187" s="86">
        <v>321835.315170515</v>
      </c>
      <c r="CP187" s="138">
        <v>372169.699021781</v>
      </c>
      <c r="CQ187" s="138">
        <v>240790.5659413</v>
      </c>
      <c r="CR187" s="138">
        <v>227987.88911677</v>
      </c>
      <c r="CS187" s="138">
        <v>162528.221369195</v>
      </c>
      <c r="CT187" s="138">
        <v>86026.4382644201</v>
      </c>
      <c r="CU187" s="138">
        <v>3939.21865247856</v>
      </c>
      <c r="CV187" s="138">
        <v>0</v>
      </c>
      <c r="CW187" s="138">
        <v>0</v>
      </c>
      <c r="CX187" s="138">
        <v>0</v>
      </c>
      <c r="CY187" s="138">
        <v>0</v>
      </c>
      <c r="CZ187" s="138">
        <v>0</v>
      </c>
      <c r="DA187" s="138">
        <v>0</v>
      </c>
      <c r="DB187" s="86">
        <v>1093442.03236594</v>
      </c>
      <c r="DC187" s="138">
        <v>78320.2420613006</v>
      </c>
      <c r="DD187" s="138">
        <v>52728.7486478712</v>
      </c>
      <c r="DE187" s="138">
        <v>43439.8230426516</v>
      </c>
      <c r="DF187" s="138">
        <v>39963.1966299839</v>
      </c>
      <c r="DG187" s="138">
        <v>42637.6672131955</v>
      </c>
      <c r="DH187" s="138">
        <v>29379.2012037735</v>
      </c>
      <c r="DI187" s="138">
        <v>22034.4009028301</v>
      </c>
      <c r="DJ187" s="138">
        <v>14689.6006018867</v>
      </c>
      <c r="DK187" s="138">
        <v>11751.6804815094</v>
      </c>
      <c r="DL187" s="138">
        <v>5875.84024075469</v>
      </c>
      <c r="DM187" s="138">
        <v>1468.96006018867</v>
      </c>
      <c r="DN187" s="138">
        <v>1468.96006018867</v>
      </c>
      <c r="DO187" s="86">
        <v>343758.321146134</v>
      </c>
      <c r="DP187" s="138">
        <v>559807.977706022</v>
      </c>
      <c r="DQ187" s="138">
        <v>458513.059387535</v>
      </c>
      <c r="DR187" s="138">
        <v>446685.944518069</v>
      </c>
      <c r="DS187" s="138">
        <v>344918.118592571</v>
      </c>
      <c r="DT187" s="138">
        <v>299059.661512923</v>
      </c>
      <c r="DU187" s="138">
        <v>251311.447026986</v>
      </c>
      <c r="DV187" s="138">
        <v>134032.771747726</v>
      </c>
      <c r="DW187" s="138">
        <v>83770.4823423288</v>
      </c>
      <c r="DX187" s="138">
        <v>0</v>
      </c>
      <c r="DY187" s="138">
        <v>0</v>
      </c>
      <c r="DZ187" s="138">
        <v>0</v>
      </c>
      <c r="EA187" s="138">
        <v>0</v>
      </c>
      <c r="EB187" s="85">
        <v>2578099.46283416</v>
      </c>
      <c r="EC187" s="87">
        <v>0</v>
      </c>
      <c r="ED187" s="85">
        <v>0</v>
      </c>
      <c r="EE187" s="85">
        <v>0</v>
      </c>
      <c r="EF187" s="85">
        <v>0</v>
      </c>
      <c r="EG187" s="85">
        <v>0</v>
      </c>
      <c r="EH187" s="85">
        <v>0</v>
      </c>
      <c r="EI187" s="85">
        <v>0</v>
      </c>
      <c r="EJ187" s="85">
        <v>0</v>
      </c>
      <c r="EK187" s="85">
        <v>0</v>
      </c>
      <c r="EL187" s="85">
        <v>0</v>
      </c>
      <c r="EM187" s="85">
        <v>0</v>
      </c>
      <c r="EN187" s="85">
        <v>0</v>
      </c>
      <c r="EO187" s="152">
        <v>0</v>
      </c>
      <c r="EP187" s="85">
        <v>97753.5809657026</v>
      </c>
      <c r="EQ187" s="85">
        <v>183031.375407301</v>
      </c>
      <c r="ER187" s="85">
        <v>169037.977361792</v>
      </c>
      <c r="ES187" s="85">
        <v>217987.616814199</v>
      </c>
      <c r="ET187" s="85">
        <v>144656.873189716</v>
      </c>
      <c r="EU187" s="85">
        <v>20714.9458175502</v>
      </c>
      <c r="EV187" s="85">
        <v>5178.73645438756</v>
      </c>
      <c r="EW187" s="85">
        <v>0</v>
      </c>
      <c r="EX187" s="85">
        <v>0</v>
      </c>
      <c r="EY187" s="85">
        <v>0</v>
      </c>
      <c r="EZ187" s="85">
        <v>0</v>
      </c>
      <c r="FA187" s="85">
        <v>0</v>
      </c>
      <c r="FB187" s="85">
        <v>838361.106010649</v>
      </c>
      <c r="FC187" s="87">
        <v>0</v>
      </c>
      <c r="FD187" s="85">
        <v>0</v>
      </c>
      <c r="FE187" s="85">
        <v>0</v>
      </c>
      <c r="FF187" s="85">
        <v>0</v>
      </c>
      <c r="FG187" s="85">
        <v>0</v>
      </c>
      <c r="FH187" s="85">
        <v>0</v>
      </c>
      <c r="FI187" s="85">
        <v>0</v>
      </c>
      <c r="FJ187" s="85">
        <v>0</v>
      </c>
      <c r="FK187" s="85">
        <v>0</v>
      </c>
      <c r="FL187" s="85">
        <v>0</v>
      </c>
      <c r="FM187" s="85">
        <v>0</v>
      </c>
      <c r="FN187" s="85">
        <v>0</v>
      </c>
      <c r="FO187" s="86">
        <v>0</v>
      </c>
      <c r="FP187" s="87">
        <v>767372.985362473</v>
      </c>
      <c r="FQ187" s="85">
        <v>384434.394838718</v>
      </c>
      <c r="FR187" s="85">
        <v>554008.554761618</v>
      </c>
      <c r="FS187" s="85">
        <v>391234.478597786</v>
      </c>
      <c r="FT187" s="85">
        <v>242430.187209656</v>
      </c>
      <c r="FU187" s="85">
        <v>194707.08</v>
      </c>
      <c r="FV187" s="85">
        <v>205419.12</v>
      </c>
      <c r="FW187" s="85">
        <v>200378.16</v>
      </c>
      <c r="FX187" s="85">
        <v>197857.68</v>
      </c>
      <c r="FY187" s="85">
        <v>134845.68</v>
      </c>
      <c r="FZ187" s="85">
        <v>134845.68</v>
      </c>
      <c r="GA187" s="85">
        <v>132325.2</v>
      </c>
      <c r="GB187" s="152">
        <v>3539859.20077025</v>
      </c>
      <c r="GD187" s="153"/>
    </row>
    <row r="188" spans="1:186">
      <c r="A188" s="137" t="s">
        <v>359</v>
      </c>
      <c r="B188" s="151">
        <v>0</v>
      </c>
      <c r="C188" s="138">
        <f t="shared" ref="C188" si="65">P188+AC188+AP188+BC188+BP188+CC188+CP188+DC188+DP188+EC188+EP188+FP188+FC188</f>
        <v>0</v>
      </c>
      <c r="D188" s="138">
        <f t="shared" ref="D188" si="66">Q188+AD188+AQ188+BD188+BQ188+CD188+CQ188+DD188+DQ188+ED188+EQ188+FQ188+FD188</f>
        <v>0</v>
      </c>
      <c r="E188" s="138">
        <f t="shared" ref="E188" si="67">R188+AE188+AR188+BE188+BR188+CE188+CR188+DE188+DR188+EE188+ER188+FR188+FE188</f>
        <v>0</v>
      </c>
      <c r="F188" s="138">
        <f t="shared" ref="F188" si="68">S188+AF188+AS188+BF188+BS188+CF188+CS188+DF188+DS188+EF188+ES188+FS188+FF188</f>
        <v>0</v>
      </c>
      <c r="G188" s="138">
        <f t="shared" ref="G188" si="69">T188+AG188+AT188+BG188+BT188+CG188+CT188+DG188+DT188+EG188+ET188+FT188+FG188</f>
        <v>0</v>
      </c>
      <c r="H188" s="138">
        <f t="shared" ref="H188" si="70">U188+AH188+AU188+BH188+BU188+CH188+CU188+DH188+DU188+EH188+EU188+FU188+FH188</f>
        <v>0</v>
      </c>
      <c r="I188" s="138">
        <f t="shared" ref="I188" si="71">V188+AI188+AV188+BI188+BV188+CI188+CV188+DI188+DV188+EI188+EV188+FV188+FI188</f>
        <v>0</v>
      </c>
      <c r="J188" s="138">
        <f t="shared" ref="J188" si="72">W188+AJ188+AW188+BJ188+BW188+CJ188+CW188+DJ188+DW188+EJ188+EW188+FW188+FJ188</f>
        <v>0</v>
      </c>
      <c r="K188" s="138">
        <f t="shared" ref="K188" si="73">X188+AK188+AX188+BK188+BX188+CK188+CX188+DK188+DX188+EK188+EX188+FX188+FK188</f>
        <v>0</v>
      </c>
      <c r="L188" s="138">
        <f t="shared" ref="L188" si="74">Y188+AL188+AY188+BL188+BY188+CL188+CY188+DL188+DY188+EL188+EY188+FY188+FL188</f>
        <v>0</v>
      </c>
      <c r="M188" s="138">
        <f t="shared" ref="M188" si="75">Z188+AM188+AZ188+BM188+BZ188+CM188+CZ188+DM188+DZ188+EM188+EZ188+FZ188+FM188</f>
        <v>2740597.2</v>
      </c>
      <c r="N188" s="138">
        <f t="shared" ref="N188" si="76">AA188+AN188+BA188+BN188+CA188+CN188+DA188+DN188+EA188+EN188+FA188+GA188+FN188</f>
        <v>576502.581246405</v>
      </c>
      <c r="O188" s="86">
        <f t="shared" ref="O188" si="77">SUM(C188:N188)</f>
        <v>3317099.78124641</v>
      </c>
      <c r="P188" s="138">
        <v>0</v>
      </c>
      <c r="Q188" s="138">
        <v>0</v>
      </c>
      <c r="R188" s="138">
        <v>0</v>
      </c>
      <c r="S188" s="138">
        <v>0</v>
      </c>
      <c r="T188" s="138">
        <v>0</v>
      </c>
      <c r="U188" s="138">
        <v>0</v>
      </c>
      <c r="V188" s="138">
        <v>0</v>
      </c>
      <c r="W188" s="138">
        <v>0</v>
      </c>
      <c r="X188" s="138">
        <v>0</v>
      </c>
      <c r="Y188" s="138">
        <v>0</v>
      </c>
      <c r="Z188" s="138">
        <v>0</v>
      </c>
      <c r="AA188" s="138">
        <v>385889.616694622</v>
      </c>
      <c r="AB188" s="86">
        <v>385889.616694622</v>
      </c>
      <c r="AC188" s="138">
        <v>0</v>
      </c>
      <c r="AD188" s="138">
        <v>0</v>
      </c>
      <c r="AE188" s="138">
        <v>0</v>
      </c>
      <c r="AF188" s="138">
        <v>0</v>
      </c>
      <c r="AG188" s="138">
        <v>0</v>
      </c>
      <c r="AH188" s="138">
        <v>0</v>
      </c>
      <c r="AI188" s="138">
        <v>0</v>
      </c>
      <c r="AJ188" s="138">
        <v>0</v>
      </c>
      <c r="AK188" s="138">
        <v>0</v>
      </c>
      <c r="AL188" s="138">
        <v>0</v>
      </c>
      <c r="AM188" s="138">
        <v>0</v>
      </c>
      <c r="AN188" s="138">
        <v>190612.964551784</v>
      </c>
      <c r="AO188" s="86">
        <v>190612.964551784</v>
      </c>
      <c r="AP188" s="138">
        <v>0</v>
      </c>
      <c r="AQ188" s="138">
        <v>0</v>
      </c>
      <c r="AR188" s="138">
        <v>0</v>
      </c>
      <c r="AS188" s="138">
        <v>0</v>
      </c>
      <c r="AT188" s="138">
        <v>0</v>
      </c>
      <c r="AU188" s="138">
        <v>0</v>
      </c>
      <c r="AV188" s="138">
        <v>0</v>
      </c>
      <c r="AW188" s="138">
        <v>0</v>
      </c>
      <c r="AX188" s="138">
        <v>0</v>
      </c>
      <c r="AY188" s="138">
        <v>0</v>
      </c>
      <c r="AZ188" s="138">
        <v>0</v>
      </c>
      <c r="BA188" s="138">
        <v>0</v>
      </c>
      <c r="BB188" s="86">
        <v>0</v>
      </c>
      <c r="BC188" s="138">
        <v>0</v>
      </c>
      <c r="BD188" s="138">
        <v>0</v>
      </c>
      <c r="BE188" s="138">
        <v>0</v>
      </c>
      <c r="BF188" s="138">
        <v>0</v>
      </c>
      <c r="BG188" s="138">
        <v>0</v>
      </c>
      <c r="BH188" s="138">
        <v>0</v>
      </c>
      <c r="BI188" s="138">
        <v>0</v>
      </c>
      <c r="BJ188" s="138">
        <v>0</v>
      </c>
      <c r="BK188" s="138">
        <v>0</v>
      </c>
      <c r="BL188" s="138">
        <v>0</v>
      </c>
      <c r="BM188" s="138">
        <v>0</v>
      </c>
      <c r="BN188" s="138">
        <v>0</v>
      </c>
      <c r="BO188" s="86">
        <v>0</v>
      </c>
      <c r="BP188" s="138">
        <v>0</v>
      </c>
      <c r="BQ188" s="138">
        <v>0</v>
      </c>
      <c r="BR188" s="138">
        <v>0</v>
      </c>
      <c r="BS188" s="138">
        <v>0</v>
      </c>
      <c r="BT188" s="138">
        <v>0</v>
      </c>
      <c r="BU188" s="138">
        <v>0</v>
      </c>
      <c r="BV188" s="138">
        <v>0</v>
      </c>
      <c r="BW188" s="138">
        <v>0</v>
      </c>
      <c r="BX188" s="138">
        <v>0</v>
      </c>
      <c r="BY188" s="138">
        <v>0</v>
      </c>
      <c r="BZ188" s="138">
        <v>0</v>
      </c>
      <c r="CA188" s="138">
        <v>0</v>
      </c>
      <c r="CB188" s="86">
        <v>0</v>
      </c>
      <c r="CC188" s="138">
        <v>0</v>
      </c>
      <c r="CD188" s="138">
        <v>0</v>
      </c>
      <c r="CE188" s="138">
        <v>0</v>
      </c>
      <c r="CF188" s="138">
        <v>0</v>
      </c>
      <c r="CG188" s="138">
        <v>0</v>
      </c>
      <c r="CH188" s="138">
        <v>0</v>
      </c>
      <c r="CI188" s="138">
        <v>0</v>
      </c>
      <c r="CJ188" s="138">
        <v>0</v>
      </c>
      <c r="CK188" s="138">
        <v>0</v>
      </c>
      <c r="CL188" s="138">
        <v>0</v>
      </c>
      <c r="CM188" s="138">
        <v>0</v>
      </c>
      <c r="CN188" s="138">
        <v>0</v>
      </c>
      <c r="CO188" s="86">
        <v>0</v>
      </c>
      <c r="CP188" s="138">
        <v>0</v>
      </c>
      <c r="CQ188" s="138">
        <v>0</v>
      </c>
      <c r="CR188" s="138">
        <v>0</v>
      </c>
      <c r="CS188" s="138">
        <v>0</v>
      </c>
      <c r="CT188" s="138">
        <v>0</v>
      </c>
      <c r="CU188" s="138">
        <v>0</v>
      </c>
      <c r="CV188" s="138">
        <v>0</v>
      </c>
      <c r="CW188" s="138">
        <v>0</v>
      </c>
      <c r="CX188" s="138">
        <v>0</v>
      </c>
      <c r="CY188" s="138">
        <v>0</v>
      </c>
      <c r="CZ188" s="138">
        <v>0</v>
      </c>
      <c r="DA188" s="138">
        <v>0</v>
      </c>
      <c r="DB188" s="86">
        <v>0</v>
      </c>
      <c r="DC188" s="138">
        <v>0</v>
      </c>
      <c r="DD188" s="138">
        <v>0</v>
      </c>
      <c r="DE188" s="138">
        <v>0</v>
      </c>
      <c r="DF188" s="138">
        <v>0</v>
      </c>
      <c r="DG188" s="138">
        <v>0</v>
      </c>
      <c r="DH188" s="138">
        <v>0</v>
      </c>
      <c r="DI188" s="138">
        <v>0</v>
      </c>
      <c r="DJ188" s="138">
        <v>0</v>
      </c>
      <c r="DK188" s="138">
        <v>0</v>
      </c>
      <c r="DL188" s="138">
        <v>0</v>
      </c>
      <c r="DM188" s="138">
        <v>0</v>
      </c>
      <c r="DN188" s="138">
        <v>0</v>
      </c>
      <c r="DO188" s="86">
        <v>0</v>
      </c>
      <c r="DP188" s="138">
        <v>0</v>
      </c>
      <c r="DQ188" s="138">
        <v>0</v>
      </c>
      <c r="DR188" s="138">
        <v>0</v>
      </c>
      <c r="DS188" s="138">
        <v>0</v>
      </c>
      <c r="DT188" s="138">
        <v>0</v>
      </c>
      <c r="DU188" s="138">
        <v>0</v>
      </c>
      <c r="DV188" s="138">
        <v>0</v>
      </c>
      <c r="DW188" s="138">
        <v>0</v>
      </c>
      <c r="DX188" s="138">
        <v>0</v>
      </c>
      <c r="DY188" s="138">
        <v>0</v>
      </c>
      <c r="DZ188" s="138">
        <v>0</v>
      </c>
      <c r="EA188" s="138">
        <v>0</v>
      </c>
      <c r="EB188" s="85">
        <v>0</v>
      </c>
      <c r="EC188" s="87">
        <v>0</v>
      </c>
      <c r="ED188" s="85">
        <v>0</v>
      </c>
      <c r="EE188" s="85">
        <v>0</v>
      </c>
      <c r="EF188" s="85">
        <v>0</v>
      </c>
      <c r="EG188" s="85">
        <v>0</v>
      </c>
      <c r="EH188" s="85">
        <v>0</v>
      </c>
      <c r="EI188" s="85">
        <v>0</v>
      </c>
      <c r="EJ188" s="85">
        <v>0</v>
      </c>
      <c r="EK188" s="85">
        <v>0</v>
      </c>
      <c r="EL188" s="85">
        <v>0</v>
      </c>
      <c r="EM188" s="85">
        <v>0</v>
      </c>
      <c r="EN188" s="85">
        <v>0</v>
      </c>
      <c r="EO188" s="152">
        <v>0</v>
      </c>
      <c r="EP188" s="85">
        <v>0</v>
      </c>
      <c r="EQ188" s="85">
        <v>0</v>
      </c>
      <c r="ER188" s="85">
        <v>0</v>
      </c>
      <c r="ES188" s="85">
        <v>0</v>
      </c>
      <c r="ET188" s="85">
        <v>0</v>
      </c>
      <c r="EU188" s="85">
        <v>0</v>
      </c>
      <c r="EV188" s="85">
        <v>0</v>
      </c>
      <c r="EW188" s="85">
        <v>0</v>
      </c>
      <c r="EX188" s="85">
        <v>0</v>
      </c>
      <c r="EY188" s="85">
        <v>0</v>
      </c>
      <c r="EZ188" s="85">
        <v>0</v>
      </c>
      <c r="FA188" s="85">
        <v>0</v>
      </c>
      <c r="FB188" s="85">
        <v>0</v>
      </c>
      <c r="FC188" s="87">
        <v>0</v>
      </c>
      <c r="FD188" s="85">
        <v>0</v>
      </c>
      <c r="FE188" s="85">
        <v>0</v>
      </c>
      <c r="FF188" s="85">
        <v>0</v>
      </c>
      <c r="FG188" s="85">
        <v>0</v>
      </c>
      <c r="FH188" s="85">
        <v>0</v>
      </c>
      <c r="FI188" s="85">
        <v>0</v>
      </c>
      <c r="FJ188" s="85">
        <v>0</v>
      </c>
      <c r="FK188" s="85">
        <v>0</v>
      </c>
      <c r="FL188" s="85">
        <v>0</v>
      </c>
      <c r="FM188" s="85">
        <v>0</v>
      </c>
      <c r="FN188" s="85">
        <v>0</v>
      </c>
      <c r="FO188" s="86">
        <v>0</v>
      </c>
      <c r="FP188" s="87">
        <v>0</v>
      </c>
      <c r="FQ188" s="85">
        <v>0</v>
      </c>
      <c r="FR188" s="85">
        <v>0</v>
      </c>
      <c r="FS188" s="85">
        <v>0</v>
      </c>
      <c r="FT188" s="85">
        <v>0</v>
      </c>
      <c r="FU188" s="85">
        <v>0</v>
      </c>
      <c r="FV188" s="85">
        <v>0</v>
      </c>
      <c r="FW188" s="85">
        <v>0</v>
      </c>
      <c r="FX188" s="85">
        <v>0</v>
      </c>
      <c r="FY188" s="85">
        <v>0</v>
      </c>
      <c r="FZ188" s="85">
        <v>2740597.2</v>
      </c>
      <c r="GA188" s="85">
        <v>0</v>
      </c>
      <c r="GB188" s="152">
        <v>2740597.2</v>
      </c>
      <c r="GD188" s="153"/>
    </row>
    <row r="189" spans="1:186">
      <c r="A189" s="137" t="s">
        <v>360</v>
      </c>
      <c r="B189" s="151">
        <v>0</v>
      </c>
      <c r="C189" s="138">
        <f t="shared" ref="C189" si="78">P189+AC189+AP189+BC189+BP189+CC189+CP189+DC189+DP189+EC189+EP189+FP189+FC189</f>
        <v>0</v>
      </c>
      <c r="D189" s="138">
        <f t="shared" ref="D189" si="79">Q189+AD189+AQ189+BD189+BQ189+CD189+CQ189+DD189+DQ189+ED189+EQ189+FQ189+FD189</f>
        <v>0</v>
      </c>
      <c r="E189" s="138">
        <f t="shared" ref="E189" si="80">R189+AE189+AR189+BE189+BR189+CE189+CR189+DE189+DR189+EE189+ER189+FR189+FE189</f>
        <v>0</v>
      </c>
      <c r="F189" s="138">
        <f t="shared" ref="F189" si="81">S189+AF189+AS189+BF189+BS189+CF189+CS189+DF189+DS189+EF189+ES189+FS189+FF189</f>
        <v>0</v>
      </c>
      <c r="G189" s="138">
        <f t="shared" ref="G189" si="82">T189+AG189+AT189+BG189+BT189+CG189+CT189+DG189+DT189+EG189+ET189+FT189+FG189</f>
        <v>0</v>
      </c>
      <c r="H189" s="138">
        <f t="shared" ref="H189" si="83">U189+AH189+AU189+BH189+BU189+CH189+CU189+DH189+DU189+EH189+EU189+FU189+FH189</f>
        <v>0</v>
      </c>
      <c r="I189" s="138">
        <f t="shared" ref="I189" si="84">V189+AI189+AV189+BI189+BV189+CI189+CV189+DI189+DV189+EI189+EV189+FV189+FI189</f>
        <v>0</v>
      </c>
      <c r="J189" s="138">
        <f t="shared" ref="J189" si="85">W189+AJ189+AW189+BJ189+BW189+CJ189+CW189+DJ189+DW189+EJ189+EW189+FW189+FJ189</f>
        <v>0</v>
      </c>
      <c r="K189" s="138">
        <f t="shared" ref="K189" si="86">X189+AK189+AX189+BK189+BX189+CK189+CX189+DK189+DX189+EK189+EX189+FX189+FK189</f>
        <v>0</v>
      </c>
      <c r="L189" s="138">
        <f t="shared" ref="L189" si="87">Y189+AL189+AY189+BL189+BY189+CL189+CY189+DL189+DY189+EL189+EY189+FY189+FL189</f>
        <v>0</v>
      </c>
      <c r="M189" s="138">
        <f t="shared" ref="M189" si="88">Z189+AM189+AZ189+BM189+BZ189+CM189+CZ189+DM189+DZ189+EM189+EZ189+FZ189+FM189</f>
        <v>0</v>
      </c>
      <c r="N189" s="138">
        <f t="shared" ref="N189" si="89">AA189+AN189+BA189+BN189+CA189+CN189+DA189+DN189+EA189+EN189+FA189+GA189+FN189</f>
        <v>0</v>
      </c>
      <c r="O189" s="86">
        <f t="shared" ref="O189" si="90">SUM(C189:N189)</f>
        <v>0</v>
      </c>
      <c r="P189" s="138">
        <v>0</v>
      </c>
      <c r="Q189" s="138">
        <v>0</v>
      </c>
      <c r="R189" s="138">
        <v>0</v>
      </c>
      <c r="S189" s="138">
        <v>0</v>
      </c>
      <c r="T189" s="138">
        <v>0</v>
      </c>
      <c r="U189" s="138">
        <v>0</v>
      </c>
      <c r="V189" s="138">
        <v>0</v>
      </c>
      <c r="W189" s="138">
        <v>0</v>
      </c>
      <c r="X189" s="138">
        <v>0</v>
      </c>
      <c r="Y189" s="138">
        <v>0</v>
      </c>
      <c r="Z189" s="138">
        <v>0</v>
      </c>
      <c r="AA189" s="138">
        <v>0</v>
      </c>
      <c r="AB189" s="86">
        <v>0</v>
      </c>
      <c r="AC189" s="138">
        <v>0</v>
      </c>
      <c r="AD189" s="138">
        <v>0</v>
      </c>
      <c r="AE189" s="138">
        <v>0</v>
      </c>
      <c r="AF189" s="138">
        <v>0</v>
      </c>
      <c r="AG189" s="138">
        <v>0</v>
      </c>
      <c r="AH189" s="138">
        <v>0</v>
      </c>
      <c r="AI189" s="138">
        <v>0</v>
      </c>
      <c r="AJ189" s="138">
        <v>0</v>
      </c>
      <c r="AK189" s="138">
        <v>0</v>
      </c>
      <c r="AL189" s="138">
        <v>0</v>
      </c>
      <c r="AM189" s="138">
        <v>0</v>
      </c>
      <c r="AN189" s="138">
        <v>0</v>
      </c>
      <c r="AO189" s="86">
        <v>0</v>
      </c>
      <c r="AP189" s="138">
        <v>0</v>
      </c>
      <c r="AQ189" s="138">
        <v>0</v>
      </c>
      <c r="AR189" s="138">
        <v>0</v>
      </c>
      <c r="AS189" s="138">
        <v>0</v>
      </c>
      <c r="AT189" s="138">
        <v>0</v>
      </c>
      <c r="AU189" s="138">
        <v>0</v>
      </c>
      <c r="AV189" s="138">
        <v>0</v>
      </c>
      <c r="AW189" s="138">
        <v>0</v>
      </c>
      <c r="AX189" s="138">
        <v>0</v>
      </c>
      <c r="AY189" s="138">
        <v>0</v>
      </c>
      <c r="AZ189" s="138">
        <v>0</v>
      </c>
      <c r="BA189" s="138">
        <v>0</v>
      </c>
      <c r="BB189" s="86">
        <v>0</v>
      </c>
      <c r="BC189" s="138">
        <v>0</v>
      </c>
      <c r="BD189" s="138">
        <v>0</v>
      </c>
      <c r="BE189" s="138">
        <v>0</v>
      </c>
      <c r="BF189" s="138">
        <v>0</v>
      </c>
      <c r="BG189" s="138">
        <v>0</v>
      </c>
      <c r="BH189" s="138">
        <v>0</v>
      </c>
      <c r="BI189" s="138">
        <v>0</v>
      </c>
      <c r="BJ189" s="138">
        <v>0</v>
      </c>
      <c r="BK189" s="138">
        <v>0</v>
      </c>
      <c r="BL189" s="138">
        <v>0</v>
      </c>
      <c r="BM189" s="138">
        <v>0</v>
      </c>
      <c r="BN189" s="138">
        <v>0</v>
      </c>
      <c r="BO189" s="86">
        <v>0</v>
      </c>
      <c r="BP189" s="138">
        <v>0</v>
      </c>
      <c r="BQ189" s="138">
        <v>0</v>
      </c>
      <c r="BR189" s="138">
        <v>0</v>
      </c>
      <c r="BS189" s="138">
        <v>0</v>
      </c>
      <c r="BT189" s="138">
        <v>0</v>
      </c>
      <c r="BU189" s="138">
        <v>0</v>
      </c>
      <c r="BV189" s="138">
        <v>0</v>
      </c>
      <c r="BW189" s="138">
        <v>0</v>
      </c>
      <c r="BX189" s="138">
        <v>0</v>
      </c>
      <c r="BY189" s="138">
        <v>0</v>
      </c>
      <c r="BZ189" s="138">
        <v>0</v>
      </c>
      <c r="CA189" s="138">
        <v>0</v>
      </c>
      <c r="CB189" s="86">
        <v>0</v>
      </c>
      <c r="CC189" s="138">
        <v>0</v>
      </c>
      <c r="CD189" s="138">
        <v>0</v>
      </c>
      <c r="CE189" s="138">
        <v>0</v>
      </c>
      <c r="CF189" s="138">
        <v>0</v>
      </c>
      <c r="CG189" s="138">
        <v>0</v>
      </c>
      <c r="CH189" s="138">
        <v>0</v>
      </c>
      <c r="CI189" s="138">
        <v>0</v>
      </c>
      <c r="CJ189" s="138">
        <v>0</v>
      </c>
      <c r="CK189" s="138">
        <v>0</v>
      </c>
      <c r="CL189" s="138">
        <v>0</v>
      </c>
      <c r="CM189" s="138">
        <v>0</v>
      </c>
      <c r="CN189" s="138">
        <v>0</v>
      </c>
      <c r="CO189" s="86">
        <v>0</v>
      </c>
      <c r="CP189" s="138">
        <v>0</v>
      </c>
      <c r="CQ189" s="138">
        <v>0</v>
      </c>
      <c r="CR189" s="138">
        <v>0</v>
      </c>
      <c r="CS189" s="138">
        <v>0</v>
      </c>
      <c r="CT189" s="138">
        <v>0</v>
      </c>
      <c r="CU189" s="138">
        <v>0</v>
      </c>
      <c r="CV189" s="138">
        <v>0</v>
      </c>
      <c r="CW189" s="138">
        <v>0</v>
      </c>
      <c r="CX189" s="138">
        <v>0</v>
      </c>
      <c r="CY189" s="138">
        <v>0</v>
      </c>
      <c r="CZ189" s="138">
        <v>0</v>
      </c>
      <c r="DA189" s="138">
        <v>0</v>
      </c>
      <c r="DB189" s="86">
        <v>0</v>
      </c>
      <c r="DC189" s="138">
        <v>0</v>
      </c>
      <c r="DD189" s="138">
        <v>0</v>
      </c>
      <c r="DE189" s="138">
        <v>0</v>
      </c>
      <c r="DF189" s="138">
        <v>0</v>
      </c>
      <c r="DG189" s="138">
        <v>0</v>
      </c>
      <c r="DH189" s="138">
        <v>0</v>
      </c>
      <c r="DI189" s="138">
        <v>0</v>
      </c>
      <c r="DJ189" s="138">
        <v>0</v>
      </c>
      <c r="DK189" s="138">
        <v>0</v>
      </c>
      <c r="DL189" s="138">
        <v>0</v>
      </c>
      <c r="DM189" s="138">
        <v>0</v>
      </c>
      <c r="DN189" s="138">
        <v>0</v>
      </c>
      <c r="DO189" s="86">
        <v>0</v>
      </c>
      <c r="DP189" s="138">
        <v>0</v>
      </c>
      <c r="DQ189" s="138">
        <v>0</v>
      </c>
      <c r="DR189" s="138">
        <v>0</v>
      </c>
      <c r="DS189" s="138">
        <v>0</v>
      </c>
      <c r="DT189" s="138">
        <v>0</v>
      </c>
      <c r="DU189" s="138">
        <v>0</v>
      </c>
      <c r="DV189" s="138">
        <v>0</v>
      </c>
      <c r="DW189" s="138">
        <v>0</v>
      </c>
      <c r="DX189" s="138">
        <v>0</v>
      </c>
      <c r="DY189" s="138">
        <v>0</v>
      </c>
      <c r="DZ189" s="138">
        <v>0</v>
      </c>
      <c r="EA189" s="138">
        <v>0</v>
      </c>
      <c r="EB189" s="85">
        <v>0</v>
      </c>
      <c r="EC189" s="87">
        <v>0</v>
      </c>
      <c r="ED189" s="85">
        <v>0</v>
      </c>
      <c r="EE189" s="85">
        <v>0</v>
      </c>
      <c r="EF189" s="85">
        <v>0</v>
      </c>
      <c r="EG189" s="85">
        <v>0</v>
      </c>
      <c r="EH189" s="85">
        <v>0</v>
      </c>
      <c r="EI189" s="85">
        <v>0</v>
      </c>
      <c r="EJ189" s="85">
        <v>0</v>
      </c>
      <c r="EK189" s="85">
        <v>0</v>
      </c>
      <c r="EL189" s="85">
        <v>0</v>
      </c>
      <c r="EM189" s="85">
        <v>0</v>
      </c>
      <c r="EN189" s="85">
        <v>0</v>
      </c>
      <c r="EO189" s="152">
        <v>0</v>
      </c>
      <c r="EP189" s="85">
        <v>0</v>
      </c>
      <c r="EQ189" s="85">
        <v>0</v>
      </c>
      <c r="ER189" s="85">
        <v>0</v>
      </c>
      <c r="ES189" s="85">
        <v>0</v>
      </c>
      <c r="ET189" s="85">
        <v>0</v>
      </c>
      <c r="EU189" s="85">
        <v>0</v>
      </c>
      <c r="EV189" s="85">
        <v>0</v>
      </c>
      <c r="EW189" s="85">
        <v>0</v>
      </c>
      <c r="EX189" s="85">
        <v>0</v>
      </c>
      <c r="EY189" s="85">
        <v>0</v>
      </c>
      <c r="EZ189" s="85">
        <v>0</v>
      </c>
      <c r="FA189" s="85">
        <v>0</v>
      </c>
      <c r="FB189" s="85">
        <v>0</v>
      </c>
      <c r="FC189" s="87">
        <v>0</v>
      </c>
      <c r="FD189" s="85">
        <v>0</v>
      </c>
      <c r="FE189" s="85">
        <v>0</v>
      </c>
      <c r="FF189" s="85">
        <v>0</v>
      </c>
      <c r="FG189" s="85">
        <v>0</v>
      </c>
      <c r="FH189" s="85">
        <v>0</v>
      </c>
      <c r="FI189" s="85">
        <v>0</v>
      </c>
      <c r="FJ189" s="85">
        <v>0</v>
      </c>
      <c r="FK189" s="85">
        <v>0</v>
      </c>
      <c r="FL189" s="85">
        <v>0</v>
      </c>
      <c r="FM189" s="85">
        <v>0</v>
      </c>
      <c r="FN189" s="85">
        <v>0</v>
      </c>
      <c r="FO189" s="86">
        <v>0</v>
      </c>
      <c r="FP189" s="87">
        <v>0</v>
      </c>
      <c r="FQ189" s="85">
        <v>0</v>
      </c>
      <c r="FR189" s="85">
        <v>0</v>
      </c>
      <c r="FS189" s="85">
        <v>0</v>
      </c>
      <c r="FT189" s="85">
        <v>0</v>
      </c>
      <c r="FU189" s="85">
        <v>0</v>
      </c>
      <c r="FV189" s="85">
        <v>0</v>
      </c>
      <c r="FW189" s="85">
        <v>0</v>
      </c>
      <c r="FX189" s="85">
        <v>0</v>
      </c>
      <c r="FY189" s="85">
        <v>0</v>
      </c>
      <c r="FZ189" s="85">
        <v>0</v>
      </c>
      <c r="GA189" s="85">
        <v>0</v>
      </c>
      <c r="GB189" s="152">
        <v>0</v>
      </c>
      <c r="GD189" s="153"/>
    </row>
    <row r="190" spans="1:186">
      <c r="A190" s="137" t="s">
        <v>361</v>
      </c>
      <c r="B190" s="151">
        <v>0</v>
      </c>
      <c r="C190" s="138">
        <f t="shared" ref="C190:C191" si="91">P190+AC190+AP190+BC190+BP190+CC190+CP190+DC190+DP190+EC190+EP190+FP190+FC190</f>
        <v>0</v>
      </c>
      <c r="D190" s="138">
        <f t="shared" ref="D190:D191" si="92">Q190+AD190+AQ190+BD190+BQ190+CD190+CQ190+DD190+DQ190+ED190+EQ190+FQ190+FD190</f>
        <v>0</v>
      </c>
      <c r="E190" s="138">
        <f t="shared" ref="E190:E191" si="93">R190+AE190+AR190+BE190+BR190+CE190+CR190+DE190+DR190+EE190+ER190+FR190+FE190</f>
        <v>0</v>
      </c>
      <c r="F190" s="138">
        <f t="shared" ref="F190:F191" si="94">S190+AF190+AS190+BF190+BS190+CF190+CS190+DF190+DS190+EF190+ES190+FS190+FF190</f>
        <v>0</v>
      </c>
      <c r="G190" s="138">
        <f t="shared" ref="G190:G191" si="95">T190+AG190+AT190+BG190+BT190+CG190+CT190+DG190+DT190+EG190+ET190+FT190+FG190</f>
        <v>0</v>
      </c>
      <c r="H190" s="138">
        <f t="shared" ref="H190:H191" si="96">U190+AH190+AU190+BH190+BU190+CH190+CU190+DH190+DU190+EH190+EU190+FU190+FH190</f>
        <v>0</v>
      </c>
      <c r="I190" s="138">
        <f t="shared" ref="I190:I191" si="97">V190+AI190+AV190+BI190+BV190+CI190+CV190+DI190+DV190+EI190+EV190+FV190+FI190</f>
        <v>0</v>
      </c>
      <c r="J190" s="138">
        <f t="shared" ref="J190:J191" si="98">W190+AJ190+AW190+BJ190+BW190+CJ190+CW190+DJ190+DW190+EJ190+EW190+FW190+FJ190</f>
        <v>0</v>
      </c>
      <c r="K190" s="138">
        <f t="shared" ref="K190:K191" si="99">X190+AK190+AX190+BK190+BX190+CK190+CX190+DK190+DX190+EK190+EX190+FX190+FK190</f>
        <v>0</v>
      </c>
      <c r="L190" s="138">
        <f t="shared" ref="L190:L191" si="100">Y190+AL190+AY190+BL190+BY190+CL190+CY190+DL190+DY190+EL190+EY190+FY190+FL190</f>
        <v>0</v>
      </c>
      <c r="M190" s="138">
        <f t="shared" ref="M190:M191" si="101">Z190+AM190+AZ190+BM190+BZ190+CM190+CZ190+DM190+DZ190+EM190+EZ190+FZ190+FM190</f>
        <v>0</v>
      </c>
      <c r="N190" s="138">
        <f t="shared" ref="N190:N191" si="102">AA190+AN190+BA190+BN190+CA190+CN190+DA190+DN190+EA190+EN190+FA190+GA190+FN190</f>
        <v>0</v>
      </c>
      <c r="O190" s="86">
        <f t="shared" ref="O190:O191" si="103">SUM(C190:N190)</f>
        <v>0</v>
      </c>
      <c r="P190" s="138">
        <v>0</v>
      </c>
      <c r="Q190" s="138">
        <v>0</v>
      </c>
      <c r="R190" s="138">
        <v>0</v>
      </c>
      <c r="S190" s="138">
        <v>0</v>
      </c>
      <c r="T190" s="138">
        <v>0</v>
      </c>
      <c r="U190" s="138">
        <v>0</v>
      </c>
      <c r="V190" s="138">
        <v>0</v>
      </c>
      <c r="W190" s="138">
        <v>0</v>
      </c>
      <c r="X190" s="138">
        <v>0</v>
      </c>
      <c r="Y190" s="138">
        <v>0</v>
      </c>
      <c r="Z190" s="138">
        <v>0</v>
      </c>
      <c r="AA190" s="138">
        <v>0</v>
      </c>
      <c r="AB190" s="86">
        <v>0</v>
      </c>
      <c r="AC190" s="138">
        <v>0</v>
      </c>
      <c r="AD190" s="138">
        <v>0</v>
      </c>
      <c r="AE190" s="138">
        <v>0</v>
      </c>
      <c r="AF190" s="138">
        <v>0</v>
      </c>
      <c r="AG190" s="138">
        <v>0</v>
      </c>
      <c r="AH190" s="138">
        <v>0</v>
      </c>
      <c r="AI190" s="138">
        <v>0</v>
      </c>
      <c r="AJ190" s="138">
        <v>0</v>
      </c>
      <c r="AK190" s="138">
        <v>0</v>
      </c>
      <c r="AL190" s="138">
        <v>0</v>
      </c>
      <c r="AM190" s="138">
        <v>0</v>
      </c>
      <c r="AN190" s="138">
        <v>0</v>
      </c>
      <c r="AO190" s="86">
        <v>0</v>
      </c>
      <c r="AP190" s="138">
        <v>0</v>
      </c>
      <c r="AQ190" s="138">
        <v>0</v>
      </c>
      <c r="AR190" s="138">
        <v>0</v>
      </c>
      <c r="AS190" s="138">
        <v>0</v>
      </c>
      <c r="AT190" s="138">
        <v>0</v>
      </c>
      <c r="AU190" s="138">
        <v>0</v>
      </c>
      <c r="AV190" s="138">
        <v>0</v>
      </c>
      <c r="AW190" s="138">
        <v>0</v>
      </c>
      <c r="AX190" s="138">
        <v>0</v>
      </c>
      <c r="AY190" s="138">
        <v>0</v>
      </c>
      <c r="AZ190" s="138">
        <v>0</v>
      </c>
      <c r="BA190" s="138">
        <v>0</v>
      </c>
      <c r="BB190" s="86">
        <v>0</v>
      </c>
      <c r="BC190" s="138">
        <v>0</v>
      </c>
      <c r="BD190" s="138">
        <v>0</v>
      </c>
      <c r="BE190" s="138">
        <v>0</v>
      </c>
      <c r="BF190" s="138">
        <v>0</v>
      </c>
      <c r="BG190" s="138">
        <v>0</v>
      </c>
      <c r="BH190" s="138">
        <v>0</v>
      </c>
      <c r="BI190" s="138">
        <v>0</v>
      </c>
      <c r="BJ190" s="138">
        <v>0</v>
      </c>
      <c r="BK190" s="138">
        <v>0</v>
      </c>
      <c r="BL190" s="138">
        <v>0</v>
      </c>
      <c r="BM190" s="138">
        <v>0</v>
      </c>
      <c r="BN190" s="138">
        <v>0</v>
      </c>
      <c r="BO190" s="86">
        <v>0</v>
      </c>
      <c r="BP190" s="138">
        <v>0</v>
      </c>
      <c r="BQ190" s="138">
        <v>0</v>
      </c>
      <c r="BR190" s="138">
        <v>0</v>
      </c>
      <c r="BS190" s="138">
        <v>0</v>
      </c>
      <c r="BT190" s="138">
        <v>0</v>
      </c>
      <c r="BU190" s="138">
        <v>0</v>
      </c>
      <c r="BV190" s="138">
        <v>0</v>
      </c>
      <c r="BW190" s="138">
        <v>0</v>
      </c>
      <c r="BX190" s="138">
        <v>0</v>
      </c>
      <c r="BY190" s="138">
        <v>0</v>
      </c>
      <c r="BZ190" s="138">
        <v>0</v>
      </c>
      <c r="CA190" s="138">
        <v>0</v>
      </c>
      <c r="CB190" s="86">
        <v>0</v>
      </c>
      <c r="CC190" s="138">
        <v>0</v>
      </c>
      <c r="CD190" s="138">
        <v>0</v>
      </c>
      <c r="CE190" s="138">
        <v>0</v>
      </c>
      <c r="CF190" s="138">
        <v>0</v>
      </c>
      <c r="CG190" s="138">
        <v>0</v>
      </c>
      <c r="CH190" s="138">
        <v>0</v>
      </c>
      <c r="CI190" s="138">
        <v>0</v>
      </c>
      <c r="CJ190" s="138">
        <v>0</v>
      </c>
      <c r="CK190" s="138">
        <v>0</v>
      </c>
      <c r="CL190" s="138">
        <v>0</v>
      </c>
      <c r="CM190" s="138">
        <v>0</v>
      </c>
      <c r="CN190" s="138">
        <v>0</v>
      </c>
      <c r="CO190" s="86">
        <v>0</v>
      </c>
      <c r="CP190" s="138">
        <v>0</v>
      </c>
      <c r="CQ190" s="138">
        <v>0</v>
      </c>
      <c r="CR190" s="138">
        <v>0</v>
      </c>
      <c r="CS190" s="138">
        <v>0</v>
      </c>
      <c r="CT190" s="138">
        <v>0</v>
      </c>
      <c r="CU190" s="138">
        <v>0</v>
      </c>
      <c r="CV190" s="138">
        <v>0</v>
      </c>
      <c r="CW190" s="138">
        <v>0</v>
      </c>
      <c r="CX190" s="138">
        <v>0</v>
      </c>
      <c r="CY190" s="138">
        <v>0</v>
      </c>
      <c r="CZ190" s="138">
        <v>0</v>
      </c>
      <c r="DA190" s="138">
        <v>0</v>
      </c>
      <c r="DB190" s="86">
        <v>0</v>
      </c>
      <c r="DC190" s="138">
        <v>0</v>
      </c>
      <c r="DD190" s="138">
        <v>0</v>
      </c>
      <c r="DE190" s="138">
        <v>0</v>
      </c>
      <c r="DF190" s="138">
        <v>0</v>
      </c>
      <c r="DG190" s="138">
        <v>0</v>
      </c>
      <c r="DH190" s="138">
        <v>0</v>
      </c>
      <c r="DI190" s="138">
        <v>0</v>
      </c>
      <c r="DJ190" s="138">
        <v>0</v>
      </c>
      <c r="DK190" s="138">
        <v>0</v>
      </c>
      <c r="DL190" s="138">
        <v>0</v>
      </c>
      <c r="DM190" s="138">
        <v>0</v>
      </c>
      <c r="DN190" s="138">
        <v>0</v>
      </c>
      <c r="DO190" s="86">
        <v>0</v>
      </c>
      <c r="DP190" s="138">
        <v>0</v>
      </c>
      <c r="DQ190" s="138">
        <v>0</v>
      </c>
      <c r="DR190" s="138">
        <v>0</v>
      </c>
      <c r="DS190" s="138">
        <v>0</v>
      </c>
      <c r="DT190" s="138">
        <v>0</v>
      </c>
      <c r="DU190" s="138">
        <v>0</v>
      </c>
      <c r="DV190" s="138">
        <v>0</v>
      </c>
      <c r="DW190" s="138">
        <v>0</v>
      </c>
      <c r="DX190" s="138">
        <v>0</v>
      </c>
      <c r="DY190" s="138">
        <v>0</v>
      </c>
      <c r="DZ190" s="138">
        <v>0</v>
      </c>
      <c r="EA190" s="138">
        <v>0</v>
      </c>
      <c r="EB190" s="85">
        <v>0</v>
      </c>
      <c r="EC190" s="87">
        <v>0</v>
      </c>
      <c r="ED190" s="85">
        <v>0</v>
      </c>
      <c r="EE190" s="85">
        <v>0</v>
      </c>
      <c r="EF190" s="85">
        <v>0</v>
      </c>
      <c r="EG190" s="85">
        <v>0</v>
      </c>
      <c r="EH190" s="85">
        <v>0</v>
      </c>
      <c r="EI190" s="85">
        <v>0</v>
      </c>
      <c r="EJ190" s="85">
        <v>0</v>
      </c>
      <c r="EK190" s="85">
        <v>0</v>
      </c>
      <c r="EL190" s="85">
        <v>0</v>
      </c>
      <c r="EM190" s="85">
        <v>0</v>
      </c>
      <c r="EN190" s="85">
        <v>0</v>
      </c>
      <c r="EO190" s="152">
        <v>0</v>
      </c>
      <c r="EP190" s="85">
        <v>0</v>
      </c>
      <c r="EQ190" s="85">
        <v>0</v>
      </c>
      <c r="ER190" s="85">
        <v>0</v>
      </c>
      <c r="ES190" s="85">
        <v>0</v>
      </c>
      <c r="ET190" s="85">
        <v>0</v>
      </c>
      <c r="EU190" s="85">
        <v>0</v>
      </c>
      <c r="EV190" s="85">
        <v>0</v>
      </c>
      <c r="EW190" s="85">
        <v>0</v>
      </c>
      <c r="EX190" s="85">
        <v>0</v>
      </c>
      <c r="EY190" s="85">
        <v>0</v>
      </c>
      <c r="EZ190" s="85">
        <v>0</v>
      </c>
      <c r="FA190" s="85">
        <v>0</v>
      </c>
      <c r="FB190" s="85">
        <v>0</v>
      </c>
      <c r="FC190" s="87">
        <v>0</v>
      </c>
      <c r="FD190" s="85">
        <v>0</v>
      </c>
      <c r="FE190" s="85">
        <v>0</v>
      </c>
      <c r="FF190" s="85">
        <v>0</v>
      </c>
      <c r="FG190" s="85">
        <v>0</v>
      </c>
      <c r="FH190" s="85">
        <v>0</v>
      </c>
      <c r="FI190" s="85">
        <v>0</v>
      </c>
      <c r="FJ190" s="85">
        <v>0</v>
      </c>
      <c r="FK190" s="85">
        <v>0</v>
      </c>
      <c r="FL190" s="85">
        <v>0</v>
      </c>
      <c r="FM190" s="85">
        <v>0</v>
      </c>
      <c r="FN190" s="85">
        <v>0</v>
      </c>
      <c r="FO190" s="86">
        <v>0</v>
      </c>
      <c r="FP190" s="87">
        <v>0</v>
      </c>
      <c r="FQ190" s="85">
        <v>0</v>
      </c>
      <c r="FR190" s="85">
        <v>0</v>
      </c>
      <c r="FS190" s="85">
        <v>0</v>
      </c>
      <c r="FT190" s="85">
        <v>0</v>
      </c>
      <c r="FU190" s="85">
        <v>0</v>
      </c>
      <c r="FV190" s="85">
        <v>0</v>
      </c>
      <c r="FW190" s="85">
        <v>0</v>
      </c>
      <c r="FX190" s="85">
        <v>0</v>
      </c>
      <c r="FY190" s="85">
        <v>0</v>
      </c>
      <c r="FZ190" s="85">
        <v>0</v>
      </c>
      <c r="GA190" s="85">
        <v>0</v>
      </c>
      <c r="GB190" s="152">
        <v>0</v>
      </c>
      <c r="GD190" s="153"/>
    </row>
    <row r="191" spans="1:186">
      <c r="A191" s="137" t="s">
        <v>362</v>
      </c>
      <c r="B191" s="151">
        <v>0</v>
      </c>
      <c r="C191" s="138">
        <f t="shared" si="91"/>
        <v>0</v>
      </c>
      <c r="D191" s="138">
        <f t="shared" si="92"/>
        <v>0</v>
      </c>
      <c r="E191" s="138">
        <f t="shared" si="93"/>
        <v>0</v>
      </c>
      <c r="F191" s="138">
        <f t="shared" si="94"/>
        <v>0</v>
      </c>
      <c r="G191" s="138">
        <f t="shared" si="95"/>
        <v>0</v>
      </c>
      <c r="H191" s="138">
        <f t="shared" si="96"/>
        <v>0</v>
      </c>
      <c r="I191" s="138">
        <f t="shared" si="97"/>
        <v>0</v>
      </c>
      <c r="J191" s="138">
        <f t="shared" si="98"/>
        <v>0</v>
      </c>
      <c r="K191" s="138">
        <f t="shared" si="99"/>
        <v>0</v>
      </c>
      <c r="L191" s="138">
        <f t="shared" si="100"/>
        <v>0</v>
      </c>
      <c r="M191" s="138">
        <f t="shared" si="101"/>
        <v>0</v>
      </c>
      <c r="N191" s="138">
        <f t="shared" si="102"/>
        <v>0</v>
      </c>
      <c r="O191" s="86">
        <f t="shared" si="103"/>
        <v>0</v>
      </c>
      <c r="P191" s="138">
        <v>0</v>
      </c>
      <c r="Q191" s="138">
        <v>0</v>
      </c>
      <c r="R191" s="138">
        <v>0</v>
      </c>
      <c r="S191" s="138">
        <v>0</v>
      </c>
      <c r="T191" s="138">
        <v>0</v>
      </c>
      <c r="U191" s="138">
        <v>0</v>
      </c>
      <c r="V191" s="138">
        <v>0</v>
      </c>
      <c r="W191" s="138">
        <v>0</v>
      </c>
      <c r="X191" s="138">
        <v>0</v>
      </c>
      <c r="Y191" s="138">
        <v>0</v>
      </c>
      <c r="Z191" s="138">
        <v>0</v>
      </c>
      <c r="AA191" s="138">
        <v>0</v>
      </c>
      <c r="AB191" s="86">
        <v>0</v>
      </c>
      <c r="AC191" s="138">
        <v>0</v>
      </c>
      <c r="AD191" s="138">
        <v>0</v>
      </c>
      <c r="AE191" s="138">
        <v>0</v>
      </c>
      <c r="AF191" s="138">
        <v>0</v>
      </c>
      <c r="AG191" s="138">
        <v>0</v>
      </c>
      <c r="AH191" s="138">
        <v>0</v>
      </c>
      <c r="AI191" s="138">
        <v>0</v>
      </c>
      <c r="AJ191" s="138">
        <v>0</v>
      </c>
      <c r="AK191" s="138">
        <v>0</v>
      </c>
      <c r="AL191" s="138">
        <v>0</v>
      </c>
      <c r="AM191" s="138">
        <v>0</v>
      </c>
      <c r="AN191" s="138">
        <v>0</v>
      </c>
      <c r="AO191" s="86">
        <v>0</v>
      </c>
      <c r="AP191" s="138">
        <v>0</v>
      </c>
      <c r="AQ191" s="138">
        <v>0</v>
      </c>
      <c r="AR191" s="138">
        <v>0</v>
      </c>
      <c r="AS191" s="138">
        <v>0</v>
      </c>
      <c r="AT191" s="138">
        <v>0</v>
      </c>
      <c r="AU191" s="138">
        <v>0</v>
      </c>
      <c r="AV191" s="138">
        <v>0</v>
      </c>
      <c r="AW191" s="138">
        <v>0</v>
      </c>
      <c r="AX191" s="138">
        <v>0</v>
      </c>
      <c r="AY191" s="138">
        <v>0</v>
      </c>
      <c r="AZ191" s="138">
        <v>0</v>
      </c>
      <c r="BA191" s="138">
        <v>0</v>
      </c>
      <c r="BB191" s="86">
        <v>0</v>
      </c>
      <c r="BC191" s="138">
        <v>0</v>
      </c>
      <c r="BD191" s="138">
        <v>0</v>
      </c>
      <c r="BE191" s="138">
        <v>0</v>
      </c>
      <c r="BF191" s="138">
        <v>0</v>
      </c>
      <c r="BG191" s="138">
        <v>0</v>
      </c>
      <c r="BH191" s="138">
        <v>0</v>
      </c>
      <c r="BI191" s="138">
        <v>0</v>
      </c>
      <c r="BJ191" s="138">
        <v>0</v>
      </c>
      <c r="BK191" s="138">
        <v>0</v>
      </c>
      <c r="BL191" s="138">
        <v>0</v>
      </c>
      <c r="BM191" s="138">
        <v>0</v>
      </c>
      <c r="BN191" s="138">
        <v>0</v>
      </c>
      <c r="BO191" s="86">
        <v>0</v>
      </c>
      <c r="BP191" s="138">
        <v>0</v>
      </c>
      <c r="BQ191" s="138">
        <v>0</v>
      </c>
      <c r="BR191" s="138">
        <v>0</v>
      </c>
      <c r="BS191" s="138">
        <v>0</v>
      </c>
      <c r="BT191" s="138">
        <v>0</v>
      </c>
      <c r="BU191" s="138">
        <v>0</v>
      </c>
      <c r="BV191" s="138">
        <v>0</v>
      </c>
      <c r="BW191" s="138">
        <v>0</v>
      </c>
      <c r="BX191" s="138">
        <v>0</v>
      </c>
      <c r="BY191" s="138">
        <v>0</v>
      </c>
      <c r="BZ191" s="138">
        <v>0</v>
      </c>
      <c r="CA191" s="138">
        <v>0</v>
      </c>
      <c r="CB191" s="86">
        <v>0</v>
      </c>
      <c r="CC191" s="138">
        <v>0</v>
      </c>
      <c r="CD191" s="138">
        <v>0</v>
      </c>
      <c r="CE191" s="138">
        <v>0</v>
      </c>
      <c r="CF191" s="138">
        <v>0</v>
      </c>
      <c r="CG191" s="138">
        <v>0</v>
      </c>
      <c r="CH191" s="138">
        <v>0</v>
      </c>
      <c r="CI191" s="138">
        <v>0</v>
      </c>
      <c r="CJ191" s="138">
        <v>0</v>
      </c>
      <c r="CK191" s="138">
        <v>0</v>
      </c>
      <c r="CL191" s="138">
        <v>0</v>
      </c>
      <c r="CM191" s="138">
        <v>0</v>
      </c>
      <c r="CN191" s="138">
        <v>0</v>
      </c>
      <c r="CO191" s="86">
        <v>0</v>
      </c>
      <c r="CP191" s="138">
        <v>0</v>
      </c>
      <c r="CQ191" s="138">
        <v>0</v>
      </c>
      <c r="CR191" s="138">
        <v>0</v>
      </c>
      <c r="CS191" s="138">
        <v>0</v>
      </c>
      <c r="CT191" s="138">
        <v>0</v>
      </c>
      <c r="CU191" s="138">
        <v>0</v>
      </c>
      <c r="CV191" s="138">
        <v>0</v>
      </c>
      <c r="CW191" s="138">
        <v>0</v>
      </c>
      <c r="CX191" s="138">
        <v>0</v>
      </c>
      <c r="CY191" s="138">
        <v>0</v>
      </c>
      <c r="CZ191" s="138">
        <v>0</v>
      </c>
      <c r="DA191" s="138">
        <v>0</v>
      </c>
      <c r="DB191" s="86">
        <v>0</v>
      </c>
      <c r="DC191" s="138">
        <v>0</v>
      </c>
      <c r="DD191" s="138">
        <v>0</v>
      </c>
      <c r="DE191" s="138">
        <v>0</v>
      </c>
      <c r="DF191" s="138">
        <v>0</v>
      </c>
      <c r="DG191" s="138">
        <v>0</v>
      </c>
      <c r="DH191" s="138">
        <v>0</v>
      </c>
      <c r="DI191" s="138">
        <v>0</v>
      </c>
      <c r="DJ191" s="138">
        <v>0</v>
      </c>
      <c r="DK191" s="138">
        <v>0</v>
      </c>
      <c r="DL191" s="138">
        <v>0</v>
      </c>
      <c r="DM191" s="138">
        <v>0</v>
      </c>
      <c r="DN191" s="138">
        <v>0</v>
      </c>
      <c r="DO191" s="86">
        <v>0</v>
      </c>
      <c r="DP191" s="138">
        <v>0</v>
      </c>
      <c r="DQ191" s="138">
        <v>0</v>
      </c>
      <c r="DR191" s="138">
        <v>0</v>
      </c>
      <c r="DS191" s="138">
        <v>0</v>
      </c>
      <c r="DT191" s="138">
        <v>0</v>
      </c>
      <c r="DU191" s="138">
        <v>0</v>
      </c>
      <c r="DV191" s="138">
        <v>0</v>
      </c>
      <c r="DW191" s="138">
        <v>0</v>
      </c>
      <c r="DX191" s="138">
        <v>0</v>
      </c>
      <c r="DY191" s="138">
        <v>0</v>
      </c>
      <c r="DZ191" s="138">
        <v>0</v>
      </c>
      <c r="EA191" s="138">
        <v>0</v>
      </c>
      <c r="EB191" s="85">
        <v>0</v>
      </c>
      <c r="EC191" s="87">
        <v>0</v>
      </c>
      <c r="ED191" s="85">
        <v>0</v>
      </c>
      <c r="EE191" s="85">
        <v>0</v>
      </c>
      <c r="EF191" s="85">
        <v>0</v>
      </c>
      <c r="EG191" s="85">
        <v>0</v>
      </c>
      <c r="EH191" s="85">
        <v>0</v>
      </c>
      <c r="EI191" s="85">
        <v>0</v>
      </c>
      <c r="EJ191" s="85">
        <v>0</v>
      </c>
      <c r="EK191" s="85">
        <v>0</v>
      </c>
      <c r="EL191" s="85">
        <v>0</v>
      </c>
      <c r="EM191" s="85">
        <v>0</v>
      </c>
      <c r="EN191" s="85">
        <v>0</v>
      </c>
      <c r="EO191" s="152">
        <v>0</v>
      </c>
      <c r="EP191" s="85">
        <v>0</v>
      </c>
      <c r="EQ191" s="85">
        <v>0</v>
      </c>
      <c r="ER191" s="85">
        <v>0</v>
      </c>
      <c r="ES191" s="85">
        <v>0</v>
      </c>
      <c r="ET191" s="85">
        <v>0</v>
      </c>
      <c r="EU191" s="85">
        <v>0</v>
      </c>
      <c r="EV191" s="85">
        <v>0</v>
      </c>
      <c r="EW191" s="85">
        <v>0</v>
      </c>
      <c r="EX191" s="85">
        <v>0</v>
      </c>
      <c r="EY191" s="85">
        <v>0</v>
      </c>
      <c r="EZ191" s="85">
        <v>0</v>
      </c>
      <c r="FA191" s="85">
        <v>0</v>
      </c>
      <c r="FB191" s="85">
        <v>0</v>
      </c>
      <c r="FC191" s="87">
        <v>0</v>
      </c>
      <c r="FD191" s="85">
        <v>0</v>
      </c>
      <c r="FE191" s="85">
        <v>0</v>
      </c>
      <c r="FF191" s="85">
        <v>0</v>
      </c>
      <c r="FG191" s="85">
        <v>0</v>
      </c>
      <c r="FH191" s="85">
        <v>0</v>
      </c>
      <c r="FI191" s="85">
        <v>0</v>
      </c>
      <c r="FJ191" s="85">
        <v>0</v>
      </c>
      <c r="FK191" s="85">
        <v>0</v>
      </c>
      <c r="FL191" s="85">
        <v>0</v>
      </c>
      <c r="FM191" s="85">
        <v>0</v>
      </c>
      <c r="FN191" s="85">
        <v>0</v>
      </c>
      <c r="FO191" s="86">
        <v>0</v>
      </c>
      <c r="FP191" s="87">
        <v>0</v>
      </c>
      <c r="FQ191" s="85">
        <v>0</v>
      </c>
      <c r="FR191" s="85">
        <v>0</v>
      </c>
      <c r="FS191" s="85">
        <v>0</v>
      </c>
      <c r="FT191" s="85">
        <v>0</v>
      </c>
      <c r="FU191" s="85">
        <v>0</v>
      </c>
      <c r="FV191" s="85">
        <v>0</v>
      </c>
      <c r="FW191" s="85">
        <v>0</v>
      </c>
      <c r="FX191" s="85">
        <v>0</v>
      </c>
      <c r="FY191" s="85">
        <v>0</v>
      </c>
      <c r="FZ191" s="85">
        <v>0</v>
      </c>
      <c r="GA191" s="85">
        <v>0</v>
      </c>
      <c r="GB191" s="152">
        <v>0</v>
      </c>
      <c r="GD191" s="153"/>
    </row>
    <row r="192" spans="1:186">
      <c r="A192" s="137" t="s">
        <v>363</v>
      </c>
      <c r="B192" s="151"/>
      <c r="C192" s="138">
        <f t="shared" ref="C192:C194" si="104">P192+AC192+AP192+BC192+BP192+CC192+CP192+DC192+DP192+EC192+EP192+FP192+FC192</f>
        <v>0</v>
      </c>
      <c r="D192" s="138">
        <f t="shared" ref="D192:D194" si="105">Q192+AD192+AQ192+BD192+BQ192+CD192+CQ192+DD192+DQ192+ED192+EQ192+FQ192+FD192</f>
        <v>0</v>
      </c>
      <c r="E192" s="138">
        <f t="shared" ref="E192:E194" si="106">R192+AE192+AR192+BE192+BR192+CE192+CR192+DE192+DR192+EE192+ER192+FR192+FE192</f>
        <v>0</v>
      </c>
      <c r="F192" s="138">
        <f t="shared" ref="F192:F194" si="107">S192+AF192+AS192+BF192+BS192+CF192+CS192+DF192+DS192+EF192+ES192+FS192+FF192</f>
        <v>0</v>
      </c>
      <c r="G192" s="138">
        <f t="shared" ref="G192:G194" si="108">T192+AG192+AT192+BG192+BT192+CG192+CT192+DG192+DT192+EG192+ET192+FT192+FG192</f>
        <v>0</v>
      </c>
      <c r="H192" s="138">
        <f t="shared" ref="H192:H194" si="109">U192+AH192+AU192+BH192+BU192+CH192+CU192+DH192+DU192+EH192+EU192+FU192+FH192</f>
        <v>0</v>
      </c>
      <c r="I192" s="138">
        <f t="shared" ref="I192:I194" si="110">V192+AI192+AV192+BI192+BV192+CI192+CV192+DI192+DV192+EI192+EV192+FV192+FI192</f>
        <v>0</v>
      </c>
      <c r="J192" s="138">
        <f t="shared" ref="J192:J194" si="111">W192+AJ192+AW192+BJ192+BW192+CJ192+CW192+DJ192+DW192+EJ192+EW192+FW192+FJ192</f>
        <v>0</v>
      </c>
      <c r="K192" s="138">
        <f t="shared" ref="K192:K194" si="112">X192+AK192+AX192+BK192+BX192+CK192+CX192+DK192+DX192+EK192+EX192+FX192+FK192</f>
        <v>0</v>
      </c>
      <c r="L192" s="138">
        <f t="shared" ref="L192:L194" si="113">Y192+AL192+AY192+BL192+BY192+CL192+CY192+DL192+DY192+EL192+EY192+FY192+FL192</f>
        <v>228330</v>
      </c>
      <c r="M192" s="138">
        <f t="shared" ref="M192:M194" si="114">Z192+AM192+AZ192+BM192+BZ192+CM192+CZ192+DM192+DZ192+EM192+EZ192+FZ192+FM192</f>
        <v>0</v>
      </c>
      <c r="N192" s="138">
        <f t="shared" ref="N192:N194" si="115">AA192+AN192+BA192+BN192+CA192+CN192+DA192+DN192+EA192+EN192+FA192+GA192+FN192</f>
        <v>0</v>
      </c>
      <c r="O192" s="86">
        <f t="shared" ref="O192:O194" si="116">SUM(C192:N192)</f>
        <v>228330</v>
      </c>
      <c r="P192" s="138">
        <v>0</v>
      </c>
      <c r="Q192" s="138">
        <v>0</v>
      </c>
      <c r="R192" s="138">
        <v>0</v>
      </c>
      <c r="S192" s="138">
        <v>0</v>
      </c>
      <c r="T192" s="138">
        <v>0</v>
      </c>
      <c r="U192" s="138">
        <v>0</v>
      </c>
      <c r="V192" s="138">
        <v>0</v>
      </c>
      <c r="W192" s="138">
        <v>0</v>
      </c>
      <c r="X192" s="138">
        <v>0</v>
      </c>
      <c r="Y192" s="138">
        <v>0</v>
      </c>
      <c r="Z192" s="138">
        <v>0</v>
      </c>
      <c r="AA192" s="138">
        <v>0</v>
      </c>
      <c r="AB192" s="86">
        <v>0</v>
      </c>
      <c r="AC192" s="138">
        <v>0</v>
      </c>
      <c r="AD192" s="138">
        <v>0</v>
      </c>
      <c r="AE192" s="138">
        <v>0</v>
      </c>
      <c r="AF192" s="138">
        <v>0</v>
      </c>
      <c r="AG192" s="138">
        <v>0</v>
      </c>
      <c r="AH192" s="138">
        <v>0</v>
      </c>
      <c r="AI192" s="138">
        <v>0</v>
      </c>
      <c r="AJ192" s="138">
        <v>0</v>
      </c>
      <c r="AK192" s="138">
        <v>0</v>
      </c>
      <c r="AL192" s="138">
        <v>0</v>
      </c>
      <c r="AM192" s="138">
        <v>0</v>
      </c>
      <c r="AN192" s="138">
        <v>0</v>
      </c>
      <c r="AO192" s="86">
        <v>0</v>
      </c>
      <c r="AP192" s="138">
        <v>0</v>
      </c>
      <c r="AQ192" s="138">
        <v>0</v>
      </c>
      <c r="AR192" s="138">
        <v>0</v>
      </c>
      <c r="AS192" s="138">
        <v>0</v>
      </c>
      <c r="AT192" s="138">
        <v>0</v>
      </c>
      <c r="AU192" s="138">
        <v>0</v>
      </c>
      <c r="AV192" s="138">
        <v>0</v>
      </c>
      <c r="AW192" s="138">
        <v>0</v>
      </c>
      <c r="AX192" s="138">
        <v>0</v>
      </c>
      <c r="AY192" s="138">
        <v>0</v>
      </c>
      <c r="AZ192" s="138">
        <v>0</v>
      </c>
      <c r="BA192" s="138">
        <v>0</v>
      </c>
      <c r="BB192" s="86">
        <v>0</v>
      </c>
      <c r="BC192" s="138">
        <v>0</v>
      </c>
      <c r="BD192" s="138">
        <v>0</v>
      </c>
      <c r="BE192" s="138">
        <v>0</v>
      </c>
      <c r="BF192" s="138">
        <v>0</v>
      </c>
      <c r="BG192" s="138">
        <v>0</v>
      </c>
      <c r="BH192" s="138">
        <v>0</v>
      </c>
      <c r="BI192" s="138">
        <v>0</v>
      </c>
      <c r="BJ192" s="138">
        <v>0</v>
      </c>
      <c r="BK192" s="138">
        <v>0</v>
      </c>
      <c r="BL192" s="138">
        <v>0</v>
      </c>
      <c r="BM192" s="138">
        <v>0</v>
      </c>
      <c r="BN192" s="138">
        <v>0</v>
      </c>
      <c r="BO192" s="86">
        <v>0</v>
      </c>
      <c r="BP192" s="138">
        <v>0</v>
      </c>
      <c r="BQ192" s="138">
        <v>0</v>
      </c>
      <c r="BR192" s="138">
        <v>0</v>
      </c>
      <c r="BS192" s="138">
        <v>0</v>
      </c>
      <c r="BT192" s="138">
        <v>0</v>
      </c>
      <c r="BU192" s="138">
        <v>0</v>
      </c>
      <c r="BV192" s="138">
        <v>0</v>
      </c>
      <c r="BW192" s="138">
        <v>0</v>
      </c>
      <c r="BX192" s="138">
        <v>0</v>
      </c>
      <c r="BY192" s="138">
        <v>0</v>
      </c>
      <c r="BZ192" s="138">
        <v>0</v>
      </c>
      <c r="CA192" s="138">
        <v>0</v>
      </c>
      <c r="CB192" s="86">
        <v>0</v>
      </c>
      <c r="CC192" s="138">
        <v>0</v>
      </c>
      <c r="CD192" s="138">
        <v>0</v>
      </c>
      <c r="CE192" s="138">
        <v>0</v>
      </c>
      <c r="CF192" s="138">
        <v>0</v>
      </c>
      <c r="CG192" s="138">
        <v>0</v>
      </c>
      <c r="CH192" s="138">
        <v>0</v>
      </c>
      <c r="CI192" s="138">
        <v>0</v>
      </c>
      <c r="CJ192" s="138">
        <v>0</v>
      </c>
      <c r="CK192" s="138">
        <v>0</v>
      </c>
      <c r="CL192" s="138">
        <v>0</v>
      </c>
      <c r="CM192" s="138">
        <v>0</v>
      </c>
      <c r="CN192" s="138">
        <v>0</v>
      </c>
      <c r="CO192" s="86">
        <v>0</v>
      </c>
      <c r="CP192" s="138">
        <v>0</v>
      </c>
      <c r="CQ192" s="138">
        <v>0</v>
      </c>
      <c r="CR192" s="138">
        <v>0</v>
      </c>
      <c r="CS192" s="138">
        <v>0</v>
      </c>
      <c r="CT192" s="138">
        <v>0</v>
      </c>
      <c r="CU192" s="138">
        <v>0</v>
      </c>
      <c r="CV192" s="138">
        <v>0</v>
      </c>
      <c r="CW192" s="138">
        <v>0</v>
      </c>
      <c r="CX192" s="138">
        <v>0</v>
      </c>
      <c r="CY192" s="138">
        <v>0</v>
      </c>
      <c r="CZ192" s="138">
        <v>0</v>
      </c>
      <c r="DA192" s="138">
        <v>0</v>
      </c>
      <c r="DB192" s="86">
        <v>0</v>
      </c>
      <c r="DC192" s="138">
        <v>0</v>
      </c>
      <c r="DD192" s="138">
        <v>0</v>
      </c>
      <c r="DE192" s="138">
        <v>0</v>
      </c>
      <c r="DF192" s="138">
        <v>0</v>
      </c>
      <c r="DG192" s="138">
        <v>0</v>
      </c>
      <c r="DH192" s="138">
        <v>0</v>
      </c>
      <c r="DI192" s="138">
        <v>0</v>
      </c>
      <c r="DJ192" s="138">
        <v>0</v>
      </c>
      <c r="DK192" s="138">
        <v>0</v>
      </c>
      <c r="DL192" s="138">
        <v>0</v>
      </c>
      <c r="DM192" s="138">
        <v>0</v>
      </c>
      <c r="DN192" s="138">
        <v>0</v>
      </c>
      <c r="DO192" s="86">
        <v>0</v>
      </c>
      <c r="DP192" s="138">
        <v>0</v>
      </c>
      <c r="DQ192" s="138">
        <v>0</v>
      </c>
      <c r="DR192" s="138">
        <v>0</v>
      </c>
      <c r="DS192" s="138">
        <v>0</v>
      </c>
      <c r="DT192" s="138">
        <v>0</v>
      </c>
      <c r="DU192" s="138">
        <v>0</v>
      </c>
      <c r="DV192" s="138">
        <v>0</v>
      </c>
      <c r="DW192" s="138">
        <v>0</v>
      </c>
      <c r="DX192" s="138">
        <v>0</v>
      </c>
      <c r="DY192" s="138">
        <v>0</v>
      </c>
      <c r="DZ192" s="138">
        <v>0</v>
      </c>
      <c r="EA192" s="138">
        <v>0</v>
      </c>
      <c r="EB192" s="85">
        <v>0</v>
      </c>
      <c r="EC192" s="87">
        <v>0</v>
      </c>
      <c r="ED192" s="85">
        <v>0</v>
      </c>
      <c r="EE192" s="85">
        <v>0</v>
      </c>
      <c r="EF192" s="85">
        <v>0</v>
      </c>
      <c r="EG192" s="85">
        <v>0</v>
      </c>
      <c r="EH192" s="85">
        <v>0</v>
      </c>
      <c r="EI192" s="85">
        <v>0</v>
      </c>
      <c r="EJ192" s="85">
        <v>0</v>
      </c>
      <c r="EK192" s="85">
        <v>0</v>
      </c>
      <c r="EL192" s="85">
        <v>0</v>
      </c>
      <c r="EM192" s="85">
        <v>0</v>
      </c>
      <c r="EN192" s="85">
        <v>0</v>
      </c>
      <c r="EO192" s="152">
        <v>0</v>
      </c>
      <c r="EP192" s="85">
        <v>0</v>
      </c>
      <c r="EQ192" s="85">
        <v>0</v>
      </c>
      <c r="ER192" s="85">
        <v>0</v>
      </c>
      <c r="ES192" s="85">
        <v>0</v>
      </c>
      <c r="ET192" s="85">
        <v>0</v>
      </c>
      <c r="EU192" s="85">
        <v>0</v>
      </c>
      <c r="EV192" s="85">
        <v>0</v>
      </c>
      <c r="EW192" s="85">
        <v>0</v>
      </c>
      <c r="EX192" s="85">
        <v>0</v>
      </c>
      <c r="EY192" s="85">
        <v>0</v>
      </c>
      <c r="EZ192" s="85">
        <v>0</v>
      </c>
      <c r="FA192" s="85">
        <v>0</v>
      </c>
      <c r="FB192" s="85">
        <v>0</v>
      </c>
      <c r="FC192" s="87">
        <v>0</v>
      </c>
      <c r="FD192" s="85">
        <v>0</v>
      </c>
      <c r="FE192" s="85">
        <v>0</v>
      </c>
      <c r="FF192" s="85">
        <v>0</v>
      </c>
      <c r="FG192" s="85">
        <v>0</v>
      </c>
      <c r="FH192" s="85">
        <v>0</v>
      </c>
      <c r="FI192" s="85">
        <v>0</v>
      </c>
      <c r="FJ192" s="85">
        <v>0</v>
      </c>
      <c r="FK192" s="85">
        <v>0</v>
      </c>
      <c r="FL192" s="85">
        <v>0</v>
      </c>
      <c r="FM192" s="85">
        <v>0</v>
      </c>
      <c r="FN192" s="85">
        <v>0</v>
      </c>
      <c r="FO192" s="86">
        <v>0</v>
      </c>
      <c r="FP192" s="87">
        <v>0</v>
      </c>
      <c r="FQ192" s="85">
        <v>0</v>
      </c>
      <c r="FR192" s="85">
        <v>0</v>
      </c>
      <c r="FS192" s="85">
        <v>0</v>
      </c>
      <c r="FT192" s="85">
        <v>0</v>
      </c>
      <c r="FU192" s="85">
        <v>0</v>
      </c>
      <c r="FV192" s="85">
        <v>0</v>
      </c>
      <c r="FW192" s="85">
        <v>0</v>
      </c>
      <c r="FX192" s="85">
        <v>0</v>
      </c>
      <c r="FY192" s="85">
        <v>228330</v>
      </c>
      <c r="FZ192" s="85">
        <v>0</v>
      </c>
      <c r="GA192" s="85">
        <v>0</v>
      </c>
      <c r="GB192" s="152">
        <v>228330</v>
      </c>
      <c r="GD192" s="153"/>
    </row>
    <row r="193" spans="1:186">
      <c r="A193" s="137" t="s">
        <v>364</v>
      </c>
      <c r="B193" s="151"/>
      <c r="C193" s="138">
        <f t="shared" si="104"/>
        <v>0</v>
      </c>
      <c r="D193" s="138">
        <f t="shared" si="105"/>
        <v>0</v>
      </c>
      <c r="E193" s="138">
        <f t="shared" si="106"/>
        <v>0</v>
      </c>
      <c r="F193" s="138">
        <f t="shared" si="107"/>
        <v>0</v>
      </c>
      <c r="G193" s="138">
        <f t="shared" si="108"/>
        <v>0</v>
      </c>
      <c r="H193" s="138">
        <f t="shared" si="109"/>
        <v>0</v>
      </c>
      <c r="I193" s="138">
        <f t="shared" si="110"/>
        <v>0</v>
      </c>
      <c r="J193" s="138">
        <f t="shared" si="111"/>
        <v>0</v>
      </c>
      <c r="K193" s="138">
        <f t="shared" si="112"/>
        <v>0</v>
      </c>
      <c r="L193" s="138">
        <f t="shared" si="113"/>
        <v>0</v>
      </c>
      <c r="M193" s="138">
        <f t="shared" si="114"/>
        <v>0</v>
      </c>
      <c r="N193" s="138">
        <f t="shared" si="115"/>
        <v>0</v>
      </c>
      <c r="O193" s="86">
        <f t="shared" si="116"/>
        <v>0</v>
      </c>
      <c r="P193" s="138">
        <v>0</v>
      </c>
      <c r="Q193" s="138">
        <v>0</v>
      </c>
      <c r="R193" s="138">
        <v>0</v>
      </c>
      <c r="S193" s="138">
        <v>0</v>
      </c>
      <c r="T193" s="138">
        <v>0</v>
      </c>
      <c r="U193" s="138">
        <v>0</v>
      </c>
      <c r="V193" s="138">
        <v>0</v>
      </c>
      <c r="W193" s="138">
        <v>0</v>
      </c>
      <c r="X193" s="138">
        <v>0</v>
      </c>
      <c r="Y193" s="138">
        <v>0</v>
      </c>
      <c r="Z193" s="138">
        <v>0</v>
      </c>
      <c r="AA193" s="138">
        <v>0</v>
      </c>
      <c r="AB193" s="86">
        <v>0</v>
      </c>
      <c r="AC193" s="138">
        <v>0</v>
      </c>
      <c r="AD193" s="138">
        <v>0</v>
      </c>
      <c r="AE193" s="138">
        <v>0</v>
      </c>
      <c r="AF193" s="138">
        <v>0</v>
      </c>
      <c r="AG193" s="138">
        <v>0</v>
      </c>
      <c r="AH193" s="138">
        <v>0</v>
      </c>
      <c r="AI193" s="138">
        <v>0</v>
      </c>
      <c r="AJ193" s="138">
        <v>0</v>
      </c>
      <c r="AK193" s="138">
        <v>0</v>
      </c>
      <c r="AL193" s="138">
        <v>0</v>
      </c>
      <c r="AM193" s="138">
        <v>0</v>
      </c>
      <c r="AN193" s="138">
        <v>0</v>
      </c>
      <c r="AO193" s="86">
        <v>0</v>
      </c>
      <c r="AP193" s="138">
        <v>0</v>
      </c>
      <c r="AQ193" s="138">
        <v>0</v>
      </c>
      <c r="AR193" s="138">
        <v>0</v>
      </c>
      <c r="AS193" s="138">
        <v>0</v>
      </c>
      <c r="AT193" s="138">
        <v>0</v>
      </c>
      <c r="AU193" s="138">
        <v>0</v>
      </c>
      <c r="AV193" s="138">
        <v>0</v>
      </c>
      <c r="AW193" s="138">
        <v>0</v>
      </c>
      <c r="AX193" s="138">
        <v>0</v>
      </c>
      <c r="AY193" s="138">
        <v>0</v>
      </c>
      <c r="AZ193" s="138">
        <v>0</v>
      </c>
      <c r="BA193" s="138">
        <v>0</v>
      </c>
      <c r="BB193" s="86">
        <v>0</v>
      </c>
      <c r="BC193" s="138">
        <v>0</v>
      </c>
      <c r="BD193" s="138">
        <v>0</v>
      </c>
      <c r="BE193" s="138">
        <v>0</v>
      </c>
      <c r="BF193" s="138">
        <v>0</v>
      </c>
      <c r="BG193" s="138">
        <v>0</v>
      </c>
      <c r="BH193" s="138">
        <v>0</v>
      </c>
      <c r="BI193" s="138">
        <v>0</v>
      </c>
      <c r="BJ193" s="138">
        <v>0</v>
      </c>
      <c r="BK193" s="138">
        <v>0</v>
      </c>
      <c r="BL193" s="138">
        <v>0</v>
      </c>
      <c r="BM193" s="138">
        <v>0</v>
      </c>
      <c r="BN193" s="138">
        <v>0</v>
      </c>
      <c r="BO193" s="86">
        <v>0</v>
      </c>
      <c r="BP193" s="138">
        <v>0</v>
      </c>
      <c r="BQ193" s="138">
        <v>0</v>
      </c>
      <c r="BR193" s="138">
        <v>0</v>
      </c>
      <c r="BS193" s="138">
        <v>0</v>
      </c>
      <c r="BT193" s="138">
        <v>0</v>
      </c>
      <c r="BU193" s="138">
        <v>0</v>
      </c>
      <c r="BV193" s="138">
        <v>0</v>
      </c>
      <c r="BW193" s="138">
        <v>0</v>
      </c>
      <c r="BX193" s="138">
        <v>0</v>
      </c>
      <c r="BY193" s="138">
        <v>0</v>
      </c>
      <c r="BZ193" s="138">
        <v>0</v>
      </c>
      <c r="CA193" s="138">
        <v>0</v>
      </c>
      <c r="CB193" s="86">
        <v>0</v>
      </c>
      <c r="CC193" s="138">
        <v>0</v>
      </c>
      <c r="CD193" s="138">
        <v>0</v>
      </c>
      <c r="CE193" s="138">
        <v>0</v>
      </c>
      <c r="CF193" s="138">
        <v>0</v>
      </c>
      <c r="CG193" s="138">
        <v>0</v>
      </c>
      <c r="CH193" s="138">
        <v>0</v>
      </c>
      <c r="CI193" s="138">
        <v>0</v>
      </c>
      <c r="CJ193" s="138">
        <v>0</v>
      </c>
      <c r="CK193" s="138">
        <v>0</v>
      </c>
      <c r="CL193" s="138">
        <v>0</v>
      </c>
      <c r="CM193" s="138">
        <v>0</v>
      </c>
      <c r="CN193" s="138">
        <v>0</v>
      </c>
      <c r="CO193" s="86">
        <v>0</v>
      </c>
      <c r="CP193" s="138">
        <v>0</v>
      </c>
      <c r="CQ193" s="138">
        <v>0</v>
      </c>
      <c r="CR193" s="138">
        <v>0</v>
      </c>
      <c r="CS193" s="138">
        <v>0</v>
      </c>
      <c r="CT193" s="138">
        <v>0</v>
      </c>
      <c r="CU193" s="138">
        <v>0</v>
      </c>
      <c r="CV193" s="138">
        <v>0</v>
      </c>
      <c r="CW193" s="138">
        <v>0</v>
      </c>
      <c r="CX193" s="138">
        <v>0</v>
      </c>
      <c r="CY193" s="138">
        <v>0</v>
      </c>
      <c r="CZ193" s="138">
        <v>0</v>
      </c>
      <c r="DA193" s="138">
        <v>0</v>
      </c>
      <c r="DB193" s="86">
        <v>0</v>
      </c>
      <c r="DC193" s="138">
        <v>0</v>
      </c>
      <c r="DD193" s="138">
        <v>0</v>
      </c>
      <c r="DE193" s="138">
        <v>0</v>
      </c>
      <c r="DF193" s="138">
        <v>0</v>
      </c>
      <c r="DG193" s="138">
        <v>0</v>
      </c>
      <c r="DH193" s="138">
        <v>0</v>
      </c>
      <c r="DI193" s="138">
        <v>0</v>
      </c>
      <c r="DJ193" s="138">
        <v>0</v>
      </c>
      <c r="DK193" s="138">
        <v>0</v>
      </c>
      <c r="DL193" s="138">
        <v>0</v>
      </c>
      <c r="DM193" s="138">
        <v>0</v>
      </c>
      <c r="DN193" s="138">
        <v>0</v>
      </c>
      <c r="DO193" s="86">
        <v>0</v>
      </c>
      <c r="DP193" s="138">
        <v>0</v>
      </c>
      <c r="DQ193" s="138">
        <v>0</v>
      </c>
      <c r="DR193" s="138">
        <v>0</v>
      </c>
      <c r="DS193" s="138">
        <v>0</v>
      </c>
      <c r="DT193" s="138">
        <v>0</v>
      </c>
      <c r="DU193" s="138">
        <v>0</v>
      </c>
      <c r="DV193" s="138">
        <v>0</v>
      </c>
      <c r="DW193" s="138">
        <v>0</v>
      </c>
      <c r="DX193" s="138">
        <v>0</v>
      </c>
      <c r="DY193" s="138">
        <v>0</v>
      </c>
      <c r="DZ193" s="138">
        <v>0</v>
      </c>
      <c r="EA193" s="138">
        <v>0</v>
      </c>
      <c r="EB193" s="85">
        <v>0</v>
      </c>
      <c r="EC193" s="87">
        <v>0</v>
      </c>
      <c r="ED193" s="85">
        <v>0</v>
      </c>
      <c r="EE193" s="85">
        <v>0</v>
      </c>
      <c r="EF193" s="85">
        <v>0</v>
      </c>
      <c r="EG193" s="85">
        <v>0</v>
      </c>
      <c r="EH193" s="85">
        <v>0</v>
      </c>
      <c r="EI193" s="85">
        <v>0</v>
      </c>
      <c r="EJ193" s="85">
        <v>0</v>
      </c>
      <c r="EK193" s="85">
        <v>0</v>
      </c>
      <c r="EL193" s="85">
        <v>0</v>
      </c>
      <c r="EM193" s="85">
        <v>0</v>
      </c>
      <c r="EN193" s="85">
        <v>0</v>
      </c>
      <c r="EO193" s="152">
        <v>0</v>
      </c>
      <c r="EP193" s="85">
        <v>0</v>
      </c>
      <c r="EQ193" s="85">
        <v>0</v>
      </c>
      <c r="ER193" s="85">
        <v>0</v>
      </c>
      <c r="ES193" s="85">
        <v>0</v>
      </c>
      <c r="ET193" s="85">
        <v>0</v>
      </c>
      <c r="EU193" s="85">
        <v>0</v>
      </c>
      <c r="EV193" s="85">
        <v>0</v>
      </c>
      <c r="EW193" s="85">
        <v>0</v>
      </c>
      <c r="EX193" s="85">
        <v>0</v>
      </c>
      <c r="EY193" s="85">
        <v>0</v>
      </c>
      <c r="EZ193" s="85">
        <v>0</v>
      </c>
      <c r="FA193" s="85">
        <v>0</v>
      </c>
      <c r="FB193" s="85">
        <v>0</v>
      </c>
      <c r="FC193" s="87">
        <v>0</v>
      </c>
      <c r="FD193" s="85">
        <v>0</v>
      </c>
      <c r="FE193" s="85">
        <v>0</v>
      </c>
      <c r="FF193" s="85">
        <v>0</v>
      </c>
      <c r="FG193" s="85">
        <v>0</v>
      </c>
      <c r="FH193" s="85">
        <v>0</v>
      </c>
      <c r="FI193" s="85">
        <v>0</v>
      </c>
      <c r="FJ193" s="85">
        <v>0</v>
      </c>
      <c r="FK193" s="85">
        <v>0</v>
      </c>
      <c r="FL193" s="85">
        <v>0</v>
      </c>
      <c r="FM193" s="85">
        <v>0</v>
      </c>
      <c r="FN193" s="85">
        <v>0</v>
      </c>
      <c r="FO193" s="86">
        <v>0</v>
      </c>
      <c r="FP193" s="87">
        <v>0</v>
      </c>
      <c r="FQ193" s="85">
        <v>0</v>
      </c>
      <c r="FR193" s="85">
        <v>0</v>
      </c>
      <c r="FS193" s="85">
        <v>0</v>
      </c>
      <c r="FT193" s="85">
        <v>0</v>
      </c>
      <c r="FU193" s="85">
        <v>0</v>
      </c>
      <c r="FV193" s="85">
        <v>0</v>
      </c>
      <c r="FW193" s="85">
        <v>0</v>
      </c>
      <c r="FX193" s="85">
        <v>0</v>
      </c>
      <c r="FY193" s="85">
        <v>0</v>
      </c>
      <c r="FZ193" s="85">
        <v>0</v>
      </c>
      <c r="GA193" s="85">
        <v>0</v>
      </c>
      <c r="GB193" s="152">
        <v>0</v>
      </c>
      <c r="GD193" s="153"/>
    </row>
    <row r="194" spans="1:186">
      <c r="A194" s="137" t="s">
        <v>365</v>
      </c>
      <c r="B194" s="151"/>
      <c r="C194" s="138">
        <f t="shared" si="104"/>
        <v>0</v>
      </c>
      <c r="D194" s="138">
        <f t="shared" si="105"/>
        <v>0</v>
      </c>
      <c r="E194" s="138">
        <f t="shared" si="106"/>
        <v>0</v>
      </c>
      <c r="F194" s="138">
        <f t="shared" si="107"/>
        <v>0</v>
      </c>
      <c r="G194" s="138">
        <f t="shared" si="108"/>
        <v>10701991.5593136</v>
      </c>
      <c r="H194" s="138">
        <f t="shared" si="109"/>
        <v>1505096.27942326</v>
      </c>
      <c r="I194" s="138">
        <f t="shared" si="110"/>
        <v>290280.228696909</v>
      </c>
      <c r="J194" s="138">
        <f t="shared" si="111"/>
        <v>6255769.61062516</v>
      </c>
      <c r="K194" s="138">
        <f t="shared" si="112"/>
        <v>2355016.20560877</v>
      </c>
      <c r="L194" s="138">
        <f t="shared" si="113"/>
        <v>80133.1582592362</v>
      </c>
      <c r="M194" s="138">
        <f t="shared" si="114"/>
        <v>80133.1582592362</v>
      </c>
      <c r="N194" s="138">
        <f t="shared" si="115"/>
        <v>80133.1582592362</v>
      </c>
      <c r="O194" s="86">
        <f t="shared" si="116"/>
        <v>21348553.3584454</v>
      </c>
      <c r="P194" s="138">
        <v>0</v>
      </c>
      <c r="Q194" s="138">
        <v>0</v>
      </c>
      <c r="R194" s="138">
        <v>0</v>
      </c>
      <c r="S194" s="138">
        <v>0</v>
      </c>
      <c r="T194" s="138">
        <v>1989826.59093053</v>
      </c>
      <c r="U194" s="138">
        <v>540887.57706638</v>
      </c>
      <c r="V194" s="138">
        <v>0</v>
      </c>
      <c r="W194" s="138">
        <v>1286298.72231541</v>
      </c>
      <c r="X194" s="138">
        <v>1029038.97785232</v>
      </c>
      <c r="Y194" s="138">
        <v>0</v>
      </c>
      <c r="Z194" s="138">
        <v>0</v>
      </c>
      <c r="AA194" s="138">
        <v>0</v>
      </c>
      <c r="AB194" s="86">
        <v>4846051.86816464</v>
      </c>
      <c r="AC194" s="138">
        <v>0</v>
      </c>
      <c r="AD194" s="138">
        <v>0</v>
      </c>
      <c r="AE194" s="138">
        <v>0</v>
      </c>
      <c r="AF194" s="138">
        <v>0</v>
      </c>
      <c r="AG194" s="138">
        <v>1166279.46606209</v>
      </c>
      <c r="AH194" s="138">
        <v>346725.289464887</v>
      </c>
      <c r="AI194" s="138">
        <v>209459.399372202</v>
      </c>
      <c r="AJ194" s="138">
        <v>899062.931889122</v>
      </c>
      <c r="AK194" s="138">
        <v>616673.354775368</v>
      </c>
      <c r="AL194" s="138">
        <v>80133.1582592362</v>
      </c>
      <c r="AM194" s="138">
        <v>80133.1582592362</v>
      </c>
      <c r="AN194" s="138">
        <v>80133.1582592362</v>
      </c>
      <c r="AO194" s="86">
        <v>3478599.91634137</v>
      </c>
      <c r="AP194" s="138">
        <v>0</v>
      </c>
      <c r="AQ194" s="138">
        <v>0</v>
      </c>
      <c r="AR194" s="138">
        <v>0</v>
      </c>
      <c r="AS194" s="138">
        <v>0</v>
      </c>
      <c r="AT194" s="138">
        <v>967972.582209822</v>
      </c>
      <c r="AU194" s="138">
        <v>108471.267857534</v>
      </c>
      <c r="AV194" s="138">
        <v>0</v>
      </c>
      <c r="AW194" s="138">
        <v>460747.712384039</v>
      </c>
      <c r="AX194" s="138">
        <v>0</v>
      </c>
      <c r="AY194" s="138">
        <v>0</v>
      </c>
      <c r="AZ194" s="138">
        <v>0</v>
      </c>
      <c r="BA194" s="138">
        <v>0</v>
      </c>
      <c r="BB194" s="86">
        <v>1537191.56245139</v>
      </c>
      <c r="BC194" s="138">
        <v>0</v>
      </c>
      <c r="BD194" s="138">
        <v>0</v>
      </c>
      <c r="BE194" s="138">
        <v>0</v>
      </c>
      <c r="BF194" s="138">
        <v>0</v>
      </c>
      <c r="BG194" s="138">
        <v>377162.017304199</v>
      </c>
      <c r="BH194" s="138">
        <v>30813.4427518308</v>
      </c>
      <c r="BI194" s="138">
        <v>7342.73396286778</v>
      </c>
      <c r="BJ194" s="138">
        <v>384255.993618614</v>
      </c>
      <c r="BK194" s="138">
        <v>131643.257073044</v>
      </c>
      <c r="BL194" s="138">
        <v>0</v>
      </c>
      <c r="BM194" s="138">
        <v>0</v>
      </c>
      <c r="BN194" s="138">
        <v>0</v>
      </c>
      <c r="BO194" s="86">
        <v>931217.444710555</v>
      </c>
      <c r="BP194" s="138">
        <v>0</v>
      </c>
      <c r="BQ194" s="138">
        <v>0</v>
      </c>
      <c r="BR194" s="138">
        <v>0</v>
      </c>
      <c r="BS194" s="138">
        <v>0</v>
      </c>
      <c r="BT194" s="138">
        <v>587792.714062895</v>
      </c>
      <c r="BU194" s="138">
        <v>60548.4318432658</v>
      </c>
      <c r="BV194" s="138">
        <v>20182.8106144219</v>
      </c>
      <c r="BW194" s="138">
        <v>455281.120562294</v>
      </c>
      <c r="BX194" s="138">
        <v>10091.405307211</v>
      </c>
      <c r="BY194" s="138">
        <v>0</v>
      </c>
      <c r="BZ194" s="138">
        <v>0</v>
      </c>
      <c r="CA194" s="138">
        <v>0</v>
      </c>
      <c r="CB194" s="86">
        <v>1133896.48239009</v>
      </c>
      <c r="CC194" s="138">
        <v>0</v>
      </c>
      <c r="CD194" s="138">
        <v>0</v>
      </c>
      <c r="CE194" s="138">
        <v>0</v>
      </c>
      <c r="CF194" s="138">
        <v>0</v>
      </c>
      <c r="CG194" s="138">
        <v>80977.6821273526</v>
      </c>
      <c r="CH194" s="138">
        <v>24669.1956818344</v>
      </c>
      <c r="CI194" s="138">
        <v>27126.7687693711</v>
      </c>
      <c r="CJ194" s="138">
        <v>126974.108824361</v>
      </c>
      <c r="CK194" s="138">
        <v>92344.8064177168</v>
      </c>
      <c r="CL194" s="138">
        <v>0</v>
      </c>
      <c r="CM194" s="138">
        <v>0</v>
      </c>
      <c r="CN194" s="138">
        <v>0</v>
      </c>
      <c r="CO194" s="86">
        <v>352092.561820635</v>
      </c>
      <c r="CP194" s="138">
        <v>0</v>
      </c>
      <c r="CQ194" s="138">
        <v>0</v>
      </c>
      <c r="CR194" s="138">
        <v>0</v>
      </c>
      <c r="CS194" s="138">
        <v>0</v>
      </c>
      <c r="CT194" s="138">
        <v>751410.784916863</v>
      </c>
      <c r="CU194" s="138">
        <v>21923.8910770904</v>
      </c>
      <c r="CV194" s="138">
        <v>10942.2740346627</v>
      </c>
      <c r="CW194" s="138">
        <v>420773.468047523</v>
      </c>
      <c r="CX194" s="138">
        <v>223960.071702714</v>
      </c>
      <c r="CY194" s="138">
        <v>0</v>
      </c>
      <c r="CZ194" s="138">
        <v>0</v>
      </c>
      <c r="DA194" s="138">
        <v>0</v>
      </c>
      <c r="DB194" s="86">
        <v>1429010.48977885</v>
      </c>
      <c r="DC194" s="138">
        <v>0</v>
      </c>
      <c r="DD194" s="138">
        <v>0</v>
      </c>
      <c r="DE194" s="138">
        <v>0</v>
      </c>
      <c r="DF194" s="138">
        <v>0</v>
      </c>
      <c r="DG194" s="138">
        <v>55837.4213619386</v>
      </c>
      <c r="DH194" s="138">
        <v>15195.7591244986</v>
      </c>
      <c r="DI194" s="138">
        <v>3917.22682716979</v>
      </c>
      <c r="DJ194" s="138">
        <v>37961.889195887</v>
      </c>
      <c r="DK194" s="138">
        <v>26573.3224371209</v>
      </c>
      <c r="DL194" s="138">
        <v>0</v>
      </c>
      <c r="DM194" s="138">
        <v>0</v>
      </c>
      <c r="DN194" s="138">
        <v>0</v>
      </c>
      <c r="DO194" s="86">
        <v>139485.618946615</v>
      </c>
      <c r="DP194" s="138">
        <v>0</v>
      </c>
      <c r="DQ194" s="138">
        <v>0</v>
      </c>
      <c r="DR194" s="138">
        <v>0</v>
      </c>
      <c r="DS194" s="138">
        <v>0</v>
      </c>
      <c r="DT194" s="138">
        <v>451727.353027729</v>
      </c>
      <c r="DU194" s="138">
        <v>260643.855256472</v>
      </c>
      <c r="DV194" s="138">
        <v>11309.0151162144</v>
      </c>
      <c r="DW194" s="138">
        <v>349867.262629174</v>
      </c>
      <c r="DX194" s="138">
        <v>131008.249463906</v>
      </c>
      <c r="DY194" s="138">
        <v>0</v>
      </c>
      <c r="DZ194" s="138">
        <v>0</v>
      </c>
      <c r="EA194" s="138">
        <v>0</v>
      </c>
      <c r="EB194" s="85">
        <v>1204555.73549349</v>
      </c>
      <c r="EC194" s="87">
        <v>0</v>
      </c>
      <c r="ED194" s="85">
        <v>0</v>
      </c>
      <c r="EE194" s="85">
        <v>0</v>
      </c>
      <c r="EF194" s="85">
        <v>0</v>
      </c>
      <c r="EG194" s="85">
        <v>0</v>
      </c>
      <c r="EH194" s="85">
        <v>0</v>
      </c>
      <c r="EI194" s="85">
        <v>0</v>
      </c>
      <c r="EJ194" s="85">
        <v>0</v>
      </c>
      <c r="EK194" s="85">
        <v>0</v>
      </c>
      <c r="EL194" s="85">
        <v>0</v>
      </c>
      <c r="EM194" s="85">
        <v>0</v>
      </c>
      <c r="EN194" s="85">
        <v>0</v>
      </c>
      <c r="EO194" s="152">
        <v>0</v>
      </c>
      <c r="EP194" s="85">
        <v>0</v>
      </c>
      <c r="EQ194" s="85">
        <v>0</v>
      </c>
      <c r="ER194" s="85">
        <v>0</v>
      </c>
      <c r="ES194" s="85">
        <v>0</v>
      </c>
      <c r="ET194" s="85">
        <v>148346.765708964</v>
      </c>
      <c r="EU194" s="85">
        <v>38714.4492994665</v>
      </c>
      <c r="EV194" s="85">
        <v>0</v>
      </c>
      <c r="EW194" s="85">
        <v>187365.521158741</v>
      </c>
      <c r="EX194" s="85">
        <v>93682.7605793704</v>
      </c>
      <c r="EY194" s="85">
        <v>0</v>
      </c>
      <c r="EZ194" s="85">
        <v>0</v>
      </c>
      <c r="FA194" s="85">
        <v>0</v>
      </c>
      <c r="FB194" s="85">
        <v>468109.496746542</v>
      </c>
      <c r="FC194" s="87">
        <v>0</v>
      </c>
      <c r="FD194" s="85">
        <v>0</v>
      </c>
      <c r="FE194" s="85">
        <v>0</v>
      </c>
      <c r="FF194" s="85">
        <v>0</v>
      </c>
      <c r="FG194" s="85">
        <v>0</v>
      </c>
      <c r="FH194" s="85">
        <v>0</v>
      </c>
      <c r="FI194" s="85">
        <v>0</v>
      </c>
      <c r="FJ194" s="85">
        <v>0</v>
      </c>
      <c r="FK194" s="85">
        <v>0</v>
      </c>
      <c r="FL194" s="85">
        <v>0</v>
      </c>
      <c r="FM194" s="85">
        <v>0</v>
      </c>
      <c r="FN194" s="85">
        <v>0</v>
      </c>
      <c r="FO194" s="86">
        <v>0</v>
      </c>
      <c r="FP194" s="87">
        <v>0</v>
      </c>
      <c r="FQ194" s="85">
        <v>0</v>
      </c>
      <c r="FR194" s="85">
        <v>0</v>
      </c>
      <c r="FS194" s="85">
        <v>0</v>
      </c>
      <c r="FT194" s="85">
        <v>4124658.18160118</v>
      </c>
      <c r="FU194" s="85">
        <v>56503.12</v>
      </c>
      <c r="FV194" s="85">
        <v>0</v>
      </c>
      <c r="FW194" s="85">
        <v>1647180.88</v>
      </c>
      <c r="FX194" s="85">
        <v>0</v>
      </c>
      <c r="FY194" s="85">
        <v>0</v>
      </c>
      <c r="FZ194" s="85">
        <v>0</v>
      </c>
      <c r="GA194" s="85">
        <v>0</v>
      </c>
      <c r="GB194" s="152">
        <v>5828342.18160118</v>
      </c>
      <c r="GD194" s="153"/>
    </row>
    <row r="195" spans="1:186">
      <c r="A195" s="137" t="s">
        <v>366</v>
      </c>
      <c r="B195" s="151"/>
      <c r="C195" s="138">
        <f t="shared" ref="C195:C203" si="117">P195+AC195+AP195+BC195+BP195+CC195+CP195+DC195+DP195+EC195+EP195+FP195+FC195</f>
        <v>0</v>
      </c>
      <c r="D195" s="138">
        <f t="shared" ref="D195:D203" si="118">Q195+AD195+AQ195+BD195+BQ195+CD195+CQ195+DD195+DQ195+ED195+EQ195+FQ195+FD195</f>
        <v>0</v>
      </c>
      <c r="E195" s="138">
        <f t="shared" ref="E195:E203" si="119">R195+AE195+AR195+BE195+BR195+CE195+CR195+DE195+DR195+EE195+ER195+FR195+FE195</f>
        <v>0</v>
      </c>
      <c r="F195" s="138">
        <f t="shared" ref="F195:F203" si="120">S195+AF195+AS195+BF195+BS195+CF195+CS195+DF195+DS195+EF195+ES195+FS195+FF195</f>
        <v>0</v>
      </c>
      <c r="G195" s="138">
        <f t="shared" ref="G195:G203" si="121">T195+AG195+AT195+BG195+BT195+CG195+CT195+DG195+DT195+EG195+ET195+FT195+FG195</f>
        <v>0</v>
      </c>
      <c r="H195" s="138">
        <f t="shared" ref="H195:H203" si="122">U195+AH195+AU195+BH195+BU195+CH195+CU195+DH195+DU195+EH195+EU195+FU195+FH195</f>
        <v>0</v>
      </c>
      <c r="I195" s="138">
        <f t="shared" ref="I195:I203" si="123">V195+AI195+AV195+BI195+BV195+CI195+CV195+DI195+DV195+EI195+EV195+FV195+FI195</f>
        <v>0</v>
      </c>
      <c r="J195" s="138">
        <f t="shared" ref="J195:J203" si="124">W195+AJ195+AW195+BJ195+BW195+CJ195+CW195+DJ195+DW195+EJ195+EW195+FW195+FJ195</f>
        <v>0</v>
      </c>
      <c r="K195" s="138">
        <f t="shared" ref="K195:K203" si="125">X195+AK195+AX195+BK195+BX195+CK195+CX195+DK195+DX195+EK195+EX195+FX195+FK195</f>
        <v>6920483.30835283</v>
      </c>
      <c r="L195" s="138">
        <f t="shared" ref="L195:L203" si="126">Y195+AL195+AY195+BL195+BY195+CL195+CY195+DL195+DY195+EL195+EY195+FY195+FL195</f>
        <v>5130158.98820191</v>
      </c>
      <c r="M195" s="138">
        <f t="shared" ref="M195:M203" si="127">Z195+AM195+AZ195+BM195+BZ195+CM195+CZ195+DM195+DZ195+EM195+EZ195+FZ195+FM195</f>
        <v>0</v>
      </c>
      <c r="N195" s="138">
        <f t="shared" ref="N195:N203" si="128">AA195+AN195+BA195+BN195+CA195+CN195+DA195+DN195+EA195+EN195+FA195+GA195+FN195</f>
        <v>20008521.6922963</v>
      </c>
      <c r="O195" s="86">
        <f t="shared" ref="O195:O203" si="129">SUM(C195:N195)</f>
        <v>32059163.9888511</v>
      </c>
      <c r="P195" s="138">
        <v>0</v>
      </c>
      <c r="Q195" s="138">
        <v>0</v>
      </c>
      <c r="R195" s="138">
        <v>0</v>
      </c>
      <c r="S195" s="138">
        <v>0</v>
      </c>
      <c r="T195" s="138">
        <v>0</v>
      </c>
      <c r="U195" s="138">
        <v>0</v>
      </c>
      <c r="V195" s="138">
        <v>0</v>
      </c>
      <c r="W195" s="138">
        <v>0</v>
      </c>
      <c r="X195" s="138">
        <v>1000454.56180087</v>
      </c>
      <c r="Y195" s="138">
        <v>2000909.12360174</v>
      </c>
      <c r="Z195" s="138">
        <v>0</v>
      </c>
      <c r="AA195" s="138">
        <v>800363.649440697</v>
      </c>
      <c r="AB195" s="86">
        <v>3801727.33484331</v>
      </c>
      <c r="AC195" s="138">
        <v>0</v>
      </c>
      <c r="AD195" s="138">
        <v>0</v>
      </c>
      <c r="AE195" s="138">
        <v>0</v>
      </c>
      <c r="AF195" s="138">
        <v>0</v>
      </c>
      <c r="AG195" s="138">
        <v>0</v>
      </c>
      <c r="AH195" s="138">
        <v>0</v>
      </c>
      <c r="AI195" s="138">
        <v>0</v>
      </c>
      <c r="AJ195" s="138">
        <v>0</v>
      </c>
      <c r="AK195" s="138">
        <v>1186036.22387777</v>
      </c>
      <c r="AL195" s="138">
        <v>1423243.46865332</v>
      </c>
      <c r="AM195" s="138">
        <v>0</v>
      </c>
      <c r="AN195" s="138">
        <v>1186036.22387777</v>
      </c>
      <c r="AO195" s="86">
        <v>3795315.91640885</v>
      </c>
      <c r="AP195" s="138">
        <v>0</v>
      </c>
      <c r="AQ195" s="138">
        <v>0</v>
      </c>
      <c r="AR195" s="138">
        <v>0</v>
      </c>
      <c r="AS195" s="138">
        <v>0</v>
      </c>
      <c r="AT195" s="138">
        <v>0</v>
      </c>
      <c r="AU195" s="138">
        <v>0</v>
      </c>
      <c r="AV195" s="138">
        <v>0</v>
      </c>
      <c r="AW195" s="138">
        <v>0</v>
      </c>
      <c r="AX195" s="138">
        <v>276448.627430423</v>
      </c>
      <c r="AY195" s="138">
        <v>0</v>
      </c>
      <c r="AZ195" s="138">
        <v>0</v>
      </c>
      <c r="BA195" s="138">
        <v>1076318.10327725</v>
      </c>
      <c r="BB195" s="86">
        <v>1352766.73070767</v>
      </c>
      <c r="BC195" s="138">
        <v>0</v>
      </c>
      <c r="BD195" s="138">
        <v>0</v>
      </c>
      <c r="BE195" s="138">
        <v>0</v>
      </c>
      <c r="BF195" s="138">
        <v>0</v>
      </c>
      <c r="BG195" s="138">
        <v>0</v>
      </c>
      <c r="BH195" s="138">
        <v>0</v>
      </c>
      <c r="BI195" s="138">
        <v>0</v>
      </c>
      <c r="BJ195" s="138">
        <v>0</v>
      </c>
      <c r="BK195" s="138">
        <v>224149.329610858</v>
      </c>
      <c r="BL195" s="138">
        <v>498109.621357463</v>
      </c>
      <c r="BM195" s="138">
        <v>0</v>
      </c>
      <c r="BN195" s="138">
        <v>298865.772814478</v>
      </c>
      <c r="BO195" s="86">
        <v>1021124.7237828</v>
      </c>
      <c r="BP195" s="138">
        <v>0</v>
      </c>
      <c r="BQ195" s="138">
        <v>0</v>
      </c>
      <c r="BR195" s="138">
        <v>0</v>
      </c>
      <c r="BS195" s="138">
        <v>0</v>
      </c>
      <c r="BT195" s="138">
        <v>0</v>
      </c>
      <c r="BU195" s="138">
        <v>0</v>
      </c>
      <c r="BV195" s="138">
        <v>0</v>
      </c>
      <c r="BW195" s="138">
        <v>0</v>
      </c>
      <c r="BX195" s="138">
        <v>225634.751743118</v>
      </c>
      <c r="BY195" s="138">
        <v>140200.234092811</v>
      </c>
      <c r="BZ195" s="138">
        <v>0</v>
      </c>
      <c r="CA195" s="138">
        <v>993899.107109914</v>
      </c>
      <c r="CB195" s="86">
        <v>1359734.09294584</v>
      </c>
      <c r="CC195" s="138">
        <v>0</v>
      </c>
      <c r="CD195" s="138">
        <v>0</v>
      </c>
      <c r="CE195" s="138">
        <v>0</v>
      </c>
      <c r="CF195" s="138">
        <v>0</v>
      </c>
      <c r="CG195" s="138">
        <v>0</v>
      </c>
      <c r="CH195" s="138">
        <v>0</v>
      </c>
      <c r="CI195" s="138">
        <v>0</v>
      </c>
      <c r="CJ195" s="138">
        <v>0</v>
      </c>
      <c r="CK195" s="138">
        <v>0</v>
      </c>
      <c r="CL195" s="138">
        <v>0</v>
      </c>
      <c r="CM195" s="138">
        <v>0</v>
      </c>
      <c r="CN195" s="138">
        <v>203258.948908561</v>
      </c>
      <c r="CO195" s="86">
        <v>203258.948908561</v>
      </c>
      <c r="CP195" s="138">
        <v>0</v>
      </c>
      <c r="CQ195" s="138">
        <v>0</v>
      </c>
      <c r="CR195" s="138">
        <v>0</v>
      </c>
      <c r="CS195" s="138">
        <v>0</v>
      </c>
      <c r="CT195" s="138">
        <v>0</v>
      </c>
      <c r="CU195" s="138">
        <v>0</v>
      </c>
      <c r="CV195" s="138">
        <v>0</v>
      </c>
      <c r="CW195" s="138">
        <v>0</v>
      </c>
      <c r="CX195" s="138">
        <v>285040.091257999</v>
      </c>
      <c r="CY195" s="138">
        <v>688846.887206832</v>
      </c>
      <c r="CZ195" s="138">
        <v>0</v>
      </c>
      <c r="DA195" s="138">
        <v>427560.136886999</v>
      </c>
      <c r="DB195" s="86">
        <v>1401447.11535183</v>
      </c>
      <c r="DC195" s="138">
        <v>0</v>
      </c>
      <c r="DD195" s="138">
        <v>0</v>
      </c>
      <c r="DE195" s="138">
        <v>0</v>
      </c>
      <c r="DF195" s="138">
        <v>0</v>
      </c>
      <c r="DG195" s="138">
        <v>0</v>
      </c>
      <c r="DH195" s="138">
        <v>0</v>
      </c>
      <c r="DI195" s="138">
        <v>0</v>
      </c>
      <c r="DJ195" s="138">
        <v>0</v>
      </c>
      <c r="DK195" s="138">
        <v>0</v>
      </c>
      <c r="DL195" s="138">
        <v>0</v>
      </c>
      <c r="DM195" s="138">
        <v>0</v>
      </c>
      <c r="DN195" s="138">
        <v>53146.6448742419</v>
      </c>
      <c r="DO195" s="86">
        <v>53146.6448742419</v>
      </c>
      <c r="DP195" s="138">
        <v>0</v>
      </c>
      <c r="DQ195" s="138">
        <v>0</v>
      </c>
      <c r="DR195" s="138">
        <v>0</v>
      </c>
      <c r="DS195" s="138">
        <v>0</v>
      </c>
      <c r="DT195" s="138">
        <v>0</v>
      </c>
      <c r="DU195" s="138">
        <v>0</v>
      </c>
      <c r="DV195" s="138">
        <v>0</v>
      </c>
      <c r="DW195" s="138">
        <v>0</v>
      </c>
      <c r="DX195" s="138">
        <v>303079.722631796</v>
      </c>
      <c r="DY195" s="138">
        <v>378849.653289745</v>
      </c>
      <c r="DZ195" s="138">
        <v>0</v>
      </c>
      <c r="EA195" s="138">
        <v>454619.583947695</v>
      </c>
      <c r="EB195" s="85">
        <v>1136548.95986924</v>
      </c>
      <c r="EC195" s="87">
        <v>0</v>
      </c>
      <c r="ED195" s="85">
        <v>0</v>
      </c>
      <c r="EE195" s="85">
        <v>0</v>
      </c>
      <c r="EF195" s="85">
        <v>0</v>
      </c>
      <c r="EG195" s="85">
        <v>0</v>
      </c>
      <c r="EH195" s="85">
        <v>0</v>
      </c>
      <c r="EI195" s="85">
        <v>0</v>
      </c>
      <c r="EJ195" s="85">
        <v>0</v>
      </c>
      <c r="EK195" s="85">
        <v>0</v>
      </c>
      <c r="EL195" s="85">
        <v>0</v>
      </c>
      <c r="EM195" s="85">
        <v>0</v>
      </c>
      <c r="EN195" s="85">
        <v>0</v>
      </c>
      <c r="EO195" s="152">
        <v>0</v>
      </c>
      <c r="EP195" s="85">
        <v>0</v>
      </c>
      <c r="EQ195" s="85">
        <v>0</v>
      </c>
      <c r="ER195" s="85">
        <v>0</v>
      </c>
      <c r="ES195" s="85">
        <v>0</v>
      </c>
      <c r="ET195" s="85">
        <v>0</v>
      </c>
      <c r="EU195" s="85">
        <v>0</v>
      </c>
      <c r="EV195" s="85">
        <v>0</v>
      </c>
      <c r="EW195" s="85">
        <v>0</v>
      </c>
      <c r="EX195" s="85">
        <v>0</v>
      </c>
      <c r="EY195" s="85">
        <v>0</v>
      </c>
      <c r="EZ195" s="85">
        <v>0</v>
      </c>
      <c r="FA195" s="85">
        <v>187365.521158741</v>
      </c>
      <c r="FB195" s="85">
        <v>187365.521158741</v>
      </c>
      <c r="FC195" s="87">
        <v>0</v>
      </c>
      <c r="FD195" s="85">
        <v>0</v>
      </c>
      <c r="FE195" s="85">
        <v>0</v>
      </c>
      <c r="FF195" s="85">
        <v>0</v>
      </c>
      <c r="FG195" s="85">
        <v>0</v>
      </c>
      <c r="FH195" s="85">
        <v>0</v>
      </c>
      <c r="FI195" s="85">
        <v>0</v>
      </c>
      <c r="FJ195" s="85">
        <v>0</v>
      </c>
      <c r="FK195" s="85">
        <v>0</v>
      </c>
      <c r="FL195" s="85">
        <v>0</v>
      </c>
      <c r="FM195" s="85">
        <v>0</v>
      </c>
      <c r="FN195" s="85">
        <v>0</v>
      </c>
      <c r="FO195" s="86">
        <v>0</v>
      </c>
      <c r="FP195" s="87">
        <v>0</v>
      </c>
      <c r="FQ195" s="85">
        <v>0</v>
      </c>
      <c r="FR195" s="85">
        <v>0</v>
      </c>
      <c r="FS195" s="85">
        <v>0</v>
      </c>
      <c r="FT195" s="85">
        <v>0</v>
      </c>
      <c r="FU195" s="85">
        <v>0</v>
      </c>
      <c r="FV195" s="85">
        <v>0</v>
      </c>
      <c r="FW195" s="85">
        <v>0</v>
      </c>
      <c r="FX195" s="85">
        <v>3419640</v>
      </c>
      <c r="FY195" s="85">
        <v>0</v>
      </c>
      <c r="FZ195" s="85">
        <v>0</v>
      </c>
      <c r="GA195" s="85">
        <v>14327088</v>
      </c>
      <c r="GB195" s="152">
        <v>17746728</v>
      </c>
      <c r="GD195" s="153"/>
    </row>
    <row r="196" spans="1:186">
      <c r="A196" s="137" t="s">
        <v>367</v>
      </c>
      <c r="B196" s="151"/>
      <c r="C196" s="138">
        <f t="shared" si="117"/>
        <v>0</v>
      </c>
      <c r="D196" s="138">
        <f t="shared" si="118"/>
        <v>0</v>
      </c>
      <c r="E196" s="138">
        <f t="shared" si="119"/>
        <v>0</v>
      </c>
      <c r="F196" s="138">
        <f t="shared" si="120"/>
        <v>0</v>
      </c>
      <c r="G196" s="138">
        <f t="shared" si="121"/>
        <v>0</v>
      </c>
      <c r="H196" s="138">
        <f t="shared" si="122"/>
        <v>0</v>
      </c>
      <c r="I196" s="138">
        <f t="shared" si="123"/>
        <v>0</v>
      </c>
      <c r="J196" s="138">
        <f t="shared" si="124"/>
        <v>0</v>
      </c>
      <c r="K196" s="138">
        <f t="shared" si="125"/>
        <v>0</v>
      </c>
      <c r="L196" s="138">
        <f t="shared" si="126"/>
        <v>0</v>
      </c>
      <c r="M196" s="138">
        <f t="shared" si="127"/>
        <v>0</v>
      </c>
      <c r="N196" s="138">
        <f t="shared" si="128"/>
        <v>1516162.29120072</v>
      </c>
      <c r="O196" s="86">
        <f t="shared" si="129"/>
        <v>1516162.29120072</v>
      </c>
      <c r="P196" s="138">
        <v>0</v>
      </c>
      <c r="Q196" s="138">
        <v>0</v>
      </c>
      <c r="R196" s="138">
        <v>0</v>
      </c>
      <c r="S196" s="138">
        <v>0</v>
      </c>
      <c r="T196" s="138">
        <v>0</v>
      </c>
      <c r="U196" s="138">
        <v>0</v>
      </c>
      <c r="V196" s="138">
        <v>0</v>
      </c>
      <c r="W196" s="138">
        <v>0</v>
      </c>
      <c r="X196" s="138">
        <v>0</v>
      </c>
      <c r="Y196" s="138">
        <v>0</v>
      </c>
      <c r="Z196" s="138">
        <v>0</v>
      </c>
      <c r="AA196" s="138">
        <v>311228.022067863</v>
      </c>
      <c r="AB196" s="86">
        <v>311228.022067863</v>
      </c>
      <c r="AC196" s="138">
        <v>0</v>
      </c>
      <c r="AD196" s="138">
        <v>0</v>
      </c>
      <c r="AE196" s="138">
        <v>0</v>
      </c>
      <c r="AF196" s="138">
        <v>0</v>
      </c>
      <c r="AG196" s="138">
        <v>0</v>
      </c>
      <c r="AH196" s="138">
        <v>0</v>
      </c>
      <c r="AI196" s="138">
        <v>0</v>
      </c>
      <c r="AJ196" s="138">
        <v>0</v>
      </c>
      <c r="AK196" s="138">
        <v>0</v>
      </c>
      <c r="AL196" s="138">
        <v>0</v>
      </c>
      <c r="AM196" s="138">
        <v>0</v>
      </c>
      <c r="AN196" s="138">
        <v>169433.746268252</v>
      </c>
      <c r="AO196" s="86">
        <v>169433.746268252</v>
      </c>
      <c r="AP196" s="138">
        <v>0</v>
      </c>
      <c r="AQ196" s="138">
        <v>0</v>
      </c>
      <c r="AR196" s="138">
        <v>0</v>
      </c>
      <c r="AS196" s="138">
        <v>0</v>
      </c>
      <c r="AT196" s="138">
        <v>0</v>
      </c>
      <c r="AU196" s="138">
        <v>0</v>
      </c>
      <c r="AV196" s="138">
        <v>0</v>
      </c>
      <c r="AW196" s="138">
        <v>0</v>
      </c>
      <c r="AX196" s="138">
        <v>0</v>
      </c>
      <c r="AY196" s="138">
        <v>0</v>
      </c>
      <c r="AZ196" s="138">
        <v>0</v>
      </c>
      <c r="BA196" s="138">
        <v>71086.7899106802</v>
      </c>
      <c r="BB196" s="86">
        <v>71086.7899106802</v>
      </c>
      <c r="BC196" s="138">
        <v>0</v>
      </c>
      <c r="BD196" s="138">
        <v>0</v>
      </c>
      <c r="BE196" s="138">
        <v>0</v>
      </c>
      <c r="BF196" s="138">
        <v>0</v>
      </c>
      <c r="BG196" s="138">
        <v>0</v>
      </c>
      <c r="BH196" s="138">
        <v>0</v>
      </c>
      <c r="BI196" s="138">
        <v>0</v>
      </c>
      <c r="BJ196" s="138">
        <v>0</v>
      </c>
      <c r="BK196" s="138">
        <v>0</v>
      </c>
      <c r="BL196" s="138">
        <v>0</v>
      </c>
      <c r="BM196" s="138">
        <v>0</v>
      </c>
      <c r="BN196" s="138">
        <v>85390.2208041365</v>
      </c>
      <c r="BO196" s="86">
        <v>85390.2208041365</v>
      </c>
      <c r="BP196" s="138">
        <v>0</v>
      </c>
      <c r="BQ196" s="138">
        <v>0</v>
      </c>
      <c r="BR196" s="138">
        <v>0</v>
      </c>
      <c r="BS196" s="138">
        <v>0</v>
      </c>
      <c r="BT196" s="138">
        <v>0</v>
      </c>
      <c r="BU196" s="138">
        <v>0</v>
      </c>
      <c r="BV196" s="138">
        <v>0</v>
      </c>
      <c r="BW196" s="138">
        <v>0</v>
      </c>
      <c r="BX196" s="138">
        <v>0</v>
      </c>
      <c r="BY196" s="138">
        <v>0</v>
      </c>
      <c r="BZ196" s="138">
        <v>0</v>
      </c>
      <c r="CA196" s="138">
        <v>79801.4725305065</v>
      </c>
      <c r="CB196" s="86">
        <v>79801.4725305065</v>
      </c>
      <c r="CC196" s="138">
        <v>0</v>
      </c>
      <c r="CD196" s="138">
        <v>0</v>
      </c>
      <c r="CE196" s="138">
        <v>0</v>
      </c>
      <c r="CF196" s="138">
        <v>0</v>
      </c>
      <c r="CG196" s="138">
        <v>0</v>
      </c>
      <c r="CH196" s="138">
        <v>0</v>
      </c>
      <c r="CI196" s="138">
        <v>0</v>
      </c>
      <c r="CJ196" s="138">
        <v>0</v>
      </c>
      <c r="CK196" s="138">
        <v>0</v>
      </c>
      <c r="CL196" s="138">
        <v>0</v>
      </c>
      <c r="CM196" s="138">
        <v>0</v>
      </c>
      <c r="CN196" s="138">
        <v>17314.6512033219</v>
      </c>
      <c r="CO196" s="86">
        <v>17314.6512033219</v>
      </c>
      <c r="CP196" s="138">
        <v>0</v>
      </c>
      <c r="CQ196" s="138">
        <v>0</v>
      </c>
      <c r="CR196" s="138">
        <v>0</v>
      </c>
      <c r="CS196" s="138">
        <v>0</v>
      </c>
      <c r="CT196" s="138">
        <v>0</v>
      </c>
      <c r="CU196" s="138">
        <v>0</v>
      </c>
      <c r="CV196" s="138">
        <v>0</v>
      </c>
      <c r="CW196" s="138">
        <v>0</v>
      </c>
      <c r="CX196" s="138">
        <v>0</v>
      </c>
      <c r="CY196" s="138">
        <v>0</v>
      </c>
      <c r="CZ196" s="138">
        <v>0</v>
      </c>
      <c r="DA196" s="138">
        <v>91620.0293329284</v>
      </c>
      <c r="DB196" s="86">
        <v>91620.0293329284</v>
      </c>
      <c r="DC196" s="138">
        <v>0</v>
      </c>
      <c r="DD196" s="138">
        <v>0</v>
      </c>
      <c r="DE196" s="138">
        <v>0</v>
      </c>
      <c r="DF196" s="138">
        <v>0</v>
      </c>
      <c r="DG196" s="138">
        <v>0</v>
      </c>
      <c r="DH196" s="138">
        <v>0</v>
      </c>
      <c r="DI196" s="138">
        <v>0</v>
      </c>
      <c r="DJ196" s="138">
        <v>0</v>
      </c>
      <c r="DK196" s="138">
        <v>0</v>
      </c>
      <c r="DL196" s="138">
        <v>0</v>
      </c>
      <c r="DM196" s="138">
        <v>0</v>
      </c>
      <c r="DN196" s="138">
        <v>0</v>
      </c>
      <c r="DO196" s="86">
        <v>0</v>
      </c>
      <c r="DP196" s="138">
        <v>0</v>
      </c>
      <c r="DQ196" s="138">
        <v>0</v>
      </c>
      <c r="DR196" s="138">
        <v>0</v>
      </c>
      <c r="DS196" s="138">
        <v>0</v>
      </c>
      <c r="DT196" s="138">
        <v>0</v>
      </c>
      <c r="DU196" s="138">
        <v>0</v>
      </c>
      <c r="DV196" s="138">
        <v>0</v>
      </c>
      <c r="DW196" s="138">
        <v>0</v>
      </c>
      <c r="DX196" s="138">
        <v>0</v>
      </c>
      <c r="DY196" s="138">
        <v>0</v>
      </c>
      <c r="DZ196" s="138">
        <v>0</v>
      </c>
      <c r="EA196" s="138">
        <v>194836.964549012</v>
      </c>
      <c r="EB196" s="85">
        <v>194836.964549012</v>
      </c>
      <c r="EC196" s="87">
        <v>0</v>
      </c>
      <c r="ED196" s="85">
        <v>0</v>
      </c>
      <c r="EE196" s="85">
        <v>0</v>
      </c>
      <c r="EF196" s="85">
        <v>0</v>
      </c>
      <c r="EG196" s="85">
        <v>0</v>
      </c>
      <c r="EH196" s="85">
        <v>0</v>
      </c>
      <c r="EI196" s="85">
        <v>0</v>
      </c>
      <c r="EJ196" s="85">
        <v>0</v>
      </c>
      <c r="EK196" s="85">
        <v>0</v>
      </c>
      <c r="EL196" s="85">
        <v>0</v>
      </c>
      <c r="EM196" s="85">
        <v>0</v>
      </c>
      <c r="EN196" s="85">
        <v>0</v>
      </c>
      <c r="EO196" s="152">
        <v>0</v>
      </c>
      <c r="EP196" s="85">
        <v>0</v>
      </c>
      <c r="EQ196" s="85">
        <v>0</v>
      </c>
      <c r="ER196" s="85">
        <v>0</v>
      </c>
      <c r="ES196" s="85">
        <v>0</v>
      </c>
      <c r="ET196" s="85">
        <v>0</v>
      </c>
      <c r="EU196" s="85">
        <v>0</v>
      </c>
      <c r="EV196" s="85">
        <v>0</v>
      </c>
      <c r="EW196" s="85">
        <v>0</v>
      </c>
      <c r="EX196" s="85">
        <v>0</v>
      </c>
      <c r="EY196" s="85">
        <v>0</v>
      </c>
      <c r="EZ196" s="85">
        <v>0</v>
      </c>
      <c r="FA196" s="85">
        <v>40149.7545340159</v>
      </c>
      <c r="FB196" s="85">
        <v>40149.7545340159</v>
      </c>
      <c r="FC196" s="87">
        <v>0</v>
      </c>
      <c r="FD196" s="85">
        <v>0</v>
      </c>
      <c r="FE196" s="85">
        <v>0</v>
      </c>
      <c r="FF196" s="85">
        <v>0</v>
      </c>
      <c r="FG196" s="85">
        <v>0</v>
      </c>
      <c r="FH196" s="85">
        <v>0</v>
      </c>
      <c r="FI196" s="85">
        <v>0</v>
      </c>
      <c r="FJ196" s="85">
        <v>0</v>
      </c>
      <c r="FK196" s="85">
        <v>0</v>
      </c>
      <c r="FL196" s="85">
        <v>0</v>
      </c>
      <c r="FM196" s="85">
        <v>0</v>
      </c>
      <c r="FN196" s="85">
        <v>0</v>
      </c>
      <c r="FO196" s="86">
        <v>0</v>
      </c>
      <c r="FP196" s="87">
        <v>0</v>
      </c>
      <c r="FQ196" s="85">
        <v>0</v>
      </c>
      <c r="FR196" s="85">
        <v>0</v>
      </c>
      <c r="FS196" s="85">
        <v>0</v>
      </c>
      <c r="FT196" s="85">
        <v>0</v>
      </c>
      <c r="FU196" s="85">
        <v>0</v>
      </c>
      <c r="FV196" s="85">
        <v>0</v>
      </c>
      <c r="FW196" s="85">
        <v>0</v>
      </c>
      <c r="FX196" s="85">
        <v>0</v>
      </c>
      <c r="FY196" s="85">
        <v>0</v>
      </c>
      <c r="FZ196" s="85">
        <v>0</v>
      </c>
      <c r="GA196" s="85">
        <v>455300.64</v>
      </c>
      <c r="GB196" s="152">
        <v>455300.64</v>
      </c>
      <c r="GD196" s="153"/>
    </row>
    <row r="197" spans="1:186">
      <c r="A197" s="137" t="s">
        <v>368</v>
      </c>
      <c r="B197" s="151"/>
      <c r="C197" s="138">
        <f t="shared" si="117"/>
        <v>0</v>
      </c>
      <c r="D197" s="138">
        <f t="shared" si="118"/>
        <v>0</v>
      </c>
      <c r="E197" s="138">
        <f t="shared" si="119"/>
        <v>0</v>
      </c>
      <c r="F197" s="138">
        <f t="shared" si="120"/>
        <v>0</v>
      </c>
      <c r="G197" s="138">
        <f t="shared" si="121"/>
        <v>0</v>
      </c>
      <c r="H197" s="138">
        <f t="shared" si="122"/>
        <v>0</v>
      </c>
      <c r="I197" s="138">
        <f t="shared" si="123"/>
        <v>0</v>
      </c>
      <c r="J197" s="138">
        <f t="shared" si="124"/>
        <v>0</v>
      </c>
      <c r="K197" s="138">
        <f t="shared" si="125"/>
        <v>0</v>
      </c>
      <c r="L197" s="138">
        <f t="shared" si="126"/>
        <v>0</v>
      </c>
      <c r="M197" s="138">
        <f t="shared" si="127"/>
        <v>0</v>
      </c>
      <c r="N197" s="138">
        <f t="shared" si="128"/>
        <v>0</v>
      </c>
      <c r="O197" s="86">
        <f t="shared" si="129"/>
        <v>0</v>
      </c>
      <c r="P197" s="138">
        <v>0</v>
      </c>
      <c r="Q197" s="138">
        <v>0</v>
      </c>
      <c r="R197" s="138">
        <v>0</v>
      </c>
      <c r="S197" s="138">
        <v>0</v>
      </c>
      <c r="T197" s="138">
        <v>0</v>
      </c>
      <c r="U197" s="138">
        <v>0</v>
      </c>
      <c r="V197" s="138">
        <v>0</v>
      </c>
      <c r="W197" s="138">
        <v>0</v>
      </c>
      <c r="X197" s="138">
        <v>0</v>
      </c>
      <c r="Y197" s="138">
        <v>0</v>
      </c>
      <c r="Z197" s="138">
        <v>0</v>
      </c>
      <c r="AA197" s="138">
        <v>0</v>
      </c>
      <c r="AB197" s="86">
        <v>0</v>
      </c>
      <c r="AC197" s="138">
        <v>0</v>
      </c>
      <c r="AD197" s="138">
        <v>0</v>
      </c>
      <c r="AE197" s="138">
        <v>0</v>
      </c>
      <c r="AF197" s="138">
        <v>0</v>
      </c>
      <c r="AG197" s="138">
        <v>0</v>
      </c>
      <c r="AH197" s="138">
        <v>0</v>
      </c>
      <c r="AI197" s="138">
        <v>0</v>
      </c>
      <c r="AJ197" s="138">
        <v>0</v>
      </c>
      <c r="AK197" s="138">
        <v>0</v>
      </c>
      <c r="AL197" s="138">
        <v>0</v>
      </c>
      <c r="AM197" s="138">
        <v>0</v>
      </c>
      <c r="AN197" s="138">
        <v>0</v>
      </c>
      <c r="AO197" s="86">
        <v>0</v>
      </c>
      <c r="AP197" s="138">
        <v>0</v>
      </c>
      <c r="AQ197" s="138">
        <v>0</v>
      </c>
      <c r="AR197" s="138">
        <v>0</v>
      </c>
      <c r="AS197" s="138">
        <v>0</v>
      </c>
      <c r="AT197" s="138">
        <v>0</v>
      </c>
      <c r="AU197" s="138">
        <v>0</v>
      </c>
      <c r="AV197" s="138">
        <v>0</v>
      </c>
      <c r="AW197" s="138">
        <v>0</v>
      </c>
      <c r="AX197" s="138">
        <v>0</v>
      </c>
      <c r="AY197" s="138">
        <v>0</v>
      </c>
      <c r="AZ197" s="138">
        <v>0</v>
      </c>
      <c r="BA197" s="138">
        <v>0</v>
      </c>
      <c r="BB197" s="86">
        <v>0</v>
      </c>
      <c r="BC197" s="138">
        <v>0</v>
      </c>
      <c r="BD197" s="138">
        <v>0</v>
      </c>
      <c r="BE197" s="138">
        <v>0</v>
      </c>
      <c r="BF197" s="138">
        <v>0</v>
      </c>
      <c r="BG197" s="138">
        <v>0</v>
      </c>
      <c r="BH197" s="138">
        <v>0</v>
      </c>
      <c r="BI197" s="138">
        <v>0</v>
      </c>
      <c r="BJ197" s="138">
        <v>0</v>
      </c>
      <c r="BK197" s="138">
        <v>0</v>
      </c>
      <c r="BL197" s="138">
        <v>0</v>
      </c>
      <c r="BM197" s="138">
        <v>0</v>
      </c>
      <c r="BN197" s="138">
        <v>0</v>
      </c>
      <c r="BO197" s="86">
        <v>0</v>
      </c>
      <c r="BP197" s="138">
        <v>0</v>
      </c>
      <c r="BQ197" s="138">
        <v>0</v>
      </c>
      <c r="BR197" s="138">
        <v>0</v>
      </c>
      <c r="BS197" s="138">
        <v>0</v>
      </c>
      <c r="BT197" s="138">
        <v>0</v>
      </c>
      <c r="BU197" s="138">
        <v>0</v>
      </c>
      <c r="BV197" s="138">
        <v>0</v>
      </c>
      <c r="BW197" s="138">
        <v>0</v>
      </c>
      <c r="BX197" s="138">
        <v>0</v>
      </c>
      <c r="BY197" s="138">
        <v>0</v>
      </c>
      <c r="BZ197" s="138">
        <v>0</v>
      </c>
      <c r="CA197" s="138">
        <v>0</v>
      </c>
      <c r="CB197" s="86">
        <v>0</v>
      </c>
      <c r="CC197" s="138">
        <v>0</v>
      </c>
      <c r="CD197" s="138">
        <v>0</v>
      </c>
      <c r="CE197" s="138">
        <v>0</v>
      </c>
      <c r="CF197" s="138">
        <v>0</v>
      </c>
      <c r="CG197" s="138">
        <v>0</v>
      </c>
      <c r="CH197" s="138">
        <v>0</v>
      </c>
      <c r="CI197" s="138">
        <v>0</v>
      </c>
      <c r="CJ197" s="138">
        <v>0</v>
      </c>
      <c r="CK197" s="138">
        <v>0</v>
      </c>
      <c r="CL197" s="138">
        <v>0</v>
      </c>
      <c r="CM197" s="138">
        <v>0</v>
      </c>
      <c r="CN197" s="138">
        <v>0</v>
      </c>
      <c r="CO197" s="86">
        <v>0</v>
      </c>
      <c r="CP197" s="138">
        <v>0</v>
      </c>
      <c r="CQ197" s="138">
        <v>0</v>
      </c>
      <c r="CR197" s="138">
        <v>0</v>
      </c>
      <c r="CS197" s="138">
        <v>0</v>
      </c>
      <c r="CT197" s="138">
        <v>0</v>
      </c>
      <c r="CU197" s="138">
        <v>0</v>
      </c>
      <c r="CV197" s="138">
        <v>0</v>
      </c>
      <c r="CW197" s="138">
        <v>0</v>
      </c>
      <c r="CX197" s="138">
        <v>0</v>
      </c>
      <c r="CY197" s="138">
        <v>0</v>
      </c>
      <c r="CZ197" s="138">
        <v>0</v>
      </c>
      <c r="DA197" s="138">
        <v>0</v>
      </c>
      <c r="DB197" s="86">
        <v>0</v>
      </c>
      <c r="DC197" s="138">
        <v>0</v>
      </c>
      <c r="DD197" s="138">
        <v>0</v>
      </c>
      <c r="DE197" s="138">
        <v>0</v>
      </c>
      <c r="DF197" s="138">
        <v>0</v>
      </c>
      <c r="DG197" s="138">
        <v>0</v>
      </c>
      <c r="DH197" s="138">
        <v>0</v>
      </c>
      <c r="DI197" s="138">
        <v>0</v>
      </c>
      <c r="DJ197" s="138">
        <v>0</v>
      </c>
      <c r="DK197" s="138">
        <v>0</v>
      </c>
      <c r="DL197" s="138">
        <v>0</v>
      </c>
      <c r="DM197" s="138">
        <v>0</v>
      </c>
      <c r="DN197" s="138">
        <v>0</v>
      </c>
      <c r="DO197" s="86">
        <v>0</v>
      </c>
      <c r="DP197" s="138">
        <v>0</v>
      </c>
      <c r="DQ197" s="138">
        <v>0</v>
      </c>
      <c r="DR197" s="138">
        <v>0</v>
      </c>
      <c r="DS197" s="138">
        <v>0</v>
      </c>
      <c r="DT197" s="138">
        <v>0</v>
      </c>
      <c r="DU197" s="138">
        <v>0</v>
      </c>
      <c r="DV197" s="138">
        <v>0</v>
      </c>
      <c r="DW197" s="138">
        <v>0</v>
      </c>
      <c r="DX197" s="138">
        <v>0</v>
      </c>
      <c r="DY197" s="138">
        <v>0</v>
      </c>
      <c r="DZ197" s="138">
        <v>0</v>
      </c>
      <c r="EA197" s="138">
        <v>0</v>
      </c>
      <c r="EB197" s="85">
        <v>0</v>
      </c>
      <c r="EC197" s="87">
        <v>0</v>
      </c>
      <c r="ED197" s="85">
        <v>0</v>
      </c>
      <c r="EE197" s="85">
        <v>0</v>
      </c>
      <c r="EF197" s="85">
        <v>0</v>
      </c>
      <c r="EG197" s="85">
        <v>0</v>
      </c>
      <c r="EH197" s="85">
        <v>0</v>
      </c>
      <c r="EI197" s="85">
        <v>0</v>
      </c>
      <c r="EJ197" s="85">
        <v>0</v>
      </c>
      <c r="EK197" s="85">
        <v>0</v>
      </c>
      <c r="EL197" s="85">
        <v>0</v>
      </c>
      <c r="EM197" s="85">
        <v>0</v>
      </c>
      <c r="EN197" s="85">
        <v>0</v>
      </c>
      <c r="EO197" s="152">
        <v>0</v>
      </c>
      <c r="EP197" s="85">
        <v>0</v>
      </c>
      <c r="EQ197" s="85">
        <v>0</v>
      </c>
      <c r="ER197" s="85">
        <v>0</v>
      </c>
      <c r="ES197" s="85">
        <v>0</v>
      </c>
      <c r="ET197" s="85">
        <v>0</v>
      </c>
      <c r="EU197" s="85">
        <v>0</v>
      </c>
      <c r="EV197" s="85">
        <v>0</v>
      </c>
      <c r="EW197" s="85">
        <v>0</v>
      </c>
      <c r="EX197" s="85">
        <v>0</v>
      </c>
      <c r="EY197" s="85">
        <v>0</v>
      </c>
      <c r="EZ197" s="85">
        <v>0</v>
      </c>
      <c r="FA197" s="85">
        <v>0</v>
      </c>
      <c r="FB197" s="85">
        <v>0</v>
      </c>
      <c r="FC197" s="87">
        <v>0</v>
      </c>
      <c r="FD197" s="85">
        <v>0</v>
      </c>
      <c r="FE197" s="85">
        <v>0</v>
      </c>
      <c r="FF197" s="85">
        <v>0</v>
      </c>
      <c r="FG197" s="85">
        <v>0</v>
      </c>
      <c r="FH197" s="85">
        <v>0</v>
      </c>
      <c r="FI197" s="85">
        <v>0</v>
      </c>
      <c r="FJ197" s="85">
        <v>0</v>
      </c>
      <c r="FK197" s="85">
        <v>0</v>
      </c>
      <c r="FL197" s="85">
        <v>0</v>
      </c>
      <c r="FM197" s="85">
        <v>0</v>
      </c>
      <c r="FN197" s="85">
        <v>0</v>
      </c>
      <c r="FO197" s="86">
        <v>0</v>
      </c>
      <c r="FP197" s="87">
        <v>0</v>
      </c>
      <c r="FQ197" s="85">
        <v>0</v>
      </c>
      <c r="FR197" s="85">
        <v>0</v>
      </c>
      <c r="FS197" s="85">
        <v>0</v>
      </c>
      <c r="FT197" s="85">
        <v>0</v>
      </c>
      <c r="FU197" s="85">
        <v>0</v>
      </c>
      <c r="FV197" s="85">
        <v>0</v>
      </c>
      <c r="FW197" s="85">
        <v>0</v>
      </c>
      <c r="FX197" s="85">
        <v>0</v>
      </c>
      <c r="FY197" s="85">
        <v>0</v>
      </c>
      <c r="FZ197" s="85">
        <v>0</v>
      </c>
      <c r="GA197" s="85">
        <v>0</v>
      </c>
      <c r="GB197" s="152">
        <v>0</v>
      </c>
      <c r="GD197" s="153"/>
    </row>
    <row r="198" spans="1:186">
      <c r="A198" s="137" t="s">
        <v>369</v>
      </c>
      <c r="B198" s="151"/>
      <c r="C198" s="138">
        <f t="shared" si="117"/>
        <v>0</v>
      </c>
      <c r="D198" s="138">
        <f t="shared" si="118"/>
        <v>0</v>
      </c>
      <c r="E198" s="138">
        <f t="shared" si="119"/>
        <v>0</v>
      </c>
      <c r="F198" s="138">
        <f t="shared" si="120"/>
        <v>0</v>
      </c>
      <c r="G198" s="138">
        <f t="shared" si="121"/>
        <v>0</v>
      </c>
      <c r="H198" s="138">
        <f t="shared" si="122"/>
        <v>0</v>
      </c>
      <c r="I198" s="138">
        <f t="shared" si="123"/>
        <v>0</v>
      </c>
      <c r="J198" s="138">
        <f t="shared" si="124"/>
        <v>0</v>
      </c>
      <c r="K198" s="138">
        <f t="shared" si="125"/>
        <v>0</v>
      </c>
      <c r="L198" s="138">
        <f t="shared" si="126"/>
        <v>0</v>
      </c>
      <c r="M198" s="138">
        <f t="shared" si="127"/>
        <v>0</v>
      </c>
      <c r="N198" s="138">
        <f t="shared" si="128"/>
        <v>0</v>
      </c>
      <c r="O198" s="86">
        <f t="shared" si="129"/>
        <v>0</v>
      </c>
      <c r="P198" s="138">
        <v>0</v>
      </c>
      <c r="Q198" s="138">
        <v>0</v>
      </c>
      <c r="R198" s="138">
        <v>0</v>
      </c>
      <c r="S198" s="138">
        <v>0</v>
      </c>
      <c r="T198" s="138">
        <v>0</v>
      </c>
      <c r="U198" s="138">
        <v>0</v>
      </c>
      <c r="V198" s="138">
        <v>0</v>
      </c>
      <c r="W198" s="138">
        <v>0</v>
      </c>
      <c r="X198" s="138">
        <v>0</v>
      </c>
      <c r="Y198" s="138">
        <v>0</v>
      </c>
      <c r="Z198" s="138">
        <v>0</v>
      </c>
      <c r="AA198" s="138">
        <v>0</v>
      </c>
      <c r="AB198" s="86">
        <v>0</v>
      </c>
      <c r="AC198" s="138">
        <v>0</v>
      </c>
      <c r="AD198" s="138">
        <v>0</v>
      </c>
      <c r="AE198" s="138">
        <v>0</v>
      </c>
      <c r="AF198" s="138">
        <v>0</v>
      </c>
      <c r="AG198" s="138">
        <v>0</v>
      </c>
      <c r="AH198" s="138">
        <v>0</v>
      </c>
      <c r="AI198" s="138">
        <v>0</v>
      </c>
      <c r="AJ198" s="138">
        <v>0</v>
      </c>
      <c r="AK198" s="138">
        <v>0</v>
      </c>
      <c r="AL198" s="138">
        <v>0</v>
      </c>
      <c r="AM198" s="138">
        <v>0</v>
      </c>
      <c r="AN198" s="138">
        <v>0</v>
      </c>
      <c r="AO198" s="86">
        <v>0</v>
      </c>
      <c r="AP198" s="138">
        <v>0</v>
      </c>
      <c r="AQ198" s="138">
        <v>0</v>
      </c>
      <c r="AR198" s="138">
        <v>0</v>
      </c>
      <c r="AS198" s="138">
        <v>0</v>
      </c>
      <c r="AT198" s="138">
        <v>0</v>
      </c>
      <c r="AU198" s="138">
        <v>0</v>
      </c>
      <c r="AV198" s="138">
        <v>0</v>
      </c>
      <c r="AW198" s="138">
        <v>0</v>
      </c>
      <c r="AX198" s="138">
        <v>0</v>
      </c>
      <c r="AY198" s="138">
        <v>0</v>
      </c>
      <c r="AZ198" s="138">
        <v>0</v>
      </c>
      <c r="BA198" s="138">
        <v>0</v>
      </c>
      <c r="BB198" s="86">
        <v>0</v>
      </c>
      <c r="BC198" s="138">
        <v>0</v>
      </c>
      <c r="BD198" s="138">
        <v>0</v>
      </c>
      <c r="BE198" s="138">
        <v>0</v>
      </c>
      <c r="BF198" s="138">
        <v>0</v>
      </c>
      <c r="BG198" s="138">
        <v>0</v>
      </c>
      <c r="BH198" s="138">
        <v>0</v>
      </c>
      <c r="BI198" s="138">
        <v>0</v>
      </c>
      <c r="BJ198" s="138">
        <v>0</v>
      </c>
      <c r="BK198" s="138">
        <v>0</v>
      </c>
      <c r="BL198" s="138">
        <v>0</v>
      </c>
      <c r="BM198" s="138">
        <v>0</v>
      </c>
      <c r="BN198" s="138">
        <v>0</v>
      </c>
      <c r="BO198" s="86">
        <v>0</v>
      </c>
      <c r="BP198" s="138">
        <v>0</v>
      </c>
      <c r="BQ198" s="138">
        <v>0</v>
      </c>
      <c r="BR198" s="138">
        <v>0</v>
      </c>
      <c r="BS198" s="138">
        <v>0</v>
      </c>
      <c r="BT198" s="138">
        <v>0</v>
      </c>
      <c r="BU198" s="138">
        <v>0</v>
      </c>
      <c r="BV198" s="138">
        <v>0</v>
      </c>
      <c r="BW198" s="138">
        <v>0</v>
      </c>
      <c r="BX198" s="138">
        <v>0</v>
      </c>
      <c r="BY198" s="138">
        <v>0</v>
      </c>
      <c r="BZ198" s="138">
        <v>0</v>
      </c>
      <c r="CA198" s="138">
        <v>0</v>
      </c>
      <c r="CB198" s="86">
        <v>0</v>
      </c>
      <c r="CC198" s="138">
        <v>0</v>
      </c>
      <c r="CD198" s="138">
        <v>0</v>
      </c>
      <c r="CE198" s="138">
        <v>0</v>
      </c>
      <c r="CF198" s="138">
        <v>0</v>
      </c>
      <c r="CG198" s="138">
        <v>0</v>
      </c>
      <c r="CH198" s="138">
        <v>0</v>
      </c>
      <c r="CI198" s="138">
        <v>0</v>
      </c>
      <c r="CJ198" s="138">
        <v>0</v>
      </c>
      <c r="CK198" s="138">
        <v>0</v>
      </c>
      <c r="CL198" s="138">
        <v>0</v>
      </c>
      <c r="CM198" s="138">
        <v>0</v>
      </c>
      <c r="CN198" s="138">
        <v>0</v>
      </c>
      <c r="CO198" s="86">
        <v>0</v>
      </c>
      <c r="CP198" s="138">
        <v>0</v>
      </c>
      <c r="CQ198" s="138">
        <v>0</v>
      </c>
      <c r="CR198" s="138">
        <v>0</v>
      </c>
      <c r="CS198" s="138">
        <v>0</v>
      </c>
      <c r="CT198" s="138">
        <v>0</v>
      </c>
      <c r="CU198" s="138">
        <v>0</v>
      </c>
      <c r="CV198" s="138">
        <v>0</v>
      </c>
      <c r="CW198" s="138">
        <v>0</v>
      </c>
      <c r="CX198" s="138">
        <v>0</v>
      </c>
      <c r="CY198" s="138">
        <v>0</v>
      </c>
      <c r="CZ198" s="138">
        <v>0</v>
      </c>
      <c r="DA198" s="138">
        <v>0</v>
      </c>
      <c r="DB198" s="86">
        <v>0</v>
      </c>
      <c r="DC198" s="138">
        <v>0</v>
      </c>
      <c r="DD198" s="138">
        <v>0</v>
      </c>
      <c r="DE198" s="138">
        <v>0</v>
      </c>
      <c r="DF198" s="138">
        <v>0</v>
      </c>
      <c r="DG198" s="138">
        <v>0</v>
      </c>
      <c r="DH198" s="138">
        <v>0</v>
      </c>
      <c r="DI198" s="138">
        <v>0</v>
      </c>
      <c r="DJ198" s="138">
        <v>0</v>
      </c>
      <c r="DK198" s="138">
        <v>0</v>
      </c>
      <c r="DL198" s="138">
        <v>0</v>
      </c>
      <c r="DM198" s="138">
        <v>0</v>
      </c>
      <c r="DN198" s="138">
        <v>0</v>
      </c>
      <c r="DO198" s="86">
        <v>0</v>
      </c>
      <c r="DP198" s="138">
        <v>0</v>
      </c>
      <c r="DQ198" s="138">
        <v>0</v>
      </c>
      <c r="DR198" s="138">
        <v>0</v>
      </c>
      <c r="DS198" s="138">
        <v>0</v>
      </c>
      <c r="DT198" s="138">
        <v>0</v>
      </c>
      <c r="DU198" s="138">
        <v>0</v>
      </c>
      <c r="DV198" s="138">
        <v>0</v>
      </c>
      <c r="DW198" s="138">
        <v>0</v>
      </c>
      <c r="DX198" s="138">
        <v>0</v>
      </c>
      <c r="DY198" s="138">
        <v>0</v>
      </c>
      <c r="DZ198" s="138">
        <v>0</v>
      </c>
      <c r="EA198" s="138">
        <v>0</v>
      </c>
      <c r="EB198" s="85">
        <v>0</v>
      </c>
      <c r="EC198" s="87">
        <v>0</v>
      </c>
      <c r="ED198" s="85">
        <v>0</v>
      </c>
      <c r="EE198" s="85">
        <v>0</v>
      </c>
      <c r="EF198" s="85">
        <v>0</v>
      </c>
      <c r="EG198" s="85">
        <v>0</v>
      </c>
      <c r="EH198" s="85">
        <v>0</v>
      </c>
      <c r="EI198" s="85">
        <v>0</v>
      </c>
      <c r="EJ198" s="85">
        <v>0</v>
      </c>
      <c r="EK198" s="85">
        <v>0</v>
      </c>
      <c r="EL198" s="85">
        <v>0</v>
      </c>
      <c r="EM198" s="85">
        <v>0</v>
      </c>
      <c r="EN198" s="85">
        <v>0</v>
      </c>
      <c r="EO198" s="152">
        <v>0</v>
      </c>
      <c r="EP198" s="85">
        <v>0</v>
      </c>
      <c r="EQ198" s="85">
        <v>0</v>
      </c>
      <c r="ER198" s="85">
        <v>0</v>
      </c>
      <c r="ES198" s="85">
        <v>0</v>
      </c>
      <c r="ET198" s="85">
        <v>0</v>
      </c>
      <c r="EU198" s="85">
        <v>0</v>
      </c>
      <c r="EV198" s="85">
        <v>0</v>
      </c>
      <c r="EW198" s="85">
        <v>0</v>
      </c>
      <c r="EX198" s="85">
        <v>0</v>
      </c>
      <c r="EY198" s="85">
        <v>0</v>
      </c>
      <c r="EZ198" s="85">
        <v>0</v>
      </c>
      <c r="FA198" s="85">
        <v>0</v>
      </c>
      <c r="FB198" s="85">
        <v>0</v>
      </c>
      <c r="FC198" s="87">
        <v>0</v>
      </c>
      <c r="FD198" s="85">
        <v>0</v>
      </c>
      <c r="FE198" s="85">
        <v>0</v>
      </c>
      <c r="FF198" s="85">
        <v>0</v>
      </c>
      <c r="FG198" s="85">
        <v>0</v>
      </c>
      <c r="FH198" s="85">
        <v>0</v>
      </c>
      <c r="FI198" s="85">
        <v>0</v>
      </c>
      <c r="FJ198" s="85">
        <v>0</v>
      </c>
      <c r="FK198" s="85">
        <v>0</v>
      </c>
      <c r="FL198" s="85">
        <v>0</v>
      </c>
      <c r="FM198" s="85">
        <v>0</v>
      </c>
      <c r="FN198" s="85">
        <v>0</v>
      </c>
      <c r="FO198" s="86">
        <v>0</v>
      </c>
      <c r="FP198" s="87">
        <v>0</v>
      </c>
      <c r="FQ198" s="85">
        <v>0</v>
      </c>
      <c r="FR198" s="85">
        <v>0</v>
      </c>
      <c r="FS198" s="85">
        <v>0</v>
      </c>
      <c r="FT198" s="85">
        <v>0</v>
      </c>
      <c r="FU198" s="85">
        <v>0</v>
      </c>
      <c r="FV198" s="85">
        <v>0</v>
      </c>
      <c r="FW198" s="85">
        <v>0</v>
      </c>
      <c r="FX198" s="85">
        <v>0</v>
      </c>
      <c r="FY198" s="85">
        <v>0</v>
      </c>
      <c r="FZ198" s="85">
        <v>0</v>
      </c>
      <c r="GA198" s="85">
        <v>0</v>
      </c>
      <c r="GB198" s="152">
        <v>0</v>
      </c>
      <c r="GD198" s="153"/>
    </row>
    <row r="199" spans="1:186">
      <c r="A199" s="137" t="s">
        <v>370</v>
      </c>
      <c r="B199" s="151"/>
      <c r="C199" s="138">
        <f t="shared" si="117"/>
        <v>0</v>
      </c>
      <c r="D199" s="138">
        <f t="shared" si="118"/>
        <v>0</v>
      </c>
      <c r="E199" s="138">
        <f t="shared" si="119"/>
        <v>0</v>
      </c>
      <c r="F199" s="138">
        <f t="shared" si="120"/>
        <v>0</v>
      </c>
      <c r="G199" s="138">
        <f t="shared" si="121"/>
        <v>0</v>
      </c>
      <c r="H199" s="138">
        <f t="shared" si="122"/>
        <v>0</v>
      </c>
      <c r="I199" s="138">
        <f t="shared" si="123"/>
        <v>25704.621630162</v>
      </c>
      <c r="J199" s="138">
        <f t="shared" si="124"/>
        <v>19539820.2480847</v>
      </c>
      <c r="K199" s="138">
        <f t="shared" si="125"/>
        <v>4872190.25606614</v>
      </c>
      <c r="L199" s="138">
        <f t="shared" si="126"/>
        <v>122995.51477009</v>
      </c>
      <c r="M199" s="138">
        <f t="shared" si="127"/>
        <v>0</v>
      </c>
      <c r="N199" s="138">
        <f t="shared" si="128"/>
        <v>0</v>
      </c>
      <c r="O199" s="86">
        <f t="shared" si="129"/>
        <v>24560710.6405511</v>
      </c>
      <c r="P199" s="138">
        <v>0</v>
      </c>
      <c r="Q199" s="138">
        <v>0</v>
      </c>
      <c r="R199" s="138">
        <v>0</v>
      </c>
      <c r="S199" s="138">
        <v>0</v>
      </c>
      <c r="T199" s="138">
        <v>0</v>
      </c>
      <c r="U199" s="138">
        <v>0</v>
      </c>
      <c r="V199" s="138">
        <v>0</v>
      </c>
      <c r="W199" s="138">
        <v>3520232.97677139</v>
      </c>
      <c r="X199" s="138">
        <v>1891999.39144396</v>
      </c>
      <c r="Y199" s="138">
        <v>0</v>
      </c>
      <c r="Z199" s="138">
        <v>0</v>
      </c>
      <c r="AA199" s="138">
        <v>0</v>
      </c>
      <c r="AB199" s="86">
        <v>5412232.36821535</v>
      </c>
      <c r="AC199" s="138">
        <v>0</v>
      </c>
      <c r="AD199" s="138">
        <v>0</v>
      </c>
      <c r="AE199" s="138">
        <v>0</v>
      </c>
      <c r="AF199" s="138">
        <v>0</v>
      </c>
      <c r="AG199" s="138">
        <v>0</v>
      </c>
      <c r="AH199" s="138">
        <v>0</v>
      </c>
      <c r="AI199" s="138">
        <v>0</v>
      </c>
      <c r="AJ199" s="138">
        <v>3573660.56138739</v>
      </c>
      <c r="AK199" s="138">
        <v>2290292.01696313</v>
      </c>
      <c r="AL199" s="138">
        <v>0</v>
      </c>
      <c r="AM199" s="138">
        <v>0</v>
      </c>
      <c r="AN199" s="138">
        <v>0</v>
      </c>
      <c r="AO199" s="86">
        <v>5863952.57835052</v>
      </c>
      <c r="AP199" s="138">
        <v>0</v>
      </c>
      <c r="AQ199" s="138">
        <v>0</v>
      </c>
      <c r="AR199" s="138">
        <v>0</v>
      </c>
      <c r="AS199" s="138">
        <v>0</v>
      </c>
      <c r="AT199" s="138">
        <v>0</v>
      </c>
      <c r="AU199" s="138">
        <v>0</v>
      </c>
      <c r="AV199" s="138">
        <v>0</v>
      </c>
      <c r="AW199" s="138">
        <v>0</v>
      </c>
      <c r="AX199" s="138">
        <v>0</v>
      </c>
      <c r="AY199" s="138">
        <v>0</v>
      </c>
      <c r="AZ199" s="138">
        <v>0</v>
      </c>
      <c r="BA199" s="138">
        <v>0</v>
      </c>
      <c r="BB199" s="86">
        <v>0</v>
      </c>
      <c r="BC199" s="138">
        <v>0</v>
      </c>
      <c r="BD199" s="138">
        <v>0</v>
      </c>
      <c r="BE199" s="138">
        <v>0</v>
      </c>
      <c r="BF199" s="138">
        <v>0</v>
      </c>
      <c r="BG199" s="138">
        <v>0</v>
      </c>
      <c r="BH199" s="138">
        <v>0</v>
      </c>
      <c r="BI199" s="138">
        <v>0</v>
      </c>
      <c r="BJ199" s="138">
        <v>434995.110328319</v>
      </c>
      <c r="BK199" s="138">
        <v>177741.600912958</v>
      </c>
      <c r="BL199" s="138">
        <v>65898.9747510184</v>
      </c>
      <c r="BM199" s="138">
        <v>0</v>
      </c>
      <c r="BN199" s="138">
        <v>0</v>
      </c>
      <c r="BO199" s="86">
        <v>678635.685992295</v>
      </c>
      <c r="BP199" s="138">
        <v>0</v>
      </c>
      <c r="BQ199" s="138">
        <v>0</v>
      </c>
      <c r="BR199" s="138">
        <v>0</v>
      </c>
      <c r="BS199" s="138">
        <v>0</v>
      </c>
      <c r="BT199" s="138">
        <v>0</v>
      </c>
      <c r="BU199" s="138">
        <v>0</v>
      </c>
      <c r="BV199" s="138">
        <v>0</v>
      </c>
      <c r="BW199" s="138">
        <v>414362.172840201</v>
      </c>
      <c r="BX199" s="138">
        <v>27226.3847457022</v>
      </c>
      <c r="BY199" s="138">
        <v>0</v>
      </c>
      <c r="BZ199" s="138">
        <v>0</v>
      </c>
      <c r="CA199" s="138">
        <v>0</v>
      </c>
      <c r="CB199" s="86">
        <v>441588.557585904</v>
      </c>
      <c r="CC199" s="138">
        <v>0</v>
      </c>
      <c r="CD199" s="138">
        <v>0</v>
      </c>
      <c r="CE199" s="138">
        <v>0</v>
      </c>
      <c r="CF199" s="138">
        <v>0</v>
      </c>
      <c r="CG199" s="138">
        <v>0</v>
      </c>
      <c r="CH199" s="138">
        <v>0</v>
      </c>
      <c r="CI199" s="138">
        <v>0</v>
      </c>
      <c r="CJ199" s="138">
        <v>341995.728387353</v>
      </c>
      <c r="CK199" s="138">
        <v>12421.3802110788</v>
      </c>
      <c r="CL199" s="138">
        <v>0</v>
      </c>
      <c r="CM199" s="138">
        <v>0</v>
      </c>
      <c r="CN199" s="138">
        <v>0</v>
      </c>
      <c r="CO199" s="86">
        <v>354417.108598432</v>
      </c>
      <c r="CP199" s="138">
        <v>0</v>
      </c>
      <c r="CQ199" s="138">
        <v>0</v>
      </c>
      <c r="CR199" s="138">
        <v>0</v>
      </c>
      <c r="CS199" s="138">
        <v>0</v>
      </c>
      <c r="CT199" s="138">
        <v>0</v>
      </c>
      <c r="CU199" s="138">
        <v>0</v>
      </c>
      <c r="CV199" s="138">
        <v>0</v>
      </c>
      <c r="CW199" s="138">
        <v>482148.560161047</v>
      </c>
      <c r="CX199" s="138">
        <v>208911.371232571</v>
      </c>
      <c r="CY199" s="138">
        <v>57096.5400190713</v>
      </c>
      <c r="CZ199" s="138">
        <v>0</v>
      </c>
      <c r="DA199" s="138">
        <v>0</v>
      </c>
      <c r="DB199" s="86">
        <v>748156.471412689</v>
      </c>
      <c r="DC199" s="138">
        <v>0</v>
      </c>
      <c r="DD199" s="138">
        <v>0</v>
      </c>
      <c r="DE199" s="138">
        <v>0</v>
      </c>
      <c r="DF199" s="138">
        <v>0</v>
      </c>
      <c r="DG199" s="138">
        <v>0</v>
      </c>
      <c r="DH199" s="138">
        <v>0</v>
      </c>
      <c r="DI199" s="138">
        <v>0</v>
      </c>
      <c r="DJ199" s="138">
        <v>77161.6660829443</v>
      </c>
      <c r="DK199" s="138">
        <v>27357.3179748621</v>
      </c>
      <c r="DL199" s="138">
        <v>0</v>
      </c>
      <c r="DM199" s="138">
        <v>0</v>
      </c>
      <c r="DN199" s="138">
        <v>0</v>
      </c>
      <c r="DO199" s="86">
        <v>104518.984057806</v>
      </c>
      <c r="DP199" s="138">
        <v>0</v>
      </c>
      <c r="DQ199" s="138">
        <v>0</v>
      </c>
      <c r="DR199" s="138">
        <v>0</v>
      </c>
      <c r="DS199" s="138">
        <v>0</v>
      </c>
      <c r="DT199" s="138">
        <v>0</v>
      </c>
      <c r="DU199" s="138">
        <v>0</v>
      </c>
      <c r="DV199" s="138">
        <v>0</v>
      </c>
      <c r="DW199" s="138">
        <v>775018.147872736</v>
      </c>
      <c r="DX199" s="138">
        <v>0</v>
      </c>
      <c r="DY199" s="138">
        <v>0</v>
      </c>
      <c r="DZ199" s="138">
        <v>0</v>
      </c>
      <c r="EA199" s="138">
        <v>0</v>
      </c>
      <c r="EB199" s="85">
        <v>775018.147872736</v>
      </c>
      <c r="EC199" s="87">
        <v>0</v>
      </c>
      <c r="ED199" s="85">
        <v>0</v>
      </c>
      <c r="EE199" s="85">
        <v>0</v>
      </c>
      <c r="EF199" s="85">
        <v>0</v>
      </c>
      <c r="EG199" s="85">
        <v>0</v>
      </c>
      <c r="EH199" s="85">
        <v>0</v>
      </c>
      <c r="EI199" s="85">
        <v>0</v>
      </c>
      <c r="EJ199" s="85">
        <v>0</v>
      </c>
      <c r="EK199" s="85">
        <v>0</v>
      </c>
      <c r="EL199" s="85">
        <v>0</v>
      </c>
      <c r="EM199" s="85">
        <v>0</v>
      </c>
      <c r="EN199" s="85">
        <v>0</v>
      </c>
      <c r="EO199" s="152">
        <v>0</v>
      </c>
      <c r="EP199" s="85">
        <v>0</v>
      </c>
      <c r="EQ199" s="85">
        <v>0</v>
      </c>
      <c r="ER199" s="85">
        <v>0</v>
      </c>
      <c r="ES199" s="85">
        <v>0</v>
      </c>
      <c r="ET199" s="85">
        <v>0</v>
      </c>
      <c r="EU199" s="85">
        <v>0</v>
      </c>
      <c r="EV199" s="85">
        <v>25704.621630162</v>
      </c>
      <c r="EW199" s="85">
        <v>315824.124253323</v>
      </c>
      <c r="EX199" s="85">
        <v>236240.792581879</v>
      </c>
      <c r="EY199" s="85">
        <v>0</v>
      </c>
      <c r="EZ199" s="85">
        <v>0</v>
      </c>
      <c r="FA199" s="85">
        <v>0</v>
      </c>
      <c r="FB199" s="85">
        <v>577769.538465364</v>
      </c>
      <c r="FC199" s="87">
        <v>0</v>
      </c>
      <c r="FD199" s="85">
        <v>0</v>
      </c>
      <c r="FE199" s="85">
        <v>0</v>
      </c>
      <c r="FF199" s="85">
        <v>0</v>
      </c>
      <c r="FG199" s="85">
        <v>0</v>
      </c>
      <c r="FH199" s="85">
        <v>0</v>
      </c>
      <c r="FI199" s="85">
        <v>0</v>
      </c>
      <c r="FJ199" s="85">
        <v>0</v>
      </c>
      <c r="FK199" s="85">
        <v>0</v>
      </c>
      <c r="FL199" s="85">
        <v>0</v>
      </c>
      <c r="FM199" s="85">
        <v>0</v>
      </c>
      <c r="FN199" s="85">
        <v>0</v>
      </c>
      <c r="FO199" s="86">
        <v>0</v>
      </c>
      <c r="FP199" s="87">
        <v>0</v>
      </c>
      <c r="FQ199" s="85">
        <v>0</v>
      </c>
      <c r="FR199" s="85">
        <v>0</v>
      </c>
      <c r="FS199" s="85">
        <v>0</v>
      </c>
      <c r="FT199" s="85">
        <v>0</v>
      </c>
      <c r="FU199" s="85">
        <v>0</v>
      </c>
      <c r="FV199" s="85">
        <v>0</v>
      </c>
      <c r="FW199" s="85">
        <v>9604421.2</v>
      </c>
      <c r="FX199" s="85">
        <v>0</v>
      </c>
      <c r="FY199" s="85">
        <v>0</v>
      </c>
      <c r="FZ199" s="85">
        <v>0</v>
      </c>
      <c r="GA199" s="85">
        <v>0</v>
      </c>
      <c r="GB199" s="152">
        <v>9604421.2</v>
      </c>
      <c r="GD199" s="153"/>
    </row>
    <row r="200" spans="1:186">
      <c r="A200" s="137" t="s">
        <v>371</v>
      </c>
      <c r="B200" s="151"/>
      <c r="C200" s="138">
        <f t="shared" ref="C200:C202" si="130">P200+AC200+AP200+BC200+BP200+CC200+CP200+DC200+DP200+EC200+EP200+FP200+FC200</f>
        <v>0</v>
      </c>
      <c r="D200" s="138">
        <f t="shared" ref="D200:D202" si="131">Q200+AD200+AQ200+BD200+BQ200+CD200+CQ200+DD200+DQ200+ED200+EQ200+FQ200+FD200</f>
        <v>0</v>
      </c>
      <c r="E200" s="138">
        <f t="shared" ref="E200:E202" si="132">R200+AE200+AR200+BE200+BR200+CE200+CR200+DE200+DR200+EE200+ER200+FR200+FE200</f>
        <v>0</v>
      </c>
      <c r="F200" s="138">
        <f t="shared" ref="F200:F202" si="133">S200+AF200+AS200+BF200+BS200+CF200+CS200+DF200+DS200+EF200+ES200+FS200+FF200</f>
        <v>0</v>
      </c>
      <c r="G200" s="138">
        <f t="shared" ref="G200:G202" si="134">T200+AG200+AT200+BG200+BT200+CG200+CT200+DG200+DT200+EG200+ET200+FT200+FG200</f>
        <v>0</v>
      </c>
      <c r="H200" s="138">
        <f t="shared" ref="H200:H202" si="135">U200+AH200+AU200+BH200+BU200+CH200+CU200+DH200+DU200+EH200+EU200+FU200+FH200</f>
        <v>0</v>
      </c>
      <c r="I200" s="138">
        <f t="shared" ref="I200:I202" si="136">V200+AI200+AV200+BI200+BV200+CI200+CV200+DI200+DV200+EI200+EV200+FV200+FI200</f>
        <v>0</v>
      </c>
      <c r="J200" s="138">
        <f t="shared" ref="J200:J202" si="137">W200+AJ200+AW200+BJ200+BW200+CJ200+CW200+DJ200+DW200+EJ200+EW200+FW200+FJ200</f>
        <v>0</v>
      </c>
      <c r="K200" s="138">
        <f t="shared" ref="K200:K202" si="138">X200+AK200+AX200+BK200+BX200+CK200+CX200+DK200+DX200+EK200+EX200+FX200+FK200</f>
        <v>0</v>
      </c>
      <c r="L200" s="138">
        <f t="shared" ref="L200:L202" si="139">Y200+AL200+AY200+BL200+BY200+CL200+CY200+DL200+DY200+EL200+EY200+FY200+FL200</f>
        <v>0</v>
      </c>
      <c r="M200" s="138">
        <f t="shared" ref="M200:M202" si="140">Z200+AM200+AZ200+BM200+BZ200+CM200+CZ200+DM200+DZ200+EM200+EZ200+FZ200+FM200</f>
        <v>9292151.0522302</v>
      </c>
      <c r="N200" s="138">
        <f t="shared" ref="N200:N202" si="141">AA200+AN200+BA200+BN200+CA200+CN200+DA200+DN200+EA200+EN200+FA200+GA200+FN200</f>
        <v>2340767.18750774</v>
      </c>
      <c r="O200" s="86">
        <f t="shared" ref="O200:O202" si="142">SUM(C200:N200)</f>
        <v>11632918.2397379</v>
      </c>
      <c r="P200" s="138">
        <v>0</v>
      </c>
      <c r="Q200" s="138">
        <v>0</v>
      </c>
      <c r="R200" s="138">
        <v>0</v>
      </c>
      <c r="S200" s="138">
        <v>0</v>
      </c>
      <c r="T200" s="138">
        <v>0</v>
      </c>
      <c r="U200" s="138">
        <v>0</v>
      </c>
      <c r="V200" s="138">
        <v>0</v>
      </c>
      <c r="W200" s="138">
        <v>0</v>
      </c>
      <c r="X200" s="138">
        <v>0</v>
      </c>
      <c r="Y200" s="138">
        <v>0</v>
      </c>
      <c r="Z200" s="138">
        <v>480963.870083152</v>
      </c>
      <c r="AA200" s="138">
        <v>320642.580055434</v>
      </c>
      <c r="AB200" s="86">
        <v>801606.450138586</v>
      </c>
      <c r="AC200" s="138">
        <v>0</v>
      </c>
      <c r="AD200" s="138">
        <v>0</v>
      </c>
      <c r="AE200" s="138">
        <v>0</v>
      </c>
      <c r="AF200" s="138">
        <v>0</v>
      </c>
      <c r="AG200" s="138">
        <v>0</v>
      </c>
      <c r="AH200" s="138">
        <v>0</v>
      </c>
      <c r="AI200" s="138">
        <v>0</v>
      </c>
      <c r="AJ200" s="138">
        <v>0</v>
      </c>
      <c r="AK200" s="138">
        <v>0</v>
      </c>
      <c r="AL200" s="138">
        <v>0</v>
      </c>
      <c r="AM200" s="138">
        <v>2375755.79006571</v>
      </c>
      <c r="AN200" s="138">
        <v>1583837.19337714</v>
      </c>
      <c r="AO200" s="86">
        <v>3959592.98344285</v>
      </c>
      <c r="AP200" s="138">
        <v>0</v>
      </c>
      <c r="AQ200" s="138">
        <v>0</v>
      </c>
      <c r="AR200" s="138">
        <v>0</v>
      </c>
      <c r="AS200" s="138">
        <v>0</v>
      </c>
      <c r="AT200" s="138">
        <v>0</v>
      </c>
      <c r="AU200" s="138">
        <v>0</v>
      </c>
      <c r="AV200" s="138">
        <v>0</v>
      </c>
      <c r="AW200" s="138">
        <v>0</v>
      </c>
      <c r="AX200" s="138">
        <v>0</v>
      </c>
      <c r="AY200" s="138">
        <v>0</v>
      </c>
      <c r="AZ200" s="138">
        <v>369170.527313919</v>
      </c>
      <c r="BA200" s="138">
        <v>147668.210925568</v>
      </c>
      <c r="BB200" s="86">
        <v>516838.738239487</v>
      </c>
      <c r="BC200" s="138">
        <v>0</v>
      </c>
      <c r="BD200" s="138">
        <v>0</v>
      </c>
      <c r="BE200" s="138">
        <v>0</v>
      </c>
      <c r="BF200" s="138">
        <v>0</v>
      </c>
      <c r="BG200" s="138">
        <v>0</v>
      </c>
      <c r="BH200" s="138">
        <v>0</v>
      </c>
      <c r="BI200" s="138">
        <v>0</v>
      </c>
      <c r="BJ200" s="138">
        <v>0</v>
      </c>
      <c r="BK200" s="138">
        <v>0</v>
      </c>
      <c r="BL200" s="138">
        <v>0</v>
      </c>
      <c r="BM200" s="138">
        <v>99776.6167004856</v>
      </c>
      <c r="BN200" s="138">
        <v>0</v>
      </c>
      <c r="BO200" s="86">
        <v>99776.6167004856</v>
      </c>
      <c r="BP200" s="138">
        <v>0</v>
      </c>
      <c r="BQ200" s="138">
        <v>0</v>
      </c>
      <c r="BR200" s="138">
        <v>0</v>
      </c>
      <c r="BS200" s="138">
        <v>0</v>
      </c>
      <c r="BT200" s="138">
        <v>0</v>
      </c>
      <c r="BU200" s="138">
        <v>0</v>
      </c>
      <c r="BV200" s="138">
        <v>0</v>
      </c>
      <c r="BW200" s="138">
        <v>0</v>
      </c>
      <c r="BX200" s="138">
        <v>0</v>
      </c>
      <c r="BY200" s="138">
        <v>0</v>
      </c>
      <c r="BZ200" s="138">
        <v>223791.086009464</v>
      </c>
      <c r="CA200" s="138">
        <v>149194.057339643</v>
      </c>
      <c r="CB200" s="86">
        <v>372985.143349107</v>
      </c>
      <c r="CC200" s="138">
        <v>0</v>
      </c>
      <c r="CD200" s="138">
        <v>0</v>
      </c>
      <c r="CE200" s="138">
        <v>0</v>
      </c>
      <c r="CF200" s="138">
        <v>0</v>
      </c>
      <c r="CG200" s="138">
        <v>0</v>
      </c>
      <c r="CH200" s="138">
        <v>0</v>
      </c>
      <c r="CI200" s="138">
        <v>0</v>
      </c>
      <c r="CJ200" s="138">
        <v>0</v>
      </c>
      <c r="CK200" s="138">
        <v>0</v>
      </c>
      <c r="CL200" s="138">
        <v>0</v>
      </c>
      <c r="CM200" s="138">
        <v>64741.7392819862</v>
      </c>
      <c r="CN200" s="138">
        <v>16185.4348204966</v>
      </c>
      <c r="CO200" s="86">
        <v>80927.1741024828</v>
      </c>
      <c r="CP200" s="138">
        <v>0</v>
      </c>
      <c r="CQ200" s="138">
        <v>0</v>
      </c>
      <c r="CR200" s="138">
        <v>0</v>
      </c>
      <c r="CS200" s="138">
        <v>0</v>
      </c>
      <c r="CT200" s="138">
        <v>0</v>
      </c>
      <c r="CU200" s="138">
        <v>0</v>
      </c>
      <c r="CV200" s="138">
        <v>0</v>
      </c>
      <c r="CW200" s="138">
        <v>0</v>
      </c>
      <c r="CX200" s="138">
        <v>0</v>
      </c>
      <c r="CY200" s="138">
        <v>0</v>
      </c>
      <c r="CZ200" s="138">
        <v>0</v>
      </c>
      <c r="DA200" s="138">
        <v>0</v>
      </c>
      <c r="DB200" s="86">
        <v>0</v>
      </c>
      <c r="DC200" s="138">
        <v>0</v>
      </c>
      <c r="DD200" s="138">
        <v>0</v>
      </c>
      <c r="DE200" s="138">
        <v>0</v>
      </c>
      <c r="DF200" s="138">
        <v>0</v>
      </c>
      <c r="DG200" s="138">
        <v>0</v>
      </c>
      <c r="DH200" s="138">
        <v>0</v>
      </c>
      <c r="DI200" s="138">
        <v>0</v>
      </c>
      <c r="DJ200" s="138">
        <v>0</v>
      </c>
      <c r="DK200" s="138">
        <v>0</v>
      </c>
      <c r="DL200" s="138">
        <v>0</v>
      </c>
      <c r="DM200" s="138">
        <v>47906.2536482879</v>
      </c>
      <c r="DN200" s="138">
        <v>10645.834144064</v>
      </c>
      <c r="DO200" s="86">
        <v>58552.0877923519</v>
      </c>
      <c r="DP200" s="138">
        <v>0</v>
      </c>
      <c r="DQ200" s="138">
        <v>0</v>
      </c>
      <c r="DR200" s="138">
        <v>0</v>
      </c>
      <c r="DS200" s="138">
        <v>0</v>
      </c>
      <c r="DT200" s="138">
        <v>0</v>
      </c>
      <c r="DU200" s="138">
        <v>0</v>
      </c>
      <c r="DV200" s="138">
        <v>0</v>
      </c>
      <c r="DW200" s="138">
        <v>0</v>
      </c>
      <c r="DX200" s="138">
        <v>0</v>
      </c>
      <c r="DY200" s="138">
        <v>0</v>
      </c>
      <c r="DZ200" s="138">
        <v>0</v>
      </c>
      <c r="EA200" s="138">
        <v>0</v>
      </c>
      <c r="EB200" s="85">
        <v>0</v>
      </c>
      <c r="EC200" s="87">
        <v>0</v>
      </c>
      <c r="ED200" s="85">
        <v>0</v>
      </c>
      <c r="EE200" s="85">
        <v>0</v>
      </c>
      <c r="EF200" s="85">
        <v>0</v>
      </c>
      <c r="EG200" s="85">
        <v>0</v>
      </c>
      <c r="EH200" s="85">
        <v>0</v>
      </c>
      <c r="EI200" s="85">
        <v>0</v>
      </c>
      <c r="EJ200" s="85">
        <v>0</v>
      </c>
      <c r="EK200" s="85">
        <v>0</v>
      </c>
      <c r="EL200" s="85">
        <v>0</v>
      </c>
      <c r="EM200" s="85">
        <v>0</v>
      </c>
      <c r="EN200" s="85">
        <v>0</v>
      </c>
      <c r="EO200" s="152">
        <v>0</v>
      </c>
      <c r="EP200" s="85">
        <v>0</v>
      </c>
      <c r="EQ200" s="85">
        <v>0</v>
      </c>
      <c r="ER200" s="85">
        <v>0</v>
      </c>
      <c r="ES200" s="85">
        <v>0</v>
      </c>
      <c r="ET200" s="85">
        <v>0</v>
      </c>
      <c r="EU200" s="85">
        <v>0</v>
      </c>
      <c r="EV200" s="85">
        <v>0</v>
      </c>
      <c r="EW200" s="85">
        <v>0</v>
      </c>
      <c r="EX200" s="85">
        <v>0</v>
      </c>
      <c r="EY200" s="85">
        <v>0</v>
      </c>
      <c r="EZ200" s="85">
        <v>150125.16912719</v>
      </c>
      <c r="FA200" s="85">
        <v>112593.876845392</v>
      </c>
      <c r="FB200" s="85">
        <v>262719.045972582</v>
      </c>
      <c r="FC200" s="87">
        <v>0</v>
      </c>
      <c r="FD200" s="85">
        <v>0</v>
      </c>
      <c r="FE200" s="85">
        <v>0</v>
      </c>
      <c r="FF200" s="85">
        <v>0</v>
      </c>
      <c r="FG200" s="85">
        <v>0</v>
      </c>
      <c r="FH200" s="85">
        <v>0</v>
      </c>
      <c r="FI200" s="85">
        <v>0</v>
      </c>
      <c r="FJ200" s="85">
        <v>0</v>
      </c>
      <c r="FK200" s="85">
        <v>0</v>
      </c>
      <c r="FL200" s="85">
        <v>0</v>
      </c>
      <c r="FM200" s="85">
        <v>0</v>
      </c>
      <c r="FN200" s="85">
        <v>0</v>
      </c>
      <c r="FO200" s="86">
        <v>0</v>
      </c>
      <c r="FP200" s="87">
        <v>0</v>
      </c>
      <c r="FQ200" s="85">
        <v>0</v>
      </c>
      <c r="FR200" s="85">
        <v>0</v>
      </c>
      <c r="FS200" s="85">
        <v>0</v>
      </c>
      <c r="FT200" s="85">
        <v>0</v>
      </c>
      <c r="FU200" s="85">
        <v>0</v>
      </c>
      <c r="FV200" s="85">
        <v>0</v>
      </c>
      <c r="FW200" s="85">
        <v>0</v>
      </c>
      <c r="FX200" s="85">
        <v>0</v>
      </c>
      <c r="FY200" s="85">
        <v>0</v>
      </c>
      <c r="FZ200" s="85">
        <v>5479920</v>
      </c>
      <c r="GA200" s="85">
        <v>0</v>
      </c>
      <c r="GB200" s="152">
        <v>5479920</v>
      </c>
      <c r="GD200" s="153"/>
    </row>
    <row r="201" spans="1:186">
      <c r="A201" s="137" t="s">
        <v>372</v>
      </c>
      <c r="B201" s="151"/>
      <c r="C201" s="138">
        <f t="shared" si="130"/>
        <v>0</v>
      </c>
      <c r="D201" s="138">
        <f t="shared" si="131"/>
        <v>0</v>
      </c>
      <c r="E201" s="138">
        <f t="shared" si="132"/>
        <v>0</v>
      </c>
      <c r="F201" s="138">
        <f t="shared" si="133"/>
        <v>0</v>
      </c>
      <c r="G201" s="138">
        <f t="shared" si="134"/>
        <v>0</v>
      </c>
      <c r="H201" s="138">
        <f t="shared" si="135"/>
        <v>181930.723803014</v>
      </c>
      <c r="I201" s="138">
        <f t="shared" si="136"/>
        <v>541721.538428917</v>
      </c>
      <c r="J201" s="138">
        <f t="shared" si="137"/>
        <v>567645.034318846</v>
      </c>
      <c r="K201" s="138">
        <f t="shared" si="138"/>
        <v>241082.18461105</v>
      </c>
      <c r="L201" s="138">
        <f t="shared" si="139"/>
        <v>144878.130867056</v>
      </c>
      <c r="M201" s="138">
        <f t="shared" si="140"/>
        <v>126768.364508674</v>
      </c>
      <c r="N201" s="138">
        <f t="shared" si="141"/>
        <v>0</v>
      </c>
      <c r="O201" s="86">
        <f t="shared" si="142"/>
        <v>1804025.97653756</v>
      </c>
      <c r="P201" s="138">
        <v>0</v>
      </c>
      <c r="Q201" s="138">
        <v>0</v>
      </c>
      <c r="R201" s="138">
        <v>0</v>
      </c>
      <c r="S201" s="138">
        <v>0</v>
      </c>
      <c r="T201" s="138">
        <v>0</v>
      </c>
      <c r="U201" s="138">
        <v>28584.4160514535</v>
      </c>
      <c r="V201" s="138">
        <v>39769.622332457</v>
      </c>
      <c r="W201" s="138">
        <v>37203.2388913156</v>
      </c>
      <c r="X201" s="138">
        <v>14292.2080257267</v>
      </c>
      <c r="Y201" s="138">
        <v>0</v>
      </c>
      <c r="Z201" s="138">
        <v>0</v>
      </c>
      <c r="AA201" s="138">
        <v>0</v>
      </c>
      <c r="AB201" s="86">
        <v>119849.485300953</v>
      </c>
      <c r="AC201" s="138">
        <v>0</v>
      </c>
      <c r="AD201" s="138">
        <v>0</v>
      </c>
      <c r="AE201" s="138">
        <v>0</v>
      </c>
      <c r="AF201" s="138">
        <v>0</v>
      </c>
      <c r="AG201" s="138">
        <v>0</v>
      </c>
      <c r="AH201" s="138">
        <v>49418.1759949069</v>
      </c>
      <c r="AI201" s="138">
        <v>67527.9423532889</v>
      </c>
      <c r="AJ201" s="138">
        <v>180176.828006275</v>
      </c>
      <c r="AK201" s="138">
        <v>173117.088578432</v>
      </c>
      <c r="AL201" s="138">
        <v>144878.130867056</v>
      </c>
      <c r="AM201" s="138">
        <v>126768.364508674</v>
      </c>
      <c r="AN201" s="138">
        <v>0</v>
      </c>
      <c r="AO201" s="86">
        <v>741886.530308633</v>
      </c>
      <c r="AP201" s="138">
        <v>0</v>
      </c>
      <c r="AQ201" s="138">
        <v>0</v>
      </c>
      <c r="AR201" s="138">
        <v>0</v>
      </c>
      <c r="AS201" s="138">
        <v>0</v>
      </c>
      <c r="AT201" s="138">
        <v>0</v>
      </c>
      <c r="AU201" s="138">
        <v>9873.16526537226</v>
      </c>
      <c r="AV201" s="138">
        <v>23466.6536742181</v>
      </c>
      <c r="AW201" s="138">
        <v>0</v>
      </c>
      <c r="AX201" s="138">
        <v>0</v>
      </c>
      <c r="AY201" s="138">
        <v>0</v>
      </c>
      <c r="AZ201" s="138">
        <v>0</v>
      </c>
      <c r="BA201" s="138">
        <v>0</v>
      </c>
      <c r="BB201" s="86">
        <v>33339.8189395904</v>
      </c>
      <c r="BC201" s="138">
        <v>0</v>
      </c>
      <c r="BD201" s="138">
        <v>0</v>
      </c>
      <c r="BE201" s="138">
        <v>0</v>
      </c>
      <c r="BF201" s="138">
        <v>0</v>
      </c>
      <c r="BG201" s="138">
        <v>0</v>
      </c>
      <c r="BH201" s="138">
        <v>13342.2220006463</v>
      </c>
      <c r="BI201" s="138">
        <v>27264.5406100164</v>
      </c>
      <c r="BJ201" s="138">
        <v>82141.6797952835</v>
      </c>
      <c r="BK201" s="138">
        <v>36507.4132423482</v>
      </c>
      <c r="BL201" s="138">
        <v>0</v>
      </c>
      <c r="BM201" s="138">
        <v>0</v>
      </c>
      <c r="BN201" s="138">
        <v>0</v>
      </c>
      <c r="BO201" s="86">
        <v>159255.855648294</v>
      </c>
      <c r="BP201" s="138">
        <v>0</v>
      </c>
      <c r="BQ201" s="138">
        <v>0</v>
      </c>
      <c r="BR201" s="138">
        <v>0</v>
      </c>
      <c r="BS201" s="138">
        <v>0</v>
      </c>
      <c r="BT201" s="138">
        <v>0</v>
      </c>
      <c r="BU201" s="138">
        <v>0</v>
      </c>
      <c r="BV201" s="138">
        <v>20069.4240379364</v>
      </c>
      <c r="BW201" s="138">
        <v>0</v>
      </c>
      <c r="BX201" s="138">
        <v>0</v>
      </c>
      <c r="BY201" s="138">
        <v>0</v>
      </c>
      <c r="BZ201" s="138">
        <v>0</v>
      </c>
      <c r="CA201" s="138">
        <v>0</v>
      </c>
      <c r="CB201" s="86">
        <v>20069.4240379364</v>
      </c>
      <c r="CC201" s="138">
        <v>0</v>
      </c>
      <c r="CD201" s="138">
        <v>0</v>
      </c>
      <c r="CE201" s="138">
        <v>0</v>
      </c>
      <c r="CF201" s="138">
        <v>0</v>
      </c>
      <c r="CG201" s="138">
        <v>0</v>
      </c>
      <c r="CH201" s="138">
        <v>7524.84580169247</v>
      </c>
      <c r="CI201" s="138">
        <v>9253.30091481877</v>
      </c>
      <c r="CJ201" s="138">
        <v>7402.64073185502</v>
      </c>
      <c r="CK201" s="138">
        <v>0</v>
      </c>
      <c r="CL201" s="138">
        <v>0</v>
      </c>
      <c r="CM201" s="138">
        <v>0</v>
      </c>
      <c r="CN201" s="138">
        <v>0</v>
      </c>
      <c r="CO201" s="86">
        <v>24180.7874483663</v>
      </c>
      <c r="CP201" s="138">
        <v>0</v>
      </c>
      <c r="CQ201" s="138">
        <v>0</v>
      </c>
      <c r="CR201" s="138">
        <v>0</v>
      </c>
      <c r="CS201" s="138">
        <v>0</v>
      </c>
      <c r="CT201" s="138">
        <v>0</v>
      </c>
      <c r="CU201" s="138">
        <v>16966.6720986904</v>
      </c>
      <c r="CV201" s="138">
        <v>18146.9623316428</v>
      </c>
      <c r="CW201" s="138">
        <v>43523.202340119</v>
      </c>
      <c r="CX201" s="138">
        <v>0</v>
      </c>
      <c r="CY201" s="138">
        <v>0</v>
      </c>
      <c r="CZ201" s="138">
        <v>0</v>
      </c>
      <c r="DA201" s="138">
        <v>0</v>
      </c>
      <c r="DB201" s="86">
        <v>78636.8367704522</v>
      </c>
      <c r="DC201" s="138">
        <v>0</v>
      </c>
      <c r="DD201" s="138">
        <v>0</v>
      </c>
      <c r="DE201" s="138">
        <v>0</v>
      </c>
      <c r="DF201" s="138">
        <v>0</v>
      </c>
      <c r="DG201" s="138">
        <v>0</v>
      </c>
      <c r="DH201" s="138">
        <v>0</v>
      </c>
      <c r="DI201" s="138">
        <v>1898.09445979435</v>
      </c>
      <c r="DJ201" s="138">
        <v>0</v>
      </c>
      <c r="DK201" s="138">
        <v>0</v>
      </c>
      <c r="DL201" s="138">
        <v>0</v>
      </c>
      <c r="DM201" s="138">
        <v>0</v>
      </c>
      <c r="DN201" s="138">
        <v>0</v>
      </c>
      <c r="DO201" s="86">
        <v>1898.09445979435</v>
      </c>
      <c r="DP201" s="138">
        <v>0</v>
      </c>
      <c r="DQ201" s="138">
        <v>0</v>
      </c>
      <c r="DR201" s="138">
        <v>0</v>
      </c>
      <c r="DS201" s="138">
        <v>0</v>
      </c>
      <c r="DT201" s="138">
        <v>0</v>
      </c>
      <c r="DU201" s="138">
        <v>16236.4137124177</v>
      </c>
      <c r="DV201" s="138">
        <v>54827.3100723669</v>
      </c>
      <c r="DW201" s="138">
        <v>66357.51691162</v>
      </c>
      <c r="DX201" s="138">
        <v>0</v>
      </c>
      <c r="DY201" s="138">
        <v>0</v>
      </c>
      <c r="DZ201" s="138">
        <v>0</v>
      </c>
      <c r="EA201" s="138">
        <v>0</v>
      </c>
      <c r="EB201" s="85">
        <v>137421.240696405</v>
      </c>
      <c r="EC201" s="87">
        <v>0</v>
      </c>
      <c r="ED201" s="85">
        <v>0</v>
      </c>
      <c r="EE201" s="85">
        <v>0</v>
      </c>
      <c r="EF201" s="85">
        <v>0</v>
      </c>
      <c r="EG201" s="85">
        <v>0</v>
      </c>
      <c r="EH201" s="85">
        <v>0</v>
      </c>
      <c r="EI201" s="85">
        <v>0</v>
      </c>
      <c r="EJ201" s="85">
        <v>0</v>
      </c>
      <c r="EK201" s="85">
        <v>0</v>
      </c>
      <c r="EL201" s="85">
        <v>0</v>
      </c>
      <c r="EM201" s="85">
        <v>0</v>
      </c>
      <c r="EN201" s="85">
        <v>0</v>
      </c>
      <c r="EO201" s="152">
        <v>0</v>
      </c>
      <c r="EP201" s="85">
        <v>0</v>
      </c>
      <c r="EQ201" s="85">
        <v>0</v>
      </c>
      <c r="ER201" s="85">
        <v>0</v>
      </c>
      <c r="ES201" s="85">
        <v>0</v>
      </c>
      <c r="ET201" s="85">
        <v>0</v>
      </c>
      <c r="EU201" s="85">
        <v>3345.81287783466</v>
      </c>
      <c r="EV201" s="85">
        <v>20511.2876423777</v>
      </c>
      <c r="EW201" s="85">
        <v>20511.2876423777</v>
      </c>
      <c r="EX201" s="85">
        <v>17165.474764543</v>
      </c>
      <c r="EY201" s="85">
        <v>0</v>
      </c>
      <c r="EZ201" s="85">
        <v>0</v>
      </c>
      <c r="FA201" s="85">
        <v>0</v>
      </c>
      <c r="FB201" s="85">
        <v>61533.8629271331</v>
      </c>
      <c r="FC201" s="87">
        <v>0</v>
      </c>
      <c r="FD201" s="85">
        <v>0</v>
      </c>
      <c r="FE201" s="85">
        <v>0</v>
      </c>
      <c r="FF201" s="85">
        <v>0</v>
      </c>
      <c r="FG201" s="85">
        <v>0</v>
      </c>
      <c r="FH201" s="85">
        <v>0</v>
      </c>
      <c r="FI201" s="85">
        <v>0</v>
      </c>
      <c r="FJ201" s="85">
        <v>0</v>
      </c>
      <c r="FK201" s="85">
        <v>0</v>
      </c>
      <c r="FL201" s="85">
        <v>0</v>
      </c>
      <c r="FM201" s="85">
        <v>0</v>
      </c>
      <c r="FN201" s="85">
        <v>0</v>
      </c>
      <c r="FO201" s="86">
        <v>0</v>
      </c>
      <c r="FP201" s="87">
        <v>0</v>
      </c>
      <c r="FQ201" s="85">
        <v>0</v>
      </c>
      <c r="FR201" s="85">
        <v>0</v>
      </c>
      <c r="FS201" s="85">
        <v>0</v>
      </c>
      <c r="FT201" s="85">
        <v>0</v>
      </c>
      <c r="FU201" s="85">
        <v>36639</v>
      </c>
      <c r="FV201" s="85">
        <v>258986.4</v>
      </c>
      <c r="FW201" s="85">
        <v>130328.64</v>
      </c>
      <c r="FX201" s="85">
        <v>0</v>
      </c>
      <c r="FY201" s="85">
        <v>0</v>
      </c>
      <c r="FZ201" s="85">
        <v>0</v>
      </c>
      <c r="GA201" s="85">
        <v>0</v>
      </c>
      <c r="GB201" s="152">
        <v>425954.04</v>
      </c>
      <c r="GD201" s="153"/>
    </row>
    <row r="202" spans="1:186">
      <c r="A202" s="137" t="s">
        <v>373</v>
      </c>
      <c r="B202" s="151"/>
      <c r="C202" s="138">
        <f t="shared" si="130"/>
        <v>0</v>
      </c>
      <c r="D202" s="138">
        <f t="shared" si="131"/>
        <v>0</v>
      </c>
      <c r="E202" s="138">
        <f t="shared" si="132"/>
        <v>0</v>
      </c>
      <c r="F202" s="138">
        <f t="shared" si="133"/>
        <v>0</v>
      </c>
      <c r="G202" s="138">
        <f t="shared" si="134"/>
        <v>0</v>
      </c>
      <c r="H202" s="138">
        <f t="shared" si="135"/>
        <v>0</v>
      </c>
      <c r="I202" s="138">
        <f t="shared" si="136"/>
        <v>0</v>
      </c>
      <c r="J202" s="138">
        <f t="shared" si="137"/>
        <v>61075.030732823</v>
      </c>
      <c r="K202" s="138">
        <f t="shared" si="138"/>
        <v>1331012.34378499</v>
      </c>
      <c r="L202" s="138">
        <f t="shared" si="139"/>
        <v>658617.754747092</v>
      </c>
      <c r="M202" s="138">
        <f t="shared" si="140"/>
        <v>637427.774380706</v>
      </c>
      <c r="N202" s="138">
        <f t="shared" si="141"/>
        <v>0</v>
      </c>
      <c r="O202" s="86">
        <f t="shared" si="142"/>
        <v>2688132.90364561</v>
      </c>
      <c r="P202" s="138">
        <v>0</v>
      </c>
      <c r="Q202" s="138">
        <v>0</v>
      </c>
      <c r="R202" s="138">
        <v>0</v>
      </c>
      <c r="S202" s="138">
        <v>0</v>
      </c>
      <c r="T202" s="138">
        <v>0</v>
      </c>
      <c r="U202" s="138">
        <v>0</v>
      </c>
      <c r="V202" s="138">
        <v>0</v>
      </c>
      <c r="W202" s="138">
        <v>0</v>
      </c>
      <c r="X202" s="138">
        <v>365196.299672645</v>
      </c>
      <c r="Y202" s="138">
        <v>150316.515942335</v>
      </c>
      <c r="Z202" s="138">
        <v>129126.53557595</v>
      </c>
      <c r="AA202" s="138">
        <v>0</v>
      </c>
      <c r="AB202" s="86">
        <v>644639.35119093</v>
      </c>
      <c r="AC202" s="138">
        <v>0</v>
      </c>
      <c r="AD202" s="138">
        <v>0</v>
      </c>
      <c r="AE202" s="138">
        <v>0</v>
      </c>
      <c r="AF202" s="138">
        <v>0</v>
      </c>
      <c r="AG202" s="138">
        <v>0</v>
      </c>
      <c r="AH202" s="138">
        <v>0</v>
      </c>
      <c r="AI202" s="138">
        <v>0</v>
      </c>
      <c r="AJ202" s="138">
        <v>0</v>
      </c>
      <c r="AK202" s="138">
        <v>338867.492536504</v>
      </c>
      <c r="AL202" s="138">
        <v>508301.238804757</v>
      </c>
      <c r="AM202" s="138">
        <v>508301.238804757</v>
      </c>
      <c r="AN202" s="138">
        <v>0</v>
      </c>
      <c r="AO202" s="86">
        <v>1355469.97014602</v>
      </c>
      <c r="AP202" s="138">
        <v>0</v>
      </c>
      <c r="AQ202" s="138">
        <v>0</v>
      </c>
      <c r="AR202" s="138">
        <v>0</v>
      </c>
      <c r="AS202" s="138">
        <v>0</v>
      </c>
      <c r="AT202" s="138">
        <v>0</v>
      </c>
      <c r="AU202" s="138">
        <v>0</v>
      </c>
      <c r="AV202" s="138">
        <v>0</v>
      </c>
      <c r="AW202" s="138">
        <v>0</v>
      </c>
      <c r="AX202" s="138">
        <v>0</v>
      </c>
      <c r="AY202" s="138">
        <v>0</v>
      </c>
      <c r="AZ202" s="138">
        <v>0</v>
      </c>
      <c r="BA202" s="138">
        <v>0</v>
      </c>
      <c r="BB202" s="86">
        <v>0</v>
      </c>
      <c r="BC202" s="138">
        <v>0</v>
      </c>
      <c r="BD202" s="138">
        <v>0</v>
      </c>
      <c r="BE202" s="138">
        <v>0</v>
      </c>
      <c r="BF202" s="138">
        <v>0</v>
      </c>
      <c r="BG202" s="138">
        <v>0</v>
      </c>
      <c r="BH202" s="138">
        <v>0</v>
      </c>
      <c r="BI202" s="138">
        <v>0</v>
      </c>
      <c r="BJ202" s="138">
        <v>0</v>
      </c>
      <c r="BK202" s="138">
        <v>0</v>
      </c>
      <c r="BL202" s="138">
        <v>0</v>
      </c>
      <c r="BM202" s="138">
        <v>0</v>
      </c>
      <c r="BN202" s="138">
        <v>0</v>
      </c>
      <c r="BO202" s="86">
        <v>0</v>
      </c>
      <c r="BP202" s="138">
        <v>0</v>
      </c>
      <c r="BQ202" s="138">
        <v>0</v>
      </c>
      <c r="BR202" s="138">
        <v>0</v>
      </c>
      <c r="BS202" s="138">
        <v>0</v>
      </c>
      <c r="BT202" s="138">
        <v>0</v>
      </c>
      <c r="BU202" s="138">
        <v>0</v>
      </c>
      <c r="BV202" s="138">
        <v>0</v>
      </c>
      <c r="BW202" s="138">
        <v>0</v>
      </c>
      <c r="BX202" s="138">
        <v>0</v>
      </c>
      <c r="BY202" s="138">
        <v>0</v>
      </c>
      <c r="BZ202" s="138">
        <v>0</v>
      </c>
      <c r="CA202" s="138">
        <v>0</v>
      </c>
      <c r="CB202" s="86">
        <v>0</v>
      </c>
      <c r="CC202" s="138">
        <v>0</v>
      </c>
      <c r="CD202" s="138">
        <v>0</v>
      </c>
      <c r="CE202" s="138">
        <v>0</v>
      </c>
      <c r="CF202" s="138">
        <v>0</v>
      </c>
      <c r="CG202" s="138">
        <v>0</v>
      </c>
      <c r="CH202" s="138">
        <v>0</v>
      </c>
      <c r="CI202" s="138">
        <v>0</v>
      </c>
      <c r="CJ202" s="138">
        <v>0</v>
      </c>
      <c r="CK202" s="138">
        <v>0</v>
      </c>
      <c r="CL202" s="138">
        <v>0</v>
      </c>
      <c r="CM202" s="138">
        <v>0</v>
      </c>
      <c r="CN202" s="138">
        <v>0</v>
      </c>
      <c r="CO202" s="86">
        <v>0</v>
      </c>
      <c r="CP202" s="138">
        <v>0</v>
      </c>
      <c r="CQ202" s="138">
        <v>0</v>
      </c>
      <c r="CR202" s="138">
        <v>0</v>
      </c>
      <c r="CS202" s="138">
        <v>0</v>
      </c>
      <c r="CT202" s="138">
        <v>0</v>
      </c>
      <c r="CU202" s="138">
        <v>0</v>
      </c>
      <c r="CV202" s="138">
        <v>0</v>
      </c>
      <c r="CW202" s="138">
        <v>0</v>
      </c>
      <c r="CX202" s="138">
        <v>6642.75852622543</v>
      </c>
      <c r="CY202" s="138">
        <v>0</v>
      </c>
      <c r="CZ202" s="138">
        <v>0</v>
      </c>
      <c r="DA202" s="138">
        <v>0</v>
      </c>
      <c r="DB202" s="86">
        <v>6642.75852622543</v>
      </c>
      <c r="DC202" s="138">
        <v>0</v>
      </c>
      <c r="DD202" s="138">
        <v>0</v>
      </c>
      <c r="DE202" s="138">
        <v>0</v>
      </c>
      <c r="DF202" s="138">
        <v>0</v>
      </c>
      <c r="DG202" s="138">
        <v>0</v>
      </c>
      <c r="DH202" s="138">
        <v>0</v>
      </c>
      <c r="DI202" s="138">
        <v>0</v>
      </c>
      <c r="DJ202" s="138">
        <v>0</v>
      </c>
      <c r="DK202" s="138">
        <v>0</v>
      </c>
      <c r="DL202" s="138">
        <v>0</v>
      </c>
      <c r="DM202" s="138">
        <v>0</v>
      </c>
      <c r="DN202" s="138">
        <v>0</v>
      </c>
      <c r="DO202" s="86">
        <v>0</v>
      </c>
      <c r="DP202" s="138">
        <v>0</v>
      </c>
      <c r="DQ202" s="138">
        <v>0</v>
      </c>
      <c r="DR202" s="138">
        <v>0</v>
      </c>
      <c r="DS202" s="138">
        <v>0</v>
      </c>
      <c r="DT202" s="138">
        <v>0</v>
      </c>
      <c r="DU202" s="138">
        <v>0</v>
      </c>
      <c r="DV202" s="138">
        <v>0</v>
      </c>
      <c r="DW202" s="138">
        <v>0</v>
      </c>
      <c r="DX202" s="138">
        <v>0</v>
      </c>
      <c r="DY202" s="138">
        <v>0</v>
      </c>
      <c r="DZ202" s="138">
        <v>0</v>
      </c>
      <c r="EA202" s="138">
        <v>0</v>
      </c>
      <c r="EB202" s="85">
        <v>0</v>
      </c>
      <c r="EC202" s="87">
        <v>0</v>
      </c>
      <c r="ED202" s="85">
        <v>0</v>
      </c>
      <c r="EE202" s="85">
        <v>0</v>
      </c>
      <c r="EF202" s="85">
        <v>0</v>
      </c>
      <c r="EG202" s="85">
        <v>0</v>
      </c>
      <c r="EH202" s="85">
        <v>0</v>
      </c>
      <c r="EI202" s="85">
        <v>0</v>
      </c>
      <c r="EJ202" s="85">
        <v>0</v>
      </c>
      <c r="EK202" s="85">
        <v>0</v>
      </c>
      <c r="EL202" s="85">
        <v>0</v>
      </c>
      <c r="EM202" s="85">
        <v>0</v>
      </c>
      <c r="EN202" s="85">
        <v>0</v>
      </c>
      <c r="EO202" s="152">
        <v>0</v>
      </c>
      <c r="EP202" s="85">
        <v>0</v>
      </c>
      <c r="EQ202" s="85">
        <v>0</v>
      </c>
      <c r="ER202" s="85">
        <v>0</v>
      </c>
      <c r="ES202" s="85">
        <v>0</v>
      </c>
      <c r="ET202" s="85">
        <v>0</v>
      </c>
      <c r="EU202" s="85">
        <v>0</v>
      </c>
      <c r="EV202" s="85">
        <v>0</v>
      </c>
      <c r="EW202" s="85">
        <v>61075.030732823</v>
      </c>
      <c r="EX202" s="85">
        <v>45806.2730496173</v>
      </c>
      <c r="EY202" s="85">
        <v>0</v>
      </c>
      <c r="EZ202" s="85">
        <v>0</v>
      </c>
      <c r="FA202" s="85">
        <v>0</v>
      </c>
      <c r="FB202" s="85">
        <v>106881.30378244</v>
      </c>
      <c r="FC202" s="87">
        <v>0</v>
      </c>
      <c r="FD202" s="85">
        <v>0</v>
      </c>
      <c r="FE202" s="85">
        <v>0</v>
      </c>
      <c r="FF202" s="85">
        <v>0</v>
      </c>
      <c r="FG202" s="85">
        <v>0</v>
      </c>
      <c r="FH202" s="85">
        <v>0</v>
      </c>
      <c r="FI202" s="85">
        <v>0</v>
      </c>
      <c r="FJ202" s="85">
        <v>0</v>
      </c>
      <c r="FK202" s="85">
        <v>0</v>
      </c>
      <c r="FL202" s="85">
        <v>0</v>
      </c>
      <c r="FM202" s="85">
        <v>0</v>
      </c>
      <c r="FN202" s="85">
        <v>0</v>
      </c>
      <c r="FO202" s="86">
        <v>0</v>
      </c>
      <c r="FP202" s="87">
        <v>0</v>
      </c>
      <c r="FQ202" s="85">
        <v>0</v>
      </c>
      <c r="FR202" s="85">
        <v>0</v>
      </c>
      <c r="FS202" s="85">
        <v>0</v>
      </c>
      <c r="FT202" s="85">
        <v>0</v>
      </c>
      <c r="FU202" s="85">
        <v>0</v>
      </c>
      <c r="FV202" s="85">
        <v>0</v>
      </c>
      <c r="FW202" s="85">
        <v>0</v>
      </c>
      <c r="FX202" s="85">
        <v>574499.52</v>
      </c>
      <c r="FY202" s="85">
        <v>0</v>
      </c>
      <c r="FZ202" s="85">
        <v>0</v>
      </c>
      <c r="GA202" s="85">
        <v>0</v>
      </c>
      <c r="GB202" s="152">
        <v>574499.52</v>
      </c>
      <c r="GD202" s="153"/>
    </row>
    <row r="203" spans="1:186">
      <c r="A203" s="137" t="s">
        <v>374</v>
      </c>
      <c r="B203" s="151"/>
      <c r="C203" s="138">
        <f t="shared" si="117"/>
        <v>0</v>
      </c>
      <c r="D203" s="138">
        <f t="shared" si="118"/>
        <v>0</v>
      </c>
      <c r="E203" s="138">
        <f t="shared" si="119"/>
        <v>0</v>
      </c>
      <c r="F203" s="138">
        <f t="shared" si="120"/>
        <v>0</v>
      </c>
      <c r="G203" s="138">
        <f t="shared" si="121"/>
        <v>0</v>
      </c>
      <c r="H203" s="138">
        <f t="shared" si="122"/>
        <v>0</v>
      </c>
      <c r="I203" s="138">
        <f t="shared" si="123"/>
        <v>0</v>
      </c>
      <c r="J203" s="138">
        <f t="shared" si="124"/>
        <v>0</v>
      </c>
      <c r="K203" s="138">
        <f t="shared" si="125"/>
        <v>0</v>
      </c>
      <c r="L203" s="138">
        <f t="shared" si="126"/>
        <v>0</v>
      </c>
      <c r="M203" s="138">
        <f t="shared" si="127"/>
        <v>0</v>
      </c>
      <c r="N203" s="138">
        <f t="shared" si="128"/>
        <v>4438265.63755135</v>
      </c>
      <c r="O203" s="86">
        <f t="shared" si="129"/>
        <v>4438265.63755135</v>
      </c>
      <c r="P203" s="138">
        <v>0</v>
      </c>
      <c r="Q203" s="138">
        <v>0</v>
      </c>
      <c r="R203" s="138">
        <v>0</v>
      </c>
      <c r="S203" s="138">
        <v>0</v>
      </c>
      <c r="T203" s="138">
        <v>0</v>
      </c>
      <c r="U203" s="138">
        <v>0</v>
      </c>
      <c r="V203" s="138">
        <v>0</v>
      </c>
      <c r="W203" s="138">
        <v>0</v>
      </c>
      <c r="X203" s="138">
        <v>0</v>
      </c>
      <c r="Y203" s="138">
        <v>0</v>
      </c>
      <c r="Z203" s="138">
        <v>0</v>
      </c>
      <c r="AA203" s="138">
        <v>551684.774791191</v>
      </c>
      <c r="AB203" s="86">
        <v>551684.774791191</v>
      </c>
      <c r="AC203" s="138">
        <v>0</v>
      </c>
      <c r="AD203" s="138">
        <v>0</v>
      </c>
      <c r="AE203" s="138">
        <v>0</v>
      </c>
      <c r="AF203" s="138">
        <v>0</v>
      </c>
      <c r="AG203" s="138">
        <v>0</v>
      </c>
      <c r="AH203" s="138">
        <v>0</v>
      </c>
      <c r="AI203" s="138">
        <v>0</v>
      </c>
      <c r="AJ203" s="138">
        <v>0</v>
      </c>
      <c r="AK203" s="138">
        <v>0</v>
      </c>
      <c r="AL203" s="138">
        <v>0</v>
      </c>
      <c r="AM203" s="138">
        <v>0</v>
      </c>
      <c r="AN203" s="138">
        <v>316767.438675428</v>
      </c>
      <c r="AO203" s="86">
        <v>316767.438675428</v>
      </c>
      <c r="AP203" s="138">
        <v>0</v>
      </c>
      <c r="AQ203" s="138">
        <v>0</v>
      </c>
      <c r="AR203" s="138">
        <v>0</v>
      </c>
      <c r="AS203" s="138">
        <v>0</v>
      </c>
      <c r="AT203" s="138">
        <v>0</v>
      </c>
      <c r="AU203" s="138">
        <v>0</v>
      </c>
      <c r="AV203" s="138">
        <v>0</v>
      </c>
      <c r="AW203" s="138">
        <v>0</v>
      </c>
      <c r="AX203" s="138">
        <v>0</v>
      </c>
      <c r="AY203" s="138">
        <v>0</v>
      </c>
      <c r="AZ203" s="138">
        <v>0</v>
      </c>
      <c r="BA203" s="138">
        <v>369170.527313919</v>
      </c>
      <c r="BB203" s="86">
        <v>369170.527313919</v>
      </c>
      <c r="BC203" s="138">
        <v>0</v>
      </c>
      <c r="BD203" s="138">
        <v>0</v>
      </c>
      <c r="BE203" s="138">
        <v>0</v>
      </c>
      <c r="BF203" s="138">
        <v>0</v>
      </c>
      <c r="BG203" s="138">
        <v>0</v>
      </c>
      <c r="BH203" s="138">
        <v>0</v>
      </c>
      <c r="BI203" s="138">
        <v>0</v>
      </c>
      <c r="BJ203" s="138">
        <v>0</v>
      </c>
      <c r="BK203" s="138">
        <v>0</v>
      </c>
      <c r="BL203" s="138">
        <v>0</v>
      </c>
      <c r="BM203" s="138">
        <v>0</v>
      </c>
      <c r="BN203" s="138">
        <v>99776.6167004856</v>
      </c>
      <c r="BO203" s="86">
        <v>99776.6167004856</v>
      </c>
      <c r="BP203" s="138">
        <v>0</v>
      </c>
      <c r="BQ203" s="138">
        <v>0</v>
      </c>
      <c r="BR203" s="138">
        <v>0</v>
      </c>
      <c r="BS203" s="138">
        <v>0</v>
      </c>
      <c r="BT203" s="138">
        <v>0</v>
      </c>
      <c r="BU203" s="138">
        <v>0</v>
      </c>
      <c r="BV203" s="138">
        <v>0</v>
      </c>
      <c r="BW203" s="138">
        <v>0</v>
      </c>
      <c r="BX203" s="138">
        <v>0</v>
      </c>
      <c r="BY203" s="138">
        <v>0</v>
      </c>
      <c r="BZ203" s="138">
        <v>0</v>
      </c>
      <c r="CA203" s="138">
        <v>112334.349055731</v>
      </c>
      <c r="CB203" s="86">
        <v>112334.349055731</v>
      </c>
      <c r="CC203" s="138">
        <v>0</v>
      </c>
      <c r="CD203" s="138">
        <v>0</v>
      </c>
      <c r="CE203" s="138">
        <v>0</v>
      </c>
      <c r="CF203" s="138">
        <v>0</v>
      </c>
      <c r="CG203" s="138">
        <v>0</v>
      </c>
      <c r="CH203" s="138">
        <v>0</v>
      </c>
      <c r="CI203" s="138">
        <v>0</v>
      </c>
      <c r="CJ203" s="138">
        <v>0</v>
      </c>
      <c r="CK203" s="138">
        <v>0</v>
      </c>
      <c r="CL203" s="138">
        <v>0</v>
      </c>
      <c r="CM203" s="138">
        <v>0</v>
      </c>
      <c r="CN203" s="138">
        <v>8092.71741024828</v>
      </c>
      <c r="CO203" s="86">
        <v>8092.71741024828</v>
      </c>
      <c r="CP203" s="138">
        <v>0</v>
      </c>
      <c r="CQ203" s="138">
        <v>0</v>
      </c>
      <c r="CR203" s="138">
        <v>0</v>
      </c>
      <c r="CS203" s="138">
        <v>0</v>
      </c>
      <c r="CT203" s="138">
        <v>0</v>
      </c>
      <c r="CU203" s="138">
        <v>0</v>
      </c>
      <c r="CV203" s="138">
        <v>0</v>
      </c>
      <c r="CW203" s="138">
        <v>0</v>
      </c>
      <c r="CX203" s="138">
        <v>0</v>
      </c>
      <c r="CY203" s="138">
        <v>0</v>
      </c>
      <c r="CZ203" s="138">
        <v>0</v>
      </c>
      <c r="DA203" s="138">
        <v>57096.5400190713</v>
      </c>
      <c r="DB203" s="86">
        <v>57096.5400190713</v>
      </c>
      <c r="DC203" s="138">
        <v>0</v>
      </c>
      <c r="DD203" s="138">
        <v>0</v>
      </c>
      <c r="DE203" s="138">
        <v>0</v>
      </c>
      <c r="DF203" s="138">
        <v>0</v>
      </c>
      <c r="DG203" s="138">
        <v>0</v>
      </c>
      <c r="DH203" s="138">
        <v>0</v>
      </c>
      <c r="DI203" s="138">
        <v>0</v>
      </c>
      <c r="DJ203" s="138">
        <v>0</v>
      </c>
      <c r="DK203" s="138">
        <v>0</v>
      </c>
      <c r="DL203" s="138">
        <v>0</v>
      </c>
      <c r="DM203" s="138">
        <v>0</v>
      </c>
      <c r="DN203" s="138">
        <v>31937.5024321919</v>
      </c>
      <c r="DO203" s="86">
        <v>31937.5024321919</v>
      </c>
      <c r="DP203" s="138">
        <v>0</v>
      </c>
      <c r="DQ203" s="138">
        <v>0</v>
      </c>
      <c r="DR203" s="138">
        <v>0</v>
      </c>
      <c r="DS203" s="138">
        <v>0</v>
      </c>
      <c r="DT203" s="138">
        <v>0</v>
      </c>
      <c r="DU203" s="138">
        <v>0</v>
      </c>
      <c r="DV203" s="138">
        <v>0</v>
      </c>
      <c r="DW203" s="138">
        <v>0</v>
      </c>
      <c r="DX203" s="138">
        <v>0</v>
      </c>
      <c r="DY203" s="138">
        <v>0</v>
      </c>
      <c r="DZ203" s="138">
        <v>0</v>
      </c>
      <c r="EA203" s="138">
        <v>121420.137327645</v>
      </c>
      <c r="EB203" s="85">
        <v>121420.137327645</v>
      </c>
      <c r="EC203" s="87">
        <v>0</v>
      </c>
      <c r="ED203" s="85">
        <v>0</v>
      </c>
      <c r="EE203" s="85">
        <v>0</v>
      </c>
      <c r="EF203" s="85">
        <v>0</v>
      </c>
      <c r="EG203" s="85">
        <v>0</v>
      </c>
      <c r="EH203" s="85">
        <v>0</v>
      </c>
      <c r="EI203" s="85">
        <v>0</v>
      </c>
      <c r="EJ203" s="85">
        <v>0</v>
      </c>
      <c r="EK203" s="85">
        <v>0</v>
      </c>
      <c r="EL203" s="85">
        <v>0</v>
      </c>
      <c r="EM203" s="85">
        <v>0</v>
      </c>
      <c r="EN203" s="85">
        <v>0</v>
      </c>
      <c r="EO203" s="152">
        <v>0</v>
      </c>
      <c r="EP203" s="85">
        <v>0</v>
      </c>
      <c r="EQ203" s="85">
        <v>0</v>
      </c>
      <c r="ER203" s="85">
        <v>0</v>
      </c>
      <c r="ES203" s="85">
        <v>0</v>
      </c>
      <c r="ET203" s="85">
        <v>0</v>
      </c>
      <c r="EU203" s="85">
        <v>0</v>
      </c>
      <c r="EV203" s="85">
        <v>0</v>
      </c>
      <c r="EW203" s="85">
        <v>0</v>
      </c>
      <c r="EX203" s="85">
        <v>0</v>
      </c>
      <c r="EY203" s="85">
        <v>0</v>
      </c>
      <c r="EZ203" s="85">
        <v>0</v>
      </c>
      <c r="FA203" s="85">
        <v>30025.033825438</v>
      </c>
      <c r="FB203" s="85">
        <v>30025.033825438</v>
      </c>
      <c r="FC203" s="87">
        <v>0</v>
      </c>
      <c r="FD203" s="85">
        <v>0</v>
      </c>
      <c r="FE203" s="85">
        <v>0</v>
      </c>
      <c r="FF203" s="85">
        <v>0</v>
      </c>
      <c r="FG203" s="85">
        <v>0</v>
      </c>
      <c r="FH203" s="85">
        <v>0</v>
      </c>
      <c r="FI203" s="85">
        <v>0</v>
      </c>
      <c r="FJ203" s="85">
        <v>0</v>
      </c>
      <c r="FK203" s="85">
        <v>0</v>
      </c>
      <c r="FL203" s="85">
        <v>0</v>
      </c>
      <c r="FM203" s="85">
        <v>0</v>
      </c>
      <c r="FN203" s="85">
        <v>0</v>
      </c>
      <c r="FO203" s="86">
        <v>0</v>
      </c>
      <c r="FP203" s="87">
        <v>0</v>
      </c>
      <c r="FQ203" s="85">
        <v>0</v>
      </c>
      <c r="FR203" s="85">
        <v>0</v>
      </c>
      <c r="FS203" s="85">
        <v>0</v>
      </c>
      <c r="FT203" s="85">
        <v>0</v>
      </c>
      <c r="FU203" s="85">
        <v>0</v>
      </c>
      <c r="FV203" s="85">
        <v>0</v>
      </c>
      <c r="FW203" s="85">
        <v>0</v>
      </c>
      <c r="FX203" s="85">
        <v>0</v>
      </c>
      <c r="FY203" s="85">
        <v>0</v>
      </c>
      <c r="FZ203" s="85">
        <v>0</v>
      </c>
      <c r="GA203" s="85">
        <v>2739960</v>
      </c>
      <c r="GB203" s="152">
        <v>2739960</v>
      </c>
      <c r="GD203" s="153"/>
    </row>
    <row r="204" spans="1:186">
      <c r="A204" s="137" t="s">
        <v>375</v>
      </c>
      <c r="B204" s="151"/>
      <c r="C204" s="138">
        <f t="shared" ref="C204:C206" si="143">P204+AC204+AP204+BC204+BP204+CC204+CP204+DC204+DP204+EC204+EP204+FP204+FC204</f>
        <v>0</v>
      </c>
      <c r="D204" s="138">
        <f t="shared" ref="D204:D206" si="144">Q204+AD204+AQ204+BD204+BQ204+CD204+CQ204+DD204+DQ204+ED204+EQ204+FQ204+FD204</f>
        <v>0</v>
      </c>
      <c r="E204" s="138">
        <f t="shared" ref="E204:E206" si="145">R204+AE204+AR204+BE204+BR204+CE204+CR204+DE204+DR204+EE204+ER204+FR204+FE204</f>
        <v>0</v>
      </c>
      <c r="F204" s="138">
        <f t="shared" ref="F204:F206" si="146">S204+AF204+AS204+BF204+BS204+CF204+CS204+DF204+DS204+EF204+ES204+FS204+FF204</f>
        <v>0</v>
      </c>
      <c r="G204" s="138">
        <f t="shared" ref="G204:G206" si="147">T204+AG204+AT204+BG204+BT204+CG204+CT204+DG204+DT204+EG204+ET204+FT204+FG204</f>
        <v>0</v>
      </c>
      <c r="H204" s="138">
        <f t="shared" ref="H204:H206" si="148">U204+AH204+AU204+BH204+BU204+CH204+CU204+DH204+DU204+EH204+EU204+FU204+FH204</f>
        <v>0</v>
      </c>
      <c r="I204" s="138">
        <f t="shared" ref="I204:I206" si="149">V204+AI204+AV204+BI204+BV204+CI204+CV204+DI204+DV204+EI204+EV204+FV204+FI204</f>
        <v>0</v>
      </c>
      <c r="J204" s="138">
        <f t="shared" ref="J204:J206" si="150">W204+AJ204+AW204+BJ204+BW204+CJ204+CW204+DJ204+DW204+EJ204+EW204+FW204+FJ204</f>
        <v>0</v>
      </c>
      <c r="K204" s="138">
        <f t="shared" ref="K204:K206" si="151">X204+AK204+AX204+BK204+BX204+CK204+CX204+DK204+DX204+EK204+EX204+FX204+FK204</f>
        <v>0</v>
      </c>
      <c r="L204" s="138">
        <f t="shared" ref="L204:L206" si="152">Y204+AL204+AY204+BL204+BY204+CL204+CY204+DL204+DY204+EL204+EY204+FY204+FL204</f>
        <v>0</v>
      </c>
      <c r="M204" s="138">
        <f t="shared" ref="M204:M206" si="153">Z204+AM204+AZ204+BM204+BZ204+CM204+CZ204+DM204+DZ204+EM204+EZ204+FZ204+FM204</f>
        <v>0</v>
      </c>
      <c r="N204" s="138">
        <f t="shared" ref="N204:N206" si="154">AA204+AN204+BA204+BN204+CA204+CN204+DA204+DN204+EA204+EN204+FA204+GA204+FN204</f>
        <v>0</v>
      </c>
      <c r="O204" s="86">
        <f t="shared" ref="O204:O206" si="155">SUM(C204:N204)</f>
        <v>0</v>
      </c>
      <c r="P204" s="138">
        <v>0</v>
      </c>
      <c r="Q204" s="138">
        <v>0</v>
      </c>
      <c r="R204" s="138">
        <v>0</v>
      </c>
      <c r="S204" s="138">
        <v>0</v>
      </c>
      <c r="T204" s="138">
        <v>0</v>
      </c>
      <c r="U204" s="138">
        <v>0</v>
      </c>
      <c r="V204" s="138">
        <v>0</v>
      </c>
      <c r="W204" s="138">
        <v>0</v>
      </c>
      <c r="X204" s="138">
        <v>0</v>
      </c>
      <c r="Y204" s="138">
        <v>0</v>
      </c>
      <c r="Z204" s="138">
        <v>0</v>
      </c>
      <c r="AA204" s="138">
        <v>0</v>
      </c>
      <c r="AB204" s="86">
        <v>0</v>
      </c>
      <c r="AC204" s="138">
        <v>0</v>
      </c>
      <c r="AD204" s="138">
        <v>0</v>
      </c>
      <c r="AE204" s="138">
        <v>0</v>
      </c>
      <c r="AF204" s="138">
        <v>0</v>
      </c>
      <c r="AG204" s="138">
        <v>0</v>
      </c>
      <c r="AH204" s="138">
        <v>0</v>
      </c>
      <c r="AI204" s="138">
        <v>0</v>
      </c>
      <c r="AJ204" s="138">
        <v>0</v>
      </c>
      <c r="AK204" s="138">
        <v>0</v>
      </c>
      <c r="AL204" s="138">
        <v>0</v>
      </c>
      <c r="AM204" s="138">
        <v>0</v>
      </c>
      <c r="AN204" s="138">
        <v>0</v>
      </c>
      <c r="AO204" s="86">
        <v>0</v>
      </c>
      <c r="AP204" s="138">
        <v>0</v>
      </c>
      <c r="AQ204" s="138">
        <v>0</v>
      </c>
      <c r="AR204" s="138">
        <v>0</v>
      </c>
      <c r="AS204" s="138">
        <v>0</v>
      </c>
      <c r="AT204" s="138">
        <v>0</v>
      </c>
      <c r="AU204" s="138">
        <v>0</v>
      </c>
      <c r="AV204" s="138">
        <v>0</v>
      </c>
      <c r="AW204" s="138">
        <v>0</v>
      </c>
      <c r="AX204" s="138">
        <v>0</v>
      </c>
      <c r="AY204" s="138">
        <v>0</v>
      </c>
      <c r="AZ204" s="138">
        <v>0</v>
      </c>
      <c r="BA204" s="138">
        <v>0</v>
      </c>
      <c r="BB204" s="86">
        <v>0</v>
      </c>
      <c r="BC204" s="138">
        <v>0</v>
      </c>
      <c r="BD204" s="138">
        <v>0</v>
      </c>
      <c r="BE204" s="138">
        <v>0</v>
      </c>
      <c r="BF204" s="138">
        <v>0</v>
      </c>
      <c r="BG204" s="138">
        <v>0</v>
      </c>
      <c r="BH204" s="138">
        <v>0</v>
      </c>
      <c r="BI204" s="138">
        <v>0</v>
      </c>
      <c r="BJ204" s="138">
        <v>0</v>
      </c>
      <c r="BK204" s="138">
        <v>0</v>
      </c>
      <c r="BL204" s="138">
        <v>0</v>
      </c>
      <c r="BM204" s="138">
        <v>0</v>
      </c>
      <c r="BN204" s="138">
        <v>0</v>
      </c>
      <c r="BO204" s="86">
        <v>0</v>
      </c>
      <c r="BP204" s="138">
        <v>0</v>
      </c>
      <c r="BQ204" s="138">
        <v>0</v>
      </c>
      <c r="BR204" s="138">
        <v>0</v>
      </c>
      <c r="BS204" s="138">
        <v>0</v>
      </c>
      <c r="BT204" s="138">
        <v>0</v>
      </c>
      <c r="BU204" s="138">
        <v>0</v>
      </c>
      <c r="BV204" s="138">
        <v>0</v>
      </c>
      <c r="BW204" s="138">
        <v>0</v>
      </c>
      <c r="BX204" s="138">
        <v>0</v>
      </c>
      <c r="BY204" s="138">
        <v>0</v>
      </c>
      <c r="BZ204" s="138">
        <v>0</v>
      </c>
      <c r="CA204" s="138">
        <v>0</v>
      </c>
      <c r="CB204" s="86">
        <v>0</v>
      </c>
      <c r="CC204" s="138">
        <v>0</v>
      </c>
      <c r="CD204" s="138">
        <v>0</v>
      </c>
      <c r="CE204" s="138">
        <v>0</v>
      </c>
      <c r="CF204" s="138">
        <v>0</v>
      </c>
      <c r="CG204" s="138">
        <v>0</v>
      </c>
      <c r="CH204" s="138">
        <v>0</v>
      </c>
      <c r="CI204" s="138">
        <v>0</v>
      </c>
      <c r="CJ204" s="138">
        <v>0</v>
      </c>
      <c r="CK204" s="138">
        <v>0</v>
      </c>
      <c r="CL204" s="138">
        <v>0</v>
      </c>
      <c r="CM204" s="138">
        <v>0</v>
      </c>
      <c r="CN204" s="138">
        <v>0</v>
      </c>
      <c r="CO204" s="86">
        <v>0</v>
      </c>
      <c r="CP204" s="138">
        <v>0</v>
      </c>
      <c r="CQ204" s="138">
        <v>0</v>
      </c>
      <c r="CR204" s="138">
        <v>0</v>
      </c>
      <c r="CS204" s="138">
        <v>0</v>
      </c>
      <c r="CT204" s="138">
        <v>0</v>
      </c>
      <c r="CU204" s="138">
        <v>0</v>
      </c>
      <c r="CV204" s="138">
        <v>0</v>
      </c>
      <c r="CW204" s="138">
        <v>0</v>
      </c>
      <c r="CX204" s="138">
        <v>0</v>
      </c>
      <c r="CY204" s="138">
        <v>0</v>
      </c>
      <c r="CZ204" s="138">
        <v>0</v>
      </c>
      <c r="DA204" s="138">
        <v>0</v>
      </c>
      <c r="DB204" s="86">
        <v>0</v>
      </c>
      <c r="DC204" s="138">
        <v>0</v>
      </c>
      <c r="DD204" s="138">
        <v>0</v>
      </c>
      <c r="DE204" s="138">
        <v>0</v>
      </c>
      <c r="DF204" s="138">
        <v>0</v>
      </c>
      <c r="DG204" s="138">
        <v>0</v>
      </c>
      <c r="DH204" s="138">
        <v>0</v>
      </c>
      <c r="DI204" s="138">
        <v>0</v>
      </c>
      <c r="DJ204" s="138">
        <v>0</v>
      </c>
      <c r="DK204" s="138">
        <v>0</v>
      </c>
      <c r="DL204" s="138">
        <v>0</v>
      </c>
      <c r="DM204" s="138">
        <v>0</v>
      </c>
      <c r="DN204" s="138">
        <v>0</v>
      </c>
      <c r="DO204" s="86">
        <v>0</v>
      </c>
      <c r="DP204" s="138">
        <v>0</v>
      </c>
      <c r="DQ204" s="138">
        <v>0</v>
      </c>
      <c r="DR204" s="138">
        <v>0</v>
      </c>
      <c r="DS204" s="138">
        <v>0</v>
      </c>
      <c r="DT204" s="138">
        <v>0</v>
      </c>
      <c r="DU204" s="138">
        <v>0</v>
      </c>
      <c r="DV204" s="138">
        <v>0</v>
      </c>
      <c r="DW204" s="138">
        <v>0</v>
      </c>
      <c r="DX204" s="138">
        <v>0</v>
      </c>
      <c r="DY204" s="138">
        <v>0</v>
      </c>
      <c r="DZ204" s="138">
        <v>0</v>
      </c>
      <c r="EA204" s="138">
        <v>0</v>
      </c>
      <c r="EB204" s="85">
        <v>0</v>
      </c>
      <c r="EC204" s="87">
        <v>0</v>
      </c>
      <c r="ED204" s="85">
        <v>0</v>
      </c>
      <c r="EE204" s="85">
        <v>0</v>
      </c>
      <c r="EF204" s="85">
        <v>0</v>
      </c>
      <c r="EG204" s="85">
        <v>0</v>
      </c>
      <c r="EH204" s="85">
        <v>0</v>
      </c>
      <c r="EI204" s="85">
        <v>0</v>
      </c>
      <c r="EJ204" s="85">
        <v>0</v>
      </c>
      <c r="EK204" s="85">
        <v>0</v>
      </c>
      <c r="EL204" s="85">
        <v>0</v>
      </c>
      <c r="EM204" s="85">
        <v>0</v>
      </c>
      <c r="EN204" s="85">
        <v>0</v>
      </c>
      <c r="EO204" s="152">
        <v>0</v>
      </c>
      <c r="EP204" s="85">
        <v>0</v>
      </c>
      <c r="EQ204" s="85">
        <v>0</v>
      </c>
      <c r="ER204" s="85">
        <v>0</v>
      </c>
      <c r="ES204" s="85">
        <v>0</v>
      </c>
      <c r="ET204" s="85">
        <v>0</v>
      </c>
      <c r="EU204" s="85">
        <v>0</v>
      </c>
      <c r="EV204" s="85">
        <v>0</v>
      </c>
      <c r="EW204" s="85">
        <v>0</v>
      </c>
      <c r="EX204" s="85">
        <v>0</v>
      </c>
      <c r="EY204" s="85">
        <v>0</v>
      </c>
      <c r="EZ204" s="85">
        <v>0</v>
      </c>
      <c r="FA204" s="85">
        <v>0</v>
      </c>
      <c r="FB204" s="85">
        <v>0</v>
      </c>
      <c r="FC204" s="87">
        <v>0</v>
      </c>
      <c r="FD204" s="85">
        <v>0</v>
      </c>
      <c r="FE204" s="85">
        <v>0</v>
      </c>
      <c r="FF204" s="85">
        <v>0</v>
      </c>
      <c r="FG204" s="85">
        <v>0</v>
      </c>
      <c r="FH204" s="85">
        <v>0</v>
      </c>
      <c r="FI204" s="85">
        <v>0</v>
      </c>
      <c r="FJ204" s="85">
        <v>0</v>
      </c>
      <c r="FK204" s="85">
        <v>0</v>
      </c>
      <c r="FL204" s="85">
        <v>0</v>
      </c>
      <c r="FM204" s="85">
        <v>0</v>
      </c>
      <c r="FN204" s="85">
        <v>0</v>
      </c>
      <c r="FO204" s="86">
        <v>0</v>
      </c>
      <c r="FP204" s="87">
        <v>0</v>
      </c>
      <c r="FQ204" s="85">
        <v>0</v>
      </c>
      <c r="FR204" s="85">
        <v>0</v>
      </c>
      <c r="FS204" s="85">
        <v>0</v>
      </c>
      <c r="FT204" s="85">
        <v>0</v>
      </c>
      <c r="FU204" s="85">
        <v>0</v>
      </c>
      <c r="FV204" s="85">
        <v>0</v>
      </c>
      <c r="FW204" s="85">
        <v>0</v>
      </c>
      <c r="FX204" s="85">
        <v>0</v>
      </c>
      <c r="FY204" s="85">
        <v>0</v>
      </c>
      <c r="FZ204" s="85">
        <v>0</v>
      </c>
      <c r="GA204" s="85">
        <v>0</v>
      </c>
      <c r="GB204" s="152">
        <v>0</v>
      </c>
      <c r="GD204" s="153"/>
    </row>
    <row r="205" spans="1:186">
      <c r="A205" s="137" t="s">
        <v>376</v>
      </c>
      <c r="B205" s="151"/>
      <c r="C205" s="138">
        <f t="shared" si="143"/>
        <v>0</v>
      </c>
      <c r="D205" s="138">
        <f t="shared" si="144"/>
        <v>0</v>
      </c>
      <c r="E205" s="138">
        <f t="shared" si="145"/>
        <v>0</v>
      </c>
      <c r="F205" s="138">
        <f t="shared" si="146"/>
        <v>0</v>
      </c>
      <c r="G205" s="138">
        <f t="shared" si="147"/>
        <v>0</v>
      </c>
      <c r="H205" s="138">
        <f t="shared" si="148"/>
        <v>0</v>
      </c>
      <c r="I205" s="138">
        <f t="shared" si="149"/>
        <v>0</v>
      </c>
      <c r="J205" s="138">
        <f t="shared" si="150"/>
        <v>0</v>
      </c>
      <c r="K205" s="138">
        <f t="shared" si="151"/>
        <v>0</v>
      </c>
      <c r="L205" s="138">
        <f t="shared" si="152"/>
        <v>0</v>
      </c>
      <c r="M205" s="138">
        <f t="shared" si="153"/>
        <v>0</v>
      </c>
      <c r="N205" s="138">
        <f t="shared" si="154"/>
        <v>0</v>
      </c>
      <c r="O205" s="86">
        <f t="shared" si="155"/>
        <v>0</v>
      </c>
      <c r="P205" s="138">
        <v>0</v>
      </c>
      <c r="Q205" s="138">
        <v>0</v>
      </c>
      <c r="R205" s="138">
        <v>0</v>
      </c>
      <c r="S205" s="138">
        <v>0</v>
      </c>
      <c r="T205" s="138">
        <v>0</v>
      </c>
      <c r="U205" s="138">
        <v>0</v>
      </c>
      <c r="V205" s="138">
        <v>0</v>
      </c>
      <c r="W205" s="138">
        <v>0</v>
      </c>
      <c r="X205" s="138">
        <v>0</v>
      </c>
      <c r="Y205" s="138">
        <v>0</v>
      </c>
      <c r="Z205" s="138">
        <v>0</v>
      </c>
      <c r="AA205" s="138">
        <v>0</v>
      </c>
      <c r="AB205" s="86">
        <v>0</v>
      </c>
      <c r="AC205" s="138">
        <v>0</v>
      </c>
      <c r="AD205" s="138">
        <v>0</v>
      </c>
      <c r="AE205" s="138">
        <v>0</v>
      </c>
      <c r="AF205" s="138">
        <v>0</v>
      </c>
      <c r="AG205" s="138">
        <v>0</v>
      </c>
      <c r="AH205" s="138">
        <v>0</v>
      </c>
      <c r="AI205" s="138">
        <v>0</v>
      </c>
      <c r="AJ205" s="138">
        <v>0</v>
      </c>
      <c r="AK205" s="138">
        <v>0</v>
      </c>
      <c r="AL205" s="138">
        <v>0</v>
      </c>
      <c r="AM205" s="138">
        <v>0</v>
      </c>
      <c r="AN205" s="138">
        <v>0</v>
      </c>
      <c r="AO205" s="86">
        <v>0</v>
      </c>
      <c r="AP205" s="138">
        <v>0</v>
      </c>
      <c r="AQ205" s="138">
        <v>0</v>
      </c>
      <c r="AR205" s="138">
        <v>0</v>
      </c>
      <c r="AS205" s="138">
        <v>0</v>
      </c>
      <c r="AT205" s="138">
        <v>0</v>
      </c>
      <c r="AU205" s="138">
        <v>0</v>
      </c>
      <c r="AV205" s="138">
        <v>0</v>
      </c>
      <c r="AW205" s="138">
        <v>0</v>
      </c>
      <c r="AX205" s="138">
        <v>0</v>
      </c>
      <c r="AY205" s="138">
        <v>0</v>
      </c>
      <c r="AZ205" s="138">
        <v>0</v>
      </c>
      <c r="BA205" s="138">
        <v>0</v>
      </c>
      <c r="BB205" s="86">
        <v>0</v>
      </c>
      <c r="BC205" s="138">
        <v>0</v>
      </c>
      <c r="BD205" s="138">
        <v>0</v>
      </c>
      <c r="BE205" s="138">
        <v>0</v>
      </c>
      <c r="BF205" s="138">
        <v>0</v>
      </c>
      <c r="BG205" s="138">
        <v>0</v>
      </c>
      <c r="BH205" s="138">
        <v>0</v>
      </c>
      <c r="BI205" s="138">
        <v>0</v>
      </c>
      <c r="BJ205" s="138">
        <v>0</v>
      </c>
      <c r="BK205" s="138">
        <v>0</v>
      </c>
      <c r="BL205" s="138">
        <v>0</v>
      </c>
      <c r="BM205" s="138">
        <v>0</v>
      </c>
      <c r="BN205" s="138">
        <v>0</v>
      </c>
      <c r="BO205" s="86">
        <v>0</v>
      </c>
      <c r="BP205" s="138">
        <v>0</v>
      </c>
      <c r="BQ205" s="138">
        <v>0</v>
      </c>
      <c r="BR205" s="138">
        <v>0</v>
      </c>
      <c r="BS205" s="138">
        <v>0</v>
      </c>
      <c r="BT205" s="138">
        <v>0</v>
      </c>
      <c r="BU205" s="138">
        <v>0</v>
      </c>
      <c r="BV205" s="138">
        <v>0</v>
      </c>
      <c r="BW205" s="138">
        <v>0</v>
      </c>
      <c r="BX205" s="138">
        <v>0</v>
      </c>
      <c r="BY205" s="138">
        <v>0</v>
      </c>
      <c r="BZ205" s="138">
        <v>0</v>
      </c>
      <c r="CA205" s="138">
        <v>0</v>
      </c>
      <c r="CB205" s="86">
        <v>0</v>
      </c>
      <c r="CC205" s="138">
        <v>0</v>
      </c>
      <c r="CD205" s="138">
        <v>0</v>
      </c>
      <c r="CE205" s="138">
        <v>0</v>
      </c>
      <c r="CF205" s="138">
        <v>0</v>
      </c>
      <c r="CG205" s="138">
        <v>0</v>
      </c>
      <c r="CH205" s="138">
        <v>0</v>
      </c>
      <c r="CI205" s="138">
        <v>0</v>
      </c>
      <c r="CJ205" s="138">
        <v>0</v>
      </c>
      <c r="CK205" s="138">
        <v>0</v>
      </c>
      <c r="CL205" s="138">
        <v>0</v>
      </c>
      <c r="CM205" s="138">
        <v>0</v>
      </c>
      <c r="CN205" s="138">
        <v>0</v>
      </c>
      <c r="CO205" s="86">
        <v>0</v>
      </c>
      <c r="CP205" s="138">
        <v>0</v>
      </c>
      <c r="CQ205" s="138">
        <v>0</v>
      </c>
      <c r="CR205" s="138">
        <v>0</v>
      </c>
      <c r="CS205" s="138">
        <v>0</v>
      </c>
      <c r="CT205" s="138">
        <v>0</v>
      </c>
      <c r="CU205" s="138">
        <v>0</v>
      </c>
      <c r="CV205" s="138">
        <v>0</v>
      </c>
      <c r="CW205" s="138">
        <v>0</v>
      </c>
      <c r="CX205" s="138">
        <v>0</v>
      </c>
      <c r="CY205" s="138">
        <v>0</v>
      </c>
      <c r="CZ205" s="138">
        <v>0</v>
      </c>
      <c r="DA205" s="138">
        <v>0</v>
      </c>
      <c r="DB205" s="86">
        <v>0</v>
      </c>
      <c r="DC205" s="138">
        <v>0</v>
      </c>
      <c r="DD205" s="138">
        <v>0</v>
      </c>
      <c r="DE205" s="138">
        <v>0</v>
      </c>
      <c r="DF205" s="138">
        <v>0</v>
      </c>
      <c r="DG205" s="138">
        <v>0</v>
      </c>
      <c r="DH205" s="138">
        <v>0</v>
      </c>
      <c r="DI205" s="138">
        <v>0</v>
      </c>
      <c r="DJ205" s="138">
        <v>0</v>
      </c>
      <c r="DK205" s="138">
        <v>0</v>
      </c>
      <c r="DL205" s="138">
        <v>0</v>
      </c>
      <c r="DM205" s="138">
        <v>0</v>
      </c>
      <c r="DN205" s="138">
        <v>0</v>
      </c>
      <c r="DO205" s="86">
        <v>0</v>
      </c>
      <c r="DP205" s="138">
        <v>0</v>
      </c>
      <c r="DQ205" s="138">
        <v>0</v>
      </c>
      <c r="DR205" s="138">
        <v>0</v>
      </c>
      <c r="DS205" s="138">
        <v>0</v>
      </c>
      <c r="DT205" s="138">
        <v>0</v>
      </c>
      <c r="DU205" s="138">
        <v>0</v>
      </c>
      <c r="DV205" s="138">
        <v>0</v>
      </c>
      <c r="DW205" s="138">
        <v>0</v>
      </c>
      <c r="DX205" s="138">
        <v>0</v>
      </c>
      <c r="DY205" s="138">
        <v>0</v>
      </c>
      <c r="DZ205" s="138">
        <v>0</v>
      </c>
      <c r="EA205" s="138">
        <v>0</v>
      </c>
      <c r="EB205" s="85">
        <v>0</v>
      </c>
      <c r="EC205" s="87">
        <v>0</v>
      </c>
      <c r="ED205" s="85">
        <v>0</v>
      </c>
      <c r="EE205" s="85">
        <v>0</v>
      </c>
      <c r="EF205" s="85">
        <v>0</v>
      </c>
      <c r="EG205" s="85">
        <v>0</v>
      </c>
      <c r="EH205" s="85">
        <v>0</v>
      </c>
      <c r="EI205" s="85">
        <v>0</v>
      </c>
      <c r="EJ205" s="85">
        <v>0</v>
      </c>
      <c r="EK205" s="85">
        <v>0</v>
      </c>
      <c r="EL205" s="85">
        <v>0</v>
      </c>
      <c r="EM205" s="85">
        <v>0</v>
      </c>
      <c r="EN205" s="85">
        <v>0</v>
      </c>
      <c r="EO205" s="152">
        <v>0</v>
      </c>
      <c r="EP205" s="85">
        <v>0</v>
      </c>
      <c r="EQ205" s="85">
        <v>0</v>
      </c>
      <c r="ER205" s="85">
        <v>0</v>
      </c>
      <c r="ES205" s="85">
        <v>0</v>
      </c>
      <c r="ET205" s="85">
        <v>0</v>
      </c>
      <c r="EU205" s="85">
        <v>0</v>
      </c>
      <c r="EV205" s="85">
        <v>0</v>
      </c>
      <c r="EW205" s="85">
        <v>0</v>
      </c>
      <c r="EX205" s="85">
        <v>0</v>
      </c>
      <c r="EY205" s="85">
        <v>0</v>
      </c>
      <c r="EZ205" s="85">
        <v>0</v>
      </c>
      <c r="FA205" s="85">
        <v>0</v>
      </c>
      <c r="FB205" s="85">
        <v>0</v>
      </c>
      <c r="FC205" s="87">
        <v>0</v>
      </c>
      <c r="FD205" s="85">
        <v>0</v>
      </c>
      <c r="FE205" s="85">
        <v>0</v>
      </c>
      <c r="FF205" s="85">
        <v>0</v>
      </c>
      <c r="FG205" s="85">
        <v>0</v>
      </c>
      <c r="FH205" s="85">
        <v>0</v>
      </c>
      <c r="FI205" s="85">
        <v>0</v>
      </c>
      <c r="FJ205" s="85">
        <v>0</v>
      </c>
      <c r="FK205" s="85">
        <v>0</v>
      </c>
      <c r="FL205" s="85">
        <v>0</v>
      </c>
      <c r="FM205" s="85">
        <v>0</v>
      </c>
      <c r="FN205" s="85">
        <v>0</v>
      </c>
      <c r="FO205" s="86">
        <v>0</v>
      </c>
      <c r="FP205" s="87">
        <v>0</v>
      </c>
      <c r="FQ205" s="85">
        <v>0</v>
      </c>
      <c r="FR205" s="85">
        <v>0</v>
      </c>
      <c r="FS205" s="85">
        <v>0</v>
      </c>
      <c r="FT205" s="85">
        <v>0</v>
      </c>
      <c r="FU205" s="85">
        <v>0</v>
      </c>
      <c r="FV205" s="85">
        <v>0</v>
      </c>
      <c r="FW205" s="85">
        <v>0</v>
      </c>
      <c r="FX205" s="85">
        <v>0</v>
      </c>
      <c r="FY205" s="85">
        <v>0</v>
      </c>
      <c r="FZ205" s="85">
        <v>0</v>
      </c>
      <c r="GA205" s="85">
        <v>0</v>
      </c>
      <c r="GB205" s="152">
        <v>0</v>
      </c>
      <c r="GD205" s="153"/>
    </row>
    <row r="206" spans="1:186">
      <c r="A206" s="137" t="s">
        <v>377</v>
      </c>
      <c r="B206" s="151"/>
      <c r="C206" s="138">
        <f t="shared" si="143"/>
        <v>0</v>
      </c>
      <c r="D206" s="138">
        <f t="shared" si="144"/>
        <v>0</v>
      </c>
      <c r="E206" s="138">
        <f t="shared" si="145"/>
        <v>0</v>
      </c>
      <c r="F206" s="138">
        <f t="shared" si="146"/>
        <v>0</v>
      </c>
      <c r="G206" s="138">
        <f t="shared" si="147"/>
        <v>0</v>
      </c>
      <c r="H206" s="138">
        <f t="shared" si="148"/>
        <v>0</v>
      </c>
      <c r="I206" s="138">
        <f t="shared" si="149"/>
        <v>0</v>
      </c>
      <c r="J206" s="138">
        <f t="shared" si="150"/>
        <v>0</v>
      </c>
      <c r="K206" s="138">
        <f t="shared" si="151"/>
        <v>0</v>
      </c>
      <c r="L206" s="138">
        <f t="shared" si="152"/>
        <v>19471478.1827944</v>
      </c>
      <c r="M206" s="138">
        <f t="shared" si="153"/>
        <v>26372783.7264452</v>
      </c>
      <c r="N206" s="138">
        <f t="shared" si="154"/>
        <v>9586594.78005823</v>
      </c>
      <c r="O206" s="86">
        <f t="shared" si="155"/>
        <v>55430856.6892978</v>
      </c>
      <c r="P206" s="138">
        <v>0</v>
      </c>
      <c r="Q206" s="138">
        <v>0</v>
      </c>
      <c r="R206" s="138">
        <v>0</v>
      </c>
      <c r="S206" s="138">
        <v>0</v>
      </c>
      <c r="T206" s="138">
        <v>0</v>
      </c>
      <c r="U206" s="138">
        <v>0</v>
      </c>
      <c r="V206" s="138">
        <v>0</v>
      </c>
      <c r="W206" s="138">
        <v>0</v>
      </c>
      <c r="X206" s="138">
        <v>0</v>
      </c>
      <c r="Y206" s="138">
        <v>2422636.45189512</v>
      </c>
      <c r="Z206" s="138">
        <v>2306601.55489463</v>
      </c>
      <c r="AA206" s="138">
        <v>1882832.50594032</v>
      </c>
      <c r="AB206" s="86">
        <v>6612070.51273007</v>
      </c>
      <c r="AC206" s="138">
        <v>0</v>
      </c>
      <c r="AD206" s="138">
        <v>0</v>
      </c>
      <c r="AE206" s="138">
        <v>0</v>
      </c>
      <c r="AF206" s="138">
        <v>0</v>
      </c>
      <c r="AG206" s="138">
        <v>0</v>
      </c>
      <c r="AH206" s="138">
        <v>0</v>
      </c>
      <c r="AI206" s="138">
        <v>0</v>
      </c>
      <c r="AJ206" s="138">
        <v>0</v>
      </c>
      <c r="AK206" s="138">
        <v>0</v>
      </c>
      <c r="AL206" s="138">
        <v>713084.839744314</v>
      </c>
      <c r="AM206" s="138">
        <v>1597312.08732855</v>
      </c>
      <c r="AN206" s="138">
        <v>1177134.81329483</v>
      </c>
      <c r="AO206" s="86">
        <v>3487531.74036769</v>
      </c>
      <c r="AP206" s="138">
        <v>0</v>
      </c>
      <c r="AQ206" s="138">
        <v>0</v>
      </c>
      <c r="AR206" s="138">
        <v>0</v>
      </c>
      <c r="AS206" s="138">
        <v>0</v>
      </c>
      <c r="AT206" s="138">
        <v>0</v>
      </c>
      <c r="AU206" s="138">
        <v>0</v>
      </c>
      <c r="AV206" s="138">
        <v>0</v>
      </c>
      <c r="AW206" s="138">
        <v>0</v>
      </c>
      <c r="AX206" s="138">
        <v>0</v>
      </c>
      <c r="AY206" s="138">
        <v>1491210.44809545</v>
      </c>
      <c r="AZ206" s="138">
        <v>1971866.65894212</v>
      </c>
      <c r="BA206" s="138">
        <v>224249.631940455</v>
      </c>
      <c r="BB206" s="86">
        <v>3687326.73897803</v>
      </c>
      <c r="BC206" s="138">
        <v>0</v>
      </c>
      <c r="BD206" s="138">
        <v>0</v>
      </c>
      <c r="BE206" s="138">
        <v>0</v>
      </c>
      <c r="BF206" s="138">
        <v>0</v>
      </c>
      <c r="BG206" s="138">
        <v>0</v>
      </c>
      <c r="BH206" s="138">
        <v>0</v>
      </c>
      <c r="BI206" s="138">
        <v>0</v>
      </c>
      <c r="BJ206" s="138">
        <v>0</v>
      </c>
      <c r="BK206" s="138">
        <v>0</v>
      </c>
      <c r="BL206" s="138">
        <v>2371899.01374968</v>
      </c>
      <c r="BM206" s="138">
        <v>4377976.21500242</v>
      </c>
      <c r="BN206" s="138">
        <v>1778950.04238376</v>
      </c>
      <c r="BO206" s="86">
        <v>8528825.27113586</v>
      </c>
      <c r="BP206" s="138">
        <v>0</v>
      </c>
      <c r="BQ206" s="138">
        <v>0</v>
      </c>
      <c r="BR206" s="138">
        <v>0</v>
      </c>
      <c r="BS206" s="138">
        <v>0</v>
      </c>
      <c r="BT206" s="138">
        <v>0</v>
      </c>
      <c r="BU206" s="138">
        <v>0</v>
      </c>
      <c r="BV206" s="138">
        <v>0</v>
      </c>
      <c r="BW206" s="138">
        <v>0</v>
      </c>
      <c r="BX206" s="138">
        <v>0</v>
      </c>
      <c r="BY206" s="138">
        <v>3497352.25840752</v>
      </c>
      <c r="BZ206" s="138">
        <v>5862652.93718363</v>
      </c>
      <c r="CA206" s="138">
        <v>512484.648399238</v>
      </c>
      <c r="CB206" s="86">
        <v>9872489.84399039</v>
      </c>
      <c r="CC206" s="138">
        <v>0</v>
      </c>
      <c r="CD206" s="138">
        <v>0</v>
      </c>
      <c r="CE206" s="138">
        <v>0</v>
      </c>
      <c r="CF206" s="138">
        <v>0</v>
      </c>
      <c r="CG206" s="138">
        <v>0</v>
      </c>
      <c r="CH206" s="138">
        <v>0</v>
      </c>
      <c r="CI206" s="138">
        <v>0</v>
      </c>
      <c r="CJ206" s="138">
        <v>0</v>
      </c>
      <c r="CK206" s="138">
        <v>0</v>
      </c>
      <c r="CL206" s="138">
        <v>352448.298923561</v>
      </c>
      <c r="CM206" s="138">
        <v>543200.130821607</v>
      </c>
      <c r="CN206" s="138">
        <v>295666.489569769</v>
      </c>
      <c r="CO206" s="86">
        <v>1191314.91931494</v>
      </c>
      <c r="CP206" s="138">
        <v>0</v>
      </c>
      <c r="CQ206" s="138">
        <v>0</v>
      </c>
      <c r="CR206" s="138">
        <v>0</v>
      </c>
      <c r="CS206" s="138">
        <v>0</v>
      </c>
      <c r="CT206" s="138">
        <v>0</v>
      </c>
      <c r="CU206" s="138">
        <v>0</v>
      </c>
      <c r="CV206" s="138">
        <v>0</v>
      </c>
      <c r="CW206" s="138">
        <v>0</v>
      </c>
      <c r="CX206" s="138">
        <v>0</v>
      </c>
      <c r="CY206" s="138">
        <v>2738519.23424805</v>
      </c>
      <c r="CZ206" s="138">
        <v>5174564.5069222</v>
      </c>
      <c r="DA206" s="138">
        <v>2201376.52604538</v>
      </c>
      <c r="DB206" s="86">
        <v>10114460.2672156</v>
      </c>
      <c r="DC206" s="138">
        <v>0</v>
      </c>
      <c r="DD206" s="138">
        <v>0</v>
      </c>
      <c r="DE206" s="138">
        <v>0</v>
      </c>
      <c r="DF206" s="138">
        <v>0</v>
      </c>
      <c r="DG206" s="138">
        <v>0</v>
      </c>
      <c r="DH206" s="138">
        <v>0</v>
      </c>
      <c r="DI206" s="138">
        <v>0</v>
      </c>
      <c r="DJ206" s="138">
        <v>0</v>
      </c>
      <c r="DK206" s="138">
        <v>0</v>
      </c>
      <c r="DL206" s="138">
        <v>92277.6502229008</v>
      </c>
      <c r="DM206" s="138">
        <v>112331.430819859</v>
      </c>
      <c r="DN206" s="138">
        <v>22488.2930562592</v>
      </c>
      <c r="DO206" s="86">
        <v>227097.374099018</v>
      </c>
      <c r="DP206" s="138">
        <v>0</v>
      </c>
      <c r="DQ206" s="138">
        <v>0</v>
      </c>
      <c r="DR206" s="138">
        <v>0</v>
      </c>
      <c r="DS206" s="138">
        <v>0</v>
      </c>
      <c r="DT206" s="138">
        <v>0</v>
      </c>
      <c r="DU206" s="138">
        <v>0</v>
      </c>
      <c r="DV206" s="138">
        <v>0</v>
      </c>
      <c r="DW206" s="138">
        <v>0</v>
      </c>
      <c r="DX206" s="138">
        <v>0</v>
      </c>
      <c r="DY206" s="138">
        <v>1808752.17491957</v>
      </c>
      <c r="DZ206" s="138">
        <v>2273882.28755067</v>
      </c>
      <c r="EA206" s="138">
        <v>877236.96115787</v>
      </c>
      <c r="EB206" s="85">
        <v>4959871.42362811</v>
      </c>
      <c r="EC206" s="87">
        <v>0</v>
      </c>
      <c r="ED206" s="85">
        <v>0</v>
      </c>
      <c r="EE206" s="85">
        <v>0</v>
      </c>
      <c r="EF206" s="85">
        <v>0</v>
      </c>
      <c r="EG206" s="85">
        <v>0</v>
      </c>
      <c r="EH206" s="85">
        <v>0</v>
      </c>
      <c r="EI206" s="85">
        <v>0</v>
      </c>
      <c r="EJ206" s="85">
        <v>0</v>
      </c>
      <c r="EK206" s="85">
        <v>0</v>
      </c>
      <c r="EL206" s="85">
        <v>0</v>
      </c>
      <c r="EM206" s="85">
        <v>0</v>
      </c>
      <c r="EN206" s="85">
        <v>0</v>
      </c>
      <c r="EO206" s="152">
        <v>0</v>
      </c>
      <c r="EP206" s="85">
        <v>0</v>
      </c>
      <c r="EQ206" s="85">
        <v>0</v>
      </c>
      <c r="ER206" s="85">
        <v>0</v>
      </c>
      <c r="ES206" s="85">
        <v>0</v>
      </c>
      <c r="ET206" s="85">
        <v>0</v>
      </c>
      <c r="EU206" s="85">
        <v>0</v>
      </c>
      <c r="EV206" s="85">
        <v>0</v>
      </c>
      <c r="EW206" s="85">
        <v>0</v>
      </c>
      <c r="EX206" s="85">
        <v>0</v>
      </c>
      <c r="EY206" s="85">
        <v>595942.612588231</v>
      </c>
      <c r="EZ206" s="85">
        <v>782415.916979549</v>
      </c>
      <c r="FA206" s="85">
        <v>614174.868270345</v>
      </c>
      <c r="FB206" s="85">
        <v>1992533.39783813</v>
      </c>
      <c r="FC206" s="87">
        <v>0</v>
      </c>
      <c r="FD206" s="85">
        <v>0</v>
      </c>
      <c r="FE206" s="85">
        <v>0</v>
      </c>
      <c r="FF206" s="85">
        <v>0</v>
      </c>
      <c r="FG206" s="85">
        <v>0</v>
      </c>
      <c r="FH206" s="85">
        <v>0</v>
      </c>
      <c r="FI206" s="85">
        <v>0</v>
      </c>
      <c r="FJ206" s="85">
        <v>0</v>
      </c>
      <c r="FK206" s="85">
        <v>0</v>
      </c>
      <c r="FL206" s="85">
        <v>0</v>
      </c>
      <c r="FM206" s="85">
        <v>0</v>
      </c>
      <c r="FN206" s="85">
        <v>0</v>
      </c>
      <c r="FO206" s="86">
        <v>0</v>
      </c>
      <c r="FP206" s="87">
        <v>0</v>
      </c>
      <c r="FQ206" s="85">
        <v>0</v>
      </c>
      <c r="FR206" s="85">
        <v>0</v>
      </c>
      <c r="FS206" s="85">
        <v>0</v>
      </c>
      <c r="FT206" s="85">
        <v>0</v>
      </c>
      <c r="FU206" s="85">
        <v>0</v>
      </c>
      <c r="FV206" s="85">
        <v>0</v>
      </c>
      <c r="FW206" s="85">
        <v>0</v>
      </c>
      <c r="FX206" s="85">
        <v>0</v>
      </c>
      <c r="FY206" s="85">
        <v>3387355.2</v>
      </c>
      <c r="FZ206" s="85">
        <v>1369980</v>
      </c>
      <c r="GA206" s="85">
        <v>0</v>
      </c>
      <c r="GB206" s="152">
        <v>4757335.2</v>
      </c>
      <c r="GD206" s="153"/>
    </row>
    <row r="207" spans="1:186">
      <c r="A207" s="137" t="s">
        <v>378</v>
      </c>
      <c r="B207" s="151"/>
      <c r="C207" s="138">
        <f t="shared" ref="C207:C209" si="156">P207+AC207+AP207+BC207+BP207+CC207+CP207+DC207+DP207+EC207+EP207+FP207+FC207</f>
        <v>0</v>
      </c>
      <c r="D207" s="138">
        <f t="shared" ref="D207:D209" si="157">Q207+AD207+AQ207+BD207+BQ207+CD207+CQ207+DD207+DQ207+ED207+EQ207+FQ207+FD207</f>
        <v>0</v>
      </c>
      <c r="E207" s="138">
        <f t="shared" ref="E207:E209" si="158">R207+AE207+AR207+BE207+BR207+CE207+CR207+DE207+DR207+EE207+ER207+FR207+FE207</f>
        <v>0</v>
      </c>
      <c r="F207" s="138">
        <f t="shared" ref="F207:F209" si="159">S207+AF207+AS207+BF207+BS207+CF207+CS207+DF207+DS207+EF207+ES207+FS207+FF207</f>
        <v>0</v>
      </c>
      <c r="G207" s="138">
        <f t="shared" ref="G207:G209" si="160">T207+AG207+AT207+BG207+BT207+CG207+CT207+DG207+DT207+EG207+ET207+FT207+FG207</f>
        <v>0</v>
      </c>
      <c r="H207" s="138">
        <f t="shared" ref="H207:H209" si="161">U207+AH207+AU207+BH207+BU207+CH207+CU207+DH207+DU207+EH207+EU207+FU207+FH207</f>
        <v>0</v>
      </c>
      <c r="I207" s="138">
        <f t="shared" ref="I207:I209" si="162">V207+AI207+AV207+BI207+BV207+CI207+CV207+DI207+DV207+EI207+EV207+FV207+FI207</f>
        <v>0</v>
      </c>
      <c r="J207" s="138">
        <f t="shared" ref="J207:J209" si="163">W207+AJ207+AW207+BJ207+BW207+CJ207+CW207+DJ207+DW207+EJ207+EW207+FW207+FJ207</f>
        <v>0</v>
      </c>
      <c r="K207" s="138">
        <f t="shared" ref="K207:K209" si="164">X207+AK207+AX207+BK207+BX207+CK207+CX207+DK207+DX207+EK207+EX207+FX207+FK207</f>
        <v>0</v>
      </c>
      <c r="L207" s="138">
        <f t="shared" ref="L207:L209" si="165">Y207+AL207+AY207+BL207+BY207+CL207+CY207+DL207+DY207+EL207+EY207+FY207+FL207</f>
        <v>0</v>
      </c>
      <c r="M207" s="138">
        <f t="shared" ref="M207:M209" si="166">Z207+AM207+AZ207+BM207+BZ207+CM207+CZ207+DM207+DZ207+EM207+EZ207+FZ207+FM207</f>
        <v>0</v>
      </c>
      <c r="N207" s="138">
        <f t="shared" ref="N207:N209" si="167">AA207+AN207+BA207+BN207+CA207+CN207+DA207+DN207+EA207+EN207+FA207+GA207+FN207</f>
        <v>0</v>
      </c>
      <c r="O207" s="86">
        <f t="shared" ref="O207:O209" si="168">SUM(C207:N207)</f>
        <v>0</v>
      </c>
      <c r="P207" s="138">
        <v>0</v>
      </c>
      <c r="Q207" s="138">
        <v>0</v>
      </c>
      <c r="R207" s="138">
        <v>0</v>
      </c>
      <c r="S207" s="138">
        <v>0</v>
      </c>
      <c r="T207" s="138">
        <v>0</v>
      </c>
      <c r="U207" s="138">
        <v>0</v>
      </c>
      <c r="V207" s="138">
        <v>0</v>
      </c>
      <c r="W207" s="138">
        <v>0</v>
      </c>
      <c r="X207" s="138">
        <v>0</v>
      </c>
      <c r="Y207" s="138">
        <v>0</v>
      </c>
      <c r="Z207" s="138">
        <v>0</v>
      </c>
      <c r="AA207" s="138">
        <v>0</v>
      </c>
      <c r="AB207" s="86">
        <v>0</v>
      </c>
      <c r="AC207" s="138">
        <v>0</v>
      </c>
      <c r="AD207" s="138">
        <v>0</v>
      </c>
      <c r="AE207" s="138">
        <v>0</v>
      </c>
      <c r="AF207" s="138">
        <v>0</v>
      </c>
      <c r="AG207" s="138">
        <v>0</v>
      </c>
      <c r="AH207" s="138">
        <v>0</v>
      </c>
      <c r="AI207" s="138">
        <v>0</v>
      </c>
      <c r="AJ207" s="138">
        <v>0</v>
      </c>
      <c r="AK207" s="138">
        <v>0</v>
      </c>
      <c r="AL207" s="138">
        <v>0</v>
      </c>
      <c r="AM207" s="138">
        <v>0</v>
      </c>
      <c r="AN207" s="138">
        <v>0</v>
      </c>
      <c r="AO207" s="86">
        <v>0</v>
      </c>
      <c r="AP207" s="138">
        <v>0</v>
      </c>
      <c r="AQ207" s="138">
        <v>0</v>
      </c>
      <c r="AR207" s="138">
        <v>0</v>
      </c>
      <c r="AS207" s="138">
        <v>0</v>
      </c>
      <c r="AT207" s="138">
        <v>0</v>
      </c>
      <c r="AU207" s="138">
        <v>0</v>
      </c>
      <c r="AV207" s="138">
        <v>0</v>
      </c>
      <c r="AW207" s="138">
        <v>0</v>
      </c>
      <c r="AX207" s="138">
        <v>0</v>
      </c>
      <c r="AY207" s="138">
        <v>0</v>
      </c>
      <c r="AZ207" s="138">
        <v>0</v>
      </c>
      <c r="BA207" s="138">
        <v>0</v>
      </c>
      <c r="BB207" s="86">
        <v>0</v>
      </c>
      <c r="BC207" s="138">
        <v>0</v>
      </c>
      <c r="BD207" s="138">
        <v>0</v>
      </c>
      <c r="BE207" s="138">
        <v>0</v>
      </c>
      <c r="BF207" s="138">
        <v>0</v>
      </c>
      <c r="BG207" s="138">
        <v>0</v>
      </c>
      <c r="BH207" s="138">
        <v>0</v>
      </c>
      <c r="BI207" s="138">
        <v>0</v>
      </c>
      <c r="BJ207" s="138">
        <v>0</v>
      </c>
      <c r="BK207" s="138">
        <v>0</v>
      </c>
      <c r="BL207" s="138">
        <v>0</v>
      </c>
      <c r="BM207" s="138">
        <v>0</v>
      </c>
      <c r="BN207" s="138">
        <v>0</v>
      </c>
      <c r="BO207" s="86">
        <v>0</v>
      </c>
      <c r="BP207" s="138">
        <v>0</v>
      </c>
      <c r="BQ207" s="138">
        <v>0</v>
      </c>
      <c r="BR207" s="138">
        <v>0</v>
      </c>
      <c r="BS207" s="138">
        <v>0</v>
      </c>
      <c r="BT207" s="138">
        <v>0</v>
      </c>
      <c r="BU207" s="138">
        <v>0</v>
      </c>
      <c r="BV207" s="138">
        <v>0</v>
      </c>
      <c r="BW207" s="138">
        <v>0</v>
      </c>
      <c r="BX207" s="138">
        <v>0</v>
      </c>
      <c r="BY207" s="138">
        <v>0</v>
      </c>
      <c r="BZ207" s="138">
        <v>0</v>
      </c>
      <c r="CA207" s="138">
        <v>0</v>
      </c>
      <c r="CB207" s="86">
        <v>0</v>
      </c>
      <c r="CC207" s="138">
        <v>0</v>
      </c>
      <c r="CD207" s="138">
        <v>0</v>
      </c>
      <c r="CE207" s="138">
        <v>0</v>
      </c>
      <c r="CF207" s="138">
        <v>0</v>
      </c>
      <c r="CG207" s="138">
        <v>0</v>
      </c>
      <c r="CH207" s="138">
        <v>0</v>
      </c>
      <c r="CI207" s="138">
        <v>0</v>
      </c>
      <c r="CJ207" s="138">
        <v>0</v>
      </c>
      <c r="CK207" s="138">
        <v>0</v>
      </c>
      <c r="CL207" s="138">
        <v>0</v>
      </c>
      <c r="CM207" s="138">
        <v>0</v>
      </c>
      <c r="CN207" s="138">
        <v>0</v>
      </c>
      <c r="CO207" s="86">
        <v>0</v>
      </c>
      <c r="CP207" s="138">
        <v>0</v>
      </c>
      <c r="CQ207" s="138">
        <v>0</v>
      </c>
      <c r="CR207" s="138">
        <v>0</v>
      </c>
      <c r="CS207" s="138">
        <v>0</v>
      </c>
      <c r="CT207" s="138">
        <v>0</v>
      </c>
      <c r="CU207" s="138">
        <v>0</v>
      </c>
      <c r="CV207" s="138">
        <v>0</v>
      </c>
      <c r="CW207" s="138">
        <v>0</v>
      </c>
      <c r="CX207" s="138">
        <v>0</v>
      </c>
      <c r="CY207" s="138">
        <v>0</v>
      </c>
      <c r="CZ207" s="138">
        <v>0</v>
      </c>
      <c r="DA207" s="138">
        <v>0</v>
      </c>
      <c r="DB207" s="86">
        <v>0</v>
      </c>
      <c r="DC207" s="138">
        <v>0</v>
      </c>
      <c r="DD207" s="138">
        <v>0</v>
      </c>
      <c r="DE207" s="138">
        <v>0</v>
      </c>
      <c r="DF207" s="138">
        <v>0</v>
      </c>
      <c r="DG207" s="138">
        <v>0</v>
      </c>
      <c r="DH207" s="138">
        <v>0</v>
      </c>
      <c r="DI207" s="138">
        <v>0</v>
      </c>
      <c r="DJ207" s="138">
        <v>0</v>
      </c>
      <c r="DK207" s="138">
        <v>0</v>
      </c>
      <c r="DL207" s="138">
        <v>0</v>
      </c>
      <c r="DM207" s="138">
        <v>0</v>
      </c>
      <c r="DN207" s="138">
        <v>0</v>
      </c>
      <c r="DO207" s="86">
        <v>0</v>
      </c>
      <c r="DP207" s="138">
        <v>0</v>
      </c>
      <c r="DQ207" s="138">
        <v>0</v>
      </c>
      <c r="DR207" s="138">
        <v>0</v>
      </c>
      <c r="DS207" s="138">
        <v>0</v>
      </c>
      <c r="DT207" s="138">
        <v>0</v>
      </c>
      <c r="DU207" s="138">
        <v>0</v>
      </c>
      <c r="DV207" s="138">
        <v>0</v>
      </c>
      <c r="DW207" s="138">
        <v>0</v>
      </c>
      <c r="DX207" s="138">
        <v>0</v>
      </c>
      <c r="DY207" s="138">
        <v>0</v>
      </c>
      <c r="DZ207" s="138">
        <v>0</v>
      </c>
      <c r="EA207" s="138">
        <v>0</v>
      </c>
      <c r="EB207" s="85">
        <v>0</v>
      </c>
      <c r="EC207" s="87">
        <v>0</v>
      </c>
      <c r="ED207" s="85">
        <v>0</v>
      </c>
      <c r="EE207" s="85">
        <v>0</v>
      </c>
      <c r="EF207" s="85">
        <v>0</v>
      </c>
      <c r="EG207" s="85">
        <v>0</v>
      </c>
      <c r="EH207" s="85">
        <v>0</v>
      </c>
      <c r="EI207" s="85">
        <v>0</v>
      </c>
      <c r="EJ207" s="85">
        <v>0</v>
      </c>
      <c r="EK207" s="85">
        <v>0</v>
      </c>
      <c r="EL207" s="85">
        <v>0</v>
      </c>
      <c r="EM207" s="85">
        <v>0</v>
      </c>
      <c r="EN207" s="85">
        <v>0</v>
      </c>
      <c r="EO207" s="152">
        <v>0</v>
      </c>
      <c r="EP207" s="85">
        <v>0</v>
      </c>
      <c r="EQ207" s="85">
        <v>0</v>
      </c>
      <c r="ER207" s="85">
        <v>0</v>
      </c>
      <c r="ES207" s="85">
        <v>0</v>
      </c>
      <c r="ET207" s="85">
        <v>0</v>
      </c>
      <c r="EU207" s="85">
        <v>0</v>
      </c>
      <c r="EV207" s="85">
        <v>0</v>
      </c>
      <c r="EW207" s="85">
        <v>0</v>
      </c>
      <c r="EX207" s="85">
        <v>0</v>
      </c>
      <c r="EY207" s="85">
        <v>0</v>
      </c>
      <c r="EZ207" s="85">
        <v>0</v>
      </c>
      <c r="FA207" s="85">
        <v>0</v>
      </c>
      <c r="FB207" s="85">
        <v>0</v>
      </c>
      <c r="FC207" s="87">
        <v>0</v>
      </c>
      <c r="FD207" s="85">
        <v>0</v>
      </c>
      <c r="FE207" s="85">
        <v>0</v>
      </c>
      <c r="FF207" s="85">
        <v>0</v>
      </c>
      <c r="FG207" s="85">
        <v>0</v>
      </c>
      <c r="FH207" s="85">
        <v>0</v>
      </c>
      <c r="FI207" s="85">
        <v>0</v>
      </c>
      <c r="FJ207" s="85">
        <v>0</v>
      </c>
      <c r="FK207" s="85">
        <v>0</v>
      </c>
      <c r="FL207" s="85">
        <v>0</v>
      </c>
      <c r="FM207" s="85">
        <v>0</v>
      </c>
      <c r="FN207" s="85">
        <v>0</v>
      </c>
      <c r="FO207" s="86">
        <v>0</v>
      </c>
      <c r="FP207" s="87">
        <v>0</v>
      </c>
      <c r="FQ207" s="85">
        <v>0</v>
      </c>
      <c r="FR207" s="85">
        <v>0</v>
      </c>
      <c r="FS207" s="85">
        <v>0</v>
      </c>
      <c r="FT207" s="85">
        <v>0</v>
      </c>
      <c r="FU207" s="85">
        <v>0</v>
      </c>
      <c r="FV207" s="85">
        <v>0</v>
      </c>
      <c r="FW207" s="85">
        <v>0</v>
      </c>
      <c r="FX207" s="85">
        <v>0</v>
      </c>
      <c r="FY207" s="85">
        <v>0</v>
      </c>
      <c r="FZ207" s="85">
        <v>0</v>
      </c>
      <c r="GA207" s="85">
        <v>0</v>
      </c>
      <c r="GB207" s="152">
        <v>0</v>
      </c>
      <c r="GD207" s="153"/>
    </row>
    <row r="208" spans="1:186">
      <c r="A208" s="137" t="s">
        <v>379</v>
      </c>
      <c r="B208" s="151"/>
      <c r="C208" s="138">
        <f t="shared" si="156"/>
        <v>0</v>
      </c>
      <c r="D208" s="138">
        <f t="shared" si="157"/>
        <v>0</v>
      </c>
      <c r="E208" s="138">
        <f t="shared" si="158"/>
        <v>0</v>
      </c>
      <c r="F208" s="138">
        <f t="shared" si="159"/>
        <v>0</v>
      </c>
      <c r="G208" s="138">
        <f t="shared" si="160"/>
        <v>0</v>
      </c>
      <c r="H208" s="138">
        <f t="shared" si="161"/>
        <v>0</v>
      </c>
      <c r="I208" s="138">
        <f t="shared" si="162"/>
        <v>0</v>
      </c>
      <c r="J208" s="138">
        <f t="shared" si="163"/>
        <v>0</v>
      </c>
      <c r="K208" s="138">
        <f t="shared" si="164"/>
        <v>0</v>
      </c>
      <c r="L208" s="138">
        <f t="shared" si="165"/>
        <v>0</v>
      </c>
      <c r="M208" s="138">
        <f t="shared" si="166"/>
        <v>11035744.3896991</v>
      </c>
      <c r="N208" s="138">
        <f t="shared" si="167"/>
        <v>2463219.01239626</v>
      </c>
      <c r="O208" s="86">
        <f t="shared" si="168"/>
        <v>13498963.4020954</v>
      </c>
      <c r="P208" s="138">
        <v>0</v>
      </c>
      <c r="Q208" s="138">
        <v>0</v>
      </c>
      <c r="R208" s="138">
        <v>0</v>
      </c>
      <c r="S208" s="138">
        <v>0</v>
      </c>
      <c r="T208" s="138">
        <v>0</v>
      </c>
      <c r="U208" s="138">
        <v>0</v>
      </c>
      <c r="V208" s="138">
        <v>0</v>
      </c>
      <c r="W208" s="138">
        <v>0</v>
      </c>
      <c r="X208" s="138">
        <v>0</v>
      </c>
      <c r="Y208" s="138">
        <v>0</v>
      </c>
      <c r="Z208" s="138">
        <v>561124.51509701</v>
      </c>
      <c r="AA208" s="138">
        <v>961927.740166303</v>
      </c>
      <c r="AB208" s="86">
        <v>1523052.25526331</v>
      </c>
      <c r="AC208" s="138">
        <v>0</v>
      </c>
      <c r="AD208" s="138">
        <v>0</v>
      </c>
      <c r="AE208" s="138">
        <v>0</v>
      </c>
      <c r="AF208" s="138">
        <v>0</v>
      </c>
      <c r="AG208" s="138">
        <v>0</v>
      </c>
      <c r="AH208" s="138">
        <v>0</v>
      </c>
      <c r="AI208" s="138">
        <v>0</v>
      </c>
      <c r="AJ208" s="138">
        <v>0</v>
      </c>
      <c r="AK208" s="138">
        <v>0</v>
      </c>
      <c r="AL208" s="138">
        <v>0</v>
      </c>
      <c r="AM208" s="138">
        <v>554343.017681999</v>
      </c>
      <c r="AN208" s="138">
        <v>1108686.035364</v>
      </c>
      <c r="AO208" s="86">
        <v>1663029.053046</v>
      </c>
      <c r="AP208" s="138">
        <v>0</v>
      </c>
      <c r="AQ208" s="138">
        <v>0</v>
      </c>
      <c r="AR208" s="138">
        <v>0</v>
      </c>
      <c r="AS208" s="138">
        <v>0</v>
      </c>
      <c r="AT208" s="138">
        <v>0</v>
      </c>
      <c r="AU208" s="138">
        <v>0</v>
      </c>
      <c r="AV208" s="138">
        <v>0</v>
      </c>
      <c r="AW208" s="138">
        <v>0</v>
      </c>
      <c r="AX208" s="138">
        <v>0</v>
      </c>
      <c r="AY208" s="138">
        <v>0</v>
      </c>
      <c r="AZ208" s="138">
        <v>369170.527313919</v>
      </c>
      <c r="BA208" s="138">
        <v>147668.210925568</v>
      </c>
      <c r="BB208" s="86">
        <v>516838.738239487</v>
      </c>
      <c r="BC208" s="138">
        <v>0</v>
      </c>
      <c r="BD208" s="138">
        <v>0</v>
      </c>
      <c r="BE208" s="138">
        <v>0</v>
      </c>
      <c r="BF208" s="138">
        <v>0</v>
      </c>
      <c r="BG208" s="138">
        <v>0</v>
      </c>
      <c r="BH208" s="138">
        <v>0</v>
      </c>
      <c r="BI208" s="138">
        <v>0</v>
      </c>
      <c r="BJ208" s="138">
        <v>0</v>
      </c>
      <c r="BK208" s="138">
        <v>0</v>
      </c>
      <c r="BL208" s="138">
        <v>0</v>
      </c>
      <c r="BM208" s="138">
        <v>0</v>
      </c>
      <c r="BN208" s="138">
        <v>0</v>
      </c>
      <c r="BO208" s="86">
        <v>0</v>
      </c>
      <c r="BP208" s="138">
        <v>0</v>
      </c>
      <c r="BQ208" s="138">
        <v>0</v>
      </c>
      <c r="BR208" s="138">
        <v>0</v>
      </c>
      <c r="BS208" s="138">
        <v>0</v>
      </c>
      <c r="BT208" s="138">
        <v>0</v>
      </c>
      <c r="BU208" s="138">
        <v>0</v>
      </c>
      <c r="BV208" s="138">
        <v>0</v>
      </c>
      <c r="BW208" s="138">
        <v>0</v>
      </c>
      <c r="BX208" s="138">
        <v>0</v>
      </c>
      <c r="BY208" s="138">
        <v>0</v>
      </c>
      <c r="BZ208" s="138">
        <v>351044.840799159</v>
      </c>
      <c r="CA208" s="138">
        <v>175522.42039958</v>
      </c>
      <c r="CB208" s="86">
        <v>526567.261198739</v>
      </c>
      <c r="CC208" s="138">
        <v>0</v>
      </c>
      <c r="CD208" s="138">
        <v>0</v>
      </c>
      <c r="CE208" s="138">
        <v>0</v>
      </c>
      <c r="CF208" s="138">
        <v>0</v>
      </c>
      <c r="CG208" s="138">
        <v>0</v>
      </c>
      <c r="CH208" s="138">
        <v>0</v>
      </c>
      <c r="CI208" s="138">
        <v>0</v>
      </c>
      <c r="CJ208" s="138">
        <v>0</v>
      </c>
      <c r="CK208" s="138">
        <v>0</v>
      </c>
      <c r="CL208" s="138">
        <v>0</v>
      </c>
      <c r="CM208" s="138">
        <v>24278.1522307448</v>
      </c>
      <c r="CN208" s="138">
        <v>16185.4348204966</v>
      </c>
      <c r="CO208" s="86">
        <v>40463.5870512414</v>
      </c>
      <c r="CP208" s="138">
        <v>0</v>
      </c>
      <c r="CQ208" s="138">
        <v>0</v>
      </c>
      <c r="CR208" s="138">
        <v>0</v>
      </c>
      <c r="CS208" s="138">
        <v>0</v>
      </c>
      <c r="CT208" s="138">
        <v>0</v>
      </c>
      <c r="CU208" s="138">
        <v>0</v>
      </c>
      <c r="CV208" s="138">
        <v>0</v>
      </c>
      <c r="CW208" s="138">
        <v>0</v>
      </c>
      <c r="CX208" s="138">
        <v>0</v>
      </c>
      <c r="CY208" s="138">
        <v>0</v>
      </c>
      <c r="CZ208" s="138">
        <v>0</v>
      </c>
      <c r="DA208" s="138">
        <v>0</v>
      </c>
      <c r="DB208" s="86">
        <v>0</v>
      </c>
      <c r="DC208" s="138">
        <v>0</v>
      </c>
      <c r="DD208" s="138">
        <v>0</v>
      </c>
      <c r="DE208" s="138">
        <v>0</v>
      </c>
      <c r="DF208" s="138">
        <v>0</v>
      </c>
      <c r="DG208" s="138">
        <v>0</v>
      </c>
      <c r="DH208" s="138">
        <v>0</v>
      </c>
      <c r="DI208" s="138">
        <v>0</v>
      </c>
      <c r="DJ208" s="138">
        <v>0</v>
      </c>
      <c r="DK208" s="138">
        <v>0</v>
      </c>
      <c r="DL208" s="138">
        <v>0</v>
      </c>
      <c r="DM208" s="138">
        <v>42583.3365762559</v>
      </c>
      <c r="DN208" s="138">
        <v>53229.1707203199</v>
      </c>
      <c r="DO208" s="86">
        <v>95812.5072965758</v>
      </c>
      <c r="DP208" s="138">
        <v>0</v>
      </c>
      <c r="DQ208" s="138">
        <v>0</v>
      </c>
      <c r="DR208" s="138">
        <v>0</v>
      </c>
      <c r="DS208" s="138">
        <v>0</v>
      </c>
      <c r="DT208" s="138">
        <v>0</v>
      </c>
      <c r="DU208" s="138">
        <v>0</v>
      </c>
      <c r="DV208" s="138">
        <v>0</v>
      </c>
      <c r="DW208" s="138">
        <v>0</v>
      </c>
      <c r="DX208" s="138">
        <v>0</v>
      </c>
      <c r="DY208" s="138">
        <v>0</v>
      </c>
      <c r="DZ208" s="138">
        <v>0</v>
      </c>
      <c r="EA208" s="138">
        <v>0</v>
      </c>
      <c r="EB208" s="85">
        <v>0</v>
      </c>
      <c r="EC208" s="87">
        <v>0</v>
      </c>
      <c r="ED208" s="85">
        <v>0</v>
      </c>
      <c r="EE208" s="85">
        <v>0</v>
      </c>
      <c r="EF208" s="85">
        <v>0</v>
      </c>
      <c r="EG208" s="85">
        <v>0</v>
      </c>
      <c r="EH208" s="85">
        <v>0</v>
      </c>
      <c r="EI208" s="85">
        <v>0</v>
      </c>
      <c r="EJ208" s="85">
        <v>0</v>
      </c>
      <c r="EK208" s="85">
        <v>0</v>
      </c>
      <c r="EL208" s="85">
        <v>0</v>
      </c>
      <c r="EM208" s="85">
        <v>0</v>
      </c>
      <c r="EN208" s="85">
        <v>0</v>
      </c>
      <c r="EO208" s="152">
        <v>0</v>
      </c>
      <c r="EP208" s="85">
        <v>0</v>
      </c>
      <c r="EQ208" s="85">
        <v>0</v>
      </c>
      <c r="ER208" s="85">
        <v>0</v>
      </c>
      <c r="ES208" s="85">
        <v>0</v>
      </c>
      <c r="ET208" s="85">
        <v>0</v>
      </c>
      <c r="EU208" s="85">
        <v>0</v>
      </c>
      <c r="EV208" s="85">
        <v>0</v>
      </c>
      <c r="EW208" s="85">
        <v>0</v>
      </c>
      <c r="EX208" s="85">
        <v>0</v>
      </c>
      <c r="EY208" s="85">
        <v>0</v>
      </c>
      <c r="EZ208" s="85">
        <v>0</v>
      </c>
      <c r="FA208" s="85">
        <v>0</v>
      </c>
      <c r="FB208" s="85">
        <v>0</v>
      </c>
      <c r="FC208" s="87">
        <v>0</v>
      </c>
      <c r="FD208" s="85">
        <v>0</v>
      </c>
      <c r="FE208" s="85">
        <v>0</v>
      </c>
      <c r="FF208" s="85">
        <v>0</v>
      </c>
      <c r="FG208" s="85">
        <v>0</v>
      </c>
      <c r="FH208" s="85">
        <v>0</v>
      </c>
      <c r="FI208" s="85">
        <v>0</v>
      </c>
      <c r="FJ208" s="85">
        <v>0</v>
      </c>
      <c r="FK208" s="85">
        <v>0</v>
      </c>
      <c r="FL208" s="85">
        <v>0</v>
      </c>
      <c r="FM208" s="85">
        <v>0</v>
      </c>
      <c r="FN208" s="85">
        <v>0</v>
      </c>
      <c r="FO208" s="86">
        <v>0</v>
      </c>
      <c r="FP208" s="87">
        <v>0</v>
      </c>
      <c r="FQ208" s="85">
        <v>0</v>
      </c>
      <c r="FR208" s="85">
        <v>0</v>
      </c>
      <c r="FS208" s="85">
        <v>0</v>
      </c>
      <c r="FT208" s="85">
        <v>0</v>
      </c>
      <c r="FU208" s="85">
        <v>0</v>
      </c>
      <c r="FV208" s="85">
        <v>0</v>
      </c>
      <c r="FW208" s="85">
        <v>0</v>
      </c>
      <c r="FX208" s="85">
        <v>0</v>
      </c>
      <c r="FY208" s="85">
        <v>0</v>
      </c>
      <c r="FZ208" s="85">
        <v>9133200</v>
      </c>
      <c r="GA208" s="85">
        <v>0</v>
      </c>
      <c r="GB208" s="152">
        <v>9133200</v>
      </c>
      <c r="GD208" s="153"/>
    </row>
    <row r="209" spans="1:186">
      <c r="A209" s="137" t="s">
        <v>380</v>
      </c>
      <c r="B209" s="151"/>
      <c r="C209" s="138">
        <f t="shared" si="156"/>
        <v>0</v>
      </c>
      <c r="D209" s="138">
        <f t="shared" si="157"/>
        <v>0</v>
      </c>
      <c r="E209" s="138">
        <f t="shared" si="158"/>
        <v>0</v>
      </c>
      <c r="F209" s="138">
        <f t="shared" si="159"/>
        <v>0</v>
      </c>
      <c r="G209" s="138">
        <f t="shared" si="160"/>
        <v>0</v>
      </c>
      <c r="H209" s="138">
        <f t="shared" si="161"/>
        <v>0</v>
      </c>
      <c r="I209" s="138">
        <f t="shared" si="162"/>
        <v>0</v>
      </c>
      <c r="J209" s="138">
        <f t="shared" si="163"/>
        <v>0</v>
      </c>
      <c r="K209" s="138">
        <f t="shared" si="164"/>
        <v>0</v>
      </c>
      <c r="L209" s="138">
        <f t="shared" si="165"/>
        <v>0</v>
      </c>
      <c r="M209" s="138">
        <f t="shared" si="166"/>
        <v>0</v>
      </c>
      <c r="N209" s="138">
        <f t="shared" si="167"/>
        <v>14102254.1619552</v>
      </c>
      <c r="O209" s="86">
        <f t="shared" si="168"/>
        <v>14102254.1619552</v>
      </c>
      <c r="P209" s="138">
        <v>0</v>
      </c>
      <c r="Q209" s="138">
        <v>0</v>
      </c>
      <c r="R209" s="138">
        <v>0</v>
      </c>
      <c r="S209" s="138">
        <v>0</v>
      </c>
      <c r="T209" s="138">
        <v>0</v>
      </c>
      <c r="U209" s="138">
        <v>0</v>
      </c>
      <c r="V209" s="138">
        <v>0</v>
      </c>
      <c r="W209" s="138">
        <v>0</v>
      </c>
      <c r="X209" s="138">
        <v>0</v>
      </c>
      <c r="Y209" s="138">
        <v>0</v>
      </c>
      <c r="Z209" s="138">
        <v>0</v>
      </c>
      <c r="AA209" s="138">
        <v>634449.756272478</v>
      </c>
      <c r="AB209" s="86">
        <v>634449.756272478</v>
      </c>
      <c r="AC209" s="138">
        <v>0</v>
      </c>
      <c r="AD209" s="138">
        <v>0</v>
      </c>
      <c r="AE209" s="138">
        <v>0</v>
      </c>
      <c r="AF209" s="138">
        <v>0</v>
      </c>
      <c r="AG209" s="138">
        <v>0</v>
      </c>
      <c r="AH209" s="138">
        <v>0</v>
      </c>
      <c r="AI209" s="138">
        <v>0</v>
      </c>
      <c r="AJ209" s="138">
        <v>0</v>
      </c>
      <c r="AK209" s="138">
        <v>0</v>
      </c>
      <c r="AL209" s="138">
        <v>0</v>
      </c>
      <c r="AM209" s="138">
        <v>0</v>
      </c>
      <c r="AN209" s="138">
        <v>824454.787095155</v>
      </c>
      <c r="AO209" s="86">
        <v>824454.787095155</v>
      </c>
      <c r="AP209" s="138">
        <v>0</v>
      </c>
      <c r="AQ209" s="138">
        <v>0</v>
      </c>
      <c r="AR209" s="138">
        <v>0</v>
      </c>
      <c r="AS209" s="138">
        <v>0</v>
      </c>
      <c r="AT209" s="138">
        <v>0</v>
      </c>
      <c r="AU209" s="138">
        <v>0</v>
      </c>
      <c r="AV209" s="138">
        <v>0</v>
      </c>
      <c r="AW209" s="138">
        <v>0</v>
      </c>
      <c r="AX209" s="138">
        <v>0</v>
      </c>
      <c r="AY209" s="138">
        <v>0</v>
      </c>
      <c r="AZ209" s="138">
        <v>0</v>
      </c>
      <c r="BA209" s="138">
        <v>196890.947900757</v>
      </c>
      <c r="BB209" s="86">
        <v>196890.947900757</v>
      </c>
      <c r="BC209" s="138">
        <v>0</v>
      </c>
      <c r="BD209" s="138">
        <v>0</v>
      </c>
      <c r="BE209" s="138">
        <v>0</v>
      </c>
      <c r="BF209" s="138">
        <v>0</v>
      </c>
      <c r="BG209" s="138">
        <v>0</v>
      </c>
      <c r="BH209" s="138">
        <v>0</v>
      </c>
      <c r="BI209" s="138">
        <v>0</v>
      </c>
      <c r="BJ209" s="138">
        <v>0</v>
      </c>
      <c r="BK209" s="138">
        <v>0</v>
      </c>
      <c r="BL209" s="138">
        <v>0</v>
      </c>
      <c r="BM209" s="138">
        <v>0</v>
      </c>
      <c r="BN209" s="138">
        <v>0</v>
      </c>
      <c r="BO209" s="86">
        <v>0</v>
      </c>
      <c r="BP209" s="138">
        <v>0</v>
      </c>
      <c r="BQ209" s="138">
        <v>0</v>
      </c>
      <c r="BR209" s="138">
        <v>0</v>
      </c>
      <c r="BS209" s="138">
        <v>0</v>
      </c>
      <c r="BT209" s="138">
        <v>0</v>
      </c>
      <c r="BU209" s="138">
        <v>0</v>
      </c>
      <c r="BV209" s="138">
        <v>0</v>
      </c>
      <c r="BW209" s="138">
        <v>0</v>
      </c>
      <c r="BX209" s="138">
        <v>0</v>
      </c>
      <c r="BY209" s="138">
        <v>0</v>
      </c>
      <c r="BZ209" s="138">
        <v>0</v>
      </c>
      <c r="CA209" s="138">
        <v>749371.883992779</v>
      </c>
      <c r="CB209" s="86">
        <v>749371.883992779</v>
      </c>
      <c r="CC209" s="138">
        <v>0</v>
      </c>
      <c r="CD209" s="138">
        <v>0</v>
      </c>
      <c r="CE209" s="138">
        <v>0</v>
      </c>
      <c r="CF209" s="138">
        <v>0</v>
      </c>
      <c r="CG209" s="138">
        <v>0</v>
      </c>
      <c r="CH209" s="138">
        <v>0</v>
      </c>
      <c r="CI209" s="138">
        <v>0</v>
      </c>
      <c r="CJ209" s="138">
        <v>0</v>
      </c>
      <c r="CK209" s="138">
        <v>0</v>
      </c>
      <c r="CL209" s="138">
        <v>0</v>
      </c>
      <c r="CM209" s="138">
        <v>0</v>
      </c>
      <c r="CN209" s="138">
        <v>170574.408050117</v>
      </c>
      <c r="CO209" s="86">
        <v>170574.408050117</v>
      </c>
      <c r="CP209" s="138">
        <v>0</v>
      </c>
      <c r="CQ209" s="138">
        <v>0</v>
      </c>
      <c r="CR209" s="138">
        <v>0</v>
      </c>
      <c r="CS209" s="138">
        <v>0</v>
      </c>
      <c r="CT209" s="138">
        <v>0</v>
      </c>
      <c r="CU209" s="138">
        <v>0</v>
      </c>
      <c r="CV209" s="138">
        <v>0</v>
      </c>
      <c r="CW209" s="138">
        <v>0</v>
      </c>
      <c r="CX209" s="138">
        <v>0</v>
      </c>
      <c r="CY209" s="138">
        <v>0</v>
      </c>
      <c r="CZ209" s="138">
        <v>0</v>
      </c>
      <c r="DA209" s="138">
        <v>0</v>
      </c>
      <c r="DB209" s="86">
        <v>0</v>
      </c>
      <c r="DC209" s="138">
        <v>0</v>
      </c>
      <c r="DD209" s="138">
        <v>0</v>
      </c>
      <c r="DE209" s="138">
        <v>0</v>
      </c>
      <c r="DF209" s="138">
        <v>0</v>
      </c>
      <c r="DG209" s="138">
        <v>0</v>
      </c>
      <c r="DH209" s="138">
        <v>0</v>
      </c>
      <c r="DI209" s="138">
        <v>0</v>
      </c>
      <c r="DJ209" s="138">
        <v>0</v>
      </c>
      <c r="DK209" s="138">
        <v>0</v>
      </c>
      <c r="DL209" s="138">
        <v>0</v>
      </c>
      <c r="DM209" s="138">
        <v>0</v>
      </c>
      <c r="DN209" s="138">
        <v>41675.5522693977</v>
      </c>
      <c r="DO209" s="86">
        <v>41675.5522693977</v>
      </c>
      <c r="DP209" s="138">
        <v>0</v>
      </c>
      <c r="DQ209" s="138">
        <v>0</v>
      </c>
      <c r="DR209" s="138">
        <v>0</v>
      </c>
      <c r="DS209" s="138">
        <v>0</v>
      </c>
      <c r="DT209" s="138">
        <v>0</v>
      </c>
      <c r="DU209" s="138">
        <v>0</v>
      </c>
      <c r="DV209" s="138">
        <v>0</v>
      </c>
      <c r="DW209" s="138">
        <v>0</v>
      </c>
      <c r="DX209" s="138">
        <v>0</v>
      </c>
      <c r="DY209" s="138">
        <v>0</v>
      </c>
      <c r="DZ209" s="138">
        <v>0</v>
      </c>
      <c r="EA209" s="138">
        <v>0</v>
      </c>
      <c r="EB209" s="85">
        <v>0</v>
      </c>
      <c r="EC209" s="87">
        <v>0</v>
      </c>
      <c r="ED209" s="85">
        <v>0</v>
      </c>
      <c r="EE209" s="85">
        <v>0</v>
      </c>
      <c r="EF209" s="85">
        <v>0</v>
      </c>
      <c r="EG209" s="85">
        <v>0</v>
      </c>
      <c r="EH209" s="85">
        <v>0</v>
      </c>
      <c r="EI209" s="85">
        <v>0</v>
      </c>
      <c r="EJ209" s="85">
        <v>0</v>
      </c>
      <c r="EK209" s="85">
        <v>0</v>
      </c>
      <c r="EL209" s="85">
        <v>0</v>
      </c>
      <c r="EM209" s="85">
        <v>0</v>
      </c>
      <c r="EN209" s="85">
        <v>0</v>
      </c>
      <c r="EO209" s="152">
        <v>0</v>
      </c>
      <c r="EP209" s="85">
        <v>0</v>
      </c>
      <c r="EQ209" s="85">
        <v>0</v>
      </c>
      <c r="ER209" s="85">
        <v>0</v>
      </c>
      <c r="ES209" s="85">
        <v>0</v>
      </c>
      <c r="ET209" s="85">
        <v>0</v>
      </c>
      <c r="EU209" s="85">
        <v>0</v>
      </c>
      <c r="EV209" s="85">
        <v>0</v>
      </c>
      <c r="EW209" s="85">
        <v>0</v>
      </c>
      <c r="EX209" s="85">
        <v>0</v>
      </c>
      <c r="EY209" s="85">
        <v>0</v>
      </c>
      <c r="EZ209" s="85">
        <v>0</v>
      </c>
      <c r="FA209" s="85">
        <v>146924.826374478</v>
      </c>
      <c r="FB209" s="85">
        <v>146924.826374478</v>
      </c>
      <c r="FC209" s="87">
        <v>0</v>
      </c>
      <c r="FD209" s="85">
        <v>0</v>
      </c>
      <c r="FE209" s="85">
        <v>0</v>
      </c>
      <c r="FF209" s="85">
        <v>0</v>
      </c>
      <c r="FG209" s="85">
        <v>0</v>
      </c>
      <c r="FH209" s="85">
        <v>0</v>
      </c>
      <c r="FI209" s="85">
        <v>0</v>
      </c>
      <c r="FJ209" s="85">
        <v>0</v>
      </c>
      <c r="FK209" s="85">
        <v>0</v>
      </c>
      <c r="FL209" s="85">
        <v>0</v>
      </c>
      <c r="FM209" s="85">
        <v>0</v>
      </c>
      <c r="FN209" s="85">
        <v>0</v>
      </c>
      <c r="FO209" s="86">
        <v>0</v>
      </c>
      <c r="FP209" s="87">
        <v>0</v>
      </c>
      <c r="FQ209" s="85">
        <v>0</v>
      </c>
      <c r="FR209" s="85">
        <v>0</v>
      </c>
      <c r="FS209" s="85">
        <v>0</v>
      </c>
      <c r="FT209" s="85">
        <v>0</v>
      </c>
      <c r="FU209" s="85">
        <v>0</v>
      </c>
      <c r="FV209" s="85">
        <v>0</v>
      </c>
      <c r="FW209" s="85">
        <v>0</v>
      </c>
      <c r="FX209" s="85">
        <v>0</v>
      </c>
      <c r="FY209" s="85">
        <v>0</v>
      </c>
      <c r="FZ209" s="85">
        <v>0</v>
      </c>
      <c r="GA209" s="85">
        <v>11337912</v>
      </c>
      <c r="GB209" s="152">
        <v>11337912</v>
      </c>
      <c r="GD209" s="153"/>
    </row>
    <row r="210" spans="1:186">
      <c r="A210" s="137" t="s">
        <v>297</v>
      </c>
      <c r="B210" s="151">
        <v>113.687009310231</v>
      </c>
      <c r="C210" s="138">
        <f t="shared" si="37"/>
        <v>0</v>
      </c>
      <c r="D210" s="138">
        <f t="shared" si="26"/>
        <v>0</v>
      </c>
      <c r="E210" s="138">
        <f t="shared" si="27"/>
        <v>0</v>
      </c>
      <c r="F210" s="138">
        <f t="shared" si="28"/>
        <v>0</v>
      </c>
      <c r="G210" s="138">
        <f t="shared" si="29"/>
        <v>0</v>
      </c>
      <c r="H210" s="138">
        <f t="shared" si="30"/>
        <v>0</v>
      </c>
      <c r="I210" s="138">
        <f t="shared" si="31"/>
        <v>0</v>
      </c>
      <c r="J210" s="138">
        <f t="shared" si="32"/>
        <v>0</v>
      </c>
      <c r="K210" s="138">
        <f t="shared" si="33"/>
        <v>0</v>
      </c>
      <c r="L210" s="138">
        <f t="shared" si="34"/>
        <v>0</v>
      </c>
      <c r="M210" s="138">
        <f t="shared" si="35"/>
        <v>0</v>
      </c>
      <c r="N210" s="138">
        <f t="shared" si="36"/>
        <v>0</v>
      </c>
      <c r="O210" s="86">
        <f t="shared" si="38"/>
        <v>0</v>
      </c>
      <c r="P210" s="138">
        <v>0</v>
      </c>
      <c r="Q210" s="138">
        <v>0</v>
      </c>
      <c r="R210" s="138">
        <v>0</v>
      </c>
      <c r="S210" s="138">
        <v>0</v>
      </c>
      <c r="T210" s="138">
        <v>0</v>
      </c>
      <c r="U210" s="138">
        <v>0</v>
      </c>
      <c r="V210" s="138">
        <v>0</v>
      </c>
      <c r="W210" s="138">
        <v>0</v>
      </c>
      <c r="X210" s="138">
        <v>0</v>
      </c>
      <c r="Y210" s="138">
        <v>0</v>
      </c>
      <c r="Z210" s="138">
        <v>0</v>
      </c>
      <c r="AA210" s="138">
        <v>0</v>
      </c>
      <c r="AB210" s="86">
        <v>0</v>
      </c>
      <c r="AC210" s="138">
        <v>0</v>
      </c>
      <c r="AD210" s="138">
        <v>0</v>
      </c>
      <c r="AE210" s="138">
        <v>0</v>
      </c>
      <c r="AF210" s="138">
        <v>0</v>
      </c>
      <c r="AG210" s="138">
        <v>0</v>
      </c>
      <c r="AH210" s="138">
        <v>0</v>
      </c>
      <c r="AI210" s="138">
        <v>0</v>
      </c>
      <c r="AJ210" s="138">
        <v>0</v>
      </c>
      <c r="AK210" s="138">
        <v>0</v>
      </c>
      <c r="AL210" s="138">
        <v>0</v>
      </c>
      <c r="AM210" s="138">
        <v>0</v>
      </c>
      <c r="AN210" s="138">
        <v>0</v>
      </c>
      <c r="AO210" s="86">
        <v>0</v>
      </c>
      <c r="AP210" s="138">
        <v>0</v>
      </c>
      <c r="AQ210" s="138">
        <v>0</v>
      </c>
      <c r="AR210" s="138">
        <v>0</v>
      </c>
      <c r="AS210" s="138">
        <v>0</v>
      </c>
      <c r="AT210" s="138">
        <v>0</v>
      </c>
      <c r="AU210" s="138">
        <v>0</v>
      </c>
      <c r="AV210" s="138">
        <v>0</v>
      </c>
      <c r="AW210" s="138">
        <v>0</v>
      </c>
      <c r="AX210" s="138">
        <v>0</v>
      </c>
      <c r="AY210" s="138">
        <v>0</v>
      </c>
      <c r="AZ210" s="138">
        <v>0</v>
      </c>
      <c r="BA210" s="138">
        <v>0</v>
      </c>
      <c r="BB210" s="86">
        <v>0</v>
      </c>
      <c r="BC210" s="138">
        <v>0</v>
      </c>
      <c r="BD210" s="138">
        <v>0</v>
      </c>
      <c r="BE210" s="138">
        <v>0</v>
      </c>
      <c r="BF210" s="138">
        <v>0</v>
      </c>
      <c r="BG210" s="138">
        <v>0</v>
      </c>
      <c r="BH210" s="138">
        <v>0</v>
      </c>
      <c r="BI210" s="138">
        <v>0</v>
      </c>
      <c r="BJ210" s="138">
        <v>0</v>
      </c>
      <c r="BK210" s="138">
        <v>0</v>
      </c>
      <c r="BL210" s="138">
        <v>0</v>
      </c>
      <c r="BM210" s="138">
        <v>0</v>
      </c>
      <c r="BN210" s="138">
        <v>0</v>
      </c>
      <c r="BO210" s="86">
        <v>0</v>
      </c>
      <c r="BP210" s="138">
        <v>0</v>
      </c>
      <c r="BQ210" s="138">
        <v>0</v>
      </c>
      <c r="BR210" s="138">
        <v>0</v>
      </c>
      <c r="BS210" s="138">
        <v>0</v>
      </c>
      <c r="BT210" s="138">
        <v>0</v>
      </c>
      <c r="BU210" s="138">
        <v>0</v>
      </c>
      <c r="BV210" s="138">
        <v>0</v>
      </c>
      <c r="BW210" s="138">
        <v>0</v>
      </c>
      <c r="BX210" s="138">
        <v>0</v>
      </c>
      <c r="BY210" s="138">
        <v>0</v>
      </c>
      <c r="BZ210" s="138">
        <v>0</v>
      </c>
      <c r="CA210" s="138">
        <v>0</v>
      </c>
      <c r="CB210" s="86">
        <v>0</v>
      </c>
      <c r="CC210" s="138">
        <v>0</v>
      </c>
      <c r="CD210" s="138">
        <v>0</v>
      </c>
      <c r="CE210" s="138">
        <v>0</v>
      </c>
      <c r="CF210" s="138">
        <v>0</v>
      </c>
      <c r="CG210" s="138">
        <v>0</v>
      </c>
      <c r="CH210" s="138">
        <v>0</v>
      </c>
      <c r="CI210" s="138">
        <v>0</v>
      </c>
      <c r="CJ210" s="138">
        <v>0</v>
      </c>
      <c r="CK210" s="138">
        <v>0</v>
      </c>
      <c r="CL210" s="138">
        <v>0</v>
      </c>
      <c r="CM210" s="138">
        <v>0</v>
      </c>
      <c r="CN210" s="138">
        <v>0</v>
      </c>
      <c r="CO210" s="86">
        <v>0</v>
      </c>
      <c r="CP210" s="138">
        <v>0</v>
      </c>
      <c r="CQ210" s="138">
        <v>0</v>
      </c>
      <c r="CR210" s="138">
        <v>0</v>
      </c>
      <c r="CS210" s="138">
        <v>0</v>
      </c>
      <c r="CT210" s="138">
        <v>0</v>
      </c>
      <c r="CU210" s="138">
        <v>0</v>
      </c>
      <c r="CV210" s="138">
        <v>0</v>
      </c>
      <c r="CW210" s="138">
        <v>0</v>
      </c>
      <c r="CX210" s="138">
        <v>0</v>
      </c>
      <c r="CY210" s="138">
        <v>0</v>
      </c>
      <c r="CZ210" s="138">
        <v>0</v>
      </c>
      <c r="DA210" s="138">
        <v>0</v>
      </c>
      <c r="DB210" s="86">
        <v>0</v>
      </c>
      <c r="DC210" s="138">
        <v>0</v>
      </c>
      <c r="DD210" s="138">
        <v>0</v>
      </c>
      <c r="DE210" s="138">
        <v>0</v>
      </c>
      <c r="DF210" s="138">
        <v>0</v>
      </c>
      <c r="DG210" s="138">
        <v>0</v>
      </c>
      <c r="DH210" s="138">
        <v>0</v>
      </c>
      <c r="DI210" s="138">
        <v>0</v>
      </c>
      <c r="DJ210" s="138">
        <v>0</v>
      </c>
      <c r="DK210" s="138">
        <v>0</v>
      </c>
      <c r="DL210" s="138">
        <v>0</v>
      </c>
      <c r="DM210" s="138">
        <v>0</v>
      </c>
      <c r="DN210" s="138">
        <v>0</v>
      </c>
      <c r="DO210" s="86">
        <v>0</v>
      </c>
      <c r="DP210" s="138">
        <v>0</v>
      </c>
      <c r="DQ210" s="138">
        <v>0</v>
      </c>
      <c r="DR210" s="138">
        <v>0</v>
      </c>
      <c r="DS210" s="138">
        <v>0</v>
      </c>
      <c r="DT210" s="138">
        <v>0</v>
      </c>
      <c r="DU210" s="138">
        <v>0</v>
      </c>
      <c r="DV210" s="138">
        <v>0</v>
      </c>
      <c r="DW210" s="138">
        <v>0</v>
      </c>
      <c r="DX210" s="138">
        <v>0</v>
      </c>
      <c r="DY210" s="138">
        <v>0</v>
      </c>
      <c r="DZ210" s="138">
        <v>0</v>
      </c>
      <c r="EA210" s="138">
        <v>0</v>
      </c>
      <c r="EB210" s="85">
        <v>0</v>
      </c>
      <c r="EC210" s="87">
        <v>0</v>
      </c>
      <c r="ED210" s="85">
        <v>0</v>
      </c>
      <c r="EE210" s="85">
        <v>0</v>
      </c>
      <c r="EF210" s="85">
        <v>0</v>
      </c>
      <c r="EG210" s="85">
        <v>0</v>
      </c>
      <c r="EH210" s="85">
        <v>0</v>
      </c>
      <c r="EI210" s="85">
        <v>0</v>
      </c>
      <c r="EJ210" s="85">
        <v>0</v>
      </c>
      <c r="EK210" s="85">
        <v>0</v>
      </c>
      <c r="EL210" s="85">
        <v>0</v>
      </c>
      <c r="EM210" s="85">
        <v>0</v>
      </c>
      <c r="EN210" s="85">
        <v>0</v>
      </c>
      <c r="EO210" s="152">
        <v>0</v>
      </c>
      <c r="EP210" s="85">
        <v>0</v>
      </c>
      <c r="EQ210" s="85">
        <v>0</v>
      </c>
      <c r="ER210" s="85">
        <v>0</v>
      </c>
      <c r="ES210" s="85">
        <v>0</v>
      </c>
      <c r="ET210" s="85">
        <v>0</v>
      </c>
      <c r="EU210" s="85">
        <v>0</v>
      </c>
      <c r="EV210" s="85">
        <v>0</v>
      </c>
      <c r="EW210" s="85">
        <v>0</v>
      </c>
      <c r="EX210" s="85">
        <v>0</v>
      </c>
      <c r="EY210" s="85">
        <v>0</v>
      </c>
      <c r="EZ210" s="85">
        <v>0</v>
      </c>
      <c r="FA210" s="85">
        <v>0</v>
      </c>
      <c r="FB210" s="85">
        <v>0</v>
      </c>
      <c r="FC210" s="87">
        <v>0</v>
      </c>
      <c r="FD210" s="85">
        <v>0</v>
      </c>
      <c r="FE210" s="85">
        <v>0</v>
      </c>
      <c r="FF210" s="85">
        <v>0</v>
      </c>
      <c r="FG210" s="85">
        <v>0</v>
      </c>
      <c r="FH210" s="85">
        <v>0</v>
      </c>
      <c r="FI210" s="85">
        <v>0</v>
      </c>
      <c r="FJ210" s="85">
        <v>0</v>
      </c>
      <c r="FK210" s="85">
        <v>0</v>
      </c>
      <c r="FL210" s="85">
        <v>0</v>
      </c>
      <c r="FM210" s="85">
        <v>0</v>
      </c>
      <c r="FN210" s="85">
        <v>0</v>
      </c>
      <c r="FO210" s="86">
        <v>0</v>
      </c>
      <c r="FP210" s="87">
        <v>0</v>
      </c>
      <c r="FQ210" s="85">
        <v>0</v>
      </c>
      <c r="FR210" s="85">
        <v>0</v>
      </c>
      <c r="FS210" s="85">
        <v>0</v>
      </c>
      <c r="FT210" s="85">
        <v>0</v>
      </c>
      <c r="FU210" s="85">
        <v>0</v>
      </c>
      <c r="FV210" s="85">
        <v>0</v>
      </c>
      <c r="FW210" s="85">
        <v>0</v>
      </c>
      <c r="FX210" s="85">
        <v>0</v>
      </c>
      <c r="FY210" s="85">
        <v>0</v>
      </c>
      <c r="FZ210" s="85">
        <v>0</v>
      </c>
      <c r="GA210" s="85">
        <v>0</v>
      </c>
      <c r="GB210" s="152">
        <v>0</v>
      </c>
      <c r="GD210" s="153"/>
    </row>
    <row r="211" ht="16.5" spans="1:186">
      <c r="A211" s="139" t="s">
        <v>305</v>
      </c>
      <c r="B211" s="154">
        <v>8851693013.7766</v>
      </c>
      <c r="C211" s="97">
        <f t="shared" si="37"/>
        <v>653770432.858142</v>
      </c>
      <c r="D211" s="97">
        <f t="shared" si="26"/>
        <v>529824191.339228</v>
      </c>
      <c r="E211" s="97">
        <f t="shared" si="27"/>
        <v>468282655.316336</v>
      </c>
      <c r="F211" s="97">
        <f t="shared" si="28"/>
        <v>406885708.066262</v>
      </c>
      <c r="G211" s="97">
        <f t="shared" si="29"/>
        <v>361065603.59866</v>
      </c>
      <c r="H211" s="97">
        <f t="shared" si="30"/>
        <v>360691458.257027</v>
      </c>
      <c r="I211" s="97">
        <f t="shared" si="31"/>
        <v>422048962.873467</v>
      </c>
      <c r="J211" s="97">
        <f t="shared" si="32"/>
        <v>481098552.601102</v>
      </c>
      <c r="K211" s="97">
        <f t="shared" si="33"/>
        <v>470158300.021269</v>
      </c>
      <c r="L211" s="97">
        <f t="shared" si="34"/>
        <v>468638296.348858</v>
      </c>
      <c r="M211" s="97">
        <f t="shared" si="35"/>
        <v>480442467.052191</v>
      </c>
      <c r="N211" s="97">
        <f t="shared" si="36"/>
        <v>463686877.083689</v>
      </c>
      <c r="O211" s="98">
        <f t="shared" si="38"/>
        <v>5566593505.41623</v>
      </c>
      <c r="P211" s="97">
        <f>SUM(P3:P210)</f>
        <v>79955293.2448997</v>
      </c>
      <c r="Q211" s="97">
        <f>SUM(Q3:Q210)</f>
        <v>60923596.5328595</v>
      </c>
      <c r="R211" s="97">
        <f>SUM(R3:R210)</f>
        <v>57095300.6631978</v>
      </c>
      <c r="S211" s="97">
        <f>SUM(S3:S210)</f>
        <v>46574394.2656974</v>
      </c>
      <c r="T211" s="97">
        <f t="shared" ref="T211:CE211" si="169">SUM(T3:T210)</f>
        <v>42370892.8053648</v>
      </c>
      <c r="U211" s="97">
        <f t="shared" si="169"/>
        <v>48569586.3972335</v>
      </c>
      <c r="V211" s="97">
        <f t="shared" ref="V211:W211" si="170">SUM(V3:V210)</f>
        <v>54164595.0262515</v>
      </c>
      <c r="W211" s="97">
        <f t="shared" si="170"/>
        <v>65370176.7691077</v>
      </c>
      <c r="X211" s="97">
        <f t="shared" si="169"/>
        <v>63840497.2816868</v>
      </c>
      <c r="Y211" s="97">
        <f t="shared" si="169"/>
        <v>63098046.2408648</v>
      </c>
      <c r="Z211" s="97">
        <f t="shared" si="169"/>
        <v>63158093.3147627</v>
      </c>
      <c r="AA211" s="97">
        <f t="shared" si="169"/>
        <v>59688167.1855234</v>
      </c>
      <c r="AB211" s="98">
        <f t="shared" si="169"/>
        <v>704808639.727449</v>
      </c>
      <c r="AC211" s="97">
        <f t="shared" si="169"/>
        <v>39379620.7889332</v>
      </c>
      <c r="AD211" s="97">
        <f t="shared" si="169"/>
        <v>35648457.630716</v>
      </c>
      <c r="AE211" s="97">
        <f t="shared" si="169"/>
        <v>35224123.7624737</v>
      </c>
      <c r="AF211" s="97">
        <f t="shared" si="169"/>
        <v>31789089.8844085</v>
      </c>
      <c r="AG211" s="97">
        <f t="shared" si="169"/>
        <v>31666760.5647294</v>
      </c>
      <c r="AH211" s="97">
        <f t="shared" si="169"/>
        <v>33595485.8910211</v>
      </c>
      <c r="AI211" s="97">
        <f t="shared" ref="AI211:AJ211" si="171">SUM(AI3:AI210)</f>
        <v>37410054.4330551</v>
      </c>
      <c r="AJ211" s="97">
        <f t="shared" si="171"/>
        <v>47477494.5522183</v>
      </c>
      <c r="AK211" s="97">
        <f t="shared" si="169"/>
        <v>48118895.4117027</v>
      </c>
      <c r="AL211" s="97">
        <f t="shared" si="169"/>
        <v>44433959.0328235</v>
      </c>
      <c r="AM211" s="97">
        <f t="shared" si="169"/>
        <v>43199838.8213876</v>
      </c>
      <c r="AN211" s="97">
        <f t="shared" si="169"/>
        <v>42041300.7941566</v>
      </c>
      <c r="AO211" s="98">
        <f t="shared" si="169"/>
        <v>469985081.567625</v>
      </c>
      <c r="AP211" s="97">
        <f t="shared" si="169"/>
        <v>39935148.9284327</v>
      </c>
      <c r="AQ211" s="97">
        <f t="shared" si="169"/>
        <v>31907336.1697675</v>
      </c>
      <c r="AR211" s="97">
        <f t="shared" si="169"/>
        <v>33864878.0366819</v>
      </c>
      <c r="AS211" s="97">
        <f t="shared" si="169"/>
        <v>27620568.4157714</v>
      </c>
      <c r="AT211" s="97">
        <f t="shared" si="169"/>
        <v>25656357.8121672</v>
      </c>
      <c r="AU211" s="97">
        <f t="shared" si="169"/>
        <v>27937759.9684119</v>
      </c>
      <c r="AV211" s="97">
        <f t="shared" ref="AV211:AW211" si="172">SUM(AV3:AV210)</f>
        <v>33894999.9005039</v>
      </c>
      <c r="AW211" s="97">
        <f t="shared" si="172"/>
        <v>38471115.6541738</v>
      </c>
      <c r="AX211" s="97">
        <f t="shared" si="169"/>
        <v>38659977.7631594</v>
      </c>
      <c r="AY211" s="97">
        <f t="shared" si="169"/>
        <v>36121810.7651782</v>
      </c>
      <c r="AZ211" s="97">
        <f t="shared" si="169"/>
        <v>37557095.9802803</v>
      </c>
      <c r="BA211" s="97">
        <f t="shared" si="169"/>
        <v>40039535.7809309</v>
      </c>
      <c r="BB211" s="98">
        <f t="shared" si="169"/>
        <v>411666585.175459</v>
      </c>
      <c r="BC211" s="97">
        <f t="shared" si="169"/>
        <v>46911128.9300087</v>
      </c>
      <c r="BD211" s="97">
        <f t="shared" si="169"/>
        <v>43349302.4272304</v>
      </c>
      <c r="BE211" s="97">
        <f t="shared" si="169"/>
        <v>29468992.9106844</v>
      </c>
      <c r="BF211" s="97">
        <f t="shared" si="169"/>
        <v>25912213.3197967</v>
      </c>
      <c r="BG211" s="97">
        <f t="shared" si="169"/>
        <v>24352543.0870487</v>
      </c>
      <c r="BH211" s="97">
        <f t="shared" si="169"/>
        <v>26558792.7296746</v>
      </c>
      <c r="BI211" s="97">
        <f t="shared" ref="BI211:BJ211" si="173">SUM(BI3:BI210)</f>
        <v>32250832.1430367</v>
      </c>
      <c r="BJ211" s="97">
        <f t="shared" si="173"/>
        <v>36299950.9717839</v>
      </c>
      <c r="BK211" s="97">
        <f t="shared" si="169"/>
        <v>35694805.7914955</v>
      </c>
      <c r="BL211" s="97">
        <f t="shared" si="169"/>
        <v>34676630.5366921</v>
      </c>
      <c r="BM211" s="97">
        <f t="shared" si="169"/>
        <v>36326103.0160087</v>
      </c>
      <c r="BN211" s="97">
        <f t="shared" si="169"/>
        <v>35024975.9720236</v>
      </c>
      <c r="BO211" s="98">
        <f t="shared" si="169"/>
        <v>406826271.835484</v>
      </c>
      <c r="BP211" s="97">
        <f t="shared" si="169"/>
        <v>136460878.67108</v>
      </c>
      <c r="BQ211" s="97">
        <f t="shared" si="169"/>
        <v>115116029.2126</v>
      </c>
      <c r="BR211" s="97">
        <f t="shared" si="169"/>
        <v>92182991.8236453</v>
      </c>
      <c r="BS211" s="97">
        <f t="shared" si="169"/>
        <v>76055491.5149423</v>
      </c>
      <c r="BT211" s="97">
        <f t="shared" si="169"/>
        <v>70225707.5858796</v>
      </c>
      <c r="BU211" s="97">
        <f t="shared" si="169"/>
        <v>64076273.7520903</v>
      </c>
      <c r="BV211" s="97">
        <f t="shared" ref="BV211:BW211" si="174">SUM(BV3:BV210)</f>
        <v>71592770.8213682</v>
      </c>
      <c r="BW211" s="97">
        <f t="shared" si="174"/>
        <v>77887278.0785465</v>
      </c>
      <c r="BX211" s="97">
        <f t="shared" si="169"/>
        <v>83657451.7900828</v>
      </c>
      <c r="BY211" s="97">
        <f t="shared" si="169"/>
        <v>82842467.6297409</v>
      </c>
      <c r="BZ211" s="97">
        <f t="shared" si="169"/>
        <v>83350673.0687436</v>
      </c>
      <c r="CA211" s="97">
        <f t="shared" si="169"/>
        <v>71858064.7959687</v>
      </c>
      <c r="CB211" s="98">
        <f t="shared" si="169"/>
        <v>1025306078.74469</v>
      </c>
      <c r="CC211" s="97">
        <f t="shared" si="169"/>
        <v>14456559.3026676</v>
      </c>
      <c r="CD211" s="97">
        <f t="shared" si="169"/>
        <v>5557545.59560494</v>
      </c>
      <c r="CE211" s="97">
        <f t="shared" si="169"/>
        <v>6664920.23426246</v>
      </c>
      <c r="CF211" s="97">
        <f t="shared" ref="CF211:GB211" si="175">SUM(CF3:CF210)</f>
        <v>10738510.6674144</v>
      </c>
      <c r="CG211" s="97">
        <f t="shared" si="175"/>
        <v>9992422.1407828</v>
      </c>
      <c r="CH211" s="97">
        <f t="shared" si="175"/>
        <v>10677611.6866184</v>
      </c>
      <c r="CI211" s="97">
        <f t="shared" ref="CI211:CJ211" si="176">SUM(CI3:CI210)</f>
        <v>10319914.2130613</v>
      </c>
      <c r="CJ211" s="97">
        <f t="shared" si="176"/>
        <v>10906599.8874626</v>
      </c>
      <c r="CK211" s="97">
        <f t="shared" si="175"/>
        <v>10133989.5820057</v>
      </c>
      <c r="CL211" s="97">
        <f t="shared" si="175"/>
        <v>10633349.9148256</v>
      </c>
      <c r="CM211" s="97">
        <f t="shared" si="175"/>
        <v>9793662.22486585</v>
      </c>
      <c r="CN211" s="97">
        <f t="shared" si="175"/>
        <v>8417749.64318563</v>
      </c>
      <c r="CO211" s="98">
        <f t="shared" si="175"/>
        <v>118292835.092757</v>
      </c>
      <c r="CP211" s="97">
        <f t="shared" si="175"/>
        <v>47609717.1153917</v>
      </c>
      <c r="CQ211" s="97">
        <f t="shared" si="175"/>
        <v>48241280.7041352</v>
      </c>
      <c r="CR211" s="97">
        <f t="shared" si="175"/>
        <v>35528572.9410901</v>
      </c>
      <c r="CS211" s="97">
        <f t="shared" si="175"/>
        <v>32677879.4407218</v>
      </c>
      <c r="CT211" s="97">
        <f t="shared" si="175"/>
        <v>33821445.0895619</v>
      </c>
      <c r="CU211" s="97">
        <f t="shared" si="175"/>
        <v>32627828.4029511</v>
      </c>
      <c r="CV211" s="97">
        <f t="shared" ref="CV211:CW211" si="177">SUM(CV3:CV210)</f>
        <v>35210252.13242</v>
      </c>
      <c r="CW211" s="97">
        <f t="shared" si="177"/>
        <v>37582228.018781</v>
      </c>
      <c r="CX211" s="97">
        <f t="shared" si="175"/>
        <v>34408398.2103347</v>
      </c>
      <c r="CY211" s="97">
        <f t="shared" si="175"/>
        <v>32821259.253253</v>
      </c>
      <c r="CZ211" s="97">
        <f t="shared" si="175"/>
        <v>36384752.9145873</v>
      </c>
      <c r="DA211" s="97">
        <f t="shared" si="175"/>
        <v>33833717.8659678</v>
      </c>
      <c r="DB211" s="98">
        <f t="shared" si="175"/>
        <v>440747332.089195</v>
      </c>
      <c r="DC211" s="97">
        <f t="shared" si="175"/>
        <v>6288939.05583066</v>
      </c>
      <c r="DD211" s="97">
        <f t="shared" si="175"/>
        <v>6058570.11944554</v>
      </c>
      <c r="DE211" s="97">
        <f t="shared" ref="DE211:DH211" si="178">SUM(DE3:DE210)</f>
        <v>4181283.44283035</v>
      </c>
      <c r="DF211" s="97">
        <f t="shared" si="178"/>
        <v>3706142.01733727</v>
      </c>
      <c r="DG211" s="97">
        <f t="shared" si="178"/>
        <v>4018030.88307781</v>
      </c>
      <c r="DH211" s="97">
        <f t="shared" si="178"/>
        <v>3747586.69797183</v>
      </c>
      <c r="DI211" s="97">
        <f t="shared" ref="DI211:DJ211" si="179">SUM(DI3:DI210)</f>
        <v>3886058.1905369</v>
      </c>
      <c r="DJ211" s="97">
        <f t="shared" si="179"/>
        <v>3978621.93035953</v>
      </c>
      <c r="DK211" s="97">
        <f t="shared" si="175"/>
        <v>3974700.57724006</v>
      </c>
      <c r="DL211" s="97">
        <f t="shared" si="175"/>
        <v>4022861.28558042</v>
      </c>
      <c r="DM211" s="97">
        <f t="shared" si="175"/>
        <v>3617645.62702969</v>
      </c>
      <c r="DN211" s="97">
        <f t="shared" si="175"/>
        <v>3991733.91187056</v>
      </c>
      <c r="DO211" s="98">
        <f t="shared" si="175"/>
        <v>51472173.7391106</v>
      </c>
      <c r="DP211" s="97">
        <f t="shared" si="175"/>
        <v>55452634.667416</v>
      </c>
      <c r="DQ211" s="97">
        <f t="shared" si="175"/>
        <v>39637998.5851425</v>
      </c>
      <c r="DR211" s="97">
        <f t="shared" si="175"/>
        <v>36306567.7879842</v>
      </c>
      <c r="DS211" s="97">
        <f t="shared" si="175"/>
        <v>39022923.9535973</v>
      </c>
      <c r="DT211" s="97">
        <f t="shared" si="175"/>
        <v>31630190.4916763</v>
      </c>
      <c r="DU211" s="97">
        <f t="shared" si="175"/>
        <v>32241578.3808351</v>
      </c>
      <c r="DV211" s="97">
        <f t="shared" ref="DV211:DW211" si="180">SUM(DV3:DV210)</f>
        <v>33441421.1169415</v>
      </c>
      <c r="DW211" s="97">
        <f t="shared" si="180"/>
        <v>34276953.3983986</v>
      </c>
      <c r="DX211" s="97">
        <f t="shared" si="175"/>
        <v>34209979.3683866</v>
      </c>
      <c r="DY211" s="97">
        <f t="shared" si="175"/>
        <v>34084056.9598169</v>
      </c>
      <c r="DZ211" s="97">
        <f t="shared" si="175"/>
        <v>34119853.9380298</v>
      </c>
      <c r="EA211" s="97">
        <f t="shared" si="175"/>
        <v>28990450.8242097</v>
      </c>
      <c r="EB211" s="97">
        <f t="shared" si="175"/>
        <v>433414609.472435</v>
      </c>
      <c r="EC211" s="99">
        <f t="shared" ref="EC211" si="181">SUM(EC3:EC210)</f>
        <v>4311390.30535561</v>
      </c>
      <c r="ED211" s="97">
        <f t="shared" ref="ED211" si="182">SUM(ED3:ED210)</f>
        <v>799825.716330825</v>
      </c>
      <c r="EE211" s="97">
        <f t="shared" ref="EE211" si="183">SUM(EE3:EE210)</f>
        <v>-5635.05958944592</v>
      </c>
      <c r="EF211" s="97">
        <f t="shared" ref="EF211" si="184">SUM(EF3:EF210)</f>
        <v>167609.523911164</v>
      </c>
      <c r="EG211" s="97">
        <f t="shared" ref="EG211" si="185">SUM(EG3:EG210)</f>
        <v>0</v>
      </c>
      <c r="EH211" s="97">
        <f t="shared" ref="EH211:EI211" si="186">SUM(EH3:EH210)</f>
        <v>0</v>
      </c>
      <c r="EI211" s="97">
        <f t="shared" si="186"/>
        <v>0</v>
      </c>
      <c r="EJ211" s="97">
        <f t="shared" ref="EJ211" si="187">SUM(EJ3:EJ210)</f>
        <v>0</v>
      </c>
      <c r="EK211" s="97">
        <f t="shared" ref="EK211" si="188">SUM(EK3:EK210)</f>
        <v>0</v>
      </c>
      <c r="EL211" s="97">
        <f t="shared" ref="EL211" si="189">SUM(EL3:EL210)</f>
        <v>0</v>
      </c>
      <c r="EM211" s="97">
        <f t="shared" ref="EM211" si="190">SUM(EM3:EM210)</f>
        <v>0</v>
      </c>
      <c r="EN211" s="97">
        <f t="shared" ref="EN211" si="191">SUM(EN3:EN210)</f>
        <v>0</v>
      </c>
      <c r="EO211" s="155">
        <f t="shared" ref="EO211" si="192">SUM(EO3:EO210)</f>
        <v>5273190.48600815</v>
      </c>
      <c r="EP211" s="97">
        <f t="shared" ref="EP211" si="193">SUM(EP3:EP210)</f>
        <v>8856057.51430491</v>
      </c>
      <c r="EQ211" s="97">
        <f t="shared" ref="EQ211" si="194">SUM(EQ3:EQ210)</f>
        <v>12735807.340686</v>
      </c>
      <c r="ER211" s="97">
        <f t="shared" ref="ER211" si="195">SUM(ER3:ER210)</f>
        <v>12627120.8142862</v>
      </c>
      <c r="ES211" s="97">
        <f t="shared" ref="ES211" si="196">SUM(ES3:ES210)</f>
        <v>13621096.5846017</v>
      </c>
      <c r="ET211" s="97">
        <f t="shared" ref="ET211" si="197">SUM(ET3:ET210)</f>
        <v>11598824.328209</v>
      </c>
      <c r="EU211" s="97">
        <f t="shared" ref="EU211:EV211" si="198">SUM(EU3:EU210)</f>
        <v>10278124.5702197</v>
      </c>
      <c r="EV211" s="97">
        <f t="shared" si="198"/>
        <v>12236469.1962919</v>
      </c>
      <c r="EW211" s="97">
        <f t="shared" ref="EW211" si="199">SUM(EW3:EW210)</f>
        <v>12848397.3602699</v>
      </c>
      <c r="EX211" s="97">
        <f t="shared" ref="EX211" si="200">SUM(EX3:EX210)</f>
        <v>14702926.8451747</v>
      </c>
      <c r="EY211" s="97">
        <f t="shared" ref="EY211" si="201">SUM(EY3:EY210)</f>
        <v>15629966.090083</v>
      </c>
      <c r="EZ211" s="97">
        <f t="shared" ref="EZ211" si="202">SUM(EZ3:EZ210)</f>
        <v>12692598.5814952</v>
      </c>
      <c r="FA211" s="97">
        <f t="shared" ref="FA211:FJ211" si="203">SUM(FA3:FA210)</f>
        <v>13236360.6448523</v>
      </c>
      <c r="FB211" s="97">
        <f t="shared" ref="FB211" si="204">SUM(FB3:FB210)</f>
        <v>151063749.870474</v>
      </c>
      <c r="FC211" s="99">
        <f t="shared" si="203"/>
        <v>999950.974765942</v>
      </c>
      <c r="FD211" s="97">
        <f t="shared" si="203"/>
        <v>1027432.16276598</v>
      </c>
      <c r="FE211" s="97">
        <f t="shared" si="203"/>
        <v>0</v>
      </c>
      <c r="FF211" s="97">
        <f t="shared" si="203"/>
        <v>0</v>
      </c>
      <c r="FG211" s="97">
        <f t="shared" si="203"/>
        <v>0</v>
      </c>
      <c r="FH211" s="97">
        <f t="shared" si="203"/>
        <v>0</v>
      </c>
      <c r="FI211" s="97">
        <f t="shared" si="203"/>
        <v>0</v>
      </c>
      <c r="FJ211" s="97">
        <f t="shared" si="203"/>
        <v>0</v>
      </c>
      <c r="FK211" s="97">
        <f t="shared" si="175"/>
        <v>0</v>
      </c>
      <c r="FL211" s="97">
        <f t="shared" si="175"/>
        <v>0</v>
      </c>
      <c r="FM211" s="97">
        <f t="shared" si="175"/>
        <v>0</v>
      </c>
      <c r="FN211" s="97">
        <f t="shared" si="175"/>
        <v>0</v>
      </c>
      <c r="FO211" s="156">
        <f t="shared" si="175"/>
        <v>0</v>
      </c>
      <c r="FP211" s="99">
        <f t="shared" si="175"/>
        <v>173153113.359055</v>
      </c>
      <c r="FQ211" s="97">
        <f t="shared" si="175"/>
        <v>128821009.141943</v>
      </c>
      <c r="FR211" s="97">
        <f t="shared" si="175"/>
        <v>125143537.958789</v>
      </c>
      <c r="FS211" s="97">
        <f t="shared" si="175"/>
        <v>98999788.4780614</v>
      </c>
      <c r="FT211" s="97">
        <f t="shared" si="175"/>
        <v>75732428.8101622</v>
      </c>
      <c r="FU211" s="97">
        <f t="shared" si="175"/>
        <v>70380829.78</v>
      </c>
      <c r="FV211" s="97">
        <f t="shared" ref="FV211:FW211" si="205">SUM(FV3:FV210)</f>
        <v>97641595.7</v>
      </c>
      <c r="FW211" s="97">
        <f t="shared" si="205"/>
        <v>115999735.98</v>
      </c>
      <c r="FX211" s="97">
        <f t="shared" si="175"/>
        <v>102756677.4</v>
      </c>
      <c r="FY211" s="97">
        <f t="shared" si="175"/>
        <v>110273888.64</v>
      </c>
      <c r="FZ211" s="97">
        <f t="shared" si="175"/>
        <v>120242149.565</v>
      </c>
      <c r="GA211" s="97">
        <f t="shared" si="175"/>
        <v>126564819.665</v>
      </c>
      <c r="GB211" s="155">
        <f t="shared" si="175"/>
        <v>1345709574.47801</v>
      </c>
    </row>
    <row r="212" spans="1:186"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P212" s="100"/>
      <c r="Q212" s="100"/>
      <c r="EO212" s="157"/>
      <c r="FO212" s="158"/>
      <c r="FR212" s="101"/>
      <c r="FS212" s="101"/>
      <c r="FT212" s="101"/>
      <c r="FU212" s="101"/>
      <c r="FV212" s="101"/>
      <c r="FW212" s="101"/>
      <c r="FX212" s="101"/>
      <c r="FY212" s="101"/>
      <c r="FZ212" s="101"/>
      <c r="GA212" s="101"/>
    </row>
    <row r="213" ht="16.5" spans="1:186">
      <c r="A213" s="103" t="s">
        <v>381</v>
      </c>
      <c r="B213" s="103"/>
      <c r="C213" s="61" t="s">
        <v>2</v>
      </c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2" t="s">
        <v>2</v>
      </c>
      <c r="P213" s="63" t="s">
        <v>3</v>
      </c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4" t="s">
        <v>3</v>
      </c>
      <c r="AC213" s="63" t="s">
        <v>4</v>
      </c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4" t="s">
        <v>4</v>
      </c>
      <c r="AP213" s="63" t="s">
        <v>5</v>
      </c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4" t="s">
        <v>5</v>
      </c>
      <c r="BC213" s="63" t="s">
        <v>6</v>
      </c>
      <c r="BD213" s="63"/>
      <c r="BE213" s="63"/>
      <c r="BF213" s="63"/>
      <c r="BG213" s="63"/>
      <c r="BH213" s="63"/>
      <c r="BI213" s="63"/>
      <c r="BJ213" s="63"/>
      <c r="BK213" s="63"/>
      <c r="BL213" s="63"/>
      <c r="BM213" s="63"/>
      <c r="BN213" s="63"/>
      <c r="BO213" s="64" t="s">
        <v>6</v>
      </c>
      <c r="BP213" s="63" t="s">
        <v>7</v>
      </c>
      <c r="BQ213" s="63"/>
      <c r="BR213" s="63"/>
      <c r="BS213" s="63"/>
      <c r="BT213" s="63"/>
      <c r="BU213" s="63"/>
      <c r="BV213" s="63"/>
      <c r="BW213" s="63"/>
      <c r="BX213" s="63"/>
      <c r="BY213" s="63"/>
      <c r="BZ213" s="63"/>
      <c r="CA213" s="63"/>
      <c r="CB213" s="64" t="s">
        <v>7</v>
      </c>
      <c r="CC213" s="63" t="s">
        <v>8</v>
      </c>
      <c r="CD213" s="63"/>
      <c r="CE213" s="63"/>
      <c r="CF213" s="63"/>
      <c r="CG213" s="63"/>
      <c r="CH213" s="63"/>
      <c r="CI213" s="63"/>
      <c r="CJ213" s="63"/>
      <c r="CK213" s="63"/>
      <c r="CL213" s="63"/>
      <c r="CM213" s="63"/>
      <c r="CN213" s="63"/>
      <c r="CO213" s="64" t="s">
        <v>8</v>
      </c>
      <c r="CP213" s="63" t="s">
        <v>9</v>
      </c>
      <c r="CQ213" s="63"/>
      <c r="CR213" s="63"/>
      <c r="CS213" s="63"/>
      <c r="CT213" s="63"/>
      <c r="CU213" s="63"/>
      <c r="CV213" s="63"/>
      <c r="CW213" s="63"/>
      <c r="CX213" s="63"/>
      <c r="CY213" s="63"/>
      <c r="CZ213" s="63"/>
      <c r="DA213" s="63"/>
      <c r="DB213" s="64" t="s">
        <v>9</v>
      </c>
      <c r="DC213" s="63" t="s">
        <v>10</v>
      </c>
      <c r="DD213" s="63"/>
      <c r="DE213" s="63"/>
      <c r="DF213" s="63"/>
      <c r="DG213" s="63"/>
      <c r="DH213" s="63"/>
      <c r="DI213" s="63"/>
      <c r="DJ213" s="63"/>
      <c r="DK213" s="63"/>
      <c r="DL213" s="63"/>
      <c r="DM213" s="63"/>
      <c r="DN213" s="63"/>
      <c r="DO213" s="64" t="s">
        <v>10</v>
      </c>
      <c r="DP213" s="63" t="s">
        <v>11</v>
      </c>
      <c r="DQ213" s="63"/>
      <c r="DR213" s="63"/>
      <c r="DS213" s="63"/>
      <c r="DT213" s="63"/>
      <c r="DU213" s="63"/>
      <c r="DV213" s="63"/>
      <c r="DW213" s="63"/>
      <c r="DX213" s="63"/>
      <c r="DY213" s="63"/>
      <c r="DZ213" s="63"/>
      <c r="EA213" s="63"/>
      <c r="EB213" s="63" t="s">
        <v>11</v>
      </c>
      <c r="EC213" s="65" t="s">
        <v>299</v>
      </c>
      <c r="ED213" s="63"/>
      <c r="EE213" s="63"/>
      <c r="EF213" s="63"/>
      <c r="EG213" s="63"/>
      <c r="EH213" s="63"/>
      <c r="EI213" s="63"/>
      <c r="EJ213" s="63"/>
      <c r="EK213" s="63"/>
      <c r="EL213" s="63"/>
      <c r="EM213" s="63"/>
      <c r="EN213" s="63"/>
      <c r="EO213" s="149" t="s">
        <v>300</v>
      </c>
      <c r="EP213" s="63" t="s">
        <v>301</v>
      </c>
      <c r="EQ213" s="63"/>
      <c r="ER213" s="63"/>
      <c r="ES213" s="63"/>
      <c r="ET213" s="63"/>
      <c r="EU213" s="63"/>
      <c r="EV213" s="63"/>
      <c r="EW213" s="63"/>
      <c r="EX213" s="63"/>
      <c r="EY213" s="63"/>
      <c r="EZ213" s="63"/>
      <c r="FA213" s="63"/>
      <c r="FB213" s="63" t="s">
        <v>301</v>
      </c>
      <c r="FC213" s="65" t="s">
        <v>302</v>
      </c>
      <c r="FD213" s="63"/>
      <c r="FE213" s="63"/>
      <c r="FF213" s="63"/>
      <c r="FG213" s="63"/>
      <c r="FH213" s="63"/>
      <c r="FI213" s="63"/>
      <c r="FJ213" s="63"/>
      <c r="FK213" s="63"/>
      <c r="FL213" s="63"/>
      <c r="FM213" s="63"/>
      <c r="FN213" s="63"/>
      <c r="FO213" s="159" t="s">
        <v>302</v>
      </c>
      <c r="FP213" s="65" t="s">
        <v>303</v>
      </c>
      <c r="FQ213" s="63"/>
      <c r="FR213" s="63"/>
      <c r="FS213" s="63"/>
      <c r="FT213" s="63"/>
      <c r="FU213" s="63"/>
      <c r="FV213" s="63"/>
      <c r="FW213" s="63"/>
      <c r="FX213" s="63"/>
      <c r="FY213" s="63"/>
      <c r="FZ213" s="63"/>
      <c r="GA213" s="63"/>
      <c r="GB213" s="149" t="s">
        <v>303</v>
      </c>
    </row>
    <row r="214" s="55" customFormat="1" ht="16.5" spans="1:186">
      <c r="A214" s="146" t="s">
        <v>18</v>
      </c>
      <c r="B214" s="68" t="s">
        <v>382</v>
      </c>
      <c r="C214" s="69">
        <v>46023</v>
      </c>
      <c r="D214" s="69">
        <v>46054</v>
      </c>
      <c r="E214" s="69">
        <v>46082</v>
      </c>
      <c r="F214" s="69">
        <v>46113</v>
      </c>
      <c r="G214" s="69">
        <v>46143</v>
      </c>
      <c r="H214" s="69">
        <v>46174</v>
      </c>
      <c r="I214" s="69">
        <v>46204</v>
      </c>
      <c r="J214" s="69">
        <v>46235</v>
      </c>
      <c r="K214" s="69">
        <v>46266</v>
      </c>
      <c r="L214" s="69">
        <v>46296</v>
      </c>
      <c r="M214" s="69">
        <v>46327</v>
      </c>
      <c r="N214" s="69">
        <v>46357</v>
      </c>
      <c r="O214" s="70" t="s">
        <v>305</v>
      </c>
      <c r="P214" s="71">
        <v>46023</v>
      </c>
      <c r="Q214" s="71">
        <v>46054</v>
      </c>
      <c r="R214" s="71">
        <v>46082</v>
      </c>
      <c r="S214" s="71">
        <v>46113</v>
      </c>
      <c r="T214" s="71">
        <v>46143</v>
      </c>
      <c r="U214" s="71">
        <v>46174</v>
      </c>
      <c r="V214" s="71">
        <v>46204</v>
      </c>
      <c r="W214" s="71">
        <v>46235</v>
      </c>
      <c r="X214" s="71">
        <v>46266</v>
      </c>
      <c r="Y214" s="71">
        <v>46296</v>
      </c>
      <c r="Z214" s="71">
        <v>46327</v>
      </c>
      <c r="AA214" s="71">
        <v>46357</v>
      </c>
      <c r="AB214" s="72" t="s">
        <v>305</v>
      </c>
      <c r="AC214" s="71">
        <v>46023</v>
      </c>
      <c r="AD214" s="71">
        <v>46054</v>
      </c>
      <c r="AE214" s="71">
        <v>46082</v>
      </c>
      <c r="AF214" s="71">
        <v>46113</v>
      </c>
      <c r="AG214" s="71">
        <v>46143</v>
      </c>
      <c r="AH214" s="71">
        <v>46174</v>
      </c>
      <c r="AI214" s="71">
        <v>46204</v>
      </c>
      <c r="AJ214" s="71">
        <v>46235</v>
      </c>
      <c r="AK214" s="71">
        <v>46266</v>
      </c>
      <c r="AL214" s="71">
        <v>46296</v>
      </c>
      <c r="AM214" s="71">
        <v>46327</v>
      </c>
      <c r="AN214" s="71">
        <v>46357</v>
      </c>
      <c r="AO214" s="72" t="s">
        <v>305</v>
      </c>
      <c r="AP214" s="71">
        <v>46023</v>
      </c>
      <c r="AQ214" s="71">
        <v>46054</v>
      </c>
      <c r="AR214" s="71">
        <v>46082</v>
      </c>
      <c r="AS214" s="71">
        <v>46113</v>
      </c>
      <c r="AT214" s="71">
        <v>46143</v>
      </c>
      <c r="AU214" s="71">
        <v>46174</v>
      </c>
      <c r="AV214" s="71">
        <v>46204</v>
      </c>
      <c r="AW214" s="71">
        <v>46235</v>
      </c>
      <c r="AX214" s="71">
        <v>46266</v>
      </c>
      <c r="AY214" s="71">
        <v>46296</v>
      </c>
      <c r="AZ214" s="71">
        <v>46327</v>
      </c>
      <c r="BA214" s="71">
        <v>46357</v>
      </c>
      <c r="BB214" s="72" t="s">
        <v>305</v>
      </c>
      <c r="BC214" s="71">
        <v>46023</v>
      </c>
      <c r="BD214" s="71">
        <v>46054</v>
      </c>
      <c r="BE214" s="71">
        <v>46082</v>
      </c>
      <c r="BF214" s="71">
        <v>46113</v>
      </c>
      <c r="BG214" s="71">
        <v>46143</v>
      </c>
      <c r="BH214" s="71">
        <v>46174</v>
      </c>
      <c r="BI214" s="71">
        <v>46204</v>
      </c>
      <c r="BJ214" s="71">
        <v>46235</v>
      </c>
      <c r="BK214" s="71">
        <v>46266</v>
      </c>
      <c r="BL214" s="71">
        <v>46296</v>
      </c>
      <c r="BM214" s="71">
        <v>46327</v>
      </c>
      <c r="BN214" s="71">
        <v>46357</v>
      </c>
      <c r="BO214" s="72" t="s">
        <v>305</v>
      </c>
      <c r="BP214" s="71">
        <v>46023</v>
      </c>
      <c r="BQ214" s="71">
        <v>46054</v>
      </c>
      <c r="BR214" s="71">
        <v>46082</v>
      </c>
      <c r="BS214" s="71">
        <v>46113</v>
      </c>
      <c r="BT214" s="71">
        <v>46143</v>
      </c>
      <c r="BU214" s="71">
        <v>46174</v>
      </c>
      <c r="BV214" s="71">
        <v>46204</v>
      </c>
      <c r="BW214" s="71">
        <v>46235</v>
      </c>
      <c r="BX214" s="71">
        <v>46266</v>
      </c>
      <c r="BY214" s="71">
        <v>46296</v>
      </c>
      <c r="BZ214" s="71">
        <v>46327</v>
      </c>
      <c r="CA214" s="71">
        <v>46357</v>
      </c>
      <c r="CB214" s="72" t="s">
        <v>305</v>
      </c>
      <c r="CC214" s="71">
        <v>46023</v>
      </c>
      <c r="CD214" s="71">
        <v>46054</v>
      </c>
      <c r="CE214" s="71">
        <v>46082</v>
      </c>
      <c r="CF214" s="71">
        <v>46113</v>
      </c>
      <c r="CG214" s="71">
        <v>46143</v>
      </c>
      <c r="CH214" s="71">
        <v>46174</v>
      </c>
      <c r="CI214" s="71">
        <v>46204</v>
      </c>
      <c r="CJ214" s="71">
        <v>46235</v>
      </c>
      <c r="CK214" s="71">
        <v>46266</v>
      </c>
      <c r="CL214" s="71">
        <v>46296</v>
      </c>
      <c r="CM214" s="71">
        <v>46327</v>
      </c>
      <c r="CN214" s="71">
        <v>46357</v>
      </c>
      <c r="CO214" s="72" t="s">
        <v>305</v>
      </c>
      <c r="CP214" s="71">
        <v>46023</v>
      </c>
      <c r="CQ214" s="71">
        <v>46054</v>
      </c>
      <c r="CR214" s="71">
        <v>46082</v>
      </c>
      <c r="CS214" s="71">
        <v>46113</v>
      </c>
      <c r="CT214" s="71">
        <v>46143</v>
      </c>
      <c r="CU214" s="71">
        <v>46174</v>
      </c>
      <c r="CV214" s="71">
        <v>46204</v>
      </c>
      <c r="CW214" s="71">
        <v>46235</v>
      </c>
      <c r="CX214" s="71">
        <v>46266</v>
      </c>
      <c r="CY214" s="71">
        <v>46296</v>
      </c>
      <c r="CZ214" s="71">
        <v>46327</v>
      </c>
      <c r="DA214" s="71">
        <v>46357</v>
      </c>
      <c r="DB214" s="72" t="s">
        <v>305</v>
      </c>
      <c r="DC214" s="71">
        <v>46023</v>
      </c>
      <c r="DD214" s="71">
        <v>46054</v>
      </c>
      <c r="DE214" s="71">
        <v>46082</v>
      </c>
      <c r="DF214" s="71">
        <v>46113</v>
      </c>
      <c r="DG214" s="71">
        <v>46143</v>
      </c>
      <c r="DH214" s="71">
        <v>46174</v>
      </c>
      <c r="DI214" s="71">
        <v>46204</v>
      </c>
      <c r="DJ214" s="71">
        <v>46235</v>
      </c>
      <c r="DK214" s="71">
        <v>46266</v>
      </c>
      <c r="DL214" s="71">
        <v>46296</v>
      </c>
      <c r="DM214" s="71">
        <v>46327</v>
      </c>
      <c r="DN214" s="71">
        <v>46357</v>
      </c>
      <c r="DO214" s="72" t="s">
        <v>305</v>
      </c>
      <c r="DP214" s="71">
        <v>46023</v>
      </c>
      <c r="DQ214" s="71">
        <v>46054</v>
      </c>
      <c r="DR214" s="71">
        <v>46082</v>
      </c>
      <c r="DS214" s="71">
        <v>46113</v>
      </c>
      <c r="DT214" s="71">
        <v>46143</v>
      </c>
      <c r="DU214" s="71">
        <v>46174</v>
      </c>
      <c r="DV214" s="71">
        <v>46204</v>
      </c>
      <c r="DW214" s="71">
        <v>46235</v>
      </c>
      <c r="DX214" s="71">
        <v>46266</v>
      </c>
      <c r="DY214" s="71">
        <v>46296</v>
      </c>
      <c r="DZ214" s="71">
        <v>46327</v>
      </c>
      <c r="EA214" s="71">
        <v>46357</v>
      </c>
      <c r="EB214" s="73" t="s">
        <v>305</v>
      </c>
      <c r="EC214" s="74">
        <v>46023</v>
      </c>
      <c r="ED214" s="75">
        <v>46054</v>
      </c>
      <c r="EE214" s="75">
        <v>46082</v>
      </c>
      <c r="EF214" s="75">
        <v>46113</v>
      </c>
      <c r="EG214" s="75">
        <v>46143</v>
      </c>
      <c r="EH214" s="75">
        <v>46174</v>
      </c>
      <c r="EI214" s="75">
        <v>46204</v>
      </c>
      <c r="EJ214" s="75">
        <v>46235</v>
      </c>
      <c r="EK214" s="75">
        <v>46266</v>
      </c>
      <c r="EL214" s="75">
        <v>46296</v>
      </c>
      <c r="EM214" s="75">
        <v>46327</v>
      </c>
      <c r="EN214" s="75">
        <v>46357</v>
      </c>
      <c r="EO214" s="150" t="s">
        <v>305</v>
      </c>
      <c r="EP214" s="74">
        <v>46023</v>
      </c>
      <c r="EQ214" s="75">
        <v>46054</v>
      </c>
      <c r="ER214" s="75">
        <v>46082</v>
      </c>
      <c r="ES214" s="75">
        <v>46113</v>
      </c>
      <c r="ET214" s="75">
        <v>46143</v>
      </c>
      <c r="EU214" s="75">
        <v>46174</v>
      </c>
      <c r="EV214" s="75">
        <v>46204</v>
      </c>
      <c r="EW214" s="75">
        <v>46235</v>
      </c>
      <c r="EX214" s="75">
        <v>46266</v>
      </c>
      <c r="EY214" s="75">
        <v>46296</v>
      </c>
      <c r="EZ214" s="75">
        <v>46327</v>
      </c>
      <c r="FA214" s="75">
        <v>46357</v>
      </c>
      <c r="FB214" s="73" t="s">
        <v>305</v>
      </c>
      <c r="FC214" s="74">
        <v>46023</v>
      </c>
      <c r="FD214" s="75">
        <v>46054</v>
      </c>
      <c r="FE214" s="75">
        <v>46082</v>
      </c>
      <c r="FF214" s="75">
        <v>46113</v>
      </c>
      <c r="FG214" s="75">
        <v>46143</v>
      </c>
      <c r="FH214" s="75">
        <v>46174</v>
      </c>
      <c r="FI214" s="75">
        <v>46204</v>
      </c>
      <c r="FJ214" s="75">
        <v>46235</v>
      </c>
      <c r="FK214" s="75">
        <v>46266</v>
      </c>
      <c r="FL214" s="75">
        <v>46296</v>
      </c>
      <c r="FM214" s="75">
        <v>46327</v>
      </c>
      <c r="FN214" s="75">
        <v>46357</v>
      </c>
      <c r="FO214" s="72" t="s">
        <v>305</v>
      </c>
      <c r="FP214" s="74">
        <v>46023</v>
      </c>
      <c r="FQ214" s="75">
        <v>46054</v>
      </c>
      <c r="FR214" s="75">
        <v>46082</v>
      </c>
      <c r="FS214" s="75">
        <v>46113</v>
      </c>
      <c r="FT214" s="75">
        <v>46143</v>
      </c>
      <c r="FU214" s="75">
        <v>46174</v>
      </c>
      <c r="FV214" s="75">
        <v>46204</v>
      </c>
      <c r="FW214" s="75">
        <v>46235</v>
      </c>
      <c r="FX214" s="75">
        <v>46266</v>
      </c>
      <c r="FY214" s="75">
        <v>46296</v>
      </c>
      <c r="FZ214" s="75">
        <v>46327</v>
      </c>
      <c r="GA214" s="75">
        <v>46357</v>
      </c>
      <c r="GB214" s="150" t="s">
        <v>305</v>
      </c>
    </row>
    <row r="215" spans="1:186">
      <c r="A215" s="147" t="s">
        <v>25</v>
      </c>
      <c r="B215" s="160">
        <f>O3/B3-1</f>
        <v>-0.689610511775684</v>
      </c>
      <c r="C215" s="111">
        <f t="shared" ref="C215:AH215" si="206">C3/C$211</f>
        <v>0.248293390732873</v>
      </c>
      <c r="D215" s="111">
        <f t="shared" si="206"/>
        <v>0.217172569279958</v>
      </c>
      <c r="E215" s="111">
        <f t="shared" si="206"/>
        <v>0.315345653570409</v>
      </c>
      <c r="F215" s="111">
        <f t="shared" si="206"/>
        <v>0.241077114092834</v>
      </c>
      <c r="G215" s="111">
        <f t="shared" si="206"/>
        <v>0.155726373764034</v>
      </c>
      <c r="H215" s="111">
        <f t="shared" si="206"/>
        <v>0.20886820888891</v>
      </c>
      <c r="I215" s="111">
        <f t="shared" si="206"/>
        <v>0.221155277516559</v>
      </c>
      <c r="J215" s="111">
        <f t="shared" si="206"/>
        <v>0.138851703083527</v>
      </c>
      <c r="K215" s="111">
        <f t="shared" si="206"/>
        <v>0.220543467687005</v>
      </c>
      <c r="L215" s="111">
        <f t="shared" si="206"/>
        <v>0.175545717543988</v>
      </c>
      <c r="M215" s="111">
        <f t="shared" si="206"/>
        <v>0.147435533699782</v>
      </c>
      <c r="N215" s="111">
        <f t="shared" si="206"/>
        <v>0.197914956688277</v>
      </c>
      <c r="O215" s="112">
        <f t="shared" si="206"/>
        <v>0.209000111473699</v>
      </c>
      <c r="P215" s="117">
        <f t="shared" si="206"/>
        <v>0.354654909478839</v>
      </c>
      <c r="Q215" s="117">
        <f t="shared" si="206"/>
        <v>0.311690239823974</v>
      </c>
      <c r="R215" s="117">
        <f t="shared" si="206"/>
        <v>0.425483964421755</v>
      </c>
      <c r="S215" s="117">
        <f t="shared" si="206"/>
        <v>0.331815388764804</v>
      </c>
      <c r="T215" s="117">
        <f t="shared" si="206"/>
        <v>0.262179934562592</v>
      </c>
      <c r="U215" s="117">
        <f t="shared" si="206"/>
        <v>0.259720812380025</v>
      </c>
      <c r="V215" s="117">
        <f t="shared" si="206"/>
        <v>0.230715239237325</v>
      </c>
      <c r="W215" s="117">
        <f t="shared" si="206"/>
        <v>0.171355691506137</v>
      </c>
      <c r="X215" s="117">
        <f t="shared" si="206"/>
        <v>0.184065575943342</v>
      </c>
      <c r="Y215" s="117">
        <f t="shared" si="206"/>
        <v>0.179873631738661</v>
      </c>
      <c r="Z215" s="117">
        <f t="shared" si="206"/>
        <v>0.175710717755485</v>
      </c>
      <c r="AA215" s="117">
        <f t="shared" si="206"/>
        <v>0.196014196485343</v>
      </c>
      <c r="AB215" s="9">
        <f t="shared" si="206"/>
        <v>0.255973504728129</v>
      </c>
      <c r="AC215" s="117">
        <f t="shared" si="206"/>
        <v>0.241069836401402</v>
      </c>
      <c r="AD215" s="117">
        <f t="shared" si="206"/>
        <v>0.200881299930761</v>
      </c>
      <c r="AE215" s="117">
        <f t="shared" si="206"/>
        <v>0.336374158282839</v>
      </c>
      <c r="AF215" s="117">
        <f t="shared" si="206"/>
        <v>0.244096179593331</v>
      </c>
      <c r="AG215" s="117">
        <f t="shared" si="206"/>
        <v>0.15882694031513</v>
      </c>
      <c r="AH215" s="117">
        <f t="shared" si="206"/>
        <v>0.2063649312827</v>
      </c>
      <c r="AI215" s="117">
        <f t="shared" ref="AI215:BN215" si="207">AI3/AI$211</f>
        <v>0.214848467808845</v>
      </c>
      <c r="AJ215" s="117">
        <f t="shared" si="207"/>
        <v>0.151281581045113</v>
      </c>
      <c r="AK215" s="117">
        <f t="shared" si="207"/>
        <v>0.156244366641819</v>
      </c>
      <c r="AL215" s="117">
        <f t="shared" si="207"/>
        <v>0.189392487340128</v>
      </c>
      <c r="AM215" s="117">
        <f t="shared" si="207"/>
        <v>0.185969643954564</v>
      </c>
      <c r="AN215" s="117">
        <f t="shared" si="207"/>
        <v>0.207284003617422</v>
      </c>
      <c r="AO215" s="9">
        <f t="shared" si="207"/>
        <v>0.204531955779085</v>
      </c>
      <c r="AP215" s="144">
        <f t="shared" si="207"/>
        <v>0.152558181726473</v>
      </c>
      <c r="AQ215" s="144">
        <f t="shared" si="207"/>
        <v>0.152071834643243</v>
      </c>
      <c r="AR215" s="144">
        <f t="shared" si="207"/>
        <v>0.171441164372432</v>
      </c>
      <c r="AS215" s="144">
        <f t="shared" si="207"/>
        <v>0.170494648280289</v>
      </c>
      <c r="AT215" s="144">
        <f t="shared" si="207"/>
        <v>0.0934210166443915</v>
      </c>
      <c r="AU215" s="144">
        <f t="shared" si="207"/>
        <v>0.125408768648989</v>
      </c>
      <c r="AV215" s="144">
        <f t="shared" si="207"/>
        <v>0.139202939187708</v>
      </c>
      <c r="AW215" s="144">
        <f t="shared" si="207"/>
        <v>0.117227532722139</v>
      </c>
      <c r="AX215" s="144">
        <f t="shared" si="207"/>
        <v>0.169543297266258</v>
      </c>
      <c r="AY215" s="144">
        <f t="shared" si="207"/>
        <v>0.143992987335907</v>
      </c>
      <c r="AZ215" s="144">
        <f t="shared" si="207"/>
        <v>0.115967555859224</v>
      </c>
      <c r="BA215" s="144">
        <f t="shared" si="207"/>
        <v>0.132100401210898</v>
      </c>
      <c r="BB215" s="9">
        <f t="shared" si="207"/>
        <v>0.140863377694336</v>
      </c>
      <c r="BC215" s="144">
        <f t="shared" si="207"/>
        <v>0.233008867365644</v>
      </c>
      <c r="BD215" s="144">
        <f t="shared" si="207"/>
        <v>0.236714489976678</v>
      </c>
      <c r="BE215" s="144">
        <f t="shared" si="207"/>
        <v>0.275280571011188</v>
      </c>
      <c r="BF215" s="144">
        <f t="shared" si="207"/>
        <v>0.251080466253218</v>
      </c>
      <c r="BG215" s="144">
        <f t="shared" si="207"/>
        <v>0.191658248421406</v>
      </c>
      <c r="BH215" s="144">
        <f t="shared" si="207"/>
        <v>0.262098778985871</v>
      </c>
      <c r="BI215" s="144">
        <f t="shared" si="207"/>
        <v>0.281893235768732</v>
      </c>
      <c r="BJ215" s="144">
        <f t="shared" si="207"/>
        <v>0.200071915030616</v>
      </c>
      <c r="BK215" s="144">
        <f t="shared" si="207"/>
        <v>0.279936458675508</v>
      </c>
      <c r="BL215" s="144">
        <f t="shared" si="207"/>
        <v>0.244519014428274</v>
      </c>
      <c r="BM215" s="144">
        <f t="shared" si="207"/>
        <v>0.16025347382282</v>
      </c>
      <c r="BN215" s="144">
        <f t="shared" si="207"/>
        <v>0.162142767577241</v>
      </c>
      <c r="BO215" s="9">
        <f t="shared" ref="BO215:CT215" si="208">BO3/BO$211</f>
        <v>0.23047798075648</v>
      </c>
      <c r="BP215" s="144">
        <f t="shared" si="208"/>
        <v>0.275146784356933</v>
      </c>
      <c r="BQ215" s="144">
        <f t="shared" si="208"/>
        <v>0.24438543078986</v>
      </c>
      <c r="BR215" s="144">
        <f t="shared" si="208"/>
        <v>0.313474870690706</v>
      </c>
      <c r="BS215" s="144">
        <f t="shared" si="208"/>
        <v>0.254904114405862</v>
      </c>
      <c r="BT215" s="144">
        <f t="shared" si="208"/>
        <v>0.147685952259412</v>
      </c>
      <c r="BU215" s="144">
        <f t="shared" si="208"/>
        <v>0.258198549176148</v>
      </c>
      <c r="BV215" s="144">
        <f t="shared" si="208"/>
        <v>0.258618325193831</v>
      </c>
      <c r="BW215" s="144">
        <f t="shared" si="208"/>
        <v>0.157297163774924</v>
      </c>
      <c r="BX215" s="144">
        <f t="shared" si="208"/>
        <v>0.293249049545276</v>
      </c>
      <c r="BY215" s="144">
        <f t="shared" si="208"/>
        <v>0.174992377361405</v>
      </c>
      <c r="BZ215" s="144">
        <f t="shared" si="208"/>
        <v>0.144463793088133</v>
      </c>
      <c r="CA215" s="144">
        <f t="shared" si="208"/>
        <v>0.242358105406659</v>
      </c>
      <c r="CB215" s="9">
        <f t="shared" si="208"/>
        <v>0.234204766486793</v>
      </c>
      <c r="CC215" s="144">
        <f t="shared" si="208"/>
        <v>0.121613253600663</v>
      </c>
      <c r="CD215" s="144">
        <f t="shared" si="208"/>
        <v>0.206721323921428</v>
      </c>
      <c r="CE215" s="144">
        <f t="shared" si="208"/>
        <v>0.274471508621742</v>
      </c>
      <c r="CF215" s="144">
        <f t="shared" si="208"/>
        <v>0.210106722329374</v>
      </c>
      <c r="CG215" s="144">
        <f t="shared" si="208"/>
        <v>0.164502384191536</v>
      </c>
      <c r="CH215" s="144">
        <f t="shared" si="208"/>
        <v>0.171317322783657</v>
      </c>
      <c r="CI215" s="144">
        <f t="shared" si="208"/>
        <v>0.196267409979935</v>
      </c>
      <c r="CJ215" s="144">
        <f t="shared" si="208"/>
        <v>0.161471690694603</v>
      </c>
      <c r="CK215" s="144">
        <f t="shared" si="208"/>
        <v>0.218212447266754</v>
      </c>
      <c r="CL215" s="144">
        <f t="shared" si="208"/>
        <v>0.204613653955647</v>
      </c>
      <c r="CM215" s="144">
        <f t="shared" si="208"/>
        <v>0.168806902661829</v>
      </c>
      <c r="CN215" s="144">
        <f t="shared" si="208"/>
        <v>0.187004950565674</v>
      </c>
      <c r="CO215" s="9">
        <f t="shared" si="208"/>
        <v>0.184851714218732</v>
      </c>
      <c r="CP215" s="144">
        <f t="shared" si="208"/>
        <v>0.113876757386766</v>
      </c>
      <c r="CQ215" s="144">
        <f t="shared" si="208"/>
        <v>0.12846437549103</v>
      </c>
      <c r="CR215" s="144">
        <f t="shared" si="208"/>
        <v>0.151699535424933</v>
      </c>
      <c r="CS215" s="144">
        <f t="shared" si="208"/>
        <v>0.130581277453792</v>
      </c>
      <c r="CT215" s="144">
        <f t="shared" si="208"/>
        <v>0.0821181500710923</v>
      </c>
      <c r="CU215" s="144">
        <f t="shared" ref="CU215:EB215" si="209">CU3/CU$211</f>
        <v>0.128441663773949</v>
      </c>
      <c r="CV215" s="144">
        <f t="shared" si="209"/>
        <v>0.15379122256297</v>
      </c>
      <c r="CW215" s="144">
        <f t="shared" si="209"/>
        <v>0.0960880685478929</v>
      </c>
      <c r="CX215" s="144">
        <f t="shared" si="209"/>
        <v>0.190668240688906</v>
      </c>
      <c r="CY215" s="144">
        <f t="shared" si="209"/>
        <v>0.133585549421325</v>
      </c>
      <c r="CZ215" s="144">
        <f t="shared" si="209"/>
        <v>0.0859571419438265</v>
      </c>
      <c r="DA215" s="144">
        <f t="shared" si="209"/>
        <v>0.11029367089638</v>
      </c>
      <c r="DB215" s="9">
        <f t="shared" si="209"/>
        <v>0.124956583862378</v>
      </c>
      <c r="DC215" s="144">
        <f t="shared" si="209"/>
        <v>0.301975333293417</v>
      </c>
      <c r="DD215" s="144">
        <f t="shared" si="209"/>
        <v>0.223221701592693</v>
      </c>
      <c r="DE215" s="144">
        <f t="shared" si="209"/>
        <v>0.268633564038606</v>
      </c>
      <c r="DF215" s="144">
        <f t="shared" si="209"/>
        <v>0.276333294302369</v>
      </c>
      <c r="DG215" s="144">
        <f t="shared" si="209"/>
        <v>0.189346238354973</v>
      </c>
      <c r="DH215" s="144">
        <f t="shared" si="209"/>
        <v>0.204458237786384</v>
      </c>
      <c r="DI215" s="144">
        <f t="shared" si="209"/>
        <v>0.190874440199919</v>
      </c>
      <c r="DJ215" s="144">
        <f t="shared" si="209"/>
        <v>0.121190111306742</v>
      </c>
      <c r="DK215" s="144">
        <f t="shared" si="209"/>
        <v>0.181080536759469</v>
      </c>
      <c r="DL215" s="144">
        <f t="shared" si="209"/>
        <v>0.156853406436882</v>
      </c>
      <c r="DM215" s="144">
        <f t="shared" si="209"/>
        <v>0.144619155034748</v>
      </c>
      <c r="DN215" s="144">
        <f t="shared" si="209"/>
        <v>0.18047667779627</v>
      </c>
      <c r="DO215" s="9">
        <f t="shared" si="209"/>
        <v>0.208737080357525</v>
      </c>
      <c r="DP215" s="144">
        <f t="shared" si="209"/>
        <v>0.27864549050193</v>
      </c>
      <c r="DQ215" s="144">
        <f t="shared" si="209"/>
        <v>0.21755292232779</v>
      </c>
      <c r="DR215" s="144">
        <f t="shared" si="209"/>
        <v>0.216341418900278</v>
      </c>
      <c r="DS215" s="144">
        <f t="shared" si="209"/>
        <v>0.227249631856804</v>
      </c>
      <c r="DT215" s="144">
        <f t="shared" si="209"/>
        <v>0.180564594846727</v>
      </c>
      <c r="DU215" s="144">
        <f t="shared" si="209"/>
        <v>0.179663448627633</v>
      </c>
      <c r="DV215" s="144">
        <f t="shared" si="209"/>
        <v>0.173472551640228</v>
      </c>
      <c r="DW215" s="144">
        <f t="shared" si="209"/>
        <v>0.103211841473505</v>
      </c>
      <c r="DX215" s="144">
        <f t="shared" si="209"/>
        <v>0.155658058165505</v>
      </c>
      <c r="DY215" s="144">
        <f t="shared" si="209"/>
        <v>0.146382939121892</v>
      </c>
      <c r="DZ215" s="144">
        <f t="shared" si="209"/>
        <v>0.106220086366346</v>
      </c>
      <c r="EA215" s="144">
        <f t="shared" si="209"/>
        <v>0.124297123755245</v>
      </c>
      <c r="EB215" s="117">
        <f t="shared" si="209"/>
        <v>0.182694481173149</v>
      </c>
      <c r="EC215" s="118"/>
      <c r="ED215" s="117">
        <f t="shared" ref="ED215:FB215" si="210">ED3/ED$211</f>
        <v>0.106461087533304</v>
      </c>
      <c r="EE215" s="117">
        <f t="shared" si="210"/>
        <v>0</v>
      </c>
      <c r="EF215" s="117">
        <f t="shared" si="210"/>
        <v>0.135975518905227</v>
      </c>
      <c r="EG215" s="117" t="e">
        <f t="shared" si="210"/>
        <v>#DIV/0!</v>
      </c>
      <c r="EH215" s="117" t="e">
        <f t="shared" si="210"/>
        <v>#DIV/0!</v>
      </c>
      <c r="EI215" s="117" t="e">
        <f t="shared" si="210"/>
        <v>#DIV/0!</v>
      </c>
      <c r="EJ215" s="117" t="e">
        <f t="shared" si="210"/>
        <v>#DIV/0!</v>
      </c>
      <c r="EK215" s="117" t="e">
        <f t="shared" si="210"/>
        <v>#DIV/0!</v>
      </c>
      <c r="EL215" s="117" t="e">
        <f t="shared" si="210"/>
        <v>#DIV/0!</v>
      </c>
      <c r="EM215" s="117" t="e">
        <f t="shared" si="210"/>
        <v>#DIV/0!</v>
      </c>
      <c r="EN215" s="117" t="e">
        <f t="shared" si="210"/>
        <v>#DIV/0!</v>
      </c>
      <c r="EO215" s="116">
        <f t="shared" si="210"/>
        <v>0.387080710547283</v>
      </c>
      <c r="EP215" s="117">
        <f t="shared" si="210"/>
        <v>0.153418836323956</v>
      </c>
      <c r="EQ215" s="117">
        <f t="shared" si="210"/>
        <v>0.136203930800425</v>
      </c>
      <c r="ER215" s="117">
        <f t="shared" si="210"/>
        <v>0.187262303713832</v>
      </c>
      <c r="ES215" s="117">
        <f t="shared" si="210"/>
        <v>0.147159845991528</v>
      </c>
      <c r="ET215" s="117">
        <f t="shared" si="210"/>
        <v>0.152716820254086</v>
      </c>
      <c r="EU215" s="117">
        <f t="shared" si="210"/>
        <v>0.133024116874061</v>
      </c>
      <c r="EV215" s="117">
        <f t="shared" si="210"/>
        <v>0.144439386242974</v>
      </c>
      <c r="EW215" s="117">
        <f t="shared" si="210"/>
        <v>0.0984477836453198</v>
      </c>
      <c r="EX215" s="117">
        <f t="shared" si="210"/>
        <v>0.142914160436505</v>
      </c>
      <c r="EY215" s="117">
        <f t="shared" si="210"/>
        <v>0.140296252161472</v>
      </c>
      <c r="EZ215" s="117">
        <f t="shared" si="210"/>
        <v>0.1344799886813</v>
      </c>
      <c r="FA215" s="117">
        <f t="shared" si="210"/>
        <v>0.123154982884879</v>
      </c>
      <c r="FB215" s="117">
        <f t="shared" si="210"/>
        <v>0.140764545015627</v>
      </c>
      <c r="FC215" s="118"/>
      <c r="FD215" s="117"/>
      <c r="FE215" s="117"/>
      <c r="FF215" s="117"/>
      <c r="FG215" s="117"/>
      <c r="FH215" s="117"/>
      <c r="FI215" s="117"/>
      <c r="FJ215" s="117"/>
      <c r="FK215" s="117" t="e">
        <f t="shared" ref="FK215:FK278" si="211">FK3/FK$211</f>
        <v>#DIV/0!</v>
      </c>
      <c r="FL215" s="117" t="e">
        <f t="shared" ref="FL215:FL278" si="212">FL3/FL$211</f>
        <v>#DIV/0!</v>
      </c>
      <c r="FM215" s="117" t="e">
        <f t="shared" ref="FM215:FM278" si="213">FM3/FM$211</f>
        <v>#DIV/0!</v>
      </c>
      <c r="FN215" s="117" t="e">
        <f t="shared" ref="FN215:FN278" si="214">FN3/FN$211</f>
        <v>#DIV/0!</v>
      </c>
      <c r="FO215" s="9" t="e">
        <f t="shared" ref="FO215:FO278" si="215">FO3/FO$211</f>
        <v>#DIV/0!</v>
      </c>
      <c r="FP215" s="118">
        <f t="shared" ref="FP215:GB215" si="216">FP3/FP$211</f>
        <v>0.24060441531879</v>
      </c>
      <c r="FQ215" s="117">
        <f t="shared" si="216"/>
        <v>0.203530606005573</v>
      </c>
      <c r="FR215" s="117">
        <f t="shared" si="216"/>
        <v>0.400761591682081</v>
      </c>
      <c r="FS215" s="117">
        <f t="shared" si="216"/>
        <v>0.26093360194689</v>
      </c>
      <c r="FT215" s="117">
        <f t="shared" si="216"/>
        <v>0.13189840228675</v>
      </c>
      <c r="FU215" s="117">
        <f t="shared" si="216"/>
        <v>0.210772154695673</v>
      </c>
      <c r="FV215" s="117">
        <f t="shared" si="216"/>
        <v>0.253259391581205</v>
      </c>
      <c r="FW215" s="117">
        <f t="shared" si="216"/>
        <v>0.118416168657214</v>
      </c>
      <c r="FX215" s="117">
        <f t="shared" si="216"/>
        <v>0.257150237712922</v>
      </c>
      <c r="FY215" s="117">
        <f t="shared" si="216"/>
        <v>0.18092955681589</v>
      </c>
      <c r="FZ215" s="117">
        <f t="shared" si="216"/>
        <v>0.156765938468276</v>
      </c>
      <c r="GA215" s="117">
        <f t="shared" si="216"/>
        <v>0.250566525389439</v>
      </c>
      <c r="GB215" s="116">
        <f t="shared" si="216"/>
        <v>0.225971646147539</v>
      </c>
    </row>
    <row r="216" spans="1:186">
      <c r="A216" s="147" t="s">
        <v>31</v>
      </c>
      <c r="B216" s="160">
        <f t="shared" ref="B216:B279" si="217">O4/B4-1</f>
        <v>-0.504782217724136</v>
      </c>
      <c r="C216" s="117">
        <f t="shared" ref="C216:AH216" si="218">C4/C$211</f>
        <v>0.0884452736794326</v>
      </c>
      <c r="D216" s="117">
        <f t="shared" si="218"/>
        <v>0.082152993853451</v>
      </c>
      <c r="E216" s="117">
        <f t="shared" si="218"/>
        <v>0.0816975538465215</v>
      </c>
      <c r="F216" s="117">
        <f t="shared" si="218"/>
        <v>0.067529522984331</v>
      </c>
      <c r="G216" s="117">
        <f t="shared" si="218"/>
        <v>0.166800305564426</v>
      </c>
      <c r="H216" s="117">
        <f t="shared" si="218"/>
        <v>0.111961985519928</v>
      </c>
      <c r="I216" s="117">
        <f t="shared" si="218"/>
        <v>0.077794388976658</v>
      </c>
      <c r="J216" s="117">
        <f t="shared" si="218"/>
        <v>0.122926689901917</v>
      </c>
      <c r="K216" s="117">
        <f t="shared" si="218"/>
        <v>0.0926330199450415</v>
      </c>
      <c r="L216" s="117">
        <f t="shared" si="218"/>
        <v>0.102510342939049</v>
      </c>
      <c r="M216" s="117">
        <f t="shared" si="218"/>
        <v>0.0990149997811594</v>
      </c>
      <c r="N216" s="117">
        <f t="shared" si="218"/>
        <v>0.0649688574994512</v>
      </c>
      <c r="O216" s="9">
        <f t="shared" si="218"/>
        <v>0.095023113287653</v>
      </c>
      <c r="P216" s="117">
        <f t="shared" si="218"/>
        <v>0.0752926273381949</v>
      </c>
      <c r="Q216" s="117">
        <f t="shared" si="218"/>
        <v>0.0712027014780905</v>
      </c>
      <c r="R216" s="117">
        <f t="shared" si="218"/>
        <v>0.0635994963836079</v>
      </c>
      <c r="S216" s="117">
        <f t="shared" si="218"/>
        <v>0.0628267045897623</v>
      </c>
      <c r="T216" s="117">
        <f t="shared" si="218"/>
        <v>0.0797365301004617</v>
      </c>
      <c r="U216" s="117">
        <f t="shared" si="218"/>
        <v>0.0687582651000782</v>
      </c>
      <c r="V216" s="117">
        <f t="shared" si="218"/>
        <v>0.0583112121216655</v>
      </c>
      <c r="W216" s="117">
        <f t="shared" si="218"/>
        <v>0.0823249836415235</v>
      </c>
      <c r="X216" s="117">
        <f t="shared" si="218"/>
        <v>0.0756000010032605</v>
      </c>
      <c r="Y216" s="117">
        <f t="shared" si="218"/>
        <v>0.07747902048182</v>
      </c>
      <c r="Z216" s="117">
        <f t="shared" si="218"/>
        <v>0.0766078131509232</v>
      </c>
      <c r="AA216" s="117">
        <f t="shared" si="218"/>
        <v>0.0692897740511562</v>
      </c>
      <c r="AB216" s="9">
        <f t="shared" si="218"/>
        <v>0.0721652429625779</v>
      </c>
      <c r="AC216" s="117">
        <f t="shared" si="218"/>
        <v>0.0978421171850748</v>
      </c>
      <c r="AD216" s="117">
        <f t="shared" si="218"/>
        <v>0.0775363030772022</v>
      </c>
      <c r="AE216" s="117">
        <f t="shared" si="218"/>
        <v>0.0737110232742927</v>
      </c>
      <c r="AF216" s="117">
        <f t="shared" si="218"/>
        <v>0.0634166598416679</v>
      </c>
      <c r="AG216" s="117">
        <f t="shared" si="218"/>
        <v>0.0803703727579463</v>
      </c>
      <c r="AH216" s="117">
        <f t="shared" si="218"/>
        <v>0.0846888779271179</v>
      </c>
      <c r="AI216" s="117">
        <f t="shared" ref="AI216:BN216" si="219">AI4/AI$211</f>
        <v>0.072221940825057</v>
      </c>
      <c r="AJ216" s="117">
        <f t="shared" si="219"/>
        <v>0.0587449623657663</v>
      </c>
      <c r="AK216" s="117">
        <f t="shared" si="219"/>
        <v>0.0614390973886138</v>
      </c>
      <c r="AL216" s="117">
        <f t="shared" si="219"/>
        <v>0.0608845423380375</v>
      </c>
      <c r="AM216" s="117">
        <f t="shared" si="219"/>
        <v>0.0688912870913623</v>
      </c>
      <c r="AN216" s="117">
        <f t="shared" si="219"/>
        <v>0.0409343724172573</v>
      </c>
      <c r="AO216" s="9">
        <f t="shared" si="219"/>
        <v>0.0690857512562132</v>
      </c>
      <c r="AP216" s="144">
        <f t="shared" si="219"/>
        <v>0.179483556610289</v>
      </c>
      <c r="AQ216" s="144">
        <f t="shared" si="219"/>
        <v>0.147764415788212</v>
      </c>
      <c r="AR216" s="144">
        <f t="shared" si="219"/>
        <v>0.191577841992913</v>
      </c>
      <c r="AS216" s="144">
        <f t="shared" si="219"/>
        <v>0.140049175988686</v>
      </c>
      <c r="AT216" s="144">
        <f t="shared" si="219"/>
        <v>0.220704539272135</v>
      </c>
      <c r="AU216" s="144">
        <f t="shared" si="219"/>
        <v>0.144361825808089</v>
      </c>
      <c r="AV216" s="144">
        <f t="shared" si="219"/>
        <v>0.118877961084875</v>
      </c>
      <c r="AW216" s="144">
        <f t="shared" si="219"/>
        <v>0.160953210035488</v>
      </c>
      <c r="AX216" s="144">
        <f t="shared" si="219"/>
        <v>0.126891655764949</v>
      </c>
      <c r="AY216" s="144">
        <f t="shared" si="219"/>
        <v>0.117961221032362</v>
      </c>
      <c r="AZ216" s="144">
        <f t="shared" si="219"/>
        <v>0.119067749913954</v>
      </c>
      <c r="BA216" s="144">
        <f t="shared" si="219"/>
        <v>0.0758332562882984</v>
      </c>
      <c r="BB216" s="9">
        <f t="shared" si="219"/>
        <v>0.142907583857713</v>
      </c>
      <c r="BC216" s="144">
        <f t="shared" si="219"/>
        <v>0.0753862608780422</v>
      </c>
      <c r="BD216" s="144">
        <f t="shared" si="219"/>
        <v>0.0674287592352611</v>
      </c>
      <c r="BE216" s="144">
        <f t="shared" si="219"/>
        <v>0.0725604480385835</v>
      </c>
      <c r="BF216" s="144">
        <f t="shared" si="219"/>
        <v>0.0521020063674688</v>
      </c>
      <c r="BG216" s="144">
        <f t="shared" si="219"/>
        <v>0.171375201680768</v>
      </c>
      <c r="BH216" s="144">
        <f t="shared" si="219"/>
        <v>0.146919541793827</v>
      </c>
      <c r="BI216" s="144">
        <f t="shared" si="219"/>
        <v>0.0768320681592526</v>
      </c>
      <c r="BJ216" s="144">
        <f t="shared" si="219"/>
        <v>0.104058853914988</v>
      </c>
      <c r="BK216" s="144">
        <f t="shared" si="219"/>
        <v>0.0749207455207325</v>
      </c>
      <c r="BL216" s="144">
        <f t="shared" si="219"/>
        <v>0.0754238273808539</v>
      </c>
      <c r="BM216" s="144">
        <f t="shared" si="219"/>
        <v>0.108123353313341</v>
      </c>
      <c r="BN216" s="144">
        <f t="shared" si="219"/>
        <v>0.0649434816303277</v>
      </c>
      <c r="BO216" s="9">
        <f t="shared" ref="BO216:CT216" si="220">BO4/BO$211</f>
        <v>0.0879258176527135</v>
      </c>
      <c r="BP216" s="144">
        <f t="shared" si="220"/>
        <v>0.0966195768527989</v>
      </c>
      <c r="BQ216" s="144">
        <f t="shared" si="220"/>
        <v>0.11609009038119</v>
      </c>
      <c r="BR216" s="144">
        <f t="shared" si="220"/>
        <v>0.113223313216556</v>
      </c>
      <c r="BS216" s="144">
        <f t="shared" si="220"/>
        <v>0.0977477899816411</v>
      </c>
      <c r="BT216" s="144">
        <f t="shared" si="220"/>
        <v>0.204258899086905</v>
      </c>
      <c r="BU216" s="144">
        <f t="shared" si="220"/>
        <v>0.139021530899816</v>
      </c>
      <c r="BV216" s="144">
        <f t="shared" si="220"/>
        <v>0.0991826488857084</v>
      </c>
      <c r="BW216" s="144">
        <f t="shared" si="220"/>
        <v>0.192944738467903</v>
      </c>
      <c r="BX216" s="144">
        <f t="shared" si="220"/>
        <v>0.114192258610808</v>
      </c>
      <c r="BY216" s="144">
        <f t="shared" si="220"/>
        <v>0.146629852074481</v>
      </c>
      <c r="BZ216" s="144">
        <f t="shared" si="220"/>
        <v>0.140916869238391</v>
      </c>
      <c r="CA216" s="144">
        <f t="shared" si="220"/>
        <v>0.107708172141806</v>
      </c>
      <c r="CB216" s="9">
        <f t="shared" si="220"/>
        <v>0.127753538838637</v>
      </c>
      <c r="CC216" s="144">
        <f t="shared" si="220"/>
        <v>0.225198191724568</v>
      </c>
      <c r="CD216" s="144">
        <f t="shared" si="220"/>
        <v>0.0944918003415659</v>
      </c>
      <c r="CE216" s="144">
        <f t="shared" si="220"/>
        <v>0.0820754718528579</v>
      </c>
      <c r="CF216" s="144">
        <f t="shared" si="220"/>
        <v>0.0880796245619744</v>
      </c>
      <c r="CG216" s="144">
        <f t="shared" si="220"/>
        <v>0.134561454699459</v>
      </c>
      <c r="CH216" s="144">
        <f t="shared" si="220"/>
        <v>0.112087953756771</v>
      </c>
      <c r="CI216" s="144">
        <f t="shared" si="220"/>
        <v>0.116433716054649</v>
      </c>
      <c r="CJ216" s="144">
        <f t="shared" si="220"/>
        <v>0.0897071548328815</v>
      </c>
      <c r="CK216" s="144">
        <f t="shared" si="220"/>
        <v>0.0894839127249328</v>
      </c>
      <c r="CL216" s="144">
        <f t="shared" si="220"/>
        <v>0.0904532904811988</v>
      </c>
      <c r="CM216" s="144">
        <f t="shared" si="220"/>
        <v>0.0983026012183043</v>
      </c>
      <c r="CN216" s="144">
        <f t="shared" si="220"/>
        <v>0.0632318826192868</v>
      </c>
      <c r="CO216" s="9">
        <f t="shared" si="220"/>
        <v>0.112928899037182</v>
      </c>
      <c r="CP216" s="144">
        <f t="shared" si="220"/>
        <v>0.113665079390991</v>
      </c>
      <c r="CQ216" s="144">
        <f t="shared" si="220"/>
        <v>0.0878798674622265</v>
      </c>
      <c r="CR216" s="144">
        <f t="shared" si="220"/>
        <v>0.100929032374041</v>
      </c>
      <c r="CS216" s="144">
        <f t="shared" si="220"/>
        <v>0.075164425656036</v>
      </c>
      <c r="CT216" s="144">
        <f t="shared" si="220"/>
        <v>0.213015916623671</v>
      </c>
      <c r="CU216" s="144">
        <f t="shared" ref="CU216:EB216" si="221">CU4/CU$211</f>
        <v>0.168521002804355</v>
      </c>
      <c r="CV216" s="144">
        <f t="shared" si="221"/>
        <v>0.0983368524096156</v>
      </c>
      <c r="CW216" s="144">
        <f t="shared" si="221"/>
        <v>0.133653791421863</v>
      </c>
      <c r="CX216" s="144">
        <f t="shared" si="221"/>
        <v>0.10642543726159</v>
      </c>
      <c r="CY216" s="144">
        <f t="shared" si="221"/>
        <v>0.0976939710026287</v>
      </c>
      <c r="CZ216" s="144">
        <f t="shared" si="221"/>
        <v>0.149969101715504</v>
      </c>
      <c r="DA216" s="144">
        <f t="shared" si="221"/>
        <v>0.0946233521547756</v>
      </c>
      <c r="DB216" s="9">
        <f t="shared" si="221"/>
        <v>0.118907010774477</v>
      </c>
      <c r="DC216" s="144">
        <f t="shared" si="221"/>
        <v>0.0777385372623206</v>
      </c>
      <c r="DD216" s="144">
        <f t="shared" si="221"/>
        <v>0.0462968723730242</v>
      </c>
      <c r="DE216" s="144">
        <f t="shared" si="221"/>
        <v>0.0493843925861039</v>
      </c>
      <c r="DF216" s="144">
        <f t="shared" si="221"/>
        <v>0.0432527565626843</v>
      </c>
      <c r="DG216" s="144">
        <f t="shared" si="221"/>
        <v>0.0937580348215272</v>
      </c>
      <c r="DH216" s="144">
        <f t="shared" si="221"/>
        <v>0.0932926041522918</v>
      </c>
      <c r="DI216" s="144">
        <f t="shared" si="221"/>
        <v>0.0614673141877842</v>
      </c>
      <c r="DJ216" s="144">
        <f t="shared" si="221"/>
        <v>0.0882813847710584</v>
      </c>
      <c r="DK216" s="144">
        <f t="shared" si="221"/>
        <v>0.0665544092192294</v>
      </c>
      <c r="DL216" s="144">
        <f t="shared" si="221"/>
        <v>0.0489841873002642</v>
      </c>
      <c r="DM216" s="144">
        <f t="shared" si="221"/>
        <v>0.0728962269280063</v>
      </c>
      <c r="DN216" s="144">
        <f t="shared" si="221"/>
        <v>0.0363610677527505</v>
      </c>
      <c r="DO216" s="9">
        <f t="shared" si="221"/>
        <v>0.0645605578528435</v>
      </c>
      <c r="DP216" s="144">
        <f t="shared" si="221"/>
        <v>0.0862300475482594</v>
      </c>
      <c r="DQ216" s="144">
        <f t="shared" si="221"/>
        <v>0.0668260310009032</v>
      </c>
      <c r="DR216" s="144">
        <f t="shared" si="221"/>
        <v>0.0656299228634133</v>
      </c>
      <c r="DS216" s="144">
        <f t="shared" si="221"/>
        <v>0.0463081988258893</v>
      </c>
      <c r="DT216" s="144">
        <f t="shared" si="221"/>
        <v>0.0920118345732294</v>
      </c>
      <c r="DU216" s="144">
        <f t="shared" si="221"/>
        <v>0.0915025357219109</v>
      </c>
      <c r="DV216" s="144">
        <f t="shared" si="221"/>
        <v>0.0607904255501948</v>
      </c>
      <c r="DW216" s="144">
        <f t="shared" si="221"/>
        <v>0.0806161505069256</v>
      </c>
      <c r="DX216" s="144">
        <f t="shared" si="221"/>
        <v>0.0681462651275776</v>
      </c>
      <c r="DY216" s="144">
        <f t="shared" si="221"/>
        <v>0.0746266595873317</v>
      </c>
      <c r="DZ216" s="144">
        <f t="shared" si="221"/>
        <v>0.0998080129721934</v>
      </c>
      <c r="EA216" s="144">
        <f t="shared" si="221"/>
        <v>0.0494886997055974</v>
      </c>
      <c r="EB216" s="117">
        <f t="shared" si="221"/>
        <v>0.073814171877922</v>
      </c>
      <c r="EC216" s="118"/>
      <c r="ED216" s="117">
        <f t="shared" ref="ED216:FB216" si="222">ED4/ED$211</f>
        <v>0.0799742585397742</v>
      </c>
      <c r="EE216" s="117">
        <f t="shared" si="222"/>
        <v>0</v>
      </c>
      <c r="EF216" s="117">
        <f t="shared" si="222"/>
        <v>0</v>
      </c>
      <c r="EG216" s="117" t="e">
        <f t="shared" si="222"/>
        <v>#DIV/0!</v>
      </c>
      <c r="EH216" s="117" t="e">
        <f t="shared" si="222"/>
        <v>#DIV/0!</v>
      </c>
      <c r="EI216" s="117" t="e">
        <f t="shared" si="222"/>
        <v>#DIV/0!</v>
      </c>
      <c r="EJ216" s="117" t="e">
        <f t="shared" si="222"/>
        <v>#DIV/0!</v>
      </c>
      <c r="EK216" s="117" t="e">
        <f t="shared" si="222"/>
        <v>#DIV/0!</v>
      </c>
      <c r="EL216" s="117" t="e">
        <f t="shared" si="222"/>
        <v>#DIV/0!</v>
      </c>
      <c r="EM216" s="117" t="e">
        <f t="shared" si="222"/>
        <v>#DIV/0!</v>
      </c>
      <c r="EN216" s="117" t="e">
        <f t="shared" si="222"/>
        <v>#DIV/0!</v>
      </c>
      <c r="EO216" s="116">
        <f t="shared" si="222"/>
        <v>0.0725350544541393</v>
      </c>
      <c r="EP216" s="117">
        <f t="shared" si="222"/>
        <v>0.0970646939159695</v>
      </c>
      <c r="EQ216" s="117">
        <f t="shared" si="222"/>
        <v>0.0825474129801321</v>
      </c>
      <c r="ER216" s="117">
        <f t="shared" si="222"/>
        <v>0.0802225941913445</v>
      </c>
      <c r="ES216" s="117">
        <f t="shared" si="222"/>
        <v>0.0695642772375863</v>
      </c>
      <c r="ET216" s="117">
        <f t="shared" si="222"/>
        <v>0.102723806844327</v>
      </c>
      <c r="EU216" s="117">
        <f t="shared" si="222"/>
        <v>0.0625594374589647</v>
      </c>
      <c r="EV216" s="117">
        <f t="shared" si="222"/>
        <v>0.0730829188114512</v>
      </c>
      <c r="EW216" s="117">
        <f t="shared" si="222"/>
        <v>0.0961392055269581</v>
      </c>
      <c r="EX216" s="117">
        <f t="shared" si="222"/>
        <v>0.0892589590548878</v>
      </c>
      <c r="EY216" s="117">
        <f t="shared" si="222"/>
        <v>0.0555788177863934</v>
      </c>
      <c r="EZ216" s="117">
        <f t="shared" si="222"/>
        <v>0.0865552304792708</v>
      </c>
      <c r="FA216" s="117">
        <f t="shared" si="222"/>
        <v>0.0533524088721566</v>
      </c>
      <c r="FB216" s="117">
        <f t="shared" si="222"/>
        <v>0.0782536298880898</v>
      </c>
      <c r="FC216" s="118"/>
      <c r="FD216" s="117"/>
      <c r="FE216" s="117"/>
      <c r="FF216" s="117"/>
      <c r="FG216" s="117"/>
      <c r="FH216" s="117"/>
      <c r="FI216" s="117"/>
      <c r="FJ216" s="117"/>
      <c r="FK216" s="117" t="e">
        <f t="shared" si="211"/>
        <v>#DIV/0!</v>
      </c>
      <c r="FL216" s="117" t="e">
        <f t="shared" si="212"/>
        <v>#DIV/0!</v>
      </c>
      <c r="FM216" s="117" t="e">
        <f t="shared" si="213"/>
        <v>#DIV/0!</v>
      </c>
      <c r="FN216" s="117" t="e">
        <f t="shared" si="214"/>
        <v>#DIV/0!</v>
      </c>
      <c r="FO216" s="9" t="e">
        <f t="shared" si="215"/>
        <v>#DIV/0!</v>
      </c>
      <c r="FP216" s="118">
        <f t="shared" ref="FP216:GB216" si="223">FP4/FP$211</f>
        <v>0.0511950774336763</v>
      </c>
      <c r="FQ216" s="117">
        <f t="shared" si="223"/>
        <v>0.0508151283062701</v>
      </c>
      <c r="FR216" s="117">
        <f t="shared" si="223"/>
        <v>0.0418035392237112</v>
      </c>
      <c r="FS216" s="117">
        <f t="shared" si="223"/>
        <v>0.0360118936755525</v>
      </c>
      <c r="FT216" s="117">
        <f t="shared" si="223"/>
        <v>0.22572235849445</v>
      </c>
      <c r="FU216" s="117">
        <f t="shared" si="223"/>
        <v>0.0954488030476301</v>
      </c>
      <c r="FV216" s="117">
        <f t="shared" si="223"/>
        <v>0.0566835472149089</v>
      </c>
      <c r="FW216" s="117">
        <f t="shared" si="223"/>
        <v>0.134661621666908</v>
      </c>
      <c r="FX216" s="117">
        <f t="shared" si="223"/>
        <v>0.0988702133726251</v>
      </c>
      <c r="FY216" s="117">
        <f t="shared" si="223"/>
        <v>0.1237370796322</v>
      </c>
      <c r="FZ216" s="117">
        <f t="shared" si="223"/>
        <v>0.0700617087308971</v>
      </c>
      <c r="GA216" s="117">
        <f t="shared" si="223"/>
        <v>0.0410702957880282</v>
      </c>
      <c r="GB216" s="116">
        <f t="shared" si="223"/>
        <v>0.0792161097728024</v>
      </c>
    </row>
    <row r="217" spans="1:186">
      <c r="A217" s="147" t="s">
        <v>33</v>
      </c>
      <c r="B217" s="160">
        <f t="shared" si="217"/>
        <v>-0.579035442731349</v>
      </c>
      <c r="C217" s="117">
        <f t="shared" ref="C217:AH217" si="224">C5/C$211</f>
        <v>0.0469816108668076</v>
      </c>
      <c r="D217" s="117">
        <f t="shared" si="224"/>
        <v>0.0467696643123402</v>
      </c>
      <c r="E217" s="117">
        <f t="shared" si="224"/>
        <v>0.0602954836374699</v>
      </c>
      <c r="F217" s="117">
        <f t="shared" si="224"/>
        <v>0.0594387430049139</v>
      </c>
      <c r="G217" s="117">
        <f t="shared" si="224"/>
        <v>0.0461461015094814</v>
      </c>
      <c r="H217" s="117">
        <f t="shared" si="224"/>
        <v>0.0577755529692008</v>
      </c>
      <c r="I217" s="117">
        <f t="shared" si="224"/>
        <v>0.0384802412767044</v>
      </c>
      <c r="J217" s="117">
        <f t="shared" si="224"/>
        <v>0.0333262432042968</v>
      </c>
      <c r="K217" s="117">
        <f t="shared" si="224"/>
        <v>0.04953550533504</v>
      </c>
      <c r="L217" s="117">
        <f t="shared" si="224"/>
        <v>0.0762969148335581</v>
      </c>
      <c r="M217" s="117">
        <f t="shared" si="224"/>
        <v>0.0727898622248219</v>
      </c>
      <c r="N217" s="117">
        <f t="shared" si="224"/>
        <v>0.0484700839133227</v>
      </c>
      <c r="O217" s="9">
        <f t="shared" si="224"/>
        <v>0.0528476044285783</v>
      </c>
      <c r="P217" s="117">
        <f t="shared" si="224"/>
        <v>0.0347260672403263</v>
      </c>
      <c r="Q217" s="117">
        <f t="shared" si="224"/>
        <v>0.0281346718911513</v>
      </c>
      <c r="R217" s="117">
        <f t="shared" si="224"/>
        <v>0.0286361127211604</v>
      </c>
      <c r="S217" s="117">
        <f t="shared" si="224"/>
        <v>0.0350388972364243</v>
      </c>
      <c r="T217" s="117">
        <f t="shared" si="224"/>
        <v>0.0286947879655109</v>
      </c>
      <c r="U217" s="117">
        <f t="shared" si="224"/>
        <v>0.043349633738868</v>
      </c>
      <c r="V217" s="117">
        <f t="shared" si="224"/>
        <v>0.0375450226332807</v>
      </c>
      <c r="W217" s="117">
        <f t="shared" si="224"/>
        <v>0.0216659655395792</v>
      </c>
      <c r="X217" s="117">
        <f t="shared" si="224"/>
        <v>0.024299378989478</v>
      </c>
      <c r="Y217" s="117">
        <f t="shared" si="224"/>
        <v>0.0315457366773891</v>
      </c>
      <c r="Z217" s="117">
        <f t="shared" si="224"/>
        <v>0.0449417417974247</v>
      </c>
      <c r="AA217" s="117">
        <f t="shared" si="224"/>
        <v>0.0473146298839701</v>
      </c>
      <c r="AB217" s="9">
        <f t="shared" si="224"/>
        <v>0.0336730190170108</v>
      </c>
      <c r="AC217" s="117">
        <f t="shared" si="224"/>
        <v>0.0386729944741494</v>
      </c>
      <c r="AD217" s="117">
        <f t="shared" si="224"/>
        <v>0.0302766608956354</v>
      </c>
      <c r="AE217" s="117">
        <f t="shared" si="224"/>
        <v>0.0309480818951187</v>
      </c>
      <c r="AF217" s="117">
        <f t="shared" si="224"/>
        <v>0.0335462565573888</v>
      </c>
      <c r="AG217" s="117">
        <f t="shared" si="224"/>
        <v>0.0294254151112712</v>
      </c>
      <c r="AH217" s="117">
        <f t="shared" si="224"/>
        <v>0.0402087057028547</v>
      </c>
      <c r="AI217" s="117">
        <f t="shared" ref="AI217:BN217" si="225">AI5/AI$211</f>
        <v>0.0327403079523058</v>
      </c>
      <c r="AJ217" s="117">
        <f t="shared" si="225"/>
        <v>0.022407448791819</v>
      </c>
      <c r="AK217" s="117">
        <f t="shared" si="225"/>
        <v>0.0252279613672243</v>
      </c>
      <c r="AL217" s="117">
        <f t="shared" si="225"/>
        <v>0.0397985795522578</v>
      </c>
      <c r="AM217" s="117">
        <f t="shared" si="225"/>
        <v>0.0337304893681462</v>
      </c>
      <c r="AN217" s="117">
        <f t="shared" si="225"/>
        <v>0.0299749282307829</v>
      </c>
      <c r="AO217" s="9">
        <f t="shared" si="225"/>
        <v>0.0319792272524772</v>
      </c>
      <c r="AP217" s="144">
        <f t="shared" si="225"/>
        <v>0.0461651073481842</v>
      </c>
      <c r="AQ217" s="144">
        <f t="shared" si="225"/>
        <v>0.0399300244907815</v>
      </c>
      <c r="AR217" s="144">
        <f t="shared" si="225"/>
        <v>0.0568440760865773</v>
      </c>
      <c r="AS217" s="144">
        <f t="shared" si="225"/>
        <v>0.0450008394690642</v>
      </c>
      <c r="AT217" s="144">
        <f t="shared" si="225"/>
        <v>0.0337356280016912</v>
      </c>
      <c r="AU217" s="144">
        <f t="shared" si="225"/>
        <v>0.0668370309696339</v>
      </c>
      <c r="AV217" s="144">
        <f t="shared" si="225"/>
        <v>0.0311942245627983</v>
      </c>
      <c r="AW217" s="144">
        <f t="shared" si="225"/>
        <v>0.0355717920734096</v>
      </c>
      <c r="AX217" s="144">
        <f t="shared" si="225"/>
        <v>0.0285420116426091</v>
      </c>
      <c r="AY217" s="144">
        <f t="shared" si="225"/>
        <v>0.0612139521972952</v>
      </c>
      <c r="AZ217" s="144">
        <f t="shared" si="225"/>
        <v>0.0601566817983292</v>
      </c>
      <c r="BA217" s="144">
        <f t="shared" si="225"/>
        <v>0.0297828952951233</v>
      </c>
      <c r="BB217" s="9">
        <f t="shared" si="225"/>
        <v>0.0442364263223825</v>
      </c>
      <c r="BC217" s="144">
        <f t="shared" si="225"/>
        <v>0.0453733419225078</v>
      </c>
      <c r="BD217" s="144">
        <f t="shared" si="225"/>
        <v>0.0298506997331839</v>
      </c>
      <c r="BE217" s="144">
        <f t="shared" si="225"/>
        <v>0.0442209488956032</v>
      </c>
      <c r="BF217" s="144">
        <f t="shared" si="225"/>
        <v>0.0473072997075666</v>
      </c>
      <c r="BG217" s="144">
        <f t="shared" si="225"/>
        <v>0.0347829112438906</v>
      </c>
      <c r="BH217" s="144">
        <f t="shared" si="225"/>
        <v>0.0421340377460413</v>
      </c>
      <c r="BI217" s="144">
        <f t="shared" si="225"/>
        <v>0.0273607752119196</v>
      </c>
      <c r="BJ217" s="144">
        <f t="shared" si="225"/>
        <v>0.0245316635108268</v>
      </c>
      <c r="BK217" s="144">
        <f t="shared" si="225"/>
        <v>0.0302495406430747</v>
      </c>
      <c r="BL217" s="144">
        <f t="shared" si="225"/>
        <v>0.0481459199753134</v>
      </c>
      <c r="BM217" s="144">
        <f t="shared" si="225"/>
        <v>0.0337983183623064</v>
      </c>
      <c r="BN217" s="144">
        <f t="shared" si="225"/>
        <v>0.0450921452419585</v>
      </c>
      <c r="BO217" s="9">
        <f t="shared" ref="BO217:CT217" si="226">BO5/BO$211</f>
        <v>0.0374776560833</v>
      </c>
      <c r="BP217" s="144">
        <f t="shared" si="226"/>
        <v>0.0681224662768743</v>
      </c>
      <c r="BQ217" s="144">
        <f t="shared" si="226"/>
        <v>0.0669180663229158</v>
      </c>
      <c r="BR217" s="144">
        <f t="shared" si="226"/>
        <v>0.104352295281561</v>
      </c>
      <c r="BS217" s="144">
        <f t="shared" si="226"/>
        <v>0.0967137523153792</v>
      </c>
      <c r="BT217" s="144">
        <f t="shared" si="226"/>
        <v>0.0857856520519655</v>
      </c>
      <c r="BU217" s="144">
        <f t="shared" si="226"/>
        <v>0.0930801145398427</v>
      </c>
      <c r="BV217" s="144">
        <f t="shared" si="226"/>
        <v>0.0503947795476651</v>
      </c>
      <c r="BW217" s="144">
        <f t="shared" si="226"/>
        <v>0.0477619904489907</v>
      </c>
      <c r="BX217" s="144">
        <f t="shared" si="226"/>
        <v>0.117212667582868</v>
      </c>
      <c r="BY217" s="144">
        <f t="shared" si="226"/>
        <v>0.135437504142887</v>
      </c>
      <c r="BZ217" s="144">
        <f t="shared" si="226"/>
        <v>0.110851902859654</v>
      </c>
      <c r="CA217" s="144">
        <f t="shared" si="226"/>
        <v>0.0932699925121187</v>
      </c>
      <c r="CB217" s="9">
        <f t="shared" si="226"/>
        <v>0.0880308082398073</v>
      </c>
      <c r="CC217" s="144">
        <f t="shared" si="226"/>
        <v>0.0291971652734256</v>
      </c>
      <c r="CD217" s="144">
        <f t="shared" si="226"/>
        <v>0.0736851003012092</v>
      </c>
      <c r="CE217" s="144">
        <f t="shared" si="226"/>
        <v>0.0564630709808251</v>
      </c>
      <c r="CF217" s="144">
        <f t="shared" si="226"/>
        <v>0.0515879609850297</v>
      </c>
      <c r="CG217" s="144">
        <f t="shared" si="226"/>
        <v>0.0476051186422313</v>
      </c>
      <c r="CH217" s="144">
        <f t="shared" si="226"/>
        <v>0.0648164058662706</v>
      </c>
      <c r="CI217" s="144">
        <f t="shared" si="226"/>
        <v>0.0600377533671435</v>
      </c>
      <c r="CJ217" s="144">
        <f t="shared" si="226"/>
        <v>0.0446499127828424</v>
      </c>
      <c r="CK217" s="144">
        <f t="shared" si="226"/>
        <v>0.048470587925968</v>
      </c>
      <c r="CL217" s="144">
        <f t="shared" si="226"/>
        <v>0.0606234144633286</v>
      </c>
      <c r="CM217" s="144">
        <f t="shared" si="226"/>
        <v>0.0726032806661129</v>
      </c>
      <c r="CN217" s="144">
        <f t="shared" si="226"/>
        <v>0.0701915242403879</v>
      </c>
      <c r="CO217" s="9">
        <f t="shared" si="226"/>
        <v>0.0547283673963481</v>
      </c>
      <c r="CP217" s="144">
        <f t="shared" si="226"/>
        <v>0.0293010692018658</v>
      </c>
      <c r="CQ217" s="144">
        <f t="shared" si="226"/>
        <v>0.0285991042160985</v>
      </c>
      <c r="CR217" s="144">
        <f t="shared" si="226"/>
        <v>0.032881006841506</v>
      </c>
      <c r="CS217" s="144">
        <f t="shared" si="226"/>
        <v>0.0391346895144122</v>
      </c>
      <c r="CT217" s="144">
        <f t="shared" si="226"/>
        <v>0.0285099238212675</v>
      </c>
      <c r="CU217" s="144">
        <f t="shared" ref="CU217:EB217" si="227">CU5/CU$211</f>
        <v>0.0385018471153986</v>
      </c>
      <c r="CV217" s="144">
        <f t="shared" si="227"/>
        <v>0.0301390959251735</v>
      </c>
      <c r="CW217" s="144">
        <f t="shared" si="227"/>
        <v>0.0275726553939902</v>
      </c>
      <c r="CX217" s="144">
        <f t="shared" si="227"/>
        <v>0.0319881553603157</v>
      </c>
      <c r="CY217" s="144">
        <f t="shared" si="227"/>
        <v>0.0580128079973341</v>
      </c>
      <c r="CZ217" s="144">
        <f t="shared" si="227"/>
        <v>0.0378041727281685</v>
      </c>
      <c r="DA217" s="144">
        <f t="shared" si="227"/>
        <v>0.0443567505874493</v>
      </c>
      <c r="DB217" s="9">
        <f t="shared" si="227"/>
        <v>0.0349874296758752</v>
      </c>
      <c r="DC217" s="144">
        <f t="shared" si="227"/>
        <v>0.037094219739225</v>
      </c>
      <c r="DD217" s="144">
        <f t="shared" si="227"/>
        <v>0.0266655727405293</v>
      </c>
      <c r="DE217" s="144">
        <f t="shared" si="227"/>
        <v>0.0404390194477152</v>
      </c>
      <c r="DF217" s="144">
        <f t="shared" si="227"/>
        <v>0.0477871326628427</v>
      </c>
      <c r="DG217" s="144">
        <f t="shared" si="227"/>
        <v>0.0340486309531145</v>
      </c>
      <c r="DH217" s="144">
        <f t="shared" si="227"/>
        <v>0.103937953450407</v>
      </c>
      <c r="DI217" s="144">
        <f t="shared" si="227"/>
        <v>0.0548939437002073</v>
      </c>
      <c r="DJ217" s="144">
        <f t="shared" si="227"/>
        <v>0.031413205320958</v>
      </c>
      <c r="DK217" s="144">
        <f t="shared" si="227"/>
        <v>0.031779515853423</v>
      </c>
      <c r="DL217" s="144">
        <f t="shared" si="227"/>
        <v>0.0543243796757455</v>
      </c>
      <c r="DM217" s="144">
        <f t="shared" si="227"/>
        <v>0.0601119842627398</v>
      </c>
      <c r="DN217" s="144">
        <f t="shared" si="227"/>
        <v>0.0582484830316625</v>
      </c>
      <c r="DO217" s="9">
        <f t="shared" si="227"/>
        <v>0.0466366258368402</v>
      </c>
      <c r="DP217" s="144">
        <f t="shared" si="227"/>
        <v>0.0364791741553712</v>
      </c>
      <c r="DQ217" s="144">
        <f t="shared" si="227"/>
        <v>0.0314445801075354</v>
      </c>
      <c r="DR217" s="144">
        <f t="shared" si="227"/>
        <v>0.0331234037540018</v>
      </c>
      <c r="DS217" s="144">
        <f t="shared" si="227"/>
        <v>0.0363652899461731</v>
      </c>
      <c r="DT217" s="144">
        <f t="shared" si="227"/>
        <v>0.0370474432022287</v>
      </c>
      <c r="DU217" s="144">
        <f t="shared" si="227"/>
        <v>0.0523807441115119</v>
      </c>
      <c r="DV217" s="144">
        <f t="shared" si="227"/>
        <v>0.0491498088660841</v>
      </c>
      <c r="DW217" s="144">
        <f t="shared" si="227"/>
        <v>0.026548770984562</v>
      </c>
      <c r="DX217" s="144">
        <f t="shared" si="227"/>
        <v>0.0315245890859406</v>
      </c>
      <c r="DY217" s="144">
        <f t="shared" si="227"/>
        <v>0.0493629887263309</v>
      </c>
      <c r="DZ217" s="144">
        <f t="shared" si="227"/>
        <v>0.0577875574364525</v>
      </c>
      <c r="EA217" s="144">
        <f t="shared" si="227"/>
        <v>0.0502518974695968</v>
      </c>
      <c r="EB217" s="117">
        <f t="shared" si="227"/>
        <v>0.0403648696711618</v>
      </c>
      <c r="EC217" s="118"/>
      <c r="ED217" s="117">
        <f t="shared" ref="ED217:FB217" si="228">ED5/ED$211</f>
        <v>0.00175609803721366</v>
      </c>
      <c r="EE217" s="117">
        <f t="shared" si="228"/>
        <v>0</v>
      </c>
      <c r="EF217" s="117">
        <f t="shared" si="228"/>
        <v>0.198259427781152</v>
      </c>
      <c r="EG217" s="117" t="e">
        <f t="shared" si="228"/>
        <v>#DIV/0!</v>
      </c>
      <c r="EH217" s="117" t="e">
        <f t="shared" si="228"/>
        <v>#DIV/0!</v>
      </c>
      <c r="EI217" s="117" t="e">
        <f t="shared" si="228"/>
        <v>#DIV/0!</v>
      </c>
      <c r="EJ217" s="117" t="e">
        <f t="shared" si="228"/>
        <v>#DIV/0!</v>
      </c>
      <c r="EK217" s="117" t="e">
        <f t="shared" si="228"/>
        <v>#DIV/0!</v>
      </c>
      <c r="EL217" s="117" t="e">
        <f t="shared" si="228"/>
        <v>#DIV/0!</v>
      </c>
      <c r="EM217" s="117" t="e">
        <f t="shared" si="228"/>
        <v>#DIV/0!</v>
      </c>
      <c r="EN217" s="117" t="e">
        <f t="shared" si="228"/>
        <v>#DIV/0!</v>
      </c>
      <c r="EO217" s="116">
        <f t="shared" si="228"/>
        <v>0.0398553521151665</v>
      </c>
      <c r="EP217" s="117">
        <f t="shared" si="228"/>
        <v>0.0841370390871888</v>
      </c>
      <c r="EQ217" s="117">
        <f t="shared" si="228"/>
        <v>0.0677108287608216</v>
      </c>
      <c r="ER217" s="117">
        <f t="shared" si="228"/>
        <v>0.0778550662476699</v>
      </c>
      <c r="ES217" s="117">
        <f t="shared" si="228"/>
        <v>0.0679798914159765</v>
      </c>
      <c r="ET217" s="117">
        <f t="shared" si="228"/>
        <v>0.0848991798116586</v>
      </c>
      <c r="EU217" s="117">
        <f t="shared" si="228"/>
        <v>0.0833448209217105</v>
      </c>
      <c r="EV217" s="117">
        <f t="shared" si="228"/>
        <v>0.0677243250045634</v>
      </c>
      <c r="EW217" s="117">
        <f t="shared" si="228"/>
        <v>0.0477049219742473</v>
      </c>
      <c r="EX217" s="117">
        <f t="shared" si="228"/>
        <v>0.0540264554234442</v>
      </c>
      <c r="EY217" s="117">
        <f t="shared" si="228"/>
        <v>0.0564719418772756</v>
      </c>
      <c r="EZ217" s="117">
        <f t="shared" si="228"/>
        <v>0.0528586581223799</v>
      </c>
      <c r="FA217" s="117">
        <f t="shared" si="228"/>
        <v>0.0598642503653071</v>
      </c>
      <c r="FB217" s="117">
        <f t="shared" si="228"/>
        <v>0.0657988310191851</v>
      </c>
      <c r="FC217" s="118"/>
      <c r="FD217" s="117"/>
      <c r="FE217" s="117"/>
      <c r="FF217" s="117"/>
      <c r="FG217" s="117"/>
      <c r="FH217" s="117"/>
      <c r="FI217" s="117"/>
      <c r="FJ217" s="117"/>
      <c r="FK217" s="117" t="e">
        <f t="shared" si="211"/>
        <v>#DIV/0!</v>
      </c>
      <c r="FL217" s="117" t="e">
        <f t="shared" si="212"/>
        <v>#DIV/0!</v>
      </c>
      <c r="FM217" s="117" t="e">
        <f t="shared" si="213"/>
        <v>#DIV/0!</v>
      </c>
      <c r="FN217" s="117" t="e">
        <f t="shared" si="214"/>
        <v>#DIV/0!</v>
      </c>
      <c r="FO217" s="9" t="e">
        <f t="shared" si="215"/>
        <v>#DIV/0!</v>
      </c>
      <c r="FP217" s="118">
        <f t="shared" ref="FP217:GB217" si="229">FP5/FP$211</f>
        <v>0.0467302428718089</v>
      </c>
      <c r="FQ217" s="117">
        <f t="shared" si="229"/>
        <v>0.059416009347272</v>
      </c>
      <c r="FR217" s="117">
        <f t="shared" si="229"/>
        <v>0.0700255476854082</v>
      </c>
      <c r="FS217" s="117">
        <f t="shared" si="229"/>
        <v>0.0734735293498555</v>
      </c>
      <c r="FT217" s="117">
        <f t="shared" si="229"/>
        <v>0.0401928316071192</v>
      </c>
      <c r="FU217" s="117">
        <f t="shared" si="229"/>
        <v>0.0504258302877883</v>
      </c>
      <c r="FV217" s="117">
        <f t="shared" si="229"/>
        <v>0.0314212767417933</v>
      </c>
      <c r="FW217" s="117">
        <f t="shared" si="229"/>
        <v>0.0379558544922819</v>
      </c>
      <c r="FX217" s="117">
        <f t="shared" si="229"/>
        <v>0.0481178127310683</v>
      </c>
      <c r="FY217" s="117">
        <f t="shared" si="229"/>
        <v>0.104863727058279</v>
      </c>
      <c r="FZ217" s="117">
        <f t="shared" si="229"/>
        <v>0.108135743805638</v>
      </c>
      <c r="GA217" s="117">
        <f t="shared" si="229"/>
        <v>0.0343164608577329</v>
      </c>
      <c r="GB217" s="116">
        <f t="shared" si="229"/>
        <v>0.0592254979839075</v>
      </c>
    </row>
    <row r="218" spans="1:186">
      <c r="A218" s="147" t="s">
        <v>35</v>
      </c>
      <c r="B218" s="160">
        <f t="shared" si="217"/>
        <v>-0.260185499231662</v>
      </c>
      <c r="C218" s="117">
        <f t="shared" ref="C218:AH218" si="230">C6/C$211</f>
        <v>0.0378519620617634</v>
      </c>
      <c r="D218" s="117">
        <f t="shared" si="230"/>
        <v>0.0371030293029362</v>
      </c>
      <c r="E218" s="117">
        <f t="shared" si="230"/>
        <v>0.044091760627884</v>
      </c>
      <c r="F218" s="117">
        <f t="shared" si="230"/>
        <v>0.0706664870543536</v>
      </c>
      <c r="G218" s="117">
        <f t="shared" si="230"/>
        <v>0.0540515586023632</v>
      </c>
      <c r="H218" s="117">
        <f t="shared" si="230"/>
        <v>0.0419732831047029</v>
      </c>
      <c r="I218" s="117">
        <f t="shared" si="230"/>
        <v>0.116411260366483</v>
      </c>
      <c r="J218" s="117">
        <f t="shared" si="230"/>
        <v>0.0729253963859426</v>
      </c>
      <c r="K218" s="117">
        <f t="shared" si="230"/>
        <v>0.0530903390748633</v>
      </c>
      <c r="L218" s="117">
        <f t="shared" si="230"/>
        <v>0.0410240158217615</v>
      </c>
      <c r="M218" s="117">
        <f t="shared" si="230"/>
        <v>0.0784790341786871</v>
      </c>
      <c r="N218" s="117">
        <f t="shared" si="230"/>
        <v>0.0464443893156245</v>
      </c>
      <c r="O218" s="9">
        <f t="shared" si="230"/>
        <v>0.0567856961240463</v>
      </c>
      <c r="P218" s="117">
        <f t="shared" si="230"/>
        <v>0.0248349110025546</v>
      </c>
      <c r="Q218" s="117">
        <f t="shared" si="230"/>
        <v>0.0283016122418942</v>
      </c>
      <c r="R218" s="117">
        <f t="shared" si="230"/>
        <v>0.024696119164454</v>
      </c>
      <c r="S218" s="117">
        <f t="shared" si="230"/>
        <v>0.0410331919118942</v>
      </c>
      <c r="T218" s="117">
        <f t="shared" si="230"/>
        <v>0.0398767520660468</v>
      </c>
      <c r="U218" s="117">
        <f t="shared" si="230"/>
        <v>0.0348385866202233</v>
      </c>
      <c r="V218" s="117">
        <f t="shared" si="230"/>
        <v>0.094061696314425</v>
      </c>
      <c r="W218" s="117">
        <f t="shared" si="230"/>
        <v>0.0731889773466683</v>
      </c>
      <c r="X218" s="117">
        <f t="shared" si="230"/>
        <v>0.0665800721572925</v>
      </c>
      <c r="Y218" s="117">
        <f t="shared" si="230"/>
        <v>0.0601272065650073</v>
      </c>
      <c r="Z218" s="117">
        <f t="shared" si="230"/>
        <v>0.0670649237211436</v>
      </c>
      <c r="AA218" s="117">
        <f t="shared" si="230"/>
        <v>0.0593641852871548</v>
      </c>
      <c r="AB218" s="9">
        <f t="shared" si="230"/>
        <v>0.0512414160046882</v>
      </c>
      <c r="AC218" s="117">
        <f t="shared" si="230"/>
        <v>0.0352153636010542</v>
      </c>
      <c r="AD218" s="117">
        <f t="shared" si="230"/>
        <v>0.0285126250861692</v>
      </c>
      <c r="AE218" s="117">
        <f t="shared" si="230"/>
        <v>0.0291484120056104</v>
      </c>
      <c r="AF218" s="117">
        <f t="shared" si="230"/>
        <v>0.0455755697114232</v>
      </c>
      <c r="AG218" s="117">
        <f t="shared" si="230"/>
        <v>0.0427628779546197</v>
      </c>
      <c r="AH218" s="117">
        <f t="shared" si="230"/>
        <v>0.0410888553051413</v>
      </c>
      <c r="AI218" s="117">
        <f t="shared" ref="AI218:BN218" si="231">AI6/AI$211</f>
        <v>0.074410128941408</v>
      </c>
      <c r="AJ218" s="117">
        <f t="shared" si="231"/>
        <v>0.0676934773721571</v>
      </c>
      <c r="AK218" s="117">
        <f t="shared" si="231"/>
        <v>0.0518493702269682</v>
      </c>
      <c r="AL218" s="117">
        <f t="shared" si="231"/>
        <v>0.0361978614994372</v>
      </c>
      <c r="AM218" s="117">
        <f t="shared" si="231"/>
        <v>0.0565347785832172</v>
      </c>
      <c r="AN218" s="117">
        <f t="shared" si="231"/>
        <v>0.0575424360745329</v>
      </c>
      <c r="AO218" s="9">
        <f t="shared" si="231"/>
        <v>0.0480349255084442</v>
      </c>
      <c r="AP218" s="144">
        <f t="shared" si="231"/>
        <v>0.0317188033323874</v>
      </c>
      <c r="AQ218" s="144">
        <f t="shared" si="231"/>
        <v>0.0269711946394599</v>
      </c>
      <c r="AR218" s="144">
        <f t="shared" si="231"/>
        <v>0.0340566945431361</v>
      </c>
      <c r="AS218" s="144">
        <f t="shared" si="231"/>
        <v>0.0575160102539354</v>
      </c>
      <c r="AT218" s="144">
        <f t="shared" si="231"/>
        <v>0.044860202173563</v>
      </c>
      <c r="AU218" s="144">
        <f t="shared" si="231"/>
        <v>0.0361829632305317</v>
      </c>
      <c r="AV218" s="144">
        <f t="shared" si="231"/>
        <v>0.0999841438676366</v>
      </c>
      <c r="AW218" s="144">
        <f t="shared" si="231"/>
        <v>0.0539276113105176</v>
      </c>
      <c r="AX218" s="144">
        <f t="shared" si="231"/>
        <v>0.0439306769666976</v>
      </c>
      <c r="AY218" s="144">
        <f t="shared" si="231"/>
        <v>0.0187714152863581</v>
      </c>
      <c r="AZ218" s="144">
        <f t="shared" si="231"/>
        <v>0.0656163512702009</v>
      </c>
      <c r="BA218" s="144">
        <f t="shared" si="231"/>
        <v>0.0408468513876157</v>
      </c>
      <c r="BB218" s="9">
        <f t="shared" si="231"/>
        <v>0.0460832353888172</v>
      </c>
      <c r="BC218" s="144">
        <f t="shared" si="231"/>
        <v>0.0513645706702428</v>
      </c>
      <c r="BD218" s="144">
        <f t="shared" si="231"/>
        <v>0.038845814588019</v>
      </c>
      <c r="BE218" s="144">
        <f t="shared" si="231"/>
        <v>0.0605080147859104</v>
      </c>
      <c r="BF218" s="144">
        <f t="shared" si="231"/>
        <v>0.109074639257994</v>
      </c>
      <c r="BG218" s="144">
        <f t="shared" si="231"/>
        <v>0.0821463974146746</v>
      </c>
      <c r="BH218" s="144">
        <f t="shared" si="231"/>
        <v>0.056460206720125</v>
      </c>
      <c r="BI218" s="144">
        <f t="shared" si="231"/>
        <v>0.120861154065488</v>
      </c>
      <c r="BJ218" s="144">
        <f t="shared" si="231"/>
        <v>0.0853942070029052</v>
      </c>
      <c r="BK218" s="144">
        <f t="shared" si="231"/>
        <v>0.0539370082024595</v>
      </c>
      <c r="BL218" s="144">
        <f t="shared" si="231"/>
        <v>0.0374341421260366</v>
      </c>
      <c r="BM218" s="144">
        <f t="shared" si="231"/>
        <v>0.0957281071870791</v>
      </c>
      <c r="BN218" s="144">
        <f t="shared" si="231"/>
        <v>0.0622705727610178</v>
      </c>
      <c r="BO218" s="9">
        <f t="shared" ref="BO218:CT218" si="232">BO6/BO$211</f>
        <v>0.069028154673496</v>
      </c>
      <c r="BP218" s="144">
        <f t="shared" si="232"/>
        <v>0.0530706368165552</v>
      </c>
      <c r="BQ218" s="144">
        <f t="shared" si="232"/>
        <v>0.055126799142832</v>
      </c>
      <c r="BR218" s="144">
        <f t="shared" si="232"/>
        <v>0.0475418144810102</v>
      </c>
      <c r="BS218" s="144">
        <f t="shared" si="232"/>
        <v>0.0758756619491797</v>
      </c>
      <c r="BT218" s="144">
        <f t="shared" si="232"/>
        <v>0.0745509701828571</v>
      </c>
      <c r="BU218" s="144">
        <f t="shared" si="232"/>
        <v>0.0475530574925316</v>
      </c>
      <c r="BV218" s="144">
        <f t="shared" si="232"/>
        <v>0.167170371933963</v>
      </c>
      <c r="BW218" s="144">
        <f t="shared" si="232"/>
        <v>0.100135302907634</v>
      </c>
      <c r="BX218" s="144">
        <f t="shared" si="232"/>
        <v>0.0625343712682079</v>
      </c>
      <c r="BY218" s="144">
        <f t="shared" si="232"/>
        <v>0.039845407400794</v>
      </c>
      <c r="BZ218" s="144">
        <f t="shared" si="232"/>
        <v>0.0892114162641725</v>
      </c>
      <c r="CA218" s="144">
        <f t="shared" si="232"/>
        <v>0.0666773628885682</v>
      </c>
      <c r="CB218" s="9">
        <f t="shared" si="232"/>
        <v>0.0707600612759428</v>
      </c>
      <c r="CC218" s="144">
        <f t="shared" si="232"/>
        <v>0.0309373499470542</v>
      </c>
      <c r="CD218" s="144">
        <f t="shared" si="232"/>
        <v>0.0633405938153691</v>
      </c>
      <c r="CE218" s="144">
        <f t="shared" si="232"/>
        <v>0.0492231009567407</v>
      </c>
      <c r="CF218" s="144">
        <f t="shared" si="232"/>
        <v>0.0657743324761845</v>
      </c>
      <c r="CG218" s="144">
        <f t="shared" si="232"/>
        <v>0.0491733300565502</v>
      </c>
      <c r="CH218" s="144">
        <f t="shared" si="232"/>
        <v>0.0802590041362935</v>
      </c>
      <c r="CI218" s="144">
        <f t="shared" si="232"/>
        <v>0.0836120242020339</v>
      </c>
      <c r="CJ218" s="144">
        <f t="shared" si="232"/>
        <v>0.0897571940126062</v>
      </c>
      <c r="CK218" s="144">
        <f t="shared" si="232"/>
        <v>0.067440601391365</v>
      </c>
      <c r="CL218" s="144">
        <f t="shared" si="232"/>
        <v>0.0270551468235921</v>
      </c>
      <c r="CM218" s="144">
        <f t="shared" si="232"/>
        <v>0.0671154725074502</v>
      </c>
      <c r="CN218" s="144">
        <f t="shared" si="232"/>
        <v>0.0593780692169047</v>
      </c>
      <c r="CO218" s="9">
        <f t="shared" si="232"/>
        <v>0.0604606976801722</v>
      </c>
      <c r="CP218" s="144">
        <f t="shared" si="232"/>
        <v>0.0527019277306572</v>
      </c>
      <c r="CQ218" s="144">
        <f t="shared" si="232"/>
        <v>0.0434878275688601</v>
      </c>
      <c r="CR218" s="144">
        <f t="shared" si="232"/>
        <v>0.0673251369138729</v>
      </c>
      <c r="CS218" s="144">
        <f t="shared" si="232"/>
        <v>0.0926954540306703</v>
      </c>
      <c r="CT218" s="144">
        <f t="shared" si="232"/>
        <v>0.0658886443705839</v>
      </c>
      <c r="CU218" s="144">
        <f t="shared" ref="CU218:EB218" si="233">CU6/CU$211</f>
        <v>0.051336384739397</v>
      </c>
      <c r="CV218" s="144">
        <f t="shared" si="233"/>
        <v>0.154510904467456</v>
      </c>
      <c r="CW218" s="144">
        <f t="shared" si="233"/>
        <v>0.102210563654704</v>
      </c>
      <c r="CX218" s="144">
        <f t="shared" si="233"/>
        <v>0.0675579412734151</v>
      </c>
      <c r="CY218" s="144">
        <f t="shared" si="233"/>
        <v>0.0476735094898872</v>
      </c>
      <c r="CZ218" s="144">
        <f t="shared" si="233"/>
        <v>0.108735672204614</v>
      </c>
      <c r="DA218" s="144">
        <f t="shared" si="233"/>
        <v>0.0737442988414391</v>
      </c>
      <c r="DB218" s="9">
        <f t="shared" si="233"/>
        <v>0.0761294031608326</v>
      </c>
      <c r="DC218" s="144">
        <f t="shared" si="233"/>
        <v>0.0426779172702971</v>
      </c>
      <c r="DD218" s="144">
        <f t="shared" si="233"/>
        <v>0.027073003947282</v>
      </c>
      <c r="DE218" s="144">
        <f t="shared" si="233"/>
        <v>0.0426308368624633</v>
      </c>
      <c r="DF218" s="144">
        <f t="shared" si="233"/>
        <v>0.0699617907390801</v>
      </c>
      <c r="DG218" s="144">
        <f t="shared" si="233"/>
        <v>0.0587399663076884</v>
      </c>
      <c r="DH218" s="144">
        <f t="shared" si="233"/>
        <v>0.0512683398760361</v>
      </c>
      <c r="DI218" s="144">
        <f t="shared" si="233"/>
        <v>0.146090079809892</v>
      </c>
      <c r="DJ218" s="144">
        <f t="shared" si="233"/>
        <v>0.123491125917286</v>
      </c>
      <c r="DK218" s="144">
        <f t="shared" si="233"/>
        <v>0.0834660421221502</v>
      </c>
      <c r="DL218" s="144">
        <f t="shared" si="233"/>
        <v>0.0745397721075724</v>
      </c>
      <c r="DM218" s="144">
        <f t="shared" si="233"/>
        <v>0.127623811350583</v>
      </c>
      <c r="DN218" s="144">
        <f t="shared" si="233"/>
        <v>0.0852358752244011</v>
      </c>
      <c r="DO218" s="9">
        <f t="shared" si="233"/>
        <v>0.0736457221227799</v>
      </c>
      <c r="DP218" s="144">
        <f t="shared" si="233"/>
        <v>0.046656530820715</v>
      </c>
      <c r="DQ218" s="144">
        <f t="shared" si="233"/>
        <v>0.0415382322681203</v>
      </c>
      <c r="DR218" s="144">
        <f t="shared" si="233"/>
        <v>0.0511575707597725</v>
      </c>
      <c r="DS218" s="144">
        <f t="shared" si="233"/>
        <v>0.0684040593821298</v>
      </c>
      <c r="DT218" s="144">
        <f t="shared" si="233"/>
        <v>0.0601088599164924</v>
      </c>
      <c r="DU218" s="144">
        <f t="shared" si="233"/>
        <v>0.0525814536192081</v>
      </c>
      <c r="DV218" s="144">
        <f t="shared" si="233"/>
        <v>0.1111568957503</v>
      </c>
      <c r="DW218" s="144">
        <f t="shared" si="233"/>
        <v>0.089869492753129</v>
      </c>
      <c r="DX218" s="144">
        <f t="shared" si="233"/>
        <v>0.0574870646870657</v>
      </c>
      <c r="DY218" s="144">
        <f t="shared" si="233"/>
        <v>0.0430495333751122</v>
      </c>
      <c r="DZ218" s="144">
        <f t="shared" si="233"/>
        <v>0.107841426632307</v>
      </c>
      <c r="EA218" s="144">
        <f t="shared" si="233"/>
        <v>0.0444297006873001</v>
      </c>
      <c r="EB218" s="117">
        <f t="shared" si="233"/>
        <v>0.0635792313231885</v>
      </c>
      <c r="EC218" s="118"/>
      <c r="ED218" s="117">
        <f t="shared" ref="ED218:FB218" si="234">ED6/ED$211</f>
        <v>0.00942524705171194</v>
      </c>
      <c r="EE218" s="117">
        <f t="shared" si="234"/>
        <v>0</v>
      </c>
      <c r="EF218" s="117">
        <f t="shared" si="234"/>
        <v>0.0849846993157671</v>
      </c>
      <c r="EG218" s="117" t="e">
        <f t="shared" si="234"/>
        <v>#DIV/0!</v>
      </c>
      <c r="EH218" s="117" t="e">
        <f t="shared" si="234"/>
        <v>#DIV/0!</v>
      </c>
      <c r="EI218" s="117" t="e">
        <f t="shared" si="234"/>
        <v>#DIV/0!</v>
      </c>
      <c r="EJ218" s="117" t="e">
        <f t="shared" si="234"/>
        <v>#DIV/0!</v>
      </c>
      <c r="EK218" s="117" t="e">
        <f t="shared" si="234"/>
        <v>#DIV/0!</v>
      </c>
      <c r="EL218" s="117" t="e">
        <f t="shared" si="234"/>
        <v>#DIV/0!</v>
      </c>
      <c r="EM218" s="117" t="e">
        <f t="shared" si="234"/>
        <v>#DIV/0!</v>
      </c>
      <c r="EN218" s="117" t="e">
        <f t="shared" si="234"/>
        <v>#DIV/0!</v>
      </c>
      <c r="EO218" s="116">
        <f t="shared" si="234"/>
        <v>0.0830531358663717</v>
      </c>
      <c r="EP218" s="117">
        <f t="shared" si="234"/>
        <v>0.044690828050367</v>
      </c>
      <c r="EQ218" s="117">
        <f t="shared" si="234"/>
        <v>0.0460448014386431</v>
      </c>
      <c r="ER218" s="117">
        <f t="shared" si="234"/>
        <v>0.0557661314194084</v>
      </c>
      <c r="ES218" s="117">
        <f t="shared" si="234"/>
        <v>0.0622945703505277</v>
      </c>
      <c r="ET218" s="117">
        <f t="shared" si="234"/>
        <v>0.0476419299387673</v>
      </c>
      <c r="EU218" s="117">
        <f t="shared" si="234"/>
        <v>0.0468027064278829</v>
      </c>
      <c r="EV218" s="117">
        <f t="shared" si="234"/>
        <v>0.0995066489528096</v>
      </c>
      <c r="EW218" s="117">
        <f t="shared" si="234"/>
        <v>0.100317301278869</v>
      </c>
      <c r="EX218" s="117">
        <f t="shared" si="234"/>
        <v>0.0697560997133413</v>
      </c>
      <c r="EY218" s="117">
        <f t="shared" si="234"/>
        <v>0.055809134561203</v>
      </c>
      <c r="EZ218" s="117">
        <f t="shared" si="234"/>
        <v>0.079820223897701</v>
      </c>
      <c r="FA218" s="117">
        <f t="shared" si="234"/>
        <v>0.0559538838507755</v>
      </c>
      <c r="FB218" s="117">
        <f t="shared" si="234"/>
        <v>0.0643881466296686</v>
      </c>
      <c r="FC218" s="118"/>
      <c r="FD218" s="117"/>
      <c r="FE218" s="117"/>
      <c r="FF218" s="117"/>
      <c r="FG218" s="117"/>
      <c r="FH218" s="117"/>
      <c r="FI218" s="117"/>
      <c r="FJ218" s="117"/>
      <c r="FK218" s="117" t="e">
        <f t="shared" si="211"/>
        <v>#DIV/0!</v>
      </c>
      <c r="FL218" s="117" t="e">
        <f t="shared" si="212"/>
        <v>#DIV/0!</v>
      </c>
      <c r="FM218" s="117" t="e">
        <f t="shared" si="213"/>
        <v>#DIV/0!</v>
      </c>
      <c r="FN218" s="117" t="e">
        <f t="shared" si="214"/>
        <v>#DIV/0!</v>
      </c>
      <c r="FO218" s="9" t="e">
        <f t="shared" si="215"/>
        <v>#DIV/0!</v>
      </c>
      <c r="FP218" s="118">
        <f t="shared" ref="FP218:GB218" si="235">FP6/FP$211</f>
        <v>0.0221293039068629</v>
      </c>
      <c r="FQ218" s="117">
        <f t="shared" si="235"/>
        <v>0.0246273503888064</v>
      </c>
      <c r="FR218" s="117">
        <f t="shared" si="235"/>
        <v>0.0434050153112211</v>
      </c>
      <c r="FS218" s="117">
        <f t="shared" si="235"/>
        <v>0.0775834194497623</v>
      </c>
      <c r="FT218" s="117">
        <f t="shared" si="235"/>
        <v>0.0353334978528783</v>
      </c>
      <c r="FU218" s="117">
        <f t="shared" si="235"/>
        <v>0.0228619839952106</v>
      </c>
      <c r="FV218" s="117">
        <f t="shared" si="235"/>
        <v>0.104380920108212</v>
      </c>
      <c r="FW218" s="117">
        <f t="shared" si="235"/>
        <v>0.038201315395787</v>
      </c>
      <c r="FX218" s="117">
        <f t="shared" si="235"/>
        <v>0.029470809845395</v>
      </c>
      <c r="FY218" s="117">
        <f t="shared" si="235"/>
        <v>0.0367649117121041</v>
      </c>
      <c r="FZ218" s="117">
        <f t="shared" si="235"/>
        <v>0.0655433237721659</v>
      </c>
      <c r="GA218" s="117">
        <f t="shared" si="235"/>
        <v>0.012654067095731</v>
      </c>
      <c r="GB218" s="116">
        <f t="shared" si="235"/>
        <v>0.0413092390830118</v>
      </c>
    </row>
    <row r="219" spans="1:186">
      <c r="A219" s="147" t="s">
        <v>37</v>
      </c>
      <c r="B219" s="160">
        <f t="shared" si="217"/>
        <v>-0.198799335605657</v>
      </c>
      <c r="C219" s="117">
        <f t="shared" ref="C219:AH219" si="236">C7/C$211</f>
        <v>0.0993440793236507</v>
      </c>
      <c r="D219" s="117">
        <f t="shared" si="236"/>
        <v>0.164404671873402</v>
      </c>
      <c r="E219" s="117">
        <f t="shared" si="236"/>
        <v>0.102716338141532</v>
      </c>
      <c r="F219" s="117">
        <f t="shared" si="236"/>
        <v>0.0967434558426339</v>
      </c>
      <c r="G219" s="117">
        <f t="shared" si="236"/>
        <v>0.091251926888038</v>
      </c>
      <c r="H219" s="117">
        <f t="shared" si="236"/>
        <v>0.0756246283051788</v>
      </c>
      <c r="I219" s="117">
        <f t="shared" si="236"/>
        <v>0.0760875934699177</v>
      </c>
      <c r="J219" s="117">
        <f t="shared" si="236"/>
        <v>0.102185804778312</v>
      </c>
      <c r="K219" s="117">
        <f t="shared" si="236"/>
        <v>0.0825297415501148</v>
      </c>
      <c r="L219" s="117">
        <f t="shared" si="236"/>
        <v>0.0610140367809116</v>
      </c>
      <c r="M219" s="117">
        <f t="shared" si="236"/>
        <v>0.0807176272340964</v>
      </c>
      <c r="N219" s="117">
        <f t="shared" si="236"/>
        <v>0.0832918084531132</v>
      </c>
      <c r="O219" s="9">
        <f t="shared" si="236"/>
        <v>0.0944588241659219</v>
      </c>
      <c r="P219" s="117">
        <f t="shared" si="236"/>
        <v>0.17855084678788</v>
      </c>
      <c r="Q219" s="117">
        <f t="shared" si="236"/>
        <v>0.2152586390318</v>
      </c>
      <c r="R219" s="117">
        <f t="shared" si="236"/>
        <v>0.123782524036274</v>
      </c>
      <c r="S219" s="117">
        <f t="shared" si="236"/>
        <v>0.131031200811455</v>
      </c>
      <c r="T219" s="117">
        <f t="shared" si="236"/>
        <v>0.113622643477062</v>
      </c>
      <c r="U219" s="117">
        <f t="shared" si="236"/>
        <v>0.110274839306957</v>
      </c>
      <c r="V219" s="117">
        <f t="shared" si="236"/>
        <v>0.108133971507099</v>
      </c>
      <c r="W219" s="117">
        <f t="shared" si="236"/>
        <v>0.120338113199598</v>
      </c>
      <c r="X219" s="117">
        <f t="shared" si="236"/>
        <v>0.132025062700851</v>
      </c>
      <c r="Y219" s="117">
        <f t="shared" si="236"/>
        <v>0.114759244192683</v>
      </c>
      <c r="Z219" s="117">
        <f t="shared" si="236"/>
        <v>0.13364270529869</v>
      </c>
      <c r="AA219" s="117">
        <f t="shared" si="236"/>
        <v>0.12725666231747</v>
      </c>
      <c r="AB219" s="9">
        <f t="shared" si="236"/>
        <v>0.136434668125898</v>
      </c>
      <c r="AC219" s="117">
        <f t="shared" si="236"/>
        <v>0.0972135074627551</v>
      </c>
      <c r="AD219" s="117">
        <f t="shared" si="236"/>
        <v>0.136466960483841</v>
      </c>
      <c r="AE219" s="117">
        <f t="shared" si="236"/>
        <v>0.0980882560215741</v>
      </c>
      <c r="AF219" s="117">
        <f t="shared" si="236"/>
        <v>0.0843775348043214</v>
      </c>
      <c r="AG219" s="117">
        <f t="shared" si="236"/>
        <v>0.0888429621983303</v>
      </c>
      <c r="AH219" s="117">
        <f t="shared" si="236"/>
        <v>0.0884471471838852</v>
      </c>
      <c r="AI219" s="117">
        <f t="shared" ref="AI219:BN219" si="237">AI7/AI$211</f>
        <v>0.0805537279934046</v>
      </c>
      <c r="AJ219" s="117">
        <f t="shared" si="237"/>
        <v>0.101212437151466</v>
      </c>
      <c r="AK219" s="117">
        <f t="shared" si="237"/>
        <v>0.0911617317226378</v>
      </c>
      <c r="AL219" s="117">
        <f t="shared" si="237"/>
        <v>0.089911109187134</v>
      </c>
      <c r="AM219" s="117">
        <f t="shared" si="237"/>
        <v>0.0644227547278025</v>
      </c>
      <c r="AN219" s="117">
        <f t="shared" si="237"/>
        <v>0.0953233679013211</v>
      </c>
      <c r="AO219" s="9">
        <f t="shared" si="237"/>
        <v>0.0927823726662228</v>
      </c>
      <c r="AP219" s="144">
        <f t="shared" si="237"/>
        <v>0.0638042546582497</v>
      </c>
      <c r="AQ219" s="144">
        <f t="shared" si="237"/>
        <v>0.135632041876286</v>
      </c>
      <c r="AR219" s="144">
        <f t="shared" si="237"/>
        <v>0.102860416962724</v>
      </c>
      <c r="AS219" s="144">
        <f t="shared" si="237"/>
        <v>0.0856516389691641</v>
      </c>
      <c r="AT219" s="144">
        <f t="shared" si="237"/>
        <v>0.0743358857195167</v>
      </c>
      <c r="AU219" s="144">
        <f t="shared" si="237"/>
        <v>0.0551043340223866</v>
      </c>
      <c r="AV219" s="144">
        <f t="shared" si="237"/>
        <v>0.0728018810315008</v>
      </c>
      <c r="AW219" s="144">
        <f t="shared" si="237"/>
        <v>0.090205741667844</v>
      </c>
      <c r="AX219" s="144">
        <f t="shared" si="237"/>
        <v>0.0637828492713274</v>
      </c>
      <c r="AY219" s="144">
        <f t="shared" si="237"/>
        <v>0.0436092719892656</v>
      </c>
      <c r="AZ219" s="144">
        <f t="shared" si="237"/>
        <v>0.0488349345289437</v>
      </c>
      <c r="BA219" s="144">
        <f t="shared" si="237"/>
        <v>0.0835173579187864</v>
      </c>
      <c r="BB219" s="9">
        <f t="shared" si="237"/>
        <v>0.0761018554921014</v>
      </c>
      <c r="BC219" s="144">
        <f t="shared" si="237"/>
        <v>0.0791644965997811</v>
      </c>
      <c r="BD219" s="144">
        <f t="shared" si="237"/>
        <v>0.115885554147913</v>
      </c>
      <c r="BE219" s="144">
        <f t="shared" si="237"/>
        <v>0.0981712429490814</v>
      </c>
      <c r="BF219" s="144">
        <f t="shared" si="237"/>
        <v>0.082544848411934</v>
      </c>
      <c r="BG219" s="144">
        <f t="shared" si="237"/>
        <v>0.0805969735970621</v>
      </c>
      <c r="BH219" s="144">
        <f t="shared" si="237"/>
        <v>0.0555996812620304</v>
      </c>
      <c r="BI219" s="144">
        <f t="shared" si="237"/>
        <v>0.0466848905208252</v>
      </c>
      <c r="BJ219" s="144">
        <f t="shared" si="237"/>
        <v>0.080860072032151</v>
      </c>
      <c r="BK219" s="144">
        <f t="shared" si="237"/>
        <v>0.0548856303577609</v>
      </c>
      <c r="BL219" s="144">
        <f t="shared" si="237"/>
        <v>0.0371262959905017</v>
      </c>
      <c r="BM219" s="144">
        <f t="shared" si="237"/>
        <v>0.0479537291839116</v>
      </c>
      <c r="BN219" s="144">
        <f t="shared" si="237"/>
        <v>0.0982373784886548</v>
      </c>
      <c r="BO219" s="9">
        <f t="shared" ref="BO219:CT219" si="238">BO7/BO$211</f>
        <v>0.0739350157539641</v>
      </c>
      <c r="BP219" s="144">
        <f t="shared" si="238"/>
        <v>0.0535595377126813</v>
      </c>
      <c r="BQ219" s="144">
        <f t="shared" si="238"/>
        <v>0.103063664911399</v>
      </c>
      <c r="BR219" s="144">
        <f t="shared" si="238"/>
        <v>0.0653901565942874</v>
      </c>
      <c r="BS219" s="144">
        <f t="shared" si="238"/>
        <v>0.0628165067688456</v>
      </c>
      <c r="BT219" s="144">
        <f t="shared" si="238"/>
        <v>0.0582927079617435</v>
      </c>
      <c r="BU219" s="144">
        <f t="shared" si="238"/>
        <v>0.0513204783323135</v>
      </c>
      <c r="BV219" s="144">
        <f t="shared" si="238"/>
        <v>0.0682660550184098</v>
      </c>
      <c r="BW219" s="144">
        <f t="shared" si="238"/>
        <v>0.0818614472720601</v>
      </c>
      <c r="BX219" s="144">
        <f t="shared" si="238"/>
        <v>0.063456332782363</v>
      </c>
      <c r="BY219" s="144">
        <f t="shared" si="238"/>
        <v>0.0440900369359047</v>
      </c>
      <c r="BZ219" s="144">
        <f t="shared" si="238"/>
        <v>0.0590717663487601</v>
      </c>
      <c r="CA219" s="144">
        <f t="shared" si="238"/>
        <v>0.0596801844378745</v>
      </c>
      <c r="CB219" s="9">
        <f t="shared" si="238"/>
        <v>0.0651484985957562</v>
      </c>
      <c r="CC219" s="144">
        <f t="shared" si="238"/>
        <v>0.105812228977769</v>
      </c>
      <c r="CD219" s="144">
        <f t="shared" si="238"/>
        <v>0.084405191653045</v>
      </c>
      <c r="CE219" s="144">
        <f t="shared" si="238"/>
        <v>0.108693009142791</v>
      </c>
      <c r="CF219" s="144">
        <f t="shared" si="238"/>
        <v>0.0952207269947683</v>
      </c>
      <c r="CG219" s="144">
        <f t="shared" si="238"/>
        <v>0.0897230039461234</v>
      </c>
      <c r="CH219" s="144">
        <f t="shared" si="238"/>
        <v>0.101526319206856</v>
      </c>
      <c r="CI219" s="144">
        <f t="shared" si="238"/>
        <v>0.108513324876892</v>
      </c>
      <c r="CJ219" s="144">
        <f t="shared" si="238"/>
        <v>0.101753130856091</v>
      </c>
      <c r="CK219" s="144">
        <f t="shared" si="238"/>
        <v>0.0885714355223783</v>
      </c>
      <c r="CL219" s="144">
        <f t="shared" si="238"/>
        <v>0.0494442310549739</v>
      </c>
      <c r="CM219" s="144">
        <f t="shared" si="238"/>
        <v>0.0658817341738383</v>
      </c>
      <c r="CN219" s="144">
        <f t="shared" si="238"/>
        <v>0.10604648477424</v>
      </c>
      <c r="CO219" s="9">
        <f t="shared" si="238"/>
        <v>0.0922896060672812</v>
      </c>
      <c r="CP219" s="144">
        <f t="shared" si="238"/>
        <v>0.0537255992141715</v>
      </c>
      <c r="CQ219" s="144">
        <f t="shared" si="238"/>
        <v>0.116850633347397</v>
      </c>
      <c r="CR219" s="144">
        <f t="shared" si="238"/>
        <v>0.108414980018281</v>
      </c>
      <c r="CS219" s="144">
        <f t="shared" si="238"/>
        <v>0.088282104524025</v>
      </c>
      <c r="CT219" s="144">
        <f t="shared" si="238"/>
        <v>0.0818013277916022</v>
      </c>
      <c r="CU219" s="144">
        <f t="shared" ref="CU219:EB219" si="239">CU7/CU$211</f>
        <v>0.0664388438871189</v>
      </c>
      <c r="CV219" s="144">
        <f t="shared" si="239"/>
        <v>0.0683326403348622</v>
      </c>
      <c r="CW219" s="144">
        <f t="shared" si="239"/>
        <v>0.107270295638444</v>
      </c>
      <c r="CX219" s="144">
        <f t="shared" si="239"/>
        <v>0.0721030125705725</v>
      </c>
      <c r="CY219" s="144">
        <f t="shared" si="239"/>
        <v>0.0420678779086376</v>
      </c>
      <c r="CZ219" s="144">
        <f t="shared" si="239"/>
        <v>0.0455198230877226</v>
      </c>
      <c r="DA219" s="144">
        <f t="shared" si="239"/>
        <v>0.101678958309774</v>
      </c>
      <c r="DB219" s="9">
        <f t="shared" si="239"/>
        <v>0.0800039361101415</v>
      </c>
      <c r="DC219" s="144">
        <f t="shared" si="239"/>
        <v>0.0879102108852688</v>
      </c>
      <c r="DD219" s="144">
        <f t="shared" si="239"/>
        <v>0.112498647939232</v>
      </c>
      <c r="DE219" s="144">
        <f t="shared" si="239"/>
        <v>0.110563826479174</v>
      </c>
      <c r="DF219" s="144">
        <f t="shared" si="239"/>
        <v>0.106638984413326</v>
      </c>
      <c r="DG219" s="144">
        <f t="shared" si="239"/>
        <v>0.107333778439561</v>
      </c>
      <c r="DH219" s="144">
        <f t="shared" si="239"/>
        <v>0.0859184838937939</v>
      </c>
      <c r="DI219" s="144">
        <f t="shared" si="239"/>
        <v>0.062847679517396</v>
      </c>
      <c r="DJ219" s="144">
        <f t="shared" si="239"/>
        <v>0.0834508443333885</v>
      </c>
      <c r="DK219" s="144">
        <f t="shared" si="239"/>
        <v>0.066710822185449</v>
      </c>
      <c r="DL219" s="144">
        <f t="shared" si="239"/>
        <v>0.0383496176321056</v>
      </c>
      <c r="DM219" s="144">
        <f t="shared" si="239"/>
        <v>0.0533957419822363</v>
      </c>
      <c r="DN219" s="144">
        <f t="shared" si="239"/>
        <v>0.0714282760830689</v>
      </c>
      <c r="DO219" s="9">
        <f t="shared" si="239"/>
        <v>0.0839130600591025</v>
      </c>
      <c r="DP219" s="144">
        <f t="shared" si="239"/>
        <v>0.0966057228285447</v>
      </c>
      <c r="DQ219" s="144">
        <f t="shared" si="239"/>
        <v>0.150920225242568</v>
      </c>
      <c r="DR219" s="144">
        <f t="shared" si="239"/>
        <v>0.127913224300114</v>
      </c>
      <c r="DS219" s="144">
        <f t="shared" si="239"/>
        <v>0.113970258510828</v>
      </c>
      <c r="DT219" s="144">
        <f t="shared" si="239"/>
        <v>0.133011119278376</v>
      </c>
      <c r="DU219" s="144">
        <f t="shared" si="239"/>
        <v>0.106068097338336</v>
      </c>
      <c r="DV219" s="144">
        <f t="shared" si="239"/>
        <v>0.088074288521726</v>
      </c>
      <c r="DW219" s="144">
        <f t="shared" si="239"/>
        <v>0.138126679887383</v>
      </c>
      <c r="DX219" s="144">
        <f t="shared" si="239"/>
        <v>0.108045367072893</v>
      </c>
      <c r="DY219" s="144">
        <f t="shared" si="239"/>
        <v>0.0832041551081305</v>
      </c>
      <c r="DZ219" s="144">
        <f t="shared" si="239"/>
        <v>0.0954509828478807</v>
      </c>
      <c r="EA219" s="144">
        <f t="shared" si="239"/>
        <v>0.15736570798335</v>
      </c>
      <c r="EB219" s="117">
        <f t="shared" si="239"/>
        <v>0.115567546000195</v>
      </c>
      <c r="EC219" s="118"/>
      <c r="ED219" s="117">
        <f t="shared" ref="ED219:FB219" si="240">ED7/ED$211</f>
        <v>0.177391529318539</v>
      </c>
      <c r="EE219" s="117">
        <f t="shared" si="240"/>
        <v>0</v>
      </c>
      <c r="EF219" s="117">
        <f t="shared" si="240"/>
        <v>0.0236049507232646</v>
      </c>
      <c r="EG219" s="117" t="e">
        <f t="shared" si="240"/>
        <v>#DIV/0!</v>
      </c>
      <c r="EH219" s="117" t="e">
        <f t="shared" si="240"/>
        <v>#DIV/0!</v>
      </c>
      <c r="EI219" s="117" t="e">
        <f t="shared" si="240"/>
        <v>#DIV/0!</v>
      </c>
      <c r="EJ219" s="117" t="e">
        <f t="shared" si="240"/>
        <v>#DIV/0!</v>
      </c>
      <c r="EK219" s="117" t="e">
        <f t="shared" si="240"/>
        <v>#DIV/0!</v>
      </c>
      <c r="EL219" s="117" t="e">
        <f t="shared" si="240"/>
        <v>#DIV/0!</v>
      </c>
      <c r="EM219" s="117" t="e">
        <f t="shared" si="240"/>
        <v>#DIV/0!</v>
      </c>
      <c r="EN219" s="117" t="e">
        <f t="shared" si="240"/>
        <v>#DIV/0!</v>
      </c>
      <c r="EO219" s="116">
        <f t="shared" si="240"/>
        <v>0.155046203031416</v>
      </c>
      <c r="EP219" s="117">
        <f t="shared" si="240"/>
        <v>0.102852769006793</v>
      </c>
      <c r="EQ219" s="117">
        <f t="shared" si="240"/>
        <v>0.17456225588135</v>
      </c>
      <c r="ER219" s="117">
        <f t="shared" si="240"/>
        <v>0.160347163659954</v>
      </c>
      <c r="ES219" s="117">
        <f t="shared" si="240"/>
        <v>0.146212016341395</v>
      </c>
      <c r="ET219" s="117">
        <f t="shared" si="240"/>
        <v>0.145784592403606</v>
      </c>
      <c r="EU219" s="117">
        <f t="shared" si="240"/>
        <v>0.0957627262178136</v>
      </c>
      <c r="EV219" s="117">
        <f t="shared" si="240"/>
        <v>0.078189620830202</v>
      </c>
      <c r="EW219" s="117">
        <f t="shared" si="240"/>
        <v>0.11318381319703</v>
      </c>
      <c r="EX219" s="117">
        <f t="shared" si="240"/>
        <v>0.09952161132561</v>
      </c>
      <c r="EY219" s="117">
        <f t="shared" si="240"/>
        <v>0.0579183472148839</v>
      </c>
      <c r="EZ219" s="117">
        <f t="shared" si="240"/>
        <v>0.0563604339086548</v>
      </c>
      <c r="FA219" s="117">
        <f t="shared" si="240"/>
        <v>0.0751053265976047</v>
      </c>
      <c r="FB219" s="117">
        <f t="shared" si="240"/>
        <v>0.107997724418293</v>
      </c>
      <c r="FC219" s="118"/>
      <c r="FD219" s="117"/>
      <c r="FE219" s="117"/>
      <c r="FF219" s="117"/>
      <c r="FG219" s="117"/>
      <c r="FH219" s="117"/>
      <c r="FI219" s="117"/>
      <c r="FJ219" s="117"/>
      <c r="FK219" s="117" t="e">
        <f t="shared" si="211"/>
        <v>#DIV/0!</v>
      </c>
      <c r="FL219" s="117" t="e">
        <f t="shared" si="212"/>
        <v>#DIV/0!</v>
      </c>
      <c r="FM219" s="117" t="e">
        <f t="shared" si="213"/>
        <v>#DIV/0!</v>
      </c>
      <c r="FN219" s="117" t="e">
        <f t="shared" si="214"/>
        <v>#DIV/0!</v>
      </c>
      <c r="FO219" s="9" t="e">
        <f t="shared" si="215"/>
        <v>#DIV/0!</v>
      </c>
      <c r="FP219" s="118">
        <f t="shared" ref="FP219:GB219" si="241">FP7/FP$211</f>
        <v>0.124964504351187</v>
      </c>
      <c r="FQ219" s="117">
        <f t="shared" si="241"/>
        <v>0.25433560432402</v>
      </c>
      <c r="FR219" s="117">
        <f t="shared" si="241"/>
        <v>0.107606125484299</v>
      </c>
      <c r="FS219" s="117">
        <f t="shared" si="241"/>
        <v>0.10657337507411</v>
      </c>
      <c r="FT219" s="117">
        <f t="shared" si="241"/>
        <v>0.0972388961874424</v>
      </c>
      <c r="FU219" s="117">
        <f t="shared" si="241"/>
        <v>0.0663147520509383</v>
      </c>
      <c r="FV219" s="117">
        <f t="shared" si="241"/>
        <v>0.0687140935366749</v>
      </c>
      <c r="FW219" s="117">
        <f t="shared" si="241"/>
        <v>0.103845576873355</v>
      </c>
      <c r="FX219" s="117">
        <f t="shared" si="241"/>
        <v>0.0725028257871639</v>
      </c>
      <c r="FY219" s="117">
        <f t="shared" si="241"/>
        <v>0.0457060579087238</v>
      </c>
      <c r="FZ219" s="117">
        <f t="shared" si="241"/>
        <v>0.104705473293241</v>
      </c>
      <c r="GA219" s="117">
        <f t="shared" si="241"/>
        <v>0.0455942338105808</v>
      </c>
      <c r="GB219" s="116">
        <f t="shared" si="241"/>
        <v>0.104076338142886</v>
      </c>
    </row>
    <row r="220" spans="1:186">
      <c r="A220" s="147" t="s">
        <v>40</v>
      </c>
      <c r="B220" s="160">
        <f t="shared" si="217"/>
        <v>0.12936732873071</v>
      </c>
      <c r="C220" s="117">
        <f t="shared" ref="C220:AH220" si="242">C8/C$211</f>
        <v>0.0698307090617829</v>
      </c>
      <c r="D220" s="117">
        <f t="shared" si="242"/>
        <v>0.058309707981712</v>
      </c>
      <c r="E220" s="117">
        <f t="shared" si="242"/>
        <v>0.0667859518538261</v>
      </c>
      <c r="F220" s="117">
        <f t="shared" si="242"/>
        <v>0.108260875768497</v>
      </c>
      <c r="G220" s="117">
        <f t="shared" si="242"/>
        <v>0.0773769706861962</v>
      </c>
      <c r="H220" s="117">
        <f t="shared" si="242"/>
        <v>0.116670766883774</v>
      </c>
      <c r="I220" s="117">
        <f t="shared" si="242"/>
        <v>0.0800098566514358</v>
      </c>
      <c r="J220" s="117">
        <f t="shared" si="242"/>
        <v>0.0572886822370761</v>
      </c>
      <c r="K220" s="117">
        <f t="shared" si="242"/>
        <v>0.0947278101740142</v>
      </c>
      <c r="L220" s="117">
        <f t="shared" si="242"/>
        <v>0.114827712660723</v>
      </c>
      <c r="M220" s="117">
        <f t="shared" si="242"/>
        <v>0.0449844168269519</v>
      </c>
      <c r="N220" s="117">
        <f t="shared" si="242"/>
        <v>0.0791002630348812</v>
      </c>
      <c r="O220" s="9">
        <f t="shared" si="242"/>
        <v>0.0790180657294161</v>
      </c>
      <c r="P220" s="117">
        <f t="shared" si="242"/>
        <v>0.0289338458706523</v>
      </c>
      <c r="Q220" s="117">
        <f t="shared" si="242"/>
        <v>0.0314261818005097</v>
      </c>
      <c r="R220" s="117">
        <f t="shared" si="242"/>
        <v>0.0313942861236155</v>
      </c>
      <c r="S220" s="117">
        <f t="shared" si="242"/>
        <v>0.0478969462101343</v>
      </c>
      <c r="T220" s="117">
        <f t="shared" si="242"/>
        <v>0.0420127880386158</v>
      </c>
      <c r="U220" s="117">
        <f t="shared" si="242"/>
        <v>0.0426828148326654</v>
      </c>
      <c r="V220" s="117">
        <f t="shared" si="242"/>
        <v>0.0419905493568507</v>
      </c>
      <c r="W220" s="117">
        <f t="shared" si="242"/>
        <v>0.0322263541025747</v>
      </c>
      <c r="X220" s="117">
        <f t="shared" si="242"/>
        <v>0.0489532117649095</v>
      </c>
      <c r="Y220" s="117">
        <f t="shared" si="242"/>
        <v>0.0595748932206092</v>
      </c>
      <c r="Z220" s="117">
        <f t="shared" si="242"/>
        <v>0.0337770631132917</v>
      </c>
      <c r="AA220" s="117">
        <f t="shared" si="242"/>
        <v>0.023362252002347</v>
      </c>
      <c r="AB220" s="9">
        <f t="shared" si="242"/>
        <v>0.0381628392750645</v>
      </c>
      <c r="AC220" s="117">
        <f t="shared" si="242"/>
        <v>0.0368985799497715</v>
      </c>
      <c r="AD220" s="117">
        <f t="shared" si="242"/>
        <v>0.0277709384502437</v>
      </c>
      <c r="AE220" s="117">
        <f t="shared" si="242"/>
        <v>0.0308147898728192</v>
      </c>
      <c r="AF220" s="117">
        <f t="shared" si="242"/>
        <v>0.0454710947657282</v>
      </c>
      <c r="AG220" s="117">
        <f t="shared" si="242"/>
        <v>0.072958381236084</v>
      </c>
      <c r="AH220" s="117">
        <f t="shared" si="242"/>
        <v>0.0521011713999376</v>
      </c>
      <c r="AI220" s="117">
        <f t="shared" ref="AI220:BN220" si="243">AI8/AI$211</f>
        <v>0.0579722983392438</v>
      </c>
      <c r="AJ220" s="117">
        <f t="shared" si="243"/>
        <v>0.0427722380532562</v>
      </c>
      <c r="AK220" s="117">
        <f t="shared" si="243"/>
        <v>0.0561533781395148</v>
      </c>
      <c r="AL220" s="117">
        <f t="shared" si="243"/>
        <v>0.0558659094383972</v>
      </c>
      <c r="AM220" s="117">
        <f t="shared" si="243"/>
        <v>0.0329552603923361</v>
      </c>
      <c r="AN220" s="117">
        <f t="shared" si="243"/>
        <v>0.0365083363267595</v>
      </c>
      <c r="AO220" s="9">
        <f t="shared" si="243"/>
        <v>0.0454845057416045</v>
      </c>
      <c r="AP220" s="144">
        <f t="shared" si="243"/>
        <v>0.111450435373365</v>
      </c>
      <c r="AQ220" s="144">
        <f t="shared" si="243"/>
        <v>0.130738581433523</v>
      </c>
      <c r="AR220" s="144">
        <f t="shared" si="243"/>
        <v>0.10545947267467</v>
      </c>
      <c r="AS220" s="144">
        <f t="shared" si="243"/>
        <v>0.173540043692326</v>
      </c>
      <c r="AT220" s="144">
        <f t="shared" si="243"/>
        <v>0.143075346003365</v>
      </c>
      <c r="AU220" s="144">
        <f t="shared" si="243"/>
        <v>0.179339580305188</v>
      </c>
      <c r="AV220" s="144">
        <f t="shared" si="243"/>
        <v>0.137721964041759</v>
      </c>
      <c r="AW220" s="144">
        <f t="shared" si="243"/>
        <v>0.0998317394394789</v>
      </c>
      <c r="AX220" s="144">
        <f t="shared" si="243"/>
        <v>0.173100240522013</v>
      </c>
      <c r="AY220" s="144">
        <f t="shared" si="243"/>
        <v>0.201753160741578</v>
      </c>
      <c r="AZ220" s="144">
        <f t="shared" si="243"/>
        <v>0.0863667395742204</v>
      </c>
      <c r="BA220" s="144">
        <f t="shared" si="243"/>
        <v>0.113475150168488</v>
      </c>
      <c r="BB220" s="9">
        <f t="shared" si="243"/>
        <v>0.135895742873499</v>
      </c>
      <c r="BC220" s="144">
        <f t="shared" si="243"/>
        <v>0.0563229603610285</v>
      </c>
      <c r="BD220" s="144">
        <f t="shared" si="243"/>
        <v>0.0328545168608651</v>
      </c>
      <c r="BE220" s="144">
        <f t="shared" si="243"/>
        <v>0.0464123396967107</v>
      </c>
      <c r="BF220" s="144">
        <f t="shared" si="243"/>
        <v>0.0781574699630871</v>
      </c>
      <c r="BG220" s="144">
        <f t="shared" si="243"/>
        <v>0.0524269001144257</v>
      </c>
      <c r="BH220" s="144">
        <f t="shared" si="243"/>
        <v>0.0901685455187665</v>
      </c>
      <c r="BI220" s="144">
        <f t="shared" si="243"/>
        <v>0.0628594653010367</v>
      </c>
      <c r="BJ220" s="144">
        <f t="shared" si="243"/>
        <v>0.0396910910183747</v>
      </c>
      <c r="BK220" s="144">
        <f t="shared" si="243"/>
        <v>0.0720246436485001</v>
      </c>
      <c r="BL220" s="144">
        <f t="shared" si="243"/>
        <v>0.0709808950004267</v>
      </c>
      <c r="BM220" s="144">
        <f t="shared" si="243"/>
        <v>0.036409141378508</v>
      </c>
      <c r="BN220" s="144">
        <f t="shared" si="243"/>
        <v>0.0586475727421772</v>
      </c>
      <c r="BO220" s="9">
        <f t="shared" ref="BO220:CT220" si="244">BO8/BO$211</f>
        <v>0.056554653278998</v>
      </c>
      <c r="BP220" s="144">
        <f t="shared" si="244"/>
        <v>0.0761456242649223</v>
      </c>
      <c r="BQ220" s="144">
        <f t="shared" si="244"/>
        <v>0.059932348561996</v>
      </c>
      <c r="BR220" s="144">
        <f t="shared" si="244"/>
        <v>0.0834415001161142</v>
      </c>
      <c r="BS220" s="144">
        <f t="shared" si="244"/>
        <v>0.112620009803375</v>
      </c>
      <c r="BT220" s="144">
        <f t="shared" si="244"/>
        <v>0.0682379940760507</v>
      </c>
      <c r="BU220" s="144">
        <f t="shared" si="244"/>
        <v>0.115012066604685</v>
      </c>
      <c r="BV220" s="144">
        <f t="shared" si="244"/>
        <v>0.0642069283374682</v>
      </c>
      <c r="BW220" s="144">
        <f t="shared" si="244"/>
        <v>0.0549924024408271</v>
      </c>
      <c r="BX220" s="144">
        <f t="shared" si="244"/>
        <v>0.0874400997105789</v>
      </c>
      <c r="BY220" s="144">
        <f t="shared" si="244"/>
        <v>0.105679656520627</v>
      </c>
      <c r="BZ220" s="144">
        <f t="shared" si="244"/>
        <v>0.0398102564764604</v>
      </c>
      <c r="CA220" s="144">
        <f t="shared" si="244"/>
        <v>0.0814620231051648</v>
      </c>
      <c r="CB220" s="9">
        <f t="shared" si="244"/>
        <v>0.0778602533886815</v>
      </c>
      <c r="CC220" s="144">
        <f t="shared" si="244"/>
        <v>0.0627023571854008</v>
      </c>
      <c r="CD220" s="144">
        <f t="shared" si="244"/>
        <v>0.0887048166512227</v>
      </c>
      <c r="CE220" s="144">
        <f t="shared" si="244"/>
        <v>0.0771616514337601</v>
      </c>
      <c r="CF220" s="144">
        <f t="shared" si="244"/>
        <v>0.0961779133487669</v>
      </c>
      <c r="CG220" s="144">
        <f t="shared" si="244"/>
        <v>0.098635551363311</v>
      </c>
      <c r="CH220" s="144">
        <f t="shared" si="244"/>
        <v>0.0934824630454721</v>
      </c>
      <c r="CI220" s="144">
        <f t="shared" si="244"/>
        <v>0.076627071108161</v>
      </c>
      <c r="CJ220" s="144">
        <f t="shared" si="244"/>
        <v>0.076824936798568</v>
      </c>
      <c r="CK220" s="144">
        <f t="shared" si="244"/>
        <v>0.0769329347646602</v>
      </c>
      <c r="CL220" s="144">
        <f t="shared" si="244"/>
        <v>0.0998129123327029</v>
      </c>
      <c r="CM220" s="144">
        <f t="shared" si="244"/>
        <v>0.0600968737775339</v>
      </c>
      <c r="CN220" s="144">
        <f t="shared" si="244"/>
        <v>0.0723056129871672</v>
      </c>
      <c r="CO220" s="9">
        <f t="shared" si="244"/>
        <v>0.0811307681338612</v>
      </c>
      <c r="CP220" s="144">
        <f t="shared" si="244"/>
        <v>0.0863795275600642</v>
      </c>
      <c r="CQ220" s="144">
        <f t="shared" si="244"/>
        <v>0.0684940854080562</v>
      </c>
      <c r="CR220" s="144">
        <f t="shared" si="244"/>
        <v>0.0811831729190594</v>
      </c>
      <c r="CS220" s="144">
        <f t="shared" si="244"/>
        <v>0.120282537929717</v>
      </c>
      <c r="CT220" s="144">
        <f t="shared" si="244"/>
        <v>0.0917353927006561</v>
      </c>
      <c r="CU220" s="144">
        <f t="shared" ref="CU220:EB220" si="245">CU8/CU$211</f>
        <v>0.15384008703436</v>
      </c>
      <c r="CV220" s="144">
        <f t="shared" si="245"/>
        <v>0.0968200559740665</v>
      </c>
      <c r="CW220" s="144">
        <f t="shared" si="245"/>
        <v>0.0653467179112249</v>
      </c>
      <c r="CX220" s="144">
        <f t="shared" si="245"/>
        <v>0.108010987717639</v>
      </c>
      <c r="CY220" s="144">
        <f t="shared" si="245"/>
        <v>0.115861206935464</v>
      </c>
      <c r="CZ220" s="144">
        <f t="shared" si="245"/>
        <v>0.0537918723454812</v>
      </c>
      <c r="DA220" s="144">
        <f t="shared" si="245"/>
        <v>0.0746277985424453</v>
      </c>
      <c r="DB220" s="9">
        <f t="shared" si="245"/>
        <v>0.091254117479882</v>
      </c>
      <c r="DC220" s="144">
        <f t="shared" si="245"/>
        <v>0.0687206917677348</v>
      </c>
      <c r="DD220" s="144">
        <f t="shared" si="245"/>
        <v>0.0474474639870612</v>
      </c>
      <c r="DE220" s="144">
        <f t="shared" si="245"/>
        <v>0.0532707024902564</v>
      </c>
      <c r="DF220" s="144">
        <f t="shared" si="245"/>
        <v>0.0811224375266506</v>
      </c>
      <c r="DG220" s="144">
        <f t="shared" si="245"/>
        <v>0.06049618421388</v>
      </c>
      <c r="DH220" s="144">
        <f t="shared" si="245"/>
        <v>0.0818453211111536</v>
      </c>
      <c r="DI220" s="144">
        <f t="shared" si="245"/>
        <v>0.081308473071727</v>
      </c>
      <c r="DJ220" s="144">
        <f t="shared" si="245"/>
        <v>0.0486943228618039</v>
      </c>
      <c r="DK220" s="144">
        <f t="shared" si="245"/>
        <v>0.118141274128949</v>
      </c>
      <c r="DL220" s="144">
        <f t="shared" si="245"/>
        <v>0.152449688030057</v>
      </c>
      <c r="DM220" s="144">
        <f t="shared" si="245"/>
        <v>0.0350411814199045</v>
      </c>
      <c r="DN220" s="144">
        <f t="shared" si="245"/>
        <v>0.0670625773128383</v>
      </c>
      <c r="DO220" s="9">
        <f t="shared" si="245"/>
        <v>0.0734350494051397</v>
      </c>
      <c r="DP220" s="144">
        <f t="shared" si="245"/>
        <v>0.0655608422603444</v>
      </c>
      <c r="DQ220" s="144">
        <f t="shared" si="245"/>
        <v>0.0652804934251714</v>
      </c>
      <c r="DR220" s="144">
        <f t="shared" si="245"/>
        <v>0.0634665088638232</v>
      </c>
      <c r="DS220" s="144">
        <f t="shared" si="245"/>
        <v>0.0746429210888413</v>
      </c>
      <c r="DT220" s="144">
        <f t="shared" si="245"/>
        <v>0.0762969647571727</v>
      </c>
      <c r="DU220" s="144">
        <f t="shared" si="245"/>
        <v>0.0933532028171886</v>
      </c>
      <c r="DV220" s="144">
        <f t="shared" si="245"/>
        <v>0.0807281423559951</v>
      </c>
      <c r="DW220" s="144">
        <f t="shared" si="245"/>
        <v>0.0524935616855082</v>
      </c>
      <c r="DX220" s="144">
        <f t="shared" si="245"/>
        <v>0.0963107039376343</v>
      </c>
      <c r="DY220" s="144">
        <f t="shared" si="245"/>
        <v>0.0836297988943571</v>
      </c>
      <c r="DZ220" s="144">
        <f t="shared" si="245"/>
        <v>0.0399312971775006</v>
      </c>
      <c r="EA220" s="144">
        <f t="shared" si="245"/>
        <v>0.0728820315086392</v>
      </c>
      <c r="EB220" s="117">
        <f t="shared" si="245"/>
        <v>0.0714854398336834</v>
      </c>
      <c r="EC220" s="118"/>
      <c r="ED220" s="117">
        <f t="shared" ref="ED220:FB220" si="246">ED8/ED$211</f>
        <v>0</v>
      </c>
      <c r="EE220" s="117">
        <f t="shared" si="246"/>
        <v>0</v>
      </c>
      <c r="EF220" s="117">
        <f t="shared" si="246"/>
        <v>0.118024753616323</v>
      </c>
      <c r="EG220" s="117" t="e">
        <f t="shared" si="246"/>
        <v>#DIV/0!</v>
      </c>
      <c r="EH220" s="117" t="e">
        <f t="shared" si="246"/>
        <v>#DIV/0!</v>
      </c>
      <c r="EI220" s="117" t="e">
        <f t="shared" si="246"/>
        <v>#DIV/0!</v>
      </c>
      <c r="EJ220" s="117" t="e">
        <f t="shared" si="246"/>
        <v>#DIV/0!</v>
      </c>
      <c r="EK220" s="117" t="e">
        <f t="shared" si="246"/>
        <v>#DIV/0!</v>
      </c>
      <c r="EL220" s="117" t="e">
        <f t="shared" si="246"/>
        <v>#DIV/0!</v>
      </c>
      <c r="EM220" s="117" t="e">
        <f t="shared" si="246"/>
        <v>#DIV/0!</v>
      </c>
      <c r="EN220" s="117" t="e">
        <f t="shared" si="246"/>
        <v>#DIV/0!</v>
      </c>
      <c r="EO220" s="116">
        <f t="shared" si="246"/>
        <v>0.0224956468817097</v>
      </c>
      <c r="EP220" s="117">
        <f t="shared" si="246"/>
        <v>0.191047350334442</v>
      </c>
      <c r="EQ220" s="117">
        <f t="shared" si="246"/>
        <v>0.192977720013683</v>
      </c>
      <c r="ER220" s="117">
        <f t="shared" si="246"/>
        <v>0.18322594357816</v>
      </c>
      <c r="ES220" s="117">
        <f t="shared" si="246"/>
        <v>0.28162330292224</v>
      </c>
      <c r="ET220" s="117">
        <f t="shared" si="246"/>
        <v>0.190206125531856</v>
      </c>
      <c r="EU220" s="117">
        <f t="shared" si="246"/>
        <v>0.244824843288413</v>
      </c>
      <c r="EV220" s="117">
        <f t="shared" si="246"/>
        <v>0.187089088642109</v>
      </c>
      <c r="EW220" s="117">
        <f t="shared" si="246"/>
        <v>0.132036033157975</v>
      </c>
      <c r="EX220" s="117">
        <f t="shared" si="246"/>
        <v>0.184584951602273</v>
      </c>
      <c r="EY220" s="117">
        <f t="shared" si="246"/>
        <v>0.294169766632832</v>
      </c>
      <c r="EZ220" s="117">
        <f t="shared" si="246"/>
        <v>0.193162286754059</v>
      </c>
      <c r="FA220" s="117">
        <f t="shared" si="246"/>
        <v>0.232411117665495</v>
      </c>
      <c r="FB220" s="117">
        <f t="shared" si="246"/>
        <v>0.21082071620295</v>
      </c>
      <c r="FC220" s="118"/>
      <c r="FD220" s="117"/>
      <c r="FE220" s="117"/>
      <c r="FF220" s="117"/>
      <c r="FG220" s="117"/>
      <c r="FH220" s="117"/>
      <c r="FI220" s="117"/>
      <c r="FJ220" s="117"/>
      <c r="FK220" s="117" t="e">
        <f t="shared" si="211"/>
        <v>#DIV/0!</v>
      </c>
      <c r="FL220" s="117" t="e">
        <f t="shared" si="212"/>
        <v>#DIV/0!</v>
      </c>
      <c r="FM220" s="117" t="e">
        <f t="shared" si="213"/>
        <v>#DIV/0!</v>
      </c>
      <c r="FN220" s="117" t="e">
        <f t="shared" si="214"/>
        <v>#DIV/0!</v>
      </c>
      <c r="FO220" s="9" t="e">
        <f t="shared" si="215"/>
        <v>#DIV/0!</v>
      </c>
      <c r="FP220" s="118">
        <f t="shared" ref="FP220:GB220" si="247">FP8/FP$211</f>
        <v>0.0781128866345029</v>
      </c>
      <c r="FQ220" s="117">
        <f t="shared" si="247"/>
        <v>0.0494049077373673</v>
      </c>
      <c r="FR220" s="117">
        <f t="shared" si="247"/>
        <v>0.0601439190043686</v>
      </c>
      <c r="FS220" s="117">
        <f t="shared" si="247"/>
        <v>0.130879540461289</v>
      </c>
      <c r="FT220" s="117">
        <f t="shared" si="247"/>
        <v>0.0680995397705735</v>
      </c>
      <c r="FU220" s="117">
        <f t="shared" si="247"/>
        <v>0.165293376681755</v>
      </c>
      <c r="FV220" s="117">
        <f t="shared" si="247"/>
        <v>0.0873401809839533</v>
      </c>
      <c r="FW220" s="117">
        <f t="shared" si="247"/>
        <v>0.0592779638842071</v>
      </c>
      <c r="FX220" s="117">
        <f t="shared" si="247"/>
        <v>0.108581091392899</v>
      </c>
      <c r="FY220" s="117">
        <f t="shared" si="247"/>
        <v>0.146379011922727</v>
      </c>
      <c r="FZ220" s="117">
        <f t="shared" si="247"/>
        <v>0.0306402464803607</v>
      </c>
      <c r="GA220" s="117">
        <f t="shared" si="247"/>
        <v>0.100396601627789</v>
      </c>
      <c r="GB220" s="116">
        <f t="shared" si="247"/>
        <v>0.0863921790398066</v>
      </c>
    </row>
    <row r="221" spans="1:186">
      <c r="A221" s="147" t="s">
        <v>43</v>
      </c>
      <c r="B221" s="160">
        <f t="shared" si="217"/>
        <v>0.0282601022696054</v>
      </c>
      <c r="C221" s="117">
        <f t="shared" ref="C221:AH221" si="248">C9/C$211</f>
        <v>0.0290620879821558</v>
      </c>
      <c r="D221" s="117">
        <f t="shared" si="248"/>
        <v>0.0313010220241224</v>
      </c>
      <c r="E221" s="117">
        <f t="shared" si="248"/>
        <v>0.0386288991327769</v>
      </c>
      <c r="F221" s="117">
        <f t="shared" si="248"/>
        <v>0.0356454332049915</v>
      </c>
      <c r="G221" s="117">
        <f t="shared" si="248"/>
        <v>0.0384776265819184</v>
      </c>
      <c r="H221" s="117">
        <f t="shared" si="248"/>
        <v>0.0375703994999258</v>
      </c>
      <c r="I221" s="117">
        <f t="shared" si="248"/>
        <v>0.0495504181477976</v>
      </c>
      <c r="J221" s="117">
        <f t="shared" si="248"/>
        <v>0.0490096890370761</v>
      </c>
      <c r="K221" s="117">
        <f t="shared" si="248"/>
        <v>0.0410901134388586</v>
      </c>
      <c r="L221" s="117">
        <f t="shared" si="248"/>
        <v>0.027533577778899</v>
      </c>
      <c r="M221" s="117">
        <f t="shared" si="248"/>
        <v>0.0400501617294678</v>
      </c>
      <c r="N221" s="117">
        <f t="shared" si="248"/>
        <v>0.0266496983795416</v>
      </c>
      <c r="O221" s="9">
        <f t="shared" si="248"/>
        <v>0.036635216240806</v>
      </c>
      <c r="P221" s="117">
        <f t="shared" si="248"/>
        <v>0.0854770375663364</v>
      </c>
      <c r="Q221" s="117">
        <f t="shared" si="248"/>
        <v>0.08174827253332</v>
      </c>
      <c r="R221" s="117">
        <f t="shared" si="248"/>
        <v>0.0977237253694013</v>
      </c>
      <c r="S221" s="117">
        <f t="shared" si="248"/>
        <v>0.102615308610636</v>
      </c>
      <c r="T221" s="117">
        <f t="shared" si="248"/>
        <v>0.123331684741785</v>
      </c>
      <c r="U221" s="117">
        <f t="shared" si="248"/>
        <v>0.116528952663409</v>
      </c>
      <c r="V221" s="117">
        <f t="shared" si="248"/>
        <v>0.115535424612518</v>
      </c>
      <c r="W221" s="117">
        <f t="shared" si="248"/>
        <v>0.118554319891315</v>
      </c>
      <c r="X221" s="117">
        <f t="shared" si="248"/>
        <v>0.1110496182161</v>
      </c>
      <c r="Y221" s="117">
        <f t="shared" si="248"/>
        <v>0.104762777217974</v>
      </c>
      <c r="Z221" s="117">
        <f t="shared" si="248"/>
        <v>0.105272732091937</v>
      </c>
      <c r="AA221" s="117">
        <f t="shared" si="248"/>
        <v>0.0939804501460391</v>
      </c>
      <c r="AB221" s="9">
        <f t="shared" si="248"/>
        <v>0.103609640707884</v>
      </c>
      <c r="AC221" s="117">
        <f t="shared" si="248"/>
        <v>0.0416610719770971</v>
      </c>
      <c r="AD221" s="117">
        <f t="shared" si="248"/>
        <v>0.0314782296587257</v>
      </c>
      <c r="AE221" s="117">
        <f t="shared" si="248"/>
        <v>0.0450735797051341</v>
      </c>
      <c r="AF221" s="117">
        <f t="shared" si="248"/>
        <v>0.0403099758132277</v>
      </c>
      <c r="AG221" s="117">
        <f t="shared" si="248"/>
        <v>0.0490614423441186</v>
      </c>
      <c r="AH221" s="117">
        <f t="shared" si="248"/>
        <v>0.0490334084384176</v>
      </c>
      <c r="AI221" s="117">
        <f t="shared" ref="AI221:BN221" si="249">AI9/AI$211</f>
        <v>0.0480606058749602</v>
      </c>
      <c r="AJ221" s="117">
        <f t="shared" si="249"/>
        <v>0.0427458605791019</v>
      </c>
      <c r="AK221" s="117">
        <f t="shared" si="249"/>
        <v>0.0472273958572675</v>
      </c>
      <c r="AL221" s="117">
        <f t="shared" si="249"/>
        <v>0.0342085945285775</v>
      </c>
      <c r="AM221" s="117">
        <f t="shared" si="249"/>
        <v>0.0257572029837079</v>
      </c>
      <c r="AN221" s="117">
        <f t="shared" si="249"/>
        <v>0.0270912367084578</v>
      </c>
      <c r="AO221" s="9">
        <f t="shared" si="249"/>
        <v>0.0397978334044755</v>
      </c>
      <c r="AP221" s="144">
        <f t="shared" si="249"/>
        <v>0.0211361112901955</v>
      </c>
      <c r="AQ221" s="144">
        <f t="shared" si="249"/>
        <v>0.0160503281514466</v>
      </c>
      <c r="AR221" s="144">
        <f t="shared" si="249"/>
        <v>0.031253879104163</v>
      </c>
      <c r="AS221" s="144">
        <f t="shared" si="249"/>
        <v>0.0271034273065665</v>
      </c>
      <c r="AT221" s="144">
        <f t="shared" si="249"/>
        <v>0.0323899140003448</v>
      </c>
      <c r="AU221" s="144">
        <f t="shared" si="249"/>
        <v>0.0281697609417243</v>
      </c>
      <c r="AV221" s="144">
        <f t="shared" si="249"/>
        <v>0.0327223121787086</v>
      </c>
      <c r="AW221" s="144">
        <f t="shared" si="249"/>
        <v>0.0402850119360408</v>
      </c>
      <c r="AX221" s="144">
        <f t="shared" si="249"/>
        <v>0.0406256293473779</v>
      </c>
      <c r="AY221" s="144">
        <f t="shared" si="249"/>
        <v>0.0306456515971132</v>
      </c>
      <c r="AZ221" s="144">
        <f t="shared" si="249"/>
        <v>0.0491245134852559</v>
      </c>
      <c r="BA221" s="144">
        <f t="shared" si="249"/>
        <v>0.0262833599501832</v>
      </c>
      <c r="BB221" s="9">
        <f t="shared" si="249"/>
        <v>0.0316155540117598</v>
      </c>
      <c r="BC221" s="144">
        <f t="shared" si="249"/>
        <v>0.02036587422931</v>
      </c>
      <c r="BD221" s="144">
        <f t="shared" si="249"/>
        <v>0.0134153042428313</v>
      </c>
      <c r="BE221" s="144">
        <f t="shared" si="249"/>
        <v>0.0231738555315845</v>
      </c>
      <c r="BF221" s="144">
        <f t="shared" si="249"/>
        <v>0.0166172432168458</v>
      </c>
      <c r="BG221" s="144">
        <f t="shared" si="249"/>
        <v>0.0160596299027854</v>
      </c>
      <c r="BH221" s="144">
        <f t="shared" si="249"/>
        <v>0.018632519108633</v>
      </c>
      <c r="BI221" s="144">
        <f t="shared" si="249"/>
        <v>0.0188694712015093</v>
      </c>
      <c r="BJ221" s="144">
        <f t="shared" si="249"/>
        <v>0.0239111990108109</v>
      </c>
      <c r="BK221" s="144">
        <f t="shared" si="249"/>
        <v>0.0152127689576479</v>
      </c>
      <c r="BL221" s="144">
        <f t="shared" si="249"/>
        <v>0.00845939321552694</v>
      </c>
      <c r="BM221" s="144">
        <f t="shared" si="249"/>
        <v>0.0140605079995506</v>
      </c>
      <c r="BN221" s="144">
        <f t="shared" si="249"/>
        <v>0.0101662034926306</v>
      </c>
      <c r="BO221" s="9">
        <f t="shared" ref="BO221:CT221" si="250">BO9/BO$211</f>
        <v>0.0165085358466072</v>
      </c>
      <c r="BP221" s="144">
        <f t="shared" si="250"/>
        <v>0.0196650589096402</v>
      </c>
      <c r="BQ221" s="144">
        <f t="shared" si="250"/>
        <v>0.0251260907213559</v>
      </c>
      <c r="BR221" s="144">
        <f t="shared" si="250"/>
        <v>0.0307550591437951</v>
      </c>
      <c r="BS221" s="144">
        <f t="shared" si="250"/>
        <v>0.0286831855313421</v>
      </c>
      <c r="BT221" s="144">
        <f t="shared" si="250"/>
        <v>0.0232205189244863</v>
      </c>
      <c r="BU221" s="144">
        <f t="shared" si="250"/>
        <v>0.0120832739057329</v>
      </c>
      <c r="BV221" s="144">
        <f t="shared" si="250"/>
        <v>0.0181370481344053</v>
      </c>
      <c r="BW221" s="144">
        <f t="shared" si="250"/>
        <v>0.0217960083094637</v>
      </c>
      <c r="BX221" s="144">
        <f t="shared" si="250"/>
        <v>0.0115040189961778</v>
      </c>
      <c r="BY221" s="144">
        <f t="shared" si="250"/>
        <v>0.00410618541895071</v>
      </c>
      <c r="BZ221" s="144">
        <f t="shared" si="250"/>
        <v>0.0273605381197763</v>
      </c>
      <c r="CA221" s="144">
        <f t="shared" si="250"/>
        <v>0.0160032752656191</v>
      </c>
      <c r="CB221" s="9">
        <f t="shared" si="250"/>
        <v>0.02021505920596</v>
      </c>
      <c r="CC221" s="144">
        <f t="shared" si="250"/>
        <v>0.0233762770026654</v>
      </c>
      <c r="CD221" s="144">
        <f t="shared" si="250"/>
        <v>0.0122808854246172</v>
      </c>
      <c r="CE221" s="144">
        <f t="shared" si="250"/>
        <v>0.0294305410233432</v>
      </c>
      <c r="CF221" s="144">
        <f t="shared" si="250"/>
        <v>0.0205836817749997</v>
      </c>
      <c r="CG221" s="144">
        <f t="shared" si="250"/>
        <v>0.0229581014285244</v>
      </c>
      <c r="CH221" s="144">
        <f t="shared" si="250"/>
        <v>0.0234892881937062</v>
      </c>
      <c r="CI221" s="144">
        <f t="shared" si="250"/>
        <v>0.0271726043220312</v>
      </c>
      <c r="CJ221" s="144">
        <f t="shared" si="250"/>
        <v>0.031737118887121</v>
      </c>
      <c r="CK221" s="144">
        <f t="shared" si="250"/>
        <v>0.0268899740618402</v>
      </c>
      <c r="CL221" s="144">
        <f t="shared" si="250"/>
        <v>0.0181599979812454</v>
      </c>
      <c r="CM221" s="144">
        <f t="shared" si="250"/>
        <v>0.0145251418977649</v>
      </c>
      <c r="CN221" s="144">
        <f t="shared" si="250"/>
        <v>0.0100126838551553</v>
      </c>
      <c r="CO221" s="9">
        <f t="shared" si="250"/>
        <v>0.0221679096585626</v>
      </c>
      <c r="CP221" s="144">
        <f t="shared" si="250"/>
        <v>0.0176600721638724</v>
      </c>
      <c r="CQ221" s="144">
        <f t="shared" si="250"/>
        <v>0.0109328738947719</v>
      </c>
      <c r="CR221" s="144">
        <f t="shared" si="250"/>
        <v>0.0171922983556733</v>
      </c>
      <c r="CS221" s="144">
        <f t="shared" si="250"/>
        <v>0.0171006687485669</v>
      </c>
      <c r="CT221" s="144">
        <f t="shared" si="250"/>
        <v>0.0155176305567233</v>
      </c>
      <c r="CU221" s="144">
        <f t="shared" ref="CU221:EB221" si="251">CU9/CU$211</f>
        <v>0.0207738631986935</v>
      </c>
      <c r="CV221" s="144">
        <f t="shared" si="251"/>
        <v>0.0203275119432766</v>
      </c>
      <c r="CW221" s="144">
        <f t="shared" si="251"/>
        <v>0.0248329793338388</v>
      </c>
      <c r="CX221" s="144">
        <f t="shared" si="251"/>
        <v>0.0162609019442498</v>
      </c>
      <c r="CY221" s="144">
        <f t="shared" si="251"/>
        <v>0.00593696113677201</v>
      </c>
      <c r="CZ221" s="144">
        <f t="shared" si="251"/>
        <v>0.0101929872247893</v>
      </c>
      <c r="DA221" s="144">
        <f t="shared" si="251"/>
        <v>0.00660090160357758</v>
      </c>
      <c r="DB221" s="9">
        <f t="shared" si="251"/>
        <v>0.0152878090140156</v>
      </c>
      <c r="DC221" s="144">
        <f t="shared" si="251"/>
        <v>0.0250357925809497</v>
      </c>
      <c r="DD221" s="144">
        <f t="shared" si="251"/>
        <v>0.0292743446812263</v>
      </c>
      <c r="DE221" s="144">
        <f t="shared" si="251"/>
        <v>0.0552555589276016</v>
      </c>
      <c r="DF221" s="144">
        <f t="shared" si="251"/>
        <v>0.0300381119340532</v>
      </c>
      <c r="DG221" s="144">
        <f t="shared" si="251"/>
        <v>0.0325476708962827</v>
      </c>
      <c r="DH221" s="144">
        <f t="shared" si="251"/>
        <v>0.0194545088862333</v>
      </c>
      <c r="DI221" s="144">
        <f t="shared" si="251"/>
        <v>0.0176644289410934</v>
      </c>
      <c r="DJ221" s="144">
        <f t="shared" si="251"/>
        <v>0.0319493942724234</v>
      </c>
      <c r="DK221" s="144">
        <f t="shared" si="251"/>
        <v>0.0182847449603535</v>
      </c>
      <c r="DL221" s="144">
        <f t="shared" si="251"/>
        <v>0.0125259804000341</v>
      </c>
      <c r="DM221" s="144">
        <f t="shared" si="251"/>
        <v>0.0321147779762002</v>
      </c>
      <c r="DN221" s="144">
        <f t="shared" si="251"/>
        <v>0.0304117263978333</v>
      </c>
      <c r="DO221" s="9">
        <f t="shared" si="251"/>
        <v>0.0279230590125742</v>
      </c>
      <c r="DP221" s="144">
        <f t="shared" si="251"/>
        <v>0.0407209247156604</v>
      </c>
      <c r="DQ221" s="144">
        <f t="shared" si="251"/>
        <v>0.0258635944956832</v>
      </c>
      <c r="DR221" s="144">
        <f t="shared" si="251"/>
        <v>0.0460489905111928</v>
      </c>
      <c r="DS221" s="144">
        <f t="shared" si="251"/>
        <v>0.0418537042866021</v>
      </c>
      <c r="DT221" s="144">
        <f t="shared" si="251"/>
        <v>0.045995535182998</v>
      </c>
      <c r="DU221" s="144">
        <f t="shared" si="251"/>
        <v>0.047885840795463</v>
      </c>
      <c r="DV221" s="144">
        <f t="shared" si="251"/>
        <v>0.0486727392950669</v>
      </c>
      <c r="DW221" s="144">
        <f t="shared" si="251"/>
        <v>0.0475148547708195</v>
      </c>
      <c r="DX221" s="144">
        <f t="shared" si="251"/>
        <v>0.0366905518770316</v>
      </c>
      <c r="DY221" s="144">
        <f t="shared" si="251"/>
        <v>0.0204077048889386</v>
      </c>
      <c r="DZ221" s="144">
        <f t="shared" si="251"/>
        <v>0.0294489535058702</v>
      </c>
      <c r="EA221" s="144">
        <f t="shared" si="251"/>
        <v>0.0125154909557494</v>
      </c>
      <c r="EB221" s="117">
        <f t="shared" si="251"/>
        <v>0.0372896871142651</v>
      </c>
      <c r="EC221" s="118"/>
      <c r="ED221" s="117">
        <f t="shared" ref="ED221:FB221" si="252">ED9/ED$211</f>
        <v>0.0398813647367216</v>
      </c>
      <c r="EE221" s="117">
        <f t="shared" si="252"/>
        <v>1</v>
      </c>
      <c r="EF221" s="117">
        <f t="shared" si="252"/>
        <v>0.158164376339526</v>
      </c>
      <c r="EG221" s="117" t="e">
        <f t="shared" si="252"/>
        <v>#DIV/0!</v>
      </c>
      <c r="EH221" s="117" t="e">
        <f t="shared" si="252"/>
        <v>#DIV/0!</v>
      </c>
      <c r="EI221" s="117" t="e">
        <f t="shared" si="252"/>
        <v>#DIV/0!</v>
      </c>
      <c r="EJ221" s="117" t="e">
        <f t="shared" si="252"/>
        <v>#DIV/0!</v>
      </c>
      <c r="EK221" s="117" t="e">
        <f t="shared" si="252"/>
        <v>#DIV/0!</v>
      </c>
      <c r="EL221" s="117" t="e">
        <f t="shared" si="252"/>
        <v>#DIV/0!</v>
      </c>
      <c r="EM221" s="117" t="e">
        <f t="shared" si="252"/>
        <v>#DIV/0!</v>
      </c>
      <c r="EN221" s="117" t="e">
        <f t="shared" si="252"/>
        <v>#DIV/0!</v>
      </c>
      <c r="EO221" s="116">
        <f t="shared" si="252"/>
        <v>0.0123110507166298</v>
      </c>
      <c r="EP221" s="117">
        <f t="shared" si="252"/>
        <v>0.0257899179596979</v>
      </c>
      <c r="EQ221" s="117">
        <f t="shared" si="252"/>
        <v>0.0411821917214883</v>
      </c>
      <c r="ER221" s="117">
        <f t="shared" si="252"/>
        <v>0.0316965480388336</v>
      </c>
      <c r="ES221" s="117">
        <f t="shared" si="252"/>
        <v>0.022724697602871</v>
      </c>
      <c r="ET221" s="117">
        <f t="shared" si="252"/>
        <v>0.0237713364833431</v>
      </c>
      <c r="EU221" s="117">
        <f t="shared" si="252"/>
        <v>0.0336003822413074</v>
      </c>
      <c r="EV221" s="117">
        <f t="shared" si="252"/>
        <v>0.034128874247711</v>
      </c>
      <c r="EW221" s="117">
        <f t="shared" si="252"/>
        <v>0.0339188739597022</v>
      </c>
      <c r="EX221" s="117">
        <f t="shared" si="252"/>
        <v>0.0266509956732579</v>
      </c>
      <c r="EY221" s="117">
        <f t="shared" si="252"/>
        <v>0.00549970156701324</v>
      </c>
      <c r="EZ221" s="117">
        <f t="shared" si="252"/>
        <v>0.0101232163499266</v>
      </c>
      <c r="FA221" s="117">
        <f t="shared" si="252"/>
        <v>0.00752267328770711</v>
      </c>
      <c r="FB221" s="117">
        <f t="shared" si="252"/>
        <v>0.0241157523762783</v>
      </c>
      <c r="FC221" s="118"/>
      <c r="FD221" s="117"/>
      <c r="FE221" s="117"/>
      <c r="FF221" s="117"/>
      <c r="FG221" s="117"/>
      <c r="FH221" s="117"/>
      <c r="FI221" s="117"/>
      <c r="FJ221" s="117"/>
      <c r="FK221" s="117" t="e">
        <f t="shared" si="211"/>
        <v>#DIV/0!</v>
      </c>
      <c r="FL221" s="117" t="e">
        <f t="shared" si="212"/>
        <v>#DIV/0!</v>
      </c>
      <c r="FM221" s="117" t="e">
        <f t="shared" si="213"/>
        <v>#DIV/0!</v>
      </c>
      <c r="FN221" s="117" t="e">
        <f t="shared" si="214"/>
        <v>#DIV/0!</v>
      </c>
      <c r="FO221" s="9" t="e">
        <f t="shared" si="215"/>
        <v>#DIV/0!</v>
      </c>
      <c r="FP221" s="118">
        <f t="shared" ref="FP221:GB221" si="253">FP9/FP$211</f>
        <v>0.0123239291869826</v>
      </c>
      <c r="FQ221" s="117">
        <f t="shared" si="253"/>
        <v>0.0317082311919414</v>
      </c>
      <c r="FR221" s="117">
        <f t="shared" si="253"/>
        <v>0.0258990376907701</v>
      </c>
      <c r="FS221" s="117">
        <f t="shared" si="253"/>
        <v>0.0224420922679401</v>
      </c>
      <c r="FT221" s="117">
        <f t="shared" si="253"/>
        <v>0.0217251599334303</v>
      </c>
      <c r="FU221" s="117">
        <f t="shared" si="253"/>
        <v>0.0184334650224409</v>
      </c>
      <c r="FV221" s="117">
        <f t="shared" si="253"/>
        <v>0.0689312733138793</v>
      </c>
      <c r="FW221" s="117">
        <f t="shared" si="253"/>
        <v>0.0535577584510292</v>
      </c>
      <c r="FX221" s="117">
        <f t="shared" si="253"/>
        <v>0.0421300492536167</v>
      </c>
      <c r="FY221" s="117">
        <f t="shared" si="253"/>
        <v>0.0164369369970918</v>
      </c>
      <c r="FZ221" s="117">
        <f t="shared" si="253"/>
        <v>0.0422599081801436</v>
      </c>
      <c r="GA221" s="117">
        <f t="shared" si="253"/>
        <v>0.0170570261603035</v>
      </c>
      <c r="GB221" s="116">
        <f t="shared" si="253"/>
        <v>0.0304295450893322</v>
      </c>
    </row>
    <row r="222" spans="1:186">
      <c r="A222" s="147" t="s">
        <v>45</v>
      </c>
      <c r="B222" s="160">
        <f t="shared" si="217"/>
        <v>-0.39445809301692</v>
      </c>
      <c r="C222" s="117">
        <f t="shared" ref="C222:AH222" si="254">C10/C$211</f>
        <v>0.0133953226035508</v>
      </c>
      <c r="D222" s="117">
        <f t="shared" si="254"/>
        <v>0.0114242902944779</v>
      </c>
      <c r="E222" s="117">
        <f t="shared" si="254"/>
        <v>0.0113385883842197</v>
      </c>
      <c r="F222" s="117">
        <f t="shared" si="254"/>
        <v>0.00960724711002829</v>
      </c>
      <c r="G222" s="117">
        <f t="shared" si="254"/>
        <v>0.0132528860601443</v>
      </c>
      <c r="H222" s="117">
        <f t="shared" si="254"/>
        <v>0.0188457957449452</v>
      </c>
      <c r="I222" s="117">
        <f t="shared" si="254"/>
        <v>0.0434136975878697</v>
      </c>
      <c r="J222" s="117">
        <f t="shared" si="254"/>
        <v>0.0336126306910639</v>
      </c>
      <c r="K222" s="117">
        <f t="shared" si="254"/>
        <v>0.02562870684437</v>
      </c>
      <c r="L222" s="117">
        <f t="shared" si="254"/>
        <v>0.0143100552329277</v>
      </c>
      <c r="M222" s="117">
        <f t="shared" si="254"/>
        <v>0.00924518451989215</v>
      </c>
      <c r="N222" s="117">
        <f t="shared" si="254"/>
        <v>0.0327486651911138</v>
      </c>
      <c r="O222" s="9">
        <f t="shared" si="254"/>
        <v>0.0194891390046953</v>
      </c>
      <c r="P222" s="117">
        <f t="shared" si="254"/>
        <v>0.00512711526337237</v>
      </c>
      <c r="Q222" s="117">
        <f t="shared" si="254"/>
        <v>0.00430421501304419</v>
      </c>
      <c r="R222" s="117">
        <f t="shared" si="254"/>
        <v>0.00333731398270771</v>
      </c>
      <c r="S222" s="117">
        <f t="shared" si="254"/>
        <v>0.00265335305127596</v>
      </c>
      <c r="T222" s="117">
        <f t="shared" si="254"/>
        <v>0.00393992159592549</v>
      </c>
      <c r="U222" s="117">
        <f t="shared" si="254"/>
        <v>0.00639338594527967</v>
      </c>
      <c r="V222" s="117">
        <f t="shared" si="254"/>
        <v>0.0105009203112448</v>
      </c>
      <c r="W222" s="117">
        <f t="shared" si="254"/>
        <v>0.0115676563305966</v>
      </c>
      <c r="X222" s="117">
        <f t="shared" si="254"/>
        <v>0.0102139572596463</v>
      </c>
      <c r="Y222" s="117">
        <f t="shared" si="254"/>
        <v>0.00663713767106581</v>
      </c>
      <c r="Z222" s="117">
        <f t="shared" si="254"/>
        <v>0.00258425839530134</v>
      </c>
      <c r="AA222" s="117">
        <f t="shared" si="254"/>
        <v>0.00404635461664825</v>
      </c>
      <c r="AB222" s="9">
        <f t="shared" si="254"/>
        <v>0.00605029801731657</v>
      </c>
      <c r="AC222" s="117">
        <f t="shared" si="254"/>
        <v>0.0148197446814775</v>
      </c>
      <c r="AD222" s="117">
        <f t="shared" si="254"/>
        <v>0.0104042530063335</v>
      </c>
      <c r="AE222" s="117">
        <f t="shared" si="254"/>
        <v>0.00758520355766197</v>
      </c>
      <c r="AF222" s="117">
        <f t="shared" si="254"/>
        <v>0.00692823943652646</v>
      </c>
      <c r="AG222" s="117">
        <f t="shared" si="254"/>
        <v>0.00619758999480769</v>
      </c>
      <c r="AH222" s="117">
        <f t="shared" si="254"/>
        <v>0.0130054742564312</v>
      </c>
      <c r="AI222" s="117">
        <f t="shared" ref="AI222:BN222" si="255">AI10/AI$211</f>
        <v>0.0189721828144637</v>
      </c>
      <c r="AJ222" s="117">
        <f t="shared" si="255"/>
        <v>0.0176690501932732</v>
      </c>
      <c r="AK222" s="117">
        <f t="shared" si="255"/>
        <v>0.0203592727536852</v>
      </c>
      <c r="AL222" s="117">
        <f t="shared" si="255"/>
        <v>0.0190123503979869</v>
      </c>
      <c r="AM222" s="117">
        <f t="shared" si="255"/>
        <v>0.017722337858676</v>
      </c>
      <c r="AN222" s="117">
        <f t="shared" si="255"/>
        <v>0.00872182163852846</v>
      </c>
      <c r="AO222" s="9">
        <f t="shared" si="255"/>
        <v>0.0140014446496343</v>
      </c>
      <c r="AP222" s="144">
        <f t="shared" si="255"/>
        <v>0.0394780838137784</v>
      </c>
      <c r="AQ222" s="144">
        <f t="shared" si="255"/>
        <v>0.038669651953009</v>
      </c>
      <c r="AR222" s="144">
        <f t="shared" si="255"/>
        <v>0.0397903403462605</v>
      </c>
      <c r="AS222" s="144">
        <f t="shared" si="255"/>
        <v>0.028895673834885</v>
      </c>
      <c r="AT222" s="144">
        <f t="shared" si="255"/>
        <v>0.0268886399884513</v>
      </c>
      <c r="AU222" s="144">
        <f t="shared" si="255"/>
        <v>0.025524495593495</v>
      </c>
      <c r="AV222" s="144">
        <f t="shared" si="255"/>
        <v>0.0864979882637603</v>
      </c>
      <c r="AW222" s="144">
        <f t="shared" si="255"/>
        <v>0.0650360367414928</v>
      </c>
      <c r="AX222" s="144">
        <f t="shared" si="255"/>
        <v>0.0506521791366012</v>
      </c>
      <c r="AY222" s="144">
        <f t="shared" si="255"/>
        <v>0.0216922406914783</v>
      </c>
      <c r="AZ222" s="144">
        <f t="shared" si="255"/>
        <v>0.0181635422263115</v>
      </c>
      <c r="BA222" s="144">
        <f t="shared" si="255"/>
        <v>0.0796379380975137</v>
      </c>
      <c r="BB222" s="9">
        <f t="shared" si="255"/>
        <v>0.0447096035005004</v>
      </c>
      <c r="BC222" s="144">
        <f t="shared" si="255"/>
        <v>0.0113778452661665</v>
      </c>
      <c r="BD222" s="144">
        <f t="shared" si="255"/>
        <v>0.00874940847850061</v>
      </c>
      <c r="BE222" s="144">
        <f t="shared" si="255"/>
        <v>0.00896451737904939</v>
      </c>
      <c r="BF222" s="144">
        <f t="shared" si="255"/>
        <v>0.00599152492852662</v>
      </c>
      <c r="BG222" s="144">
        <f t="shared" si="255"/>
        <v>0.0105370475899494</v>
      </c>
      <c r="BH222" s="144">
        <f t="shared" si="255"/>
        <v>0.0217072873820479</v>
      </c>
      <c r="BI222" s="144">
        <f t="shared" si="255"/>
        <v>0.0736157477926585</v>
      </c>
      <c r="BJ222" s="144">
        <f t="shared" si="255"/>
        <v>0.0465758012197046</v>
      </c>
      <c r="BK222" s="144">
        <f t="shared" si="255"/>
        <v>0.041480722079758</v>
      </c>
      <c r="BL222" s="144">
        <f t="shared" si="255"/>
        <v>0.0219260352391371</v>
      </c>
      <c r="BM222" s="144">
        <f t="shared" si="255"/>
        <v>0.0130863904864071</v>
      </c>
      <c r="BN222" s="144">
        <f t="shared" si="255"/>
        <v>0.0639353853807869</v>
      </c>
      <c r="BO222" s="9">
        <f t="shared" ref="BO222:CT222" si="256">BO10/BO$211</f>
        <v>0.0274960836875966</v>
      </c>
      <c r="BP222" s="144">
        <f t="shared" si="256"/>
        <v>0.0101111053457799</v>
      </c>
      <c r="BQ222" s="144">
        <f t="shared" si="256"/>
        <v>0.00827541140454133</v>
      </c>
      <c r="BR222" s="144">
        <f t="shared" si="256"/>
        <v>0.00759777087867209</v>
      </c>
      <c r="BS222" s="144">
        <f t="shared" si="256"/>
        <v>0.00724111517270326</v>
      </c>
      <c r="BT222" s="144">
        <f t="shared" si="256"/>
        <v>0.0102421691053447</v>
      </c>
      <c r="BU222" s="144">
        <f t="shared" si="256"/>
        <v>0.0174150887237853</v>
      </c>
      <c r="BV222" s="144">
        <f t="shared" si="256"/>
        <v>0.0440362703268931</v>
      </c>
      <c r="BW222" s="144">
        <f t="shared" si="256"/>
        <v>0.0397189486872945</v>
      </c>
      <c r="BX222" s="144">
        <f t="shared" si="256"/>
        <v>0.0217838566725079</v>
      </c>
      <c r="BY222" s="144">
        <f t="shared" si="256"/>
        <v>0.00771160416682435</v>
      </c>
      <c r="BZ222" s="144">
        <f t="shared" si="256"/>
        <v>0.00402015084251532</v>
      </c>
      <c r="CA222" s="144">
        <f t="shared" si="256"/>
        <v>0.0288019443560193</v>
      </c>
      <c r="CB222" s="9">
        <f t="shared" si="256"/>
        <v>0.0161229085480132</v>
      </c>
      <c r="CC222" s="144">
        <f t="shared" si="256"/>
        <v>0.0128423690379074</v>
      </c>
      <c r="CD222" s="144">
        <f t="shared" si="256"/>
        <v>0.0203769320621664</v>
      </c>
      <c r="CE222" s="144">
        <f t="shared" si="256"/>
        <v>0.0265138667861689</v>
      </c>
      <c r="CF222" s="144">
        <f t="shared" si="256"/>
        <v>0.0136694686705096</v>
      </c>
      <c r="CG222" s="144">
        <f t="shared" si="256"/>
        <v>0.00930632759710292</v>
      </c>
      <c r="CH222" s="144">
        <f t="shared" si="256"/>
        <v>0.0162667617179622</v>
      </c>
      <c r="CI222" s="144">
        <f t="shared" si="256"/>
        <v>0.0239211893302892</v>
      </c>
      <c r="CJ222" s="144">
        <f t="shared" si="256"/>
        <v>0.02532260681109</v>
      </c>
      <c r="CK222" s="144">
        <f t="shared" si="256"/>
        <v>0.027538524364588</v>
      </c>
      <c r="CL222" s="144">
        <f t="shared" si="256"/>
        <v>0.0161171417190817</v>
      </c>
      <c r="CM222" s="144">
        <f t="shared" si="256"/>
        <v>0.00486361769674172</v>
      </c>
      <c r="CN222" s="144">
        <f t="shared" si="256"/>
        <v>0.00607598213528116</v>
      </c>
      <c r="CO222" s="9">
        <f t="shared" si="256"/>
        <v>0.0165806227626926</v>
      </c>
      <c r="CP222" s="144">
        <f t="shared" si="256"/>
        <v>0.0291017369593222</v>
      </c>
      <c r="CQ222" s="144">
        <f t="shared" si="256"/>
        <v>0.0240068156605068</v>
      </c>
      <c r="CR222" s="144">
        <f t="shared" si="256"/>
        <v>0.026019164541611</v>
      </c>
      <c r="CS222" s="144">
        <f t="shared" si="256"/>
        <v>0.0228066359765828</v>
      </c>
      <c r="CT222" s="144">
        <f t="shared" si="256"/>
        <v>0.0284704810145012</v>
      </c>
      <c r="CU222" s="144">
        <f t="shared" ref="CU222:EB222" si="257">CU10/CU$211</f>
        <v>0.0380822720383909</v>
      </c>
      <c r="CV222" s="144">
        <f t="shared" si="257"/>
        <v>0.074686039876701</v>
      </c>
      <c r="CW222" s="144">
        <f t="shared" si="257"/>
        <v>0.0518961347904733</v>
      </c>
      <c r="CX222" s="144">
        <f t="shared" si="257"/>
        <v>0.0464441889514086</v>
      </c>
      <c r="CY222" s="144">
        <f t="shared" si="257"/>
        <v>0.0296014207668908</v>
      </c>
      <c r="CZ222" s="144">
        <f t="shared" si="257"/>
        <v>0.0165947846777489</v>
      </c>
      <c r="DA222" s="144">
        <f t="shared" si="257"/>
        <v>0.0793214338560952</v>
      </c>
      <c r="DB222" s="9">
        <f t="shared" si="257"/>
        <v>0.0382442355900055</v>
      </c>
      <c r="DC222" s="144">
        <f t="shared" si="257"/>
        <v>0.010069640998406</v>
      </c>
      <c r="DD222" s="144">
        <f t="shared" si="257"/>
        <v>0.00721156579311708</v>
      </c>
      <c r="DE222" s="144">
        <f t="shared" si="257"/>
        <v>0.00758582215066196</v>
      </c>
      <c r="DF222" s="144">
        <f t="shared" si="257"/>
        <v>0.00804932091182397</v>
      </c>
      <c r="DG222" s="144">
        <f t="shared" si="257"/>
        <v>0.00933978678907331</v>
      </c>
      <c r="DH222" s="144">
        <f t="shared" si="257"/>
        <v>0.00913764045768579</v>
      </c>
      <c r="DI222" s="144">
        <f t="shared" si="257"/>
        <v>0.0448533786565081</v>
      </c>
      <c r="DJ222" s="144">
        <f t="shared" si="257"/>
        <v>0.0431015021933274</v>
      </c>
      <c r="DK222" s="144">
        <f t="shared" si="257"/>
        <v>0.0348472170603636</v>
      </c>
      <c r="DL222" s="144">
        <f t="shared" si="257"/>
        <v>0.0151302601441944</v>
      </c>
      <c r="DM222" s="144">
        <f t="shared" si="257"/>
        <v>0.00926282539937213</v>
      </c>
      <c r="DN222" s="144">
        <f t="shared" si="257"/>
        <v>0.0223436256318548</v>
      </c>
      <c r="DO222" s="9">
        <f t="shared" si="257"/>
        <v>0.0176445283158991</v>
      </c>
      <c r="DP222" s="144">
        <f t="shared" si="257"/>
        <v>0.016753550199543</v>
      </c>
      <c r="DQ222" s="144">
        <f t="shared" si="257"/>
        <v>0.0119427550179817</v>
      </c>
      <c r="DR222" s="144">
        <f t="shared" si="257"/>
        <v>0.0118169386232979</v>
      </c>
      <c r="DS222" s="144">
        <f t="shared" si="257"/>
        <v>0.0106406864534663</v>
      </c>
      <c r="DT222" s="144">
        <f t="shared" si="257"/>
        <v>0.0121974909142925</v>
      </c>
      <c r="DU222" s="144">
        <f t="shared" si="257"/>
        <v>0.0186190655523694</v>
      </c>
      <c r="DV222" s="144">
        <f t="shared" si="257"/>
        <v>0.0490317881054353</v>
      </c>
      <c r="DW222" s="144">
        <f t="shared" si="257"/>
        <v>0.0330042250244633</v>
      </c>
      <c r="DX222" s="144">
        <f t="shared" si="257"/>
        <v>0.0409078440405298</v>
      </c>
      <c r="DY222" s="144">
        <f t="shared" si="257"/>
        <v>0.0300067823170781</v>
      </c>
      <c r="DZ222" s="144">
        <f t="shared" si="257"/>
        <v>0.0147807528556329</v>
      </c>
      <c r="EA222" s="144">
        <f t="shared" si="257"/>
        <v>0.0380159498808938</v>
      </c>
      <c r="EB222" s="117">
        <f t="shared" si="257"/>
        <v>0.0231473475500926</v>
      </c>
      <c r="EC222" s="118"/>
      <c r="ED222" s="117">
        <f t="shared" ref="ED222:FB222" si="258">ED10/ED$211</f>
        <v>0.11743931048033</v>
      </c>
      <c r="EE222" s="117">
        <f t="shared" si="258"/>
        <v>0</v>
      </c>
      <c r="EF222" s="117">
        <f t="shared" si="258"/>
        <v>0</v>
      </c>
      <c r="EG222" s="117" t="e">
        <f t="shared" si="258"/>
        <v>#DIV/0!</v>
      </c>
      <c r="EH222" s="117" t="e">
        <f t="shared" si="258"/>
        <v>#DIV/0!</v>
      </c>
      <c r="EI222" s="117" t="e">
        <f t="shared" si="258"/>
        <v>#DIV/0!</v>
      </c>
      <c r="EJ222" s="117" t="e">
        <f t="shared" si="258"/>
        <v>#DIV/0!</v>
      </c>
      <c r="EK222" s="117" t="e">
        <f t="shared" si="258"/>
        <v>#DIV/0!</v>
      </c>
      <c r="EL222" s="117" t="e">
        <f t="shared" si="258"/>
        <v>#DIV/0!</v>
      </c>
      <c r="EM222" s="117" t="e">
        <f t="shared" si="258"/>
        <v>#DIV/0!</v>
      </c>
      <c r="EN222" s="117" t="e">
        <f t="shared" si="258"/>
        <v>#DIV/0!</v>
      </c>
      <c r="EO222" s="116">
        <f t="shared" si="258"/>
        <v>0.0556039141254007</v>
      </c>
      <c r="EP222" s="117">
        <f t="shared" si="258"/>
        <v>0.021304352383729</v>
      </c>
      <c r="EQ222" s="117">
        <f t="shared" si="258"/>
        <v>0.0204138902390846</v>
      </c>
      <c r="ER222" s="117">
        <f t="shared" si="258"/>
        <v>0.0166153263710303</v>
      </c>
      <c r="ES222" s="117">
        <f t="shared" si="258"/>
        <v>0.0166657553370417</v>
      </c>
      <c r="ET222" s="117">
        <f t="shared" si="258"/>
        <v>0.0178656224232228</v>
      </c>
      <c r="EU222" s="117">
        <f t="shared" si="258"/>
        <v>0.0216877984222748</v>
      </c>
      <c r="EV222" s="117">
        <f t="shared" si="258"/>
        <v>0.0316708177053271</v>
      </c>
      <c r="EW222" s="117">
        <f t="shared" si="258"/>
        <v>0.0337859453685452</v>
      </c>
      <c r="EX222" s="117">
        <f t="shared" si="258"/>
        <v>0.0240510804317558</v>
      </c>
      <c r="EY222" s="117">
        <f t="shared" si="258"/>
        <v>0.00662755010440552</v>
      </c>
      <c r="EZ222" s="117">
        <f t="shared" si="258"/>
        <v>0.00553343140100306</v>
      </c>
      <c r="FA222" s="117">
        <f t="shared" si="258"/>
        <v>0.00850640745340984</v>
      </c>
      <c r="FB222" s="117">
        <f t="shared" si="258"/>
        <v>0.0183847617210339</v>
      </c>
      <c r="FC222" s="118"/>
      <c r="FD222" s="117"/>
      <c r="FE222" s="117"/>
      <c r="FF222" s="117"/>
      <c r="FG222" s="117"/>
      <c r="FH222" s="117"/>
      <c r="FI222" s="117"/>
      <c r="FJ222" s="117"/>
      <c r="FK222" s="117" t="e">
        <f t="shared" si="211"/>
        <v>#DIV/0!</v>
      </c>
      <c r="FL222" s="117" t="e">
        <f t="shared" si="212"/>
        <v>#DIV/0!</v>
      </c>
      <c r="FM222" s="117" t="e">
        <f t="shared" si="213"/>
        <v>#DIV/0!</v>
      </c>
      <c r="FN222" s="117" t="e">
        <f t="shared" si="214"/>
        <v>#DIV/0!</v>
      </c>
      <c r="FO222" s="9" t="e">
        <f t="shared" si="215"/>
        <v>#DIV/0!</v>
      </c>
      <c r="FP222" s="118">
        <f t="shared" ref="FP222:GB222" si="259">FP10/FP$211</f>
        <v>0.007636937316266</v>
      </c>
      <c r="FQ222" s="117">
        <f t="shared" si="259"/>
        <v>0.00552410201759216</v>
      </c>
      <c r="FR222" s="117">
        <f t="shared" si="259"/>
        <v>0.00613847378824701</v>
      </c>
      <c r="FS222" s="117">
        <f t="shared" si="259"/>
        <v>0.00502026224174142</v>
      </c>
      <c r="FT222" s="117">
        <f t="shared" si="259"/>
        <v>0.0141256709661463</v>
      </c>
      <c r="FU222" s="117">
        <f t="shared" si="259"/>
        <v>0.0194777979783006</v>
      </c>
      <c r="FV222" s="117">
        <f t="shared" si="259"/>
        <v>0.0359208293848069</v>
      </c>
      <c r="FW222" s="117">
        <f t="shared" si="259"/>
        <v>0.0286741771599677</v>
      </c>
      <c r="FX222" s="117">
        <f t="shared" si="259"/>
        <v>0.0135061659749617</v>
      </c>
      <c r="FY222" s="117">
        <f t="shared" si="259"/>
        <v>0.00843155012910951</v>
      </c>
      <c r="FZ222" s="117">
        <f t="shared" si="259"/>
        <v>0.00632756818430552</v>
      </c>
      <c r="GA222" s="117">
        <f t="shared" si="259"/>
        <v>0.0240233294532226</v>
      </c>
      <c r="GB222" s="116">
        <f t="shared" si="259"/>
        <v>0.0138903310240652</v>
      </c>
    </row>
    <row r="223" spans="1:186">
      <c r="A223" s="147" t="s">
        <v>47</v>
      </c>
      <c r="B223" s="160">
        <f t="shared" si="217"/>
        <v>-0.0772283466850875</v>
      </c>
      <c r="C223" s="117">
        <f t="shared" ref="C223:AH223" si="260">C11/C$211</f>
        <v>0.101882054688159</v>
      </c>
      <c r="D223" s="117">
        <f t="shared" si="260"/>
        <v>0.0548926258321886</v>
      </c>
      <c r="E223" s="117">
        <f t="shared" si="260"/>
        <v>0.0407449378636173</v>
      </c>
      <c r="F223" s="117">
        <f t="shared" si="260"/>
        <v>0.0183286178106607</v>
      </c>
      <c r="G223" s="117">
        <f t="shared" si="260"/>
        <v>0.0361392029155925</v>
      </c>
      <c r="H223" s="117">
        <f t="shared" si="260"/>
        <v>0.0352283373965332</v>
      </c>
      <c r="I223" s="117">
        <f t="shared" si="260"/>
        <v>0.0504925364374425</v>
      </c>
      <c r="J223" s="117">
        <f t="shared" si="260"/>
        <v>0.0322169786206953</v>
      </c>
      <c r="K223" s="117">
        <f t="shared" si="260"/>
        <v>0.0409196087963473</v>
      </c>
      <c r="L223" s="117">
        <f t="shared" si="260"/>
        <v>0.0695573700245358</v>
      </c>
      <c r="M223" s="117">
        <f t="shared" si="260"/>
        <v>0.117590961683291</v>
      </c>
      <c r="N223" s="117">
        <f t="shared" si="260"/>
        <v>0.0538394460334077</v>
      </c>
      <c r="O223" s="9">
        <f t="shared" si="260"/>
        <v>0.0571426746811584</v>
      </c>
      <c r="P223" s="117">
        <f t="shared" si="260"/>
        <v>0.0576291525533105</v>
      </c>
      <c r="Q223" s="117">
        <f t="shared" si="260"/>
        <v>0.0387288592393821</v>
      </c>
      <c r="R223" s="117">
        <f t="shared" si="260"/>
        <v>0.0204194813576486</v>
      </c>
      <c r="S223" s="117">
        <f t="shared" si="260"/>
        <v>0.0144901826834647</v>
      </c>
      <c r="T223" s="117">
        <f t="shared" si="260"/>
        <v>0.0223714667579093</v>
      </c>
      <c r="U223" s="117">
        <f t="shared" si="260"/>
        <v>0.0307512417715163</v>
      </c>
      <c r="V223" s="117">
        <f t="shared" si="260"/>
        <v>0.0389431579146584</v>
      </c>
      <c r="W223" s="117">
        <f t="shared" si="260"/>
        <v>0.0343281176224164</v>
      </c>
      <c r="X223" s="117">
        <f t="shared" si="260"/>
        <v>0.0298000384549706</v>
      </c>
      <c r="Y223" s="117">
        <f t="shared" si="260"/>
        <v>0.033282878700818</v>
      </c>
      <c r="Z223" s="117">
        <f t="shared" si="260"/>
        <v>0.0575928237250641</v>
      </c>
      <c r="AA223" s="117">
        <f t="shared" si="260"/>
        <v>0.043499575685185</v>
      </c>
      <c r="AB223" s="9">
        <f t="shared" si="260"/>
        <v>0.0366613432662037</v>
      </c>
      <c r="AC223" s="117">
        <f t="shared" si="260"/>
        <v>0.0645234603336573</v>
      </c>
      <c r="AD223" s="117">
        <f t="shared" si="260"/>
        <v>0.0318323121191035</v>
      </c>
      <c r="AE223" s="117">
        <f t="shared" si="260"/>
        <v>0.0200035619503033</v>
      </c>
      <c r="AF223" s="117">
        <f t="shared" si="260"/>
        <v>0.0124494475981915</v>
      </c>
      <c r="AG223" s="117">
        <f t="shared" si="260"/>
        <v>0.0130640280353413</v>
      </c>
      <c r="AH223" s="117">
        <f t="shared" si="260"/>
        <v>0.0107145575251923</v>
      </c>
      <c r="AI223" s="117">
        <f t="shared" ref="AI223:BN223" si="261">AI11/AI$211</f>
        <v>0.021921811603589</v>
      </c>
      <c r="AJ223" s="117">
        <f t="shared" si="261"/>
        <v>0.0165584594003478</v>
      </c>
      <c r="AK223" s="117">
        <f t="shared" si="261"/>
        <v>0.0238907119050818</v>
      </c>
      <c r="AL223" s="117">
        <f t="shared" si="261"/>
        <v>0.034223469532492</v>
      </c>
      <c r="AM223" s="117">
        <f t="shared" si="261"/>
        <v>0.0519614202558625</v>
      </c>
      <c r="AN223" s="117">
        <f t="shared" si="261"/>
        <v>0.0427318639748221</v>
      </c>
      <c r="AO223" s="9">
        <f t="shared" si="261"/>
        <v>0.0295061713807353</v>
      </c>
      <c r="AP223" s="144">
        <f t="shared" si="261"/>
        <v>0.0900538607718617</v>
      </c>
      <c r="AQ223" s="144">
        <f t="shared" si="261"/>
        <v>0.0552337728117675</v>
      </c>
      <c r="AR223" s="144">
        <f t="shared" si="261"/>
        <v>0.0291236034218313</v>
      </c>
      <c r="AS223" s="144">
        <f t="shared" si="261"/>
        <v>0.0202327198537082</v>
      </c>
      <c r="AT223" s="144">
        <f t="shared" si="261"/>
        <v>0.0314802160780241</v>
      </c>
      <c r="AU223" s="144">
        <f t="shared" si="261"/>
        <v>0.0519797099352092</v>
      </c>
      <c r="AV223" s="144">
        <f t="shared" si="261"/>
        <v>0.0577522331001182</v>
      </c>
      <c r="AW223" s="144">
        <f t="shared" si="261"/>
        <v>0.0462017790718855</v>
      </c>
      <c r="AX223" s="144">
        <f t="shared" si="261"/>
        <v>0.0411344987036255</v>
      </c>
      <c r="AY223" s="144">
        <f t="shared" si="261"/>
        <v>0.0727981948934028</v>
      </c>
      <c r="AZ223" s="144">
        <f t="shared" si="261"/>
        <v>0.122225941038138</v>
      </c>
      <c r="BA223" s="144">
        <f t="shared" si="261"/>
        <v>0.0585308466170957</v>
      </c>
      <c r="BB223" s="9">
        <f t="shared" si="261"/>
        <v>0.0584270263493043</v>
      </c>
      <c r="BC223" s="144">
        <f t="shared" si="261"/>
        <v>0.139770882964464</v>
      </c>
      <c r="BD223" s="144">
        <f t="shared" si="261"/>
        <v>0.0715550406795555</v>
      </c>
      <c r="BE223" s="144">
        <f t="shared" si="261"/>
        <v>0.0339431381309509</v>
      </c>
      <c r="BF223" s="144">
        <f t="shared" si="261"/>
        <v>0.0142056919550642</v>
      </c>
      <c r="BG223" s="144">
        <f t="shared" si="261"/>
        <v>0.0325762114608173</v>
      </c>
      <c r="BH223" s="144">
        <f t="shared" si="261"/>
        <v>0.0468446392388334</v>
      </c>
      <c r="BI223" s="144">
        <f t="shared" si="261"/>
        <v>0.0626320293294969</v>
      </c>
      <c r="BJ223" s="144">
        <f t="shared" si="261"/>
        <v>0.0368567994376603</v>
      </c>
      <c r="BK223" s="144">
        <f t="shared" si="261"/>
        <v>0.0429820420484652</v>
      </c>
      <c r="BL223" s="144">
        <f t="shared" si="261"/>
        <v>0.0672260346067904</v>
      </c>
      <c r="BM223" s="144">
        <f t="shared" si="261"/>
        <v>0.16809850880991</v>
      </c>
      <c r="BN223" s="144">
        <f t="shared" si="261"/>
        <v>0.0950778303856308</v>
      </c>
      <c r="BO223" s="9">
        <f t="shared" ref="BO223:CT223" si="262">BO11/BO$211</f>
        <v>0.0730636153564933</v>
      </c>
      <c r="BP223" s="144">
        <f t="shared" si="262"/>
        <v>0.0923081854483439</v>
      </c>
      <c r="BQ223" s="144">
        <f t="shared" si="262"/>
        <v>0.0615554724947318</v>
      </c>
      <c r="BR223" s="144">
        <f t="shared" si="262"/>
        <v>0.0413058059148052</v>
      </c>
      <c r="BS223" s="144">
        <f t="shared" si="262"/>
        <v>0.029239444475536</v>
      </c>
      <c r="BT223" s="144">
        <f t="shared" si="262"/>
        <v>0.044160206171314</v>
      </c>
      <c r="BU223" s="144">
        <f t="shared" si="262"/>
        <v>0.0324335611224225</v>
      </c>
      <c r="BV223" s="144">
        <f t="shared" si="262"/>
        <v>0.0580441732507076</v>
      </c>
      <c r="BW223" s="144">
        <f t="shared" si="262"/>
        <v>0.0373319533723662</v>
      </c>
      <c r="BX223" s="144">
        <f t="shared" si="262"/>
        <v>0.0432928719592487</v>
      </c>
      <c r="BY223" s="144">
        <f t="shared" si="262"/>
        <v>0.0713227542136798</v>
      </c>
      <c r="BZ223" s="144">
        <f t="shared" si="262"/>
        <v>0.141780028634675</v>
      </c>
      <c r="CA223" s="144">
        <f t="shared" si="262"/>
        <v>0.0519965458608982</v>
      </c>
      <c r="CB223" s="9">
        <f t="shared" si="262"/>
        <v>0.0614848377836572</v>
      </c>
      <c r="CC223" s="144">
        <f t="shared" si="262"/>
        <v>0.169451895500495</v>
      </c>
      <c r="CD223" s="144">
        <f t="shared" si="262"/>
        <v>0.0397602220418294</v>
      </c>
      <c r="CE223" s="144">
        <f t="shared" si="262"/>
        <v>0.0558702464746821</v>
      </c>
      <c r="CF223" s="144">
        <f t="shared" si="262"/>
        <v>0.018580239883489</v>
      </c>
      <c r="CG223" s="144">
        <f t="shared" si="262"/>
        <v>0.0258552138490706</v>
      </c>
      <c r="CH223" s="144">
        <f t="shared" si="262"/>
        <v>0.0452280118197269</v>
      </c>
      <c r="CI223" s="144">
        <f t="shared" si="262"/>
        <v>0.0680747579809176</v>
      </c>
      <c r="CJ223" s="144">
        <f t="shared" si="262"/>
        <v>0.0492802210539832</v>
      </c>
      <c r="CK223" s="144">
        <f t="shared" si="262"/>
        <v>0.0598751511356678</v>
      </c>
      <c r="CL223" s="144">
        <f t="shared" si="262"/>
        <v>0.0955197292519661</v>
      </c>
      <c r="CM223" s="144">
        <f t="shared" si="262"/>
        <v>0.173356978200359</v>
      </c>
      <c r="CN223" s="144">
        <f t="shared" si="262"/>
        <v>0.108849081022755</v>
      </c>
      <c r="CO223" s="9">
        <f t="shared" si="262"/>
        <v>0.0799742181794806</v>
      </c>
      <c r="CP223" s="144">
        <f t="shared" si="262"/>
        <v>0.159536386703691</v>
      </c>
      <c r="CQ223" s="144">
        <f t="shared" si="262"/>
        <v>0.0683549634542739</v>
      </c>
      <c r="CR223" s="144">
        <f t="shared" si="262"/>
        <v>0.0343728592280903</v>
      </c>
      <c r="CS223" s="144">
        <f t="shared" si="262"/>
        <v>0.0150007486050413</v>
      </c>
      <c r="CT223" s="144">
        <f t="shared" si="262"/>
        <v>0.0321169856315619</v>
      </c>
      <c r="CU223" s="144">
        <f t="shared" ref="CU223:EB223" si="263">CU11/CU$211</f>
        <v>0.0527684893403565</v>
      </c>
      <c r="CV223" s="144">
        <f t="shared" si="263"/>
        <v>0.0637281343225853</v>
      </c>
      <c r="CW223" s="144">
        <f t="shared" si="263"/>
        <v>0.0342324691311252</v>
      </c>
      <c r="CX223" s="144">
        <f t="shared" si="263"/>
        <v>0.0372006451830685</v>
      </c>
      <c r="CY223" s="144">
        <f t="shared" si="263"/>
        <v>0.0694394826074642</v>
      </c>
      <c r="CZ223" s="144">
        <f t="shared" si="263"/>
        <v>0.179964935988784</v>
      </c>
      <c r="DA223" s="144">
        <f t="shared" si="263"/>
        <v>0.0932789340065369</v>
      </c>
      <c r="DB223" s="9">
        <f t="shared" si="263"/>
        <v>0.0730710344106589</v>
      </c>
      <c r="DC223" s="144">
        <f t="shared" si="263"/>
        <v>0.0949148426437946</v>
      </c>
      <c r="DD223" s="144">
        <f t="shared" si="263"/>
        <v>0.0530335024041253</v>
      </c>
      <c r="DE223" s="144">
        <f t="shared" si="263"/>
        <v>0.0369335816996532</v>
      </c>
      <c r="DF223" s="144">
        <f t="shared" si="263"/>
        <v>0.0254832432906791</v>
      </c>
      <c r="DG223" s="144">
        <f t="shared" si="263"/>
        <v>0.0463476608033201</v>
      </c>
      <c r="DH223" s="144">
        <f t="shared" si="263"/>
        <v>0.0470927791463461</v>
      </c>
      <c r="DI223" s="144">
        <f t="shared" si="263"/>
        <v>0.0730259271542282</v>
      </c>
      <c r="DJ223" s="144">
        <f t="shared" si="263"/>
        <v>0.0475496925469736</v>
      </c>
      <c r="DK223" s="144">
        <f t="shared" si="263"/>
        <v>0.063776002790518</v>
      </c>
      <c r="DL223" s="144">
        <f t="shared" si="263"/>
        <v>0.0979317909150058</v>
      </c>
      <c r="DM223" s="144">
        <f t="shared" si="263"/>
        <v>0.170714978493957</v>
      </c>
      <c r="DN223" s="144">
        <f t="shared" si="263"/>
        <v>0.139498030783862</v>
      </c>
      <c r="DO223" s="9">
        <f t="shared" si="263"/>
        <v>0.0743052520688036</v>
      </c>
      <c r="DP223" s="144">
        <f t="shared" si="263"/>
        <v>0.065284933636439</v>
      </c>
      <c r="DQ223" s="144">
        <f t="shared" si="263"/>
        <v>0.067141489852733</v>
      </c>
      <c r="DR223" s="144">
        <f t="shared" si="263"/>
        <v>0.0485088684033994</v>
      </c>
      <c r="DS223" s="144">
        <f t="shared" si="263"/>
        <v>0.0255559748424966</v>
      </c>
      <c r="DT223" s="144">
        <f t="shared" si="263"/>
        <v>0.0316278463307208</v>
      </c>
      <c r="DU223" s="144">
        <f t="shared" si="263"/>
        <v>0.0461954941355344</v>
      </c>
      <c r="DV223" s="144">
        <f t="shared" si="263"/>
        <v>0.0393690875364612</v>
      </c>
      <c r="DW223" s="144">
        <f t="shared" si="263"/>
        <v>0.0239947723691812</v>
      </c>
      <c r="DX223" s="144">
        <f t="shared" si="263"/>
        <v>0.0308474781768612</v>
      </c>
      <c r="DY223" s="144">
        <f t="shared" si="263"/>
        <v>0.0553403659063746</v>
      </c>
      <c r="DZ223" s="144">
        <f t="shared" si="263"/>
        <v>0.134404252854966</v>
      </c>
      <c r="EA223" s="144">
        <f t="shared" si="263"/>
        <v>0.0825350979521906</v>
      </c>
      <c r="EB223" s="117">
        <f t="shared" si="263"/>
        <v>0.0544258777841173</v>
      </c>
      <c r="EC223" s="118"/>
      <c r="ED223" s="117">
        <f t="shared" ref="ED223:FB223" si="264">ED11/ED$211</f>
        <v>0.0664689412278693</v>
      </c>
      <c r="EE223" s="117">
        <f t="shared" si="264"/>
        <v>0</v>
      </c>
      <c r="EF223" s="117">
        <f t="shared" si="264"/>
        <v>0</v>
      </c>
      <c r="EG223" s="117" t="e">
        <f t="shared" si="264"/>
        <v>#DIV/0!</v>
      </c>
      <c r="EH223" s="117" t="e">
        <f t="shared" si="264"/>
        <v>#DIV/0!</v>
      </c>
      <c r="EI223" s="117" t="e">
        <f t="shared" si="264"/>
        <v>#DIV/0!</v>
      </c>
      <c r="EJ223" s="117" t="e">
        <f t="shared" si="264"/>
        <v>#DIV/0!</v>
      </c>
      <c r="EK223" s="117" t="e">
        <f t="shared" si="264"/>
        <v>#DIV/0!</v>
      </c>
      <c r="EL223" s="117" t="e">
        <f t="shared" si="264"/>
        <v>#DIV/0!</v>
      </c>
      <c r="EM223" s="117" t="e">
        <f t="shared" si="264"/>
        <v>#DIV/0!</v>
      </c>
      <c r="EN223" s="117" t="e">
        <f t="shared" si="264"/>
        <v>#DIV/0!</v>
      </c>
      <c r="EO223" s="116">
        <f t="shared" si="264"/>
        <v>0.0188308509230849</v>
      </c>
      <c r="EP223" s="117">
        <f t="shared" si="264"/>
        <v>0.105812776780866</v>
      </c>
      <c r="EQ223" s="117">
        <f t="shared" si="264"/>
        <v>0.0498374957351459</v>
      </c>
      <c r="ER223" s="117">
        <f t="shared" si="264"/>
        <v>0.04055984439381</v>
      </c>
      <c r="ES223" s="117">
        <f t="shared" si="264"/>
        <v>0.0295597777287431</v>
      </c>
      <c r="ET223" s="117">
        <f t="shared" si="264"/>
        <v>0.0340118651296561</v>
      </c>
      <c r="EU223" s="117">
        <f t="shared" si="264"/>
        <v>0.0604367144840595</v>
      </c>
      <c r="EV223" s="117">
        <f t="shared" si="264"/>
        <v>0.0817436980353815</v>
      </c>
      <c r="EW223" s="117">
        <f t="shared" si="264"/>
        <v>0.0595868441056538</v>
      </c>
      <c r="EX223" s="117">
        <f t="shared" si="264"/>
        <v>0.0638275781534434</v>
      </c>
      <c r="EY223" s="117">
        <f t="shared" si="264"/>
        <v>0.0727843244238715</v>
      </c>
      <c r="EZ223" s="117">
        <f t="shared" si="264"/>
        <v>0.131162180678729</v>
      </c>
      <c r="FA223" s="117">
        <f t="shared" si="264"/>
        <v>0.115286425167975</v>
      </c>
      <c r="FB223" s="117">
        <f t="shared" si="264"/>
        <v>0.0697384329427617</v>
      </c>
      <c r="FC223" s="118"/>
      <c r="FD223" s="117"/>
      <c r="FE223" s="117"/>
      <c r="FF223" s="117"/>
      <c r="FG223" s="117"/>
      <c r="FH223" s="117"/>
      <c r="FI223" s="117"/>
      <c r="FJ223" s="117"/>
      <c r="FK223" s="117" t="e">
        <f t="shared" si="211"/>
        <v>#DIV/0!</v>
      </c>
      <c r="FL223" s="117" t="e">
        <f t="shared" si="212"/>
        <v>#DIV/0!</v>
      </c>
      <c r="FM223" s="117" t="e">
        <f t="shared" si="213"/>
        <v>#DIV/0!</v>
      </c>
      <c r="FN223" s="117" t="e">
        <f t="shared" si="214"/>
        <v>#DIV/0!</v>
      </c>
      <c r="FO223" s="9" t="e">
        <f t="shared" si="215"/>
        <v>#DIV/0!</v>
      </c>
      <c r="FP223" s="118">
        <f t="shared" ref="FP223:GB223" si="265">FP11/FP$211</f>
        <v>0.123682301007244</v>
      </c>
      <c r="FQ223" s="117">
        <f t="shared" si="265"/>
        <v>0.0500685072517189</v>
      </c>
      <c r="FR223" s="117">
        <f t="shared" si="265"/>
        <v>0.0590848683080006</v>
      </c>
      <c r="FS223" s="117">
        <f t="shared" si="265"/>
        <v>0.0106282788060573</v>
      </c>
      <c r="FT223" s="117">
        <f t="shared" si="265"/>
        <v>0.0535985421459031</v>
      </c>
      <c r="FU223" s="117">
        <f t="shared" si="265"/>
        <v>0.022545126378304</v>
      </c>
      <c r="FV223" s="117">
        <f t="shared" si="265"/>
        <v>0.0481443492017818</v>
      </c>
      <c r="FW223" s="117">
        <f t="shared" si="265"/>
        <v>0.0245265796164444</v>
      </c>
      <c r="FX223" s="117">
        <f t="shared" si="265"/>
        <v>0.0516400589651608</v>
      </c>
      <c r="FY223" s="117">
        <f t="shared" si="265"/>
        <v>0.103329609942374</v>
      </c>
      <c r="FZ223" s="117">
        <f t="shared" si="265"/>
        <v>0.107992328871171</v>
      </c>
      <c r="GA223" s="117">
        <f t="shared" si="265"/>
        <v>0.0206529336265696</v>
      </c>
      <c r="GB223" s="116">
        <f t="shared" si="265"/>
        <v>0.0607888084930326</v>
      </c>
    </row>
    <row r="224" spans="1:186">
      <c r="A224" s="147" t="s">
        <v>49</v>
      </c>
      <c r="B224" s="160">
        <f t="shared" si="217"/>
        <v>0.759797501010091</v>
      </c>
      <c r="C224" s="117">
        <f t="shared" ref="C224:AH224" si="266">C12/C$211</f>
        <v>0.15604108707152</v>
      </c>
      <c r="D224" s="117">
        <f t="shared" si="266"/>
        <v>0.185422381309625</v>
      </c>
      <c r="E224" s="117">
        <f t="shared" si="266"/>
        <v>0.12959449293217</v>
      </c>
      <c r="F224" s="117">
        <f t="shared" si="266"/>
        <v>0.145558664593236</v>
      </c>
      <c r="G224" s="117">
        <f t="shared" si="266"/>
        <v>0.117154042524641</v>
      </c>
      <c r="H224" s="117">
        <f t="shared" si="266"/>
        <v>0.0909559193847033</v>
      </c>
      <c r="I224" s="117">
        <f t="shared" si="266"/>
        <v>0.0654380743888782</v>
      </c>
      <c r="J224" s="117">
        <f t="shared" si="266"/>
        <v>0.124946925567861</v>
      </c>
      <c r="K224" s="117">
        <f t="shared" si="266"/>
        <v>0.110364834970166</v>
      </c>
      <c r="L224" s="117">
        <f t="shared" si="266"/>
        <v>0.129973637906071</v>
      </c>
      <c r="M224" s="117">
        <f t="shared" si="266"/>
        <v>0.0765561080055885</v>
      </c>
      <c r="N224" s="117">
        <f t="shared" si="266"/>
        <v>0.102130167074346</v>
      </c>
      <c r="O224" s="9">
        <f t="shared" si="266"/>
        <v>0.12214703139136</v>
      </c>
      <c r="P224" s="117">
        <f t="shared" si="266"/>
        <v>0.060936842902037</v>
      </c>
      <c r="Q224" s="117">
        <f t="shared" si="266"/>
        <v>0.0796004062946463</v>
      </c>
      <c r="R224" s="117">
        <f t="shared" si="266"/>
        <v>0.0660362950122672</v>
      </c>
      <c r="S224" s="117">
        <f t="shared" si="266"/>
        <v>0.0875201213554627</v>
      </c>
      <c r="T224" s="117">
        <f t="shared" si="266"/>
        <v>0.0691671217000805</v>
      </c>
      <c r="U224" s="117">
        <f t="shared" si="266"/>
        <v>0.0608040152442514</v>
      </c>
      <c r="V224" s="117">
        <f t="shared" si="266"/>
        <v>0.0529749335684891</v>
      </c>
      <c r="W224" s="117">
        <f t="shared" si="266"/>
        <v>0.0693114431215001</v>
      </c>
      <c r="X224" s="117">
        <f t="shared" si="266"/>
        <v>0.0652896808672212</v>
      </c>
      <c r="Y224" s="117">
        <f t="shared" si="266"/>
        <v>0.0788845974692263</v>
      </c>
      <c r="Z224" s="117">
        <f t="shared" si="266"/>
        <v>0.0681591880761134</v>
      </c>
      <c r="AA224" s="117">
        <f t="shared" si="266"/>
        <v>0.0591942444945169</v>
      </c>
      <c r="AB224" s="9">
        <f t="shared" si="266"/>
        <v>0.0678710190530219</v>
      </c>
      <c r="AC224" s="117">
        <f t="shared" si="266"/>
        <v>0.161609873152983</v>
      </c>
      <c r="AD224" s="117">
        <f t="shared" si="266"/>
        <v>0.196453530786679</v>
      </c>
      <c r="AE224" s="117">
        <f t="shared" si="266"/>
        <v>0.157295917803119</v>
      </c>
      <c r="AF224" s="117">
        <f t="shared" si="266"/>
        <v>0.213197866217392</v>
      </c>
      <c r="AG224" s="117">
        <f t="shared" si="266"/>
        <v>0.170575588505122</v>
      </c>
      <c r="AH224" s="117">
        <f t="shared" si="266"/>
        <v>0.162217175422069</v>
      </c>
      <c r="AI224" s="117">
        <f t="shared" ref="AI224:BN224" si="267">AI12/AI$211</f>
        <v>0.124773982769304</v>
      </c>
      <c r="AJ224" s="117">
        <f t="shared" si="267"/>
        <v>0.157564397995571</v>
      </c>
      <c r="AK224" s="117">
        <f t="shared" si="267"/>
        <v>0.162224704603123</v>
      </c>
      <c r="AL224" s="117">
        <f t="shared" si="267"/>
        <v>0.16832671863861</v>
      </c>
      <c r="AM224" s="117">
        <f t="shared" si="267"/>
        <v>0.148329141400041</v>
      </c>
      <c r="AN224" s="117">
        <f t="shared" si="267"/>
        <v>0.129659572003337</v>
      </c>
      <c r="AO224" s="9">
        <f t="shared" si="267"/>
        <v>0.161344762921825</v>
      </c>
      <c r="AP224" s="144">
        <f t="shared" si="267"/>
        <v>0.131193154994485</v>
      </c>
      <c r="AQ224" s="144">
        <f t="shared" si="267"/>
        <v>0.131556565509046</v>
      </c>
      <c r="AR224" s="144">
        <f t="shared" si="267"/>
        <v>0.0951027355692956</v>
      </c>
      <c r="AS224" s="144">
        <f t="shared" si="267"/>
        <v>0.0785124636165865</v>
      </c>
      <c r="AT224" s="144">
        <f t="shared" si="267"/>
        <v>0.0668368346489739</v>
      </c>
      <c r="AU224" s="144">
        <f t="shared" si="267"/>
        <v>0.0549749935491951</v>
      </c>
      <c r="AV224" s="144">
        <f t="shared" si="267"/>
        <v>0.0449762262146054</v>
      </c>
      <c r="AW224" s="144">
        <f t="shared" si="267"/>
        <v>0.123255113092233</v>
      </c>
      <c r="AX224" s="144">
        <f t="shared" si="267"/>
        <v>0.0838861868369397</v>
      </c>
      <c r="AY224" s="144">
        <f t="shared" si="267"/>
        <v>0.0961722981968873</v>
      </c>
      <c r="AZ224" s="144">
        <f t="shared" si="267"/>
        <v>0.0597979909798886</v>
      </c>
      <c r="BA224" s="144">
        <f t="shared" si="267"/>
        <v>0.0761747353851485</v>
      </c>
      <c r="BB224" s="9">
        <f t="shared" si="267"/>
        <v>0.0883135403347973</v>
      </c>
      <c r="BC224" s="144">
        <f t="shared" si="267"/>
        <v>0.203598324681256</v>
      </c>
      <c r="BD224" s="144">
        <f t="shared" si="267"/>
        <v>0.280457104082367</v>
      </c>
      <c r="BE224" s="144">
        <f t="shared" si="267"/>
        <v>0.222345113045033</v>
      </c>
      <c r="BF224" s="144">
        <f t="shared" si="267"/>
        <v>0.21475445739731</v>
      </c>
      <c r="BG224" s="144">
        <f t="shared" si="267"/>
        <v>0.176881777863827</v>
      </c>
      <c r="BH224" s="144">
        <f t="shared" si="267"/>
        <v>0.133801297390095</v>
      </c>
      <c r="BI224" s="144">
        <f t="shared" si="267"/>
        <v>0.115433388609015</v>
      </c>
      <c r="BJ224" s="144">
        <f t="shared" si="267"/>
        <v>0.204963235160293</v>
      </c>
      <c r="BK224" s="144">
        <f t="shared" si="267"/>
        <v>0.184848779707765</v>
      </c>
      <c r="BL224" s="144">
        <f t="shared" si="267"/>
        <v>0.201341632938506</v>
      </c>
      <c r="BM224" s="144">
        <f t="shared" si="267"/>
        <v>0.128504730646447</v>
      </c>
      <c r="BN224" s="144">
        <f t="shared" si="267"/>
        <v>0.184747531716451</v>
      </c>
      <c r="BO224" s="9">
        <f t="shared" ref="BO224:CT224" si="268">BO12/BO$211</f>
        <v>0.190667730291299</v>
      </c>
      <c r="BP224" s="144">
        <f t="shared" si="268"/>
        <v>0.153044348299986</v>
      </c>
      <c r="BQ224" s="144">
        <f t="shared" si="268"/>
        <v>0.189034348039041</v>
      </c>
      <c r="BR224" s="144">
        <f t="shared" si="268"/>
        <v>0.117998903876304</v>
      </c>
      <c r="BS224" s="144">
        <f t="shared" si="268"/>
        <v>0.13714708199701</v>
      </c>
      <c r="BT224" s="144">
        <f t="shared" si="268"/>
        <v>0.124553068416907</v>
      </c>
      <c r="BU224" s="144">
        <f t="shared" si="268"/>
        <v>0.0905715383850392</v>
      </c>
      <c r="BV224" s="144">
        <f t="shared" si="268"/>
        <v>0.0647123414381616</v>
      </c>
      <c r="BW224" s="144">
        <f t="shared" si="268"/>
        <v>0.134135999759389</v>
      </c>
      <c r="BX224" s="144">
        <f t="shared" si="268"/>
        <v>0.0825077689316115</v>
      </c>
      <c r="BY224" s="144">
        <f t="shared" si="268"/>
        <v>0.124621056281112</v>
      </c>
      <c r="BZ224" s="144">
        <f t="shared" si="268"/>
        <v>0.0652470473578101</v>
      </c>
      <c r="CA224" s="144">
        <f t="shared" si="268"/>
        <v>0.102591926626779</v>
      </c>
      <c r="CB224" s="9">
        <f t="shared" si="268"/>
        <v>0.120570060980186</v>
      </c>
      <c r="CC224" s="144">
        <f t="shared" si="268"/>
        <v>0.133698880541263</v>
      </c>
      <c r="CD224" s="144">
        <f t="shared" si="268"/>
        <v>0.202207896287011</v>
      </c>
      <c r="CE224" s="144">
        <f t="shared" si="268"/>
        <v>0.137835898052383</v>
      </c>
      <c r="CF224" s="144">
        <f t="shared" si="268"/>
        <v>0.191804336573456</v>
      </c>
      <c r="CG224" s="144">
        <f t="shared" si="268"/>
        <v>0.195878136436168</v>
      </c>
      <c r="CH224" s="144">
        <f t="shared" si="268"/>
        <v>0.137780634332129</v>
      </c>
      <c r="CI224" s="144">
        <f t="shared" si="268"/>
        <v>0.0826622735013159</v>
      </c>
      <c r="CJ224" s="144">
        <f t="shared" si="268"/>
        <v>0.144739750207796</v>
      </c>
      <c r="CK224" s="144">
        <f t="shared" si="268"/>
        <v>0.131361713505184</v>
      </c>
      <c r="CL224" s="144">
        <f t="shared" si="268"/>
        <v>0.181624792622723</v>
      </c>
      <c r="CM224" s="144">
        <f t="shared" si="268"/>
        <v>0.132455864670821</v>
      </c>
      <c r="CN224" s="144">
        <f t="shared" si="268"/>
        <v>0.128281589044458</v>
      </c>
      <c r="CO224" s="9">
        <f t="shared" si="268"/>
        <v>0.148231153023407</v>
      </c>
      <c r="CP224" s="144">
        <f t="shared" si="268"/>
        <v>0.257612087521412</v>
      </c>
      <c r="CQ224" s="144">
        <f t="shared" si="268"/>
        <v>0.321973693346462</v>
      </c>
      <c r="CR224" s="144">
        <f t="shared" si="268"/>
        <v>0.268975406872383</v>
      </c>
      <c r="CS224" s="144">
        <f t="shared" si="268"/>
        <v>0.24735859414661</v>
      </c>
      <c r="CT224" s="144">
        <f t="shared" si="268"/>
        <v>0.196651424618453</v>
      </c>
      <c r="CU224" s="144">
        <f t="shared" ref="CU224:EB224" si="269">CU12/CU$211</f>
        <v>0.143030369141614</v>
      </c>
      <c r="CV224" s="144">
        <f t="shared" si="269"/>
        <v>0.0977373288523185</v>
      </c>
      <c r="CW224" s="144">
        <f t="shared" si="269"/>
        <v>0.177226918018174</v>
      </c>
      <c r="CX224" s="144">
        <f t="shared" si="269"/>
        <v>0.162663016812106</v>
      </c>
      <c r="CY224" s="144">
        <f t="shared" si="269"/>
        <v>0.184806641998142</v>
      </c>
      <c r="CZ224" s="144">
        <f t="shared" si="269"/>
        <v>0.10484331285297</v>
      </c>
      <c r="DA224" s="144">
        <f t="shared" si="269"/>
        <v>0.15789363903472</v>
      </c>
      <c r="DB224" s="9">
        <f t="shared" si="269"/>
        <v>0.198925447302294</v>
      </c>
      <c r="DC224" s="144">
        <f t="shared" si="269"/>
        <v>0.114186334092618</v>
      </c>
      <c r="DD224" s="144">
        <f t="shared" si="269"/>
        <v>0.151134914378265</v>
      </c>
      <c r="DE224" s="144">
        <f t="shared" si="269"/>
        <v>0.154187994045676</v>
      </c>
      <c r="DF224" s="144">
        <f t="shared" si="269"/>
        <v>0.143526414472149</v>
      </c>
      <c r="DG224" s="144">
        <f t="shared" si="269"/>
        <v>0.139785019524611</v>
      </c>
      <c r="DH224" s="144">
        <f t="shared" si="269"/>
        <v>0.108481632964652</v>
      </c>
      <c r="DI224" s="144">
        <f t="shared" si="269"/>
        <v>0.0685517737871456</v>
      </c>
      <c r="DJ224" s="144">
        <f t="shared" si="269"/>
        <v>0.160721514659461</v>
      </c>
      <c r="DK224" s="144">
        <f t="shared" si="269"/>
        <v>0.135706934700355</v>
      </c>
      <c r="DL224" s="144">
        <f t="shared" si="269"/>
        <v>0.174729152513282</v>
      </c>
      <c r="DM224" s="144">
        <f t="shared" si="269"/>
        <v>0.10218725560235</v>
      </c>
      <c r="DN224" s="144">
        <f t="shared" si="269"/>
        <v>0.111597873315485</v>
      </c>
      <c r="DO224" s="9">
        <f t="shared" si="269"/>
        <v>0.130981614104674</v>
      </c>
      <c r="DP224" s="144">
        <f t="shared" si="269"/>
        <v>0.0972045714989868</v>
      </c>
      <c r="DQ224" s="144">
        <f t="shared" si="269"/>
        <v>0.146996898911277</v>
      </c>
      <c r="DR224" s="144">
        <f t="shared" si="269"/>
        <v>0.146665219730023</v>
      </c>
      <c r="DS224" s="144">
        <f t="shared" si="269"/>
        <v>0.120690887294489</v>
      </c>
      <c r="DT224" s="144">
        <f t="shared" si="269"/>
        <v>0.111433692199708</v>
      </c>
      <c r="DU224" s="144">
        <f t="shared" si="269"/>
        <v>0.0817477062463892</v>
      </c>
      <c r="DV224" s="144">
        <f t="shared" si="269"/>
        <v>0.0469167119672212</v>
      </c>
      <c r="DW224" s="144">
        <f t="shared" si="269"/>
        <v>0.111729579029358</v>
      </c>
      <c r="DX224" s="144">
        <f t="shared" si="269"/>
        <v>0.112640100648598</v>
      </c>
      <c r="DY224" s="144">
        <f t="shared" si="269"/>
        <v>0.150639423009655</v>
      </c>
      <c r="DZ224" s="144">
        <f t="shared" si="269"/>
        <v>0.0980762814296171</v>
      </c>
      <c r="EA224" s="144">
        <f t="shared" si="269"/>
        <v>0.139954853150988</v>
      </c>
      <c r="EB224" s="117">
        <f t="shared" si="269"/>
        <v>0.113522039660089</v>
      </c>
      <c r="EC224" s="118"/>
      <c r="ED224" s="117">
        <f t="shared" ref="ED224:FB224" si="270">ED12/ED$211</f>
        <v>0.0294723719310149</v>
      </c>
      <c r="EE224" s="117">
        <f t="shared" si="270"/>
        <v>0</v>
      </c>
      <c r="EF224" s="117">
        <f t="shared" si="270"/>
        <v>0.165499535821939</v>
      </c>
      <c r="EG224" s="117" t="e">
        <f t="shared" si="270"/>
        <v>#DIV/0!</v>
      </c>
      <c r="EH224" s="117" t="e">
        <f t="shared" si="270"/>
        <v>#DIV/0!</v>
      </c>
      <c r="EI224" s="117" t="e">
        <f t="shared" si="270"/>
        <v>#DIV/0!</v>
      </c>
      <c r="EJ224" s="117" t="e">
        <f t="shared" si="270"/>
        <v>#DIV/0!</v>
      </c>
      <c r="EK224" s="117" t="e">
        <f t="shared" si="270"/>
        <v>#DIV/0!</v>
      </c>
      <c r="EL224" s="117" t="e">
        <f t="shared" si="270"/>
        <v>#DIV/0!</v>
      </c>
      <c r="EM224" s="117" t="e">
        <f t="shared" si="270"/>
        <v>#DIV/0!</v>
      </c>
      <c r="EN224" s="117" t="e">
        <f t="shared" si="270"/>
        <v>#DIV/0!</v>
      </c>
      <c r="EO224" s="116">
        <f t="shared" si="270"/>
        <v>0.0097307426186248</v>
      </c>
      <c r="EP224" s="117">
        <f t="shared" si="270"/>
        <v>0.0423877030705736</v>
      </c>
      <c r="EQ224" s="117">
        <f t="shared" si="270"/>
        <v>0.0583739082026417</v>
      </c>
      <c r="ER224" s="117">
        <f t="shared" si="270"/>
        <v>0.0446497822074545</v>
      </c>
      <c r="ES224" s="117">
        <f t="shared" si="270"/>
        <v>0.0368749587530645</v>
      </c>
      <c r="ET224" s="117">
        <f t="shared" si="270"/>
        <v>0.039322436282943</v>
      </c>
      <c r="EU224" s="117">
        <f t="shared" si="270"/>
        <v>0.0284912293908083</v>
      </c>
      <c r="EV224" s="117">
        <f t="shared" si="270"/>
        <v>0.0223218408453376</v>
      </c>
      <c r="EW224" s="117">
        <f t="shared" si="270"/>
        <v>0.0590869249593351</v>
      </c>
      <c r="EX224" s="117">
        <f t="shared" si="270"/>
        <v>0.0526327945708035</v>
      </c>
      <c r="EY224" s="117">
        <f t="shared" si="270"/>
        <v>0.0794568394375613</v>
      </c>
      <c r="EZ224" s="117">
        <f t="shared" si="270"/>
        <v>0.0677840412991686</v>
      </c>
      <c r="FA224" s="117">
        <f t="shared" si="270"/>
        <v>0.0569090042703749</v>
      </c>
      <c r="FB224" s="117">
        <f t="shared" si="270"/>
        <v>0.0502803165523377</v>
      </c>
      <c r="FC224" s="118"/>
      <c r="FD224" s="117"/>
      <c r="FE224" s="117"/>
      <c r="FF224" s="117"/>
      <c r="FG224" s="117"/>
      <c r="FH224" s="117"/>
      <c r="FI224" s="117"/>
      <c r="FJ224" s="117"/>
      <c r="FK224" s="117" t="e">
        <f t="shared" si="211"/>
        <v>#DIV/0!</v>
      </c>
      <c r="FL224" s="117" t="e">
        <f t="shared" si="212"/>
        <v>#DIV/0!</v>
      </c>
      <c r="FM224" s="117" t="e">
        <f t="shared" si="213"/>
        <v>#DIV/0!</v>
      </c>
      <c r="FN224" s="117" t="e">
        <f t="shared" si="214"/>
        <v>#DIV/0!</v>
      </c>
      <c r="FO224" s="9" t="e">
        <f t="shared" si="215"/>
        <v>#DIV/0!</v>
      </c>
      <c r="FP224" s="118">
        <f t="shared" ref="FP224:GB224" si="271">FP12/FP$211</f>
        <v>0.197310378273549</v>
      </c>
      <c r="FQ224" s="117">
        <f t="shared" si="271"/>
        <v>0.182589389021098</v>
      </c>
      <c r="FR224" s="117">
        <f t="shared" si="271"/>
        <v>0.109610684899781</v>
      </c>
      <c r="FS224" s="117">
        <f t="shared" si="271"/>
        <v>0.14437972387932</v>
      </c>
      <c r="FT224" s="117">
        <f t="shared" si="271"/>
        <v>0.0798621155701425</v>
      </c>
      <c r="FU224" s="117">
        <f t="shared" si="271"/>
        <v>0.0573746070715905</v>
      </c>
      <c r="FV224" s="117">
        <f t="shared" si="271"/>
        <v>0.0388948424365007</v>
      </c>
      <c r="FW224" s="117">
        <f t="shared" si="271"/>
        <v>0.103475605341632</v>
      </c>
      <c r="FX224" s="117">
        <f t="shared" si="271"/>
        <v>0.107791696853756</v>
      </c>
      <c r="FY224" s="117">
        <f t="shared" si="271"/>
        <v>0.114242518291228</v>
      </c>
      <c r="FZ224" s="117">
        <f t="shared" si="271"/>
        <v>0.033495728698885</v>
      </c>
      <c r="GA224" s="117">
        <f t="shared" si="271"/>
        <v>0.0774406858552213</v>
      </c>
      <c r="GB224" s="116">
        <f t="shared" si="271"/>
        <v>0.110787022358312</v>
      </c>
    </row>
    <row r="225" spans="1:184">
      <c r="A225" s="147" t="s">
        <v>51</v>
      </c>
      <c r="B225" s="160">
        <f t="shared" si="217"/>
        <v>0.258640182176769</v>
      </c>
      <c r="C225" s="117">
        <f t="shared" ref="C225:AH225" si="272">C13/C$211</f>
        <v>0.0120836479714665</v>
      </c>
      <c r="D225" s="117">
        <f t="shared" si="272"/>
        <v>0.0169610571391451</v>
      </c>
      <c r="E225" s="117">
        <f t="shared" si="272"/>
        <v>0.012352287295127</v>
      </c>
      <c r="F225" s="117">
        <f t="shared" si="272"/>
        <v>0.0135486237451015</v>
      </c>
      <c r="G225" s="117">
        <f t="shared" si="272"/>
        <v>0.0195465189449495</v>
      </c>
      <c r="H225" s="117">
        <f t="shared" si="272"/>
        <v>0.0134157206189776</v>
      </c>
      <c r="I225" s="117">
        <f t="shared" si="272"/>
        <v>0.0104466969842158</v>
      </c>
      <c r="J225" s="117">
        <f t="shared" si="272"/>
        <v>0.0164167302445796</v>
      </c>
      <c r="K225" s="117">
        <f t="shared" si="272"/>
        <v>0.0249180503811947</v>
      </c>
      <c r="L225" s="117">
        <f t="shared" si="272"/>
        <v>0.0168682081233522</v>
      </c>
      <c r="M225" s="117">
        <f t="shared" si="272"/>
        <v>0.0105366823840462</v>
      </c>
      <c r="N225" s="117">
        <f t="shared" si="272"/>
        <v>0.00776082717401182</v>
      </c>
      <c r="O225" s="9">
        <f t="shared" si="272"/>
        <v>0.0144915175735308</v>
      </c>
      <c r="P225" s="117">
        <f t="shared" si="272"/>
        <v>0.00474862712562846</v>
      </c>
      <c r="Q225" s="117">
        <f t="shared" si="272"/>
        <v>0.00764393748651519</v>
      </c>
      <c r="R225" s="117">
        <f t="shared" si="272"/>
        <v>0.00477040658950532</v>
      </c>
      <c r="S225" s="117">
        <f t="shared" si="272"/>
        <v>0.00344577926112733</v>
      </c>
      <c r="T225" s="117">
        <f t="shared" si="272"/>
        <v>0.0067071260739187</v>
      </c>
      <c r="U225" s="117">
        <f t="shared" si="272"/>
        <v>0.00793344500045053</v>
      </c>
      <c r="V225" s="117">
        <f t="shared" si="272"/>
        <v>0.00758431880612625</v>
      </c>
      <c r="W225" s="117">
        <f t="shared" si="272"/>
        <v>0.00592681437793797</v>
      </c>
      <c r="X225" s="117">
        <f t="shared" si="272"/>
        <v>0.0113162312707546</v>
      </c>
      <c r="Y225" s="117">
        <f t="shared" si="272"/>
        <v>0.0117210770774158</v>
      </c>
      <c r="Z225" s="117">
        <f t="shared" si="272"/>
        <v>0.00703655831412486</v>
      </c>
      <c r="AA225" s="117">
        <f t="shared" si="272"/>
        <v>0.0074456232713082</v>
      </c>
      <c r="AB225" s="9">
        <f t="shared" si="272"/>
        <v>0.00723149272249272</v>
      </c>
      <c r="AC225" s="117">
        <f t="shared" si="272"/>
        <v>0.00186432789367752</v>
      </c>
      <c r="AD225" s="117">
        <f t="shared" si="272"/>
        <v>0.00146174741828278</v>
      </c>
      <c r="AE225" s="117">
        <f t="shared" si="272"/>
        <v>0.00130717721225882</v>
      </c>
      <c r="AF225" s="117">
        <f t="shared" si="272"/>
        <v>0.00336551046164758</v>
      </c>
      <c r="AG225" s="117">
        <f t="shared" si="272"/>
        <v>0.00520842536666469</v>
      </c>
      <c r="AH225" s="117">
        <f t="shared" si="272"/>
        <v>0.00565549415725325</v>
      </c>
      <c r="AI225" s="117">
        <f t="shared" ref="AI225:BN225" si="273">AI13/AI$211</f>
        <v>0.00713824990460454</v>
      </c>
      <c r="AJ225" s="117">
        <f t="shared" si="273"/>
        <v>0.00340191835783845</v>
      </c>
      <c r="AK225" s="117">
        <f t="shared" si="273"/>
        <v>0.026355026368422</v>
      </c>
      <c r="AL225" s="117">
        <f t="shared" si="273"/>
        <v>0.0209930976297625</v>
      </c>
      <c r="AM225" s="117">
        <f t="shared" si="273"/>
        <v>0.0140683738125132</v>
      </c>
      <c r="AN225" s="117">
        <f t="shared" si="273"/>
        <v>0.0115648463715295</v>
      </c>
      <c r="AO225" s="9">
        <f t="shared" si="273"/>
        <v>0.00927046452807174</v>
      </c>
      <c r="AP225" s="144">
        <f t="shared" si="273"/>
        <v>0.0119732169490558</v>
      </c>
      <c r="AQ225" s="144">
        <f t="shared" si="273"/>
        <v>0.0206567209986535</v>
      </c>
      <c r="AR225" s="144">
        <f t="shared" si="273"/>
        <v>0.0155079815759442</v>
      </c>
      <c r="AS225" s="144">
        <f t="shared" si="273"/>
        <v>0.0159182419648072</v>
      </c>
      <c r="AT225" s="144">
        <f t="shared" si="273"/>
        <v>0.0294030795609086</v>
      </c>
      <c r="AU225" s="144">
        <f t="shared" si="273"/>
        <v>0.0201816209304572</v>
      </c>
      <c r="AV225" s="144">
        <f t="shared" si="273"/>
        <v>0.0146335722110051</v>
      </c>
      <c r="AW225" s="144">
        <f t="shared" si="273"/>
        <v>0.0208777191705507</v>
      </c>
      <c r="AX225" s="144">
        <f t="shared" si="273"/>
        <v>0.0284106180858027</v>
      </c>
      <c r="AY225" s="144">
        <f t="shared" si="273"/>
        <v>0.018114235512157</v>
      </c>
      <c r="AZ225" s="144">
        <f t="shared" si="273"/>
        <v>0.0124751864031502</v>
      </c>
      <c r="BA225" s="144">
        <f t="shared" si="273"/>
        <v>9.86341631870209e-5</v>
      </c>
      <c r="BB225" s="9">
        <f t="shared" si="273"/>
        <v>0.0168696060545717</v>
      </c>
      <c r="BC225" s="144">
        <f t="shared" si="273"/>
        <v>0.0155292736733273</v>
      </c>
      <c r="BD225" s="144">
        <f t="shared" si="273"/>
        <v>0.0302772505581942</v>
      </c>
      <c r="BE225" s="144">
        <f t="shared" si="273"/>
        <v>0.0243834642843586</v>
      </c>
      <c r="BF225" s="144">
        <f t="shared" si="273"/>
        <v>0.0272239879930743</v>
      </c>
      <c r="BG225" s="144">
        <f t="shared" si="273"/>
        <v>0.0266666700798651</v>
      </c>
      <c r="BH225" s="144">
        <f t="shared" si="273"/>
        <v>0.0175244026774582</v>
      </c>
      <c r="BI225" s="144">
        <f t="shared" si="273"/>
        <v>0.0134907503736971</v>
      </c>
      <c r="BJ225" s="144">
        <f t="shared" si="273"/>
        <v>0.0194051899742253</v>
      </c>
      <c r="BK225" s="144">
        <f t="shared" si="273"/>
        <v>0.037655969425121</v>
      </c>
      <c r="BL225" s="144">
        <f t="shared" si="273"/>
        <v>0.0260723111575949</v>
      </c>
      <c r="BM225" s="144">
        <f t="shared" si="273"/>
        <v>0.0171572435429733</v>
      </c>
      <c r="BN225" s="144">
        <f t="shared" si="273"/>
        <v>0.017794610249287</v>
      </c>
      <c r="BO225" s="9">
        <f t="shared" ref="BO225:CT225" si="274">BO13/BO$211</f>
        <v>0.0226485888436343</v>
      </c>
      <c r="BP225" s="144">
        <f t="shared" si="274"/>
        <v>0.00833977069055538</v>
      </c>
      <c r="BQ225" s="144">
        <f t="shared" si="274"/>
        <v>0.0128120105417463</v>
      </c>
      <c r="BR225" s="144">
        <f t="shared" si="274"/>
        <v>0.00998491873456822</v>
      </c>
      <c r="BS225" s="144">
        <f t="shared" si="274"/>
        <v>0.0141374690866972</v>
      </c>
      <c r="BT225" s="144">
        <f t="shared" si="274"/>
        <v>0.0164856756322524</v>
      </c>
      <c r="BU225" s="144">
        <f t="shared" si="274"/>
        <v>0.0103478169160384</v>
      </c>
      <c r="BV225" s="144">
        <f t="shared" si="274"/>
        <v>0.00824357718570458</v>
      </c>
      <c r="BW225" s="144">
        <f t="shared" si="274"/>
        <v>0.0166120851866478</v>
      </c>
      <c r="BX225" s="144">
        <f t="shared" si="274"/>
        <v>0.0113177508649717</v>
      </c>
      <c r="BY225" s="144">
        <f t="shared" si="274"/>
        <v>0.0109196479246365</v>
      </c>
      <c r="BZ225" s="144">
        <f t="shared" si="274"/>
        <v>0.00607806997934449</v>
      </c>
      <c r="CA225" s="144">
        <f t="shared" si="274"/>
        <v>0.00681499132725544</v>
      </c>
      <c r="CB225" s="9">
        <f t="shared" si="274"/>
        <v>0.0108856845729409</v>
      </c>
      <c r="CC225" s="144">
        <f t="shared" si="274"/>
        <v>0.0180632565141131</v>
      </c>
      <c r="CD225" s="144">
        <f t="shared" si="274"/>
        <v>0.00952838455806529</v>
      </c>
      <c r="CE225" s="144">
        <f t="shared" si="274"/>
        <v>0.0091809246197364</v>
      </c>
      <c r="CF225" s="144">
        <f t="shared" si="274"/>
        <v>0.0100836079024469</v>
      </c>
      <c r="CG225" s="144">
        <f t="shared" si="274"/>
        <v>0.0156587825412487</v>
      </c>
      <c r="CH225" s="144">
        <f t="shared" si="274"/>
        <v>0.0149967992754307</v>
      </c>
      <c r="CI225" s="144">
        <f t="shared" si="274"/>
        <v>0.0148077395380294</v>
      </c>
      <c r="CJ225" s="144">
        <f t="shared" si="274"/>
        <v>0.0115421000816005</v>
      </c>
      <c r="CK225" s="144">
        <f t="shared" si="274"/>
        <v>0.0155034135221911</v>
      </c>
      <c r="CL225" s="144">
        <f t="shared" si="274"/>
        <v>0.00691429362682783</v>
      </c>
      <c r="CM225" s="144">
        <f t="shared" si="274"/>
        <v>0.00356507150163237</v>
      </c>
      <c r="CN225" s="144">
        <f t="shared" si="274"/>
        <v>0.00321654997580923</v>
      </c>
      <c r="CO225" s="9">
        <f t="shared" si="274"/>
        <v>0.0115939703174901</v>
      </c>
      <c r="CP225" s="144">
        <f t="shared" si="274"/>
        <v>0.0155342764355349</v>
      </c>
      <c r="CQ225" s="144">
        <f t="shared" si="274"/>
        <v>0.0243535464416428</v>
      </c>
      <c r="CR225" s="144">
        <f t="shared" si="274"/>
        <v>0.0189682824315326</v>
      </c>
      <c r="CS225" s="144">
        <f t="shared" si="274"/>
        <v>0.0195996868137952</v>
      </c>
      <c r="CT225" s="144">
        <f t="shared" si="274"/>
        <v>0.025768930917234</v>
      </c>
      <c r="CU225" s="144">
        <f t="shared" ref="CU225:EB225" si="275">CU13/CU$211</f>
        <v>0.0192364765454429</v>
      </c>
      <c r="CV225" s="144">
        <f t="shared" si="275"/>
        <v>0.0132031663128415</v>
      </c>
      <c r="CW225" s="144">
        <f t="shared" si="275"/>
        <v>0.0145348848468937</v>
      </c>
      <c r="CX225" s="144">
        <f t="shared" si="275"/>
        <v>0.0344996269380338</v>
      </c>
      <c r="CY225" s="144">
        <f t="shared" si="275"/>
        <v>0.0246940723110786</v>
      </c>
      <c r="CZ225" s="144">
        <f t="shared" si="275"/>
        <v>0.0130466181584325</v>
      </c>
      <c r="DA225" s="144">
        <f t="shared" si="275"/>
        <v>0.0097133002952727</v>
      </c>
      <c r="DB225" s="9">
        <f t="shared" si="275"/>
        <v>0.0193762955866084</v>
      </c>
      <c r="DC225" s="144">
        <f t="shared" si="275"/>
        <v>0.0187521226022574</v>
      </c>
      <c r="DD225" s="144">
        <f t="shared" si="275"/>
        <v>0.0311201959755727</v>
      </c>
      <c r="DE225" s="144">
        <f t="shared" si="275"/>
        <v>0.0257034018422296</v>
      </c>
      <c r="DF225" s="144">
        <f t="shared" si="275"/>
        <v>0.0225820821952242</v>
      </c>
      <c r="DG225" s="144">
        <f t="shared" si="275"/>
        <v>0.0314248432042791</v>
      </c>
      <c r="DH225" s="144">
        <f t="shared" si="275"/>
        <v>0.0189568328425083</v>
      </c>
      <c r="DI225" s="144">
        <f t="shared" si="275"/>
        <v>0.0106309366769793</v>
      </c>
      <c r="DJ225" s="144">
        <f t="shared" si="275"/>
        <v>0.0161624151250226</v>
      </c>
      <c r="DK225" s="144">
        <f t="shared" si="275"/>
        <v>0.0362850397918738</v>
      </c>
      <c r="DL225" s="144">
        <f t="shared" si="275"/>
        <v>0.0234682633109056</v>
      </c>
      <c r="DM225" s="144">
        <f t="shared" si="275"/>
        <v>0.0131397301564791</v>
      </c>
      <c r="DN225" s="144">
        <f t="shared" si="275"/>
        <v>0.00826553923443492</v>
      </c>
      <c r="DO225" s="9">
        <f t="shared" si="275"/>
        <v>0.0217540036985236</v>
      </c>
      <c r="DP225" s="144">
        <f t="shared" si="275"/>
        <v>0.0164332061906014</v>
      </c>
      <c r="DQ225" s="144">
        <f t="shared" si="275"/>
        <v>0.035697693164408</v>
      </c>
      <c r="DR225" s="144">
        <f t="shared" si="275"/>
        <v>0.0269769906337904</v>
      </c>
      <c r="DS225" s="144">
        <f t="shared" si="275"/>
        <v>0.0235223798854314</v>
      </c>
      <c r="DT225" s="144">
        <f t="shared" si="275"/>
        <v>0.0226509760465611</v>
      </c>
      <c r="DU225" s="144">
        <f t="shared" si="275"/>
        <v>0.0162777060168804</v>
      </c>
      <c r="DV225" s="144">
        <f t="shared" si="275"/>
        <v>0.0149807416566455</v>
      </c>
      <c r="DW225" s="144">
        <f t="shared" si="275"/>
        <v>0.0154607877116626</v>
      </c>
      <c r="DX225" s="144">
        <f t="shared" si="275"/>
        <v>0.0445913714077606</v>
      </c>
      <c r="DY225" s="144">
        <f t="shared" si="275"/>
        <v>0.033124549410395</v>
      </c>
      <c r="DZ225" s="144">
        <f t="shared" si="275"/>
        <v>0.0231559610806612</v>
      </c>
      <c r="EA225" s="144">
        <f t="shared" si="275"/>
        <v>0.0176102581052155</v>
      </c>
      <c r="EB225" s="117">
        <f t="shared" si="275"/>
        <v>0.0241129378445967</v>
      </c>
      <c r="EC225" s="118"/>
      <c r="ED225" s="117">
        <f t="shared" ref="ED225:FB225" si="276">ED13/ED$211</f>
        <v>0.05613655991093</v>
      </c>
      <c r="EE225" s="117">
        <f t="shared" si="276"/>
        <v>0</v>
      </c>
      <c r="EF225" s="117">
        <f t="shared" si="276"/>
        <v>0</v>
      </c>
      <c r="EG225" s="117" t="e">
        <f t="shared" si="276"/>
        <v>#DIV/0!</v>
      </c>
      <c r="EH225" s="117" t="e">
        <f t="shared" si="276"/>
        <v>#DIV/0!</v>
      </c>
      <c r="EI225" s="117" t="e">
        <f t="shared" si="276"/>
        <v>#DIV/0!</v>
      </c>
      <c r="EJ225" s="117" t="e">
        <f t="shared" si="276"/>
        <v>#DIV/0!</v>
      </c>
      <c r="EK225" s="117" t="e">
        <f t="shared" si="276"/>
        <v>#DIV/0!</v>
      </c>
      <c r="EL225" s="117" t="e">
        <f t="shared" si="276"/>
        <v>#DIV/0!</v>
      </c>
      <c r="EM225" s="117" t="e">
        <f t="shared" si="276"/>
        <v>#DIV/0!</v>
      </c>
      <c r="EN225" s="117" t="e">
        <f t="shared" si="276"/>
        <v>#DIV/0!</v>
      </c>
      <c r="EO225" s="116">
        <f t="shared" si="276"/>
        <v>0.00851466761199766</v>
      </c>
      <c r="EP225" s="117">
        <f t="shared" si="276"/>
        <v>0.00341204075378758</v>
      </c>
      <c r="EQ225" s="117">
        <f t="shared" si="276"/>
        <v>0.00877692395568596</v>
      </c>
      <c r="ER225" s="117">
        <f t="shared" si="276"/>
        <v>0.00790502870738896</v>
      </c>
      <c r="ES225" s="117">
        <f t="shared" si="276"/>
        <v>0.00630024573444267</v>
      </c>
      <c r="ET225" s="117">
        <f t="shared" si="276"/>
        <v>0.0126449164935568</v>
      </c>
      <c r="EU225" s="117">
        <f t="shared" si="276"/>
        <v>0.0128831619984042</v>
      </c>
      <c r="EV225" s="117">
        <f t="shared" si="276"/>
        <v>0.0113048052629188</v>
      </c>
      <c r="EW225" s="117">
        <f t="shared" si="276"/>
        <v>0.0137827602355055</v>
      </c>
      <c r="EX225" s="117">
        <f t="shared" si="276"/>
        <v>0.0201438453318219</v>
      </c>
      <c r="EY225" s="117">
        <f t="shared" si="276"/>
        <v>0.0126760029288056</v>
      </c>
      <c r="EZ225" s="117">
        <f t="shared" si="276"/>
        <v>0.00669476594254009</v>
      </c>
      <c r="FA225" s="117">
        <f t="shared" si="276"/>
        <v>0.00202747908985948</v>
      </c>
      <c r="FB225" s="117">
        <f t="shared" si="276"/>
        <v>0.0101165239383469</v>
      </c>
      <c r="FC225" s="118"/>
      <c r="FD225" s="117"/>
      <c r="FE225" s="117"/>
      <c r="FF225" s="117"/>
      <c r="FG225" s="117"/>
      <c r="FH225" s="117"/>
      <c r="FI225" s="117"/>
      <c r="FJ225" s="117"/>
      <c r="FK225" s="117" t="e">
        <f t="shared" si="211"/>
        <v>#DIV/0!</v>
      </c>
      <c r="FL225" s="117" t="e">
        <f t="shared" si="212"/>
        <v>#DIV/0!</v>
      </c>
      <c r="FM225" s="117" t="e">
        <f t="shared" si="213"/>
        <v>#DIV/0!</v>
      </c>
      <c r="FN225" s="117" t="e">
        <f t="shared" si="214"/>
        <v>#DIV/0!</v>
      </c>
      <c r="FO225" s="9" t="e">
        <f t="shared" si="215"/>
        <v>#DIV/0!</v>
      </c>
      <c r="FP225" s="118">
        <f t="shared" ref="FP225:GB225" si="277">FP13/FP$211</f>
        <v>0.0175683191470429</v>
      </c>
      <c r="FQ225" s="117">
        <f t="shared" si="277"/>
        <v>0.0157900982244575</v>
      </c>
      <c r="FR225" s="117">
        <f t="shared" si="277"/>
        <v>0.0110268511389045</v>
      </c>
      <c r="FS225" s="117">
        <f t="shared" si="277"/>
        <v>0.012007632717067</v>
      </c>
      <c r="FT225" s="117">
        <f t="shared" si="277"/>
        <v>0.0267990994816505</v>
      </c>
      <c r="FU225" s="117">
        <f t="shared" si="277"/>
        <v>0.0149935188786289</v>
      </c>
      <c r="FV225" s="117">
        <f t="shared" si="277"/>
        <v>0.00933596295169928</v>
      </c>
      <c r="FW225" s="117">
        <f t="shared" si="277"/>
        <v>0.0267601415966602</v>
      </c>
      <c r="FX225" s="117">
        <f t="shared" si="277"/>
        <v>0.0294431003079514</v>
      </c>
      <c r="FY225" s="117">
        <f t="shared" si="277"/>
        <v>0.0132770197737356</v>
      </c>
      <c r="FZ225" s="117">
        <f t="shared" si="277"/>
        <v>0.00814609389089891</v>
      </c>
      <c r="GA225" s="117">
        <f t="shared" si="277"/>
        <v>0.00493807838271532</v>
      </c>
      <c r="GB225" s="116">
        <f t="shared" si="277"/>
        <v>0.0154858356339289</v>
      </c>
    </row>
    <row r="226" spans="1:184">
      <c r="A226" s="147" t="s">
        <v>53</v>
      </c>
      <c r="B226" s="160">
        <f t="shared" si="217"/>
        <v>-0.347883311631608</v>
      </c>
      <c r="C226" s="117">
        <f t="shared" ref="C226:AH226" si="278">C14/C$211</f>
        <v>0.00262683097558685</v>
      </c>
      <c r="D226" s="117">
        <f t="shared" si="278"/>
        <v>0.00185371947525026</v>
      </c>
      <c r="E226" s="117">
        <f t="shared" si="278"/>
        <v>0.00173171824886449</v>
      </c>
      <c r="F226" s="117">
        <f t="shared" si="278"/>
        <v>0.00231454734240906</v>
      </c>
      <c r="G226" s="117">
        <f t="shared" si="278"/>
        <v>0.000945154294007509</v>
      </c>
      <c r="H226" s="117">
        <f t="shared" si="278"/>
        <v>0.00515471876658617</v>
      </c>
      <c r="I226" s="117">
        <f t="shared" si="278"/>
        <v>0.00651692842018284</v>
      </c>
      <c r="J226" s="117">
        <f t="shared" si="278"/>
        <v>0.00348383564147814</v>
      </c>
      <c r="K226" s="117">
        <f t="shared" si="278"/>
        <v>0.0018108936376519</v>
      </c>
      <c r="L226" s="117">
        <f t="shared" si="278"/>
        <v>0.00633887583548651</v>
      </c>
      <c r="M226" s="117">
        <f t="shared" si="278"/>
        <v>0.00891564462159024</v>
      </c>
      <c r="N226" s="117">
        <f t="shared" si="278"/>
        <v>0.00308990759743952</v>
      </c>
      <c r="O226" s="9">
        <f t="shared" si="278"/>
        <v>0.00370378888418963</v>
      </c>
      <c r="P226" s="117">
        <f t="shared" si="278"/>
        <v>0.000828146370332891</v>
      </c>
      <c r="Q226" s="117">
        <f t="shared" si="278"/>
        <v>0.000622237763508201</v>
      </c>
      <c r="R226" s="117">
        <f t="shared" si="278"/>
        <v>0.000766328657287836</v>
      </c>
      <c r="S226" s="117">
        <f t="shared" si="278"/>
        <v>0.00070760261405562</v>
      </c>
      <c r="T226" s="117">
        <f t="shared" si="278"/>
        <v>0.000758776796043642</v>
      </c>
      <c r="U226" s="117">
        <f t="shared" si="278"/>
        <v>0.00156560445210394</v>
      </c>
      <c r="V226" s="117">
        <f t="shared" si="278"/>
        <v>0.00412285263633937</v>
      </c>
      <c r="W226" s="117">
        <f t="shared" si="278"/>
        <v>0.00295157238183409</v>
      </c>
      <c r="X226" s="117">
        <f t="shared" si="278"/>
        <v>0.00304223969524109</v>
      </c>
      <c r="Y226" s="117">
        <f t="shared" si="278"/>
        <v>0.00550084461891689</v>
      </c>
      <c r="Z226" s="117">
        <f t="shared" si="278"/>
        <v>0.00718346223228426</v>
      </c>
      <c r="AA226" s="117">
        <f t="shared" si="278"/>
        <v>0.00453821599996905</v>
      </c>
      <c r="AB226" s="9">
        <f t="shared" si="278"/>
        <v>0.00279673651064658</v>
      </c>
      <c r="AC226" s="117">
        <f t="shared" si="278"/>
        <v>0.00101735568844341</v>
      </c>
      <c r="AD226" s="117">
        <f t="shared" si="278"/>
        <v>0.00111383979799057</v>
      </c>
      <c r="AE226" s="117">
        <f t="shared" si="278"/>
        <v>0.000639478994555098</v>
      </c>
      <c r="AF226" s="117">
        <f t="shared" si="278"/>
        <v>0.000414414846361505</v>
      </c>
      <c r="AG226" s="117">
        <f t="shared" si="278"/>
        <v>7.03048679282979e-5</v>
      </c>
      <c r="AH226" s="117">
        <f t="shared" si="278"/>
        <v>0.00386559268923985</v>
      </c>
      <c r="AI226" s="117">
        <f t="shared" ref="AI226:BN226" si="279">AI14/AI$211</f>
        <v>0.0060598271766794</v>
      </c>
      <c r="AJ226" s="117">
        <f t="shared" si="279"/>
        <v>0.00560497620532019</v>
      </c>
      <c r="AK226" s="117">
        <f t="shared" si="279"/>
        <v>0.00147328994581727</v>
      </c>
      <c r="AL226" s="117">
        <f t="shared" si="279"/>
        <v>0.00420679387020891</v>
      </c>
      <c r="AM226" s="117">
        <f t="shared" si="279"/>
        <v>0.00654818853818796</v>
      </c>
      <c r="AN226" s="117">
        <f t="shared" si="279"/>
        <v>0.00444049214846226</v>
      </c>
      <c r="AO226" s="9">
        <f t="shared" si="279"/>
        <v>0.00312297687383495</v>
      </c>
      <c r="AP226" s="144">
        <f t="shared" si="279"/>
        <v>0.00169230988641965</v>
      </c>
      <c r="AQ226" s="144">
        <f t="shared" si="279"/>
        <v>0.00167103820555458</v>
      </c>
      <c r="AR226" s="144">
        <f t="shared" si="279"/>
        <v>0.00146412143989435</v>
      </c>
      <c r="AS226" s="144">
        <f t="shared" si="279"/>
        <v>0.00117205248125381</v>
      </c>
      <c r="AT226" s="144">
        <f t="shared" si="279"/>
        <v>0.000865832881707699</v>
      </c>
      <c r="AU226" s="144">
        <f t="shared" si="279"/>
        <v>0.0034440486190429</v>
      </c>
      <c r="AV226" s="144">
        <f t="shared" si="279"/>
        <v>0.00229669069515209</v>
      </c>
      <c r="AW226" s="144">
        <f t="shared" si="279"/>
        <v>0.00107579838468077</v>
      </c>
      <c r="AX226" s="144">
        <f t="shared" si="279"/>
        <v>0.00107054288368129</v>
      </c>
      <c r="AY226" s="144">
        <f t="shared" si="279"/>
        <v>0.00341876089407189</v>
      </c>
      <c r="AZ226" s="144">
        <f t="shared" si="279"/>
        <v>0.00867761530639841</v>
      </c>
      <c r="BA226" s="144">
        <f t="shared" si="279"/>
        <v>0.00372108101727731</v>
      </c>
      <c r="BB226" s="9">
        <f t="shared" si="279"/>
        <v>0.0026242063752698</v>
      </c>
      <c r="BC226" s="144">
        <f t="shared" si="279"/>
        <v>0.00111152057119955</v>
      </c>
      <c r="BD226" s="144">
        <f t="shared" si="279"/>
        <v>0.000604554587173257</v>
      </c>
      <c r="BE226" s="144">
        <f t="shared" si="279"/>
        <v>0.000455870055093567</v>
      </c>
      <c r="BF226" s="144">
        <f t="shared" si="279"/>
        <v>0.000433127373904437</v>
      </c>
      <c r="BG226" s="144">
        <f t="shared" si="279"/>
        <v>0.000238201076841063</v>
      </c>
      <c r="BH226" s="144">
        <f t="shared" si="279"/>
        <v>0.00305671223695421</v>
      </c>
      <c r="BI226" s="144">
        <f t="shared" si="279"/>
        <v>0.00326908231429754</v>
      </c>
      <c r="BJ226" s="144">
        <f t="shared" si="279"/>
        <v>0.00121580742701302</v>
      </c>
      <c r="BK226" s="144">
        <f t="shared" si="279"/>
        <v>0.0003423663925175</v>
      </c>
      <c r="BL226" s="144">
        <f t="shared" si="279"/>
        <v>0.00174703890103398</v>
      </c>
      <c r="BM226" s="144">
        <f t="shared" si="279"/>
        <v>0.00757150136991974</v>
      </c>
      <c r="BN226" s="144">
        <f t="shared" si="279"/>
        <v>0.00297680995483232</v>
      </c>
      <c r="BO226" s="9">
        <f t="shared" ref="BO226:CT226" si="280">BO14/BO$211</f>
        <v>0.0019459479477432</v>
      </c>
      <c r="BP226" s="144">
        <f t="shared" si="280"/>
        <v>0.00128656625101171</v>
      </c>
      <c r="BQ226" s="144">
        <f t="shared" si="280"/>
        <v>0.00132127964459666</v>
      </c>
      <c r="BR226" s="144">
        <f t="shared" si="280"/>
        <v>0.00140942047456483</v>
      </c>
      <c r="BS226" s="144">
        <f t="shared" si="280"/>
        <v>0.00153857749750195</v>
      </c>
      <c r="BT226" s="144">
        <f t="shared" si="280"/>
        <v>0.00144089544896199</v>
      </c>
      <c r="BU226" s="144">
        <f t="shared" si="280"/>
        <v>0.00177964281151358</v>
      </c>
      <c r="BV226" s="144">
        <f t="shared" si="280"/>
        <v>0.00246974881973007</v>
      </c>
      <c r="BW226" s="144">
        <f t="shared" si="280"/>
        <v>0.00160920230971389</v>
      </c>
      <c r="BX226" s="144">
        <f t="shared" si="280"/>
        <v>0.000779769928294428</v>
      </c>
      <c r="BY226" s="144">
        <f t="shared" si="280"/>
        <v>0.00203442362648552</v>
      </c>
      <c r="BZ226" s="144">
        <f t="shared" si="280"/>
        <v>0.00788981911987507</v>
      </c>
      <c r="CA226" s="144">
        <f t="shared" si="280"/>
        <v>0.00399943813276534</v>
      </c>
      <c r="CB226" s="9">
        <f t="shared" si="280"/>
        <v>0.00221471961084736</v>
      </c>
      <c r="CC226" s="144">
        <f t="shared" si="280"/>
        <v>0.00193412500683119</v>
      </c>
      <c r="CD226" s="144">
        <f t="shared" si="280"/>
        <v>0.000601268482578602</v>
      </c>
      <c r="CE226" s="144">
        <f t="shared" si="280"/>
        <v>0.000481054014114972</v>
      </c>
      <c r="CF226" s="144">
        <f t="shared" si="280"/>
        <v>0.000355628151536633</v>
      </c>
      <c r="CG226" s="144">
        <f t="shared" si="280"/>
        <v>0.000720537800307263</v>
      </c>
      <c r="CH226" s="144">
        <f t="shared" si="280"/>
        <v>0.00318968585568873</v>
      </c>
      <c r="CI226" s="144">
        <f t="shared" si="280"/>
        <v>0.00460268369633518</v>
      </c>
      <c r="CJ226" s="144">
        <f t="shared" si="280"/>
        <v>0.00344916453656254</v>
      </c>
      <c r="CK226" s="144">
        <f t="shared" si="280"/>
        <v>0.000194078250708847</v>
      </c>
      <c r="CL226" s="144">
        <f t="shared" si="280"/>
        <v>0.00735760076747072</v>
      </c>
      <c r="CM226" s="144">
        <f t="shared" si="280"/>
        <v>0.0107630026648193</v>
      </c>
      <c r="CN226" s="144">
        <f t="shared" si="280"/>
        <v>0.00678933185734804</v>
      </c>
      <c r="CO226" s="9">
        <f t="shared" si="280"/>
        <v>0.00344455701876512</v>
      </c>
      <c r="CP226" s="144">
        <f t="shared" si="280"/>
        <v>0.00135407688052797</v>
      </c>
      <c r="CQ226" s="144">
        <f t="shared" si="280"/>
        <v>0.000556056712436073</v>
      </c>
      <c r="CR226" s="144">
        <f t="shared" si="280"/>
        <v>0.000738211754051275</v>
      </c>
      <c r="CS226" s="144">
        <f t="shared" si="280"/>
        <v>0.000391740986555517</v>
      </c>
      <c r="CT226" s="144">
        <f t="shared" si="280"/>
        <v>0.000281037556233335</v>
      </c>
      <c r="CU226" s="144">
        <f t="shared" ref="CU226:EB226" si="281">CU14/CU$211</f>
        <v>0.00215395599395765</v>
      </c>
      <c r="CV226" s="144">
        <f t="shared" si="281"/>
        <v>0.00337055606335665</v>
      </c>
      <c r="CW226" s="144">
        <f t="shared" si="281"/>
        <v>0.00179364852611809</v>
      </c>
      <c r="CX226" s="144">
        <f t="shared" si="281"/>
        <v>0.00067747216706554</v>
      </c>
      <c r="CY226" s="144">
        <f t="shared" si="281"/>
        <v>0.00247064339564514</v>
      </c>
      <c r="CZ226" s="144">
        <f t="shared" si="281"/>
        <v>0.00825576210429482</v>
      </c>
      <c r="DA226" s="144">
        <f t="shared" si="281"/>
        <v>0.00362804302835775</v>
      </c>
      <c r="DB226" s="9">
        <f t="shared" si="281"/>
        <v>0.00209581944208113</v>
      </c>
      <c r="DC226" s="144">
        <f t="shared" si="281"/>
        <v>0.00334653390782472</v>
      </c>
      <c r="DD226" s="144">
        <f t="shared" si="281"/>
        <v>0.0162311698250682</v>
      </c>
      <c r="DE226" s="144">
        <f t="shared" si="281"/>
        <v>0.00746794363867736</v>
      </c>
      <c r="DF226" s="144">
        <f t="shared" si="281"/>
        <v>0.00255205703996878</v>
      </c>
      <c r="DG226" s="144">
        <f t="shared" si="281"/>
        <v>0.00370126652489648</v>
      </c>
      <c r="DH226" s="144">
        <f t="shared" si="281"/>
        <v>0.003938467275231</v>
      </c>
      <c r="DI226" s="144">
        <f t="shared" si="281"/>
        <v>0.00852747227854781</v>
      </c>
      <c r="DJ226" s="144">
        <f t="shared" si="281"/>
        <v>0.00557968386631299</v>
      </c>
      <c r="DK226" s="144">
        <f t="shared" si="281"/>
        <v>0.00394492879403527</v>
      </c>
      <c r="DL226" s="144">
        <f t="shared" si="281"/>
        <v>0.0107176522436911</v>
      </c>
      <c r="DM226" s="144">
        <f t="shared" si="281"/>
        <v>0.0203380667031406</v>
      </c>
      <c r="DN226" s="144">
        <f t="shared" si="281"/>
        <v>0.00332854381376694</v>
      </c>
      <c r="DO226" s="9">
        <f t="shared" si="281"/>
        <v>0.00759041342192781</v>
      </c>
      <c r="DP226" s="144">
        <f t="shared" si="281"/>
        <v>0.0141677734597352</v>
      </c>
      <c r="DQ226" s="144">
        <f t="shared" si="281"/>
        <v>0.00775734154374152</v>
      </c>
      <c r="DR226" s="144">
        <f t="shared" si="281"/>
        <v>0.00670931344393304</v>
      </c>
      <c r="DS226" s="144">
        <f t="shared" si="281"/>
        <v>0.0144861051084218</v>
      </c>
      <c r="DT226" s="144">
        <f t="shared" si="281"/>
        <v>0.00238482322047346</v>
      </c>
      <c r="DU226" s="144">
        <f t="shared" si="281"/>
        <v>0.0059477178566054</v>
      </c>
      <c r="DV226" s="144">
        <f t="shared" si="281"/>
        <v>0.0210912795567501</v>
      </c>
      <c r="DW226" s="144">
        <f t="shared" si="281"/>
        <v>0.0149837636534578</v>
      </c>
      <c r="DX226" s="144">
        <f t="shared" si="281"/>
        <v>0.00814128882554228</v>
      </c>
      <c r="DY226" s="144">
        <f t="shared" si="281"/>
        <v>0.0125483912064056</v>
      </c>
      <c r="DZ226" s="144">
        <f t="shared" si="281"/>
        <v>0.0271877024577622</v>
      </c>
      <c r="EA226" s="144">
        <f t="shared" si="281"/>
        <v>0.00418828041219173</v>
      </c>
      <c r="EB226" s="117">
        <f t="shared" si="281"/>
        <v>0.0118671553740062</v>
      </c>
      <c r="EC226" s="118"/>
      <c r="ED226" s="117">
        <f t="shared" ref="ED226:FB226" si="282">ED14/ED$211</f>
        <v>0</v>
      </c>
      <c r="EE226" s="117">
        <f t="shared" si="282"/>
        <v>0</v>
      </c>
      <c r="EF226" s="117">
        <f t="shared" si="282"/>
        <v>0</v>
      </c>
      <c r="EG226" s="117" t="e">
        <f t="shared" si="282"/>
        <v>#DIV/0!</v>
      </c>
      <c r="EH226" s="117" t="e">
        <f t="shared" si="282"/>
        <v>#DIV/0!</v>
      </c>
      <c r="EI226" s="117" t="e">
        <f t="shared" si="282"/>
        <v>#DIV/0!</v>
      </c>
      <c r="EJ226" s="117" t="e">
        <f t="shared" si="282"/>
        <v>#DIV/0!</v>
      </c>
      <c r="EK226" s="117" t="e">
        <f t="shared" si="282"/>
        <v>#DIV/0!</v>
      </c>
      <c r="EL226" s="117" t="e">
        <f t="shared" si="282"/>
        <v>#DIV/0!</v>
      </c>
      <c r="EM226" s="117" t="e">
        <f t="shared" si="282"/>
        <v>#DIV/0!</v>
      </c>
      <c r="EN226" s="117" t="e">
        <f t="shared" si="282"/>
        <v>#DIV/0!</v>
      </c>
      <c r="EO226" s="116">
        <f t="shared" si="282"/>
        <v>0.000225990376788225</v>
      </c>
      <c r="EP226" s="117">
        <f t="shared" si="282"/>
        <v>0.00393296732441309</v>
      </c>
      <c r="EQ226" s="117">
        <f t="shared" si="282"/>
        <v>0.00502612957088067</v>
      </c>
      <c r="ER226" s="117">
        <f t="shared" si="282"/>
        <v>0.00183539488127601</v>
      </c>
      <c r="ES226" s="117">
        <f t="shared" si="282"/>
        <v>0.00123570746492121</v>
      </c>
      <c r="ET226" s="117">
        <f t="shared" si="282"/>
        <v>0.0015128340942204</v>
      </c>
      <c r="EU226" s="117">
        <f t="shared" si="282"/>
        <v>0.0163220972290802</v>
      </c>
      <c r="EV226" s="117">
        <f t="shared" si="282"/>
        <v>0.017133677019197</v>
      </c>
      <c r="EW226" s="117">
        <f t="shared" si="282"/>
        <v>0.0158225446291779</v>
      </c>
      <c r="EX226" s="117">
        <f t="shared" si="282"/>
        <v>0.00786819739197271</v>
      </c>
      <c r="EY226" s="117">
        <f t="shared" si="282"/>
        <v>0.0120140316872823</v>
      </c>
      <c r="EZ226" s="117">
        <f t="shared" si="282"/>
        <v>0.0200473380479797</v>
      </c>
      <c r="FA226" s="117">
        <f t="shared" si="282"/>
        <v>0.00724364111312505</v>
      </c>
      <c r="FB226" s="117">
        <f t="shared" si="282"/>
        <v>0.00920739915351811</v>
      </c>
      <c r="FC226" s="118"/>
      <c r="FD226" s="117"/>
      <c r="FE226" s="117"/>
      <c r="FF226" s="117"/>
      <c r="FG226" s="117"/>
      <c r="FH226" s="117"/>
      <c r="FI226" s="117"/>
      <c r="FJ226" s="117"/>
      <c r="FK226" s="117" t="e">
        <f t="shared" si="211"/>
        <v>#DIV/0!</v>
      </c>
      <c r="FL226" s="117" t="e">
        <f t="shared" si="212"/>
        <v>#DIV/0!</v>
      </c>
      <c r="FM226" s="117" t="e">
        <f t="shared" si="213"/>
        <v>#DIV/0!</v>
      </c>
      <c r="FN226" s="117" t="e">
        <f t="shared" si="214"/>
        <v>#DIV/0!</v>
      </c>
      <c r="FO226" s="9" t="e">
        <f t="shared" si="215"/>
        <v>#DIV/0!</v>
      </c>
      <c r="FP226" s="118">
        <f t="shared" ref="FP226:GB226" si="283">FP14/FP$211</f>
        <v>0.00219827733660426</v>
      </c>
      <c r="FQ226" s="117">
        <f t="shared" si="283"/>
        <v>0.00134219153955035</v>
      </c>
      <c r="FR226" s="117">
        <f t="shared" si="283"/>
        <v>0.00179223448142039</v>
      </c>
      <c r="FS226" s="117">
        <f t="shared" si="283"/>
        <v>0.00128093760413916</v>
      </c>
      <c r="FT226" s="117">
        <f t="shared" si="283"/>
        <v>0.000701511612956145</v>
      </c>
      <c r="FU226" s="117">
        <f t="shared" si="283"/>
        <v>0.0125502938053027</v>
      </c>
      <c r="FV226" s="117">
        <f t="shared" si="283"/>
        <v>0.00846017410999767</v>
      </c>
      <c r="FW226" s="117">
        <f t="shared" si="283"/>
        <v>0.00139686886897689</v>
      </c>
      <c r="FX226" s="117">
        <f t="shared" si="283"/>
        <v>0.000314313199075859</v>
      </c>
      <c r="FY226" s="117">
        <f t="shared" si="283"/>
        <v>0.0114813471766946</v>
      </c>
      <c r="FZ226" s="117">
        <f t="shared" si="283"/>
        <v>0.00521320254393108</v>
      </c>
      <c r="GA226" s="117">
        <f t="shared" si="283"/>
        <v>0.000190064506579882</v>
      </c>
      <c r="GB226" s="116">
        <f t="shared" si="283"/>
        <v>0.0035508861422106</v>
      </c>
    </row>
    <row r="227" spans="1:184">
      <c r="A227" s="147" t="s">
        <v>55</v>
      </c>
      <c r="B227" s="160">
        <f t="shared" si="217"/>
        <v>-0.220639713568183</v>
      </c>
      <c r="C227" s="117">
        <f t="shared" ref="C227:AH227" si="284">C15/C$211</f>
        <v>0.00301636869942511</v>
      </c>
      <c r="D227" s="117">
        <f t="shared" si="284"/>
        <v>0.00424014839177973</v>
      </c>
      <c r="E227" s="117">
        <f t="shared" si="284"/>
        <v>0.00389458471602961</v>
      </c>
      <c r="F227" s="117">
        <f t="shared" si="284"/>
        <v>0.00342590372263217</v>
      </c>
      <c r="G227" s="117">
        <f t="shared" si="284"/>
        <v>0.00290975067852421</v>
      </c>
      <c r="H227" s="117">
        <f t="shared" si="284"/>
        <v>0.00432953081081296</v>
      </c>
      <c r="I227" s="117">
        <f t="shared" si="284"/>
        <v>0.00268004512175341</v>
      </c>
      <c r="J227" s="117">
        <f t="shared" si="284"/>
        <v>0.00195309844623632</v>
      </c>
      <c r="K227" s="117">
        <f t="shared" si="284"/>
        <v>0.00069602391137374</v>
      </c>
      <c r="L227" s="117">
        <f t="shared" si="284"/>
        <v>0.000501105686246861</v>
      </c>
      <c r="M227" s="117">
        <f t="shared" si="284"/>
        <v>0.0135325662373621</v>
      </c>
      <c r="N227" s="117">
        <f t="shared" si="284"/>
        <v>0.0219218007490691</v>
      </c>
      <c r="O227" s="9">
        <f t="shared" si="284"/>
        <v>0.00527212772177178</v>
      </c>
      <c r="P227" s="117">
        <f t="shared" si="284"/>
        <v>0.00341563100695165</v>
      </c>
      <c r="Q227" s="117">
        <f t="shared" si="284"/>
        <v>0.00519769884291234</v>
      </c>
      <c r="R227" s="117">
        <f t="shared" si="284"/>
        <v>0.00614198690942512</v>
      </c>
      <c r="S227" s="117">
        <f t="shared" si="284"/>
        <v>0.00683911229199525</v>
      </c>
      <c r="T227" s="117">
        <f t="shared" si="284"/>
        <v>0.00609027148701604</v>
      </c>
      <c r="U227" s="117">
        <f t="shared" si="284"/>
        <v>0.00506654826225737</v>
      </c>
      <c r="V227" s="117">
        <f t="shared" si="284"/>
        <v>0.00406823274514204</v>
      </c>
      <c r="W227" s="117">
        <f t="shared" si="284"/>
        <v>0.00113590383821986</v>
      </c>
      <c r="X227" s="117">
        <f t="shared" si="284"/>
        <v>0.000816603637103328</v>
      </c>
      <c r="Y227" s="117">
        <f t="shared" si="284"/>
        <v>0.000826212305777348</v>
      </c>
      <c r="Z227" s="117">
        <f t="shared" si="284"/>
        <v>0.0100077410258819</v>
      </c>
      <c r="AA227" s="117">
        <f t="shared" si="284"/>
        <v>0.0193731348891526</v>
      </c>
      <c r="AB227" s="9">
        <f t="shared" si="284"/>
        <v>0.00560490676886807</v>
      </c>
      <c r="AC227" s="117">
        <f t="shared" si="284"/>
        <v>0.00505065213175616</v>
      </c>
      <c r="AD227" s="117">
        <f t="shared" si="284"/>
        <v>0.00846349957401587</v>
      </c>
      <c r="AE227" s="117">
        <f t="shared" si="284"/>
        <v>0.00667275196136055</v>
      </c>
      <c r="AF227" s="117">
        <f t="shared" si="284"/>
        <v>0.00671111231338805</v>
      </c>
      <c r="AG227" s="117">
        <f t="shared" si="284"/>
        <v>0.00646157219210089</v>
      </c>
      <c r="AH227" s="117">
        <f t="shared" si="284"/>
        <v>0.00500336116646562</v>
      </c>
      <c r="AI227" s="117">
        <f t="shared" ref="AI227:BN227" si="285">AI15/AI$211</f>
        <v>0.00276791793714752</v>
      </c>
      <c r="AJ227" s="117">
        <f t="shared" si="285"/>
        <v>0.00244748048788845</v>
      </c>
      <c r="AK227" s="117">
        <f t="shared" si="285"/>
        <v>0.00241485679453324</v>
      </c>
      <c r="AL227" s="117">
        <f t="shared" si="285"/>
        <v>0.00135201351368777</v>
      </c>
      <c r="AM227" s="117">
        <f t="shared" si="285"/>
        <v>0.0136329647482552</v>
      </c>
      <c r="AN227" s="117">
        <f t="shared" si="285"/>
        <v>0.0152483667574916</v>
      </c>
      <c r="AO227" s="9">
        <f t="shared" si="285"/>
        <v>0.00627194308880206</v>
      </c>
      <c r="AP227" s="144">
        <f t="shared" si="285"/>
        <v>0.00671889764478511</v>
      </c>
      <c r="AQ227" s="144">
        <f t="shared" si="285"/>
        <v>0.00498318668066177</v>
      </c>
      <c r="AR227" s="144">
        <f t="shared" si="285"/>
        <v>0.00400872202312809</v>
      </c>
      <c r="AS227" s="144">
        <f t="shared" si="285"/>
        <v>0.00316095118542021</v>
      </c>
      <c r="AT227" s="144">
        <f t="shared" si="285"/>
        <v>0.00196605460523012</v>
      </c>
      <c r="AU227" s="144">
        <f t="shared" si="285"/>
        <v>0.00129712651427459</v>
      </c>
      <c r="AV227" s="144">
        <f t="shared" si="285"/>
        <v>0.000968957723003106</v>
      </c>
      <c r="AW227" s="144">
        <f t="shared" si="285"/>
        <v>0.00058887972704982</v>
      </c>
      <c r="AX227" s="144">
        <f t="shared" si="285"/>
        <v>0.00058600292593341</v>
      </c>
      <c r="AY227" s="144">
        <f t="shared" si="285"/>
        <v>0.000574467817086468</v>
      </c>
      <c r="AZ227" s="144">
        <f t="shared" si="285"/>
        <v>0.0458143067437115</v>
      </c>
      <c r="BA227" s="144">
        <f t="shared" si="285"/>
        <v>0.0800402654196729</v>
      </c>
      <c r="BB227" s="9">
        <f t="shared" si="285"/>
        <v>0.013995291591258</v>
      </c>
      <c r="BC227" s="144">
        <f t="shared" si="285"/>
        <v>0.00133103156456397</v>
      </c>
      <c r="BD227" s="144">
        <f t="shared" si="285"/>
        <v>0.00398514737606575</v>
      </c>
      <c r="BE227" s="144">
        <f t="shared" si="285"/>
        <v>0.00362980204524467</v>
      </c>
      <c r="BF227" s="144">
        <f t="shared" si="285"/>
        <v>0.00234777420437817</v>
      </c>
      <c r="BG227" s="144">
        <f t="shared" si="285"/>
        <v>0.00116396913897383</v>
      </c>
      <c r="BH227" s="144">
        <f t="shared" si="285"/>
        <v>0.00108486685734508</v>
      </c>
      <c r="BI227" s="144">
        <f t="shared" si="285"/>
        <v>0.00230837518319758</v>
      </c>
      <c r="BJ227" s="144">
        <f t="shared" si="285"/>
        <v>0.00142231286538434</v>
      </c>
      <c r="BK227" s="144">
        <f t="shared" si="285"/>
        <v>0</v>
      </c>
      <c r="BL227" s="144">
        <f t="shared" si="285"/>
        <v>0</v>
      </c>
      <c r="BM227" s="144">
        <f t="shared" si="285"/>
        <v>0.00105396321094215</v>
      </c>
      <c r="BN227" s="144">
        <f t="shared" si="285"/>
        <v>0.00218623283032937</v>
      </c>
      <c r="BO227" s="9">
        <f t="shared" ref="BO227:CT227" si="286">BO15/BO$211</f>
        <v>0.0017233168957339</v>
      </c>
      <c r="BP227" s="144">
        <f t="shared" si="286"/>
        <v>0.00181567132122555</v>
      </c>
      <c r="BQ227" s="144">
        <f t="shared" si="286"/>
        <v>0.00267199253131613</v>
      </c>
      <c r="BR227" s="144">
        <f t="shared" si="286"/>
        <v>0.00229544183781975</v>
      </c>
      <c r="BS227" s="144">
        <f t="shared" si="286"/>
        <v>0.00161780781004585</v>
      </c>
      <c r="BT227" s="144">
        <f t="shared" si="286"/>
        <v>0.00155036855818293</v>
      </c>
      <c r="BU227" s="144">
        <f t="shared" si="286"/>
        <v>0.000561391748983478</v>
      </c>
      <c r="BV227" s="144">
        <f t="shared" si="286"/>
        <v>0.000207394853145518</v>
      </c>
      <c r="BW227" s="144">
        <f t="shared" si="286"/>
        <v>0.000197447153734424</v>
      </c>
      <c r="BX227" s="144">
        <f t="shared" si="286"/>
        <v>0.000183828470024635</v>
      </c>
      <c r="BY227" s="144">
        <f t="shared" si="286"/>
        <v>0.000192042451195301</v>
      </c>
      <c r="BZ227" s="144">
        <f t="shared" si="286"/>
        <v>0.00431193357077619</v>
      </c>
      <c r="CA227" s="144">
        <f t="shared" si="286"/>
        <v>0.00825981758376198</v>
      </c>
      <c r="CB227" s="9">
        <f t="shared" si="286"/>
        <v>0.0019987205375592</v>
      </c>
      <c r="CC227" s="144">
        <f t="shared" si="286"/>
        <v>0.0047518638996659</v>
      </c>
      <c r="CD227" s="144">
        <f t="shared" si="286"/>
        <v>0.00713077675170588</v>
      </c>
      <c r="CE227" s="144">
        <f t="shared" si="286"/>
        <v>0.00644922959228338</v>
      </c>
      <c r="CF227" s="144">
        <f t="shared" si="286"/>
        <v>0.00691680045347424</v>
      </c>
      <c r="CG227" s="144">
        <f t="shared" si="286"/>
        <v>0.00576332594744011</v>
      </c>
      <c r="CH227" s="144">
        <f t="shared" si="286"/>
        <v>0.00663692328476125</v>
      </c>
      <c r="CI227" s="144">
        <f t="shared" si="286"/>
        <v>0.00420878860372831</v>
      </c>
      <c r="CJ227" s="144">
        <f t="shared" si="286"/>
        <v>0.00256817038811457</v>
      </c>
      <c r="CK227" s="144">
        <f t="shared" si="286"/>
        <v>0.00195836667307809</v>
      </c>
      <c r="CL227" s="144">
        <f t="shared" si="286"/>
        <v>0.00114824663501481</v>
      </c>
      <c r="CM227" s="144">
        <f t="shared" si="286"/>
        <v>0.00415770097412975</v>
      </c>
      <c r="CN227" s="144">
        <f t="shared" si="286"/>
        <v>0.0175065790013211</v>
      </c>
      <c r="CO227" s="9">
        <f t="shared" si="286"/>
        <v>0.00545786453092964</v>
      </c>
      <c r="CP227" s="144">
        <f t="shared" si="286"/>
        <v>0.00294729763148188</v>
      </c>
      <c r="CQ227" s="144">
        <f t="shared" si="286"/>
        <v>0.00397215098524228</v>
      </c>
      <c r="CR227" s="144">
        <f t="shared" si="286"/>
        <v>0.00319923803450219</v>
      </c>
      <c r="CS227" s="144">
        <f t="shared" si="286"/>
        <v>0.00163317636254681</v>
      </c>
      <c r="CT227" s="144">
        <f t="shared" si="286"/>
        <v>0.00156766513770533</v>
      </c>
      <c r="CU227" s="144">
        <f t="shared" ref="CU227:EB227" si="287">CU15/CU$211</f>
        <v>0.00152504998053697</v>
      </c>
      <c r="CV227" s="144">
        <f t="shared" si="287"/>
        <v>0.00255944453574771</v>
      </c>
      <c r="CW227" s="144">
        <f t="shared" si="287"/>
        <v>0.00154240325010753</v>
      </c>
      <c r="CX227" s="144">
        <f t="shared" si="287"/>
        <v>0</v>
      </c>
      <c r="CY227" s="144">
        <f t="shared" si="287"/>
        <v>0</v>
      </c>
      <c r="CZ227" s="144">
        <f t="shared" si="287"/>
        <v>0.00120430321462454</v>
      </c>
      <c r="DA227" s="144">
        <f t="shared" si="287"/>
        <v>0.0049144284771144</v>
      </c>
      <c r="DB227" s="9">
        <f t="shared" si="287"/>
        <v>0.00217796401339168</v>
      </c>
      <c r="DC227" s="144">
        <f t="shared" si="287"/>
        <v>0.00385180662036706</v>
      </c>
      <c r="DD227" s="144">
        <f t="shared" si="287"/>
        <v>0.0132058335707666</v>
      </c>
      <c r="DE227" s="144">
        <f t="shared" si="287"/>
        <v>0.00757612594862916</v>
      </c>
      <c r="DF227" s="144">
        <f t="shared" si="287"/>
        <v>0.00632674527131177</v>
      </c>
      <c r="DG227" s="144">
        <f t="shared" si="287"/>
        <v>0.00485710611084909</v>
      </c>
      <c r="DH227" s="144">
        <f t="shared" si="287"/>
        <v>0.00305578963130867</v>
      </c>
      <c r="DI227" s="144">
        <f t="shared" si="287"/>
        <v>0.00585947385428793</v>
      </c>
      <c r="DJ227" s="144">
        <f t="shared" si="287"/>
        <v>0.0061203669869396</v>
      </c>
      <c r="DK227" s="144">
        <f t="shared" si="287"/>
        <v>0.0046283704052826</v>
      </c>
      <c r="DL227" s="144">
        <f t="shared" si="287"/>
        <v>0.00396779131298163</v>
      </c>
      <c r="DM227" s="144">
        <f t="shared" si="287"/>
        <v>0.0150312277701505</v>
      </c>
      <c r="DN227" s="144">
        <f t="shared" si="287"/>
        <v>0.0290951253717046</v>
      </c>
      <c r="DO227" s="9">
        <f t="shared" si="287"/>
        <v>0.00859343206876551</v>
      </c>
      <c r="DP227" s="144">
        <f t="shared" si="287"/>
        <v>0.00888765955712401</v>
      </c>
      <c r="DQ227" s="144">
        <f t="shared" si="287"/>
        <v>0.0081779413111558</v>
      </c>
      <c r="DR227" s="144">
        <f t="shared" si="287"/>
        <v>0.010786114109431</v>
      </c>
      <c r="DS227" s="144">
        <f t="shared" si="287"/>
        <v>0.00512261835027163</v>
      </c>
      <c r="DT227" s="144">
        <f t="shared" si="287"/>
        <v>0.00500076400939775</v>
      </c>
      <c r="DU227" s="144">
        <f t="shared" si="287"/>
        <v>0.00323205024550459</v>
      </c>
      <c r="DV227" s="144">
        <f t="shared" si="287"/>
        <v>0.00365573985377857</v>
      </c>
      <c r="DW227" s="144">
        <f t="shared" si="287"/>
        <v>0.00384594067995539</v>
      </c>
      <c r="DX227" s="144">
        <f t="shared" si="287"/>
        <v>0.000303567263856539</v>
      </c>
      <c r="DY227" s="144">
        <f t="shared" si="287"/>
        <v>0</v>
      </c>
      <c r="DZ227" s="144">
        <f t="shared" si="287"/>
        <v>0.00409656924050296</v>
      </c>
      <c r="EA227" s="144">
        <f t="shared" si="287"/>
        <v>0.021509579636256</v>
      </c>
      <c r="EB227" s="117">
        <f t="shared" si="287"/>
        <v>0.00622660428288653</v>
      </c>
      <c r="EC227" s="118"/>
      <c r="ED227" s="117">
        <f t="shared" ref="ED227:FB227" si="288">ED15/ED$211</f>
        <v>0.0299110235525412</v>
      </c>
      <c r="EE227" s="117">
        <f t="shared" si="288"/>
        <v>0</v>
      </c>
      <c r="EF227" s="117">
        <f t="shared" si="288"/>
        <v>0</v>
      </c>
      <c r="EG227" s="117" t="e">
        <f t="shared" si="288"/>
        <v>#DIV/0!</v>
      </c>
      <c r="EH227" s="117" t="e">
        <f t="shared" si="288"/>
        <v>#DIV/0!</v>
      </c>
      <c r="EI227" s="117" t="e">
        <f t="shared" si="288"/>
        <v>#DIV/0!</v>
      </c>
      <c r="EJ227" s="117" t="e">
        <f t="shared" si="288"/>
        <v>#DIV/0!</v>
      </c>
      <c r="EK227" s="117" t="e">
        <f t="shared" si="288"/>
        <v>#DIV/0!</v>
      </c>
      <c r="EL227" s="117" t="e">
        <f t="shared" si="288"/>
        <v>#DIV/0!</v>
      </c>
      <c r="EM227" s="117" t="e">
        <f t="shared" si="288"/>
        <v>#DIV/0!</v>
      </c>
      <c r="EN227" s="117" t="e">
        <f t="shared" si="288"/>
        <v>#DIV/0!</v>
      </c>
      <c r="EO227" s="116">
        <f t="shared" si="288"/>
        <v>0.00453683702543614</v>
      </c>
      <c r="EP227" s="117">
        <f t="shared" si="288"/>
        <v>0.0136676756209609</v>
      </c>
      <c r="EQ227" s="117">
        <f t="shared" si="288"/>
        <v>0.0106534985514254</v>
      </c>
      <c r="ER227" s="117">
        <f t="shared" si="288"/>
        <v>0.00898092326062988</v>
      </c>
      <c r="ES227" s="117">
        <f t="shared" si="288"/>
        <v>0.00918535558324799</v>
      </c>
      <c r="ET227" s="117">
        <f t="shared" si="288"/>
        <v>0.00531340789358896</v>
      </c>
      <c r="EU227" s="117">
        <f t="shared" si="288"/>
        <v>0.00595152015088136</v>
      </c>
      <c r="EV227" s="117">
        <f t="shared" si="288"/>
        <v>0.00403132078026934</v>
      </c>
      <c r="EW227" s="117">
        <f t="shared" si="288"/>
        <v>0.00474209316671767</v>
      </c>
      <c r="EX227" s="117">
        <f t="shared" si="288"/>
        <v>0.00337605229156375</v>
      </c>
      <c r="EY227" s="117">
        <f t="shared" si="288"/>
        <v>0.00256047062815159</v>
      </c>
      <c r="EZ227" s="117">
        <f t="shared" si="288"/>
        <v>0.00489413229882681</v>
      </c>
      <c r="FA227" s="117">
        <f t="shared" si="288"/>
        <v>0.0201937105841659</v>
      </c>
      <c r="FB227" s="117">
        <f t="shared" si="288"/>
        <v>0.00759524398022103</v>
      </c>
      <c r="FC227" s="118"/>
      <c r="FD227" s="117"/>
      <c r="FE227" s="117"/>
      <c r="FF227" s="117"/>
      <c r="FG227" s="117"/>
      <c r="FH227" s="117"/>
      <c r="FI227" s="117"/>
      <c r="FJ227" s="117"/>
      <c r="FK227" s="117" t="e">
        <f t="shared" si="211"/>
        <v>#DIV/0!</v>
      </c>
      <c r="FL227" s="117" t="e">
        <f t="shared" si="212"/>
        <v>#DIV/0!</v>
      </c>
      <c r="FM227" s="117" t="e">
        <f t="shared" si="213"/>
        <v>#DIV/0!</v>
      </c>
      <c r="FN227" s="117" t="e">
        <f t="shared" si="214"/>
        <v>#DIV/0!</v>
      </c>
      <c r="FO227" s="9" t="e">
        <f t="shared" si="215"/>
        <v>#DIV/0!</v>
      </c>
      <c r="FP227" s="118">
        <f t="shared" ref="FP227:GB227" si="289">FP15/FP$211</f>
        <v>0.000429495048580559</v>
      </c>
      <c r="FQ227" s="117">
        <f t="shared" si="289"/>
        <v>0.00150438011563495</v>
      </c>
      <c r="FR227" s="117">
        <f t="shared" si="289"/>
        <v>0.000722274400934755</v>
      </c>
      <c r="FS227" s="117">
        <f t="shared" si="289"/>
        <v>0.00115950025835554</v>
      </c>
      <c r="FT227" s="117">
        <f t="shared" si="289"/>
        <v>0.000664837461212262</v>
      </c>
      <c r="FU227" s="117">
        <f t="shared" si="289"/>
        <v>0.0106417694184793</v>
      </c>
      <c r="FV227" s="117">
        <f t="shared" si="289"/>
        <v>0.00365791604939942</v>
      </c>
      <c r="FW227" s="117">
        <f t="shared" si="289"/>
        <v>0.00307269647632176</v>
      </c>
      <c r="FX227" s="117">
        <f t="shared" si="289"/>
        <v>0.000220034167823336</v>
      </c>
      <c r="FY227" s="117">
        <f t="shared" si="289"/>
        <v>0.000161215680513795</v>
      </c>
      <c r="FZ227" s="117">
        <f t="shared" si="289"/>
        <v>0.0234647990759246</v>
      </c>
      <c r="GA227" s="117">
        <f t="shared" si="289"/>
        <v>0.0250616078654056</v>
      </c>
      <c r="GB227" s="116">
        <f t="shared" si="289"/>
        <v>0.00595970278691313</v>
      </c>
    </row>
    <row r="228" spans="1:184">
      <c r="A228" s="147" t="s">
        <v>57</v>
      </c>
      <c r="B228" s="160">
        <f t="shared" si="217"/>
        <v>1.02762915516872</v>
      </c>
      <c r="C228" s="117">
        <f t="shared" ref="C228:AH228" si="290">C16/C$211</f>
        <v>0.00614597392810612</v>
      </c>
      <c r="D228" s="117">
        <f t="shared" si="290"/>
        <v>0.00544532697840844</v>
      </c>
      <c r="E228" s="117">
        <f t="shared" si="290"/>
        <v>0.00542064880634069</v>
      </c>
      <c r="F228" s="117">
        <f t="shared" si="290"/>
        <v>0.00557348237052756</v>
      </c>
      <c r="G228" s="117">
        <f t="shared" si="290"/>
        <v>0.0449765586680321</v>
      </c>
      <c r="H228" s="117">
        <f t="shared" si="290"/>
        <v>0.0243717512564756</v>
      </c>
      <c r="I228" s="117">
        <f t="shared" si="290"/>
        <v>0.0146119695765412</v>
      </c>
      <c r="J228" s="117">
        <f t="shared" si="290"/>
        <v>0.0251412431287797</v>
      </c>
      <c r="K228" s="117">
        <f t="shared" si="290"/>
        <v>0.0163256511456845</v>
      </c>
      <c r="L228" s="117">
        <f t="shared" si="290"/>
        <v>0.0110729220393083</v>
      </c>
      <c r="M228" s="117">
        <f t="shared" si="290"/>
        <v>0.0112166646568186</v>
      </c>
      <c r="N228" s="117">
        <f t="shared" si="290"/>
        <v>0.0169865325826923</v>
      </c>
      <c r="O228" s="9">
        <f t="shared" si="290"/>
        <v>0.0145748151254545</v>
      </c>
      <c r="P228" s="117">
        <f t="shared" si="290"/>
        <v>0.00185126732583158</v>
      </c>
      <c r="Q228" s="117">
        <f t="shared" si="290"/>
        <v>0.00158123294434233</v>
      </c>
      <c r="R228" s="117">
        <f t="shared" si="290"/>
        <v>0.00241658091819312</v>
      </c>
      <c r="S228" s="117">
        <f t="shared" si="290"/>
        <v>0.00199271162085476</v>
      </c>
      <c r="T228" s="117">
        <f t="shared" si="290"/>
        <v>0.00895597618992742</v>
      </c>
      <c r="U228" s="117">
        <f t="shared" si="290"/>
        <v>0.00776145070023166</v>
      </c>
      <c r="V228" s="117">
        <f t="shared" si="290"/>
        <v>0.00694388867283025</v>
      </c>
      <c r="W228" s="117">
        <f t="shared" si="290"/>
        <v>0.00640220289586236</v>
      </c>
      <c r="X228" s="117">
        <f t="shared" si="290"/>
        <v>0.00596412502025682</v>
      </c>
      <c r="Y228" s="117">
        <f t="shared" si="290"/>
        <v>0.00174050008750283</v>
      </c>
      <c r="Z228" s="117">
        <f t="shared" si="290"/>
        <v>0.00234819549109877</v>
      </c>
      <c r="AA228" s="117">
        <f t="shared" si="290"/>
        <v>0.00402355347841078</v>
      </c>
      <c r="AB228" s="9">
        <f t="shared" si="290"/>
        <v>0.00412203790080179</v>
      </c>
      <c r="AC228" s="117">
        <f t="shared" si="290"/>
        <v>0.00212380857658316</v>
      </c>
      <c r="AD228" s="117">
        <f t="shared" si="290"/>
        <v>0.00119312664804798</v>
      </c>
      <c r="AE228" s="117">
        <f t="shared" si="290"/>
        <v>0.00131490026912269</v>
      </c>
      <c r="AF228" s="117">
        <f t="shared" si="290"/>
        <v>0.00169401928016368</v>
      </c>
      <c r="AG228" s="117">
        <f t="shared" si="290"/>
        <v>0.00938023979683512</v>
      </c>
      <c r="AH228" s="117">
        <f t="shared" si="290"/>
        <v>0.0116565916946708</v>
      </c>
      <c r="AI228" s="117">
        <f t="shared" ref="AI228:BN228" si="291">AI16/AI$211</f>
        <v>0.00569823789702892</v>
      </c>
      <c r="AJ228" s="117">
        <f t="shared" si="291"/>
        <v>0.00422983486278865</v>
      </c>
      <c r="AK228" s="117">
        <f t="shared" si="291"/>
        <v>0.0039442809818168</v>
      </c>
      <c r="AL228" s="117">
        <f t="shared" si="291"/>
        <v>0.00381315889819971</v>
      </c>
      <c r="AM228" s="117">
        <f t="shared" si="291"/>
        <v>0.00635918917282793</v>
      </c>
      <c r="AN228" s="117">
        <f t="shared" si="291"/>
        <v>0.00596835632187265</v>
      </c>
      <c r="AO228" s="9">
        <f t="shared" si="291"/>
        <v>0.00471044965250378</v>
      </c>
      <c r="AP228" s="144">
        <f t="shared" si="291"/>
        <v>0.00852995936886811</v>
      </c>
      <c r="AQ228" s="144">
        <f t="shared" si="291"/>
        <v>0.00874228107459333</v>
      </c>
      <c r="AR228" s="144">
        <f t="shared" si="291"/>
        <v>0.00822976349856162</v>
      </c>
      <c r="AS228" s="144">
        <f t="shared" si="291"/>
        <v>0.00762335064465297</v>
      </c>
      <c r="AT228" s="144">
        <f t="shared" si="291"/>
        <v>0.0386826568317696</v>
      </c>
      <c r="AU228" s="144">
        <f t="shared" si="291"/>
        <v>0.0289083469437321</v>
      </c>
      <c r="AV228" s="144">
        <f t="shared" si="291"/>
        <v>0.0245266280299383</v>
      </c>
      <c r="AW228" s="144">
        <f t="shared" si="291"/>
        <v>0.0327029219929878</v>
      </c>
      <c r="AX228" s="144">
        <f t="shared" si="291"/>
        <v>0.0285433687591583</v>
      </c>
      <c r="AY228" s="144">
        <f t="shared" si="291"/>
        <v>0.0184168788801435</v>
      </c>
      <c r="AZ228" s="144">
        <f t="shared" si="291"/>
        <v>0.0224307488727706</v>
      </c>
      <c r="BA228" s="144">
        <f t="shared" si="291"/>
        <v>0.0200036753852866</v>
      </c>
      <c r="BB228" s="9">
        <f t="shared" si="291"/>
        <v>0.0204303598799902</v>
      </c>
      <c r="BC228" s="144">
        <f t="shared" si="291"/>
        <v>0.00793717467916209</v>
      </c>
      <c r="BD228" s="144">
        <f t="shared" si="291"/>
        <v>0.00580683579942396</v>
      </c>
      <c r="BE228" s="144">
        <f t="shared" si="291"/>
        <v>0.0065393182629285</v>
      </c>
      <c r="BF228" s="144">
        <f t="shared" si="291"/>
        <v>0.00337961869174395</v>
      </c>
      <c r="BG228" s="144">
        <f t="shared" si="291"/>
        <v>0.0358971438832063</v>
      </c>
      <c r="BH228" s="144">
        <f t="shared" si="291"/>
        <v>0.015510717772502</v>
      </c>
      <c r="BI228" s="144">
        <f t="shared" si="291"/>
        <v>0.00704851655910825</v>
      </c>
      <c r="BJ228" s="144">
        <f t="shared" si="291"/>
        <v>0.0177470383098342</v>
      </c>
      <c r="BK228" s="144">
        <f t="shared" si="291"/>
        <v>0.00813661901204565</v>
      </c>
      <c r="BL228" s="144">
        <f t="shared" si="291"/>
        <v>0.00335021057051138</v>
      </c>
      <c r="BM228" s="144">
        <f t="shared" si="291"/>
        <v>0.00381130130825543</v>
      </c>
      <c r="BN228" s="144">
        <f t="shared" si="291"/>
        <v>0.0104600567403974</v>
      </c>
      <c r="BO228" s="9">
        <f t="shared" ref="BO228:CT228" si="292">BO16/BO$211</f>
        <v>0.0097669121712337</v>
      </c>
      <c r="BP228" s="144">
        <f t="shared" si="292"/>
        <v>0.00689824861774917</v>
      </c>
      <c r="BQ228" s="144">
        <f t="shared" si="292"/>
        <v>0.00504242284903112</v>
      </c>
      <c r="BR228" s="144">
        <f t="shared" si="292"/>
        <v>0.0048865039367423</v>
      </c>
      <c r="BS228" s="144">
        <f t="shared" si="292"/>
        <v>0.00428217523442001</v>
      </c>
      <c r="BT228" s="144">
        <f t="shared" si="292"/>
        <v>0.0635510447122678</v>
      </c>
      <c r="BU228" s="144">
        <f t="shared" si="292"/>
        <v>0.0500131831947358</v>
      </c>
      <c r="BV228" s="144">
        <f t="shared" si="292"/>
        <v>0.0279025028480564</v>
      </c>
      <c r="BW228" s="144">
        <f t="shared" si="292"/>
        <v>0.0466529497451792</v>
      </c>
      <c r="BX228" s="144">
        <f t="shared" si="292"/>
        <v>0.0325859987004467</v>
      </c>
      <c r="BY228" s="144">
        <f t="shared" si="292"/>
        <v>0.0260920417819005</v>
      </c>
      <c r="BZ228" s="144">
        <f t="shared" si="292"/>
        <v>0.0252768266358548</v>
      </c>
      <c r="CA228" s="144">
        <f t="shared" si="292"/>
        <v>0.0246771559280354</v>
      </c>
      <c r="CB228" s="9">
        <f t="shared" si="292"/>
        <v>0.0237631366382208</v>
      </c>
      <c r="CC228" s="144">
        <f t="shared" si="292"/>
        <v>0.00217559920960423</v>
      </c>
      <c r="CD228" s="144">
        <f t="shared" si="292"/>
        <v>0.00772075447669584</v>
      </c>
      <c r="CE228" s="144">
        <f t="shared" si="292"/>
        <v>0.00477833467515681</v>
      </c>
      <c r="CF228" s="144">
        <f t="shared" si="292"/>
        <v>0.0177583382720659</v>
      </c>
      <c r="CG228" s="144">
        <f t="shared" si="292"/>
        <v>0.0226127798826694</v>
      </c>
      <c r="CH228" s="144">
        <f t="shared" si="292"/>
        <v>0.0221308913039736</v>
      </c>
      <c r="CI228" s="144">
        <f t="shared" si="292"/>
        <v>0.0162615715858135</v>
      </c>
      <c r="CJ228" s="144">
        <f t="shared" si="292"/>
        <v>0.0189718739997391</v>
      </c>
      <c r="CK228" s="144">
        <f t="shared" si="292"/>
        <v>0.0182659924202656</v>
      </c>
      <c r="CL228" s="144">
        <f t="shared" si="292"/>
        <v>0.0112065996571479</v>
      </c>
      <c r="CM228" s="144">
        <f t="shared" si="292"/>
        <v>0.00627534887306529</v>
      </c>
      <c r="CN228" s="144">
        <f t="shared" si="292"/>
        <v>0.0187321466777654</v>
      </c>
      <c r="CO228" s="9">
        <f t="shared" si="292"/>
        <v>0.0140102809805465</v>
      </c>
      <c r="CP228" s="144">
        <f t="shared" si="292"/>
        <v>0.00596649918187437</v>
      </c>
      <c r="CQ228" s="144">
        <f t="shared" si="292"/>
        <v>0.00466130152058505</v>
      </c>
      <c r="CR228" s="144">
        <f t="shared" si="292"/>
        <v>0.00527918543596543</v>
      </c>
      <c r="CS228" s="144">
        <f t="shared" si="292"/>
        <v>0.00506787431424642</v>
      </c>
      <c r="CT228" s="144">
        <f t="shared" si="292"/>
        <v>0.0332014814250633</v>
      </c>
      <c r="CU228" s="144">
        <f t="shared" ref="CU228:EB228" si="293">CU16/CU$211</f>
        <v>0.0126222925250889</v>
      </c>
      <c r="CV228" s="144">
        <f t="shared" si="293"/>
        <v>0.00587808809268336</v>
      </c>
      <c r="CW228" s="144">
        <f t="shared" si="293"/>
        <v>0.0204770318799566</v>
      </c>
      <c r="CX228" s="144">
        <f t="shared" si="293"/>
        <v>0.0113213227543634</v>
      </c>
      <c r="CY228" s="144">
        <f t="shared" si="293"/>
        <v>0.0052128683941775</v>
      </c>
      <c r="CZ228" s="144">
        <f t="shared" si="293"/>
        <v>0.00423398408508571</v>
      </c>
      <c r="DA228" s="144">
        <f t="shared" si="293"/>
        <v>0.0145884831146284</v>
      </c>
      <c r="DB228" s="9">
        <f t="shared" si="293"/>
        <v>0.0103952481709111</v>
      </c>
      <c r="DC228" s="144">
        <f t="shared" si="293"/>
        <v>0.00503014532830394</v>
      </c>
      <c r="DD228" s="144">
        <f t="shared" si="293"/>
        <v>0.00509057668631088</v>
      </c>
      <c r="DE228" s="144">
        <f t="shared" si="293"/>
        <v>0.00447817078693369</v>
      </c>
      <c r="DF228" s="144">
        <f t="shared" si="293"/>
        <v>0.00617869305758434</v>
      </c>
      <c r="DG228" s="144">
        <f t="shared" si="293"/>
        <v>0.0167003718047091</v>
      </c>
      <c r="DH228" s="144">
        <f t="shared" si="293"/>
        <v>0.00921654926992833</v>
      </c>
      <c r="DI228" s="144">
        <f t="shared" si="293"/>
        <v>0.0055087194846353</v>
      </c>
      <c r="DJ228" s="144">
        <f t="shared" si="293"/>
        <v>0.0192198329759317</v>
      </c>
      <c r="DK228" s="144">
        <f t="shared" si="293"/>
        <v>0.0120548718832467</v>
      </c>
      <c r="DL228" s="144">
        <f t="shared" si="293"/>
        <v>0.0061313573128565</v>
      </c>
      <c r="DM228" s="144">
        <f t="shared" si="293"/>
        <v>0.0036833826896982</v>
      </c>
      <c r="DN228" s="144">
        <f t="shared" si="293"/>
        <v>0.0135167822698188</v>
      </c>
      <c r="DO228" s="9">
        <f t="shared" si="293"/>
        <v>0.00861588377800097</v>
      </c>
      <c r="DP228" s="144">
        <f t="shared" si="293"/>
        <v>0.0125496375746787</v>
      </c>
      <c r="DQ228" s="144">
        <f t="shared" si="293"/>
        <v>0.0130093875711377</v>
      </c>
      <c r="DR228" s="144">
        <f t="shared" si="293"/>
        <v>0.0140061672388022</v>
      </c>
      <c r="DS228" s="144">
        <f t="shared" si="293"/>
        <v>0.0113211741894942</v>
      </c>
      <c r="DT228" s="144">
        <f t="shared" si="293"/>
        <v>0.0333728794248325</v>
      </c>
      <c r="DU228" s="144">
        <f t="shared" si="293"/>
        <v>0.0257755848948061</v>
      </c>
      <c r="DV228" s="144">
        <f t="shared" si="293"/>
        <v>0.0166632141720196</v>
      </c>
      <c r="DW228" s="144">
        <f t="shared" si="293"/>
        <v>0.0332796477225614</v>
      </c>
      <c r="DX228" s="144">
        <f t="shared" si="293"/>
        <v>0.0288792434186663</v>
      </c>
      <c r="DY228" s="144">
        <f t="shared" si="293"/>
        <v>0.0199502114595384</v>
      </c>
      <c r="DZ228" s="144">
        <f t="shared" si="293"/>
        <v>0.00966808731641933</v>
      </c>
      <c r="EA228" s="144">
        <f t="shared" si="293"/>
        <v>0.0344845909700458</v>
      </c>
      <c r="EB228" s="117">
        <f t="shared" si="293"/>
        <v>0.0201747244879861</v>
      </c>
      <c r="EC228" s="118"/>
      <c r="ED228" s="117">
        <f t="shared" ref="ED228:FB228" si="294">ED16/ED$211</f>
        <v>0.119644094210165</v>
      </c>
      <c r="EE228" s="117">
        <f t="shared" si="294"/>
        <v>0</v>
      </c>
      <c r="EF228" s="117">
        <f t="shared" si="294"/>
        <v>0</v>
      </c>
      <c r="EG228" s="117" t="e">
        <f t="shared" si="294"/>
        <v>#DIV/0!</v>
      </c>
      <c r="EH228" s="117" t="e">
        <f t="shared" si="294"/>
        <v>#DIV/0!</v>
      </c>
      <c r="EI228" s="117" t="e">
        <f t="shared" si="294"/>
        <v>#DIV/0!</v>
      </c>
      <c r="EJ228" s="117" t="e">
        <f t="shared" si="294"/>
        <v>#DIV/0!</v>
      </c>
      <c r="EK228" s="117" t="e">
        <f t="shared" si="294"/>
        <v>#DIV/0!</v>
      </c>
      <c r="EL228" s="117" t="e">
        <f t="shared" si="294"/>
        <v>#DIV/0!</v>
      </c>
      <c r="EM228" s="117" t="e">
        <f t="shared" si="294"/>
        <v>#DIV/0!</v>
      </c>
      <c r="EN228" s="117" t="e">
        <f t="shared" si="294"/>
        <v>#DIV/0!</v>
      </c>
      <c r="EO228" s="116">
        <f t="shared" si="294"/>
        <v>0.0181473481017446</v>
      </c>
      <c r="EP228" s="117">
        <f t="shared" si="294"/>
        <v>0.0105678267543903</v>
      </c>
      <c r="EQ228" s="117">
        <f t="shared" si="294"/>
        <v>0.00866533376217623</v>
      </c>
      <c r="ER228" s="117">
        <f t="shared" si="294"/>
        <v>0.00591183644635918</v>
      </c>
      <c r="ES228" s="117">
        <f t="shared" si="294"/>
        <v>0.010582858892022</v>
      </c>
      <c r="ET228" s="117">
        <f t="shared" si="294"/>
        <v>0.0303495966316034</v>
      </c>
      <c r="EU228" s="117">
        <f t="shared" si="294"/>
        <v>0.020825394459237</v>
      </c>
      <c r="EV228" s="117">
        <f t="shared" si="294"/>
        <v>0.0165185290972963</v>
      </c>
      <c r="EW228" s="117">
        <f t="shared" si="294"/>
        <v>0.0203605265252638</v>
      </c>
      <c r="EX228" s="117">
        <f t="shared" si="294"/>
        <v>0.0159613253993221</v>
      </c>
      <c r="EY228" s="117">
        <f t="shared" si="294"/>
        <v>0.00881081373586149</v>
      </c>
      <c r="EZ228" s="117">
        <f t="shared" si="294"/>
        <v>0.00410304512978517</v>
      </c>
      <c r="FA228" s="117">
        <f t="shared" si="294"/>
        <v>0.0147561624557859</v>
      </c>
      <c r="FB228" s="117">
        <f t="shared" si="294"/>
        <v>0.0137182499387142</v>
      </c>
      <c r="FC228" s="118"/>
      <c r="FD228" s="117"/>
      <c r="FE228" s="117"/>
      <c r="FF228" s="117"/>
      <c r="FG228" s="117"/>
      <c r="FH228" s="117"/>
      <c r="FI228" s="117"/>
      <c r="FJ228" s="117"/>
      <c r="FK228" s="117" t="e">
        <f t="shared" si="211"/>
        <v>#DIV/0!</v>
      </c>
      <c r="FL228" s="117" t="e">
        <f t="shared" si="212"/>
        <v>#DIV/0!</v>
      </c>
      <c r="FM228" s="117" t="e">
        <f t="shared" si="213"/>
        <v>#DIV/0!</v>
      </c>
      <c r="FN228" s="117" t="e">
        <f t="shared" si="214"/>
        <v>#DIV/0!</v>
      </c>
      <c r="FO228" s="9" t="e">
        <f t="shared" si="215"/>
        <v>#DIV/0!</v>
      </c>
      <c r="FP228" s="118">
        <f t="shared" ref="FP228:GB228" si="295">FP16/FP$211</f>
        <v>0.00574881666165774</v>
      </c>
      <c r="FQ228" s="117">
        <f t="shared" si="295"/>
        <v>0.0047719841600733</v>
      </c>
      <c r="FR228" s="117">
        <f t="shared" si="295"/>
        <v>0.00488195883291257</v>
      </c>
      <c r="FS228" s="117">
        <f t="shared" si="295"/>
        <v>0.00537528385641966</v>
      </c>
      <c r="FT228" s="117">
        <f t="shared" si="295"/>
        <v>0.0846377525763074</v>
      </c>
      <c r="FU228" s="117">
        <f t="shared" si="295"/>
        <v>0.0265710132410434</v>
      </c>
      <c r="FV228" s="117">
        <f t="shared" si="295"/>
        <v>0.0139884031002168</v>
      </c>
      <c r="FW228" s="117">
        <f t="shared" si="295"/>
        <v>0.0300413628579364</v>
      </c>
      <c r="FX228" s="117">
        <f t="shared" si="295"/>
        <v>0.0110932313971452</v>
      </c>
      <c r="FY228" s="117">
        <f t="shared" si="295"/>
        <v>0.00756630794733167</v>
      </c>
      <c r="FZ228" s="117">
        <f t="shared" si="295"/>
        <v>0.0105406149556139</v>
      </c>
      <c r="GA228" s="117">
        <f t="shared" si="295"/>
        <v>0.0201046405054347</v>
      </c>
      <c r="GB228" s="116">
        <f t="shared" si="295"/>
        <v>0.01610306130397</v>
      </c>
    </row>
    <row r="229" spans="1:184">
      <c r="A229" s="147" t="s">
        <v>59</v>
      </c>
      <c r="B229" s="160">
        <f t="shared" si="217"/>
        <v>-0.318965807793703</v>
      </c>
      <c r="C229" s="117">
        <f t="shared" ref="C229:AH229" si="296">C17/C$211</f>
        <v>0.00146472038303211</v>
      </c>
      <c r="D229" s="117">
        <f t="shared" si="296"/>
        <v>0.0013595173515526</v>
      </c>
      <c r="E229" s="117">
        <f t="shared" si="296"/>
        <v>0.00327581633390551</v>
      </c>
      <c r="F229" s="117">
        <f t="shared" si="296"/>
        <v>0.00286460383874951</v>
      </c>
      <c r="G229" s="117">
        <f t="shared" si="296"/>
        <v>0.00212125825789625</v>
      </c>
      <c r="H229" s="117">
        <f t="shared" si="296"/>
        <v>0.00185210675416007</v>
      </c>
      <c r="I229" s="117">
        <f t="shared" si="296"/>
        <v>0.00117448543181088</v>
      </c>
      <c r="J229" s="117">
        <f t="shared" si="296"/>
        <v>0.000685865794173029</v>
      </c>
      <c r="K229" s="117">
        <f t="shared" si="296"/>
        <v>0.0012434551928081</v>
      </c>
      <c r="L229" s="117">
        <f t="shared" si="296"/>
        <v>0.000856666347152751</v>
      </c>
      <c r="M229" s="117">
        <f t="shared" si="296"/>
        <v>0.000362851837479665</v>
      </c>
      <c r="N229" s="117">
        <f t="shared" si="296"/>
        <v>0.010158533260594</v>
      </c>
      <c r="O229" s="9">
        <f t="shared" si="296"/>
        <v>0.00224695366949853</v>
      </c>
      <c r="P229" s="117">
        <f t="shared" si="296"/>
        <v>0.00191452097317327</v>
      </c>
      <c r="Q229" s="117">
        <f t="shared" si="296"/>
        <v>0.00125885239091972</v>
      </c>
      <c r="R229" s="117">
        <f t="shared" si="296"/>
        <v>0.00354672023164454</v>
      </c>
      <c r="S229" s="117">
        <f t="shared" si="296"/>
        <v>0.00459573662831818</v>
      </c>
      <c r="T229" s="117">
        <f t="shared" si="296"/>
        <v>0.00305153582569756</v>
      </c>
      <c r="U229" s="117">
        <f t="shared" si="296"/>
        <v>0.00251615762779909</v>
      </c>
      <c r="V229" s="117">
        <f t="shared" si="296"/>
        <v>0.00225624755863523</v>
      </c>
      <c r="W229" s="117">
        <f t="shared" si="296"/>
        <v>0.0011216925637888</v>
      </c>
      <c r="X229" s="117">
        <f t="shared" si="296"/>
        <v>0</v>
      </c>
      <c r="Y229" s="117">
        <f t="shared" si="296"/>
        <v>0</v>
      </c>
      <c r="Z229" s="117">
        <f t="shared" si="296"/>
        <v>0</v>
      </c>
      <c r="AA229" s="117">
        <f t="shared" si="296"/>
        <v>0</v>
      </c>
      <c r="AB229" s="9">
        <f t="shared" si="296"/>
        <v>0.00155127726328739</v>
      </c>
      <c r="AC229" s="117">
        <f t="shared" si="296"/>
        <v>0.00483231045575748</v>
      </c>
      <c r="AD229" s="117">
        <f t="shared" si="296"/>
        <v>0.00347610000925966</v>
      </c>
      <c r="AE229" s="117">
        <f t="shared" si="296"/>
        <v>0.00626298622852731</v>
      </c>
      <c r="AF229" s="117">
        <f t="shared" si="296"/>
        <v>0.00624157665417877</v>
      </c>
      <c r="AG229" s="117">
        <f t="shared" si="296"/>
        <v>0.00584812581449286</v>
      </c>
      <c r="AH229" s="117">
        <f t="shared" si="296"/>
        <v>0.00495929277634421</v>
      </c>
      <c r="AI229" s="117">
        <f t="shared" ref="AI229:BN229" si="297">AI17/AI$211</f>
        <v>0.00303361946137447</v>
      </c>
      <c r="AJ229" s="117">
        <f t="shared" si="297"/>
        <v>0.00152575585794351</v>
      </c>
      <c r="AK229" s="117">
        <f t="shared" si="297"/>
        <v>0.00112906372040147</v>
      </c>
      <c r="AL229" s="117">
        <f t="shared" si="297"/>
        <v>0</v>
      </c>
      <c r="AM229" s="117">
        <f t="shared" si="297"/>
        <v>0</v>
      </c>
      <c r="AN229" s="117">
        <f t="shared" si="297"/>
        <v>0</v>
      </c>
      <c r="AO229" s="9">
        <f t="shared" si="297"/>
        <v>0.00281985904783028</v>
      </c>
      <c r="AP229" s="144">
        <f t="shared" si="297"/>
        <v>0.00118638956471808</v>
      </c>
      <c r="AQ229" s="144">
        <f t="shared" si="297"/>
        <v>0.00053127756217102</v>
      </c>
      <c r="AR229" s="144">
        <f t="shared" si="297"/>
        <v>0.00116298399364461</v>
      </c>
      <c r="AS229" s="144">
        <f t="shared" si="297"/>
        <v>0.000996919201216826</v>
      </c>
      <c r="AT229" s="144">
        <f t="shared" si="297"/>
        <v>0.000518674080037845</v>
      </c>
      <c r="AU229" s="144">
        <f t="shared" si="297"/>
        <v>0.00032232683921009</v>
      </c>
      <c r="AV229" s="144">
        <f t="shared" si="297"/>
        <v>0.000265676055219417</v>
      </c>
      <c r="AW229" s="144">
        <f t="shared" si="297"/>
        <v>0.000146296281510545</v>
      </c>
      <c r="AX229" s="144">
        <f t="shared" si="297"/>
        <v>0.00146469887925417</v>
      </c>
      <c r="AY229" s="144">
        <f t="shared" si="297"/>
        <v>0.00119129514222271</v>
      </c>
      <c r="AZ229" s="144">
        <f t="shared" si="297"/>
        <v>5.9942666160588e-5</v>
      </c>
      <c r="BA229" s="144">
        <f t="shared" si="297"/>
        <v>0.0277166763490949</v>
      </c>
      <c r="BB229" s="9">
        <f t="shared" si="297"/>
        <v>0.00335190387288235</v>
      </c>
      <c r="BC229" s="144">
        <f t="shared" si="297"/>
        <v>0.00166461288253871</v>
      </c>
      <c r="BD229" s="144">
        <f t="shared" si="297"/>
        <v>0.0004788204667465</v>
      </c>
      <c r="BE229" s="144">
        <f t="shared" si="297"/>
        <v>0.00340025532821345</v>
      </c>
      <c r="BF229" s="144">
        <f t="shared" si="297"/>
        <v>0.00170574382310737</v>
      </c>
      <c r="BG229" s="144">
        <f t="shared" si="297"/>
        <v>0.00125413239248792</v>
      </c>
      <c r="BH229" s="144">
        <f t="shared" si="297"/>
        <v>0.000561290337718155</v>
      </c>
      <c r="BI229" s="144">
        <f t="shared" si="297"/>
        <v>3.77327868424531e-5</v>
      </c>
      <c r="BJ229" s="144">
        <f t="shared" si="297"/>
        <v>3.35238407261446e-5</v>
      </c>
      <c r="BK229" s="144">
        <f t="shared" si="297"/>
        <v>0.00123511926414541</v>
      </c>
      <c r="BL229" s="144">
        <f t="shared" si="297"/>
        <v>0.00127138483701164</v>
      </c>
      <c r="BM229" s="144">
        <f t="shared" si="297"/>
        <v>0.000809103071026293</v>
      </c>
      <c r="BN229" s="144">
        <f t="shared" si="297"/>
        <v>0.00569745525479776</v>
      </c>
      <c r="BO229" s="9">
        <f t="shared" ref="BO229:CT229" si="298">BO17/BO$211</f>
        <v>0.00149510726496113</v>
      </c>
      <c r="BP229" s="144">
        <f t="shared" si="298"/>
        <v>0.00158850998972671</v>
      </c>
      <c r="BQ229" s="144">
        <f t="shared" si="298"/>
        <v>0.00161404368479849</v>
      </c>
      <c r="BR229" s="144">
        <f t="shared" si="298"/>
        <v>0.00332568742281781</v>
      </c>
      <c r="BS229" s="144">
        <f t="shared" si="298"/>
        <v>0.00254039400672675</v>
      </c>
      <c r="BT229" s="144">
        <f t="shared" si="298"/>
        <v>0.00169169251585603</v>
      </c>
      <c r="BU229" s="144">
        <f t="shared" si="298"/>
        <v>0.00101650394416413</v>
      </c>
      <c r="BV229" s="144">
        <f t="shared" si="298"/>
        <v>0.000629454069752995</v>
      </c>
      <c r="BW229" s="144">
        <f t="shared" si="298"/>
        <v>0.000602692041923258</v>
      </c>
      <c r="BX229" s="144">
        <f t="shared" si="298"/>
        <v>0.00275535333836527</v>
      </c>
      <c r="BY229" s="144">
        <f t="shared" si="298"/>
        <v>0.00124480627548359</v>
      </c>
      <c r="BZ229" s="144">
        <f t="shared" si="298"/>
        <v>0.000574451072264457</v>
      </c>
      <c r="CA229" s="144">
        <f t="shared" si="298"/>
        <v>0.0100093725539217</v>
      </c>
      <c r="CB229" s="9">
        <f t="shared" si="298"/>
        <v>0.00222280812315497</v>
      </c>
      <c r="CC229" s="144">
        <f t="shared" si="298"/>
        <v>0.000916171306977209</v>
      </c>
      <c r="CD229" s="144">
        <f t="shared" si="298"/>
        <v>0.00363007193897659</v>
      </c>
      <c r="CE229" s="144">
        <f t="shared" si="298"/>
        <v>0.00461678202523377</v>
      </c>
      <c r="CF229" s="144">
        <f t="shared" si="298"/>
        <v>0.00668163563442549</v>
      </c>
      <c r="CG229" s="144">
        <f t="shared" si="298"/>
        <v>0.00316580462528158</v>
      </c>
      <c r="CH229" s="144">
        <f t="shared" si="298"/>
        <v>0.00606992411271532</v>
      </c>
      <c r="CI229" s="144">
        <f t="shared" si="298"/>
        <v>0.00469895851583969</v>
      </c>
      <c r="CJ229" s="144">
        <f t="shared" si="298"/>
        <v>0.00181533638165661</v>
      </c>
      <c r="CK229" s="144">
        <f t="shared" si="298"/>
        <v>0.00321256538081913</v>
      </c>
      <c r="CL229" s="144">
        <f t="shared" si="298"/>
        <v>0.00323193388045906</v>
      </c>
      <c r="CM229" s="144">
        <f t="shared" si="298"/>
        <v>0.000608531619198234</v>
      </c>
      <c r="CN229" s="144">
        <f t="shared" si="298"/>
        <v>0.0105752600500295</v>
      </c>
      <c r="CO229" s="9">
        <f t="shared" si="298"/>
        <v>0.00391047058834033</v>
      </c>
      <c r="CP229" s="144">
        <f t="shared" si="298"/>
        <v>0.00124999177227592</v>
      </c>
      <c r="CQ229" s="144">
        <f t="shared" si="298"/>
        <v>0.000875686478520666</v>
      </c>
      <c r="CR229" s="144">
        <f t="shared" si="298"/>
        <v>0.00236827997540896</v>
      </c>
      <c r="CS229" s="144">
        <f t="shared" si="298"/>
        <v>0.00203884071776915</v>
      </c>
      <c r="CT229" s="144">
        <f t="shared" si="298"/>
        <v>0.00165254678343659</v>
      </c>
      <c r="CU229" s="144">
        <f t="shared" ref="CU229:EB229" si="299">CU17/CU$211</f>
        <v>0.00141841103398331</v>
      </c>
      <c r="CV229" s="144">
        <f t="shared" si="299"/>
        <v>0.000881747477577189</v>
      </c>
      <c r="CW229" s="144">
        <f t="shared" si="299"/>
        <v>0.000234550678733365</v>
      </c>
      <c r="CX229" s="144">
        <f t="shared" si="299"/>
        <v>0.000611011289916706</v>
      </c>
      <c r="CY229" s="144">
        <f t="shared" si="299"/>
        <v>0.00128111597499907</v>
      </c>
      <c r="CZ229" s="144">
        <f t="shared" si="299"/>
        <v>0.000577822249441067</v>
      </c>
      <c r="DA229" s="144">
        <f t="shared" si="299"/>
        <v>0.00168756328362314</v>
      </c>
      <c r="DB229" s="9">
        <f t="shared" si="299"/>
        <v>0.00121554335384139</v>
      </c>
      <c r="DC229" s="144">
        <f t="shared" si="299"/>
        <v>0.00329505114043674</v>
      </c>
      <c r="DD229" s="144">
        <f t="shared" si="299"/>
        <v>0.00254720812834515</v>
      </c>
      <c r="DE229" s="144">
        <f t="shared" si="299"/>
        <v>0.00571981675293114</v>
      </c>
      <c r="DF229" s="144">
        <f t="shared" si="299"/>
        <v>0.0074000248116632</v>
      </c>
      <c r="DG229" s="144">
        <f t="shared" si="299"/>
        <v>0.0060674930669733</v>
      </c>
      <c r="DH229" s="144">
        <f t="shared" si="299"/>
        <v>0.00389772830704997</v>
      </c>
      <c r="DI229" s="144">
        <f t="shared" si="299"/>
        <v>0.00267295358185336</v>
      </c>
      <c r="DJ229" s="144">
        <f t="shared" si="299"/>
        <v>0.0015909358830714</v>
      </c>
      <c r="DK229" s="144">
        <f t="shared" si="299"/>
        <v>0.00554366309477587</v>
      </c>
      <c r="DL229" s="144">
        <f t="shared" si="299"/>
        <v>0.00807781452481724</v>
      </c>
      <c r="DM229" s="144">
        <f t="shared" si="299"/>
        <v>0.00248118862850645</v>
      </c>
      <c r="DN229" s="144">
        <f t="shared" si="299"/>
        <v>0.0144050830929959</v>
      </c>
      <c r="DO229" s="9">
        <f t="shared" si="299"/>
        <v>0.00513301841710304</v>
      </c>
      <c r="DP229" s="144">
        <f t="shared" si="299"/>
        <v>0.0024223285268908</v>
      </c>
      <c r="DQ229" s="144">
        <f t="shared" si="299"/>
        <v>0.00180315433835211</v>
      </c>
      <c r="DR229" s="144">
        <f t="shared" si="299"/>
        <v>0.00388190442210735</v>
      </c>
      <c r="DS229" s="144">
        <f t="shared" si="299"/>
        <v>0.00488056288712784</v>
      </c>
      <c r="DT229" s="144">
        <f t="shared" si="299"/>
        <v>0.0027053547932423</v>
      </c>
      <c r="DU229" s="144">
        <f t="shared" si="299"/>
        <v>0.00218172027953131</v>
      </c>
      <c r="DV229" s="144">
        <f t="shared" si="299"/>
        <v>0.00124545935658237</v>
      </c>
      <c r="DW229" s="144">
        <f t="shared" si="299"/>
        <v>0.000675055632593261</v>
      </c>
      <c r="DX229" s="144">
        <f t="shared" si="299"/>
        <v>0.00113044413724946</v>
      </c>
      <c r="DY229" s="144">
        <f t="shared" si="299"/>
        <v>0.00123946660500478</v>
      </c>
      <c r="DZ229" s="144">
        <f t="shared" si="299"/>
        <v>0.000524140172185564</v>
      </c>
      <c r="EA229" s="144">
        <f t="shared" si="299"/>
        <v>0.00837656082438346</v>
      </c>
      <c r="EB229" s="117">
        <f t="shared" si="299"/>
        <v>0.002536911585959</v>
      </c>
      <c r="EC229" s="118"/>
      <c r="ED229" s="117">
        <f t="shared" ref="ED229:FB229" si="300">ED17/ED$211</f>
        <v>0</v>
      </c>
      <c r="EE229" s="117">
        <f t="shared" si="300"/>
        <v>0</v>
      </c>
      <c r="EF229" s="117">
        <f t="shared" si="300"/>
        <v>0</v>
      </c>
      <c r="EG229" s="117" t="e">
        <f t="shared" si="300"/>
        <v>#DIV/0!</v>
      </c>
      <c r="EH229" s="117" t="e">
        <f t="shared" si="300"/>
        <v>#DIV/0!</v>
      </c>
      <c r="EI229" s="117" t="e">
        <f t="shared" si="300"/>
        <v>#DIV/0!</v>
      </c>
      <c r="EJ229" s="117" t="e">
        <f t="shared" si="300"/>
        <v>#DIV/0!</v>
      </c>
      <c r="EK229" s="117" t="e">
        <f t="shared" si="300"/>
        <v>#DIV/0!</v>
      </c>
      <c r="EL229" s="117" t="e">
        <f t="shared" si="300"/>
        <v>#DIV/0!</v>
      </c>
      <c r="EM229" s="117" t="e">
        <f t="shared" si="300"/>
        <v>#DIV/0!</v>
      </c>
      <c r="EN229" s="117" t="e">
        <f t="shared" si="300"/>
        <v>#DIV/0!</v>
      </c>
      <c r="EO229" s="116">
        <f t="shared" si="300"/>
        <v>0</v>
      </c>
      <c r="EP229" s="117">
        <f t="shared" si="300"/>
        <v>0.00129700129559362</v>
      </c>
      <c r="EQ229" s="117">
        <f t="shared" si="300"/>
        <v>0.00174932007727509</v>
      </c>
      <c r="ER229" s="117">
        <f t="shared" si="300"/>
        <v>0.00192374510552026</v>
      </c>
      <c r="ES229" s="117">
        <f t="shared" si="300"/>
        <v>0.00152380003661889</v>
      </c>
      <c r="ET229" s="117">
        <f t="shared" si="300"/>
        <v>0.00307482318402973</v>
      </c>
      <c r="EU229" s="117">
        <f t="shared" si="300"/>
        <v>0.00165918664242429</v>
      </c>
      <c r="EV229" s="117">
        <f t="shared" si="300"/>
        <v>0.00126455150775346</v>
      </c>
      <c r="EW229" s="117">
        <f t="shared" si="300"/>
        <v>0.00114238131879504</v>
      </c>
      <c r="EX229" s="117">
        <f t="shared" si="300"/>
        <v>0.00193037604028928</v>
      </c>
      <c r="EY229" s="117">
        <f t="shared" si="300"/>
        <v>0.00228342484144109</v>
      </c>
      <c r="EZ229" s="117">
        <f t="shared" si="300"/>
        <v>0.00130655627037852</v>
      </c>
      <c r="FA229" s="117">
        <f t="shared" si="300"/>
        <v>0.0113418766045465</v>
      </c>
      <c r="FB229" s="117">
        <f t="shared" si="300"/>
        <v>0.00259799178030649</v>
      </c>
      <c r="FC229" s="118"/>
      <c r="FD229" s="117"/>
      <c r="FE229" s="117"/>
      <c r="FF229" s="117"/>
      <c r="FG229" s="117"/>
      <c r="FH229" s="117"/>
      <c r="FI229" s="117"/>
      <c r="FJ229" s="117"/>
      <c r="FK229" s="117" t="e">
        <f t="shared" si="211"/>
        <v>#DIV/0!</v>
      </c>
      <c r="FL229" s="117" t="e">
        <f t="shared" si="212"/>
        <v>#DIV/0!</v>
      </c>
      <c r="FM229" s="117" t="e">
        <f t="shared" si="213"/>
        <v>#DIV/0!</v>
      </c>
      <c r="FN229" s="117" t="e">
        <f t="shared" si="214"/>
        <v>#DIV/0!</v>
      </c>
      <c r="FO229" s="9" t="e">
        <f t="shared" si="215"/>
        <v>#DIV/0!</v>
      </c>
      <c r="FP229" s="118">
        <f t="shared" ref="FP229:GB229" si="301">FP17/FP$211</f>
        <v>0.00018881338238911</v>
      </c>
      <c r="FQ229" s="117">
        <f t="shared" si="301"/>
        <v>0.000967077334812249</v>
      </c>
      <c r="FR229" s="117">
        <f t="shared" si="301"/>
        <v>0.00288214824726516</v>
      </c>
      <c r="FS229" s="117">
        <f t="shared" si="301"/>
        <v>0.00112274655245955</v>
      </c>
      <c r="FT229" s="117">
        <f t="shared" si="301"/>
        <v>0.000734649866023147</v>
      </c>
      <c r="FU229" s="117">
        <f t="shared" si="301"/>
        <v>0.00109518401872982</v>
      </c>
      <c r="FV229" s="117">
        <f t="shared" si="301"/>
        <v>0.000590497928538052</v>
      </c>
      <c r="FW229" s="117">
        <f t="shared" si="301"/>
        <v>0.000497045614051578</v>
      </c>
      <c r="FX229" s="117">
        <f t="shared" si="301"/>
        <v>0.000548908367097514</v>
      </c>
      <c r="FY229" s="117">
        <f t="shared" si="301"/>
        <v>0.000221075000624917</v>
      </c>
      <c r="FZ229" s="117">
        <f t="shared" si="301"/>
        <v>0.000202747539762015</v>
      </c>
      <c r="GA229" s="117">
        <f t="shared" si="301"/>
        <v>0.0164755514646116</v>
      </c>
      <c r="GB229" s="116">
        <f t="shared" si="301"/>
        <v>0.00227948538068079</v>
      </c>
    </row>
    <row r="230" spans="1:184">
      <c r="A230" s="147" t="s">
        <v>61</v>
      </c>
      <c r="B230" s="160">
        <f t="shared" si="217"/>
        <v>-0.829424832829268</v>
      </c>
      <c r="C230" s="117">
        <f t="shared" ref="C230:AH230" si="302">C18/C$211</f>
        <v>0.000553668991273641</v>
      </c>
      <c r="D230" s="117">
        <f t="shared" si="302"/>
        <v>0.000533884010575005</v>
      </c>
      <c r="E230" s="117">
        <f t="shared" si="302"/>
        <v>0.00045435757092296</v>
      </c>
      <c r="F230" s="117">
        <f t="shared" si="302"/>
        <v>0.000833196910619727</v>
      </c>
      <c r="G230" s="117">
        <f t="shared" si="302"/>
        <v>0.00204843784735984</v>
      </c>
      <c r="H230" s="117">
        <f t="shared" si="302"/>
        <v>0.00163745973263112</v>
      </c>
      <c r="I230" s="117">
        <f t="shared" si="302"/>
        <v>0.00103699201917118</v>
      </c>
      <c r="J230" s="117">
        <f t="shared" si="302"/>
        <v>0.00074605176932075</v>
      </c>
      <c r="K230" s="117">
        <f t="shared" si="302"/>
        <v>0.000530727621536675</v>
      </c>
      <c r="L230" s="117">
        <f t="shared" si="302"/>
        <v>0.000316731855328538</v>
      </c>
      <c r="M230" s="117">
        <f t="shared" si="302"/>
        <v>0.00015389466671249</v>
      </c>
      <c r="N230" s="117">
        <f t="shared" si="302"/>
        <v>0.000119313159572214</v>
      </c>
      <c r="O230" s="9">
        <f t="shared" si="302"/>
        <v>0.000691745307698975</v>
      </c>
      <c r="P230" s="117">
        <f t="shared" si="302"/>
        <v>0.000296216727651564</v>
      </c>
      <c r="Q230" s="117">
        <f t="shared" si="302"/>
        <v>0.00028676392635045</v>
      </c>
      <c r="R230" s="117">
        <f t="shared" si="302"/>
        <v>0.000196306862155611</v>
      </c>
      <c r="S230" s="117">
        <f t="shared" si="302"/>
        <v>0.000207820911018101</v>
      </c>
      <c r="T230" s="117">
        <f t="shared" si="302"/>
        <v>0.000921505973228364</v>
      </c>
      <c r="U230" s="117">
        <f t="shared" si="302"/>
        <v>0.000776853005898106</v>
      </c>
      <c r="V230" s="117">
        <f t="shared" si="302"/>
        <v>0.000696606873357616</v>
      </c>
      <c r="W230" s="117">
        <f t="shared" si="302"/>
        <v>0.000564078277417182</v>
      </c>
      <c r="X230" s="117">
        <f t="shared" si="302"/>
        <v>0.000537296868324736</v>
      </c>
      <c r="Y230" s="117">
        <f t="shared" si="302"/>
        <v>0</v>
      </c>
      <c r="Z230" s="117">
        <f t="shared" si="302"/>
        <v>0</v>
      </c>
      <c r="AA230" s="117">
        <f t="shared" si="302"/>
        <v>0</v>
      </c>
      <c r="AB230" s="9">
        <f t="shared" si="302"/>
        <v>0.000351478669000043</v>
      </c>
      <c r="AC230" s="117">
        <f t="shared" si="302"/>
        <v>0.00260552692590324</v>
      </c>
      <c r="AD230" s="117">
        <f t="shared" si="302"/>
        <v>0.00210514022902263</v>
      </c>
      <c r="AE230" s="117">
        <f t="shared" si="302"/>
        <v>0.00130689409372705</v>
      </c>
      <c r="AF230" s="117">
        <f t="shared" si="302"/>
        <v>0.00144342777493659</v>
      </c>
      <c r="AG230" s="117">
        <f t="shared" si="302"/>
        <v>0.00363971055358302</v>
      </c>
      <c r="AH230" s="117">
        <f t="shared" si="302"/>
        <v>0.0037384735044667</v>
      </c>
      <c r="AI230" s="117">
        <f t="shared" ref="AI230:BN230" si="303">AI18/AI$211</f>
        <v>0.00331198385803755</v>
      </c>
      <c r="AJ230" s="117">
        <f t="shared" si="303"/>
        <v>0.00260968902380287</v>
      </c>
      <c r="AK230" s="117">
        <f t="shared" si="303"/>
        <v>0.00222278838424348</v>
      </c>
      <c r="AL230" s="117">
        <f t="shared" si="303"/>
        <v>0.00161690832023903</v>
      </c>
      <c r="AM230" s="117">
        <f t="shared" si="303"/>
        <v>9.42628413700379e-5</v>
      </c>
      <c r="AN230" s="117">
        <f t="shared" si="303"/>
        <v>9.68604557211431e-5</v>
      </c>
      <c r="AO230" s="9">
        <f t="shared" si="303"/>
        <v>0.00201107197756079</v>
      </c>
      <c r="AP230" s="144">
        <f t="shared" si="303"/>
        <v>0.00018844315108915</v>
      </c>
      <c r="AQ230" s="144">
        <f t="shared" si="303"/>
        <v>0.000254259324779512</v>
      </c>
      <c r="AR230" s="144">
        <f t="shared" si="303"/>
        <v>0.000167236733966176</v>
      </c>
      <c r="AS230" s="144">
        <f t="shared" si="303"/>
        <v>0.000180596447709416</v>
      </c>
      <c r="AT230" s="144">
        <f t="shared" si="303"/>
        <v>0.00120861759930493</v>
      </c>
      <c r="AU230" s="144">
        <f t="shared" si="303"/>
        <v>0.000621981536340149</v>
      </c>
      <c r="AV230" s="144">
        <f t="shared" si="303"/>
        <v>0.00051266472689374</v>
      </c>
      <c r="AW230" s="144">
        <f t="shared" si="303"/>
        <v>0.000451683570168829</v>
      </c>
      <c r="AX230" s="144">
        <f t="shared" si="303"/>
        <v>0.000449477001086488</v>
      </c>
      <c r="AY230" s="144">
        <f t="shared" si="303"/>
        <v>0.000481060348275967</v>
      </c>
      <c r="AZ230" s="144">
        <f t="shared" si="303"/>
        <v>0.000462676104568335</v>
      </c>
      <c r="BA230" s="144">
        <f t="shared" si="303"/>
        <v>3.94536652748084e-5</v>
      </c>
      <c r="BB230" s="9">
        <f t="shared" si="303"/>
        <v>0.000396288973400781</v>
      </c>
      <c r="BC230" s="144">
        <f t="shared" si="303"/>
        <v>0.000146367832843064</v>
      </c>
      <c r="BD230" s="144">
        <f t="shared" si="303"/>
        <v>0.000159815545527581</v>
      </c>
      <c r="BE230" s="144">
        <f t="shared" si="303"/>
        <v>0.000141593254808518</v>
      </c>
      <c r="BF230" s="144">
        <f t="shared" si="303"/>
        <v>8.5147967503112e-5</v>
      </c>
      <c r="BG230" s="144">
        <f t="shared" si="303"/>
        <v>0.00250178619708053</v>
      </c>
      <c r="BH230" s="144">
        <f t="shared" si="303"/>
        <v>0.0026926792437956</v>
      </c>
      <c r="BI230" s="144">
        <f t="shared" si="303"/>
        <v>0.00105907618662885</v>
      </c>
      <c r="BJ230" s="144">
        <f t="shared" si="303"/>
        <v>0.000646896485876536</v>
      </c>
      <c r="BK230" s="144">
        <f t="shared" si="303"/>
        <v>0</v>
      </c>
      <c r="BL230" s="144">
        <f t="shared" si="303"/>
        <v>0</v>
      </c>
      <c r="BM230" s="144">
        <f t="shared" si="303"/>
        <v>0</v>
      </c>
      <c r="BN230" s="144">
        <f t="shared" si="303"/>
        <v>0</v>
      </c>
      <c r="BO230" s="9">
        <f t="shared" ref="BO230:CT230" si="304">BO18/BO$211</f>
        <v>0.000516807136839634</v>
      </c>
      <c r="BP230" s="144">
        <f t="shared" si="304"/>
        <v>0.000596403374932649</v>
      </c>
      <c r="BQ230" s="144">
        <f t="shared" si="304"/>
        <v>0.00050381751195545</v>
      </c>
      <c r="BR230" s="144">
        <f t="shared" si="304"/>
        <v>0.000505703381647847</v>
      </c>
      <c r="BS230" s="144">
        <f t="shared" si="304"/>
        <v>0.000549955494329098</v>
      </c>
      <c r="BT230" s="144">
        <f t="shared" si="304"/>
        <v>0.00113065554116612</v>
      </c>
      <c r="BU230" s="144">
        <f t="shared" si="304"/>
        <v>0.000899217749924174</v>
      </c>
      <c r="BV230" s="144">
        <f t="shared" si="304"/>
        <v>0.000542536700217859</v>
      </c>
      <c r="BW230" s="144">
        <f t="shared" si="304"/>
        <v>0.00028461913313144</v>
      </c>
      <c r="BX230" s="144">
        <f t="shared" si="304"/>
        <v>0.000239845801486098</v>
      </c>
      <c r="BY230" s="144">
        <f t="shared" si="304"/>
        <v>0.000256261906758579</v>
      </c>
      <c r="BZ230" s="144">
        <f t="shared" si="304"/>
        <v>0.000265963174051397</v>
      </c>
      <c r="CA230" s="144">
        <f t="shared" si="304"/>
        <v>0.000269304316275836</v>
      </c>
      <c r="CB230" s="9">
        <f t="shared" si="304"/>
        <v>0.000496116500117898</v>
      </c>
      <c r="CC230" s="144">
        <f t="shared" si="304"/>
        <v>0.000408456175537294</v>
      </c>
      <c r="CD230" s="144">
        <f t="shared" si="304"/>
        <v>0.000620834608882341</v>
      </c>
      <c r="CE230" s="144">
        <f t="shared" si="304"/>
        <v>0.000421875603304919</v>
      </c>
      <c r="CF230" s="144">
        <f t="shared" si="304"/>
        <v>0.000169447693157522</v>
      </c>
      <c r="CG230" s="144">
        <f t="shared" si="304"/>
        <v>0.000876490028890538</v>
      </c>
      <c r="CH230" s="144">
        <f t="shared" si="304"/>
        <v>0.00028623426008427</v>
      </c>
      <c r="CI230" s="144">
        <f t="shared" si="304"/>
        <v>0.000296155396012711</v>
      </c>
      <c r="CJ230" s="144">
        <f t="shared" si="304"/>
        <v>0.000280224663242635</v>
      </c>
      <c r="CK230" s="144">
        <f t="shared" si="304"/>
        <v>4.53030463839511e-5</v>
      </c>
      <c r="CL230" s="144">
        <f t="shared" si="304"/>
        <v>4.31755376965426e-5</v>
      </c>
      <c r="CM230" s="144">
        <f t="shared" si="304"/>
        <v>0</v>
      </c>
      <c r="CN230" s="144">
        <f t="shared" si="304"/>
        <v>0</v>
      </c>
      <c r="CO230" s="9">
        <f t="shared" si="304"/>
        <v>0.000277547875683174</v>
      </c>
      <c r="CP230" s="144">
        <f t="shared" si="304"/>
        <v>0.000324775170517429</v>
      </c>
      <c r="CQ230" s="144">
        <f t="shared" si="304"/>
        <v>0.000427332371060975</v>
      </c>
      <c r="CR230" s="144">
        <f t="shared" si="304"/>
        <v>0.000408418274876909</v>
      </c>
      <c r="CS230" s="144">
        <f t="shared" si="304"/>
        <v>0.000234410082626919</v>
      </c>
      <c r="CT230" s="144">
        <f t="shared" si="304"/>
        <v>0.00296392437344663</v>
      </c>
      <c r="CU230" s="144">
        <f t="shared" ref="CU230:EB230" si="305">CU18/CU$211</f>
        <v>0.00191098308114632</v>
      </c>
      <c r="CV230" s="144">
        <f t="shared" si="305"/>
        <v>0.00100392530206802</v>
      </c>
      <c r="CW230" s="144">
        <f t="shared" si="305"/>
        <v>0.000805126863771963</v>
      </c>
      <c r="CX230" s="144">
        <f t="shared" si="305"/>
        <v>0</v>
      </c>
      <c r="CY230" s="144">
        <f t="shared" si="305"/>
        <v>0</v>
      </c>
      <c r="CZ230" s="144">
        <f t="shared" si="305"/>
        <v>0</v>
      </c>
      <c r="DA230" s="144">
        <f t="shared" si="305"/>
        <v>0</v>
      </c>
      <c r="DB230" s="9">
        <f t="shared" si="305"/>
        <v>0.000649919794811087</v>
      </c>
      <c r="DC230" s="144">
        <f t="shared" si="305"/>
        <v>0.00049140498397706</v>
      </c>
      <c r="DD230" s="144">
        <f t="shared" si="305"/>
        <v>0.00138906828509839</v>
      </c>
      <c r="DE230" s="144">
        <f t="shared" si="305"/>
        <v>0.000608680041000873</v>
      </c>
      <c r="DF230" s="144">
        <f t="shared" si="305"/>
        <v>0.000370722153362815</v>
      </c>
      <c r="DG230" s="144">
        <f t="shared" si="305"/>
        <v>0.00375057538730702</v>
      </c>
      <c r="DH230" s="144">
        <f t="shared" si="305"/>
        <v>0.00212723477096626</v>
      </c>
      <c r="DI230" s="144">
        <f t="shared" si="305"/>
        <v>0.00146531088835711</v>
      </c>
      <c r="DJ230" s="144">
        <f t="shared" si="305"/>
        <v>0.000858732015112854</v>
      </c>
      <c r="DK230" s="144">
        <f t="shared" si="305"/>
        <v>0.000573052814291439</v>
      </c>
      <c r="DL230" s="144">
        <f t="shared" si="305"/>
        <v>0.000566192366591778</v>
      </c>
      <c r="DM230" s="144">
        <f t="shared" si="305"/>
        <v>0.000629612069997958</v>
      </c>
      <c r="DN230" s="144">
        <f t="shared" si="305"/>
        <v>0.000570607510931475</v>
      </c>
      <c r="DO230" s="9">
        <f t="shared" si="305"/>
        <v>0.00110134901037378</v>
      </c>
      <c r="DP230" s="144">
        <f t="shared" si="305"/>
        <v>0.000581757308211318</v>
      </c>
      <c r="DQ230" s="144">
        <f t="shared" si="305"/>
        <v>0.000379578314607135</v>
      </c>
      <c r="DR230" s="144">
        <f t="shared" si="305"/>
        <v>0.000358476794371587</v>
      </c>
      <c r="DS230" s="144">
        <f t="shared" si="305"/>
        <v>0.000263489764845098</v>
      </c>
      <c r="DT230" s="144">
        <f t="shared" si="305"/>
        <v>0.00242024021588468</v>
      </c>
      <c r="DU230" s="144">
        <f t="shared" si="305"/>
        <v>0.00346321333756644</v>
      </c>
      <c r="DV230" s="144">
        <f t="shared" si="305"/>
        <v>0.00170761625229045</v>
      </c>
      <c r="DW230" s="144">
        <f t="shared" si="305"/>
        <v>0.000832309270124816</v>
      </c>
      <c r="DX230" s="144">
        <f t="shared" si="305"/>
        <v>0.000379688360231441</v>
      </c>
      <c r="DY230" s="144">
        <f t="shared" si="305"/>
        <v>0.000190545553090225</v>
      </c>
      <c r="DZ230" s="144">
        <f t="shared" si="305"/>
        <v>0</v>
      </c>
      <c r="EA230" s="144">
        <f t="shared" si="305"/>
        <v>0</v>
      </c>
      <c r="EB230" s="117">
        <f t="shared" si="305"/>
        <v>0.000839687577132681</v>
      </c>
      <c r="EC230" s="118"/>
      <c r="ED230" s="117">
        <f t="shared" ref="ED230:FB230" si="306">ED18/ED$211</f>
        <v>0</v>
      </c>
      <c r="EE230" s="117">
        <f t="shared" si="306"/>
        <v>0</v>
      </c>
      <c r="EF230" s="117">
        <f t="shared" si="306"/>
        <v>0</v>
      </c>
      <c r="EG230" s="117" t="e">
        <f t="shared" si="306"/>
        <v>#DIV/0!</v>
      </c>
      <c r="EH230" s="117" t="e">
        <f t="shared" si="306"/>
        <v>#DIV/0!</v>
      </c>
      <c r="EI230" s="117" t="e">
        <f t="shared" si="306"/>
        <v>#DIV/0!</v>
      </c>
      <c r="EJ230" s="117" t="e">
        <f t="shared" si="306"/>
        <v>#DIV/0!</v>
      </c>
      <c r="EK230" s="117" t="e">
        <f t="shared" si="306"/>
        <v>#DIV/0!</v>
      </c>
      <c r="EL230" s="117" t="e">
        <f t="shared" si="306"/>
        <v>#DIV/0!</v>
      </c>
      <c r="EM230" s="117" t="e">
        <f t="shared" si="306"/>
        <v>#DIV/0!</v>
      </c>
      <c r="EN230" s="117" t="e">
        <f t="shared" si="306"/>
        <v>#DIV/0!</v>
      </c>
      <c r="EO230" s="116">
        <f t="shared" si="306"/>
        <v>0</v>
      </c>
      <c r="EP230" s="117">
        <f t="shared" si="306"/>
        <v>0.000463640928948204</v>
      </c>
      <c r="EQ230" s="117">
        <f t="shared" si="306"/>
        <v>0.000758206759143284</v>
      </c>
      <c r="ER230" s="117">
        <f t="shared" si="306"/>
        <v>0.000340755632088215</v>
      </c>
      <c r="ES230" s="117">
        <f t="shared" si="306"/>
        <v>0.000254987408726007</v>
      </c>
      <c r="ET230" s="117">
        <f t="shared" si="306"/>
        <v>0.000950375295727798</v>
      </c>
      <c r="EU230" s="117">
        <f t="shared" si="306"/>
        <v>0.00164065893432991</v>
      </c>
      <c r="EV230" s="117">
        <f t="shared" si="306"/>
        <v>0.00137808518403305</v>
      </c>
      <c r="EW230" s="117">
        <f t="shared" si="306"/>
        <v>0.000937465274653663</v>
      </c>
      <c r="EX230" s="117">
        <f t="shared" si="306"/>
        <v>0.0005461464231823</v>
      </c>
      <c r="EY230" s="117">
        <f t="shared" si="306"/>
        <v>0</v>
      </c>
      <c r="EZ230" s="117">
        <f t="shared" si="306"/>
        <v>0</v>
      </c>
      <c r="FA230" s="117">
        <f t="shared" si="306"/>
        <v>0</v>
      </c>
      <c r="FB230" s="117">
        <f t="shared" si="306"/>
        <v>0.000571694293626983</v>
      </c>
      <c r="FC230" s="118"/>
      <c r="FD230" s="117"/>
      <c r="FE230" s="117"/>
      <c r="FF230" s="117"/>
      <c r="FG230" s="117"/>
      <c r="FH230" s="117"/>
      <c r="FI230" s="117"/>
      <c r="FJ230" s="117"/>
      <c r="FK230" s="117" t="e">
        <f t="shared" si="211"/>
        <v>#DIV/0!</v>
      </c>
      <c r="FL230" s="117" t="e">
        <f t="shared" si="212"/>
        <v>#DIV/0!</v>
      </c>
      <c r="FM230" s="117" t="e">
        <f t="shared" si="213"/>
        <v>#DIV/0!</v>
      </c>
      <c r="FN230" s="117" t="e">
        <f t="shared" si="214"/>
        <v>#DIV/0!</v>
      </c>
      <c r="FO230" s="9" t="e">
        <f t="shared" si="215"/>
        <v>#DIV/0!</v>
      </c>
      <c r="FP230" s="118">
        <f t="shared" ref="FP230:GB230" si="307">FP18/FP$211</f>
        <v>0.00045671946428633</v>
      </c>
      <c r="FQ230" s="117">
        <f t="shared" si="307"/>
        <v>0.000466753256690939</v>
      </c>
      <c r="FR230" s="117">
        <f t="shared" si="307"/>
        <v>0.000494527206015914</v>
      </c>
      <c r="FS230" s="117">
        <f t="shared" si="307"/>
        <v>0.00211940759832435</v>
      </c>
      <c r="FT230" s="117">
        <f t="shared" si="307"/>
        <v>0.00267170383489769</v>
      </c>
      <c r="FU230" s="117">
        <f t="shared" si="307"/>
        <v>0.00112074535419039</v>
      </c>
      <c r="FV230" s="117">
        <f t="shared" si="307"/>
        <v>0.000692193316951292</v>
      </c>
      <c r="FW230" s="117">
        <f t="shared" si="307"/>
        <v>0.000498418893039277</v>
      </c>
      <c r="FX230" s="117">
        <f t="shared" si="307"/>
        <v>0.000458062883999011</v>
      </c>
      <c r="FY230" s="117">
        <f t="shared" si="307"/>
        <v>0.000260710131424273</v>
      </c>
      <c r="FZ230" s="117">
        <f t="shared" si="307"/>
        <v>0.00023321855190921</v>
      </c>
      <c r="GA230" s="117">
        <f t="shared" si="307"/>
        <v>0.000221567889672859</v>
      </c>
      <c r="GB230" s="116">
        <f t="shared" si="307"/>
        <v>0.000705530151018798</v>
      </c>
    </row>
    <row r="231" spans="1:184">
      <c r="A231" s="147" t="s">
        <v>63</v>
      </c>
      <c r="B231" s="160">
        <f t="shared" si="217"/>
        <v>-0.245812274893398</v>
      </c>
      <c r="C231" s="117">
        <f t="shared" ref="C231:AH231" si="308">C19/C$211</f>
        <v>0.00143783156683643</v>
      </c>
      <c r="D231" s="117">
        <f t="shared" si="308"/>
        <v>0.00357836042172452</v>
      </c>
      <c r="E231" s="117">
        <f t="shared" si="308"/>
        <v>0.00320042655941166</v>
      </c>
      <c r="F231" s="117">
        <f t="shared" si="308"/>
        <v>0.00340002045250094</v>
      </c>
      <c r="G231" s="117">
        <f t="shared" si="308"/>
        <v>0.00276750272717826</v>
      </c>
      <c r="H231" s="117">
        <f t="shared" si="308"/>
        <v>0.00256440728048707</v>
      </c>
      <c r="I231" s="117">
        <f t="shared" si="308"/>
        <v>0.00295797682387192</v>
      </c>
      <c r="J231" s="117">
        <f t="shared" si="308"/>
        <v>0.00454220785449339</v>
      </c>
      <c r="K231" s="117">
        <f t="shared" si="308"/>
        <v>0.00322493534328992</v>
      </c>
      <c r="L231" s="117">
        <f t="shared" si="308"/>
        <v>0.00239409026893879</v>
      </c>
      <c r="M231" s="117">
        <f t="shared" si="308"/>
        <v>0.00221723261225244</v>
      </c>
      <c r="N231" s="117">
        <f t="shared" si="308"/>
        <v>0.00137066267471945</v>
      </c>
      <c r="O231" s="9">
        <f t="shared" si="308"/>
        <v>0.00276918220607082</v>
      </c>
      <c r="P231" s="117">
        <f t="shared" si="308"/>
        <v>0.00247203480367314</v>
      </c>
      <c r="Q231" s="117">
        <f t="shared" si="308"/>
        <v>0.00448930985107586</v>
      </c>
      <c r="R231" s="117">
        <f t="shared" si="308"/>
        <v>0.00536005254720644</v>
      </c>
      <c r="S231" s="117">
        <f t="shared" si="308"/>
        <v>0.00746706960563943</v>
      </c>
      <c r="T231" s="117">
        <f t="shared" si="308"/>
        <v>0.00703322037591302</v>
      </c>
      <c r="U231" s="117">
        <f t="shared" si="308"/>
        <v>0.00552752919414061</v>
      </c>
      <c r="V231" s="117">
        <f t="shared" si="308"/>
        <v>0.00860707886085978</v>
      </c>
      <c r="W231" s="117">
        <f t="shared" si="308"/>
        <v>0.00988647719684695</v>
      </c>
      <c r="X231" s="117">
        <f t="shared" si="308"/>
        <v>0.00573220485028187</v>
      </c>
      <c r="Y231" s="117">
        <f t="shared" si="308"/>
        <v>0.00372497219783329</v>
      </c>
      <c r="Z231" s="117">
        <f t="shared" si="308"/>
        <v>0.00295990697573528</v>
      </c>
      <c r="AA231" s="117">
        <f t="shared" si="308"/>
        <v>0.00169529133819152</v>
      </c>
      <c r="AB231" s="9">
        <f t="shared" si="308"/>
        <v>0.00523976941157888</v>
      </c>
      <c r="AC231" s="117">
        <f t="shared" si="308"/>
        <v>0.00639236885851068</v>
      </c>
      <c r="AD231" s="117">
        <f t="shared" si="308"/>
        <v>0.0226531661515011</v>
      </c>
      <c r="AE231" s="117">
        <f t="shared" si="308"/>
        <v>0.0134183281459559</v>
      </c>
      <c r="AF231" s="117">
        <f t="shared" si="308"/>
        <v>0.0134245385640543</v>
      </c>
      <c r="AG231" s="117">
        <f t="shared" si="308"/>
        <v>0.0108323202396478</v>
      </c>
      <c r="AH231" s="117">
        <f t="shared" si="308"/>
        <v>0.0108322356588683</v>
      </c>
      <c r="AI231" s="117">
        <f t="shared" ref="AI231:BN231" si="309">AI19/AI$211</f>
        <v>0.0107221436498129</v>
      </c>
      <c r="AJ231" s="117">
        <f t="shared" si="309"/>
        <v>0.0220424310980076</v>
      </c>
      <c r="AK231" s="117">
        <f t="shared" si="309"/>
        <v>0.0176992964380825</v>
      </c>
      <c r="AL231" s="117">
        <f t="shared" si="309"/>
        <v>0.0191671103071343</v>
      </c>
      <c r="AM231" s="117">
        <f t="shared" si="309"/>
        <v>0.0197146706423165</v>
      </c>
      <c r="AN231" s="117">
        <f t="shared" si="309"/>
        <v>0.012090521206599</v>
      </c>
      <c r="AO231" s="9">
        <f t="shared" si="309"/>
        <v>0.0152697811144588</v>
      </c>
      <c r="AP231" s="144">
        <f t="shared" si="309"/>
        <v>0.000412912953715661</v>
      </c>
      <c r="AQ231" s="144">
        <f t="shared" si="309"/>
        <v>0.000356078545108731</v>
      </c>
      <c r="AR231" s="144">
        <f t="shared" si="309"/>
        <v>0.00221797237356574</v>
      </c>
      <c r="AS231" s="144">
        <f t="shared" si="309"/>
        <v>0.0014114909129286</v>
      </c>
      <c r="AT231" s="144">
        <f t="shared" si="309"/>
        <v>0.00129322097414258</v>
      </c>
      <c r="AU231" s="144">
        <f t="shared" si="309"/>
        <v>0.000902139557073071</v>
      </c>
      <c r="AV231" s="144">
        <f t="shared" si="309"/>
        <v>0.000798744928303208</v>
      </c>
      <c r="AW231" s="144">
        <f t="shared" si="309"/>
        <v>0.000595624233587256</v>
      </c>
      <c r="AX231" s="144">
        <f t="shared" si="309"/>
        <v>0.00038840675637365</v>
      </c>
      <c r="AY231" s="144">
        <f t="shared" si="309"/>
        <v>0.000415698887912384</v>
      </c>
      <c r="AZ231" s="144">
        <f t="shared" si="309"/>
        <v>0.000189505183145825</v>
      </c>
      <c r="BA231" s="144">
        <f t="shared" si="309"/>
        <v>0.000177755915830523</v>
      </c>
      <c r="BB231" s="9">
        <f t="shared" si="309"/>
        <v>0.000715593206544119</v>
      </c>
      <c r="BC231" s="144">
        <f t="shared" si="309"/>
        <v>0.000929410515136591</v>
      </c>
      <c r="BD231" s="144">
        <f t="shared" si="309"/>
        <v>0.00180649333831329</v>
      </c>
      <c r="BE231" s="144">
        <f t="shared" si="309"/>
        <v>0.00111983294906603</v>
      </c>
      <c r="BF231" s="144">
        <f t="shared" si="309"/>
        <v>0.000641612905876702</v>
      </c>
      <c r="BG231" s="144">
        <f t="shared" si="309"/>
        <v>0.000128175712338095</v>
      </c>
      <c r="BH231" s="144">
        <f t="shared" si="309"/>
        <v>0</v>
      </c>
      <c r="BI231" s="144">
        <f t="shared" si="309"/>
        <v>0.00165480654160759</v>
      </c>
      <c r="BJ231" s="144">
        <f t="shared" si="309"/>
        <v>0.00176426314329964</v>
      </c>
      <c r="BK231" s="144">
        <f t="shared" si="309"/>
        <v>0.00059805774895462</v>
      </c>
      <c r="BL231" s="144">
        <f t="shared" si="309"/>
        <v>0</v>
      </c>
      <c r="BM231" s="144">
        <f t="shared" si="309"/>
        <v>0</v>
      </c>
      <c r="BN231" s="144">
        <f t="shared" si="309"/>
        <v>0</v>
      </c>
      <c r="BO231" s="9">
        <f t="shared" ref="BO231:CT231" si="310">BO19/BO$211</f>
        <v>0.000770393697125043</v>
      </c>
      <c r="BP231" s="144">
        <f t="shared" si="310"/>
        <v>7.97464755763405e-6</v>
      </c>
      <c r="BQ231" s="144">
        <f t="shared" si="310"/>
        <v>4.86388175011255e-6</v>
      </c>
      <c r="BR231" s="144">
        <f t="shared" si="310"/>
        <v>1.88316976481737e-5</v>
      </c>
      <c r="BS231" s="144">
        <f t="shared" si="310"/>
        <v>4.99336173718764e-6</v>
      </c>
      <c r="BT231" s="144">
        <f t="shared" si="310"/>
        <v>0</v>
      </c>
      <c r="BU231" s="144">
        <f t="shared" si="310"/>
        <v>0</v>
      </c>
      <c r="BV231" s="144">
        <f t="shared" si="310"/>
        <v>0</v>
      </c>
      <c r="BW231" s="144">
        <f t="shared" si="310"/>
        <v>0</v>
      </c>
      <c r="BX231" s="144">
        <f t="shared" si="310"/>
        <v>0</v>
      </c>
      <c r="BY231" s="144">
        <f t="shared" si="310"/>
        <v>0</v>
      </c>
      <c r="BZ231" s="144">
        <f t="shared" si="310"/>
        <v>0</v>
      </c>
      <c r="CA231" s="144">
        <f t="shared" si="310"/>
        <v>0</v>
      </c>
      <c r="CB231" s="9">
        <f t="shared" si="310"/>
        <v>3.67097499568948e-6</v>
      </c>
      <c r="CC231" s="144">
        <f t="shared" si="310"/>
        <v>0.00150673085380062</v>
      </c>
      <c r="CD231" s="144">
        <f t="shared" si="310"/>
        <v>0.00608052183581455</v>
      </c>
      <c r="CE231" s="144">
        <f t="shared" si="310"/>
        <v>0.00239938405393724</v>
      </c>
      <c r="CF231" s="144">
        <f t="shared" si="310"/>
        <v>0.0055536086118366</v>
      </c>
      <c r="CG231" s="144">
        <f t="shared" si="310"/>
        <v>0.00458960477793407</v>
      </c>
      <c r="CH231" s="144">
        <f t="shared" si="310"/>
        <v>0.00511213556849168</v>
      </c>
      <c r="CI231" s="144">
        <f t="shared" si="310"/>
        <v>0.0031435264101807</v>
      </c>
      <c r="CJ231" s="144">
        <f t="shared" si="310"/>
        <v>0.00236577802558062</v>
      </c>
      <c r="CK231" s="144">
        <f t="shared" si="310"/>
        <v>0.00152100053989943</v>
      </c>
      <c r="CL231" s="144">
        <f t="shared" si="310"/>
        <v>0</v>
      </c>
      <c r="CM231" s="144">
        <f t="shared" si="310"/>
        <v>0</v>
      </c>
      <c r="CN231" s="144">
        <f t="shared" si="310"/>
        <v>0</v>
      </c>
      <c r="CO231" s="9">
        <f t="shared" si="310"/>
        <v>0.00258095173257027</v>
      </c>
      <c r="CP231" s="144">
        <f t="shared" si="310"/>
        <v>0.00101664110858686</v>
      </c>
      <c r="CQ231" s="144">
        <f t="shared" si="310"/>
        <v>0.00152961811589966</v>
      </c>
      <c r="CR231" s="144">
        <f t="shared" si="310"/>
        <v>0.00115641607147925</v>
      </c>
      <c r="CS231" s="144">
        <f t="shared" si="310"/>
        <v>0.000761579808016667</v>
      </c>
      <c r="CT231" s="144">
        <f t="shared" si="310"/>
        <v>0.000515144823475754</v>
      </c>
      <c r="CU231" s="144">
        <f t="shared" ref="CU231:EB231" si="311">CU19/CU$211</f>
        <v>0.000770777262104261</v>
      </c>
      <c r="CV231" s="144">
        <f t="shared" si="311"/>
        <v>0.00093708884417168</v>
      </c>
      <c r="CW231" s="144">
        <f t="shared" si="311"/>
        <v>0.000680517172409161</v>
      </c>
      <c r="CX231" s="144">
        <f t="shared" si="311"/>
        <v>0</v>
      </c>
      <c r="CY231" s="144">
        <f t="shared" si="311"/>
        <v>0</v>
      </c>
      <c r="CZ231" s="144">
        <f t="shared" si="311"/>
        <v>0</v>
      </c>
      <c r="DA231" s="144">
        <f t="shared" si="311"/>
        <v>0</v>
      </c>
      <c r="DB231" s="9">
        <f t="shared" si="311"/>
        <v>0.000656402328371177</v>
      </c>
      <c r="DC231" s="144">
        <f t="shared" si="311"/>
        <v>0.00139554988648802</v>
      </c>
      <c r="DD231" s="144">
        <f t="shared" si="311"/>
        <v>0.0284654146098258</v>
      </c>
      <c r="DE231" s="144">
        <f t="shared" si="311"/>
        <v>0.00629524067833216</v>
      </c>
      <c r="DF231" s="144">
        <f t="shared" si="311"/>
        <v>0.000966125524392414</v>
      </c>
      <c r="DG231" s="144">
        <f t="shared" si="311"/>
        <v>0.00282651838034567</v>
      </c>
      <c r="DH231" s="144">
        <f t="shared" si="311"/>
        <v>0.00146366671266622</v>
      </c>
      <c r="DI231" s="144">
        <f t="shared" si="311"/>
        <v>0.00389475386847384</v>
      </c>
      <c r="DJ231" s="144">
        <f t="shared" si="311"/>
        <v>0.00931053568076464</v>
      </c>
      <c r="DK231" s="144">
        <f t="shared" si="311"/>
        <v>0.000505227722744867</v>
      </c>
      <c r="DL231" s="144">
        <f t="shared" si="311"/>
        <v>0.000499179260400964</v>
      </c>
      <c r="DM231" s="144">
        <f t="shared" si="311"/>
        <v>0.000555092767027185</v>
      </c>
      <c r="DN231" s="144">
        <f t="shared" si="311"/>
        <v>0.000503071839347798</v>
      </c>
      <c r="DO231" s="9">
        <f t="shared" si="311"/>
        <v>0.00559898902659199</v>
      </c>
      <c r="DP231" s="144">
        <f t="shared" si="311"/>
        <v>0.0037014044017645</v>
      </c>
      <c r="DQ231" s="144">
        <f t="shared" si="311"/>
        <v>0.00252510431047189</v>
      </c>
      <c r="DR231" s="144">
        <f t="shared" si="311"/>
        <v>0.00888179592767033</v>
      </c>
      <c r="DS231" s="144">
        <f t="shared" si="311"/>
        <v>0.0085056335926567</v>
      </c>
      <c r="DT231" s="144">
        <f t="shared" si="311"/>
        <v>0.0053741372968401</v>
      </c>
      <c r="DU231" s="144">
        <f t="shared" si="311"/>
        <v>0.0041734888201846</v>
      </c>
      <c r="DV231" s="144">
        <f t="shared" si="311"/>
        <v>0.00408172917269098</v>
      </c>
      <c r="DW231" s="144">
        <f t="shared" si="311"/>
        <v>0.00776840292043255</v>
      </c>
      <c r="DX231" s="144">
        <f t="shared" si="311"/>
        <v>0.00569532540347162</v>
      </c>
      <c r="DY231" s="144">
        <f t="shared" si="311"/>
        <v>0</v>
      </c>
      <c r="DZ231" s="144">
        <f t="shared" si="311"/>
        <v>0</v>
      </c>
      <c r="EA231" s="144">
        <f t="shared" si="311"/>
        <v>0</v>
      </c>
      <c r="EB231" s="117">
        <f t="shared" si="311"/>
        <v>0.00429584677617791</v>
      </c>
      <c r="EC231" s="118"/>
      <c r="ED231" s="117">
        <f t="shared" ref="ED231:FB231" si="312">ED19/ED$211</f>
        <v>0</v>
      </c>
      <c r="EE231" s="117">
        <f t="shared" si="312"/>
        <v>0</v>
      </c>
      <c r="EF231" s="117">
        <f t="shared" si="312"/>
        <v>0</v>
      </c>
      <c r="EG231" s="117" t="e">
        <f t="shared" si="312"/>
        <v>#DIV/0!</v>
      </c>
      <c r="EH231" s="117" t="e">
        <f t="shared" si="312"/>
        <v>#DIV/0!</v>
      </c>
      <c r="EI231" s="117" t="e">
        <f t="shared" si="312"/>
        <v>#DIV/0!</v>
      </c>
      <c r="EJ231" s="117" t="e">
        <f t="shared" si="312"/>
        <v>#DIV/0!</v>
      </c>
      <c r="EK231" s="117" t="e">
        <f t="shared" si="312"/>
        <v>#DIV/0!</v>
      </c>
      <c r="EL231" s="117" t="e">
        <f t="shared" si="312"/>
        <v>#DIV/0!</v>
      </c>
      <c r="EM231" s="117" t="e">
        <f t="shared" si="312"/>
        <v>#DIV/0!</v>
      </c>
      <c r="EN231" s="117" t="e">
        <f t="shared" si="312"/>
        <v>#DIV/0!</v>
      </c>
      <c r="EO231" s="116">
        <f t="shared" si="312"/>
        <v>0</v>
      </c>
      <c r="EP231" s="117">
        <f t="shared" si="312"/>
        <v>0.00284448486747488</v>
      </c>
      <c r="EQ231" s="117">
        <f t="shared" si="312"/>
        <v>0.00629591715022056</v>
      </c>
      <c r="ER231" s="117">
        <f t="shared" si="312"/>
        <v>0.00618727730684544</v>
      </c>
      <c r="ES231" s="117">
        <f t="shared" si="312"/>
        <v>0.00493473619590033</v>
      </c>
      <c r="ET231" s="117">
        <f t="shared" si="312"/>
        <v>0.00439480931808478</v>
      </c>
      <c r="EU231" s="117">
        <f t="shared" si="312"/>
        <v>0.0027017326373221</v>
      </c>
      <c r="EV231" s="117">
        <f t="shared" si="312"/>
        <v>0.00517282414773861</v>
      </c>
      <c r="EW231" s="117">
        <f t="shared" si="312"/>
        <v>0.00281269581284888</v>
      </c>
      <c r="EX231" s="117">
        <f t="shared" si="312"/>
        <v>0.00240325398222862</v>
      </c>
      <c r="EY231" s="117">
        <f t="shared" si="312"/>
        <v>0.000228650355664547</v>
      </c>
      <c r="EZ231" s="117">
        <f t="shared" si="312"/>
        <v>0.000225252364680159</v>
      </c>
      <c r="FA231" s="117">
        <f t="shared" si="312"/>
        <v>0.000172799029650479</v>
      </c>
      <c r="FB231" s="117">
        <f t="shared" si="312"/>
        <v>0.00313081438671425</v>
      </c>
      <c r="FC231" s="118"/>
      <c r="FD231" s="117"/>
      <c r="FE231" s="117"/>
      <c r="FF231" s="117"/>
      <c r="FG231" s="117"/>
      <c r="FH231" s="117"/>
      <c r="FI231" s="117"/>
      <c r="FJ231" s="117"/>
      <c r="FK231" s="117" t="e">
        <f t="shared" si="211"/>
        <v>#DIV/0!</v>
      </c>
      <c r="FL231" s="117" t="e">
        <f t="shared" si="212"/>
        <v>#DIV/0!</v>
      </c>
      <c r="FM231" s="117" t="e">
        <f t="shared" si="213"/>
        <v>#DIV/0!</v>
      </c>
      <c r="FN231" s="117" t="e">
        <f t="shared" si="214"/>
        <v>#DIV/0!</v>
      </c>
      <c r="FO231" s="9" t="e">
        <f t="shared" si="215"/>
        <v>#DIV/0!</v>
      </c>
      <c r="FP231" s="118">
        <f t="shared" ref="FP231:GB231" si="313">FP19/FP$211</f>
        <v>0.000693308683300076</v>
      </c>
      <c r="FQ231" s="117">
        <f t="shared" si="313"/>
        <v>0.00205166870260947</v>
      </c>
      <c r="FR231" s="117">
        <f t="shared" si="313"/>
        <v>0.00100827565945256</v>
      </c>
      <c r="FS231" s="117">
        <f t="shared" si="313"/>
        <v>0.000663273638240919</v>
      </c>
      <c r="FT231" s="117">
        <f t="shared" si="313"/>
        <v>0.00034754099241988</v>
      </c>
      <c r="FU231" s="117">
        <f t="shared" si="313"/>
        <v>0.000281667608380959</v>
      </c>
      <c r="FV231" s="117">
        <f t="shared" si="313"/>
        <v>0.000207765551705337</v>
      </c>
      <c r="FW231" s="117">
        <f t="shared" si="313"/>
        <v>0.000126341666868335</v>
      </c>
      <c r="FX231" s="117">
        <f t="shared" si="313"/>
        <v>0.000142624307936216</v>
      </c>
      <c r="FY231" s="117">
        <f t="shared" si="313"/>
        <v>0.000132901815477322</v>
      </c>
      <c r="FZ231" s="117">
        <f t="shared" si="313"/>
        <v>0.000121884048588782</v>
      </c>
      <c r="GA231" s="117">
        <f t="shared" si="313"/>
        <v>0.000115795211013545</v>
      </c>
      <c r="GB231" s="116">
        <f t="shared" si="313"/>
        <v>0.000531985816198611</v>
      </c>
    </row>
    <row r="232" spans="1:184">
      <c r="A232" s="147" t="s">
        <v>65</v>
      </c>
      <c r="B232" s="160">
        <f t="shared" si="217"/>
        <v>-0.696803097799631</v>
      </c>
      <c r="C232" s="117">
        <f t="shared" ref="C232:AH232" si="314">C20/C$211</f>
        <v>0.00172675830387056</v>
      </c>
      <c r="D232" s="117">
        <f t="shared" si="314"/>
        <v>0.00144781999299471</v>
      </c>
      <c r="E232" s="117">
        <f t="shared" si="314"/>
        <v>0.00134698468411568</v>
      </c>
      <c r="F232" s="117">
        <f t="shared" si="314"/>
        <v>0.00193123321040778</v>
      </c>
      <c r="G232" s="117">
        <f t="shared" si="314"/>
        <v>0.000875936218474779</v>
      </c>
      <c r="H232" s="117">
        <f t="shared" si="314"/>
        <v>0.000798874578538164</v>
      </c>
      <c r="I232" s="117">
        <f t="shared" si="314"/>
        <v>0.000629128164197157</v>
      </c>
      <c r="J232" s="117">
        <f t="shared" si="314"/>
        <v>0.000421744519759022</v>
      </c>
      <c r="K232" s="117">
        <f t="shared" si="314"/>
        <v>0.000277151459591837</v>
      </c>
      <c r="L232" s="117">
        <f t="shared" si="314"/>
        <v>0.000179509410717476</v>
      </c>
      <c r="M232" s="117">
        <f t="shared" si="314"/>
        <v>0.000144422095036662</v>
      </c>
      <c r="N232" s="117">
        <f t="shared" si="314"/>
        <v>0.000149640869874642</v>
      </c>
      <c r="O232" s="9">
        <f t="shared" si="314"/>
        <v>0.000851256452461205</v>
      </c>
      <c r="P232" s="117">
        <f t="shared" si="314"/>
        <v>0.0061902882976383</v>
      </c>
      <c r="Q232" s="117">
        <f t="shared" si="314"/>
        <v>0.00393043410506608</v>
      </c>
      <c r="R232" s="117">
        <f t="shared" si="314"/>
        <v>0.00262142157731533</v>
      </c>
      <c r="S232" s="117">
        <f t="shared" si="314"/>
        <v>0.00308948737350581</v>
      </c>
      <c r="T232" s="117">
        <f t="shared" si="314"/>
        <v>0.00263568947523782</v>
      </c>
      <c r="U232" s="117">
        <f t="shared" si="314"/>
        <v>0.00214945963860196</v>
      </c>
      <c r="V232" s="117">
        <f t="shared" si="314"/>
        <v>0.00191159618368269</v>
      </c>
      <c r="W232" s="117">
        <f t="shared" si="314"/>
        <v>0.00128473406342087</v>
      </c>
      <c r="X232" s="117">
        <f t="shared" si="314"/>
        <v>0.00129444419436495</v>
      </c>
      <c r="Y232" s="117">
        <f t="shared" si="314"/>
        <v>0.00071169449070278</v>
      </c>
      <c r="Z232" s="117">
        <f t="shared" si="314"/>
        <v>0.000580489667492293</v>
      </c>
      <c r="AA232" s="117">
        <f t="shared" si="314"/>
        <v>0.000614235992098378</v>
      </c>
      <c r="AB232" s="9">
        <f t="shared" si="314"/>
        <v>0.00231613661324959</v>
      </c>
      <c r="AC232" s="117">
        <f t="shared" si="314"/>
        <v>0.00203496003708039</v>
      </c>
      <c r="AD232" s="117">
        <f t="shared" si="314"/>
        <v>0.00216573465192619</v>
      </c>
      <c r="AE232" s="117">
        <f t="shared" si="314"/>
        <v>0.00115638835388476</v>
      </c>
      <c r="AF232" s="117">
        <f t="shared" si="314"/>
        <v>0.00115386370672951</v>
      </c>
      <c r="AG232" s="117">
        <f t="shared" si="314"/>
        <v>0.000741602990892162</v>
      </c>
      <c r="AH232" s="117">
        <f t="shared" si="314"/>
        <v>0.000605201830333531</v>
      </c>
      <c r="AI232" s="117">
        <f t="shared" ref="AI232:BN232" si="315">AI20/AI$211</f>
        <v>0.000543491578943684</v>
      </c>
      <c r="AJ232" s="117">
        <f t="shared" si="315"/>
        <v>0.000428246050975331</v>
      </c>
      <c r="AK232" s="117">
        <f t="shared" si="315"/>
        <v>0</v>
      </c>
      <c r="AL232" s="117">
        <f t="shared" si="315"/>
        <v>0</v>
      </c>
      <c r="AM232" s="117">
        <f t="shared" si="315"/>
        <v>0</v>
      </c>
      <c r="AN232" s="117">
        <f t="shared" si="315"/>
        <v>0</v>
      </c>
      <c r="AO232" s="9">
        <f t="shared" si="315"/>
        <v>0.000679243711481574</v>
      </c>
      <c r="AP232" s="144">
        <f t="shared" si="315"/>
        <v>0.000875521752096079</v>
      </c>
      <c r="AQ232" s="144">
        <f t="shared" si="315"/>
        <v>0.000553801879938221</v>
      </c>
      <c r="AR232" s="144">
        <f t="shared" si="315"/>
        <v>0.000385117113843996</v>
      </c>
      <c r="AS232" s="144">
        <f t="shared" si="315"/>
        <v>0.000234200323650012</v>
      </c>
      <c r="AT232" s="144">
        <f t="shared" si="315"/>
        <v>0.000166905615338695</v>
      </c>
      <c r="AU232" s="144">
        <f t="shared" si="315"/>
        <v>0.000141359440077307</v>
      </c>
      <c r="AV232" s="144">
        <f t="shared" si="315"/>
        <v>0.000116514710657668</v>
      </c>
      <c r="AW232" s="144">
        <f t="shared" si="315"/>
        <v>0.000102655356856552</v>
      </c>
      <c r="AX232" s="144">
        <f t="shared" si="315"/>
        <v>0.000102153863883293</v>
      </c>
      <c r="AY232" s="144">
        <f t="shared" si="315"/>
        <v>0.000109331897335447</v>
      </c>
      <c r="AZ232" s="144">
        <f t="shared" si="315"/>
        <v>0.000105153660129167</v>
      </c>
      <c r="BA232" s="144">
        <f t="shared" si="315"/>
        <v>9.86341631870209e-5</v>
      </c>
      <c r="BB232" s="9">
        <f t="shared" si="315"/>
        <v>0.000252806958703944</v>
      </c>
      <c r="BC232" s="144">
        <f t="shared" si="315"/>
        <v>0.000597569064580328</v>
      </c>
      <c r="BD232" s="144">
        <f t="shared" si="315"/>
        <v>0.000559016357683463</v>
      </c>
      <c r="BE232" s="144">
        <f t="shared" si="315"/>
        <v>0.000726796526776377</v>
      </c>
      <c r="BF232" s="144">
        <f t="shared" si="315"/>
        <v>0.000455201846743392</v>
      </c>
      <c r="BG232" s="144">
        <f t="shared" si="315"/>
        <v>0.00027625133804829</v>
      </c>
      <c r="BH232" s="144">
        <f t="shared" si="315"/>
        <v>0.000321513939557684</v>
      </c>
      <c r="BI232" s="144">
        <f t="shared" si="315"/>
        <v>0.000264769046657214</v>
      </c>
      <c r="BJ232" s="144">
        <f t="shared" si="315"/>
        <v>0.000235235085773286</v>
      </c>
      <c r="BK232" s="144">
        <f t="shared" si="315"/>
        <v>0</v>
      </c>
      <c r="BL232" s="144">
        <f t="shared" si="315"/>
        <v>0</v>
      </c>
      <c r="BM232" s="144">
        <f t="shared" si="315"/>
        <v>0</v>
      </c>
      <c r="BN232" s="144">
        <f t="shared" si="315"/>
        <v>0</v>
      </c>
      <c r="BO232" s="9">
        <f t="shared" ref="BO232:CT232" si="316">BO20/BO$211</f>
        <v>0.000289615874505588</v>
      </c>
      <c r="BP232" s="144">
        <f t="shared" si="316"/>
        <v>0.00105231444394929</v>
      </c>
      <c r="BQ232" s="144">
        <f t="shared" si="316"/>
        <v>0.000997695089437262</v>
      </c>
      <c r="BR232" s="144">
        <f t="shared" si="316"/>
        <v>0.00093451100952322</v>
      </c>
      <c r="BS232" s="144">
        <f t="shared" si="316"/>
        <v>0.00106840579017088</v>
      </c>
      <c r="BT232" s="144">
        <f t="shared" si="316"/>
        <v>0.000745860079288229</v>
      </c>
      <c r="BU232" s="144">
        <f t="shared" si="316"/>
        <v>0.000424905868450474</v>
      </c>
      <c r="BV232" s="144">
        <f t="shared" si="316"/>
        <v>0.000380295167142434</v>
      </c>
      <c r="BW232" s="144">
        <f t="shared" si="316"/>
        <v>0.000180807612576978</v>
      </c>
      <c r="BX232" s="144">
        <f t="shared" si="316"/>
        <v>5.61122071740758e-5</v>
      </c>
      <c r="BY232" s="144">
        <f t="shared" si="316"/>
        <v>5.66642254970099e-5</v>
      </c>
      <c r="BZ232" s="144">
        <f t="shared" si="316"/>
        <v>5.63187325749467e-5</v>
      </c>
      <c r="CA232" s="144">
        <f t="shared" si="316"/>
        <v>6.53260601969862e-5</v>
      </c>
      <c r="CB232" s="9">
        <f t="shared" si="316"/>
        <v>0.000551586849906085</v>
      </c>
      <c r="CC232" s="144">
        <f t="shared" si="316"/>
        <v>0.00171672044687386</v>
      </c>
      <c r="CD232" s="144">
        <f t="shared" si="316"/>
        <v>3.65854603942409e-5</v>
      </c>
      <c r="CE232" s="144">
        <f t="shared" si="316"/>
        <v>3.03787617901952e-5</v>
      </c>
      <c r="CF232" s="144">
        <f t="shared" si="316"/>
        <v>0.000186221142203339</v>
      </c>
      <c r="CG232" s="144">
        <f t="shared" si="316"/>
        <v>0.000173407235178988</v>
      </c>
      <c r="CH232" s="144">
        <f t="shared" si="316"/>
        <v>0.000999977200466074</v>
      </c>
      <c r="CI232" s="144">
        <f t="shared" si="316"/>
        <v>0.00142108832170838</v>
      </c>
      <c r="CJ232" s="144">
        <f t="shared" si="316"/>
        <v>0</v>
      </c>
      <c r="CK232" s="144">
        <f t="shared" si="316"/>
        <v>0</v>
      </c>
      <c r="CL232" s="144">
        <f t="shared" si="316"/>
        <v>0</v>
      </c>
      <c r="CM232" s="144">
        <f t="shared" si="316"/>
        <v>0</v>
      </c>
      <c r="CN232" s="144">
        <f t="shared" si="316"/>
        <v>0</v>
      </c>
      <c r="CO232" s="9">
        <f t="shared" si="316"/>
        <v>0.000459022240203019</v>
      </c>
      <c r="CP232" s="144">
        <f t="shared" si="316"/>
        <v>0.00055757021974963</v>
      </c>
      <c r="CQ232" s="144">
        <f t="shared" si="316"/>
        <v>0.000487620986641717</v>
      </c>
      <c r="CR232" s="144">
        <f t="shared" si="316"/>
        <v>0.000516737653526653</v>
      </c>
      <c r="CS232" s="144">
        <f t="shared" si="316"/>
        <v>0.000367425156491655</v>
      </c>
      <c r="CT232" s="144">
        <f t="shared" si="316"/>
        <v>0.000356013152130352</v>
      </c>
      <c r="CU232" s="144">
        <f t="shared" ref="CU232:EB232" si="317">CU20/CU$211</f>
        <v>0.000264600241236672</v>
      </c>
      <c r="CV232" s="144">
        <f t="shared" si="317"/>
        <v>0.00024519367921539</v>
      </c>
      <c r="CW232" s="144">
        <f t="shared" si="317"/>
        <v>0.000229718452619021</v>
      </c>
      <c r="CX232" s="144">
        <f t="shared" si="317"/>
        <v>0</v>
      </c>
      <c r="CY232" s="144">
        <f t="shared" si="317"/>
        <v>0</v>
      </c>
      <c r="CZ232" s="144">
        <f t="shared" si="317"/>
        <v>0</v>
      </c>
      <c r="DA232" s="144">
        <f t="shared" si="317"/>
        <v>0</v>
      </c>
      <c r="DB232" s="9">
        <f t="shared" si="317"/>
        <v>0.000268579551518284</v>
      </c>
      <c r="DC232" s="144">
        <f t="shared" si="317"/>
        <v>0.00256973588129408</v>
      </c>
      <c r="DD232" s="144">
        <f t="shared" si="317"/>
        <v>0.0292768090484488</v>
      </c>
      <c r="DE232" s="144">
        <f t="shared" si="317"/>
        <v>0.00119562844544441</v>
      </c>
      <c r="DF232" s="144">
        <f t="shared" si="317"/>
        <v>0.00153231974493597</v>
      </c>
      <c r="DG232" s="144">
        <f t="shared" si="317"/>
        <v>0.00105632584264279</v>
      </c>
      <c r="DH232" s="144">
        <f t="shared" si="317"/>
        <v>0.000303890681566608</v>
      </c>
      <c r="DI232" s="144">
        <f t="shared" si="317"/>
        <v>0.000293062177671423</v>
      </c>
      <c r="DJ232" s="144">
        <f t="shared" si="317"/>
        <v>0.000286244005037618</v>
      </c>
      <c r="DK232" s="144">
        <f t="shared" si="317"/>
        <v>0.000286526407145719</v>
      </c>
      <c r="DL232" s="144">
        <f t="shared" si="317"/>
        <v>0.000283096183295889</v>
      </c>
      <c r="DM232" s="144">
        <f t="shared" si="317"/>
        <v>0.000314806034998979</v>
      </c>
      <c r="DN232" s="144">
        <f t="shared" si="317"/>
        <v>0.000285303755465738</v>
      </c>
      <c r="DO232" s="9">
        <f t="shared" si="317"/>
        <v>0.00420481786023963</v>
      </c>
      <c r="DP232" s="144">
        <f t="shared" si="317"/>
        <v>0.00301007785686438</v>
      </c>
      <c r="DQ232" s="144">
        <f t="shared" si="317"/>
        <v>0.00077689536211589</v>
      </c>
      <c r="DR232" s="144">
        <f t="shared" si="317"/>
        <v>0.00544999941149839</v>
      </c>
      <c r="DS232" s="144">
        <f t="shared" si="317"/>
        <v>0.0105050557075951</v>
      </c>
      <c r="DT232" s="144">
        <f t="shared" si="317"/>
        <v>0.00194038811362232</v>
      </c>
      <c r="DU232" s="144">
        <f t="shared" si="317"/>
        <v>0.00235600489240555</v>
      </c>
      <c r="DV232" s="144">
        <f t="shared" si="317"/>
        <v>0.00148530996638296</v>
      </c>
      <c r="DW232" s="144">
        <f t="shared" si="317"/>
        <v>0.00106105015498591</v>
      </c>
      <c r="DX232" s="144">
        <f t="shared" si="317"/>
        <v>0.000379688360231441</v>
      </c>
      <c r="DY232" s="144">
        <f t="shared" si="317"/>
        <v>0.000190545553090225</v>
      </c>
      <c r="DZ232" s="144">
        <f t="shared" si="317"/>
        <v>0</v>
      </c>
      <c r="EA232" s="144">
        <f t="shared" si="317"/>
        <v>0</v>
      </c>
      <c r="EB232" s="117">
        <f t="shared" si="317"/>
        <v>0.00241888567312713</v>
      </c>
      <c r="EC232" s="118"/>
      <c r="ED232" s="117">
        <f t="shared" ref="ED232:FB232" si="318">ED20/ED$211</f>
        <v>0</v>
      </c>
      <c r="EE232" s="117">
        <f t="shared" si="318"/>
        <v>0</v>
      </c>
      <c r="EF232" s="117">
        <f t="shared" si="318"/>
        <v>0</v>
      </c>
      <c r="EG232" s="117" t="e">
        <f t="shared" si="318"/>
        <v>#DIV/0!</v>
      </c>
      <c r="EH232" s="117" t="e">
        <f t="shared" si="318"/>
        <v>#DIV/0!</v>
      </c>
      <c r="EI232" s="117" t="e">
        <f t="shared" si="318"/>
        <v>#DIV/0!</v>
      </c>
      <c r="EJ232" s="117" t="e">
        <f t="shared" si="318"/>
        <v>#DIV/0!</v>
      </c>
      <c r="EK232" s="117" t="e">
        <f t="shared" si="318"/>
        <v>#DIV/0!</v>
      </c>
      <c r="EL232" s="117" t="e">
        <f t="shared" si="318"/>
        <v>#DIV/0!</v>
      </c>
      <c r="EM232" s="117" t="e">
        <f t="shared" si="318"/>
        <v>#DIV/0!</v>
      </c>
      <c r="EN232" s="117" t="e">
        <f t="shared" si="318"/>
        <v>#DIV/0!</v>
      </c>
      <c r="EO232" s="116">
        <f t="shared" si="318"/>
        <v>0.00284521511249721</v>
      </c>
      <c r="EP232" s="117">
        <f t="shared" si="318"/>
        <v>0</v>
      </c>
      <c r="EQ232" s="117">
        <f t="shared" si="318"/>
        <v>5.59632146362317e-5</v>
      </c>
      <c r="ER232" s="117">
        <f t="shared" si="318"/>
        <v>0.000292075770975327</v>
      </c>
      <c r="ES232" s="117">
        <f t="shared" si="318"/>
        <v>0.00010787941732191</v>
      </c>
      <c r="ET232" s="117">
        <f t="shared" si="318"/>
        <v>0.000193490769995176</v>
      </c>
      <c r="EU232" s="117">
        <f t="shared" si="318"/>
        <v>0</v>
      </c>
      <c r="EV232" s="117">
        <f t="shared" si="318"/>
        <v>0</v>
      </c>
      <c r="EW232" s="117">
        <f t="shared" si="318"/>
        <v>0</v>
      </c>
      <c r="EX232" s="117">
        <f t="shared" si="318"/>
        <v>0</v>
      </c>
      <c r="EY232" s="117">
        <f t="shared" si="318"/>
        <v>0</v>
      </c>
      <c r="EZ232" s="117">
        <f t="shared" si="318"/>
        <v>0</v>
      </c>
      <c r="FA232" s="117">
        <f t="shared" si="318"/>
        <v>0</v>
      </c>
      <c r="FB232" s="117">
        <f t="shared" si="318"/>
        <v>5.37158265096526e-5</v>
      </c>
      <c r="FC232" s="118"/>
      <c r="FD232" s="117"/>
      <c r="FE232" s="117"/>
      <c r="FF232" s="117"/>
      <c r="FG232" s="117"/>
      <c r="FH232" s="117"/>
      <c r="FI232" s="117"/>
      <c r="FJ232" s="117"/>
      <c r="FK232" s="117" t="e">
        <f t="shared" si="211"/>
        <v>#DIV/0!</v>
      </c>
      <c r="FL232" s="117" t="e">
        <f t="shared" si="212"/>
        <v>#DIV/0!</v>
      </c>
      <c r="FM232" s="117" t="e">
        <f t="shared" si="213"/>
        <v>#DIV/0!</v>
      </c>
      <c r="FN232" s="117" t="e">
        <f t="shared" si="214"/>
        <v>#DIV/0!</v>
      </c>
      <c r="FO232" s="9" t="e">
        <f t="shared" si="215"/>
        <v>#DIV/0!</v>
      </c>
      <c r="FP232" s="118">
        <f t="shared" ref="FP232:GB232" si="319">FP20/FP$211</f>
        <v>0.000564703191398469</v>
      </c>
      <c r="FQ232" s="117">
        <f t="shared" si="319"/>
        <v>0.000474030331720883</v>
      </c>
      <c r="FR232" s="117">
        <f t="shared" si="319"/>
        <v>0.000756255464352181</v>
      </c>
      <c r="FS232" s="117">
        <f t="shared" si="319"/>
        <v>0.0007535866402174</v>
      </c>
      <c r="FT232" s="117">
        <f t="shared" si="319"/>
        <v>0.000476473503664171</v>
      </c>
      <c r="FU232" s="117">
        <f t="shared" si="319"/>
        <v>0.000387765760723601</v>
      </c>
      <c r="FV232" s="117">
        <f t="shared" si="319"/>
        <v>0.000284988787826621</v>
      </c>
      <c r="FW232" s="117">
        <f t="shared" si="319"/>
        <v>0.000223040852476257</v>
      </c>
      <c r="FX232" s="117">
        <f t="shared" si="319"/>
        <v>0.000242277588473292</v>
      </c>
      <c r="FY232" s="117">
        <f t="shared" si="319"/>
        <v>0.000208041634179556</v>
      </c>
      <c r="FZ232" s="117">
        <f t="shared" si="319"/>
        <v>0.000190794659634709</v>
      </c>
      <c r="GA232" s="117">
        <f t="shared" si="319"/>
        <v>0.00018126332467998</v>
      </c>
      <c r="GB232" s="116">
        <f t="shared" si="319"/>
        <v>0.000400447559947645</v>
      </c>
    </row>
    <row r="233" spans="1:184">
      <c r="A233" s="147" t="s">
        <v>67</v>
      </c>
      <c r="B233" s="160">
        <f t="shared" si="217"/>
        <v>0.0990867948133272</v>
      </c>
      <c r="C233" s="117">
        <f t="shared" ref="C233:AH233" si="320">C21/C$211</f>
        <v>0.00161744238996135</v>
      </c>
      <c r="D233" s="117">
        <f t="shared" si="320"/>
        <v>0.000907879416017314</v>
      </c>
      <c r="E233" s="117">
        <f t="shared" si="320"/>
        <v>0.00106161175236454</v>
      </c>
      <c r="F233" s="117">
        <f t="shared" si="320"/>
        <v>0.0014042324204529</v>
      </c>
      <c r="G233" s="117">
        <f t="shared" si="320"/>
        <v>0.00124980686040722</v>
      </c>
      <c r="H233" s="117">
        <f t="shared" si="320"/>
        <v>0.00128465902763353</v>
      </c>
      <c r="I233" s="117">
        <f t="shared" si="320"/>
        <v>0.00142862472858923</v>
      </c>
      <c r="J233" s="117">
        <f t="shared" si="320"/>
        <v>0.00594484458943694</v>
      </c>
      <c r="K233" s="117">
        <f t="shared" si="320"/>
        <v>0.00484755799608463</v>
      </c>
      <c r="L233" s="117">
        <f t="shared" si="320"/>
        <v>0.00340610034163871</v>
      </c>
      <c r="M233" s="117">
        <f t="shared" si="320"/>
        <v>0.00192479173659934</v>
      </c>
      <c r="N233" s="117">
        <f t="shared" si="320"/>
        <v>0.0016593317833043</v>
      </c>
      <c r="O233" s="9">
        <f t="shared" si="320"/>
        <v>0.00225525596932413</v>
      </c>
      <c r="P233" s="117">
        <f t="shared" si="320"/>
        <v>0.00521478503186275</v>
      </c>
      <c r="Q233" s="117">
        <f t="shared" si="320"/>
        <v>0.00635622212342312</v>
      </c>
      <c r="R233" s="117">
        <f t="shared" si="320"/>
        <v>0.00659925350271715</v>
      </c>
      <c r="S233" s="117">
        <f t="shared" si="320"/>
        <v>0.0103181605858277</v>
      </c>
      <c r="T233" s="117">
        <f t="shared" si="320"/>
        <v>0.00998517792240081</v>
      </c>
      <c r="U233" s="117">
        <f t="shared" si="320"/>
        <v>0.00954024055816512</v>
      </c>
      <c r="V233" s="117">
        <f t="shared" si="320"/>
        <v>0.00868999061628913</v>
      </c>
      <c r="W233" s="117">
        <f t="shared" si="320"/>
        <v>0.00713731995116336</v>
      </c>
      <c r="X233" s="117">
        <f t="shared" si="320"/>
        <v>0.00607508850393258</v>
      </c>
      <c r="Y233" s="117">
        <f t="shared" si="320"/>
        <v>0.0060038061392584</v>
      </c>
      <c r="Z233" s="117">
        <f t="shared" si="320"/>
        <v>0.0054310219738262</v>
      </c>
      <c r="AA233" s="117">
        <f t="shared" si="320"/>
        <v>0.00574675029895431</v>
      </c>
      <c r="AB233" s="9">
        <f t="shared" si="320"/>
        <v>0.0070060679834129</v>
      </c>
      <c r="AC233" s="117">
        <f t="shared" si="320"/>
        <v>5.84195543738544e-5</v>
      </c>
      <c r="AD233" s="117">
        <f t="shared" si="320"/>
        <v>0.000137531822295755</v>
      </c>
      <c r="AE233" s="117">
        <f t="shared" si="320"/>
        <v>2.48248167033167e-5</v>
      </c>
      <c r="AF233" s="117">
        <f t="shared" si="320"/>
        <v>0</v>
      </c>
      <c r="AG233" s="117">
        <f t="shared" si="320"/>
        <v>0</v>
      </c>
      <c r="AH233" s="117">
        <f t="shared" si="320"/>
        <v>0</v>
      </c>
      <c r="AI233" s="117">
        <f t="shared" ref="AI233:BN233" si="321">AI21/AI$211</f>
        <v>0</v>
      </c>
      <c r="AJ233" s="117">
        <f t="shared" si="321"/>
        <v>0.00446089636432636</v>
      </c>
      <c r="AK233" s="117">
        <f t="shared" si="321"/>
        <v>0.00792258271603741</v>
      </c>
      <c r="AL233" s="117">
        <f t="shared" si="321"/>
        <v>0.00857960752094935</v>
      </c>
      <c r="AM233" s="117">
        <f t="shared" si="321"/>
        <v>0.00686366116307462</v>
      </c>
      <c r="AN233" s="117">
        <f t="shared" si="321"/>
        <v>0.00705280403718274</v>
      </c>
      <c r="AO233" s="9">
        <f t="shared" si="321"/>
        <v>0.00335189346304492</v>
      </c>
      <c r="AP233" s="144">
        <f t="shared" si="321"/>
        <v>0.000115068647762444</v>
      </c>
      <c r="AQ233" s="144">
        <f t="shared" si="321"/>
        <v>1.65117409761622e-5</v>
      </c>
      <c r="AR233" s="144">
        <f t="shared" si="321"/>
        <v>2.14405917596876e-6</v>
      </c>
      <c r="AS233" s="144">
        <f t="shared" si="321"/>
        <v>0</v>
      </c>
      <c r="AT233" s="144">
        <f t="shared" si="321"/>
        <v>0</v>
      </c>
      <c r="AU233" s="144">
        <f t="shared" si="321"/>
        <v>0</v>
      </c>
      <c r="AV233" s="144">
        <f t="shared" si="321"/>
        <v>0</v>
      </c>
      <c r="AW233" s="144">
        <f t="shared" si="321"/>
        <v>0.00307966070569656</v>
      </c>
      <c r="AX233" s="144">
        <f t="shared" si="321"/>
        <v>0.00204307727766585</v>
      </c>
      <c r="AY233" s="144">
        <f t="shared" si="321"/>
        <v>0.00109331897335447</v>
      </c>
      <c r="AZ233" s="144">
        <f t="shared" si="321"/>
        <v>0.00105153660129167</v>
      </c>
      <c r="BA233" s="144">
        <f t="shared" si="321"/>
        <v>0.00098634163187021</v>
      </c>
      <c r="BB233" s="9">
        <f t="shared" si="321"/>
        <v>0.000780087667093499</v>
      </c>
      <c r="BC233" s="144">
        <f t="shared" si="321"/>
        <v>0.000730003323893653</v>
      </c>
      <c r="BD233" s="144">
        <f t="shared" si="321"/>
        <v>0.000449595461014656</v>
      </c>
      <c r="BE233" s="144">
        <f t="shared" si="321"/>
        <v>0.000566382294305336</v>
      </c>
      <c r="BF233" s="144">
        <f t="shared" si="321"/>
        <v>0.00111999359013233</v>
      </c>
      <c r="BG233" s="144">
        <f t="shared" si="321"/>
        <v>0.000880106657565713</v>
      </c>
      <c r="BH233" s="144">
        <f t="shared" si="321"/>
        <v>0</v>
      </c>
      <c r="BI233" s="144">
        <f t="shared" si="321"/>
        <v>0</v>
      </c>
      <c r="BJ233" s="144">
        <f t="shared" si="321"/>
        <v>0.00441065785824911</v>
      </c>
      <c r="BK233" s="144">
        <f t="shared" si="321"/>
        <v>0.00747572186193276</v>
      </c>
      <c r="BL233" s="144">
        <f t="shared" si="321"/>
        <v>0.00461713440809491</v>
      </c>
      <c r="BM233" s="144">
        <f t="shared" si="321"/>
        <v>0</v>
      </c>
      <c r="BN233" s="144">
        <f t="shared" si="321"/>
        <v>0</v>
      </c>
      <c r="BO233" s="9">
        <f t="shared" ref="BO233:CT233" si="322">BO21/BO$211</f>
        <v>0.00174014760263606</v>
      </c>
      <c r="BP233" s="144">
        <f t="shared" si="322"/>
        <v>0</v>
      </c>
      <c r="BQ233" s="144">
        <f t="shared" si="322"/>
        <v>0</v>
      </c>
      <c r="BR233" s="144">
        <f t="shared" si="322"/>
        <v>0</v>
      </c>
      <c r="BS233" s="144">
        <f t="shared" si="322"/>
        <v>0</v>
      </c>
      <c r="BT233" s="144">
        <f t="shared" si="322"/>
        <v>0</v>
      </c>
      <c r="BU233" s="144">
        <f t="shared" si="322"/>
        <v>0</v>
      </c>
      <c r="BV233" s="144">
        <f t="shared" si="322"/>
        <v>0</v>
      </c>
      <c r="BW233" s="144">
        <f t="shared" si="322"/>
        <v>0.00303756789129322</v>
      </c>
      <c r="BX233" s="144">
        <f t="shared" si="322"/>
        <v>0.00138597151719967</v>
      </c>
      <c r="BY233" s="144">
        <f t="shared" si="322"/>
        <v>0.000481645916724584</v>
      </c>
      <c r="BZ233" s="144">
        <f t="shared" si="322"/>
        <v>0</v>
      </c>
      <c r="CA233" s="144">
        <f t="shared" si="322"/>
        <v>0</v>
      </c>
      <c r="CB233" s="9">
        <f t="shared" si="322"/>
        <v>0.000382749585528549</v>
      </c>
      <c r="CC233" s="144">
        <f t="shared" si="322"/>
        <v>0</v>
      </c>
      <c r="CD233" s="144">
        <f t="shared" si="322"/>
        <v>0</v>
      </c>
      <c r="CE233" s="144">
        <f t="shared" si="322"/>
        <v>0</v>
      </c>
      <c r="CF233" s="144">
        <f t="shared" si="322"/>
        <v>0</v>
      </c>
      <c r="CG233" s="144">
        <f t="shared" si="322"/>
        <v>0</v>
      </c>
      <c r="CH233" s="144">
        <f t="shared" si="322"/>
        <v>0</v>
      </c>
      <c r="CI233" s="144">
        <f t="shared" si="322"/>
        <v>0.00315430165902408</v>
      </c>
      <c r="CJ233" s="144">
        <f t="shared" si="322"/>
        <v>0.00198442358090278</v>
      </c>
      <c r="CK233" s="144">
        <f t="shared" si="322"/>
        <v>0.00427143008762967</v>
      </c>
      <c r="CL233" s="144">
        <f t="shared" si="322"/>
        <v>0.00244250184683298</v>
      </c>
      <c r="CM233" s="144">
        <f t="shared" si="322"/>
        <v>0</v>
      </c>
      <c r="CN233" s="144">
        <f t="shared" si="322"/>
        <v>0</v>
      </c>
      <c r="CO233" s="9">
        <f t="shared" si="322"/>
        <v>0.00104363075957966</v>
      </c>
      <c r="CP233" s="144">
        <f t="shared" si="322"/>
        <v>0</v>
      </c>
      <c r="CQ233" s="144">
        <f t="shared" si="322"/>
        <v>0</v>
      </c>
      <c r="CR233" s="144">
        <f t="shared" si="322"/>
        <v>0</v>
      </c>
      <c r="CS233" s="144">
        <f t="shared" si="322"/>
        <v>0</v>
      </c>
      <c r="CT233" s="144">
        <f t="shared" si="322"/>
        <v>0</v>
      </c>
      <c r="CU233" s="144">
        <f t="shared" ref="CU233:EB233" si="323">CU21/CU$211</f>
        <v>0</v>
      </c>
      <c r="CV233" s="144">
        <f t="shared" si="323"/>
        <v>0</v>
      </c>
      <c r="CW233" s="144">
        <f t="shared" si="323"/>
        <v>0.00550008846932185</v>
      </c>
      <c r="CX233" s="144">
        <f t="shared" si="323"/>
        <v>0.0100591753413656</v>
      </c>
      <c r="CY233" s="144">
        <f t="shared" si="323"/>
        <v>0.00310164920262933</v>
      </c>
      <c r="CZ233" s="144">
        <f t="shared" si="323"/>
        <v>0.00139893807759416</v>
      </c>
      <c r="DA233" s="144">
        <f t="shared" si="323"/>
        <v>0.000752208440374653</v>
      </c>
      <c r="DB233" s="9">
        <f t="shared" si="323"/>
        <v>0.00165849159735612</v>
      </c>
      <c r="DC233" s="144">
        <f t="shared" si="323"/>
        <v>0</v>
      </c>
      <c r="DD233" s="144">
        <f t="shared" si="323"/>
        <v>0</v>
      </c>
      <c r="DE233" s="144">
        <f t="shared" si="323"/>
        <v>0</v>
      </c>
      <c r="DF233" s="144">
        <f t="shared" si="323"/>
        <v>0.00336121901374296</v>
      </c>
      <c r="DG233" s="144">
        <f t="shared" si="323"/>
        <v>0.00157642153182583</v>
      </c>
      <c r="DH233" s="144">
        <f t="shared" si="323"/>
        <v>0</v>
      </c>
      <c r="DI233" s="144">
        <f t="shared" si="323"/>
        <v>0</v>
      </c>
      <c r="DJ233" s="144">
        <f t="shared" si="323"/>
        <v>0.00429366007556427</v>
      </c>
      <c r="DK233" s="144">
        <f t="shared" si="323"/>
        <v>0.00716316017864298</v>
      </c>
      <c r="DL233" s="144">
        <f t="shared" si="323"/>
        <v>0.00212322137471917</v>
      </c>
      <c r="DM233" s="144">
        <f t="shared" si="323"/>
        <v>0</v>
      </c>
      <c r="DN233" s="144">
        <f t="shared" si="323"/>
        <v>0</v>
      </c>
      <c r="DO233" s="9">
        <f t="shared" si="323"/>
        <v>0.00141604584040886</v>
      </c>
      <c r="DP233" s="144">
        <f t="shared" si="323"/>
        <v>0.0104074419290774</v>
      </c>
      <c r="DQ233" s="144">
        <f t="shared" si="323"/>
        <v>0.00110348792304735</v>
      </c>
      <c r="DR233" s="144">
        <f t="shared" si="323"/>
        <v>0.00254210186724591</v>
      </c>
      <c r="DS233" s="144">
        <f t="shared" si="323"/>
        <v>0</v>
      </c>
      <c r="DT233" s="144">
        <f t="shared" si="323"/>
        <v>0</v>
      </c>
      <c r="DU233" s="144">
        <f t="shared" si="323"/>
        <v>0</v>
      </c>
      <c r="DV233" s="144">
        <f t="shared" si="323"/>
        <v>0</v>
      </c>
      <c r="DW233" s="144">
        <f t="shared" si="323"/>
        <v>0.00757892967847078</v>
      </c>
      <c r="DX233" s="144">
        <f t="shared" si="323"/>
        <v>0.0151875344092576</v>
      </c>
      <c r="DY233" s="144">
        <f t="shared" si="323"/>
        <v>0.0114327331854135</v>
      </c>
      <c r="DZ233" s="144">
        <f t="shared" si="323"/>
        <v>0.00571036924433746</v>
      </c>
      <c r="EA233" s="144">
        <f t="shared" si="323"/>
        <v>0.00224024301117232</v>
      </c>
      <c r="EB233" s="117">
        <f t="shared" si="323"/>
        <v>0.00494205659314319</v>
      </c>
      <c r="EC233" s="118"/>
      <c r="ED233" s="117">
        <f t="shared" ref="ED233:FB233" si="324">ED21/ED$211</f>
        <v>0</v>
      </c>
      <c r="EE233" s="117">
        <f t="shared" si="324"/>
        <v>0</v>
      </c>
      <c r="EF233" s="117">
        <f t="shared" si="324"/>
        <v>0</v>
      </c>
      <c r="EG233" s="117" t="e">
        <f t="shared" si="324"/>
        <v>#DIV/0!</v>
      </c>
      <c r="EH233" s="117" t="e">
        <f t="shared" si="324"/>
        <v>#DIV/0!</v>
      </c>
      <c r="EI233" s="117" t="e">
        <f t="shared" si="324"/>
        <v>#DIV/0!</v>
      </c>
      <c r="EJ233" s="117" t="e">
        <f t="shared" si="324"/>
        <v>#DIV/0!</v>
      </c>
      <c r="EK233" s="117" t="e">
        <f t="shared" si="324"/>
        <v>#DIV/0!</v>
      </c>
      <c r="EL233" s="117" t="e">
        <f t="shared" si="324"/>
        <v>#DIV/0!</v>
      </c>
      <c r="EM233" s="117" t="e">
        <f t="shared" si="324"/>
        <v>#DIV/0!</v>
      </c>
      <c r="EN233" s="117" t="e">
        <f t="shared" si="324"/>
        <v>#DIV/0!</v>
      </c>
      <c r="EO233" s="116">
        <f t="shared" si="324"/>
        <v>0</v>
      </c>
      <c r="EP233" s="117">
        <f t="shared" si="324"/>
        <v>0</v>
      </c>
      <c r="EQ233" s="117">
        <f t="shared" si="324"/>
        <v>0</v>
      </c>
      <c r="ER233" s="117">
        <f t="shared" si="324"/>
        <v>0</v>
      </c>
      <c r="ES233" s="117">
        <f t="shared" si="324"/>
        <v>0</v>
      </c>
      <c r="ET233" s="117">
        <f t="shared" si="324"/>
        <v>0</v>
      </c>
      <c r="EU233" s="117">
        <f t="shared" si="324"/>
        <v>0</v>
      </c>
      <c r="EV233" s="117">
        <f t="shared" si="324"/>
        <v>0</v>
      </c>
      <c r="EW233" s="117">
        <f t="shared" si="324"/>
        <v>0.00597699236880519</v>
      </c>
      <c r="EX233" s="117">
        <f t="shared" si="324"/>
        <v>0.00753843269449569</v>
      </c>
      <c r="EY233" s="117">
        <f t="shared" si="324"/>
        <v>0.00452254787329816</v>
      </c>
      <c r="EZ233" s="117">
        <f t="shared" si="324"/>
        <v>0</v>
      </c>
      <c r="FA233" s="117">
        <f t="shared" si="324"/>
        <v>0</v>
      </c>
      <c r="FB233" s="117">
        <f t="shared" si="324"/>
        <v>0.00171000036428375</v>
      </c>
      <c r="FC233" s="118"/>
      <c r="FD233" s="117"/>
      <c r="FE233" s="117"/>
      <c r="FF233" s="117"/>
      <c r="FG233" s="117"/>
      <c r="FH233" s="117"/>
      <c r="FI233" s="117"/>
      <c r="FJ233" s="117"/>
      <c r="FK233" s="117" t="e">
        <f t="shared" si="211"/>
        <v>#DIV/0!</v>
      </c>
      <c r="FL233" s="117" t="e">
        <f t="shared" si="212"/>
        <v>#DIV/0!</v>
      </c>
      <c r="FM233" s="117" t="e">
        <f t="shared" si="213"/>
        <v>#DIV/0!</v>
      </c>
      <c r="FN233" s="117" t="e">
        <f t="shared" si="214"/>
        <v>#DIV/0!</v>
      </c>
      <c r="FO233" s="9" t="e">
        <f t="shared" si="215"/>
        <v>#DIV/0!</v>
      </c>
      <c r="FP233" s="118">
        <f t="shared" ref="FP233:GB233" si="325">FP21/FP$211</f>
        <v>0.000128355568664131</v>
      </c>
      <c r="FQ233" s="117">
        <f t="shared" si="325"/>
        <v>0.000194946617167076</v>
      </c>
      <c r="FR233" s="117">
        <f t="shared" si="325"/>
        <v>8.32264876852448e-5</v>
      </c>
      <c r="FS233" s="117">
        <f t="shared" si="325"/>
        <v>0.00049819657579136</v>
      </c>
      <c r="FT233" s="117">
        <f t="shared" si="325"/>
        <v>5.47215175134823e-6</v>
      </c>
      <c r="FU233" s="117">
        <f t="shared" si="325"/>
        <v>0</v>
      </c>
      <c r="FV233" s="117">
        <f t="shared" si="325"/>
        <v>0.00102115946882257</v>
      </c>
      <c r="FW233" s="117">
        <f t="shared" si="325"/>
        <v>0.00934928334825681</v>
      </c>
      <c r="FX233" s="117">
        <f t="shared" si="325"/>
        <v>0</v>
      </c>
      <c r="FY233" s="117">
        <f t="shared" si="325"/>
        <v>0</v>
      </c>
      <c r="FZ233" s="117">
        <f t="shared" si="325"/>
        <v>0</v>
      </c>
      <c r="GA233" s="117">
        <f t="shared" si="325"/>
        <v>0</v>
      </c>
      <c r="GB233" s="116">
        <f t="shared" si="325"/>
        <v>0.000959873870907164</v>
      </c>
    </row>
    <row r="234" spans="1:184">
      <c r="A234" s="147" t="s">
        <v>69</v>
      </c>
      <c r="B234" s="160">
        <f t="shared" si="217"/>
        <v>1.13611037067506</v>
      </c>
      <c r="C234" s="117">
        <f t="shared" ref="C234:AH234" si="326">C22/C$211</f>
        <v>0.00152544581746047</v>
      </c>
      <c r="D234" s="117">
        <f t="shared" si="326"/>
        <v>0.00175139518007009</v>
      </c>
      <c r="E234" s="117">
        <f t="shared" si="326"/>
        <v>0.00220210538174084</v>
      </c>
      <c r="F234" s="117">
        <f t="shared" si="326"/>
        <v>0.000691673246954388</v>
      </c>
      <c r="G234" s="117">
        <f t="shared" si="326"/>
        <v>0.000451696916773422</v>
      </c>
      <c r="H234" s="117">
        <f t="shared" si="326"/>
        <v>0.0195453601155153</v>
      </c>
      <c r="I234" s="117">
        <f t="shared" si="326"/>
        <v>0.0207613516459552</v>
      </c>
      <c r="J234" s="117">
        <f t="shared" si="326"/>
        <v>0.00956420701350579</v>
      </c>
      <c r="K234" s="117">
        <f t="shared" si="326"/>
        <v>0.00677587060908891</v>
      </c>
      <c r="L234" s="117">
        <f t="shared" si="326"/>
        <v>0.00462850175594105</v>
      </c>
      <c r="M234" s="117">
        <f t="shared" si="326"/>
        <v>0.00371818026813054</v>
      </c>
      <c r="N234" s="117">
        <f t="shared" si="326"/>
        <v>0.00293758137172527</v>
      </c>
      <c r="O234" s="9">
        <f t="shared" si="326"/>
        <v>0.00580565959253695</v>
      </c>
      <c r="P234" s="117">
        <f t="shared" si="326"/>
        <v>0.0124576910121545</v>
      </c>
      <c r="Q234" s="117">
        <f t="shared" si="326"/>
        <v>0.0152310695330597</v>
      </c>
      <c r="R234" s="117">
        <f t="shared" si="326"/>
        <v>0.0180611669168893</v>
      </c>
      <c r="S234" s="117">
        <f t="shared" si="326"/>
        <v>0.00604263272286516</v>
      </c>
      <c r="T234" s="117">
        <f t="shared" si="326"/>
        <v>0.000873096044144449</v>
      </c>
      <c r="U234" s="117">
        <f t="shared" si="326"/>
        <v>0.0121457913965624</v>
      </c>
      <c r="V234" s="117">
        <f t="shared" si="326"/>
        <v>0.0297362985468071</v>
      </c>
      <c r="W234" s="117">
        <f t="shared" si="326"/>
        <v>0.0229427890180791</v>
      </c>
      <c r="X234" s="117">
        <f t="shared" si="326"/>
        <v>0.0219481161851407</v>
      </c>
      <c r="Y234" s="117">
        <f t="shared" si="326"/>
        <v>0.0175186420406482</v>
      </c>
      <c r="Z234" s="117">
        <f t="shared" si="326"/>
        <v>0.0163103427061107</v>
      </c>
      <c r="AA234" s="117">
        <f t="shared" si="326"/>
        <v>0.0141554257031666</v>
      </c>
      <c r="AB234" s="9">
        <f t="shared" si="326"/>
        <v>0.0161115796722466</v>
      </c>
      <c r="AC234" s="117">
        <f t="shared" si="326"/>
        <v>0</v>
      </c>
      <c r="AD234" s="117">
        <f t="shared" si="326"/>
        <v>0</v>
      </c>
      <c r="AE234" s="117">
        <f t="shared" si="326"/>
        <v>0</v>
      </c>
      <c r="AF234" s="117">
        <f t="shared" si="326"/>
        <v>0</v>
      </c>
      <c r="AG234" s="117">
        <f t="shared" si="326"/>
        <v>0</v>
      </c>
      <c r="AH234" s="117">
        <f t="shared" si="326"/>
        <v>0.00837756237359841</v>
      </c>
      <c r="AI234" s="117">
        <f t="shared" ref="AI234:BN234" si="327">AI22/AI$211</f>
        <v>0.0171296118017315</v>
      </c>
      <c r="AJ234" s="117">
        <f t="shared" si="327"/>
        <v>0.0126767037553205</v>
      </c>
      <c r="AK234" s="117">
        <f t="shared" si="327"/>
        <v>0.0104920000413352</v>
      </c>
      <c r="AL234" s="117">
        <f t="shared" si="327"/>
        <v>0.0113621082531864</v>
      </c>
      <c r="AM234" s="117">
        <f t="shared" si="327"/>
        <v>0.0112376464756924</v>
      </c>
      <c r="AN234" s="117">
        <f t="shared" si="327"/>
        <v>0.0115473238770271</v>
      </c>
      <c r="AO234" s="9">
        <f t="shared" si="327"/>
        <v>0.00745721980897118</v>
      </c>
      <c r="AP234" s="144">
        <f t="shared" si="327"/>
        <v>0</v>
      </c>
      <c r="AQ234" s="144">
        <f t="shared" si="327"/>
        <v>0</v>
      </c>
      <c r="AR234" s="144">
        <f t="shared" si="327"/>
        <v>0</v>
      </c>
      <c r="AS234" s="144">
        <f t="shared" si="327"/>
        <v>0</v>
      </c>
      <c r="AT234" s="144">
        <f t="shared" si="327"/>
        <v>0</v>
      </c>
      <c r="AU234" s="144">
        <f t="shared" si="327"/>
        <v>0.0265455273173191</v>
      </c>
      <c r="AV234" s="144">
        <f t="shared" si="327"/>
        <v>0.0109399995958572</v>
      </c>
      <c r="AW234" s="144">
        <f t="shared" si="327"/>
        <v>0.000236057728810236</v>
      </c>
      <c r="AX234" s="144">
        <f t="shared" si="327"/>
        <v>0</v>
      </c>
      <c r="AY234" s="144">
        <f t="shared" si="327"/>
        <v>0</v>
      </c>
      <c r="AZ234" s="144">
        <f t="shared" si="327"/>
        <v>0</v>
      </c>
      <c r="BA234" s="144">
        <f t="shared" si="327"/>
        <v>0</v>
      </c>
      <c r="BB234" s="9">
        <f t="shared" si="327"/>
        <v>0.00272432910567028</v>
      </c>
      <c r="BC234" s="144">
        <f t="shared" si="327"/>
        <v>0</v>
      </c>
      <c r="BD234" s="144">
        <f t="shared" si="327"/>
        <v>0</v>
      </c>
      <c r="BE234" s="144">
        <f t="shared" si="327"/>
        <v>0</v>
      </c>
      <c r="BF234" s="144">
        <f t="shared" si="327"/>
        <v>0</v>
      </c>
      <c r="BG234" s="144">
        <f t="shared" si="327"/>
        <v>0</v>
      </c>
      <c r="BH234" s="144">
        <f t="shared" si="327"/>
        <v>0.00552941847741717</v>
      </c>
      <c r="BI234" s="144">
        <f t="shared" si="327"/>
        <v>0.0128994967900386</v>
      </c>
      <c r="BJ234" s="144">
        <f t="shared" si="327"/>
        <v>0.00674028068837102</v>
      </c>
      <c r="BK234" s="144">
        <f t="shared" si="327"/>
        <v>0.003423663925175</v>
      </c>
      <c r="BL234" s="144">
        <f t="shared" si="327"/>
        <v>0.00176209477410386</v>
      </c>
      <c r="BM234" s="144">
        <f t="shared" si="327"/>
        <v>0.0016820827002915</v>
      </c>
      <c r="BN234" s="144">
        <f t="shared" si="327"/>
        <v>0</v>
      </c>
      <c r="BO234" s="9">
        <f t="shared" ref="BO234:CT234" si="328">BO22/BO$211</f>
        <v>0.00258577224265596</v>
      </c>
      <c r="BP234" s="144">
        <f t="shared" si="328"/>
        <v>0</v>
      </c>
      <c r="BQ234" s="144">
        <f t="shared" si="328"/>
        <v>0</v>
      </c>
      <c r="BR234" s="144">
        <f t="shared" si="328"/>
        <v>0</v>
      </c>
      <c r="BS234" s="144">
        <f t="shared" si="328"/>
        <v>0</v>
      </c>
      <c r="BT234" s="144">
        <f t="shared" si="328"/>
        <v>0</v>
      </c>
      <c r="BU234" s="144">
        <f t="shared" si="328"/>
        <v>0.00814215341557995</v>
      </c>
      <c r="BV234" s="144">
        <f t="shared" si="328"/>
        <v>0.0047343359038628</v>
      </c>
      <c r="BW234" s="144">
        <f t="shared" si="328"/>
        <v>0</v>
      </c>
      <c r="BX234" s="144">
        <f t="shared" si="328"/>
        <v>0</v>
      </c>
      <c r="BY234" s="144">
        <f t="shared" si="328"/>
        <v>0</v>
      </c>
      <c r="BZ234" s="144">
        <f t="shared" si="328"/>
        <v>0</v>
      </c>
      <c r="CA234" s="144">
        <f t="shared" si="328"/>
        <v>0</v>
      </c>
      <c r="CB234" s="9">
        <f t="shared" si="328"/>
        <v>0.000839420631933224</v>
      </c>
      <c r="CC234" s="144">
        <f t="shared" si="328"/>
        <v>0</v>
      </c>
      <c r="CD234" s="144">
        <f t="shared" si="328"/>
        <v>0</v>
      </c>
      <c r="CE234" s="144">
        <f t="shared" si="328"/>
        <v>0</v>
      </c>
      <c r="CF234" s="144">
        <f t="shared" si="328"/>
        <v>0</v>
      </c>
      <c r="CG234" s="144">
        <f t="shared" si="328"/>
        <v>0.012619398903151</v>
      </c>
      <c r="CH234" s="144">
        <f t="shared" si="328"/>
        <v>0.0074263876697363</v>
      </c>
      <c r="CI234" s="144">
        <f t="shared" si="328"/>
        <v>0.0130880713005087</v>
      </c>
      <c r="CJ234" s="144">
        <f t="shared" si="328"/>
        <v>0</v>
      </c>
      <c r="CK234" s="144">
        <f t="shared" si="328"/>
        <v>0</v>
      </c>
      <c r="CL234" s="144">
        <f t="shared" si="328"/>
        <v>0</v>
      </c>
      <c r="CM234" s="144">
        <f t="shared" si="328"/>
        <v>0</v>
      </c>
      <c r="CN234" s="144">
        <f t="shared" si="328"/>
        <v>0</v>
      </c>
      <c r="CO234" s="9">
        <f t="shared" si="328"/>
        <v>0.00287813051013329</v>
      </c>
      <c r="CP234" s="144">
        <f t="shared" si="328"/>
        <v>0</v>
      </c>
      <c r="CQ234" s="144">
        <f t="shared" si="328"/>
        <v>0</v>
      </c>
      <c r="CR234" s="144">
        <f t="shared" si="328"/>
        <v>0</v>
      </c>
      <c r="CS234" s="144">
        <f t="shared" si="328"/>
        <v>0</v>
      </c>
      <c r="CT234" s="144">
        <f t="shared" si="328"/>
        <v>0</v>
      </c>
      <c r="CU234" s="144">
        <f t="shared" ref="CU234:EB234" si="329">CU22/CU$211</f>
        <v>0.00715649071712741</v>
      </c>
      <c r="CV234" s="144">
        <f t="shared" si="329"/>
        <v>0.0209580860464039</v>
      </c>
      <c r="CW234" s="144">
        <f t="shared" si="329"/>
        <v>0.0140582972573751</v>
      </c>
      <c r="CX234" s="144">
        <f t="shared" si="329"/>
        <v>0.00496905772400509</v>
      </c>
      <c r="CY234" s="144">
        <f t="shared" si="329"/>
        <v>0.00497762253678001</v>
      </c>
      <c r="CZ234" s="144">
        <f t="shared" si="329"/>
        <v>0.00256269236243336</v>
      </c>
      <c r="DA234" s="144">
        <f t="shared" si="329"/>
        <v>0</v>
      </c>
      <c r="DB234" s="9">
        <f t="shared" si="329"/>
        <v>0.00437296909770163</v>
      </c>
      <c r="DC234" s="144">
        <f t="shared" si="329"/>
        <v>0</v>
      </c>
      <c r="DD234" s="144">
        <f t="shared" si="329"/>
        <v>0</v>
      </c>
      <c r="DE234" s="144">
        <f t="shared" si="329"/>
        <v>0</v>
      </c>
      <c r="DF234" s="144">
        <f t="shared" si="329"/>
        <v>0</v>
      </c>
      <c r="DG234" s="144">
        <f t="shared" si="329"/>
        <v>0</v>
      </c>
      <c r="DH234" s="144">
        <f t="shared" si="329"/>
        <v>0.00697333689585211</v>
      </c>
      <c r="DI234" s="144">
        <f t="shared" si="329"/>
        <v>0.00805850200630792</v>
      </c>
      <c r="DJ234" s="144">
        <f t="shared" si="329"/>
        <v>0</v>
      </c>
      <c r="DK234" s="144">
        <f t="shared" si="329"/>
        <v>0</v>
      </c>
      <c r="DL234" s="144">
        <f t="shared" si="329"/>
        <v>0</v>
      </c>
      <c r="DM234" s="144">
        <f t="shared" si="329"/>
        <v>0</v>
      </c>
      <c r="DN234" s="144">
        <f t="shared" si="329"/>
        <v>0</v>
      </c>
      <c r="DO234" s="9">
        <f t="shared" si="329"/>
        <v>0.00111611746975415</v>
      </c>
      <c r="DP234" s="144">
        <f t="shared" si="329"/>
        <v>0</v>
      </c>
      <c r="DQ234" s="144">
        <f t="shared" si="329"/>
        <v>0</v>
      </c>
      <c r="DR234" s="144">
        <f t="shared" si="329"/>
        <v>0</v>
      </c>
      <c r="DS234" s="144">
        <f t="shared" si="329"/>
        <v>0</v>
      </c>
      <c r="DT234" s="144">
        <f t="shared" si="329"/>
        <v>0</v>
      </c>
      <c r="DU234" s="144">
        <f t="shared" si="329"/>
        <v>0.00739176951084737</v>
      </c>
      <c r="DV234" s="144">
        <f t="shared" si="329"/>
        <v>0.0382747720611183</v>
      </c>
      <c r="DW234" s="144">
        <f t="shared" si="329"/>
        <v>0.0243074947513853</v>
      </c>
      <c r="DX234" s="144">
        <f t="shared" si="329"/>
        <v>0.0108678914703927</v>
      </c>
      <c r="DY234" s="144">
        <f t="shared" si="329"/>
        <v>0.00872643402558134</v>
      </c>
      <c r="DZ234" s="144">
        <f t="shared" si="329"/>
        <v>0</v>
      </c>
      <c r="EA234" s="144">
        <f t="shared" si="329"/>
        <v>0</v>
      </c>
      <c r="EB234" s="117">
        <f t="shared" si="329"/>
        <v>0.00696952641391988</v>
      </c>
      <c r="EC234" s="118"/>
      <c r="ED234" s="117">
        <f t="shared" ref="ED234:FB234" si="330">ED22/ED$211</f>
        <v>0</v>
      </c>
      <c r="EE234" s="117">
        <f t="shared" si="330"/>
        <v>0</v>
      </c>
      <c r="EF234" s="117">
        <f t="shared" si="330"/>
        <v>0</v>
      </c>
      <c r="EG234" s="117" t="e">
        <f t="shared" si="330"/>
        <v>#DIV/0!</v>
      </c>
      <c r="EH234" s="117" t="e">
        <f t="shared" si="330"/>
        <v>#DIV/0!</v>
      </c>
      <c r="EI234" s="117" t="e">
        <f t="shared" si="330"/>
        <v>#DIV/0!</v>
      </c>
      <c r="EJ234" s="117" t="e">
        <f t="shared" si="330"/>
        <v>#DIV/0!</v>
      </c>
      <c r="EK234" s="117" t="e">
        <f t="shared" si="330"/>
        <v>#DIV/0!</v>
      </c>
      <c r="EL234" s="117" t="e">
        <f t="shared" si="330"/>
        <v>#DIV/0!</v>
      </c>
      <c r="EM234" s="117" t="e">
        <f t="shared" si="330"/>
        <v>#DIV/0!</v>
      </c>
      <c r="EN234" s="117" t="e">
        <f t="shared" si="330"/>
        <v>#DIV/0!</v>
      </c>
      <c r="EO234" s="116">
        <f t="shared" si="330"/>
        <v>0</v>
      </c>
      <c r="EP234" s="117">
        <f t="shared" si="330"/>
        <v>0</v>
      </c>
      <c r="EQ234" s="117">
        <f t="shared" si="330"/>
        <v>0</v>
      </c>
      <c r="ER234" s="117">
        <f t="shared" si="330"/>
        <v>0</v>
      </c>
      <c r="ES234" s="117">
        <f t="shared" si="330"/>
        <v>0</v>
      </c>
      <c r="ET234" s="117">
        <f t="shared" si="330"/>
        <v>0</v>
      </c>
      <c r="EU234" s="117">
        <f t="shared" si="330"/>
        <v>0.0143345356167127</v>
      </c>
      <c r="EV234" s="117">
        <f t="shared" si="330"/>
        <v>0.017306112306502</v>
      </c>
      <c r="EW234" s="117">
        <f t="shared" si="330"/>
        <v>0.007889200523897</v>
      </c>
      <c r="EX234" s="117">
        <f t="shared" si="330"/>
        <v>0.00376761880340253</v>
      </c>
      <c r="EY234" s="117">
        <f t="shared" si="330"/>
        <v>0.00236277005028519</v>
      </c>
      <c r="EZ234" s="117">
        <f t="shared" si="330"/>
        <v>0</v>
      </c>
      <c r="FA234" s="117">
        <f t="shared" si="330"/>
        <v>0</v>
      </c>
      <c r="FB234" s="117">
        <f t="shared" si="330"/>
        <v>0.00365929268896282</v>
      </c>
      <c r="FC234" s="118"/>
      <c r="FD234" s="117"/>
      <c r="FE234" s="117"/>
      <c r="FF234" s="117"/>
      <c r="FG234" s="117"/>
      <c r="FH234" s="117"/>
      <c r="FI234" s="117"/>
      <c r="FJ234" s="117"/>
      <c r="FK234" s="117" t="e">
        <f t="shared" si="211"/>
        <v>#DIV/0!</v>
      </c>
      <c r="FL234" s="117" t="e">
        <f t="shared" si="212"/>
        <v>#DIV/0!</v>
      </c>
      <c r="FM234" s="117" t="e">
        <f t="shared" si="213"/>
        <v>#DIV/0!</v>
      </c>
      <c r="FN234" s="117" t="e">
        <f t="shared" si="214"/>
        <v>#DIV/0!</v>
      </c>
      <c r="FO234" s="9" t="e">
        <f t="shared" si="215"/>
        <v>#DIV/0!</v>
      </c>
      <c r="FP234" s="118">
        <f t="shared" ref="FP234:GB234" si="331">FP22/FP$211</f>
        <v>7.1210637088083e-6</v>
      </c>
      <c r="FQ234" s="117">
        <f t="shared" si="331"/>
        <v>0</v>
      </c>
      <c r="FR234" s="117">
        <f t="shared" si="331"/>
        <v>0</v>
      </c>
      <c r="FS234" s="117">
        <f t="shared" si="331"/>
        <v>0</v>
      </c>
      <c r="FT234" s="117">
        <f t="shared" si="331"/>
        <v>0</v>
      </c>
      <c r="FU234" s="117">
        <f t="shared" si="331"/>
        <v>0.057454558757548</v>
      </c>
      <c r="FV234" s="117">
        <f t="shared" si="331"/>
        <v>0.0306120158992854</v>
      </c>
      <c r="FW234" s="117">
        <f t="shared" si="331"/>
        <v>0.00675042915731298</v>
      </c>
      <c r="FX234" s="117">
        <f t="shared" si="331"/>
        <v>0.00544314991640631</v>
      </c>
      <c r="FY234" s="117">
        <f t="shared" si="331"/>
        <v>0</v>
      </c>
      <c r="FZ234" s="117">
        <f t="shared" si="331"/>
        <v>0.000968301052677542</v>
      </c>
      <c r="GA234" s="117">
        <f t="shared" si="331"/>
        <v>0.000250796391003573</v>
      </c>
      <c r="GB234" s="116">
        <f t="shared" si="331"/>
        <v>0.00633456088596099</v>
      </c>
    </row>
    <row r="235" spans="1:184">
      <c r="A235" s="147" t="s">
        <v>71</v>
      </c>
      <c r="B235" s="160">
        <f t="shared" si="217"/>
        <v>0.142698961164782</v>
      </c>
      <c r="C235" s="117">
        <f t="shared" ref="C235:AH235" si="332">C23/C$211</f>
        <v>0.00319936674678116</v>
      </c>
      <c r="D235" s="117">
        <f t="shared" si="332"/>
        <v>0.0056581107558328</v>
      </c>
      <c r="E235" s="117">
        <f t="shared" si="332"/>
        <v>0.00539754205804142</v>
      </c>
      <c r="F235" s="117">
        <f t="shared" si="332"/>
        <v>0.00421359598179595</v>
      </c>
      <c r="G235" s="117">
        <f t="shared" si="332"/>
        <v>0.00367196425846377</v>
      </c>
      <c r="H235" s="117">
        <f t="shared" si="332"/>
        <v>0.0199783907294515</v>
      </c>
      <c r="I235" s="117">
        <f t="shared" si="332"/>
        <v>0.0129179738025185</v>
      </c>
      <c r="J235" s="117">
        <f t="shared" si="332"/>
        <v>0.00469540515048788</v>
      </c>
      <c r="K235" s="117">
        <f t="shared" si="332"/>
        <v>0.0172379414689501</v>
      </c>
      <c r="L235" s="117">
        <f t="shared" si="332"/>
        <v>0.0101764164831678</v>
      </c>
      <c r="M235" s="117">
        <f t="shared" si="332"/>
        <v>0.00309864943823032</v>
      </c>
      <c r="N235" s="117">
        <f t="shared" si="332"/>
        <v>0.0150175152037591</v>
      </c>
      <c r="O235" s="9">
        <f t="shared" si="332"/>
        <v>0.00842527387656019</v>
      </c>
      <c r="P235" s="117">
        <f t="shared" si="332"/>
        <v>0.00330804265981077</v>
      </c>
      <c r="Q235" s="117">
        <f t="shared" si="332"/>
        <v>0.00310957865028103</v>
      </c>
      <c r="R235" s="117">
        <f t="shared" si="332"/>
        <v>0.0033764186427722</v>
      </c>
      <c r="S235" s="117">
        <f t="shared" si="332"/>
        <v>0.00230004988031991</v>
      </c>
      <c r="T235" s="117">
        <f t="shared" si="332"/>
        <v>0.00246341947247506</v>
      </c>
      <c r="U235" s="117">
        <f t="shared" si="332"/>
        <v>0.00849508123569291</v>
      </c>
      <c r="V235" s="117">
        <f t="shared" si="332"/>
        <v>0.00761756977650309</v>
      </c>
      <c r="W235" s="117">
        <f t="shared" si="332"/>
        <v>0.00474769052115857</v>
      </c>
      <c r="X235" s="117">
        <f t="shared" si="332"/>
        <v>0.0086804916333616</v>
      </c>
      <c r="Y235" s="117">
        <f t="shared" si="332"/>
        <v>0.00702141764835874</v>
      </c>
      <c r="Z235" s="117">
        <f t="shared" si="332"/>
        <v>0.00364855793833433</v>
      </c>
      <c r="AA235" s="117">
        <f t="shared" si="332"/>
        <v>0.00358130815731935</v>
      </c>
      <c r="AB235" s="9">
        <f t="shared" si="332"/>
        <v>0.0048739264046016</v>
      </c>
      <c r="AC235" s="117">
        <f t="shared" si="332"/>
        <v>0.00400785126504638</v>
      </c>
      <c r="AD235" s="117">
        <f t="shared" si="332"/>
        <v>0.0042644610479908</v>
      </c>
      <c r="AE235" s="117">
        <f t="shared" si="332"/>
        <v>0.00372140008861855</v>
      </c>
      <c r="AF235" s="117">
        <f t="shared" si="332"/>
        <v>0.00264495498226981</v>
      </c>
      <c r="AG235" s="117">
        <f t="shared" si="332"/>
        <v>0.00194019056524701</v>
      </c>
      <c r="AH235" s="117">
        <f t="shared" si="332"/>
        <v>0.00623444377453588</v>
      </c>
      <c r="AI235" s="117">
        <f t="shared" ref="AI235:BN235" si="333">AI23/AI$211</f>
        <v>0.0032101338862186</v>
      </c>
      <c r="AJ235" s="117">
        <f t="shared" si="333"/>
        <v>0.00252943598969296</v>
      </c>
      <c r="AK235" s="117">
        <f t="shared" si="333"/>
        <v>0.00657374493510733</v>
      </c>
      <c r="AL235" s="117">
        <f t="shared" si="333"/>
        <v>0.00640606089633182</v>
      </c>
      <c r="AM235" s="117">
        <f t="shared" si="333"/>
        <v>0.00285218515950457</v>
      </c>
      <c r="AN235" s="117">
        <f t="shared" si="333"/>
        <v>0.00251155754533215</v>
      </c>
      <c r="AO235" s="9">
        <f t="shared" si="333"/>
        <v>0.00397003080893322</v>
      </c>
      <c r="AP235" s="144">
        <f t="shared" si="333"/>
        <v>0.00267974445171971</v>
      </c>
      <c r="AQ235" s="144">
        <f t="shared" si="333"/>
        <v>0.0100355069956723</v>
      </c>
      <c r="AR235" s="144">
        <f t="shared" si="333"/>
        <v>0.00467499563105068</v>
      </c>
      <c r="AS235" s="144">
        <f t="shared" si="333"/>
        <v>0.00274024773227769</v>
      </c>
      <c r="AT235" s="144">
        <f t="shared" si="333"/>
        <v>0.00290329272841398</v>
      </c>
      <c r="AU235" s="144">
        <f t="shared" si="333"/>
        <v>0.0277996655381016</v>
      </c>
      <c r="AV235" s="144">
        <f t="shared" si="333"/>
        <v>0.0185570784459775</v>
      </c>
      <c r="AW235" s="144">
        <f t="shared" si="333"/>
        <v>0.0105920987411626</v>
      </c>
      <c r="AX235" s="144">
        <f t="shared" si="333"/>
        <v>0.0300300282516627</v>
      </c>
      <c r="AY235" s="144">
        <f t="shared" si="333"/>
        <v>0.0224936910345547</v>
      </c>
      <c r="AZ235" s="144">
        <f t="shared" si="333"/>
        <v>0.00436905838006245</v>
      </c>
      <c r="BA235" s="144">
        <f t="shared" si="333"/>
        <v>0.0255046503792248</v>
      </c>
      <c r="BB235" s="9">
        <f t="shared" si="333"/>
        <v>0.0138646534868149</v>
      </c>
      <c r="BC235" s="144">
        <f t="shared" si="333"/>
        <v>0.00268148116956778</v>
      </c>
      <c r="BD235" s="144">
        <f t="shared" si="333"/>
        <v>0.00476905849763538</v>
      </c>
      <c r="BE235" s="144">
        <f t="shared" si="333"/>
        <v>0.00690314841463299</v>
      </c>
      <c r="BF235" s="144">
        <f t="shared" si="333"/>
        <v>0.00270197602853157</v>
      </c>
      <c r="BG235" s="144">
        <f t="shared" si="333"/>
        <v>0.00242431991277288</v>
      </c>
      <c r="BH235" s="144">
        <f t="shared" si="333"/>
        <v>0.01326516811977</v>
      </c>
      <c r="BI235" s="144">
        <f t="shared" si="333"/>
        <v>0.00783019280856907</v>
      </c>
      <c r="BJ235" s="144">
        <f t="shared" si="333"/>
        <v>0.0047578284800063</v>
      </c>
      <c r="BK235" s="144">
        <f t="shared" si="333"/>
        <v>0.0145874085723279</v>
      </c>
      <c r="BL235" s="144">
        <f t="shared" si="333"/>
        <v>0.0168581168388316</v>
      </c>
      <c r="BM235" s="144">
        <f t="shared" si="333"/>
        <v>0.00606614381408924</v>
      </c>
      <c r="BN235" s="144">
        <f t="shared" si="333"/>
        <v>0.00759660700639702</v>
      </c>
      <c r="BO235" s="9">
        <f t="shared" ref="BO235:CT235" si="334">BO23/BO$211</f>
        <v>0.00745837232576307</v>
      </c>
      <c r="BP235" s="144">
        <f t="shared" si="334"/>
        <v>0.00286114847800542</v>
      </c>
      <c r="BQ235" s="144">
        <f t="shared" si="334"/>
        <v>0.00553319468316243</v>
      </c>
      <c r="BR235" s="144">
        <f t="shared" si="334"/>
        <v>0.00662327396363602</v>
      </c>
      <c r="BS235" s="144">
        <f t="shared" si="334"/>
        <v>0.00690115508103341</v>
      </c>
      <c r="BT235" s="144">
        <f t="shared" si="334"/>
        <v>0.0058989387957208</v>
      </c>
      <c r="BU235" s="144">
        <f t="shared" si="334"/>
        <v>0.0192209563602633</v>
      </c>
      <c r="BV235" s="144">
        <f t="shared" si="334"/>
        <v>0.0112590935991265</v>
      </c>
      <c r="BW235" s="144">
        <f t="shared" si="334"/>
        <v>0.00592118727187779</v>
      </c>
      <c r="BX235" s="144">
        <f t="shared" si="334"/>
        <v>0.0157987172180186</v>
      </c>
      <c r="BY235" s="144">
        <f t="shared" si="334"/>
        <v>0.00856121168699377</v>
      </c>
      <c r="BZ235" s="144">
        <f t="shared" si="334"/>
        <v>0.00211740749855629</v>
      </c>
      <c r="CA235" s="144">
        <f t="shared" si="334"/>
        <v>0.017872215977675</v>
      </c>
      <c r="CB235" s="9">
        <f t="shared" si="334"/>
        <v>0.00835613887873117</v>
      </c>
      <c r="CC235" s="144">
        <f t="shared" si="334"/>
        <v>0.0014789250248366</v>
      </c>
      <c r="CD235" s="144">
        <f t="shared" si="334"/>
        <v>0.00232331573697181</v>
      </c>
      <c r="CE235" s="144">
        <f t="shared" si="334"/>
        <v>0.00248102922569851</v>
      </c>
      <c r="CF235" s="144">
        <f t="shared" si="334"/>
        <v>0.00319163081038539</v>
      </c>
      <c r="CG235" s="144">
        <f t="shared" si="334"/>
        <v>0.00321371800595443</v>
      </c>
      <c r="CH235" s="144">
        <f t="shared" si="334"/>
        <v>0.010711750142841</v>
      </c>
      <c r="CI235" s="144">
        <f t="shared" si="334"/>
        <v>0.00708964478435019</v>
      </c>
      <c r="CJ235" s="144">
        <f t="shared" si="334"/>
        <v>0.00580757826165347</v>
      </c>
      <c r="CK235" s="144">
        <f t="shared" si="334"/>
        <v>0.0173637235580092</v>
      </c>
      <c r="CL235" s="144">
        <f t="shared" si="334"/>
        <v>0.0179919149978282</v>
      </c>
      <c r="CM235" s="144">
        <f t="shared" si="334"/>
        <v>0.000417940684093748</v>
      </c>
      <c r="CN235" s="144">
        <f t="shared" si="334"/>
        <v>0.00811855458257588</v>
      </c>
      <c r="CO235" s="9">
        <f t="shared" si="334"/>
        <v>0.00682887318039487</v>
      </c>
      <c r="CP235" s="144">
        <f t="shared" si="334"/>
        <v>0.000760636191443362</v>
      </c>
      <c r="CQ235" s="144">
        <f t="shared" si="334"/>
        <v>0.00346458967234679</v>
      </c>
      <c r="CR235" s="144">
        <f t="shared" si="334"/>
        <v>0.00400993187188849</v>
      </c>
      <c r="CS235" s="144">
        <f t="shared" si="334"/>
        <v>0.00251214039224585</v>
      </c>
      <c r="CT235" s="144">
        <f t="shared" si="334"/>
        <v>0.0021813867460016</v>
      </c>
      <c r="CU235" s="144">
        <f t="shared" ref="CU235:EB235" si="335">CU23/CU$211</f>
        <v>0.0152514229203069</v>
      </c>
      <c r="CV235" s="144">
        <f t="shared" si="335"/>
        <v>0.0111379659307631</v>
      </c>
      <c r="CW235" s="144">
        <f t="shared" si="335"/>
        <v>0.00400319244211578</v>
      </c>
      <c r="CX235" s="144">
        <f t="shared" si="335"/>
        <v>0.00972329779018327</v>
      </c>
      <c r="CY235" s="144">
        <f t="shared" si="335"/>
        <v>0.0128223976094205</v>
      </c>
      <c r="CZ235" s="144">
        <f t="shared" si="335"/>
        <v>0.00180442737544754</v>
      </c>
      <c r="DA235" s="144">
        <f t="shared" si="335"/>
        <v>0.00225008437816418</v>
      </c>
      <c r="DB235" s="9">
        <f t="shared" si="335"/>
        <v>0.0055340530994201</v>
      </c>
      <c r="DC235" s="144">
        <f t="shared" si="335"/>
        <v>0.00423158816492726</v>
      </c>
      <c r="DD235" s="144">
        <f t="shared" si="335"/>
        <v>0.0251653871172867</v>
      </c>
      <c r="DE235" s="144">
        <f t="shared" si="335"/>
        <v>0.00830338415134815</v>
      </c>
      <c r="DF235" s="144">
        <f t="shared" si="335"/>
        <v>0.00830875635220554</v>
      </c>
      <c r="DG235" s="144">
        <f t="shared" si="335"/>
        <v>0.00744090172025326</v>
      </c>
      <c r="DH235" s="144">
        <f t="shared" si="335"/>
        <v>0.0339726292856661</v>
      </c>
      <c r="DI235" s="144">
        <f t="shared" si="335"/>
        <v>0.0256624072367953</v>
      </c>
      <c r="DJ235" s="144">
        <f t="shared" si="335"/>
        <v>0.0130655868676229</v>
      </c>
      <c r="DK235" s="144">
        <f t="shared" si="335"/>
        <v>0.0297053138190855</v>
      </c>
      <c r="DL235" s="144">
        <f t="shared" si="335"/>
        <v>0.0239746225469699</v>
      </c>
      <c r="DM235" s="144">
        <f t="shared" si="335"/>
        <v>0.0126956559428574</v>
      </c>
      <c r="DN235" s="144">
        <f t="shared" si="335"/>
        <v>0.0197962214480888</v>
      </c>
      <c r="DO235" s="9">
        <f t="shared" si="335"/>
        <v>0.0173487606542442</v>
      </c>
      <c r="DP235" s="144">
        <f t="shared" si="335"/>
        <v>0.0107176997878243</v>
      </c>
      <c r="DQ235" s="144">
        <f t="shared" si="335"/>
        <v>0.00831006651512137</v>
      </c>
      <c r="DR235" s="144">
        <f t="shared" si="335"/>
        <v>0.0137740942384899</v>
      </c>
      <c r="DS235" s="144">
        <f t="shared" si="335"/>
        <v>0.0113100039513099</v>
      </c>
      <c r="DT235" s="144">
        <f t="shared" si="335"/>
        <v>0.00733318042166506</v>
      </c>
      <c r="DU235" s="144">
        <f t="shared" si="335"/>
        <v>0.0203698425554554</v>
      </c>
      <c r="DV235" s="144">
        <f t="shared" si="335"/>
        <v>0.0176517476944776</v>
      </c>
      <c r="DW235" s="144">
        <f t="shared" si="335"/>
        <v>0.00922272446869804</v>
      </c>
      <c r="DX235" s="144">
        <f t="shared" si="335"/>
        <v>0.0255555487280944</v>
      </c>
      <c r="DY235" s="144">
        <f t="shared" si="335"/>
        <v>0.0259928988182862</v>
      </c>
      <c r="DZ235" s="144">
        <f t="shared" si="335"/>
        <v>0.00818394303938863</v>
      </c>
      <c r="EA235" s="144">
        <f t="shared" si="335"/>
        <v>0.0167531216487669</v>
      </c>
      <c r="EB235" s="117">
        <f t="shared" si="335"/>
        <v>0.0142713337152791</v>
      </c>
      <c r="EC235" s="118"/>
      <c r="ED235" s="117">
        <f t="shared" ref="ED235:FB235" si="336">ED23/ED$211</f>
        <v>0.0479845551238645</v>
      </c>
      <c r="EE235" s="117">
        <f t="shared" si="336"/>
        <v>0</v>
      </c>
      <c r="EF235" s="117">
        <f t="shared" si="336"/>
        <v>0</v>
      </c>
      <c r="EG235" s="117" t="e">
        <f t="shared" si="336"/>
        <v>#DIV/0!</v>
      </c>
      <c r="EH235" s="117" t="e">
        <f t="shared" si="336"/>
        <v>#DIV/0!</v>
      </c>
      <c r="EI235" s="117" t="e">
        <f t="shared" si="336"/>
        <v>#DIV/0!</v>
      </c>
      <c r="EJ235" s="117" t="e">
        <f t="shared" si="336"/>
        <v>#DIV/0!</v>
      </c>
      <c r="EK235" s="117" t="e">
        <f t="shared" si="336"/>
        <v>#DIV/0!</v>
      </c>
      <c r="EL235" s="117" t="e">
        <f t="shared" si="336"/>
        <v>#DIV/0!</v>
      </c>
      <c r="EM235" s="117" t="e">
        <f t="shared" si="336"/>
        <v>#DIV/0!</v>
      </c>
      <c r="EN235" s="117" t="e">
        <f t="shared" si="336"/>
        <v>#DIV/0!</v>
      </c>
      <c r="EO235" s="116">
        <f t="shared" si="336"/>
        <v>0.011995350235416</v>
      </c>
      <c r="EP235" s="117">
        <f t="shared" si="336"/>
        <v>0.00506951631290971</v>
      </c>
      <c r="EQ235" s="117">
        <f t="shared" si="336"/>
        <v>0.00488187046750926</v>
      </c>
      <c r="ER235" s="117">
        <f t="shared" si="336"/>
        <v>0.00508520954440936</v>
      </c>
      <c r="ES235" s="117">
        <f t="shared" si="336"/>
        <v>0.00299866858840689</v>
      </c>
      <c r="ET235" s="117">
        <f t="shared" si="336"/>
        <v>0.00273922485470043</v>
      </c>
      <c r="EU235" s="117">
        <f t="shared" si="336"/>
        <v>0.0149321252466474</v>
      </c>
      <c r="EV235" s="117">
        <f t="shared" si="336"/>
        <v>0.0111818575985761</v>
      </c>
      <c r="EW235" s="117">
        <f t="shared" si="336"/>
        <v>0.00733706939536339</v>
      </c>
      <c r="EX235" s="117">
        <f t="shared" si="336"/>
        <v>0.0158022704427038</v>
      </c>
      <c r="EY235" s="117">
        <f t="shared" si="336"/>
        <v>0.0169445607413966</v>
      </c>
      <c r="EZ235" s="117">
        <f t="shared" si="336"/>
        <v>0.00816024617990793</v>
      </c>
      <c r="FA235" s="117">
        <f t="shared" si="336"/>
        <v>0.0183829253235188</v>
      </c>
      <c r="FB235" s="117">
        <f t="shared" si="336"/>
        <v>0.00974786847044637</v>
      </c>
      <c r="FC235" s="118"/>
      <c r="FD235" s="117"/>
      <c r="FE235" s="117"/>
      <c r="FF235" s="117"/>
      <c r="FG235" s="117"/>
      <c r="FH235" s="117"/>
      <c r="FI235" s="117"/>
      <c r="FJ235" s="117"/>
      <c r="FK235" s="117" t="e">
        <f t="shared" si="211"/>
        <v>#DIV/0!</v>
      </c>
      <c r="FL235" s="117" t="e">
        <f t="shared" si="212"/>
        <v>#DIV/0!</v>
      </c>
      <c r="FM235" s="117" t="e">
        <f t="shared" si="213"/>
        <v>#DIV/0!</v>
      </c>
      <c r="FN235" s="117" t="e">
        <f t="shared" si="214"/>
        <v>#DIV/0!</v>
      </c>
      <c r="FO235" s="9" t="e">
        <f t="shared" si="215"/>
        <v>#DIV/0!</v>
      </c>
      <c r="FP235" s="118">
        <f t="shared" ref="FP235:GB235" si="337">FP23/FP$211</f>
        <v>0.00171977800190299</v>
      </c>
      <c r="FQ235" s="117">
        <f t="shared" si="337"/>
        <v>0.00566656048663532</v>
      </c>
      <c r="FR235" s="117">
        <f t="shared" si="337"/>
        <v>0.00378278398351481</v>
      </c>
      <c r="FS235" s="117">
        <f t="shared" si="337"/>
        <v>0.00225579199177194</v>
      </c>
      <c r="FT235" s="117">
        <f t="shared" si="337"/>
        <v>0.00280870171001646</v>
      </c>
      <c r="FU235" s="117">
        <f t="shared" si="337"/>
        <v>0.0379914024651046</v>
      </c>
      <c r="FV235" s="117">
        <f t="shared" si="337"/>
        <v>0.0198639191227392</v>
      </c>
      <c r="FW235" s="117">
        <f t="shared" si="337"/>
        <v>0.000956473556277141</v>
      </c>
      <c r="FX235" s="117">
        <f t="shared" si="337"/>
        <v>0.0242859798812452</v>
      </c>
      <c r="FY235" s="117">
        <f t="shared" si="337"/>
        <v>0.000686038743468764</v>
      </c>
      <c r="FZ235" s="117">
        <f t="shared" si="337"/>
        <v>0.000629165066274071</v>
      </c>
      <c r="GA235" s="117">
        <f t="shared" si="337"/>
        <v>0.0246518121564773</v>
      </c>
      <c r="GB235" s="116">
        <f t="shared" si="337"/>
        <v>0.00923560762637708</v>
      </c>
    </row>
    <row r="236" spans="1:184">
      <c r="A236" s="147" t="s">
        <v>73</v>
      </c>
      <c r="B236" s="160">
        <f t="shared" si="217"/>
        <v>-0.14769201003369</v>
      </c>
      <c r="C236" s="117">
        <f t="shared" ref="C236:AH236" si="338">C24/C$211</f>
        <v>0.00297277153189445</v>
      </c>
      <c r="D236" s="117">
        <f t="shared" si="338"/>
        <v>0.00169400104370105</v>
      </c>
      <c r="E236" s="117">
        <f t="shared" si="338"/>
        <v>0.00190477674967571</v>
      </c>
      <c r="F236" s="117">
        <f t="shared" si="338"/>
        <v>0.00225231089455857</v>
      </c>
      <c r="G236" s="117">
        <f t="shared" si="338"/>
        <v>0.00186196906068844</v>
      </c>
      <c r="H236" s="117">
        <f t="shared" si="338"/>
        <v>0.00762442544686108</v>
      </c>
      <c r="I236" s="117">
        <f t="shared" si="338"/>
        <v>0.00516454925705756</v>
      </c>
      <c r="J236" s="117">
        <f t="shared" si="338"/>
        <v>0.00284629153413648</v>
      </c>
      <c r="K236" s="117">
        <f t="shared" si="338"/>
        <v>0.00129943623856124</v>
      </c>
      <c r="L236" s="117">
        <f t="shared" si="338"/>
        <v>0.000804010549546215</v>
      </c>
      <c r="M236" s="117">
        <f t="shared" si="338"/>
        <v>0.0135661502063187</v>
      </c>
      <c r="N236" s="117">
        <f t="shared" si="338"/>
        <v>0.00771216019318136</v>
      </c>
      <c r="O236" s="9">
        <f t="shared" si="338"/>
        <v>0.00407832014250739</v>
      </c>
      <c r="P236" s="117">
        <f t="shared" si="338"/>
        <v>0.00199850411973967</v>
      </c>
      <c r="Q236" s="117">
        <f t="shared" si="338"/>
        <v>0.0014343622337883</v>
      </c>
      <c r="R236" s="117">
        <f t="shared" si="338"/>
        <v>0.00153441455495785</v>
      </c>
      <c r="S236" s="117">
        <f t="shared" si="338"/>
        <v>0.00126491127069916</v>
      </c>
      <c r="T236" s="117">
        <f t="shared" si="338"/>
        <v>0.00112568863967046</v>
      </c>
      <c r="U236" s="117">
        <f t="shared" si="338"/>
        <v>0.00503949182335933</v>
      </c>
      <c r="V236" s="117">
        <f t="shared" si="338"/>
        <v>0.00324320289960196</v>
      </c>
      <c r="W236" s="117">
        <f t="shared" si="338"/>
        <v>0.00171652232801833</v>
      </c>
      <c r="X236" s="117">
        <f t="shared" si="338"/>
        <v>0.000805945302487104</v>
      </c>
      <c r="Y236" s="117">
        <f t="shared" si="338"/>
        <v>0</v>
      </c>
      <c r="Z236" s="117">
        <f t="shared" si="338"/>
        <v>0.00253841244428833</v>
      </c>
      <c r="AA236" s="117">
        <f t="shared" si="338"/>
        <v>0.00268598111798952</v>
      </c>
      <c r="AB236" s="9">
        <f t="shared" si="338"/>
        <v>0.00190992403394611</v>
      </c>
      <c r="AC236" s="117">
        <f t="shared" si="338"/>
        <v>0.000897232749774973</v>
      </c>
      <c r="AD236" s="117">
        <f t="shared" si="338"/>
        <v>0.000316103283879678</v>
      </c>
      <c r="AE236" s="117">
        <f t="shared" si="338"/>
        <v>0.000219280589393009</v>
      </c>
      <c r="AF236" s="117">
        <f t="shared" si="338"/>
        <v>7.39817307078179e-5</v>
      </c>
      <c r="AG236" s="117">
        <f t="shared" si="338"/>
        <v>3.40184403770427e-5</v>
      </c>
      <c r="AH236" s="117">
        <f t="shared" si="338"/>
        <v>0.00231994034961187</v>
      </c>
      <c r="AI236" s="117">
        <f t="shared" ref="AI236:BN236" si="339">AI24/AI$211</f>
        <v>0.00230983921051066</v>
      </c>
      <c r="AJ236" s="117">
        <f t="shared" si="339"/>
        <v>0.00178435854573054</v>
      </c>
      <c r="AK236" s="117">
        <f t="shared" si="339"/>
        <v>0.0017605739368972</v>
      </c>
      <c r="AL236" s="117">
        <f t="shared" si="339"/>
        <v>0.00152526355927988</v>
      </c>
      <c r="AM236" s="117">
        <f t="shared" si="339"/>
        <v>0.00366630347841253</v>
      </c>
      <c r="AN236" s="117">
        <f t="shared" si="339"/>
        <v>0.00565100447699735</v>
      </c>
      <c r="AO236" s="9">
        <f t="shared" si="339"/>
        <v>0.00181978454811403</v>
      </c>
      <c r="AP236" s="144">
        <f t="shared" si="339"/>
        <v>0.00261125503595115</v>
      </c>
      <c r="AQ236" s="144">
        <f t="shared" si="339"/>
        <v>0.00108775806800081</v>
      </c>
      <c r="AR236" s="144">
        <f t="shared" si="339"/>
        <v>0.00121918417019289</v>
      </c>
      <c r="AS236" s="144">
        <f t="shared" si="339"/>
        <v>0.00090119745005427</v>
      </c>
      <c r="AT236" s="144">
        <f t="shared" si="339"/>
        <v>0.00057259472718997</v>
      </c>
      <c r="AU236" s="144">
        <f t="shared" si="339"/>
        <v>0.00607845592332418</v>
      </c>
      <c r="AV236" s="144">
        <f t="shared" si="339"/>
        <v>0.00501013255827973</v>
      </c>
      <c r="AW236" s="144">
        <f t="shared" si="339"/>
        <v>0.0023610732077007</v>
      </c>
      <c r="AX236" s="144">
        <f t="shared" si="339"/>
        <v>0.000306461591649878</v>
      </c>
      <c r="AY236" s="144">
        <f t="shared" si="339"/>
        <v>0.000327995692006341</v>
      </c>
      <c r="AZ236" s="144">
        <f t="shared" si="339"/>
        <v>0.0239064560354528</v>
      </c>
      <c r="BA236" s="144">
        <f t="shared" si="339"/>
        <v>0.00951605252660867</v>
      </c>
      <c r="BB236" s="9">
        <f t="shared" si="339"/>
        <v>0.00474388543396646</v>
      </c>
      <c r="BC236" s="144">
        <f t="shared" si="339"/>
        <v>0.00184733417685335</v>
      </c>
      <c r="BD236" s="144">
        <f t="shared" si="339"/>
        <v>0.00105233616682705</v>
      </c>
      <c r="BE236" s="144">
        <f t="shared" si="339"/>
        <v>0.00121074775519003</v>
      </c>
      <c r="BF236" s="144">
        <f t="shared" si="339"/>
        <v>0.000632052460136758</v>
      </c>
      <c r="BG236" s="144">
        <f t="shared" si="339"/>
        <v>0.000747436110176751</v>
      </c>
      <c r="BH236" s="144">
        <f t="shared" si="339"/>
        <v>0.00470214136603113</v>
      </c>
      <c r="BI236" s="144">
        <f t="shared" si="339"/>
        <v>0.00254840207407568</v>
      </c>
      <c r="BJ236" s="144">
        <f t="shared" si="339"/>
        <v>0.00167604998613466</v>
      </c>
      <c r="BK236" s="144">
        <f t="shared" si="339"/>
        <v>0.00029902887447731</v>
      </c>
      <c r="BL236" s="144">
        <f t="shared" si="339"/>
        <v>0.000307808960539661</v>
      </c>
      <c r="BM236" s="144">
        <f t="shared" si="339"/>
        <v>0.00578721617644596</v>
      </c>
      <c r="BN236" s="144">
        <f t="shared" si="339"/>
        <v>0.0145483857436464</v>
      </c>
      <c r="BO236" s="9">
        <f t="shared" ref="BO236:CT236" si="340">BO24/BO$211</f>
        <v>0.0029781291541935</v>
      </c>
      <c r="BP236" s="144">
        <f t="shared" si="340"/>
        <v>0.00193775857953139</v>
      </c>
      <c r="BQ236" s="144">
        <f t="shared" si="340"/>
        <v>0.00173173680334433</v>
      </c>
      <c r="BR236" s="144">
        <f t="shared" si="340"/>
        <v>0.00215240726284515</v>
      </c>
      <c r="BS236" s="144">
        <f t="shared" si="340"/>
        <v>0.00211305825250891</v>
      </c>
      <c r="BT236" s="144">
        <f t="shared" si="340"/>
        <v>0.00208826100729507</v>
      </c>
      <c r="BU236" s="144">
        <f t="shared" si="340"/>
        <v>0.00484716872755096</v>
      </c>
      <c r="BV236" s="144">
        <f t="shared" si="340"/>
        <v>0.00428581186865233</v>
      </c>
      <c r="BW236" s="144">
        <f t="shared" si="340"/>
        <v>0.00261352891068596</v>
      </c>
      <c r="BX236" s="144">
        <f t="shared" si="340"/>
        <v>0.00237484751609353</v>
      </c>
      <c r="BY236" s="144">
        <f t="shared" si="340"/>
        <v>0.00199705808648387</v>
      </c>
      <c r="BZ236" s="144">
        <f t="shared" si="340"/>
        <v>0.0136760247496071</v>
      </c>
      <c r="CA236" s="144">
        <f t="shared" si="340"/>
        <v>0.00609279121876369</v>
      </c>
      <c r="CB236" s="9">
        <f t="shared" si="340"/>
        <v>0.00364025229917121</v>
      </c>
      <c r="CC236" s="144">
        <f t="shared" si="340"/>
        <v>0.00219759248218665</v>
      </c>
      <c r="CD236" s="144">
        <f t="shared" si="340"/>
        <v>0.00251363367591722</v>
      </c>
      <c r="CE236" s="144">
        <f t="shared" si="340"/>
        <v>0.00267800495489703</v>
      </c>
      <c r="CF236" s="144">
        <f t="shared" si="340"/>
        <v>0.0022955681609806</v>
      </c>
      <c r="CG236" s="144">
        <f t="shared" si="340"/>
        <v>0.0170540630001057</v>
      </c>
      <c r="CH236" s="144">
        <f t="shared" si="340"/>
        <v>0.0135526633661713</v>
      </c>
      <c r="CI236" s="144">
        <f t="shared" si="340"/>
        <v>0.0139888828948106</v>
      </c>
      <c r="CJ236" s="144">
        <f t="shared" si="340"/>
        <v>0.00816643913502918</v>
      </c>
      <c r="CK236" s="144">
        <f t="shared" si="340"/>
        <v>0.00333764587988736</v>
      </c>
      <c r="CL236" s="144">
        <f t="shared" si="340"/>
        <v>0.00198704375101814</v>
      </c>
      <c r="CM236" s="144">
        <f t="shared" si="340"/>
        <v>0.00583962449682159</v>
      </c>
      <c r="CN236" s="144">
        <f t="shared" si="340"/>
        <v>0.0114978689901897</v>
      </c>
      <c r="CO236" s="9">
        <f t="shared" si="340"/>
        <v>0.00714939880563736</v>
      </c>
      <c r="CP236" s="144">
        <f t="shared" si="340"/>
        <v>0.00213204083483265</v>
      </c>
      <c r="CQ236" s="144">
        <f t="shared" si="340"/>
        <v>0.00128723610692567</v>
      </c>
      <c r="CR236" s="144">
        <f t="shared" si="340"/>
        <v>0.00163606673859921</v>
      </c>
      <c r="CS236" s="144">
        <f t="shared" si="340"/>
        <v>0.000992047922527467</v>
      </c>
      <c r="CT236" s="144">
        <f t="shared" si="340"/>
        <v>0.00106643715534971</v>
      </c>
      <c r="CU236" s="144">
        <f t="shared" ref="CU236:EB236" si="341">CU24/CU$211</f>
        <v>0.00452721128312025</v>
      </c>
      <c r="CV236" s="144">
        <f t="shared" si="341"/>
        <v>0.00305095204625174</v>
      </c>
      <c r="CW236" s="144">
        <f t="shared" si="341"/>
        <v>0.00268164070038257</v>
      </c>
      <c r="CX236" s="144">
        <f t="shared" si="341"/>
        <v>0</v>
      </c>
      <c r="CY236" s="144">
        <f t="shared" si="341"/>
        <v>0</v>
      </c>
      <c r="CZ236" s="144">
        <f t="shared" si="341"/>
        <v>0.0052308119423086</v>
      </c>
      <c r="DA236" s="144">
        <f t="shared" si="341"/>
        <v>0.0112504218908209</v>
      </c>
      <c r="DB236" s="9">
        <f t="shared" si="341"/>
        <v>0.00276145213250181</v>
      </c>
      <c r="DC236" s="144">
        <f t="shared" si="341"/>
        <v>0.00216234539588164</v>
      </c>
      <c r="DD236" s="144">
        <f t="shared" si="341"/>
        <v>0.00886579229246153</v>
      </c>
      <c r="DE236" s="144">
        <f t="shared" si="341"/>
        <v>0.000478247005141297</v>
      </c>
      <c r="DF236" s="144">
        <f t="shared" si="341"/>
        <v>0.000568438660206308</v>
      </c>
      <c r="DG236" s="144">
        <f t="shared" si="341"/>
        <v>0.000672304812723452</v>
      </c>
      <c r="DH236" s="144">
        <f t="shared" si="341"/>
        <v>0.0079011577207318</v>
      </c>
      <c r="DI236" s="144">
        <f t="shared" si="341"/>
        <v>0.00175837306602854</v>
      </c>
      <c r="DJ236" s="144">
        <f t="shared" si="341"/>
        <v>0.000286244005037618</v>
      </c>
      <c r="DK236" s="144">
        <f t="shared" si="341"/>
        <v>0.000286526407145719</v>
      </c>
      <c r="DL236" s="144">
        <f t="shared" si="341"/>
        <v>0.000283096183295889</v>
      </c>
      <c r="DM236" s="144">
        <f t="shared" si="341"/>
        <v>0.00914306223388339</v>
      </c>
      <c r="DN236" s="144">
        <f t="shared" si="341"/>
        <v>0.0122866682516875</v>
      </c>
      <c r="DO236" s="9">
        <f t="shared" si="341"/>
        <v>0.00380986586946874</v>
      </c>
      <c r="DP236" s="144">
        <f t="shared" si="341"/>
        <v>0.00602825978701068</v>
      </c>
      <c r="DQ236" s="144">
        <f t="shared" si="341"/>
        <v>0.00269129272819681</v>
      </c>
      <c r="DR236" s="144">
        <f t="shared" si="341"/>
        <v>0.00231366287598861</v>
      </c>
      <c r="DS236" s="144">
        <f t="shared" si="341"/>
        <v>0.00939087564563739</v>
      </c>
      <c r="DT236" s="144">
        <f t="shared" si="341"/>
        <v>0.00174892668319416</v>
      </c>
      <c r="DU236" s="144">
        <f t="shared" si="341"/>
        <v>0.00460574579974205</v>
      </c>
      <c r="DV236" s="144">
        <f t="shared" si="341"/>
        <v>0.0054892155205214</v>
      </c>
      <c r="DW236" s="144">
        <f t="shared" si="341"/>
        <v>0.00281646939862978</v>
      </c>
      <c r="DX236" s="144">
        <f t="shared" si="341"/>
        <v>0.00170859762104149</v>
      </c>
      <c r="DY236" s="144">
        <f t="shared" si="341"/>
        <v>0</v>
      </c>
      <c r="DZ236" s="144">
        <f t="shared" si="341"/>
        <v>0.0106759077176744</v>
      </c>
      <c r="EA236" s="144">
        <f t="shared" si="341"/>
        <v>0.00837656082438346</v>
      </c>
      <c r="EB236" s="117">
        <f t="shared" si="341"/>
        <v>0.0047088750981659</v>
      </c>
      <c r="EC236" s="118"/>
      <c r="ED236" s="117">
        <f t="shared" ref="ED236:FB236" si="342">ED24/ED$211</f>
        <v>0</v>
      </c>
      <c r="EE236" s="117">
        <f t="shared" si="342"/>
        <v>0</v>
      </c>
      <c r="EF236" s="117">
        <f t="shared" si="342"/>
        <v>0</v>
      </c>
      <c r="EG236" s="117" t="e">
        <f t="shared" si="342"/>
        <v>#DIV/0!</v>
      </c>
      <c r="EH236" s="117" t="e">
        <f t="shared" si="342"/>
        <v>#DIV/0!</v>
      </c>
      <c r="EI236" s="117" t="e">
        <f t="shared" si="342"/>
        <v>#DIV/0!</v>
      </c>
      <c r="EJ236" s="117" t="e">
        <f t="shared" si="342"/>
        <v>#DIV/0!</v>
      </c>
      <c r="EK236" s="117" t="e">
        <f t="shared" si="342"/>
        <v>#DIV/0!</v>
      </c>
      <c r="EL236" s="117" t="e">
        <f t="shared" si="342"/>
        <v>#DIV/0!</v>
      </c>
      <c r="EM236" s="117" t="e">
        <f t="shared" si="342"/>
        <v>#DIV/0!</v>
      </c>
      <c r="EN236" s="117" t="e">
        <f t="shared" si="342"/>
        <v>#DIV/0!</v>
      </c>
      <c r="EO236" s="116">
        <f t="shared" si="342"/>
        <v>0</v>
      </c>
      <c r="EP236" s="117">
        <f t="shared" si="342"/>
        <v>0.00909164716135971</v>
      </c>
      <c r="EQ236" s="117">
        <f t="shared" si="342"/>
        <v>0.00587986877865896</v>
      </c>
      <c r="ER236" s="117">
        <f t="shared" si="342"/>
        <v>0.00549536742328667</v>
      </c>
      <c r="ES236" s="117">
        <f t="shared" si="342"/>
        <v>0.00381827752032198</v>
      </c>
      <c r="ET236" s="117">
        <f t="shared" si="342"/>
        <v>0.00572598194006319</v>
      </c>
      <c r="EU236" s="117">
        <f t="shared" si="342"/>
        <v>0.00738442205828873</v>
      </c>
      <c r="EV236" s="117">
        <f t="shared" si="342"/>
        <v>0.0135764856411585</v>
      </c>
      <c r="EW236" s="117">
        <f t="shared" si="342"/>
        <v>0.00428058733331049</v>
      </c>
      <c r="EX236" s="117">
        <f t="shared" si="342"/>
        <v>0.00592180928851453</v>
      </c>
      <c r="EY236" s="117">
        <f t="shared" si="342"/>
        <v>0.00335670284864524</v>
      </c>
      <c r="EZ236" s="117">
        <f t="shared" si="342"/>
        <v>0.00513866566296623</v>
      </c>
      <c r="FA236" s="117">
        <f t="shared" si="342"/>
        <v>0.00927273358490327</v>
      </c>
      <c r="FB236" s="117">
        <f t="shared" si="342"/>
        <v>0.00640612835854977</v>
      </c>
      <c r="FC236" s="118"/>
      <c r="FD236" s="117"/>
      <c r="FE236" s="117"/>
      <c r="FF236" s="117"/>
      <c r="FG236" s="117"/>
      <c r="FH236" s="117"/>
      <c r="FI236" s="117"/>
      <c r="FJ236" s="117"/>
      <c r="FK236" s="117" t="e">
        <f t="shared" si="211"/>
        <v>#DIV/0!</v>
      </c>
      <c r="FL236" s="117" t="e">
        <f t="shared" si="212"/>
        <v>#DIV/0!</v>
      </c>
      <c r="FM236" s="117" t="e">
        <f t="shared" si="213"/>
        <v>#DIV/0!</v>
      </c>
      <c r="FN236" s="117" t="e">
        <f t="shared" si="214"/>
        <v>#DIV/0!</v>
      </c>
      <c r="FO236" s="9" t="e">
        <f t="shared" si="215"/>
        <v>#DIV/0!</v>
      </c>
      <c r="FP236" s="118">
        <f t="shared" ref="FP236:GB236" si="343">FP24/FP$211</f>
        <v>0.00422368062817054</v>
      </c>
      <c r="FQ236" s="117">
        <f t="shared" si="343"/>
        <v>0.0016134600924934</v>
      </c>
      <c r="FR236" s="117">
        <f t="shared" si="343"/>
        <v>0.0023164790763289</v>
      </c>
      <c r="FS236" s="117">
        <f t="shared" si="343"/>
        <v>0.00177318968689689</v>
      </c>
      <c r="FT236" s="117">
        <f t="shared" si="343"/>
        <v>0.00149291788532127</v>
      </c>
      <c r="FU236" s="117">
        <f t="shared" si="343"/>
        <v>0.0181248428298937</v>
      </c>
      <c r="FV236" s="117">
        <f t="shared" si="343"/>
        <v>0.00768583895643975</v>
      </c>
      <c r="FW236" s="117">
        <f t="shared" si="343"/>
        <v>0.00409189327880744</v>
      </c>
      <c r="FX236" s="117">
        <f t="shared" si="343"/>
        <v>0.000711341606691537</v>
      </c>
      <c r="FY236" s="117">
        <f t="shared" si="343"/>
        <v>0.000420053201816607</v>
      </c>
      <c r="FZ236" s="117">
        <f t="shared" si="343"/>
        <v>0.0269538330088485</v>
      </c>
      <c r="GA236" s="117">
        <f t="shared" si="343"/>
        <v>0.00756676952201147</v>
      </c>
      <c r="GB236" s="116">
        <f t="shared" si="343"/>
        <v>0.00619490155428528</v>
      </c>
    </row>
    <row r="237" spans="1:184">
      <c r="A237" s="147" t="s">
        <v>75</v>
      </c>
      <c r="B237" s="160">
        <f t="shared" si="217"/>
        <v>2.16840968751763</v>
      </c>
      <c r="C237" s="117">
        <f t="shared" ref="C237:AH237" si="344">C25/C$211</f>
        <v>0.00393921909676339</v>
      </c>
      <c r="D237" s="117">
        <f t="shared" si="344"/>
        <v>0.00696480745730527</v>
      </c>
      <c r="E237" s="117">
        <f t="shared" si="344"/>
        <v>0.00829507844150821</v>
      </c>
      <c r="F237" s="117">
        <f t="shared" si="344"/>
        <v>0.00984841293836442</v>
      </c>
      <c r="G237" s="117">
        <f t="shared" si="344"/>
        <v>0.00796191377146862</v>
      </c>
      <c r="H237" s="117">
        <f t="shared" si="344"/>
        <v>0.00715731219771837</v>
      </c>
      <c r="I237" s="117">
        <f t="shared" si="344"/>
        <v>0.0052773806406744</v>
      </c>
      <c r="J237" s="117">
        <f t="shared" si="344"/>
        <v>0.0151656154888601</v>
      </c>
      <c r="K237" s="117">
        <f t="shared" si="344"/>
        <v>0.00981070700133058</v>
      </c>
      <c r="L237" s="117">
        <f t="shared" si="344"/>
        <v>0.00658990525806194</v>
      </c>
      <c r="M237" s="117">
        <f t="shared" si="344"/>
        <v>0.00297202306423385</v>
      </c>
      <c r="N237" s="117">
        <f t="shared" si="344"/>
        <v>0.00114588829028133</v>
      </c>
      <c r="O237" s="9">
        <f t="shared" si="344"/>
        <v>0.00696961225263786</v>
      </c>
      <c r="P237" s="117">
        <f t="shared" si="344"/>
        <v>0</v>
      </c>
      <c r="Q237" s="117">
        <f t="shared" si="344"/>
        <v>0</v>
      </c>
      <c r="R237" s="117">
        <f t="shared" si="344"/>
        <v>0</v>
      </c>
      <c r="S237" s="117">
        <f t="shared" si="344"/>
        <v>0</v>
      </c>
      <c r="T237" s="117">
        <f t="shared" si="344"/>
        <v>0</v>
      </c>
      <c r="U237" s="117">
        <f t="shared" si="344"/>
        <v>0</v>
      </c>
      <c r="V237" s="117">
        <f t="shared" si="344"/>
        <v>0</v>
      </c>
      <c r="W237" s="117">
        <f t="shared" si="344"/>
        <v>0</v>
      </c>
      <c r="X237" s="117">
        <f t="shared" si="344"/>
        <v>0</v>
      </c>
      <c r="Y237" s="117">
        <f t="shared" si="344"/>
        <v>0</v>
      </c>
      <c r="Z237" s="117">
        <f t="shared" si="344"/>
        <v>0</v>
      </c>
      <c r="AA237" s="117">
        <f t="shared" si="344"/>
        <v>0</v>
      </c>
      <c r="AB237" s="9">
        <f t="shared" si="344"/>
        <v>0</v>
      </c>
      <c r="AC237" s="117">
        <f t="shared" si="344"/>
        <v>0.0129131375270477</v>
      </c>
      <c r="AD237" s="117">
        <f t="shared" si="344"/>
        <v>0.0253025445368969</v>
      </c>
      <c r="AE237" s="117">
        <f t="shared" si="344"/>
        <v>0.000940499495597505</v>
      </c>
      <c r="AF237" s="117">
        <f t="shared" si="344"/>
        <v>0.0182869328552345</v>
      </c>
      <c r="AG237" s="117">
        <f t="shared" si="344"/>
        <v>0.0283137888854479</v>
      </c>
      <c r="AH237" s="117">
        <f t="shared" si="344"/>
        <v>0.0355227161282724</v>
      </c>
      <c r="AI237" s="117">
        <f t="shared" ref="AI237:BN237" si="345">AI25/AI$211</f>
        <v>0.0319005926771293</v>
      </c>
      <c r="AJ237" s="117">
        <f t="shared" si="345"/>
        <v>0.0394067395739477</v>
      </c>
      <c r="AK237" s="117">
        <f t="shared" si="345"/>
        <v>0.044469375985831</v>
      </c>
      <c r="AL237" s="117">
        <f t="shared" si="345"/>
        <v>0.0297039551852514</v>
      </c>
      <c r="AM237" s="117">
        <f t="shared" si="345"/>
        <v>0.0152762644933855</v>
      </c>
      <c r="AN237" s="117">
        <f t="shared" si="345"/>
        <v>0</v>
      </c>
      <c r="AO237" s="9">
        <f t="shared" si="345"/>
        <v>0.0240410251504895</v>
      </c>
      <c r="AP237" s="144">
        <f t="shared" si="345"/>
        <v>0.00931007578752294</v>
      </c>
      <c r="AQ237" s="144">
        <f t="shared" si="345"/>
        <v>1.527244951901e-5</v>
      </c>
      <c r="AR237" s="144">
        <f t="shared" si="345"/>
        <v>0.0205091134263052</v>
      </c>
      <c r="AS237" s="144">
        <f t="shared" si="345"/>
        <v>0.0213870737409156</v>
      </c>
      <c r="AT237" s="144">
        <f t="shared" si="345"/>
        <v>0.00904965829464985</v>
      </c>
      <c r="AU237" s="144">
        <f t="shared" si="345"/>
        <v>0.00763340976417455</v>
      </c>
      <c r="AV237" s="144">
        <f t="shared" si="345"/>
        <v>0.00466058842630673</v>
      </c>
      <c r="AW237" s="144">
        <f t="shared" si="345"/>
        <v>0.0264969841393506</v>
      </c>
      <c r="AX237" s="144">
        <f t="shared" si="345"/>
        <v>0.0200014304501925</v>
      </c>
      <c r="AY237" s="144">
        <f t="shared" si="345"/>
        <v>0.0214068685942303</v>
      </c>
      <c r="AZ237" s="144">
        <f t="shared" si="345"/>
        <v>0.0097076639858376</v>
      </c>
      <c r="BA237" s="144">
        <f t="shared" si="345"/>
        <v>0.0091057915869757</v>
      </c>
      <c r="BB237" s="9">
        <f t="shared" si="345"/>
        <v>0.0134964128744786</v>
      </c>
      <c r="BC237" s="144">
        <f t="shared" si="345"/>
        <v>0.00271729720061079</v>
      </c>
      <c r="BD237" s="144">
        <f t="shared" si="345"/>
        <v>0.0126232997735645</v>
      </c>
      <c r="BE237" s="144">
        <f t="shared" si="345"/>
        <v>0.0138909459487221</v>
      </c>
      <c r="BF237" s="144">
        <f t="shared" si="345"/>
        <v>0.0136131188730492</v>
      </c>
      <c r="BG237" s="144">
        <f t="shared" si="345"/>
        <v>0.00647836477051477</v>
      </c>
      <c r="BH237" s="144">
        <f t="shared" si="345"/>
        <v>0.00620603446736797</v>
      </c>
      <c r="BI237" s="144">
        <f t="shared" si="345"/>
        <v>0.00411783019121772</v>
      </c>
      <c r="BJ237" s="144">
        <f t="shared" si="345"/>
        <v>0.00951807181294627</v>
      </c>
      <c r="BK237" s="144">
        <f t="shared" si="345"/>
        <v>0.00465878318932041</v>
      </c>
      <c r="BL237" s="144">
        <f t="shared" si="345"/>
        <v>0.00191822975408774</v>
      </c>
      <c r="BM237" s="144">
        <f t="shared" si="345"/>
        <v>0</v>
      </c>
      <c r="BN237" s="144">
        <f t="shared" si="345"/>
        <v>0</v>
      </c>
      <c r="BO237" s="9">
        <f t="shared" ref="BO237:CT237" si="346">BO25/BO$211</f>
        <v>0.00607259573463367</v>
      </c>
      <c r="BP237" s="144">
        <f t="shared" si="346"/>
        <v>0.000641394547288951</v>
      </c>
      <c r="BQ237" s="144">
        <f t="shared" si="346"/>
        <v>0.000229066088920384</v>
      </c>
      <c r="BR237" s="144">
        <f t="shared" si="346"/>
        <v>0.00206725554651459</v>
      </c>
      <c r="BS237" s="144">
        <f t="shared" si="346"/>
        <v>0.00515608305330068</v>
      </c>
      <c r="BT237" s="144">
        <f t="shared" si="346"/>
        <v>0.00184074287684599</v>
      </c>
      <c r="BU237" s="144">
        <f t="shared" si="346"/>
        <v>0.00118680604636167</v>
      </c>
      <c r="BV237" s="144">
        <f t="shared" si="346"/>
        <v>0.0010359764898018</v>
      </c>
      <c r="BW237" s="144">
        <f t="shared" si="346"/>
        <v>0.00574496535961979</v>
      </c>
      <c r="BX237" s="144">
        <f t="shared" si="346"/>
        <v>0.00314797614450504</v>
      </c>
      <c r="BY237" s="144">
        <f t="shared" si="346"/>
        <v>0.00150078075501139</v>
      </c>
      <c r="BZ237" s="144">
        <f t="shared" si="346"/>
        <v>0.000877429529247359</v>
      </c>
      <c r="CA237" s="144">
        <f t="shared" si="346"/>
        <v>0.00101776108277913</v>
      </c>
      <c r="CB237" s="9">
        <f t="shared" si="346"/>
        <v>0.00190918513417294</v>
      </c>
      <c r="CC237" s="144">
        <f t="shared" si="346"/>
        <v>0.00142734639255914</v>
      </c>
      <c r="CD237" s="144">
        <f t="shared" si="346"/>
        <v>0.00733081342969851</v>
      </c>
      <c r="CE237" s="144">
        <f t="shared" si="346"/>
        <v>0.0115822008601242</v>
      </c>
      <c r="CF237" s="144">
        <f t="shared" si="346"/>
        <v>0.0133396257727088</v>
      </c>
      <c r="CG237" s="144">
        <f t="shared" si="346"/>
        <v>0.00596726182993593</v>
      </c>
      <c r="CH237" s="144">
        <f t="shared" si="346"/>
        <v>0.00362559301196011</v>
      </c>
      <c r="CI237" s="144">
        <f t="shared" si="346"/>
        <v>0.00451832057091932</v>
      </c>
      <c r="CJ237" s="144">
        <f t="shared" si="346"/>
        <v>0.00917528095263399</v>
      </c>
      <c r="CK237" s="144">
        <f t="shared" si="346"/>
        <v>0.0123477972306344</v>
      </c>
      <c r="CL237" s="144">
        <f t="shared" si="346"/>
        <v>0.00653209427710121</v>
      </c>
      <c r="CM237" s="144">
        <f t="shared" si="346"/>
        <v>0</v>
      </c>
      <c r="CN237" s="144">
        <f t="shared" si="346"/>
        <v>0</v>
      </c>
      <c r="CO237" s="9">
        <f t="shared" si="346"/>
        <v>0.00609883405594135</v>
      </c>
      <c r="CP237" s="144">
        <f t="shared" si="346"/>
        <v>0.00125253278239197</v>
      </c>
      <c r="CQ237" s="144">
        <f t="shared" si="346"/>
        <v>0.0110736983388499</v>
      </c>
      <c r="CR237" s="144">
        <f t="shared" si="346"/>
        <v>0.0150422913489918</v>
      </c>
      <c r="CS237" s="144">
        <f t="shared" si="346"/>
        <v>0.0154924722374511</v>
      </c>
      <c r="CT237" s="144">
        <f t="shared" si="346"/>
        <v>0.00959176705074293</v>
      </c>
      <c r="CU237" s="144">
        <f t="shared" ref="CU237:EB237" si="347">CU25/CU$211</f>
        <v>0.0095796402808459</v>
      </c>
      <c r="CV237" s="144">
        <f t="shared" si="347"/>
        <v>0.00612181085731161</v>
      </c>
      <c r="CW237" s="144">
        <f t="shared" si="347"/>
        <v>0.0165748225276822</v>
      </c>
      <c r="CX237" s="144">
        <f t="shared" si="347"/>
        <v>0.0114770073872074</v>
      </c>
      <c r="CY237" s="144">
        <f t="shared" si="347"/>
        <v>0.00504954483713084</v>
      </c>
      <c r="CZ237" s="144">
        <f t="shared" si="347"/>
        <v>0</v>
      </c>
      <c r="DA237" s="144">
        <f t="shared" si="347"/>
        <v>0</v>
      </c>
      <c r="DB237" s="9">
        <f t="shared" si="347"/>
        <v>0.00832815435403569</v>
      </c>
      <c r="DC237" s="144">
        <f t="shared" si="347"/>
        <v>0.0126467658261603</v>
      </c>
      <c r="DD237" s="144">
        <f t="shared" si="347"/>
        <v>0.0129759745600112</v>
      </c>
      <c r="DE237" s="144">
        <f t="shared" si="347"/>
        <v>0.0136785524689449</v>
      </c>
      <c r="DF237" s="144">
        <f t="shared" si="347"/>
        <v>0.00498614042899813</v>
      </c>
      <c r="DG237" s="144">
        <f t="shared" si="347"/>
        <v>0.00431200964427071</v>
      </c>
      <c r="DH237" s="144">
        <f t="shared" si="347"/>
        <v>0.00483435755748232</v>
      </c>
      <c r="DI237" s="144">
        <f t="shared" si="347"/>
        <v>0.00293062177671423</v>
      </c>
      <c r="DJ237" s="144">
        <f t="shared" si="347"/>
        <v>0.0156687479279287</v>
      </c>
      <c r="DK237" s="144">
        <f t="shared" si="347"/>
        <v>0.0106471551872699</v>
      </c>
      <c r="DL237" s="144">
        <f t="shared" si="347"/>
        <v>0.0052598450287729</v>
      </c>
      <c r="DM237" s="144">
        <f t="shared" si="347"/>
        <v>0.00276709942357798</v>
      </c>
      <c r="DN237" s="144">
        <f t="shared" si="347"/>
        <v>0.000285303755465738</v>
      </c>
      <c r="DO237" s="9">
        <f t="shared" si="347"/>
        <v>0.00811357838486202</v>
      </c>
      <c r="DP237" s="144">
        <f t="shared" si="347"/>
        <v>0.00711530518874504</v>
      </c>
      <c r="DQ237" s="144">
        <f t="shared" si="347"/>
        <v>0.0125646781588455</v>
      </c>
      <c r="DR237" s="144">
        <f t="shared" si="347"/>
        <v>0.0136406301375426</v>
      </c>
      <c r="DS237" s="144">
        <f t="shared" si="347"/>
        <v>0.0140116527889071</v>
      </c>
      <c r="DT237" s="144">
        <f t="shared" si="347"/>
        <v>0.0189920059361432</v>
      </c>
      <c r="DU237" s="144">
        <f t="shared" si="347"/>
        <v>0.0121931111072825</v>
      </c>
      <c r="DV237" s="144">
        <f t="shared" si="347"/>
        <v>0.00720161658841906</v>
      </c>
      <c r="DW237" s="144">
        <f t="shared" si="347"/>
        <v>0.0225335858483809</v>
      </c>
      <c r="DX237" s="144">
        <f t="shared" si="347"/>
        <v>0.01554062624184</v>
      </c>
      <c r="DY237" s="144">
        <f t="shared" si="347"/>
        <v>0.015216949459587</v>
      </c>
      <c r="DZ237" s="144">
        <f t="shared" si="347"/>
        <v>0.00852601346755184</v>
      </c>
      <c r="EA237" s="144">
        <f t="shared" si="347"/>
        <v>0.00217855516014004</v>
      </c>
      <c r="EB237" s="117">
        <f t="shared" si="347"/>
        <v>0.0123347148555281</v>
      </c>
      <c r="EC237" s="118"/>
      <c r="ED237" s="117">
        <f t="shared" ref="ED237:FB237" si="348">ED25/ED$211</f>
        <v>0</v>
      </c>
      <c r="EE237" s="117">
        <f t="shared" si="348"/>
        <v>0</v>
      </c>
      <c r="EF237" s="117">
        <f t="shared" si="348"/>
        <v>0</v>
      </c>
      <c r="EG237" s="117" t="e">
        <f t="shared" si="348"/>
        <v>#DIV/0!</v>
      </c>
      <c r="EH237" s="117" t="e">
        <f t="shared" si="348"/>
        <v>#DIV/0!</v>
      </c>
      <c r="EI237" s="117" t="e">
        <f t="shared" si="348"/>
        <v>#DIV/0!</v>
      </c>
      <c r="EJ237" s="117" t="e">
        <f t="shared" si="348"/>
        <v>#DIV/0!</v>
      </c>
      <c r="EK237" s="117" t="e">
        <f t="shared" si="348"/>
        <v>#DIV/0!</v>
      </c>
      <c r="EL237" s="117" t="e">
        <f t="shared" si="348"/>
        <v>#DIV/0!</v>
      </c>
      <c r="EM237" s="117" t="e">
        <f t="shared" si="348"/>
        <v>#DIV/0!</v>
      </c>
      <c r="EN237" s="117" t="e">
        <f t="shared" si="348"/>
        <v>#DIV/0!</v>
      </c>
      <c r="EO237" s="116">
        <f t="shared" si="348"/>
        <v>0</v>
      </c>
      <c r="EP237" s="117">
        <f t="shared" si="348"/>
        <v>0.010799715671223</v>
      </c>
      <c r="EQ237" s="117">
        <f t="shared" si="348"/>
        <v>0</v>
      </c>
      <c r="ER237" s="117">
        <f t="shared" si="348"/>
        <v>0.0143567635917589</v>
      </c>
      <c r="ES237" s="117">
        <f t="shared" si="348"/>
        <v>0.00869053689743141</v>
      </c>
      <c r="ET237" s="117">
        <f t="shared" si="348"/>
        <v>0.00626093920465382</v>
      </c>
      <c r="EU237" s="117">
        <f t="shared" si="348"/>
        <v>0.0059906092621736</v>
      </c>
      <c r="EV237" s="117">
        <f t="shared" si="348"/>
        <v>0.00378706558319481</v>
      </c>
      <c r="EW237" s="117">
        <f t="shared" si="348"/>
        <v>0.00973695816669263</v>
      </c>
      <c r="EX237" s="117">
        <f t="shared" si="348"/>
        <v>0.00850880296986916</v>
      </c>
      <c r="EY237" s="117">
        <f t="shared" si="348"/>
        <v>0</v>
      </c>
      <c r="EZ237" s="117">
        <f t="shared" si="348"/>
        <v>0</v>
      </c>
      <c r="FA237" s="117">
        <f t="shared" si="348"/>
        <v>0</v>
      </c>
      <c r="FB237" s="117">
        <f t="shared" si="348"/>
        <v>0.00546817369114426</v>
      </c>
      <c r="FC237" s="118"/>
      <c r="FD237" s="117"/>
      <c r="FE237" s="117"/>
      <c r="FF237" s="117"/>
      <c r="FG237" s="117"/>
      <c r="FH237" s="117"/>
      <c r="FI237" s="117"/>
      <c r="FJ237" s="117"/>
      <c r="FK237" s="117" t="e">
        <f t="shared" si="211"/>
        <v>#DIV/0!</v>
      </c>
      <c r="FL237" s="117" t="e">
        <f t="shared" si="212"/>
        <v>#DIV/0!</v>
      </c>
      <c r="FM237" s="117" t="e">
        <f t="shared" si="213"/>
        <v>#DIV/0!</v>
      </c>
      <c r="FN237" s="117" t="e">
        <f t="shared" si="214"/>
        <v>#DIV/0!</v>
      </c>
      <c r="FO237" s="9" t="e">
        <f t="shared" si="215"/>
        <v>#DIV/0!</v>
      </c>
      <c r="FP237" s="118">
        <f t="shared" ref="FP237:GB237" si="349">FP25/FP$211</f>
        <v>0.00479360250545223</v>
      </c>
      <c r="FQ237" s="117">
        <f t="shared" si="349"/>
        <v>0.00824751964851663</v>
      </c>
      <c r="FR237" s="117">
        <f t="shared" si="349"/>
        <v>0.00968094675736128</v>
      </c>
      <c r="FS237" s="117">
        <f t="shared" si="349"/>
        <v>0.00764746495581976</v>
      </c>
      <c r="FT237" s="117">
        <f t="shared" si="349"/>
        <v>0.00507382274150712</v>
      </c>
      <c r="FU237" s="117">
        <f t="shared" si="349"/>
        <v>0.00156231633448639</v>
      </c>
      <c r="FV237" s="117">
        <f t="shared" si="349"/>
        <v>0.00110841326613018</v>
      </c>
      <c r="FW237" s="117">
        <f t="shared" si="349"/>
        <v>0.016638587180343</v>
      </c>
      <c r="FX237" s="117">
        <f t="shared" si="349"/>
        <v>0.000493994563510478</v>
      </c>
      <c r="FY237" s="117">
        <f t="shared" si="349"/>
        <v>0.000265803630954643</v>
      </c>
      <c r="FZ237" s="117">
        <f t="shared" si="349"/>
        <v>0.000243768097177563</v>
      </c>
      <c r="GA237" s="117">
        <f t="shared" si="349"/>
        <v>0.000231590422027091</v>
      </c>
      <c r="GB237" s="116">
        <f t="shared" si="349"/>
        <v>0.00485416044185576</v>
      </c>
    </row>
    <row r="238" spans="1:184">
      <c r="A238" s="147" t="s">
        <v>77</v>
      </c>
      <c r="B238" s="160">
        <f t="shared" si="217"/>
        <v>0.228695874723228</v>
      </c>
      <c r="C238" s="117">
        <f t="shared" ref="C238:AH238" si="350">C26/C$211</f>
        <v>0.00956496920513167</v>
      </c>
      <c r="D238" s="117">
        <f t="shared" si="350"/>
        <v>0.00913180287751753</v>
      </c>
      <c r="E238" s="117">
        <f t="shared" si="350"/>
        <v>0.00758196447120931</v>
      </c>
      <c r="F238" s="117">
        <f t="shared" si="350"/>
        <v>0.00607464014860518</v>
      </c>
      <c r="G238" s="117">
        <f t="shared" si="350"/>
        <v>0.00614039180411441</v>
      </c>
      <c r="H238" s="117">
        <f t="shared" si="350"/>
        <v>0.00546822483110665</v>
      </c>
      <c r="I238" s="117">
        <f t="shared" si="350"/>
        <v>0.0245643983613667</v>
      </c>
      <c r="J238" s="117">
        <f t="shared" si="350"/>
        <v>0.017990740559705</v>
      </c>
      <c r="K238" s="117">
        <f t="shared" si="350"/>
        <v>0.011151876221084</v>
      </c>
      <c r="L238" s="117">
        <f t="shared" si="350"/>
        <v>0.00804984497327504</v>
      </c>
      <c r="M238" s="117">
        <f t="shared" si="350"/>
        <v>0.0167132021335967</v>
      </c>
      <c r="N238" s="117">
        <f t="shared" si="350"/>
        <v>0.0107040453588789</v>
      </c>
      <c r="O238" s="9">
        <f t="shared" si="350"/>
        <v>0.0111979661120327</v>
      </c>
      <c r="P238" s="117">
        <f t="shared" si="350"/>
        <v>0.00798063107208208</v>
      </c>
      <c r="Q238" s="117">
        <f t="shared" si="350"/>
        <v>0.00870128329014357</v>
      </c>
      <c r="R238" s="117">
        <f t="shared" si="350"/>
        <v>0.0104137923748918</v>
      </c>
      <c r="S238" s="117">
        <f t="shared" si="350"/>
        <v>0.0104717407858536</v>
      </c>
      <c r="T238" s="117">
        <f t="shared" si="350"/>
        <v>0.00735880000776992</v>
      </c>
      <c r="U238" s="117">
        <f t="shared" si="350"/>
        <v>0.00614294189514286</v>
      </c>
      <c r="V238" s="117">
        <f t="shared" si="350"/>
        <v>0.0292250885251674</v>
      </c>
      <c r="W238" s="117">
        <f t="shared" si="350"/>
        <v>0.0293111356443839</v>
      </c>
      <c r="X238" s="117">
        <f t="shared" si="350"/>
        <v>0.0213170707202393</v>
      </c>
      <c r="Y238" s="117">
        <f t="shared" si="350"/>
        <v>0.0173921238628326</v>
      </c>
      <c r="Z238" s="117">
        <f t="shared" si="350"/>
        <v>0.0250432486810705</v>
      </c>
      <c r="AA238" s="117">
        <f t="shared" si="350"/>
        <v>0.0260340503692055</v>
      </c>
      <c r="AB238" s="9">
        <f t="shared" si="350"/>
        <v>0.0169600773636481</v>
      </c>
      <c r="AC238" s="117">
        <f t="shared" si="350"/>
        <v>0.0409568035559131</v>
      </c>
      <c r="AD238" s="117">
        <f t="shared" si="350"/>
        <v>0.0495059083147631</v>
      </c>
      <c r="AE238" s="117">
        <f t="shared" si="350"/>
        <v>0.0407265206185319</v>
      </c>
      <c r="AF238" s="117">
        <f t="shared" si="350"/>
        <v>0.0308181612842818</v>
      </c>
      <c r="AG238" s="117">
        <f t="shared" si="350"/>
        <v>0.0290354091905385</v>
      </c>
      <c r="AH238" s="117">
        <f t="shared" si="350"/>
        <v>0.029485316226636</v>
      </c>
      <c r="AI238" s="117">
        <f t="shared" ref="AI238:BN238" si="351">AI26/AI$211</f>
        <v>0.0495006178825358</v>
      </c>
      <c r="AJ238" s="117">
        <f t="shared" si="351"/>
        <v>0.0368250227408738</v>
      </c>
      <c r="AK238" s="117">
        <f t="shared" si="351"/>
        <v>0.0151392348196958</v>
      </c>
      <c r="AL238" s="117">
        <f t="shared" si="351"/>
        <v>0.0163947411565108</v>
      </c>
      <c r="AM238" s="117">
        <f t="shared" si="351"/>
        <v>0.0286009565925773</v>
      </c>
      <c r="AN238" s="117">
        <f t="shared" si="351"/>
        <v>0.0302409050952494</v>
      </c>
      <c r="AO238" s="9">
        <f t="shared" si="351"/>
        <v>0.0324819069508913</v>
      </c>
      <c r="AP238" s="144">
        <f t="shared" si="351"/>
        <v>0.00844891678177897</v>
      </c>
      <c r="AQ238" s="144">
        <f t="shared" si="351"/>
        <v>0.00700410281547404</v>
      </c>
      <c r="AR238" s="144">
        <f t="shared" si="351"/>
        <v>0.00736571124919725</v>
      </c>
      <c r="AS238" s="144">
        <f t="shared" si="351"/>
        <v>0.00577053116229515</v>
      </c>
      <c r="AT238" s="144">
        <f t="shared" si="351"/>
        <v>0.00498303454174509</v>
      </c>
      <c r="AU238" s="144">
        <f t="shared" si="351"/>
        <v>0.00379792524632821</v>
      </c>
      <c r="AV238" s="144">
        <f t="shared" si="351"/>
        <v>0.0151533854249778</v>
      </c>
      <c r="AW238" s="144">
        <f t="shared" si="351"/>
        <v>0.0115854256966393</v>
      </c>
      <c r="AX238" s="144">
        <f t="shared" si="351"/>
        <v>0.00801513033942269</v>
      </c>
      <c r="AY238" s="144">
        <f t="shared" si="351"/>
        <v>0.00857832855349595</v>
      </c>
      <c r="AZ238" s="144">
        <f t="shared" si="351"/>
        <v>0.0154131390280634</v>
      </c>
      <c r="BA238" s="144">
        <f t="shared" si="351"/>
        <v>0.00939716738788809</v>
      </c>
      <c r="BB238" s="9">
        <f t="shared" si="351"/>
        <v>0.00907981406574322</v>
      </c>
      <c r="BC238" s="144">
        <f t="shared" si="351"/>
        <v>0.00445449444796079</v>
      </c>
      <c r="BD238" s="144">
        <f t="shared" si="351"/>
        <v>0.00334944116533377</v>
      </c>
      <c r="BE238" s="144">
        <f t="shared" si="351"/>
        <v>0.00423813972823327</v>
      </c>
      <c r="BF238" s="144">
        <f t="shared" si="351"/>
        <v>0.00297677379139134</v>
      </c>
      <c r="BG238" s="144">
        <f t="shared" si="351"/>
        <v>0.00247216258720161</v>
      </c>
      <c r="BH238" s="144">
        <f t="shared" si="351"/>
        <v>0.00196170099353311</v>
      </c>
      <c r="BI238" s="144">
        <f t="shared" si="351"/>
        <v>0.0101533173544201</v>
      </c>
      <c r="BJ238" s="144">
        <f t="shared" si="351"/>
        <v>0.00545557892766233</v>
      </c>
      <c r="BK238" s="144">
        <f t="shared" si="351"/>
        <v>0.00270830596072493</v>
      </c>
      <c r="BL238" s="144">
        <f t="shared" si="351"/>
        <v>0.000140967581928308</v>
      </c>
      <c r="BM238" s="144">
        <f t="shared" si="351"/>
        <v>0.00954741623811026</v>
      </c>
      <c r="BN238" s="144">
        <f t="shared" si="351"/>
        <v>0.00729627603172551</v>
      </c>
      <c r="BO238" s="9">
        <f t="shared" ref="BO238:CT238" si="352">BO26/BO$211</f>
        <v>0.00466517782093779</v>
      </c>
      <c r="BP238" s="144">
        <f t="shared" si="352"/>
        <v>0.000662251009204299</v>
      </c>
      <c r="BQ238" s="144">
        <f t="shared" si="352"/>
        <v>0.000506172434072863</v>
      </c>
      <c r="BR238" s="144">
        <f t="shared" si="352"/>
        <v>0.000435266583656265</v>
      </c>
      <c r="BS238" s="144">
        <f t="shared" si="352"/>
        <v>0.000505208996314545</v>
      </c>
      <c r="BT238" s="144">
        <f t="shared" si="352"/>
        <v>0.000561298767550343</v>
      </c>
      <c r="BU238" s="144">
        <f t="shared" si="352"/>
        <v>0.000293038529965844</v>
      </c>
      <c r="BV238" s="144">
        <f t="shared" si="352"/>
        <v>0.0109861781268544</v>
      </c>
      <c r="BW238" s="144">
        <f t="shared" si="352"/>
        <v>0.00459443498625556</v>
      </c>
      <c r="BX238" s="144">
        <f t="shared" si="352"/>
        <v>0.00260805201769671</v>
      </c>
      <c r="BY238" s="144">
        <f t="shared" si="352"/>
        <v>0.00022665690198804</v>
      </c>
      <c r="BZ238" s="144">
        <f t="shared" si="352"/>
        <v>0.0117828583108976</v>
      </c>
      <c r="CA238" s="144">
        <f t="shared" si="352"/>
        <v>0.00584715576487807</v>
      </c>
      <c r="CB238" s="9">
        <f t="shared" si="352"/>
        <v>0.00299324829290174</v>
      </c>
      <c r="CC238" s="144">
        <f t="shared" si="352"/>
        <v>0.0118221609963501</v>
      </c>
      <c r="CD238" s="144">
        <f t="shared" si="352"/>
        <v>0.00996312487211207</v>
      </c>
      <c r="CE238" s="144">
        <f t="shared" si="352"/>
        <v>0.0123101521028466</v>
      </c>
      <c r="CF238" s="144">
        <f t="shared" si="352"/>
        <v>0.0080178085369249</v>
      </c>
      <c r="CG238" s="144">
        <f t="shared" si="352"/>
        <v>0.00375052032513894</v>
      </c>
      <c r="CH238" s="144">
        <f t="shared" si="352"/>
        <v>0.00583081315052788</v>
      </c>
      <c r="CI238" s="144">
        <f t="shared" si="352"/>
        <v>0.0154116136504663</v>
      </c>
      <c r="CJ238" s="144">
        <f t="shared" si="352"/>
        <v>0.0129673978428371</v>
      </c>
      <c r="CK238" s="144">
        <f t="shared" si="352"/>
        <v>0.00736139070191273</v>
      </c>
      <c r="CL238" s="144">
        <f t="shared" si="352"/>
        <v>0.00420063119551952</v>
      </c>
      <c r="CM238" s="144">
        <f t="shared" si="352"/>
        <v>0.00680274294303709</v>
      </c>
      <c r="CN238" s="144">
        <f t="shared" si="352"/>
        <v>0.00703526813758129</v>
      </c>
      <c r="CO238" s="9">
        <f t="shared" si="352"/>
        <v>0.00878961450100169</v>
      </c>
      <c r="CP238" s="144">
        <f t="shared" si="352"/>
        <v>0.00609282368478641</v>
      </c>
      <c r="CQ238" s="144">
        <f t="shared" si="352"/>
        <v>0.00470185440102053</v>
      </c>
      <c r="CR238" s="144">
        <f t="shared" si="352"/>
        <v>0.00472469749845249</v>
      </c>
      <c r="CS238" s="144">
        <f t="shared" si="352"/>
        <v>0.00317892324508506</v>
      </c>
      <c r="CT238" s="144">
        <f t="shared" si="352"/>
        <v>0.00285895853919081</v>
      </c>
      <c r="CU238" s="144">
        <f t="shared" ref="CU238:EB238" si="353">CU26/CU$211</f>
        <v>0.00247202670430304</v>
      </c>
      <c r="CV238" s="144">
        <f t="shared" si="353"/>
        <v>0.0155553111857724</v>
      </c>
      <c r="CW238" s="144">
        <f t="shared" si="353"/>
        <v>0.00682586458920209</v>
      </c>
      <c r="CX238" s="144">
        <f t="shared" si="353"/>
        <v>0.00321892232750408</v>
      </c>
      <c r="CY238" s="144">
        <f t="shared" si="353"/>
        <v>0.00320054236561171</v>
      </c>
      <c r="CZ238" s="144">
        <f t="shared" si="353"/>
        <v>0.00909107005787278</v>
      </c>
      <c r="DA238" s="144">
        <f t="shared" si="353"/>
        <v>0.00771831269253992</v>
      </c>
      <c r="DB238" s="9">
        <f t="shared" si="353"/>
        <v>0.00584904564828193</v>
      </c>
      <c r="DC238" s="144">
        <f t="shared" si="353"/>
        <v>0.0164355641786557</v>
      </c>
      <c r="DD238" s="144">
        <f t="shared" si="353"/>
        <v>0.0115958876215191</v>
      </c>
      <c r="DE238" s="144">
        <f t="shared" si="353"/>
        <v>0.00583873236184811</v>
      </c>
      <c r="DF238" s="144">
        <f t="shared" si="353"/>
        <v>0.00610829018110397</v>
      </c>
      <c r="DG238" s="144">
        <f t="shared" si="353"/>
        <v>0.00484355900714601</v>
      </c>
      <c r="DH238" s="144">
        <f t="shared" si="353"/>
        <v>0.00261316624728774</v>
      </c>
      <c r="DI238" s="144">
        <f t="shared" si="353"/>
        <v>0.0267125467067846</v>
      </c>
      <c r="DJ238" s="144">
        <f t="shared" si="353"/>
        <v>0.0204298015962597</v>
      </c>
      <c r="DK238" s="144">
        <f t="shared" si="353"/>
        <v>0.0150294866125035</v>
      </c>
      <c r="DL238" s="144">
        <f t="shared" si="353"/>
        <v>0.00754649632573293</v>
      </c>
      <c r="DM238" s="144">
        <f t="shared" si="353"/>
        <v>0.0191514608634886</v>
      </c>
      <c r="DN238" s="144">
        <f t="shared" si="353"/>
        <v>0.0197824386579697</v>
      </c>
      <c r="DO238" s="9">
        <f t="shared" si="353"/>
        <v>0.0130819731885573</v>
      </c>
      <c r="DP238" s="144">
        <f t="shared" si="353"/>
        <v>0.0100085266738358</v>
      </c>
      <c r="DQ238" s="144">
        <f t="shared" si="353"/>
        <v>0.00757666296874922</v>
      </c>
      <c r="DR238" s="144">
        <f t="shared" si="353"/>
        <v>0.00828265897420298</v>
      </c>
      <c r="DS238" s="144">
        <f t="shared" si="353"/>
        <v>0.00577290758411119</v>
      </c>
      <c r="DT238" s="144">
        <f t="shared" si="353"/>
        <v>0.00646792769565148</v>
      </c>
      <c r="DU238" s="144">
        <f t="shared" si="353"/>
        <v>0.00484999726725425</v>
      </c>
      <c r="DV238" s="144">
        <f t="shared" si="353"/>
        <v>0.0262189131292286</v>
      </c>
      <c r="DW238" s="144">
        <f t="shared" si="353"/>
        <v>0.0211807285941804</v>
      </c>
      <c r="DX238" s="144">
        <f t="shared" si="353"/>
        <v>0.013876050459666</v>
      </c>
      <c r="DY238" s="144">
        <f t="shared" si="353"/>
        <v>0.0135013030738404</v>
      </c>
      <c r="DZ238" s="144">
        <f t="shared" si="353"/>
        <v>0.0263769403703657</v>
      </c>
      <c r="EA238" s="144">
        <f t="shared" si="353"/>
        <v>0.0155604898621428</v>
      </c>
      <c r="EB238" s="117">
        <f t="shared" si="353"/>
        <v>0.0129922640480387</v>
      </c>
      <c r="EC238" s="118"/>
      <c r="ED238" s="117">
        <f t="shared" ref="ED238:FB238" si="354">ED26/ED$211</f>
        <v>0</v>
      </c>
      <c r="EE238" s="117">
        <f t="shared" si="354"/>
        <v>0</v>
      </c>
      <c r="EF238" s="117">
        <f t="shared" si="354"/>
        <v>0</v>
      </c>
      <c r="EG238" s="117" t="e">
        <f t="shared" si="354"/>
        <v>#DIV/0!</v>
      </c>
      <c r="EH238" s="117" t="e">
        <f t="shared" si="354"/>
        <v>#DIV/0!</v>
      </c>
      <c r="EI238" s="117" t="e">
        <f t="shared" si="354"/>
        <v>#DIV/0!</v>
      </c>
      <c r="EJ238" s="117" t="e">
        <f t="shared" si="354"/>
        <v>#DIV/0!</v>
      </c>
      <c r="EK238" s="117" t="e">
        <f t="shared" si="354"/>
        <v>#DIV/0!</v>
      </c>
      <c r="EL238" s="117" t="e">
        <f t="shared" si="354"/>
        <v>#DIV/0!</v>
      </c>
      <c r="EM238" s="117" t="e">
        <f t="shared" si="354"/>
        <v>#DIV/0!</v>
      </c>
      <c r="EN238" s="117" t="e">
        <f t="shared" si="354"/>
        <v>#DIV/0!</v>
      </c>
      <c r="EO238" s="116">
        <f t="shared" si="354"/>
        <v>0</v>
      </c>
      <c r="EP238" s="117">
        <f t="shared" si="354"/>
        <v>0.00376643865828607</v>
      </c>
      <c r="EQ238" s="117">
        <f t="shared" si="354"/>
        <v>0.00753157364766618</v>
      </c>
      <c r="ER238" s="117">
        <f t="shared" si="354"/>
        <v>0.00358696579166733</v>
      </c>
      <c r="ES238" s="117">
        <f t="shared" si="354"/>
        <v>0.00182333115583332</v>
      </c>
      <c r="ET238" s="117">
        <f t="shared" si="354"/>
        <v>0.00578562272442068</v>
      </c>
      <c r="EU238" s="117">
        <f t="shared" si="354"/>
        <v>0.00326384048613513</v>
      </c>
      <c r="EV238" s="117">
        <f t="shared" si="354"/>
        <v>0.00655237119456966</v>
      </c>
      <c r="EW238" s="117">
        <f t="shared" si="354"/>
        <v>0.0067518950696813</v>
      </c>
      <c r="EX238" s="117">
        <f t="shared" si="354"/>
        <v>0.00449135642637262</v>
      </c>
      <c r="EY238" s="117">
        <f t="shared" si="354"/>
        <v>0</v>
      </c>
      <c r="EZ238" s="117">
        <f t="shared" si="354"/>
        <v>0.00540960140016368</v>
      </c>
      <c r="FA238" s="117">
        <f t="shared" si="354"/>
        <v>0.00778105487986327</v>
      </c>
      <c r="FB238" s="117">
        <f t="shared" si="354"/>
        <v>0.00466476981750531</v>
      </c>
      <c r="FC238" s="118"/>
      <c r="FD238" s="117"/>
      <c r="FE238" s="117"/>
      <c r="FF238" s="117"/>
      <c r="FG238" s="117"/>
      <c r="FH238" s="117"/>
      <c r="FI238" s="117"/>
      <c r="FJ238" s="117"/>
      <c r="FK238" s="117" t="e">
        <f t="shared" si="211"/>
        <v>#DIV/0!</v>
      </c>
      <c r="FL238" s="117" t="e">
        <f t="shared" si="212"/>
        <v>#DIV/0!</v>
      </c>
      <c r="FM238" s="117" t="e">
        <f t="shared" si="213"/>
        <v>#DIV/0!</v>
      </c>
      <c r="FN238" s="117" t="e">
        <f t="shared" si="214"/>
        <v>#DIV/0!</v>
      </c>
      <c r="FO238" s="9" t="e">
        <f t="shared" si="215"/>
        <v>#DIV/0!</v>
      </c>
      <c r="FP238" s="118">
        <f t="shared" ref="FP238:GB238" si="355">FP26/FP$211</f>
        <v>0.0127799543455061</v>
      </c>
      <c r="FQ238" s="117">
        <f t="shared" si="355"/>
        <v>0.0106169610905868</v>
      </c>
      <c r="FR238" s="117">
        <f t="shared" si="355"/>
        <v>0.00388818910361221</v>
      </c>
      <c r="FS238" s="117">
        <f t="shared" si="355"/>
        <v>0.0026930807116342</v>
      </c>
      <c r="FT238" s="117">
        <f t="shared" si="355"/>
        <v>0.00439758458924522</v>
      </c>
      <c r="FU238" s="117">
        <f t="shared" si="355"/>
        <v>0.00232732052907035</v>
      </c>
      <c r="FV238" s="117">
        <f t="shared" si="355"/>
        <v>0.0362289247184026</v>
      </c>
      <c r="FW238" s="117">
        <f t="shared" si="355"/>
        <v>0.0232525530960264</v>
      </c>
      <c r="FX238" s="117">
        <f t="shared" si="355"/>
        <v>0.0169645413233262</v>
      </c>
      <c r="FY238" s="117">
        <f t="shared" si="355"/>
        <v>0.00882160946709496</v>
      </c>
      <c r="FZ238" s="117">
        <f t="shared" si="355"/>
        <v>0.0155466833116574</v>
      </c>
      <c r="GA238" s="117">
        <f t="shared" si="355"/>
        <v>0.00104794665967259</v>
      </c>
      <c r="GB238" s="116">
        <f t="shared" si="355"/>
        <v>0.0117286555865295</v>
      </c>
    </row>
    <row r="239" spans="1:184">
      <c r="A239" s="147" t="s">
        <v>79</v>
      </c>
      <c r="B239" s="160">
        <f t="shared" si="217"/>
        <v>-0.329514361423677</v>
      </c>
      <c r="C239" s="117">
        <f t="shared" ref="C239:AH239" si="356">C27/C$211</f>
        <v>0.000682206851470404</v>
      </c>
      <c r="D239" s="117">
        <f t="shared" si="356"/>
        <v>0.000525974423503308</v>
      </c>
      <c r="E239" s="117">
        <f t="shared" si="356"/>
        <v>0.000942440703985887</v>
      </c>
      <c r="F239" s="117">
        <f t="shared" si="356"/>
        <v>0.000945031775650366</v>
      </c>
      <c r="G239" s="117">
        <f t="shared" si="356"/>
        <v>0.000493873736522434</v>
      </c>
      <c r="H239" s="117">
        <f t="shared" si="356"/>
        <v>0.000346954719712353</v>
      </c>
      <c r="I239" s="117">
        <f t="shared" si="356"/>
        <v>0.000278368209735999</v>
      </c>
      <c r="J239" s="117">
        <f t="shared" si="356"/>
        <v>0.000237903562787107</v>
      </c>
      <c r="K239" s="117">
        <f t="shared" si="356"/>
        <v>0.000161556376942048</v>
      </c>
      <c r="L239" s="117">
        <f t="shared" si="356"/>
        <v>0.0145221930535843</v>
      </c>
      <c r="M239" s="117">
        <f t="shared" si="356"/>
        <v>0.00853028319621824</v>
      </c>
      <c r="N239" s="117">
        <f t="shared" si="356"/>
        <v>0.00577236870199505</v>
      </c>
      <c r="O239" s="9">
        <f t="shared" si="356"/>
        <v>0.00282801833573253</v>
      </c>
      <c r="P239" s="117">
        <f t="shared" si="356"/>
        <v>0.00119400034403413</v>
      </c>
      <c r="Q239" s="117">
        <f t="shared" si="356"/>
        <v>0.00123987355723622</v>
      </c>
      <c r="R239" s="117">
        <f t="shared" si="356"/>
        <v>0.0012626707930795</v>
      </c>
      <c r="S239" s="117">
        <f t="shared" si="356"/>
        <v>0.00465108432273579</v>
      </c>
      <c r="T239" s="117">
        <f t="shared" si="356"/>
        <v>0.0014798141107461</v>
      </c>
      <c r="U239" s="117">
        <f t="shared" si="356"/>
        <v>0.000926926882037513</v>
      </c>
      <c r="V239" s="117">
        <f t="shared" si="356"/>
        <v>0.000831178655710792</v>
      </c>
      <c r="W239" s="117">
        <f t="shared" si="356"/>
        <v>0.000688700222427955</v>
      </c>
      <c r="X239" s="117">
        <f t="shared" si="356"/>
        <v>0.000705202139676216</v>
      </c>
      <c r="Y239" s="117">
        <f t="shared" si="356"/>
        <v>0.0351214686273652</v>
      </c>
      <c r="Z239" s="117">
        <f t="shared" si="356"/>
        <v>0.0309512194409995</v>
      </c>
      <c r="AA239" s="117">
        <f t="shared" si="356"/>
        <v>0.026821224063815</v>
      </c>
      <c r="AB239" s="9">
        <f t="shared" si="356"/>
        <v>0.00918593568810189</v>
      </c>
      <c r="AC239" s="117">
        <f t="shared" si="356"/>
        <v>0.00107297746918014</v>
      </c>
      <c r="AD239" s="117">
        <f t="shared" si="356"/>
        <v>0.000995300687650154</v>
      </c>
      <c r="AE239" s="117">
        <f t="shared" si="356"/>
        <v>0.000854363617508157</v>
      </c>
      <c r="AF239" s="117">
        <f t="shared" si="356"/>
        <v>0.000959872137297776</v>
      </c>
      <c r="AG239" s="117">
        <f t="shared" si="356"/>
        <v>0.000895824624992529</v>
      </c>
      <c r="AH239" s="117">
        <f t="shared" si="356"/>
        <v>0.000567376715937685</v>
      </c>
      <c r="AI239" s="117">
        <f t="shared" ref="AI239:BN239" si="357">AI27/AI$211</f>
        <v>0.000509523355259703</v>
      </c>
      <c r="AJ239" s="117">
        <f t="shared" si="357"/>
        <v>0.000401480672789373</v>
      </c>
      <c r="AK239" s="117">
        <f t="shared" si="357"/>
        <v>0</v>
      </c>
      <c r="AL239" s="117">
        <f t="shared" si="357"/>
        <v>0.01094210814266</v>
      </c>
      <c r="AM239" s="117">
        <f t="shared" si="357"/>
        <v>0.0112546990500106</v>
      </c>
      <c r="AN239" s="117">
        <f t="shared" si="357"/>
        <v>0.00867363477864709</v>
      </c>
      <c r="AO239" s="9">
        <f t="shared" si="357"/>
        <v>0.00332126938658997</v>
      </c>
      <c r="AP239" s="144">
        <f t="shared" si="357"/>
        <v>0.000474278634722421</v>
      </c>
      <c r="AQ239" s="144">
        <f t="shared" si="357"/>
        <v>0.000393878343771699</v>
      </c>
      <c r="AR239" s="144">
        <f t="shared" si="357"/>
        <v>0.000790043768020162</v>
      </c>
      <c r="AS239" s="144">
        <f t="shared" si="357"/>
        <v>0.000897660581517587</v>
      </c>
      <c r="AT239" s="144">
        <f t="shared" si="357"/>
        <v>0.000665917794524899</v>
      </c>
      <c r="AU239" s="144">
        <f t="shared" si="357"/>
        <v>0.00010601958005798</v>
      </c>
      <c r="AV239" s="144">
        <f t="shared" si="357"/>
        <v>8.73860329932511e-5</v>
      </c>
      <c r="AW239" s="144">
        <f t="shared" si="357"/>
        <v>7.69915176424141e-5</v>
      </c>
      <c r="AX239" s="144">
        <f t="shared" si="357"/>
        <v>7.66153979124695e-5</v>
      </c>
      <c r="AY239" s="144">
        <f t="shared" si="357"/>
        <v>0.00792537416663148</v>
      </c>
      <c r="AZ239" s="144">
        <f t="shared" si="357"/>
        <v>0.00460504452891755</v>
      </c>
      <c r="BA239" s="144">
        <f t="shared" si="357"/>
        <v>0.00290434726167</v>
      </c>
      <c r="BB239" s="9">
        <f t="shared" si="357"/>
        <v>0.00167006300155491</v>
      </c>
      <c r="BC239" s="144">
        <f t="shared" si="357"/>
        <v>0.000490980609580811</v>
      </c>
      <c r="BD239" s="144">
        <f t="shared" si="357"/>
        <v>0.000262591792726182</v>
      </c>
      <c r="BE239" s="144">
        <f t="shared" si="357"/>
        <v>0.000629950735747661</v>
      </c>
      <c r="BF239" s="144">
        <f t="shared" si="357"/>
        <v>0.000543631661284769</v>
      </c>
      <c r="BG239" s="144">
        <f t="shared" si="357"/>
        <v>0.000391012705858064</v>
      </c>
      <c r="BH239" s="144">
        <f t="shared" si="357"/>
        <v>0.000241135454668263</v>
      </c>
      <c r="BI239" s="144">
        <f t="shared" si="357"/>
        <v>0.00019857678499291</v>
      </c>
      <c r="BJ239" s="144">
        <f t="shared" si="357"/>
        <v>0.000176426314329964</v>
      </c>
      <c r="BK239" s="144">
        <f t="shared" si="357"/>
        <v>0</v>
      </c>
      <c r="BL239" s="144">
        <f t="shared" si="357"/>
        <v>0.0105993346411918</v>
      </c>
      <c r="BM239" s="144">
        <f t="shared" si="357"/>
        <v>0.00463743812814544</v>
      </c>
      <c r="BN239" s="144">
        <f t="shared" si="357"/>
        <v>0.00218623283032937</v>
      </c>
      <c r="BO239" s="9">
        <f t="shared" ref="BO239:CT239" si="358">BO27/BO$211</f>
        <v>0.00174124278680576</v>
      </c>
      <c r="BP239" s="144">
        <f t="shared" si="358"/>
        <v>9.76329508263408e-5</v>
      </c>
      <c r="BQ239" s="144">
        <f t="shared" si="358"/>
        <v>8.57163627608922e-5</v>
      </c>
      <c r="BR239" s="144">
        <f t="shared" si="358"/>
        <v>0.000216064078016216</v>
      </c>
      <c r="BS239" s="144">
        <f t="shared" si="358"/>
        <v>0.000185138915434357</v>
      </c>
      <c r="BT239" s="144">
        <f t="shared" si="358"/>
        <v>3.73077934557335e-5</v>
      </c>
      <c r="BU239" s="144">
        <f t="shared" si="358"/>
        <v>0</v>
      </c>
      <c r="BV239" s="144">
        <f t="shared" si="358"/>
        <v>0</v>
      </c>
      <c r="BW239" s="144">
        <f t="shared" si="358"/>
        <v>0</v>
      </c>
      <c r="BX239" s="144">
        <f t="shared" si="358"/>
        <v>0</v>
      </c>
      <c r="BY239" s="144">
        <f t="shared" si="358"/>
        <v>0.00731707607504867</v>
      </c>
      <c r="BZ239" s="144">
        <f t="shared" si="358"/>
        <v>0.00404025690211574</v>
      </c>
      <c r="CA239" s="144">
        <f t="shared" si="358"/>
        <v>0.00187457390130482</v>
      </c>
      <c r="CB239" s="9">
        <f t="shared" si="358"/>
        <v>0.0011093610801864</v>
      </c>
      <c r="CC239" s="144">
        <f t="shared" si="358"/>
        <v>0.00215637568425544</v>
      </c>
      <c r="CD239" s="144">
        <f t="shared" si="358"/>
        <v>0.000372568356633446</v>
      </c>
      <c r="CE239" s="144">
        <f t="shared" si="358"/>
        <v>0.000464215704196267</v>
      </c>
      <c r="CF239" s="144">
        <f t="shared" si="358"/>
        <v>0.000711357409019329</v>
      </c>
      <c r="CG239" s="144">
        <f t="shared" si="358"/>
        <v>0.000657779731132872</v>
      </c>
      <c r="CH239" s="144">
        <f t="shared" si="358"/>
        <v>0.000727071273521195</v>
      </c>
      <c r="CI239" s="144">
        <f t="shared" si="358"/>
        <v>0.000125834266975358</v>
      </c>
      <c r="CJ239" s="144">
        <f t="shared" si="358"/>
        <v>0</v>
      </c>
      <c r="CK239" s="144">
        <f t="shared" si="358"/>
        <v>0</v>
      </c>
      <c r="CL239" s="144">
        <f t="shared" si="358"/>
        <v>0.0116815305718099</v>
      </c>
      <c r="CM239" s="144">
        <f t="shared" si="358"/>
        <v>0.00951231004746712</v>
      </c>
      <c r="CN239" s="144">
        <f t="shared" si="358"/>
        <v>0.00590247072559786</v>
      </c>
      <c r="CO239" s="9">
        <f t="shared" si="358"/>
        <v>0.00276155093376003</v>
      </c>
      <c r="CP239" s="144">
        <f t="shared" si="358"/>
        <v>0.000617339518922408</v>
      </c>
      <c r="CQ239" s="144">
        <f t="shared" si="358"/>
        <v>0.00038367408987143</v>
      </c>
      <c r="CR239" s="144">
        <f t="shared" si="358"/>
        <v>0.000485620345336271</v>
      </c>
      <c r="CS239" s="144">
        <f t="shared" si="358"/>
        <v>0.00044889952423923</v>
      </c>
      <c r="CT239" s="144">
        <f t="shared" si="358"/>
        <v>0.000268491236758632</v>
      </c>
      <c r="CU239" s="144">
        <f t="shared" ref="CU239:EB239" si="359">CU27/CU$211</f>
        <v>0.000351004165069723</v>
      </c>
      <c r="CV239" s="144">
        <f t="shared" si="359"/>
        <v>0.000325260484461885</v>
      </c>
      <c r="CW239" s="144">
        <f t="shared" si="359"/>
        <v>0.000304731897770746</v>
      </c>
      <c r="CX239" s="144">
        <f t="shared" si="359"/>
        <v>0</v>
      </c>
      <c r="CY239" s="144">
        <f t="shared" si="359"/>
        <v>0.0124605385357804</v>
      </c>
      <c r="CZ239" s="144">
        <f t="shared" si="359"/>
        <v>0.00481721285849816</v>
      </c>
      <c r="DA239" s="144">
        <f t="shared" si="359"/>
        <v>0.00215851117672727</v>
      </c>
      <c r="DB239" s="9">
        <f t="shared" si="359"/>
        <v>0.00177093566084658</v>
      </c>
      <c r="DC239" s="144">
        <f t="shared" si="359"/>
        <v>0.00632314928799377</v>
      </c>
      <c r="DD239" s="144">
        <f t="shared" si="359"/>
        <v>0.00347816657969173</v>
      </c>
      <c r="DE239" s="144">
        <f t="shared" si="359"/>
        <v>0.00913911466131054</v>
      </c>
      <c r="DF239" s="144">
        <f t="shared" si="359"/>
        <v>0.00034600514174457</v>
      </c>
      <c r="DG239" s="144">
        <f t="shared" si="359"/>
        <v>0</v>
      </c>
      <c r="DH239" s="144">
        <f t="shared" si="359"/>
        <v>0.000227918011174956</v>
      </c>
      <c r="DI239" s="144">
        <f t="shared" si="359"/>
        <v>0</v>
      </c>
      <c r="DJ239" s="144">
        <f t="shared" si="359"/>
        <v>0</v>
      </c>
      <c r="DK239" s="144">
        <f t="shared" si="359"/>
        <v>0</v>
      </c>
      <c r="DL239" s="144">
        <f t="shared" si="359"/>
        <v>0.0121854444114317</v>
      </c>
      <c r="DM239" s="144">
        <f t="shared" si="359"/>
        <v>0.00677517336193455</v>
      </c>
      <c r="DN239" s="144">
        <f t="shared" si="359"/>
        <v>0</v>
      </c>
      <c r="DO239" s="9">
        <f t="shared" si="359"/>
        <v>0.00339443330838867</v>
      </c>
      <c r="DP239" s="144">
        <f t="shared" si="359"/>
        <v>0.00106415655140124</v>
      </c>
      <c r="DQ239" s="144">
        <f t="shared" si="359"/>
        <v>0.000464294588172417</v>
      </c>
      <c r="DR239" s="144">
        <f t="shared" si="359"/>
        <v>0.00417136208259104</v>
      </c>
      <c r="DS239" s="144">
        <f t="shared" si="359"/>
        <v>2.46782805482876e-5</v>
      </c>
      <c r="DT239" s="144">
        <f t="shared" si="359"/>
        <v>0.00014559097000938</v>
      </c>
      <c r="DU239" s="144">
        <f t="shared" si="359"/>
        <v>0.000120860686314803</v>
      </c>
      <c r="DV239" s="144">
        <f t="shared" si="359"/>
        <v>5.8262166511311e-5</v>
      </c>
      <c r="DW239" s="144">
        <f t="shared" si="359"/>
        <v>2.84209862942654e-5</v>
      </c>
      <c r="DX239" s="144">
        <f t="shared" si="359"/>
        <v>0</v>
      </c>
      <c r="DY239" s="144">
        <f t="shared" si="359"/>
        <v>0.010935657829526</v>
      </c>
      <c r="DZ239" s="144">
        <f t="shared" si="359"/>
        <v>0.0109241846413412</v>
      </c>
      <c r="EA239" s="144">
        <f t="shared" si="359"/>
        <v>0.00642852342336405</v>
      </c>
      <c r="EB239" s="117">
        <f t="shared" si="359"/>
        <v>0.00270659583389859</v>
      </c>
      <c r="EC239" s="118"/>
      <c r="ED239" s="117">
        <f t="shared" ref="ED239:FB239" si="360">ED27/ED$211</f>
        <v>0</v>
      </c>
      <c r="EE239" s="117">
        <f t="shared" si="360"/>
        <v>0</v>
      </c>
      <c r="EF239" s="117">
        <f t="shared" si="360"/>
        <v>0</v>
      </c>
      <c r="EG239" s="117" t="e">
        <f t="shared" si="360"/>
        <v>#DIV/0!</v>
      </c>
      <c r="EH239" s="117" t="e">
        <f t="shared" si="360"/>
        <v>#DIV/0!</v>
      </c>
      <c r="EI239" s="117" t="e">
        <f t="shared" si="360"/>
        <v>#DIV/0!</v>
      </c>
      <c r="EJ239" s="117" t="e">
        <f t="shared" si="360"/>
        <v>#DIV/0!</v>
      </c>
      <c r="EK239" s="117" t="e">
        <f t="shared" si="360"/>
        <v>#DIV/0!</v>
      </c>
      <c r="EL239" s="117" t="e">
        <f t="shared" si="360"/>
        <v>#DIV/0!</v>
      </c>
      <c r="EM239" s="117" t="e">
        <f t="shared" si="360"/>
        <v>#DIV/0!</v>
      </c>
      <c r="EN239" s="117" t="e">
        <f t="shared" si="360"/>
        <v>#DIV/0!</v>
      </c>
      <c r="EO239" s="116">
        <f t="shared" si="360"/>
        <v>0</v>
      </c>
      <c r="EP239" s="117">
        <f t="shared" si="360"/>
        <v>0.000895309471056448</v>
      </c>
      <c r="EQ239" s="117">
        <f t="shared" si="360"/>
        <v>0.0020266431766356</v>
      </c>
      <c r="ER239" s="117">
        <f t="shared" si="360"/>
        <v>0.000616605587805234</v>
      </c>
      <c r="ES239" s="117">
        <f t="shared" si="360"/>
        <v>0.000865374338406977</v>
      </c>
      <c r="ET239" s="117">
        <f t="shared" si="360"/>
        <v>0.000546312213741328</v>
      </c>
      <c r="EU239" s="117">
        <f t="shared" si="360"/>
        <v>0.000460426189824646</v>
      </c>
      <c r="EV239" s="117">
        <f t="shared" si="360"/>
        <v>0.000309391060999418</v>
      </c>
      <c r="EW239" s="117">
        <f t="shared" si="360"/>
        <v>0.000235724601683579</v>
      </c>
      <c r="EX239" s="117">
        <f t="shared" si="360"/>
        <v>0.000164793493535795</v>
      </c>
      <c r="EY239" s="117">
        <f t="shared" si="360"/>
        <v>0.00754356311064064</v>
      </c>
      <c r="EZ239" s="117">
        <f t="shared" si="360"/>
        <v>0.00680784582986701</v>
      </c>
      <c r="FA239" s="117">
        <f t="shared" si="360"/>
        <v>0.00435211544127946</v>
      </c>
      <c r="FB239" s="117">
        <f t="shared" si="360"/>
        <v>0.0022211853673494</v>
      </c>
      <c r="FC239" s="118"/>
      <c r="FD239" s="117"/>
      <c r="FE239" s="117"/>
      <c r="FF239" s="117"/>
      <c r="FG239" s="117"/>
      <c r="FH239" s="117"/>
      <c r="FI239" s="117"/>
      <c r="FJ239" s="117"/>
      <c r="FK239" s="117" t="e">
        <f t="shared" si="211"/>
        <v>#DIV/0!</v>
      </c>
      <c r="FL239" s="117" t="e">
        <f t="shared" si="212"/>
        <v>#DIV/0!</v>
      </c>
      <c r="FM239" s="117" t="e">
        <f t="shared" si="213"/>
        <v>#DIV/0!</v>
      </c>
      <c r="FN239" s="117" t="e">
        <f t="shared" si="214"/>
        <v>#DIV/0!</v>
      </c>
      <c r="FO239" s="9" t="e">
        <f t="shared" si="215"/>
        <v>#DIV/0!</v>
      </c>
      <c r="FP239" s="118">
        <f t="shared" ref="FP239:GB239" si="361">FP27/FP$211</f>
        <v>0.000495055633757495</v>
      </c>
      <c r="FQ239" s="117">
        <f t="shared" si="361"/>
        <v>0.000372381179171006</v>
      </c>
      <c r="FR239" s="117">
        <f t="shared" si="361"/>
        <v>0.000448375476243971</v>
      </c>
      <c r="FS239" s="117">
        <f t="shared" si="361"/>
        <v>0.000485686757552781</v>
      </c>
      <c r="FT239" s="117">
        <f t="shared" si="361"/>
        <v>0.000415007695582577</v>
      </c>
      <c r="FU239" s="117">
        <f t="shared" si="361"/>
        <v>0.000326744485279355</v>
      </c>
      <c r="FV239" s="117">
        <f t="shared" si="361"/>
        <v>0.000261688881841983</v>
      </c>
      <c r="FW239" s="117">
        <f t="shared" si="361"/>
        <v>0.000220273949626967</v>
      </c>
      <c r="FX239" s="117">
        <f t="shared" si="361"/>
        <v>0.000248662380358359</v>
      </c>
      <c r="FY239" s="117">
        <f t="shared" si="361"/>
        <v>0.0160556949776211</v>
      </c>
      <c r="FZ239" s="117">
        <f t="shared" si="361"/>
        <v>0.00188814289183404</v>
      </c>
      <c r="GA239" s="117">
        <f t="shared" si="361"/>
        <v>0.000132409306506793</v>
      </c>
      <c r="GB239" s="116">
        <f t="shared" si="361"/>
        <v>0.00177102330043138</v>
      </c>
    </row>
    <row r="240" spans="1:184">
      <c r="A240" s="147" t="s">
        <v>81</v>
      </c>
      <c r="B240" s="160">
        <f t="shared" si="217"/>
        <v>-0.550438147213374</v>
      </c>
      <c r="C240" s="117">
        <f t="shared" ref="C240:AH240" si="362">C28/C$211</f>
        <v>0.000232103405980518</v>
      </c>
      <c r="D240" s="117">
        <f t="shared" si="362"/>
        <v>0.000234704110962876</v>
      </c>
      <c r="E240" s="117">
        <f t="shared" si="362"/>
        <v>0.000259072517384805</v>
      </c>
      <c r="F240" s="117">
        <f t="shared" si="362"/>
        <v>0.000240716169842417</v>
      </c>
      <c r="G240" s="117">
        <f t="shared" si="362"/>
        <v>0.000195595669578453</v>
      </c>
      <c r="H240" s="117">
        <f t="shared" si="362"/>
        <v>0.000312913551461866</v>
      </c>
      <c r="I240" s="117">
        <f t="shared" si="362"/>
        <v>0.00332456812031657</v>
      </c>
      <c r="J240" s="117">
        <f t="shared" si="362"/>
        <v>0.00168206107580365</v>
      </c>
      <c r="K240" s="117">
        <f t="shared" si="362"/>
        <v>0.00257912412768353</v>
      </c>
      <c r="L240" s="117">
        <f t="shared" si="362"/>
        <v>0.000375305037099672</v>
      </c>
      <c r="M240" s="117">
        <f t="shared" si="362"/>
        <v>0.000180894049098115</v>
      </c>
      <c r="N240" s="117">
        <f t="shared" si="362"/>
        <v>0.000171232916697419</v>
      </c>
      <c r="O240" s="9">
        <f t="shared" si="362"/>
        <v>0.000798693087485022</v>
      </c>
      <c r="P240" s="117">
        <f t="shared" si="362"/>
        <v>0.000237764326919318</v>
      </c>
      <c r="Q240" s="117">
        <f t="shared" si="362"/>
        <v>0.000307161198206089</v>
      </c>
      <c r="R240" s="117">
        <f t="shared" si="362"/>
        <v>0.000418333404860874</v>
      </c>
      <c r="S240" s="117">
        <f t="shared" si="362"/>
        <v>0.000490903728988393</v>
      </c>
      <c r="T240" s="117">
        <f t="shared" si="362"/>
        <v>0.000487614533850685</v>
      </c>
      <c r="U240" s="117">
        <f t="shared" si="362"/>
        <v>0.000462610506229672</v>
      </c>
      <c r="V240" s="117">
        <f t="shared" si="362"/>
        <v>0.00183970219367872</v>
      </c>
      <c r="W240" s="117">
        <f t="shared" si="362"/>
        <v>0.00205362794156227</v>
      </c>
      <c r="X240" s="117">
        <f t="shared" si="362"/>
        <v>0.0012184865023569</v>
      </c>
      <c r="Y240" s="117">
        <f t="shared" si="362"/>
        <v>0.00102322134573735</v>
      </c>
      <c r="Z240" s="117">
        <f t="shared" si="362"/>
        <v>0</v>
      </c>
      <c r="AA240" s="117">
        <f t="shared" si="362"/>
        <v>0</v>
      </c>
      <c r="AB240" s="9">
        <f t="shared" si="362"/>
        <v>0.000714870009123185</v>
      </c>
      <c r="AC240" s="117">
        <f t="shared" si="362"/>
        <v>0</v>
      </c>
      <c r="AD240" s="117">
        <f t="shared" si="362"/>
        <v>0</v>
      </c>
      <c r="AE240" s="117">
        <f t="shared" si="362"/>
        <v>0</v>
      </c>
      <c r="AF240" s="117">
        <f t="shared" si="362"/>
        <v>0</v>
      </c>
      <c r="AG240" s="117">
        <f t="shared" si="362"/>
        <v>0</v>
      </c>
      <c r="AH240" s="117">
        <f t="shared" si="362"/>
        <v>0</v>
      </c>
      <c r="AI240" s="117">
        <f t="shared" ref="AI240:BN240" si="363">AI28/AI$211</f>
        <v>0.00317036754383815</v>
      </c>
      <c r="AJ240" s="117">
        <f t="shared" si="363"/>
        <v>0.00160592269115749</v>
      </c>
      <c r="AK240" s="117">
        <f t="shared" si="363"/>
        <v>0.00158451654320748</v>
      </c>
      <c r="AL240" s="117">
        <f t="shared" si="363"/>
        <v>0</v>
      </c>
      <c r="AM240" s="117">
        <f t="shared" si="363"/>
        <v>0</v>
      </c>
      <c r="AN240" s="117">
        <f t="shared" si="363"/>
        <v>0</v>
      </c>
      <c r="AO240" s="9">
        <f t="shared" si="363"/>
        <v>0.000576814040830775</v>
      </c>
      <c r="AP240" s="144">
        <f t="shared" si="363"/>
        <v>0.000191253743150817</v>
      </c>
      <c r="AQ240" s="144">
        <f t="shared" si="363"/>
        <v>0.000119917508530713</v>
      </c>
      <c r="AR240" s="144">
        <f t="shared" si="363"/>
        <v>0.000183927703169609</v>
      </c>
      <c r="AS240" s="144">
        <f t="shared" si="363"/>
        <v>7.27677744810435e-5</v>
      </c>
      <c r="AT240" s="144">
        <f t="shared" si="363"/>
        <v>0.000151904747964869</v>
      </c>
      <c r="AU240" s="144">
        <f t="shared" si="363"/>
        <v>7.0133403362026e-5</v>
      </c>
      <c r="AV240" s="144">
        <f t="shared" si="363"/>
        <v>0.0034833395502656</v>
      </c>
      <c r="AW240" s="144">
        <f t="shared" si="363"/>
        <v>0.00140598165325609</v>
      </c>
      <c r="AX240" s="144">
        <f t="shared" si="363"/>
        <v>0.000663605317699824</v>
      </c>
      <c r="AY240" s="144">
        <f t="shared" si="363"/>
        <v>5.42434099340599e-5</v>
      </c>
      <c r="AZ240" s="144">
        <f t="shared" si="363"/>
        <v>5.21704391075626e-5</v>
      </c>
      <c r="BA240" s="144">
        <f t="shared" si="363"/>
        <v>4.89358867599375e-5</v>
      </c>
      <c r="BB240" s="9">
        <f t="shared" si="363"/>
        <v>0.000556882259590378</v>
      </c>
      <c r="BC240" s="144">
        <f t="shared" si="363"/>
        <v>7.97749085462103e-5</v>
      </c>
      <c r="BD240" s="144">
        <f t="shared" si="363"/>
        <v>5.97195392322038e-5</v>
      </c>
      <c r="BE240" s="144">
        <f t="shared" si="363"/>
        <v>7.81847253513281e-5</v>
      </c>
      <c r="BF240" s="144">
        <f t="shared" si="363"/>
        <v>9.8251040306375e-6</v>
      </c>
      <c r="BG240" s="144">
        <f t="shared" si="363"/>
        <v>0</v>
      </c>
      <c r="BH240" s="144">
        <f t="shared" si="363"/>
        <v>0</v>
      </c>
      <c r="BI240" s="144">
        <f t="shared" si="363"/>
        <v>0.00496441962482276</v>
      </c>
      <c r="BJ240" s="144">
        <f t="shared" si="363"/>
        <v>0.00235235085773286</v>
      </c>
      <c r="BK240" s="144">
        <f t="shared" si="363"/>
        <v>0.00119611549790924</v>
      </c>
      <c r="BL240" s="144">
        <f t="shared" si="363"/>
        <v>0</v>
      </c>
      <c r="BM240" s="144">
        <f t="shared" si="363"/>
        <v>0</v>
      </c>
      <c r="BN240" s="144">
        <f t="shared" si="363"/>
        <v>0</v>
      </c>
      <c r="BO240" s="9">
        <f t="shared" ref="BO240:CT240" si="364">BO28/BO$211</f>
        <v>0.000730242274102477</v>
      </c>
      <c r="BP240" s="144">
        <f t="shared" si="364"/>
        <v>0.000267554321225469</v>
      </c>
      <c r="BQ240" s="144">
        <f t="shared" si="364"/>
        <v>0.000262109545820224</v>
      </c>
      <c r="BR240" s="144">
        <f t="shared" si="364"/>
        <v>0.000342836799855308</v>
      </c>
      <c r="BS240" s="144">
        <f t="shared" si="364"/>
        <v>0.000341395011295412</v>
      </c>
      <c r="BT240" s="144">
        <f t="shared" si="364"/>
        <v>0.000310593029894209</v>
      </c>
      <c r="BU240" s="144">
        <f t="shared" si="364"/>
        <v>0.000178212019039011</v>
      </c>
      <c r="BV240" s="144">
        <f t="shared" si="364"/>
        <v>0.00275599964643889</v>
      </c>
      <c r="BW240" s="144">
        <f t="shared" si="364"/>
        <v>0.0016653953358449</v>
      </c>
      <c r="BX240" s="144">
        <f t="shared" si="364"/>
        <v>0.00105673924075874</v>
      </c>
      <c r="BY240" s="144">
        <f t="shared" si="364"/>
        <v>0.00101047096033037</v>
      </c>
      <c r="BZ240" s="144">
        <f t="shared" si="364"/>
        <v>0.000711452510854382</v>
      </c>
      <c r="CA240" s="144">
        <f t="shared" si="364"/>
        <v>0.000720716859781967</v>
      </c>
      <c r="CB240" s="9">
        <f t="shared" si="364"/>
        <v>0.000748761110065369</v>
      </c>
      <c r="CC240" s="144">
        <f t="shared" si="364"/>
        <v>0</v>
      </c>
      <c r="CD240" s="144">
        <f t="shared" si="364"/>
        <v>0</v>
      </c>
      <c r="CE240" s="144">
        <f t="shared" si="364"/>
        <v>0</v>
      </c>
      <c r="CF240" s="144">
        <f t="shared" si="364"/>
        <v>0</v>
      </c>
      <c r="CG240" s="144">
        <f t="shared" si="364"/>
        <v>0</v>
      </c>
      <c r="CH240" s="144">
        <f t="shared" si="364"/>
        <v>0</v>
      </c>
      <c r="CI240" s="144">
        <f t="shared" si="364"/>
        <v>0.000419447556584527</v>
      </c>
      <c r="CJ240" s="144">
        <f t="shared" si="364"/>
        <v>0.000396884716180556</v>
      </c>
      <c r="CK240" s="144">
        <f t="shared" si="364"/>
        <v>0</v>
      </c>
      <c r="CL240" s="144">
        <f t="shared" si="364"/>
        <v>0</v>
      </c>
      <c r="CM240" s="144">
        <f t="shared" si="364"/>
        <v>0</v>
      </c>
      <c r="CN240" s="144">
        <f t="shared" si="364"/>
        <v>0</v>
      </c>
      <c r="CO240" s="9">
        <f t="shared" si="364"/>
        <v>7.31855449645151e-5</v>
      </c>
      <c r="CP240" s="144">
        <f t="shared" si="364"/>
        <v>0.000102388632110433</v>
      </c>
      <c r="CQ240" s="144">
        <f t="shared" si="364"/>
        <v>0.000117581432786971</v>
      </c>
      <c r="CR240" s="144">
        <f t="shared" si="364"/>
        <v>0.000140042306369317</v>
      </c>
      <c r="CS240" s="144">
        <f t="shared" si="364"/>
        <v>0.000114844076452469</v>
      </c>
      <c r="CT240" s="144">
        <f t="shared" si="364"/>
        <v>2.91739717905731e-5</v>
      </c>
      <c r="CU240" s="144">
        <f t="shared" ref="CU240:EB240" si="365">CU28/CU$211</f>
        <v>7.73980198661526e-5</v>
      </c>
      <c r="CV240" s="144">
        <f t="shared" si="365"/>
        <v>0.00352890507612505</v>
      </c>
      <c r="CW240" s="144">
        <f t="shared" si="365"/>
        <v>0.00132743861936745</v>
      </c>
      <c r="CX240" s="144">
        <f t="shared" si="365"/>
        <v>0.00137648870701737</v>
      </c>
      <c r="CY240" s="144">
        <f t="shared" si="365"/>
        <v>0</v>
      </c>
      <c r="CZ240" s="144">
        <f t="shared" si="365"/>
        <v>0</v>
      </c>
      <c r="DA240" s="144">
        <f t="shared" si="365"/>
        <v>0</v>
      </c>
      <c r="DB240" s="9">
        <f t="shared" si="365"/>
        <v>0.000554267409523478</v>
      </c>
      <c r="DC240" s="144">
        <f t="shared" si="365"/>
        <v>6.13431288816115e-5</v>
      </c>
      <c r="DD240" s="144">
        <f t="shared" si="365"/>
        <v>0.000383589062685841</v>
      </c>
      <c r="DE240" s="144">
        <f t="shared" si="365"/>
        <v>0.000316623730937267</v>
      </c>
      <c r="DF240" s="144">
        <f t="shared" si="365"/>
        <v>0.000395436089358302</v>
      </c>
      <c r="DG240" s="144">
        <f t="shared" si="365"/>
        <v>0.000384023681918459</v>
      </c>
      <c r="DH240" s="144">
        <f t="shared" si="365"/>
        <v>0.000376927210107375</v>
      </c>
      <c r="DI240" s="144">
        <f t="shared" si="365"/>
        <v>0.00622473975689289</v>
      </c>
      <c r="DJ240" s="144">
        <f t="shared" si="365"/>
        <v>0.00321747941411245</v>
      </c>
      <c r="DK240" s="144">
        <f t="shared" si="365"/>
        <v>0.000355389637848616</v>
      </c>
      <c r="DL240" s="144">
        <f t="shared" si="365"/>
        <v>0.000351135000295747</v>
      </c>
      <c r="DM240" s="144">
        <f t="shared" si="365"/>
        <v>0.000390465939545835</v>
      </c>
      <c r="DN240" s="144">
        <f t="shared" si="365"/>
        <v>0.000353873136308349</v>
      </c>
      <c r="DO240" s="9">
        <f t="shared" si="365"/>
        <v>0.000992689985118151</v>
      </c>
      <c r="DP240" s="144">
        <f t="shared" si="365"/>
        <v>0.000116843103430731</v>
      </c>
      <c r="DQ240" s="144">
        <f t="shared" si="365"/>
        <v>6.92168634978047e-5</v>
      </c>
      <c r="DR240" s="144">
        <f t="shared" si="365"/>
        <v>4.61803056683297e-5</v>
      </c>
      <c r="DS240" s="144">
        <f t="shared" si="365"/>
        <v>6.98005432328389e-6</v>
      </c>
      <c r="DT240" s="144">
        <f t="shared" si="365"/>
        <v>1.72374447507141e-5</v>
      </c>
      <c r="DU240" s="144">
        <f t="shared" si="365"/>
        <v>1.93649569860272e-5</v>
      </c>
      <c r="DV240" s="144">
        <f t="shared" si="365"/>
        <v>0.00584488681399061</v>
      </c>
      <c r="DW240" s="144">
        <f t="shared" si="365"/>
        <v>0.00570241231931221</v>
      </c>
      <c r="DX240" s="144">
        <f t="shared" si="365"/>
        <v>0.00379688360231441</v>
      </c>
      <c r="DY240" s="144">
        <f t="shared" si="365"/>
        <v>0</v>
      </c>
      <c r="DZ240" s="144">
        <f t="shared" si="365"/>
        <v>0</v>
      </c>
      <c r="EA240" s="144">
        <f t="shared" si="365"/>
        <v>0</v>
      </c>
      <c r="EB240" s="117">
        <f t="shared" si="365"/>
        <v>0.00123012798261582</v>
      </c>
      <c r="EC240" s="118"/>
      <c r="ED240" s="117">
        <f t="shared" ref="ED240:FB240" si="366">ED28/ED$211</f>
        <v>0</v>
      </c>
      <c r="EE240" s="117">
        <f t="shared" si="366"/>
        <v>0</v>
      </c>
      <c r="EF240" s="117">
        <f t="shared" si="366"/>
        <v>0</v>
      </c>
      <c r="EG240" s="117" t="e">
        <f t="shared" si="366"/>
        <v>#DIV/0!</v>
      </c>
      <c r="EH240" s="117" t="e">
        <f t="shared" si="366"/>
        <v>#DIV/0!</v>
      </c>
      <c r="EI240" s="117" t="e">
        <f t="shared" si="366"/>
        <v>#DIV/0!</v>
      </c>
      <c r="EJ240" s="117" t="e">
        <f t="shared" si="366"/>
        <v>#DIV/0!</v>
      </c>
      <c r="EK240" s="117" t="e">
        <f t="shared" si="366"/>
        <v>#DIV/0!</v>
      </c>
      <c r="EL240" s="117" t="e">
        <f t="shared" si="366"/>
        <v>#DIV/0!</v>
      </c>
      <c r="EM240" s="117" t="e">
        <f t="shared" si="366"/>
        <v>#DIV/0!</v>
      </c>
      <c r="EN240" s="117" t="e">
        <f t="shared" si="366"/>
        <v>#DIV/0!</v>
      </c>
      <c r="EO240" s="116">
        <f t="shared" si="366"/>
        <v>0</v>
      </c>
      <c r="EP240" s="117">
        <f t="shared" si="366"/>
        <v>0.000135895867866185</v>
      </c>
      <c r="EQ240" s="117">
        <f t="shared" si="366"/>
        <v>1.58563422779988e-5</v>
      </c>
      <c r="ER240" s="117">
        <f t="shared" si="366"/>
        <v>6.13004567492678e-5</v>
      </c>
      <c r="ES240" s="117">
        <f t="shared" si="366"/>
        <v>2.77872992085837e-5</v>
      </c>
      <c r="ET240" s="117">
        <f t="shared" si="366"/>
        <v>0</v>
      </c>
      <c r="EU240" s="117">
        <f t="shared" si="366"/>
        <v>0.00356534095197395</v>
      </c>
      <c r="EV240" s="117">
        <f t="shared" si="366"/>
        <v>0.0025103572523022</v>
      </c>
      <c r="EW240" s="117">
        <f t="shared" si="366"/>
        <v>0.00239079694752208</v>
      </c>
      <c r="EX240" s="117">
        <f t="shared" si="366"/>
        <v>0.000996944862082891</v>
      </c>
      <c r="EY240" s="117">
        <f t="shared" si="366"/>
        <v>0</v>
      </c>
      <c r="EZ240" s="117">
        <f t="shared" si="366"/>
        <v>0</v>
      </c>
      <c r="FA240" s="117">
        <f t="shared" si="366"/>
        <v>0</v>
      </c>
      <c r="FB240" s="117">
        <f t="shared" si="366"/>
        <v>0.000763232946323963</v>
      </c>
      <c r="FC240" s="118"/>
      <c r="FD240" s="117"/>
      <c r="FE240" s="117"/>
      <c r="FF240" s="117"/>
      <c r="FG240" s="117"/>
      <c r="FH240" s="117"/>
      <c r="FI240" s="117"/>
      <c r="FJ240" s="117"/>
      <c r="FK240" s="117" t="e">
        <f t="shared" si="211"/>
        <v>#DIV/0!</v>
      </c>
      <c r="FL240" s="117" t="e">
        <f t="shared" si="212"/>
        <v>#DIV/0!</v>
      </c>
      <c r="FM240" s="117" t="e">
        <f t="shared" si="213"/>
        <v>#DIV/0!</v>
      </c>
      <c r="FN240" s="117" t="e">
        <f t="shared" si="214"/>
        <v>#DIV/0!</v>
      </c>
      <c r="FO240" s="9" t="e">
        <f t="shared" si="215"/>
        <v>#DIV/0!</v>
      </c>
      <c r="FP240" s="118">
        <f t="shared" ref="FP240:GB240" si="367">FP28/FP$211</f>
        <v>0.000415226814331379</v>
      </c>
      <c r="FQ240" s="117">
        <f t="shared" si="367"/>
        <v>0.000451080542826432</v>
      </c>
      <c r="FR240" s="117">
        <f t="shared" si="367"/>
        <v>0.000387936651159799</v>
      </c>
      <c r="FS240" s="117">
        <f t="shared" si="367"/>
        <v>0.000413957487616283</v>
      </c>
      <c r="FT240" s="117">
        <f t="shared" si="367"/>
        <v>0.000279646635711074</v>
      </c>
      <c r="FU240" s="117">
        <f t="shared" si="367"/>
        <v>0.000508812415425318</v>
      </c>
      <c r="FV240" s="117">
        <f t="shared" si="367"/>
        <v>0.00338426300421471</v>
      </c>
      <c r="FW240" s="117">
        <f t="shared" si="367"/>
        <v>0.000313412782303817</v>
      </c>
      <c r="FX240" s="117">
        <f t="shared" si="367"/>
        <v>0.00689477139516775</v>
      </c>
      <c r="FY240" s="117">
        <f t="shared" si="367"/>
        <v>0.000219790925113059</v>
      </c>
      <c r="FZ240" s="117">
        <f t="shared" si="367"/>
        <v>0.000201569916104152</v>
      </c>
      <c r="GA240" s="117">
        <f t="shared" si="367"/>
        <v>0.000191500292610163</v>
      </c>
      <c r="GB240" s="116">
        <f t="shared" si="367"/>
        <v>0.00105856490960119</v>
      </c>
    </row>
    <row r="241" spans="1:184">
      <c r="A241" s="147" t="s">
        <v>83</v>
      </c>
      <c r="B241" s="160">
        <f t="shared" si="217"/>
        <v>0.799236115656393</v>
      </c>
      <c r="C241" s="117">
        <f t="shared" ref="C241:AH241" si="368">C29/C$211</f>
        <v>0.0123565341104762</v>
      </c>
      <c r="D241" s="117">
        <f t="shared" si="368"/>
        <v>0.0118592471730014</v>
      </c>
      <c r="E241" s="117">
        <f t="shared" si="368"/>
        <v>0.0140500392953237</v>
      </c>
      <c r="F241" s="117">
        <f t="shared" si="368"/>
        <v>0.0484164218550519</v>
      </c>
      <c r="G241" s="117">
        <f t="shared" si="368"/>
        <v>0.0316642385074797</v>
      </c>
      <c r="H241" s="117">
        <f t="shared" si="368"/>
        <v>0.0300644248491935</v>
      </c>
      <c r="I241" s="117">
        <f t="shared" si="368"/>
        <v>0.019183841602556</v>
      </c>
      <c r="J241" s="117">
        <f t="shared" si="368"/>
        <v>0.0196803653676517</v>
      </c>
      <c r="K241" s="117">
        <f t="shared" si="368"/>
        <v>0.0220322673426303</v>
      </c>
      <c r="L241" s="117">
        <f t="shared" si="368"/>
        <v>0.0115519218556815</v>
      </c>
      <c r="M241" s="117">
        <f t="shared" si="368"/>
        <v>0.00858843974286541</v>
      </c>
      <c r="N241" s="117">
        <f t="shared" si="368"/>
        <v>0.00721489422251252</v>
      </c>
      <c r="O241" s="9">
        <f t="shared" si="368"/>
        <v>0.018633763369762</v>
      </c>
      <c r="P241" s="117">
        <f t="shared" si="368"/>
        <v>0.0134388345037893</v>
      </c>
      <c r="Q241" s="117">
        <f t="shared" si="368"/>
        <v>0.0147576387846748</v>
      </c>
      <c r="R241" s="117">
        <f t="shared" si="368"/>
        <v>0.016269804752609</v>
      </c>
      <c r="S241" s="117">
        <f t="shared" si="368"/>
        <v>0.0399915492648025</v>
      </c>
      <c r="T241" s="117">
        <f t="shared" si="368"/>
        <v>0.0404686866570456</v>
      </c>
      <c r="U241" s="117">
        <f t="shared" si="368"/>
        <v>0.0435654076600285</v>
      </c>
      <c r="V241" s="117">
        <f t="shared" si="368"/>
        <v>0.0336857867351249</v>
      </c>
      <c r="W241" s="117">
        <f t="shared" si="368"/>
        <v>0.0275365515287678</v>
      </c>
      <c r="X241" s="117">
        <f t="shared" si="368"/>
        <v>0.0303747320166149</v>
      </c>
      <c r="Y241" s="117">
        <f t="shared" si="368"/>
        <v>0.0204018185769502</v>
      </c>
      <c r="Z241" s="117">
        <f t="shared" si="368"/>
        <v>0.0174957711646199</v>
      </c>
      <c r="AA241" s="117">
        <f t="shared" si="368"/>
        <v>0.0160909008370721</v>
      </c>
      <c r="AB241" s="9">
        <f t="shared" si="368"/>
        <v>0.024846870829331</v>
      </c>
      <c r="AC241" s="117">
        <f t="shared" si="368"/>
        <v>0.0154282423296768</v>
      </c>
      <c r="AD241" s="117">
        <f t="shared" si="368"/>
        <v>0.0140329572448575</v>
      </c>
      <c r="AE241" s="117">
        <f t="shared" si="368"/>
        <v>0.0154433583148753</v>
      </c>
      <c r="AF241" s="117">
        <f t="shared" si="368"/>
        <v>0.0493065315434379</v>
      </c>
      <c r="AG241" s="117">
        <f t="shared" si="368"/>
        <v>0.0426698067392396</v>
      </c>
      <c r="AH241" s="117">
        <f t="shared" si="368"/>
        <v>0.0406862097033479</v>
      </c>
      <c r="AI241" s="117">
        <f t="shared" ref="AI241:BN241" si="369">AI29/AI$211</f>
        <v>0.0346012305577047</v>
      </c>
      <c r="AJ241" s="117">
        <f t="shared" si="369"/>
        <v>0.0267650549325984</v>
      </c>
      <c r="AK241" s="117">
        <f t="shared" si="369"/>
        <v>0.0215220595449069</v>
      </c>
      <c r="AL241" s="117">
        <f t="shared" si="369"/>
        <v>0.0221163216095583</v>
      </c>
      <c r="AM241" s="117">
        <f t="shared" si="369"/>
        <v>0.0209047508566787</v>
      </c>
      <c r="AN241" s="117">
        <f t="shared" si="369"/>
        <v>0.0194657391426243</v>
      </c>
      <c r="AO241" s="9">
        <f t="shared" si="369"/>
        <v>0.0260481452507734</v>
      </c>
      <c r="AP241" s="144">
        <f t="shared" si="369"/>
        <v>0.0397397136649068</v>
      </c>
      <c r="AQ241" s="144">
        <f t="shared" si="369"/>
        <v>0.0333519740250559</v>
      </c>
      <c r="AR241" s="144">
        <f t="shared" si="369"/>
        <v>0.0341530860858103</v>
      </c>
      <c r="AS241" s="144">
        <f t="shared" si="369"/>
        <v>0.0828030836325081</v>
      </c>
      <c r="AT241" s="144">
        <f t="shared" si="369"/>
        <v>0.0772726065111164</v>
      </c>
      <c r="AU241" s="144">
        <f t="shared" si="369"/>
        <v>0.0643164965476371</v>
      </c>
      <c r="AV241" s="144">
        <f t="shared" si="369"/>
        <v>0.0394967982939545</v>
      </c>
      <c r="AW241" s="144">
        <f t="shared" si="369"/>
        <v>0.0278880386126967</v>
      </c>
      <c r="AX241" s="144">
        <f t="shared" si="369"/>
        <v>0.0273372622696377</v>
      </c>
      <c r="AY241" s="144">
        <f t="shared" si="369"/>
        <v>0.018586422547026</v>
      </c>
      <c r="AZ241" s="144">
        <f t="shared" si="369"/>
        <v>0.0126184392155001</v>
      </c>
      <c r="BA241" s="144">
        <f t="shared" si="369"/>
        <v>0.00690439142309147</v>
      </c>
      <c r="BB241" s="9">
        <f t="shared" si="369"/>
        <v>0.0358650836886398</v>
      </c>
      <c r="BC241" s="144">
        <f t="shared" si="369"/>
        <v>0.0102642589048501</v>
      </c>
      <c r="BD241" s="144">
        <f t="shared" si="369"/>
        <v>0.00914431020408832</v>
      </c>
      <c r="BE241" s="144">
        <f t="shared" si="369"/>
        <v>0.0120342489856472</v>
      </c>
      <c r="BF241" s="144">
        <f t="shared" si="369"/>
        <v>0.0463902175736716</v>
      </c>
      <c r="BG241" s="144">
        <f t="shared" si="369"/>
        <v>0.0269546626181247</v>
      </c>
      <c r="BH241" s="144">
        <f t="shared" si="369"/>
        <v>0.0223370644602123</v>
      </c>
      <c r="BI241" s="144">
        <f t="shared" si="369"/>
        <v>0.0136845306179897</v>
      </c>
      <c r="BJ241" s="144">
        <f t="shared" si="369"/>
        <v>0.0182626804362575</v>
      </c>
      <c r="BK241" s="144">
        <f t="shared" si="369"/>
        <v>0.0165072606215083</v>
      </c>
      <c r="BL241" s="144">
        <f t="shared" si="369"/>
        <v>0.00677179713187254</v>
      </c>
      <c r="BM241" s="144">
        <f t="shared" si="369"/>
        <v>0.00440748251848533</v>
      </c>
      <c r="BN241" s="144">
        <f t="shared" si="369"/>
        <v>0.0022856070498898</v>
      </c>
      <c r="BO241" s="9">
        <f t="shared" ref="BO241:CT241" si="370">BO29/BO$211</f>
        <v>0.0143863776160691</v>
      </c>
      <c r="BP241" s="144">
        <f t="shared" si="370"/>
        <v>0.00885453369586596</v>
      </c>
      <c r="BQ241" s="144">
        <f t="shared" si="370"/>
        <v>0.0081945932382007</v>
      </c>
      <c r="BR241" s="144">
        <f t="shared" si="370"/>
        <v>0.00962717507703894</v>
      </c>
      <c r="BS241" s="144">
        <f t="shared" si="370"/>
        <v>0.0326356105512147</v>
      </c>
      <c r="BT241" s="144">
        <f t="shared" si="370"/>
        <v>0.0192201090011632</v>
      </c>
      <c r="BU241" s="144">
        <f t="shared" si="370"/>
        <v>0.0163491079843444</v>
      </c>
      <c r="BV241" s="144">
        <f t="shared" si="370"/>
        <v>0.0084867019196211</v>
      </c>
      <c r="BW241" s="144">
        <f t="shared" si="370"/>
        <v>0.0150764287753831</v>
      </c>
      <c r="BX241" s="144">
        <f t="shared" si="370"/>
        <v>0.0123477351547735</v>
      </c>
      <c r="BY241" s="144">
        <f t="shared" si="370"/>
        <v>0.0091512724177671</v>
      </c>
      <c r="BZ241" s="144">
        <f t="shared" si="370"/>
        <v>0.00658929171126877</v>
      </c>
      <c r="CA241" s="144">
        <f t="shared" si="370"/>
        <v>0.00653260601969862</v>
      </c>
      <c r="CB241" s="9">
        <f t="shared" si="370"/>
        <v>0.0122013577191068</v>
      </c>
      <c r="CC241" s="144">
        <f t="shared" si="370"/>
        <v>0.0112032163373779</v>
      </c>
      <c r="CD241" s="144">
        <f t="shared" si="370"/>
        <v>0.011537988679265</v>
      </c>
      <c r="CE241" s="144">
        <f t="shared" si="370"/>
        <v>0.0101586326869053</v>
      </c>
      <c r="CF241" s="144">
        <f t="shared" si="370"/>
        <v>0.0232849836719361</v>
      </c>
      <c r="CG241" s="144">
        <f t="shared" si="370"/>
        <v>0.0168450766649694</v>
      </c>
      <c r="CH241" s="144">
        <f t="shared" si="370"/>
        <v>0.015446649132444</v>
      </c>
      <c r="CI241" s="144">
        <f t="shared" si="370"/>
        <v>0.0123670840046038</v>
      </c>
      <c r="CJ241" s="144">
        <f t="shared" si="370"/>
        <v>0.016692534717819</v>
      </c>
      <c r="CK241" s="144">
        <f t="shared" si="370"/>
        <v>0.0191210595926865</v>
      </c>
      <c r="CL241" s="144">
        <f t="shared" si="370"/>
        <v>0.0138408437987202</v>
      </c>
      <c r="CM241" s="144">
        <f t="shared" si="370"/>
        <v>0.00928170859177095</v>
      </c>
      <c r="CN241" s="144">
        <f t="shared" si="370"/>
        <v>0</v>
      </c>
      <c r="CO241" s="9">
        <f t="shared" si="370"/>
        <v>0.0136832204140443</v>
      </c>
      <c r="CP241" s="144">
        <f t="shared" si="370"/>
        <v>0.0103597871414346</v>
      </c>
      <c r="CQ241" s="144">
        <f t="shared" si="370"/>
        <v>0.012122074326598</v>
      </c>
      <c r="CR241" s="144">
        <f t="shared" si="370"/>
        <v>0.0163229747800562</v>
      </c>
      <c r="CS241" s="144">
        <f t="shared" si="370"/>
        <v>0.060896134779052</v>
      </c>
      <c r="CT241" s="144">
        <f t="shared" si="370"/>
        <v>0.0326645392610061</v>
      </c>
      <c r="CU241" s="144">
        <f t="shared" ref="CU241:EB241" si="371">CU29/CU$211</f>
        <v>0.024736453235411</v>
      </c>
      <c r="CV241" s="144">
        <f t="shared" si="371"/>
        <v>0.0167325427609087</v>
      </c>
      <c r="CW241" s="144">
        <f t="shared" si="371"/>
        <v>0.0164800247806308</v>
      </c>
      <c r="CX241" s="144">
        <f t="shared" si="371"/>
        <v>0.0133909528662452</v>
      </c>
      <c r="CY241" s="144">
        <f t="shared" si="371"/>
        <v>0.00465247380394399</v>
      </c>
      <c r="CZ241" s="144">
        <f t="shared" si="371"/>
        <v>0.00251808853966949</v>
      </c>
      <c r="DA241" s="144">
        <f t="shared" si="371"/>
        <v>0.00150441688074931</v>
      </c>
      <c r="DB241" s="9">
        <f t="shared" si="371"/>
        <v>0.0170715782775637</v>
      </c>
      <c r="DC241" s="144">
        <f t="shared" si="371"/>
        <v>0.0135242105861661</v>
      </c>
      <c r="DD241" s="144">
        <f t="shared" si="371"/>
        <v>0.0120462599076822</v>
      </c>
      <c r="DE241" s="144">
        <f t="shared" si="371"/>
        <v>0.0150764510614213</v>
      </c>
      <c r="DF241" s="144">
        <f t="shared" si="371"/>
        <v>0.027138766602796</v>
      </c>
      <c r="DG241" s="144">
        <f t="shared" si="371"/>
        <v>0.0381094154361678</v>
      </c>
      <c r="DH241" s="144">
        <f t="shared" si="371"/>
        <v>0.039868035104512</v>
      </c>
      <c r="DI241" s="144">
        <f t="shared" si="371"/>
        <v>0.0306504812342873</v>
      </c>
      <c r="DJ241" s="144">
        <f t="shared" si="371"/>
        <v>0.0277148498065952</v>
      </c>
      <c r="DK241" s="144">
        <f t="shared" si="371"/>
        <v>0.0176514800749952</v>
      </c>
      <c r="DL241" s="144">
        <f t="shared" si="371"/>
        <v>0.00993195776396411</v>
      </c>
      <c r="DM241" s="144">
        <f t="shared" si="371"/>
        <v>0.00569274246623154</v>
      </c>
      <c r="DN241" s="144">
        <f t="shared" si="371"/>
        <v>0.00216355347894851</v>
      </c>
      <c r="DO241" s="9">
        <f t="shared" si="371"/>
        <v>0.0192902318463344</v>
      </c>
      <c r="DP241" s="144">
        <f t="shared" si="371"/>
        <v>0.00966731213371091</v>
      </c>
      <c r="DQ241" s="144">
        <f t="shared" si="371"/>
        <v>0.013208549364004</v>
      </c>
      <c r="DR241" s="144">
        <f t="shared" si="371"/>
        <v>0.0167534183159305</v>
      </c>
      <c r="DS241" s="144">
        <f t="shared" si="371"/>
        <v>0.0318415945493663</v>
      </c>
      <c r="DT241" s="144">
        <f t="shared" si="371"/>
        <v>0.0429648158060104</v>
      </c>
      <c r="DU241" s="144">
        <f t="shared" si="371"/>
        <v>0.0336597984500142</v>
      </c>
      <c r="DV241" s="144">
        <f t="shared" si="371"/>
        <v>0.0182665495900471</v>
      </c>
      <c r="DW241" s="144">
        <f t="shared" si="371"/>
        <v>0.0188647614598245</v>
      </c>
      <c r="DX241" s="144">
        <f t="shared" si="371"/>
        <v>0.0298798231312569</v>
      </c>
      <c r="DY241" s="144">
        <f t="shared" si="371"/>
        <v>0.015243644247218</v>
      </c>
      <c r="DZ241" s="144">
        <f t="shared" si="371"/>
        <v>0.00666209745172704</v>
      </c>
      <c r="EA241" s="144">
        <f t="shared" si="371"/>
        <v>0.00672072903351696</v>
      </c>
      <c r="EB241" s="117">
        <f t="shared" si="371"/>
        <v>0.0197872102950706</v>
      </c>
      <c r="EC241" s="118"/>
      <c r="ED241" s="117">
        <f t="shared" ref="ED241:FB241" si="372">ED29/ED$211</f>
        <v>0</v>
      </c>
      <c r="EE241" s="117">
        <f t="shared" si="372"/>
        <v>0</v>
      </c>
      <c r="EF241" s="117">
        <f t="shared" si="372"/>
        <v>0.1154867374968</v>
      </c>
      <c r="EG241" s="117" t="e">
        <f t="shared" si="372"/>
        <v>#DIV/0!</v>
      </c>
      <c r="EH241" s="117" t="e">
        <f t="shared" si="372"/>
        <v>#DIV/0!</v>
      </c>
      <c r="EI241" s="117" t="e">
        <f t="shared" si="372"/>
        <v>#DIV/0!</v>
      </c>
      <c r="EJ241" s="117" t="e">
        <f t="shared" si="372"/>
        <v>#DIV/0!</v>
      </c>
      <c r="EK241" s="117" t="e">
        <f t="shared" si="372"/>
        <v>#DIV/0!</v>
      </c>
      <c r="EL241" s="117" t="e">
        <f t="shared" si="372"/>
        <v>#DIV/0!</v>
      </c>
      <c r="EM241" s="117" t="e">
        <f t="shared" si="372"/>
        <v>#DIV/0!</v>
      </c>
      <c r="EN241" s="117" t="e">
        <f t="shared" si="372"/>
        <v>#DIV/0!</v>
      </c>
      <c r="EO241" s="116">
        <f t="shared" si="372"/>
        <v>0.0114722279085731</v>
      </c>
      <c r="EP241" s="117">
        <f t="shared" si="372"/>
        <v>0.00426938056672004</v>
      </c>
      <c r="EQ241" s="117">
        <f t="shared" si="372"/>
        <v>0.00640639614308788</v>
      </c>
      <c r="ER241" s="117">
        <f t="shared" si="372"/>
        <v>0.00590374673951783</v>
      </c>
      <c r="ES241" s="117">
        <f t="shared" si="372"/>
        <v>0.0117688906519051</v>
      </c>
      <c r="ET241" s="117">
        <f t="shared" si="372"/>
        <v>0.0155124433167631</v>
      </c>
      <c r="EU241" s="117">
        <f t="shared" si="372"/>
        <v>0.0234144231465371</v>
      </c>
      <c r="EV241" s="117">
        <f t="shared" si="372"/>
        <v>0.016796122128536</v>
      </c>
      <c r="EW241" s="117">
        <f t="shared" si="372"/>
        <v>0.0256363283492278</v>
      </c>
      <c r="EX241" s="117">
        <f t="shared" si="372"/>
        <v>0.0181053312072574</v>
      </c>
      <c r="EY241" s="117">
        <f t="shared" si="372"/>
        <v>0.0068500476247764</v>
      </c>
      <c r="EZ241" s="117">
        <f t="shared" si="372"/>
        <v>0.00126529659868235</v>
      </c>
      <c r="FA241" s="117">
        <f t="shared" si="372"/>
        <v>0</v>
      </c>
      <c r="FB241" s="117">
        <f t="shared" si="372"/>
        <v>0.0112473954167665</v>
      </c>
      <c r="FC241" s="118"/>
      <c r="FD241" s="117"/>
      <c r="FE241" s="117"/>
      <c r="FF241" s="117"/>
      <c r="FG241" s="117"/>
      <c r="FH241" s="117"/>
      <c r="FI241" s="117"/>
      <c r="FJ241" s="117"/>
      <c r="FK241" s="117" t="e">
        <f t="shared" si="211"/>
        <v>#DIV/0!</v>
      </c>
      <c r="FL241" s="117" t="e">
        <f t="shared" si="212"/>
        <v>#DIV/0!</v>
      </c>
      <c r="FM241" s="117" t="e">
        <f t="shared" si="213"/>
        <v>#DIV/0!</v>
      </c>
      <c r="FN241" s="117" t="e">
        <f t="shared" si="214"/>
        <v>#DIV/0!</v>
      </c>
      <c r="FO241" s="9" t="e">
        <f t="shared" si="215"/>
        <v>#DIV/0!</v>
      </c>
      <c r="FP241" s="118">
        <f t="shared" ref="FP241:GB241" si="373">FP29/FP$211</f>
        <v>0.0101886112384855</v>
      </c>
      <c r="FQ241" s="117">
        <f t="shared" si="373"/>
        <v>0.00895064944021437</v>
      </c>
      <c r="FR241" s="117">
        <f t="shared" si="373"/>
        <v>0.0105024090257457</v>
      </c>
      <c r="FS241" s="117">
        <f t="shared" si="373"/>
        <v>0.0660193589910443</v>
      </c>
      <c r="FT241" s="117">
        <f t="shared" si="373"/>
        <v>0.018659684301804</v>
      </c>
      <c r="FU241" s="117">
        <f t="shared" si="373"/>
        <v>0.0209733222045567</v>
      </c>
      <c r="FV241" s="117">
        <f t="shared" si="373"/>
        <v>0.00960208703348751</v>
      </c>
      <c r="FW241" s="117">
        <f t="shared" si="373"/>
        <v>0.0137898063860748</v>
      </c>
      <c r="FX241" s="117">
        <f t="shared" si="373"/>
        <v>0.0261954116083555</v>
      </c>
      <c r="FY241" s="117">
        <f t="shared" si="373"/>
        <v>0.004650868000804</v>
      </c>
      <c r="FZ241" s="117">
        <f t="shared" si="373"/>
        <v>0.00406216374014471</v>
      </c>
      <c r="GA241" s="117">
        <f t="shared" si="373"/>
        <v>0.00384273213747165</v>
      </c>
      <c r="GB241" s="116">
        <f t="shared" si="373"/>
        <v>0.0151394430326208</v>
      </c>
    </row>
    <row r="242" spans="1:184">
      <c r="A242" s="147" t="s">
        <v>85</v>
      </c>
      <c r="B242" s="160">
        <f t="shared" si="217"/>
        <v>-0.81120222176236</v>
      </c>
      <c r="C242" s="117">
        <f t="shared" ref="C242:AH242" si="374">C30/C$211</f>
        <v>0.000782813685592381</v>
      </c>
      <c r="D242" s="117">
        <f t="shared" si="374"/>
        <v>0.000739361984756854</v>
      </c>
      <c r="E242" s="117">
        <f t="shared" si="374"/>
        <v>0.000586411074899758</v>
      </c>
      <c r="F242" s="117">
        <f t="shared" si="374"/>
        <v>0.000408534099538043</v>
      </c>
      <c r="G242" s="117">
        <f t="shared" si="374"/>
        <v>0.000238983451305129</v>
      </c>
      <c r="H242" s="117">
        <f t="shared" si="374"/>
        <v>0.000190825321648873</v>
      </c>
      <c r="I242" s="117">
        <f t="shared" si="374"/>
        <v>0.000142981514260538</v>
      </c>
      <c r="J242" s="117">
        <f t="shared" si="374"/>
        <v>9.65767605509955e-5</v>
      </c>
      <c r="K242" s="117">
        <f t="shared" si="374"/>
        <v>8.46744259240537e-5</v>
      </c>
      <c r="L242" s="117">
        <f t="shared" si="374"/>
        <v>5.36746670441027e-5</v>
      </c>
      <c r="M242" s="117">
        <f t="shared" si="374"/>
        <v>3.84472509265351e-5</v>
      </c>
      <c r="N242" s="117">
        <f t="shared" si="374"/>
        <v>3.98365642838437e-5</v>
      </c>
      <c r="O242" s="9">
        <f t="shared" si="374"/>
        <v>0.000306862501763612</v>
      </c>
      <c r="P242" s="117">
        <f t="shared" si="374"/>
        <v>0.000850225212410668</v>
      </c>
      <c r="Q242" s="117">
        <f t="shared" si="374"/>
        <v>0.000366551474664601</v>
      </c>
      <c r="R242" s="117">
        <f t="shared" si="374"/>
        <v>0.000246557275832002</v>
      </c>
      <c r="S242" s="117">
        <f t="shared" si="374"/>
        <v>0.000264862971921193</v>
      </c>
      <c r="T242" s="117">
        <f t="shared" si="374"/>
        <v>0.000165066031638518</v>
      </c>
      <c r="U242" s="117">
        <f t="shared" si="374"/>
        <v>0.000145659938605895</v>
      </c>
      <c r="V242" s="117">
        <f t="shared" si="374"/>
        <v>0.000130613788754553</v>
      </c>
      <c r="W242" s="117">
        <f t="shared" si="374"/>
        <v>0.00010822432066725</v>
      </c>
      <c r="X242" s="117">
        <f t="shared" si="374"/>
        <v>0.000110817479091977</v>
      </c>
      <c r="Y242" s="117">
        <f t="shared" si="374"/>
        <v>0</v>
      </c>
      <c r="Z242" s="117">
        <f t="shared" si="374"/>
        <v>0</v>
      </c>
      <c r="AA242" s="117">
        <f t="shared" si="374"/>
        <v>0</v>
      </c>
      <c r="AB242" s="9">
        <f t="shared" si="374"/>
        <v>0.00021568592248039</v>
      </c>
      <c r="AC242" s="117">
        <f t="shared" si="374"/>
        <v>0.00141570824167619</v>
      </c>
      <c r="AD242" s="117">
        <f t="shared" si="374"/>
        <v>0.00126227597014323</v>
      </c>
      <c r="AE242" s="117">
        <f t="shared" si="374"/>
        <v>0.00105709513936079</v>
      </c>
      <c r="AF242" s="117">
        <f t="shared" si="374"/>
        <v>0.000998129895374705</v>
      </c>
      <c r="AG242" s="117">
        <f t="shared" si="374"/>
        <v>0.000845928312502375</v>
      </c>
      <c r="AH242" s="117">
        <f t="shared" si="374"/>
        <v>0.000567376715937685</v>
      </c>
      <c r="AI242" s="117">
        <f t="shared" ref="AI242:BN242" si="375">AI30/AI$211</f>
        <v>0.000339682236839802</v>
      </c>
      <c r="AJ242" s="117">
        <f t="shared" si="375"/>
        <v>0</v>
      </c>
      <c r="AK242" s="117">
        <f t="shared" si="375"/>
        <v>0</v>
      </c>
      <c r="AL242" s="117">
        <f t="shared" si="375"/>
        <v>0</v>
      </c>
      <c r="AM242" s="117">
        <f t="shared" si="375"/>
        <v>0</v>
      </c>
      <c r="AN242" s="117">
        <f t="shared" si="375"/>
        <v>0</v>
      </c>
      <c r="AO242" s="9">
        <f t="shared" si="375"/>
        <v>0.000485695784456987</v>
      </c>
      <c r="AP242" s="144">
        <f t="shared" si="375"/>
        <v>0.000481358090769785</v>
      </c>
      <c r="AQ242" s="144">
        <f t="shared" si="375"/>
        <v>0.000572144814844013</v>
      </c>
      <c r="AR242" s="144">
        <f t="shared" si="375"/>
        <v>0.000585964561271197</v>
      </c>
      <c r="AS242" s="144">
        <f t="shared" si="375"/>
        <v>0.000211582763076816</v>
      </c>
      <c r="AT242" s="144">
        <f t="shared" si="375"/>
        <v>0.000157886823114793</v>
      </c>
      <c r="AU242" s="144">
        <f t="shared" si="375"/>
        <v>0.00010601958005798</v>
      </c>
      <c r="AV242" s="144">
        <f t="shared" si="375"/>
        <v>8.73860329932511e-5</v>
      </c>
      <c r="AW242" s="144">
        <f t="shared" si="375"/>
        <v>7.69915176424141e-5</v>
      </c>
      <c r="AX242" s="144">
        <f t="shared" si="375"/>
        <v>7.66153979124695e-5</v>
      </c>
      <c r="AY242" s="144">
        <f t="shared" si="375"/>
        <v>8.19989230015852e-5</v>
      </c>
      <c r="AZ242" s="144">
        <f t="shared" si="375"/>
        <v>7.88652450968754e-5</v>
      </c>
      <c r="BA242" s="144">
        <f t="shared" si="375"/>
        <v>7.39756223902657e-5</v>
      </c>
      <c r="BB242" s="9">
        <f t="shared" si="375"/>
        <v>0.000213645774576768</v>
      </c>
      <c r="BC242" s="144">
        <f t="shared" si="375"/>
        <v>0.000311267621102009</v>
      </c>
      <c r="BD242" s="144">
        <f t="shared" si="375"/>
        <v>0.000236736675462759</v>
      </c>
      <c r="BE242" s="144">
        <f t="shared" si="375"/>
        <v>0.000378549789932025</v>
      </c>
      <c r="BF242" s="144">
        <f t="shared" si="375"/>
        <v>0.000130988182233396</v>
      </c>
      <c r="BG242" s="144">
        <f t="shared" si="375"/>
        <v>0.000249135493805534</v>
      </c>
      <c r="BH242" s="144">
        <f t="shared" si="375"/>
        <v>0.00021099352283473</v>
      </c>
      <c r="BI242" s="144">
        <f t="shared" si="375"/>
        <v>0.000173754686868796</v>
      </c>
      <c r="BJ242" s="144">
        <f t="shared" si="375"/>
        <v>0.000154373025038719</v>
      </c>
      <c r="BK242" s="144">
        <f t="shared" si="375"/>
        <v>0</v>
      </c>
      <c r="BL242" s="144">
        <f t="shared" si="375"/>
        <v>0</v>
      </c>
      <c r="BM242" s="144">
        <f t="shared" si="375"/>
        <v>0</v>
      </c>
      <c r="BN242" s="144">
        <f t="shared" si="375"/>
        <v>0</v>
      </c>
      <c r="BO242" s="9">
        <f t="shared" ref="BO242:CT242" si="376">BO30/BO$211</f>
        <v>0.000153117551452466</v>
      </c>
      <c r="BP242" s="144">
        <f t="shared" si="376"/>
        <v>0.00185441205627445</v>
      </c>
      <c r="BQ242" s="144">
        <f t="shared" si="376"/>
        <v>0.00204997370140123</v>
      </c>
      <c r="BR242" s="144">
        <f t="shared" si="376"/>
        <v>0.00158504547041941</v>
      </c>
      <c r="BS242" s="144">
        <f t="shared" si="376"/>
        <v>0.00104622386579193</v>
      </c>
      <c r="BT242" s="144">
        <f t="shared" si="376"/>
        <v>0.000194035742421196</v>
      </c>
      <c r="BU242" s="144">
        <f t="shared" si="376"/>
        <v>0</v>
      </c>
      <c r="BV242" s="144">
        <f t="shared" si="376"/>
        <v>0</v>
      </c>
      <c r="BW242" s="144">
        <f t="shared" si="376"/>
        <v>0</v>
      </c>
      <c r="BX242" s="144">
        <f t="shared" si="376"/>
        <v>0</v>
      </c>
      <c r="BY242" s="144">
        <f t="shared" si="376"/>
        <v>0</v>
      </c>
      <c r="BZ242" s="144">
        <f t="shared" si="376"/>
        <v>0</v>
      </c>
      <c r="CA242" s="144">
        <f t="shared" si="376"/>
        <v>0</v>
      </c>
      <c r="CB242" s="9">
        <f t="shared" si="376"/>
        <v>0.000710374343338031</v>
      </c>
      <c r="CC242" s="144">
        <f t="shared" si="376"/>
        <v>0.00129945035606388</v>
      </c>
      <c r="CD242" s="144">
        <f t="shared" si="376"/>
        <v>0.00141067130637852</v>
      </c>
      <c r="CE242" s="144">
        <f t="shared" si="376"/>
        <v>0.00118260340850673</v>
      </c>
      <c r="CF242" s="144">
        <f t="shared" si="376"/>
        <v>0.000823214949836794</v>
      </c>
      <c r="CG242" s="144">
        <f t="shared" si="376"/>
        <v>0.000491758139030334</v>
      </c>
      <c r="CH242" s="144">
        <f t="shared" si="376"/>
        <v>0.00103173386036737</v>
      </c>
      <c r="CI242" s="144">
        <f t="shared" si="376"/>
        <v>0.000730835317719925</v>
      </c>
      <c r="CJ242" s="144">
        <f t="shared" si="376"/>
        <v>0.000662128550284684</v>
      </c>
      <c r="CK242" s="144">
        <f t="shared" si="376"/>
        <v>0.000684453939127031</v>
      </c>
      <c r="CL242" s="144">
        <f t="shared" si="376"/>
        <v>0.00062842965647209</v>
      </c>
      <c r="CM242" s="144">
        <f t="shared" si="376"/>
        <v>0</v>
      </c>
      <c r="CN242" s="144">
        <f t="shared" si="376"/>
        <v>0</v>
      </c>
      <c r="CO242" s="9">
        <f t="shared" si="376"/>
        <v>0.000741043276168868</v>
      </c>
      <c r="CP242" s="144">
        <f t="shared" si="376"/>
        <v>0.000531034073289926</v>
      </c>
      <c r="CQ242" s="144">
        <f t="shared" si="376"/>
        <v>0.000225605538076716</v>
      </c>
      <c r="CR242" s="144">
        <f t="shared" si="376"/>
        <v>8.37773682048738e-5</v>
      </c>
      <c r="CS242" s="144">
        <f t="shared" si="376"/>
        <v>2.62446540351182e-6</v>
      </c>
      <c r="CT242" s="144">
        <f t="shared" si="376"/>
        <v>5.01852778988097e-6</v>
      </c>
      <c r="CU242" s="144">
        <f t="shared" ref="CU242:EB242" si="377">CU30/CU$211</f>
        <v>2.34002776713149e-5</v>
      </c>
      <c r="CV242" s="144">
        <f t="shared" si="377"/>
        <v>2.1684032297459e-5</v>
      </c>
      <c r="CW242" s="144">
        <f t="shared" si="377"/>
        <v>2.03154598513831e-5</v>
      </c>
      <c r="CX242" s="144">
        <f t="shared" si="377"/>
        <v>0</v>
      </c>
      <c r="CY242" s="144">
        <f t="shared" si="377"/>
        <v>0</v>
      </c>
      <c r="CZ242" s="144">
        <f t="shared" si="377"/>
        <v>0</v>
      </c>
      <c r="DA242" s="144">
        <f t="shared" si="377"/>
        <v>0</v>
      </c>
      <c r="DB242" s="9">
        <f t="shared" si="377"/>
        <v>9.45856411601106e-5</v>
      </c>
      <c r="DC242" s="144">
        <f t="shared" si="377"/>
        <v>0.000766789952227441</v>
      </c>
      <c r="DD242" s="144">
        <f t="shared" si="377"/>
        <v>0.000858835582257352</v>
      </c>
      <c r="DE242" s="144">
        <f t="shared" si="377"/>
        <v>0.000956502488824826</v>
      </c>
      <c r="DF242" s="144">
        <f t="shared" si="377"/>
        <v>0.000865019089428395</v>
      </c>
      <c r="DG242" s="144">
        <f t="shared" si="377"/>
        <v>0.000741850266460637</v>
      </c>
      <c r="DH242" s="144">
        <f t="shared" si="377"/>
        <v>0.000683754033524868</v>
      </c>
      <c r="DI242" s="144">
        <f t="shared" si="377"/>
        <v>0.000439593266507134</v>
      </c>
      <c r="DJ242" s="144">
        <f t="shared" si="377"/>
        <v>0.000214683003778213</v>
      </c>
      <c r="DK242" s="144">
        <f t="shared" si="377"/>
        <v>0.000214894805359289</v>
      </c>
      <c r="DL242" s="144">
        <f t="shared" si="377"/>
        <v>0.000212322137471917</v>
      </c>
      <c r="DM242" s="144">
        <f t="shared" si="377"/>
        <v>0.000236104526249234</v>
      </c>
      <c r="DN242" s="144">
        <f t="shared" si="377"/>
        <v>0.000213977816599303</v>
      </c>
      <c r="DO242" s="9">
        <f t="shared" si="377"/>
        <v>0.000558614543522309</v>
      </c>
      <c r="DP242" s="144">
        <f t="shared" si="377"/>
        <v>0</v>
      </c>
      <c r="DQ242" s="144">
        <f t="shared" si="377"/>
        <v>0</v>
      </c>
      <c r="DR242" s="144">
        <f t="shared" si="377"/>
        <v>0</v>
      </c>
      <c r="DS242" s="144">
        <f t="shared" si="377"/>
        <v>0</v>
      </c>
      <c r="DT242" s="144">
        <f t="shared" si="377"/>
        <v>0</v>
      </c>
      <c r="DU242" s="144">
        <f t="shared" si="377"/>
        <v>0</v>
      </c>
      <c r="DV242" s="144">
        <f t="shared" si="377"/>
        <v>0</v>
      </c>
      <c r="DW242" s="144">
        <f t="shared" si="377"/>
        <v>0</v>
      </c>
      <c r="DX242" s="144">
        <f t="shared" si="377"/>
        <v>0</v>
      </c>
      <c r="DY242" s="144">
        <f t="shared" si="377"/>
        <v>0</v>
      </c>
      <c r="DZ242" s="144">
        <f t="shared" si="377"/>
        <v>0</v>
      </c>
      <c r="EA242" s="144">
        <f t="shared" si="377"/>
        <v>0</v>
      </c>
      <c r="EB242" s="117">
        <f t="shared" si="377"/>
        <v>0</v>
      </c>
      <c r="EC242" s="118"/>
      <c r="ED242" s="117">
        <f t="shared" ref="ED242:FB242" si="378">ED30/ED$211</f>
        <v>0</v>
      </c>
      <c r="EE242" s="117">
        <f t="shared" si="378"/>
        <v>0</v>
      </c>
      <c r="EF242" s="117">
        <f t="shared" si="378"/>
        <v>0</v>
      </c>
      <c r="EG242" s="117" t="e">
        <f t="shared" si="378"/>
        <v>#DIV/0!</v>
      </c>
      <c r="EH242" s="117" t="e">
        <f t="shared" si="378"/>
        <v>#DIV/0!</v>
      </c>
      <c r="EI242" s="117" t="e">
        <f t="shared" si="378"/>
        <v>#DIV/0!</v>
      </c>
      <c r="EJ242" s="117" t="e">
        <f t="shared" si="378"/>
        <v>#DIV/0!</v>
      </c>
      <c r="EK242" s="117" t="e">
        <f t="shared" si="378"/>
        <v>#DIV/0!</v>
      </c>
      <c r="EL242" s="117" t="e">
        <f t="shared" si="378"/>
        <v>#DIV/0!</v>
      </c>
      <c r="EM242" s="117" t="e">
        <f t="shared" si="378"/>
        <v>#DIV/0!</v>
      </c>
      <c r="EN242" s="117" t="e">
        <f t="shared" si="378"/>
        <v>#DIV/0!</v>
      </c>
      <c r="EO242" s="116">
        <f t="shared" si="378"/>
        <v>0.00152422238169493</v>
      </c>
      <c r="EP242" s="117">
        <f t="shared" si="378"/>
        <v>0</v>
      </c>
      <c r="EQ242" s="117">
        <f t="shared" si="378"/>
        <v>0</v>
      </c>
      <c r="ER242" s="117">
        <f t="shared" si="378"/>
        <v>0</v>
      </c>
      <c r="ES242" s="117">
        <f t="shared" si="378"/>
        <v>0</v>
      </c>
      <c r="ET242" s="117">
        <f t="shared" si="378"/>
        <v>0</v>
      </c>
      <c r="EU242" s="117">
        <f t="shared" si="378"/>
        <v>0</v>
      </c>
      <c r="EV242" s="117">
        <f t="shared" si="378"/>
        <v>0</v>
      </c>
      <c r="EW242" s="117">
        <f t="shared" si="378"/>
        <v>0</v>
      </c>
      <c r="EX242" s="117">
        <f t="shared" si="378"/>
        <v>0</v>
      </c>
      <c r="EY242" s="117">
        <f t="shared" si="378"/>
        <v>0</v>
      </c>
      <c r="EZ242" s="117">
        <f t="shared" si="378"/>
        <v>0</v>
      </c>
      <c r="FA242" s="117">
        <f t="shared" si="378"/>
        <v>0</v>
      </c>
      <c r="FB242" s="117">
        <f t="shared" si="378"/>
        <v>0</v>
      </c>
      <c r="FC242" s="118"/>
      <c r="FD242" s="117"/>
      <c r="FE242" s="117"/>
      <c r="FF242" s="117"/>
      <c r="FG242" s="117"/>
      <c r="FH242" s="117"/>
      <c r="FI242" s="117"/>
      <c r="FJ242" s="117"/>
      <c r="FK242" s="117" t="e">
        <f t="shared" si="211"/>
        <v>#DIV/0!</v>
      </c>
      <c r="FL242" s="117" t="e">
        <f t="shared" si="212"/>
        <v>#DIV/0!</v>
      </c>
      <c r="FM242" s="117" t="e">
        <f t="shared" si="213"/>
        <v>#DIV/0!</v>
      </c>
      <c r="FN242" s="117" t="e">
        <f t="shared" si="214"/>
        <v>#DIV/0!</v>
      </c>
      <c r="FO242" s="9" t="e">
        <f t="shared" si="215"/>
        <v>#DIV/0!</v>
      </c>
      <c r="FP242" s="118">
        <f t="shared" ref="FP242:GB242" si="379">FP30/FP$211</f>
        <v>0.000255513093496081</v>
      </c>
      <c r="FQ242" s="117">
        <f t="shared" si="379"/>
        <v>0.000279244320131224</v>
      </c>
      <c r="FR242" s="117">
        <f t="shared" si="379"/>
        <v>0.000250292065415414</v>
      </c>
      <c r="FS242" s="117">
        <f t="shared" si="379"/>
        <v>0.00021434555483737</v>
      </c>
      <c r="FT242" s="117">
        <f t="shared" si="379"/>
        <v>0.000273308976329253</v>
      </c>
      <c r="FU242" s="117">
        <f t="shared" si="379"/>
        <v>0.000281114332721639</v>
      </c>
      <c r="FV242" s="117">
        <f t="shared" si="379"/>
        <v>0.000225143801085995</v>
      </c>
      <c r="FW242" s="117">
        <f t="shared" si="379"/>
        <v>0.000189512500302503</v>
      </c>
      <c r="FX242" s="117">
        <f t="shared" si="379"/>
        <v>0.000213936461904324</v>
      </c>
      <c r="FY242" s="117">
        <f t="shared" si="379"/>
        <v>0.000132901815477322</v>
      </c>
      <c r="FZ242" s="117">
        <f t="shared" si="379"/>
        <v>0.000121884048588782</v>
      </c>
      <c r="GA242" s="117">
        <f t="shared" si="379"/>
        <v>0.000115795211013545</v>
      </c>
      <c r="GB242" s="116">
        <f t="shared" si="379"/>
        <v>0.00021041570923012</v>
      </c>
    </row>
    <row r="243" spans="1:184">
      <c r="A243" s="147" t="s">
        <v>87</v>
      </c>
      <c r="B243" s="160">
        <f t="shared" si="217"/>
        <v>-0.77706569833351</v>
      </c>
      <c r="C243" s="117">
        <f t="shared" ref="C243:AH243" si="380">C31/C$211</f>
        <v>0.000606361051803981</v>
      </c>
      <c r="D243" s="117">
        <f t="shared" si="380"/>
        <v>0.000535539830731251</v>
      </c>
      <c r="E243" s="117">
        <f t="shared" si="380"/>
        <v>0.00161247276134809</v>
      </c>
      <c r="F243" s="117">
        <f t="shared" si="380"/>
        <v>0.00119290634349233</v>
      </c>
      <c r="G243" s="117">
        <f t="shared" si="380"/>
        <v>0.000856836607487134</v>
      </c>
      <c r="H243" s="117">
        <f t="shared" si="380"/>
        <v>0.000657587602305622</v>
      </c>
      <c r="I243" s="117">
        <f t="shared" si="380"/>
        <v>0.000501058508313242</v>
      </c>
      <c r="J243" s="117">
        <f t="shared" si="380"/>
        <v>0.000370231218237768</v>
      </c>
      <c r="K243" s="117">
        <f t="shared" si="380"/>
        <v>0.000264331220052514</v>
      </c>
      <c r="L243" s="117">
        <f t="shared" si="380"/>
        <v>0.00016073635375456</v>
      </c>
      <c r="M243" s="117">
        <f t="shared" si="380"/>
        <v>0.000157383825722541</v>
      </c>
      <c r="N243" s="117">
        <f t="shared" si="380"/>
        <v>0.00016180415426208</v>
      </c>
      <c r="O243" s="9">
        <f t="shared" si="380"/>
        <v>0.00057612018913919</v>
      </c>
      <c r="P243" s="117">
        <f t="shared" si="380"/>
        <v>0.000566993424871035</v>
      </c>
      <c r="Q243" s="117">
        <f t="shared" si="380"/>
        <v>0.000109860962317631</v>
      </c>
      <c r="R243" s="117">
        <f t="shared" si="380"/>
        <v>0.000352459377294636</v>
      </c>
      <c r="S243" s="117">
        <f t="shared" si="380"/>
        <v>0.000304697651046657</v>
      </c>
      <c r="T243" s="117">
        <f t="shared" si="380"/>
        <v>0.000315071094740139</v>
      </c>
      <c r="U243" s="117">
        <f t="shared" si="380"/>
        <v>0.000226582126720281</v>
      </c>
      <c r="V243" s="117">
        <f t="shared" si="380"/>
        <v>0.000171513055940322</v>
      </c>
      <c r="W243" s="117">
        <f t="shared" si="380"/>
        <v>0.00014211274431053</v>
      </c>
      <c r="X243" s="117">
        <f t="shared" si="380"/>
        <v>0.000145517901837949</v>
      </c>
      <c r="Y243" s="117">
        <f t="shared" si="380"/>
        <v>0.000147230156402305</v>
      </c>
      <c r="Z243" s="117">
        <f t="shared" si="380"/>
        <v>0.000147090178457793</v>
      </c>
      <c r="AA243" s="117">
        <f t="shared" si="380"/>
        <v>0.000155641153930013</v>
      </c>
      <c r="AB243" s="9">
        <f t="shared" si="380"/>
        <v>0.000236144364337152</v>
      </c>
      <c r="AC243" s="117">
        <f t="shared" si="380"/>
        <v>0.000593929876703268</v>
      </c>
      <c r="AD243" s="117">
        <f t="shared" si="380"/>
        <v>0.000581212275478056</v>
      </c>
      <c r="AE243" s="117">
        <f t="shared" si="380"/>
        <v>0.00125542635402307</v>
      </c>
      <c r="AF243" s="117">
        <f t="shared" si="380"/>
        <v>0.00139220083388311</v>
      </c>
      <c r="AG243" s="117">
        <f t="shared" si="380"/>
        <v>0.00123827264879872</v>
      </c>
      <c r="AH243" s="117">
        <f t="shared" si="380"/>
        <v>0.00108431994601424</v>
      </c>
      <c r="AI243" s="117">
        <f t="shared" ref="AI243:BN243" si="381">AI31/AI$211</f>
        <v>0.00092846478069546</v>
      </c>
      <c r="AJ243" s="117">
        <f t="shared" si="381"/>
        <v>0.000553151149176469</v>
      </c>
      <c r="AK243" s="117">
        <f t="shared" si="381"/>
        <v>0.000545777920438133</v>
      </c>
      <c r="AL243" s="117">
        <f t="shared" si="381"/>
        <v>1.90657944909986e-5</v>
      </c>
      <c r="AM243" s="117">
        <f t="shared" si="381"/>
        <v>0</v>
      </c>
      <c r="AN243" s="117">
        <f t="shared" si="381"/>
        <v>0</v>
      </c>
      <c r="AO243" s="9">
        <f t="shared" si="381"/>
        <v>0.000630513698888017</v>
      </c>
      <c r="AP243" s="144">
        <f t="shared" si="381"/>
        <v>0.000140267835526664</v>
      </c>
      <c r="AQ243" s="144">
        <f t="shared" si="381"/>
        <v>0.00024562929884112</v>
      </c>
      <c r="AR243" s="144">
        <f t="shared" si="381"/>
        <v>0.00119155447248475</v>
      </c>
      <c r="AS243" s="144">
        <f t="shared" si="381"/>
        <v>0.000494465604178224</v>
      </c>
      <c r="AT243" s="144">
        <f t="shared" si="381"/>
        <v>0.000340583696812779</v>
      </c>
      <c r="AU243" s="144">
        <f t="shared" si="381"/>
        <v>0.000141359440077307</v>
      </c>
      <c r="AV243" s="144">
        <f t="shared" si="381"/>
        <v>0.000116514710657668</v>
      </c>
      <c r="AW243" s="144">
        <f t="shared" si="381"/>
        <v>0.000102655356856552</v>
      </c>
      <c r="AX243" s="144">
        <f t="shared" si="381"/>
        <v>0.000102153863883293</v>
      </c>
      <c r="AY243" s="144">
        <f t="shared" si="381"/>
        <v>0.000109331897335447</v>
      </c>
      <c r="AZ243" s="144">
        <f t="shared" si="381"/>
        <v>0.000105153660129167</v>
      </c>
      <c r="BA243" s="144">
        <f t="shared" si="381"/>
        <v>9.86341631870209e-5</v>
      </c>
      <c r="BB243" s="9">
        <f t="shared" si="381"/>
        <v>0.000252221737492516</v>
      </c>
      <c r="BC243" s="144">
        <f t="shared" si="381"/>
        <v>0.00056624223728515</v>
      </c>
      <c r="BD243" s="144">
        <f t="shared" si="381"/>
        <v>0.000550320321470106</v>
      </c>
      <c r="BE243" s="144">
        <f t="shared" si="381"/>
        <v>0.00337988388964479</v>
      </c>
      <c r="BF243" s="144">
        <f t="shared" si="381"/>
        <v>0.00193775909983992</v>
      </c>
      <c r="BG243" s="144">
        <f t="shared" si="381"/>
        <v>0.00112701467496404</v>
      </c>
      <c r="BH243" s="144">
        <f t="shared" si="381"/>
        <v>0.000776992020597736</v>
      </c>
      <c r="BI243" s="144">
        <f t="shared" si="381"/>
        <v>0.0006398585294216</v>
      </c>
      <c r="BJ243" s="144">
        <f t="shared" si="381"/>
        <v>0.00042146286201047</v>
      </c>
      <c r="BK243" s="144">
        <f t="shared" si="381"/>
        <v>0.00029902887447731</v>
      </c>
      <c r="BL243" s="144">
        <f t="shared" si="381"/>
        <v>0.00015390448026983</v>
      </c>
      <c r="BM243" s="144">
        <f t="shared" si="381"/>
        <v>0.000146916083949511</v>
      </c>
      <c r="BN243" s="144">
        <f t="shared" si="381"/>
        <v>0.000152373803325987</v>
      </c>
      <c r="BO243" s="9">
        <f t="shared" ref="BO243:CT243" si="382">BO31/BO$211</f>
        <v>0.000764290869169914</v>
      </c>
      <c r="BP243" s="144">
        <f t="shared" si="382"/>
        <v>0.000517641575694431</v>
      </c>
      <c r="BQ243" s="144">
        <f t="shared" si="382"/>
        <v>0.000684649881212495</v>
      </c>
      <c r="BR243" s="144">
        <f t="shared" si="382"/>
        <v>0.00129547440444256</v>
      </c>
      <c r="BS243" s="144">
        <f t="shared" si="382"/>
        <v>0.00116600962001697</v>
      </c>
      <c r="BT243" s="144">
        <f t="shared" si="382"/>
        <v>0.000988301399855401</v>
      </c>
      <c r="BU243" s="144">
        <f t="shared" si="382"/>
        <v>0.000638155103028879</v>
      </c>
      <c r="BV243" s="144">
        <f t="shared" si="382"/>
        <v>0.000571155447803499</v>
      </c>
      <c r="BW243" s="144">
        <f t="shared" si="382"/>
        <v>0.000544315348973687</v>
      </c>
      <c r="BX243" s="144">
        <f t="shared" si="382"/>
        <v>0.000477563676275015</v>
      </c>
      <c r="BY243" s="144">
        <f t="shared" si="382"/>
        <v>0.000339875856894143</v>
      </c>
      <c r="BZ243" s="144">
        <f t="shared" si="382"/>
        <v>0.000360331060010915</v>
      </c>
      <c r="CA243" s="144">
        <f t="shared" si="382"/>
        <v>0.000417960551327964</v>
      </c>
      <c r="CB243" s="9">
        <f t="shared" si="382"/>
        <v>0.000662543947736151</v>
      </c>
      <c r="CC243" s="144">
        <f t="shared" si="382"/>
        <v>0.00129157195717602</v>
      </c>
      <c r="CD243" s="144">
        <f t="shared" si="382"/>
        <v>0.00243606433409049</v>
      </c>
      <c r="CE243" s="144">
        <f t="shared" si="382"/>
        <v>0.0021661396653788</v>
      </c>
      <c r="CF243" s="144">
        <f t="shared" si="382"/>
        <v>0.00131564926634313</v>
      </c>
      <c r="CG243" s="144">
        <f t="shared" si="382"/>
        <v>0.000523381942931335</v>
      </c>
      <c r="CH243" s="144">
        <f t="shared" si="382"/>
        <v>0.000411274406705202</v>
      </c>
      <c r="CI243" s="144">
        <f t="shared" si="382"/>
        <v>0.000294452184722338</v>
      </c>
      <c r="CJ243" s="144">
        <f t="shared" si="382"/>
        <v>0.00027861307075875</v>
      </c>
      <c r="CK243" s="144">
        <f t="shared" si="382"/>
        <v>0.000272944382599536</v>
      </c>
      <c r="CL243" s="144">
        <f t="shared" si="382"/>
        <v>0.000240891744643903</v>
      </c>
      <c r="CM243" s="144">
        <f t="shared" si="382"/>
        <v>0.000245882405283789</v>
      </c>
      <c r="CN243" s="144">
        <f t="shared" si="382"/>
        <v>0.000272405521734654</v>
      </c>
      <c r="CO243" s="9">
        <f t="shared" si="382"/>
        <v>0.000731260212428254</v>
      </c>
      <c r="CP243" s="144">
        <f t="shared" si="382"/>
        <v>0.000450092159214346</v>
      </c>
      <c r="CQ243" s="144">
        <f t="shared" si="382"/>
        <v>0.000582207840197977</v>
      </c>
      <c r="CR243" s="144">
        <f t="shared" si="382"/>
        <v>0.0031165757752717</v>
      </c>
      <c r="CS243" s="144">
        <f t="shared" si="382"/>
        <v>0.00160357998161082</v>
      </c>
      <c r="CT243" s="144">
        <f t="shared" si="382"/>
        <v>0.00119066083419682</v>
      </c>
      <c r="CU243" s="144">
        <f t="shared" ref="CU243:EB243" si="383">CU31/CU$211</f>
        <v>0.000764409070596286</v>
      </c>
      <c r="CV243" s="144">
        <f t="shared" si="383"/>
        <v>0.000708345055050327</v>
      </c>
      <c r="CW243" s="144">
        <f t="shared" si="383"/>
        <v>0.000663638355145181</v>
      </c>
      <c r="CX243" s="144">
        <f t="shared" si="383"/>
        <v>0</v>
      </c>
      <c r="CY243" s="144">
        <f t="shared" si="383"/>
        <v>0</v>
      </c>
      <c r="CZ243" s="144">
        <f t="shared" si="383"/>
        <v>0</v>
      </c>
      <c r="DA243" s="144">
        <f t="shared" si="383"/>
        <v>0</v>
      </c>
      <c r="DB243" s="9">
        <f t="shared" si="383"/>
        <v>0.000743594266855318</v>
      </c>
      <c r="DC243" s="144">
        <f t="shared" si="383"/>
        <v>0.000872137777735962</v>
      </c>
      <c r="DD243" s="144">
        <f t="shared" si="383"/>
        <v>0.000606950481733836</v>
      </c>
      <c r="DE243" s="144">
        <f t="shared" si="383"/>
        <v>0.0126628585742422</v>
      </c>
      <c r="DF243" s="144">
        <f t="shared" si="383"/>
        <v>0.00192452897906826</v>
      </c>
      <c r="DG243" s="144">
        <f t="shared" si="383"/>
        <v>0.00707776891849689</v>
      </c>
      <c r="DH243" s="144">
        <f t="shared" si="383"/>
        <v>0.000861023597772056</v>
      </c>
      <c r="DI243" s="144">
        <f t="shared" si="383"/>
        <v>0.000830342836735698</v>
      </c>
      <c r="DJ243" s="144">
        <f t="shared" si="383"/>
        <v>0.0005247806759023</v>
      </c>
      <c r="DK243" s="144">
        <f t="shared" si="383"/>
        <v>0.000525298413100485</v>
      </c>
      <c r="DL243" s="144">
        <f t="shared" si="383"/>
        <v>0.000519009669375797</v>
      </c>
      <c r="DM243" s="144">
        <f t="shared" si="383"/>
        <v>0.000577144397498128</v>
      </c>
      <c r="DN243" s="144">
        <f t="shared" si="383"/>
        <v>0.000523056885020519</v>
      </c>
      <c r="DO243" s="9">
        <f t="shared" si="383"/>
        <v>0.00222592866126217</v>
      </c>
      <c r="DP243" s="144">
        <f t="shared" si="383"/>
        <v>0.000870189886437699</v>
      </c>
      <c r="DQ243" s="144">
        <f t="shared" si="383"/>
        <v>0.00069240612571382</v>
      </c>
      <c r="DR243" s="144">
        <f t="shared" si="383"/>
        <v>0.00148817815344332</v>
      </c>
      <c r="DS243" s="144">
        <f t="shared" si="383"/>
        <v>0.00251276486577098</v>
      </c>
      <c r="DT243" s="144">
        <f t="shared" si="383"/>
        <v>0.00142973502799971</v>
      </c>
      <c r="DU243" s="144">
        <f t="shared" si="383"/>
        <v>0.00166519167811506</v>
      </c>
      <c r="DV243" s="144">
        <f t="shared" si="383"/>
        <v>0.00102282470097635</v>
      </c>
      <c r="DW243" s="144">
        <f t="shared" si="383"/>
        <v>0.000770524517311195</v>
      </c>
      <c r="DX243" s="144">
        <f t="shared" si="383"/>
        <v>0.000189844180115721</v>
      </c>
      <c r="DY243" s="144">
        <f t="shared" si="383"/>
        <v>0</v>
      </c>
      <c r="DZ243" s="144">
        <f t="shared" si="383"/>
        <v>0</v>
      </c>
      <c r="EA243" s="144">
        <f t="shared" si="383"/>
        <v>0</v>
      </c>
      <c r="EB243" s="117">
        <f t="shared" si="383"/>
        <v>0.00090861657377478</v>
      </c>
      <c r="EC243" s="118"/>
      <c r="ED243" s="117">
        <f t="shared" ref="ED243:FB243" si="384">ED31/ED$211</f>
        <v>0</v>
      </c>
      <c r="EE243" s="117">
        <f t="shared" si="384"/>
        <v>0</v>
      </c>
      <c r="EF243" s="117">
        <f t="shared" si="384"/>
        <v>0</v>
      </c>
      <c r="EG243" s="117" t="e">
        <f t="shared" si="384"/>
        <v>#DIV/0!</v>
      </c>
      <c r="EH243" s="117" t="e">
        <f t="shared" si="384"/>
        <v>#DIV/0!</v>
      </c>
      <c r="EI243" s="117" t="e">
        <f t="shared" si="384"/>
        <v>#DIV/0!</v>
      </c>
      <c r="EJ243" s="117" t="e">
        <f t="shared" si="384"/>
        <v>#DIV/0!</v>
      </c>
      <c r="EK243" s="117" t="e">
        <f t="shared" si="384"/>
        <v>#DIV/0!</v>
      </c>
      <c r="EL243" s="117" t="e">
        <f t="shared" si="384"/>
        <v>#DIV/0!</v>
      </c>
      <c r="EM243" s="117" t="e">
        <f t="shared" si="384"/>
        <v>#DIV/0!</v>
      </c>
      <c r="EN243" s="117" t="e">
        <f t="shared" si="384"/>
        <v>#DIV/0!</v>
      </c>
      <c r="EO243" s="116">
        <f t="shared" si="384"/>
        <v>0.00589820994814033</v>
      </c>
      <c r="EP243" s="117">
        <f t="shared" si="384"/>
        <v>0.00018385769737792</v>
      </c>
      <c r="EQ243" s="117">
        <f t="shared" si="384"/>
        <v>0.00234875117927965</v>
      </c>
      <c r="ER243" s="117">
        <f t="shared" si="384"/>
        <v>0.000838369272323077</v>
      </c>
      <c r="ES243" s="117">
        <f t="shared" si="384"/>
        <v>0.000294216389390391</v>
      </c>
      <c r="ET243" s="117">
        <f t="shared" si="384"/>
        <v>0.000216253616819242</v>
      </c>
      <c r="EU243" s="117">
        <f t="shared" si="384"/>
        <v>0.000328131786865982</v>
      </c>
      <c r="EV243" s="117">
        <f t="shared" si="384"/>
        <v>0.000428387622922273</v>
      </c>
      <c r="EW243" s="117">
        <f t="shared" si="384"/>
        <v>0.00025839042876854</v>
      </c>
      <c r="EX243" s="117">
        <f t="shared" si="384"/>
        <v>0.000180639021760392</v>
      </c>
      <c r="EY243" s="117">
        <f t="shared" si="384"/>
        <v>0.000188885076418538</v>
      </c>
      <c r="EZ243" s="117">
        <f t="shared" si="384"/>
        <v>0.000186078040387958</v>
      </c>
      <c r="FA243" s="117">
        <f t="shared" si="384"/>
        <v>0.000142747024493874</v>
      </c>
      <c r="FB243" s="117">
        <f t="shared" si="384"/>
        <v>0.000466276081697196</v>
      </c>
      <c r="FC243" s="118"/>
      <c r="FD243" s="117"/>
      <c r="FE243" s="117"/>
      <c r="FF243" s="117"/>
      <c r="FG243" s="117"/>
      <c r="FH243" s="117"/>
      <c r="FI243" s="117"/>
      <c r="FJ243" s="117"/>
      <c r="FK243" s="117" t="e">
        <f t="shared" si="211"/>
        <v>#DIV/0!</v>
      </c>
      <c r="FL243" s="117" t="e">
        <f t="shared" si="212"/>
        <v>#DIV/0!</v>
      </c>
      <c r="FM243" s="117" t="e">
        <f t="shared" si="213"/>
        <v>#DIV/0!</v>
      </c>
      <c r="FN243" s="117" t="e">
        <f t="shared" si="214"/>
        <v>#DIV/0!</v>
      </c>
      <c r="FO243" s="9" t="e">
        <f t="shared" si="215"/>
        <v>#DIV/0!</v>
      </c>
      <c r="FP243" s="118">
        <f t="shared" ref="FP243:GB243" si="385">FP31/FP$211</f>
        <v>0.000567851964533341</v>
      </c>
      <c r="FQ243" s="117">
        <f t="shared" si="385"/>
        <v>0.000335045342976721</v>
      </c>
      <c r="FR243" s="117">
        <f t="shared" si="385"/>
        <v>0.00150743030333382</v>
      </c>
      <c r="FS243" s="117">
        <f t="shared" si="385"/>
        <v>0.000996495931617653</v>
      </c>
      <c r="FT243" s="117">
        <f t="shared" si="385"/>
        <v>0.000390253265287586</v>
      </c>
      <c r="FU243" s="117">
        <f t="shared" si="385"/>
        <v>0.000492420366573291</v>
      </c>
      <c r="FV243" s="117">
        <f t="shared" si="385"/>
        <v>0.00032074834270657</v>
      </c>
      <c r="FW243" s="117">
        <f t="shared" si="385"/>
        <v>0.000182096793768927</v>
      </c>
      <c r="FX243" s="117">
        <f t="shared" si="385"/>
        <v>0.000196056747938407</v>
      </c>
      <c r="FY243" s="117">
        <f t="shared" si="385"/>
        <v>0.000182691843449623</v>
      </c>
      <c r="FZ243" s="117">
        <f t="shared" si="385"/>
        <v>0.000167546405922405</v>
      </c>
      <c r="GA243" s="117">
        <f t="shared" si="385"/>
        <v>0.000159176460357026</v>
      </c>
      <c r="GB243" s="116">
        <f t="shared" si="385"/>
        <v>0.000465198565957747</v>
      </c>
    </row>
    <row r="244" spans="1:184">
      <c r="A244" s="147" t="s">
        <v>89</v>
      </c>
      <c r="B244" s="160">
        <f t="shared" si="217"/>
        <v>-0.502275899346067</v>
      </c>
      <c r="C244" s="117">
        <f t="shared" ref="C244:AH244" si="386">C32/C$211</f>
        <v>0.000599377545105117</v>
      </c>
      <c r="D244" s="117">
        <f t="shared" si="386"/>
        <v>0.000497189647081305</v>
      </c>
      <c r="E244" s="117">
        <f t="shared" si="386"/>
        <v>0.000454725674867733</v>
      </c>
      <c r="F244" s="117">
        <f t="shared" si="386"/>
        <v>0.000390690799278922</v>
      </c>
      <c r="G244" s="117">
        <f t="shared" si="386"/>
        <v>0.000347904815300015</v>
      </c>
      <c r="H244" s="117">
        <f t="shared" si="386"/>
        <v>0.00198014782394994</v>
      </c>
      <c r="I244" s="117">
        <f t="shared" si="386"/>
        <v>0.00552046608896766</v>
      </c>
      <c r="J244" s="117">
        <f t="shared" si="386"/>
        <v>0.00451961337153487</v>
      </c>
      <c r="K244" s="117">
        <f t="shared" si="386"/>
        <v>0.0026660634285753</v>
      </c>
      <c r="L244" s="117">
        <f t="shared" si="386"/>
        <v>0.000525090984779479</v>
      </c>
      <c r="M244" s="117">
        <f t="shared" si="386"/>
        <v>0.000311935397684741</v>
      </c>
      <c r="N244" s="117">
        <f t="shared" si="386"/>
        <v>0.000110512873697372</v>
      </c>
      <c r="O244" s="9">
        <f t="shared" si="386"/>
        <v>0.00145007361202217</v>
      </c>
      <c r="P244" s="117">
        <f t="shared" si="386"/>
        <v>0.000204876273142983</v>
      </c>
      <c r="Q244" s="117">
        <f t="shared" si="386"/>
        <v>0.000184237384042908</v>
      </c>
      <c r="R244" s="117">
        <f t="shared" si="386"/>
        <v>0.000243552820343034</v>
      </c>
      <c r="S244" s="117">
        <f t="shared" si="386"/>
        <v>0.000264722504517534</v>
      </c>
      <c r="T244" s="117">
        <f t="shared" si="386"/>
        <v>0.00030952473915952</v>
      </c>
      <c r="U244" s="117">
        <f t="shared" si="386"/>
        <v>0.000211101360298398</v>
      </c>
      <c r="V244" s="117">
        <f t="shared" si="386"/>
        <v>0.00335569022491935</v>
      </c>
      <c r="W244" s="117">
        <f t="shared" si="386"/>
        <v>0.00452954666648614</v>
      </c>
      <c r="X244" s="117">
        <f t="shared" si="386"/>
        <v>0.00463807894486842</v>
      </c>
      <c r="Y244" s="117">
        <f t="shared" si="386"/>
        <v>0</v>
      </c>
      <c r="Z244" s="117">
        <f t="shared" si="386"/>
        <v>0</v>
      </c>
      <c r="AA244" s="117">
        <f t="shared" si="386"/>
        <v>0</v>
      </c>
      <c r="AB244" s="9">
        <f t="shared" si="386"/>
        <v>0.00120765040364977</v>
      </c>
      <c r="AC244" s="117">
        <f t="shared" si="386"/>
        <v>0.000976347465501042</v>
      </c>
      <c r="AD244" s="117">
        <f t="shared" si="386"/>
        <v>0.000773727156604742</v>
      </c>
      <c r="AE244" s="117">
        <f t="shared" si="386"/>
        <v>0.000708673671112673</v>
      </c>
      <c r="AF244" s="117">
        <f t="shared" si="386"/>
        <v>0.000562763276397831</v>
      </c>
      <c r="AG244" s="117">
        <f t="shared" si="386"/>
        <v>0.000315532255992649</v>
      </c>
      <c r="AH244" s="117">
        <f t="shared" si="386"/>
        <v>0.000756806837952307</v>
      </c>
      <c r="AI244" s="117">
        <f t="shared" ref="AI244:BN244" si="387">AI32/AI$211</f>
        <v>0.00445388504584234</v>
      </c>
      <c r="AJ244" s="117">
        <f t="shared" si="387"/>
        <v>0.00350945397550989</v>
      </c>
      <c r="AK244" s="117">
        <f t="shared" si="387"/>
        <v>0.00255793532136152</v>
      </c>
      <c r="AL244" s="117">
        <f t="shared" si="387"/>
        <v>0.000182368469044334</v>
      </c>
      <c r="AM244" s="117">
        <f t="shared" si="387"/>
        <v>0.000187578317500176</v>
      </c>
      <c r="AN244" s="117">
        <f t="shared" si="387"/>
        <v>0.000192747439525491</v>
      </c>
      <c r="AO244" s="9">
        <f t="shared" si="387"/>
        <v>0.0013296910093424</v>
      </c>
      <c r="AP244" s="144">
        <f t="shared" si="387"/>
        <v>0.00111930249335764</v>
      </c>
      <c r="AQ244" s="144">
        <f t="shared" si="387"/>
        <v>0.00122075008467745</v>
      </c>
      <c r="AR244" s="144">
        <f t="shared" si="387"/>
        <v>0.00118175311411321</v>
      </c>
      <c r="AS244" s="144">
        <f t="shared" si="387"/>
        <v>0.000921279134466891</v>
      </c>
      <c r="AT244" s="144">
        <f t="shared" si="387"/>
        <v>0.000946282290360814</v>
      </c>
      <c r="AU244" s="144">
        <f t="shared" si="387"/>
        <v>0.00220746082149707</v>
      </c>
      <c r="AV244" s="144">
        <f t="shared" si="387"/>
        <v>0.00916638677806824</v>
      </c>
      <c r="AW244" s="144">
        <f t="shared" si="387"/>
        <v>0.00459717467661951</v>
      </c>
      <c r="AX244" s="144">
        <f t="shared" si="387"/>
        <v>0.00457471651303441</v>
      </c>
      <c r="AY244" s="144">
        <f t="shared" si="387"/>
        <v>0.000522891682908659</v>
      </c>
      <c r="AZ244" s="144">
        <f t="shared" si="387"/>
        <v>0.000502908809313408</v>
      </c>
      <c r="BA244" s="144">
        <f t="shared" si="387"/>
        <v>0.000471728606546622</v>
      </c>
      <c r="BB244" s="9">
        <f t="shared" si="387"/>
        <v>0.00232261061524773</v>
      </c>
      <c r="BC244" s="144">
        <f t="shared" si="387"/>
        <v>0.000200149223038901</v>
      </c>
      <c r="BD244" s="144">
        <f t="shared" si="387"/>
        <v>0.000280299843720233</v>
      </c>
      <c r="BE244" s="144">
        <f t="shared" si="387"/>
        <v>0.000411676816418408</v>
      </c>
      <c r="BF244" s="144">
        <f t="shared" si="387"/>
        <v>0.000276850975008762</v>
      </c>
      <c r="BG244" s="144">
        <f t="shared" si="387"/>
        <v>0.000417140680058032</v>
      </c>
      <c r="BH244" s="144">
        <f t="shared" si="387"/>
        <v>0.00251808902027673</v>
      </c>
      <c r="BI244" s="144">
        <f t="shared" si="387"/>
        <v>0.00529134384472151</v>
      </c>
      <c r="BJ244" s="144">
        <f t="shared" si="387"/>
        <v>0.00742918851278467</v>
      </c>
      <c r="BK244" s="144">
        <f t="shared" si="387"/>
        <v>0.00206503273461505</v>
      </c>
      <c r="BL244" s="144">
        <f t="shared" si="387"/>
        <v>7.36064905638319e-5</v>
      </c>
      <c r="BM244" s="144">
        <f t="shared" si="387"/>
        <v>0</v>
      </c>
      <c r="BN244" s="144">
        <f t="shared" si="387"/>
        <v>0</v>
      </c>
      <c r="BO244" s="9">
        <f t="shared" ref="BO244:CT244" si="388">BO32/BO$211</f>
        <v>0.00155957032398863</v>
      </c>
      <c r="BP244" s="144">
        <f t="shared" si="388"/>
        <v>0.00085590319296259</v>
      </c>
      <c r="BQ244" s="144">
        <f t="shared" si="388"/>
        <v>0.000771756530343719</v>
      </c>
      <c r="BR244" s="144">
        <f t="shared" si="388"/>
        <v>0.000367763973562703</v>
      </c>
      <c r="BS244" s="144">
        <f t="shared" si="388"/>
        <v>0.000213940311741364</v>
      </c>
      <c r="BT244" s="144">
        <f t="shared" si="388"/>
        <v>0.000214283894840726</v>
      </c>
      <c r="BU244" s="144">
        <f t="shared" si="388"/>
        <v>0.00166724059277306</v>
      </c>
      <c r="BV244" s="144">
        <f t="shared" si="388"/>
        <v>0.00280101042709102</v>
      </c>
      <c r="BW244" s="144">
        <f t="shared" si="388"/>
        <v>0.00486922761870347</v>
      </c>
      <c r="BX244" s="144">
        <f t="shared" si="388"/>
        <v>0.00136116829518794</v>
      </c>
      <c r="BY244" s="144">
        <f t="shared" si="388"/>
        <v>0.000135501408797198</v>
      </c>
      <c r="BZ244" s="144">
        <f t="shared" si="388"/>
        <v>0.000134675230070525</v>
      </c>
      <c r="CA244" s="144">
        <f t="shared" si="388"/>
        <v>0.000156214491775402</v>
      </c>
      <c r="CB244" s="9">
        <f t="shared" si="388"/>
        <v>0.00107774767073328</v>
      </c>
      <c r="CC244" s="144">
        <f t="shared" si="388"/>
        <v>0.00300983945144292</v>
      </c>
      <c r="CD244" s="144">
        <f t="shared" si="388"/>
        <v>0.00162554174710894</v>
      </c>
      <c r="CE244" s="144">
        <f t="shared" si="388"/>
        <v>0.00181471008123728</v>
      </c>
      <c r="CF244" s="144">
        <f t="shared" si="388"/>
        <v>0.00166518117887519</v>
      </c>
      <c r="CG244" s="144">
        <f t="shared" si="388"/>
        <v>0.00173672558636245</v>
      </c>
      <c r="CH244" s="144">
        <f t="shared" si="388"/>
        <v>0.00154139139471545</v>
      </c>
      <c r="CI244" s="144">
        <f t="shared" si="388"/>
        <v>0.00428421232351071</v>
      </c>
      <c r="CJ244" s="144">
        <f t="shared" si="388"/>
        <v>0.00533140700338541</v>
      </c>
      <c r="CK244" s="144">
        <f t="shared" si="388"/>
        <v>0.00252869948882853</v>
      </c>
      <c r="CL244" s="144">
        <f t="shared" si="388"/>
        <v>0.000251794395808071</v>
      </c>
      <c r="CM244" s="144">
        <f t="shared" si="388"/>
        <v>0.000261613029064516</v>
      </c>
      <c r="CN244" s="144">
        <f t="shared" si="388"/>
        <v>0.000292946548856047</v>
      </c>
      <c r="CO244" s="9">
        <f t="shared" si="388"/>
        <v>0.00213053006699268</v>
      </c>
      <c r="CP244" s="144">
        <f t="shared" si="388"/>
        <v>0.000645135058150999</v>
      </c>
      <c r="CQ244" s="144">
        <f t="shared" si="388"/>
        <v>0.00040868535288596</v>
      </c>
      <c r="CR244" s="144">
        <f t="shared" si="388"/>
        <v>0.000411763601800065</v>
      </c>
      <c r="CS244" s="144">
        <f t="shared" si="388"/>
        <v>0.000406697277349025</v>
      </c>
      <c r="CT244" s="144">
        <f t="shared" si="388"/>
        <v>0.000139128101741158</v>
      </c>
      <c r="CU244" s="144">
        <f t="shared" ref="CU244:EB244" si="389">CU32/CU$211</f>
        <v>0.00349195447955032</v>
      </c>
      <c r="CV244" s="144">
        <f t="shared" si="389"/>
        <v>0.00923753151916096</v>
      </c>
      <c r="CW244" s="144">
        <f t="shared" si="389"/>
        <v>0.00981249685700679</v>
      </c>
      <c r="CX244" s="144">
        <f t="shared" si="389"/>
        <v>0.00394477464367276</v>
      </c>
      <c r="CY244" s="144">
        <f t="shared" si="389"/>
        <v>0</v>
      </c>
      <c r="CZ244" s="144">
        <f t="shared" si="389"/>
        <v>0</v>
      </c>
      <c r="DA244" s="144">
        <f t="shared" si="389"/>
        <v>0</v>
      </c>
      <c r="DB244" s="9">
        <f t="shared" si="389"/>
        <v>0.00232957659736091</v>
      </c>
      <c r="DC244" s="144">
        <f t="shared" si="389"/>
        <v>0.00158613426233483</v>
      </c>
      <c r="DD244" s="144">
        <f t="shared" si="389"/>
        <v>0.00135025691234517</v>
      </c>
      <c r="DE244" s="144">
        <f t="shared" si="389"/>
        <v>0.00158489075544947</v>
      </c>
      <c r="DF244" s="144">
        <f t="shared" si="389"/>
        <v>0.000879982709751536</v>
      </c>
      <c r="DG244" s="144">
        <f t="shared" si="389"/>
        <v>0.00184740687977496</v>
      </c>
      <c r="DH244" s="144">
        <f t="shared" si="389"/>
        <v>0.00456386548946953</v>
      </c>
      <c r="DI244" s="144">
        <f t="shared" si="389"/>
        <v>0.00832466475704331</v>
      </c>
      <c r="DJ244" s="144">
        <f t="shared" si="389"/>
        <v>0.00814654586800902</v>
      </c>
      <c r="DK244" s="144">
        <f t="shared" si="389"/>
        <v>0.00504950885636514</v>
      </c>
      <c r="DL244" s="144">
        <f t="shared" si="389"/>
        <v>0.00397770651746905</v>
      </c>
      <c r="DM244" s="144">
        <f t="shared" si="389"/>
        <v>0.00329861975803278</v>
      </c>
      <c r="DN244" s="144">
        <f t="shared" si="389"/>
        <v>0</v>
      </c>
      <c r="DO244" s="9">
        <f t="shared" si="389"/>
        <v>0.00321217846695258</v>
      </c>
      <c r="DP244" s="144">
        <f t="shared" si="389"/>
        <v>0</v>
      </c>
      <c r="DQ244" s="144">
        <f t="shared" si="389"/>
        <v>0</v>
      </c>
      <c r="DR244" s="144">
        <f t="shared" si="389"/>
        <v>0</v>
      </c>
      <c r="DS244" s="144">
        <f t="shared" si="389"/>
        <v>0</v>
      </c>
      <c r="DT244" s="144">
        <f t="shared" si="389"/>
        <v>0</v>
      </c>
      <c r="DU244" s="144">
        <f t="shared" si="389"/>
        <v>0.002909609114986</v>
      </c>
      <c r="DV244" s="144">
        <f t="shared" si="389"/>
        <v>0.00798407467006855</v>
      </c>
      <c r="DW244" s="144">
        <f t="shared" si="389"/>
        <v>0.0101052395712944</v>
      </c>
      <c r="DX244" s="144">
        <f t="shared" si="389"/>
        <v>0.00759376720462882</v>
      </c>
      <c r="DY244" s="144">
        <f t="shared" si="389"/>
        <v>0.00508121474907268</v>
      </c>
      <c r="DZ244" s="144">
        <f t="shared" si="389"/>
        <v>0.0025379418863722</v>
      </c>
      <c r="EA244" s="144">
        <f t="shared" si="389"/>
        <v>0</v>
      </c>
      <c r="EB244" s="117">
        <f t="shared" si="389"/>
        <v>0.00283043356513707</v>
      </c>
      <c r="EC244" s="118"/>
      <c r="ED244" s="117">
        <f t="shared" ref="ED244:FB244" si="390">ED32/ED$211</f>
        <v>0</v>
      </c>
      <c r="EE244" s="117">
        <f t="shared" si="390"/>
        <v>0</v>
      </c>
      <c r="EF244" s="117">
        <f t="shared" si="390"/>
        <v>0</v>
      </c>
      <c r="EG244" s="117" t="e">
        <f t="shared" si="390"/>
        <v>#DIV/0!</v>
      </c>
      <c r="EH244" s="117" t="e">
        <f t="shared" si="390"/>
        <v>#DIV/0!</v>
      </c>
      <c r="EI244" s="117" t="e">
        <f t="shared" si="390"/>
        <v>#DIV/0!</v>
      </c>
      <c r="EJ244" s="117" t="e">
        <f t="shared" si="390"/>
        <v>#DIV/0!</v>
      </c>
      <c r="EK244" s="117" t="e">
        <f t="shared" si="390"/>
        <v>#DIV/0!</v>
      </c>
      <c r="EL244" s="117" t="e">
        <f t="shared" si="390"/>
        <v>#DIV/0!</v>
      </c>
      <c r="EM244" s="117" t="e">
        <f t="shared" si="390"/>
        <v>#DIV/0!</v>
      </c>
      <c r="EN244" s="117" t="e">
        <f t="shared" si="390"/>
        <v>#DIV/0!</v>
      </c>
      <c r="EO244" s="116">
        <f t="shared" si="390"/>
        <v>0</v>
      </c>
      <c r="EP244" s="117">
        <f t="shared" si="390"/>
        <v>0.00209286014641346</v>
      </c>
      <c r="EQ244" s="117">
        <f t="shared" si="390"/>
        <v>0.000218257246891282</v>
      </c>
      <c r="ER244" s="117">
        <f t="shared" si="390"/>
        <v>0.00117642395330433</v>
      </c>
      <c r="ES244" s="117">
        <f t="shared" si="390"/>
        <v>0.000720832743023171</v>
      </c>
      <c r="ET244" s="117">
        <f t="shared" si="390"/>
        <v>0.000921929468691994</v>
      </c>
      <c r="EU244" s="117">
        <f t="shared" si="390"/>
        <v>0.00295852662099807</v>
      </c>
      <c r="EV244" s="117">
        <f t="shared" si="390"/>
        <v>0.00249415348179894</v>
      </c>
      <c r="EW244" s="117">
        <f t="shared" si="390"/>
        <v>0.00514247255733929</v>
      </c>
      <c r="EX244" s="117">
        <f t="shared" si="390"/>
        <v>0.000989395694170833</v>
      </c>
      <c r="EY244" s="117">
        <f t="shared" si="390"/>
        <v>0.000184281172514365</v>
      </c>
      <c r="EZ244" s="117">
        <f t="shared" si="390"/>
        <v>0</v>
      </c>
      <c r="FA244" s="117">
        <f t="shared" si="390"/>
        <v>0</v>
      </c>
      <c r="FB244" s="117">
        <f t="shared" si="390"/>
        <v>0.00133128192053837</v>
      </c>
      <c r="FC244" s="118"/>
      <c r="FD244" s="117"/>
      <c r="FE244" s="117"/>
      <c r="FF244" s="117"/>
      <c r="FG244" s="117"/>
      <c r="FH244" s="117"/>
      <c r="FI244" s="117"/>
      <c r="FJ244" s="117"/>
      <c r="FK244" s="117" t="e">
        <f t="shared" si="211"/>
        <v>#DIV/0!</v>
      </c>
      <c r="FL244" s="117" t="e">
        <f t="shared" si="212"/>
        <v>#DIV/0!</v>
      </c>
      <c r="FM244" s="117" t="e">
        <f t="shared" si="213"/>
        <v>#DIV/0!</v>
      </c>
      <c r="FN244" s="117" t="e">
        <f t="shared" si="214"/>
        <v>#DIV/0!</v>
      </c>
      <c r="FO244" s="9" t="e">
        <f t="shared" si="215"/>
        <v>#DIV/0!</v>
      </c>
      <c r="FP244" s="118">
        <f t="shared" ref="FP244:GB244" si="391">FP32/FP$211</f>
        <v>0.000366172627273659</v>
      </c>
      <c r="FQ244" s="117">
        <f t="shared" si="391"/>
        <v>0.000349038175068419</v>
      </c>
      <c r="FR244" s="117">
        <f t="shared" si="391"/>
        <v>0.000318137164089934</v>
      </c>
      <c r="FS244" s="117">
        <f t="shared" si="391"/>
        <v>0.000359643451400526</v>
      </c>
      <c r="FT244" s="117">
        <f t="shared" si="391"/>
        <v>0.000169663938286705</v>
      </c>
      <c r="FU244" s="117">
        <f t="shared" si="391"/>
        <v>0.00243602243019761</v>
      </c>
      <c r="FV244" s="117">
        <f t="shared" si="391"/>
        <v>0.00614812975654801</v>
      </c>
      <c r="FW244" s="117">
        <f t="shared" si="391"/>
        <v>0.000121458897134293</v>
      </c>
      <c r="FX244" s="117">
        <f t="shared" si="391"/>
        <v>0.000137112257387956</v>
      </c>
      <c r="FY244" s="117">
        <f t="shared" si="391"/>
        <v>9.57706319260893e-5</v>
      </c>
      <c r="FZ244" s="117">
        <f t="shared" si="391"/>
        <v>8.78310978155873e-5</v>
      </c>
      <c r="GA244" s="117">
        <f t="shared" si="391"/>
        <v>8.34434089026757e-5</v>
      </c>
      <c r="GB244" s="116">
        <f t="shared" si="391"/>
        <v>0.000764100797004465</v>
      </c>
    </row>
    <row r="245" spans="1:184">
      <c r="A245" s="147" t="s">
        <v>91</v>
      </c>
      <c r="B245" s="160">
        <f t="shared" si="217"/>
        <v>-0.534548544874447</v>
      </c>
      <c r="C245" s="117">
        <f t="shared" ref="C245:AH245" si="392">C33/C$211</f>
        <v>0.000330600145656981</v>
      </c>
      <c r="D245" s="117">
        <f t="shared" si="392"/>
        <v>0.000343390487521483</v>
      </c>
      <c r="E245" s="117">
        <f t="shared" si="392"/>
        <v>0.000504728581819101</v>
      </c>
      <c r="F245" s="117">
        <f t="shared" si="392"/>
        <v>0.000663728027259326</v>
      </c>
      <c r="G245" s="117">
        <f t="shared" si="392"/>
        <v>0.000667999732793879</v>
      </c>
      <c r="H245" s="117">
        <f t="shared" si="392"/>
        <v>0.000554742586162354</v>
      </c>
      <c r="I245" s="117">
        <f t="shared" si="392"/>
        <v>0.000474094074293846</v>
      </c>
      <c r="J245" s="117">
        <f t="shared" si="392"/>
        <v>0.000356489320912432</v>
      </c>
      <c r="K245" s="117">
        <f t="shared" si="392"/>
        <v>0.00036478457638834</v>
      </c>
      <c r="L245" s="117">
        <f t="shared" si="392"/>
        <v>0.000365967735980864</v>
      </c>
      <c r="M245" s="117">
        <f t="shared" si="392"/>
        <v>0.000356976137769457</v>
      </c>
      <c r="N245" s="117">
        <f t="shared" si="392"/>
        <v>0.000369875674264049</v>
      </c>
      <c r="O245" s="9">
        <f t="shared" si="392"/>
        <v>0.000431753514458592</v>
      </c>
      <c r="P245" s="117">
        <f t="shared" si="392"/>
        <v>0.00260029913071535</v>
      </c>
      <c r="Q245" s="117">
        <f t="shared" si="392"/>
        <v>0.00287572983728822</v>
      </c>
      <c r="R245" s="117">
        <f t="shared" si="392"/>
        <v>0.00402627111291583</v>
      </c>
      <c r="S245" s="117">
        <f t="shared" si="392"/>
        <v>0.00568489524324397</v>
      </c>
      <c r="T245" s="117">
        <f t="shared" si="392"/>
        <v>0.00556008070997037</v>
      </c>
      <c r="U245" s="117">
        <f t="shared" si="392"/>
        <v>0.00411967503127783</v>
      </c>
      <c r="V245" s="117">
        <f t="shared" si="392"/>
        <v>0.00369412735871463</v>
      </c>
      <c r="W245" s="117">
        <f t="shared" si="392"/>
        <v>0.00262361989496364</v>
      </c>
      <c r="X245" s="117">
        <f t="shared" si="392"/>
        <v>0.00268648434162368</v>
      </c>
      <c r="Y245" s="117">
        <f t="shared" si="392"/>
        <v>0.00271809519511947</v>
      </c>
      <c r="Z245" s="117">
        <f t="shared" si="392"/>
        <v>0.0027155109869131</v>
      </c>
      <c r="AA245" s="117">
        <f t="shared" si="392"/>
        <v>0.00287337514947716</v>
      </c>
      <c r="AB245" s="9">
        <f t="shared" si="392"/>
        <v>0.00336411750990871</v>
      </c>
      <c r="AC245" s="117">
        <f t="shared" si="392"/>
        <v>0</v>
      </c>
      <c r="AD245" s="117">
        <f t="shared" si="392"/>
        <v>0</v>
      </c>
      <c r="AE245" s="117">
        <f t="shared" si="392"/>
        <v>0</v>
      </c>
      <c r="AF245" s="117">
        <f t="shared" si="392"/>
        <v>0</v>
      </c>
      <c r="AG245" s="117">
        <f t="shared" si="392"/>
        <v>0</v>
      </c>
      <c r="AH245" s="117">
        <f t="shared" si="392"/>
        <v>0</v>
      </c>
      <c r="AI245" s="117">
        <f t="shared" ref="AI245:BN245" si="393">AI33/AI$211</f>
        <v>0</v>
      </c>
      <c r="AJ245" s="117">
        <f t="shared" si="393"/>
        <v>0</v>
      </c>
      <c r="AK245" s="117">
        <f t="shared" si="393"/>
        <v>0</v>
      </c>
      <c r="AL245" s="117">
        <f t="shared" si="393"/>
        <v>0</v>
      </c>
      <c r="AM245" s="117">
        <f t="shared" si="393"/>
        <v>0</v>
      </c>
      <c r="AN245" s="117">
        <f t="shared" si="393"/>
        <v>0</v>
      </c>
      <c r="AO245" s="9">
        <f t="shared" si="393"/>
        <v>0</v>
      </c>
      <c r="AP245" s="144">
        <f t="shared" si="393"/>
        <v>0</v>
      </c>
      <c r="AQ245" s="144">
        <f t="shared" si="393"/>
        <v>0</v>
      </c>
      <c r="AR245" s="144">
        <f t="shared" si="393"/>
        <v>0</v>
      </c>
      <c r="AS245" s="144">
        <f t="shared" si="393"/>
        <v>0</v>
      </c>
      <c r="AT245" s="144">
        <f t="shared" si="393"/>
        <v>0</v>
      </c>
      <c r="AU245" s="144">
        <f t="shared" si="393"/>
        <v>0</v>
      </c>
      <c r="AV245" s="144">
        <f t="shared" si="393"/>
        <v>0</v>
      </c>
      <c r="AW245" s="144">
        <f t="shared" si="393"/>
        <v>0</v>
      </c>
      <c r="AX245" s="144">
        <f t="shared" si="393"/>
        <v>0</v>
      </c>
      <c r="AY245" s="144">
        <f t="shared" si="393"/>
        <v>0</v>
      </c>
      <c r="AZ245" s="144">
        <f t="shared" si="393"/>
        <v>0</v>
      </c>
      <c r="BA245" s="144">
        <f t="shared" si="393"/>
        <v>0</v>
      </c>
      <c r="BB245" s="9">
        <f t="shared" si="393"/>
        <v>0</v>
      </c>
      <c r="BC245" s="144">
        <f t="shared" si="393"/>
        <v>0</v>
      </c>
      <c r="BD245" s="144">
        <f t="shared" si="393"/>
        <v>0</v>
      </c>
      <c r="BE245" s="144">
        <f t="shared" si="393"/>
        <v>0</v>
      </c>
      <c r="BF245" s="144">
        <f t="shared" si="393"/>
        <v>0</v>
      </c>
      <c r="BG245" s="144">
        <f t="shared" si="393"/>
        <v>0</v>
      </c>
      <c r="BH245" s="144">
        <f t="shared" si="393"/>
        <v>0</v>
      </c>
      <c r="BI245" s="144">
        <f t="shared" si="393"/>
        <v>0</v>
      </c>
      <c r="BJ245" s="144">
        <f t="shared" si="393"/>
        <v>0</v>
      </c>
      <c r="BK245" s="144">
        <f t="shared" si="393"/>
        <v>0</v>
      </c>
      <c r="BL245" s="144">
        <f t="shared" si="393"/>
        <v>0</v>
      </c>
      <c r="BM245" s="144">
        <f t="shared" si="393"/>
        <v>0</v>
      </c>
      <c r="BN245" s="144">
        <f t="shared" si="393"/>
        <v>0</v>
      </c>
      <c r="BO245" s="9">
        <f t="shared" ref="BO245:CT245" si="394">BO33/BO$211</f>
        <v>0</v>
      </c>
      <c r="BP245" s="144">
        <f t="shared" si="394"/>
        <v>0</v>
      </c>
      <c r="BQ245" s="144">
        <f t="shared" si="394"/>
        <v>0</v>
      </c>
      <c r="BR245" s="144">
        <f t="shared" si="394"/>
        <v>0</v>
      </c>
      <c r="BS245" s="144">
        <f t="shared" si="394"/>
        <v>0</v>
      </c>
      <c r="BT245" s="144">
        <f t="shared" si="394"/>
        <v>0</v>
      </c>
      <c r="BU245" s="144">
        <f t="shared" si="394"/>
        <v>0</v>
      </c>
      <c r="BV245" s="144">
        <f t="shared" si="394"/>
        <v>0</v>
      </c>
      <c r="BW245" s="144">
        <f t="shared" si="394"/>
        <v>0</v>
      </c>
      <c r="BX245" s="144">
        <f t="shared" si="394"/>
        <v>0</v>
      </c>
      <c r="BY245" s="144">
        <f t="shared" si="394"/>
        <v>0</v>
      </c>
      <c r="BZ245" s="144">
        <f t="shared" si="394"/>
        <v>0</v>
      </c>
      <c r="CA245" s="144">
        <f t="shared" si="394"/>
        <v>0</v>
      </c>
      <c r="CB245" s="9">
        <f t="shared" si="394"/>
        <v>0</v>
      </c>
      <c r="CC245" s="144">
        <f t="shared" si="394"/>
        <v>0</v>
      </c>
      <c r="CD245" s="144">
        <f t="shared" si="394"/>
        <v>0</v>
      </c>
      <c r="CE245" s="144">
        <f t="shared" si="394"/>
        <v>0</v>
      </c>
      <c r="CF245" s="144">
        <f t="shared" si="394"/>
        <v>0</v>
      </c>
      <c r="CG245" s="144">
        <f t="shared" si="394"/>
        <v>0</v>
      </c>
      <c r="CH245" s="144">
        <f t="shared" si="394"/>
        <v>0</v>
      </c>
      <c r="CI245" s="144">
        <f t="shared" si="394"/>
        <v>0</v>
      </c>
      <c r="CJ245" s="144">
        <f t="shared" si="394"/>
        <v>0</v>
      </c>
      <c r="CK245" s="144">
        <f t="shared" si="394"/>
        <v>0</v>
      </c>
      <c r="CL245" s="144">
        <f t="shared" si="394"/>
        <v>0</v>
      </c>
      <c r="CM245" s="144">
        <f t="shared" si="394"/>
        <v>0</v>
      </c>
      <c r="CN245" s="144">
        <f t="shared" si="394"/>
        <v>0</v>
      </c>
      <c r="CO245" s="9">
        <f t="shared" si="394"/>
        <v>0</v>
      </c>
      <c r="CP245" s="144">
        <f t="shared" si="394"/>
        <v>0</v>
      </c>
      <c r="CQ245" s="144">
        <f t="shared" si="394"/>
        <v>0</v>
      </c>
      <c r="CR245" s="144">
        <f t="shared" si="394"/>
        <v>0</v>
      </c>
      <c r="CS245" s="144">
        <f t="shared" si="394"/>
        <v>0</v>
      </c>
      <c r="CT245" s="144">
        <f t="shared" si="394"/>
        <v>0</v>
      </c>
      <c r="CU245" s="144">
        <f t="shared" ref="CU245:EB245" si="395">CU33/CU$211</f>
        <v>0</v>
      </c>
      <c r="CV245" s="144">
        <f t="shared" si="395"/>
        <v>0</v>
      </c>
      <c r="CW245" s="144">
        <f t="shared" si="395"/>
        <v>0</v>
      </c>
      <c r="CX245" s="144">
        <f t="shared" si="395"/>
        <v>0</v>
      </c>
      <c r="CY245" s="144">
        <f t="shared" si="395"/>
        <v>0</v>
      </c>
      <c r="CZ245" s="144">
        <f t="shared" si="395"/>
        <v>0</v>
      </c>
      <c r="DA245" s="144">
        <f t="shared" si="395"/>
        <v>0</v>
      </c>
      <c r="DB245" s="9">
        <f t="shared" si="395"/>
        <v>0</v>
      </c>
      <c r="DC245" s="144">
        <f t="shared" si="395"/>
        <v>0</v>
      </c>
      <c r="DD245" s="144">
        <f t="shared" si="395"/>
        <v>0</v>
      </c>
      <c r="DE245" s="144">
        <f t="shared" si="395"/>
        <v>0</v>
      </c>
      <c r="DF245" s="144">
        <f t="shared" si="395"/>
        <v>0</v>
      </c>
      <c r="DG245" s="144">
        <f t="shared" si="395"/>
        <v>0</v>
      </c>
      <c r="DH245" s="144">
        <f t="shared" si="395"/>
        <v>0</v>
      </c>
      <c r="DI245" s="144">
        <f t="shared" si="395"/>
        <v>0</v>
      </c>
      <c r="DJ245" s="144">
        <f t="shared" si="395"/>
        <v>0</v>
      </c>
      <c r="DK245" s="144">
        <f t="shared" si="395"/>
        <v>0</v>
      </c>
      <c r="DL245" s="144">
        <f t="shared" si="395"/>
        <v>0</v>
      </c>
      <c r="DM245" s="144">
        <f t="shared" si="395"/>
        <v>0</v>
      </c>
      <c r="DN245" s="144">
        <f t="shared" si="395"/>
        <v>0</v>
      </c>
      <c r="DO245" s="9">
        <f t="shared" si="395"/>
        <v>0</v>
      </c>
      <c r="DP245" s="144">
        <f t="shared" si="395"/>
        <v>0</v>
      </c>
      <c r="DQ245" s="144">
        <f t="shared" si="395"/>
        <v>0</v>
      </c>
      <c r="DR245" s="144">
        <f t="shared" si="395"/>
        <v>0</v>
      </c>
      <c r="DS245" s="144">
        <f t="shared" si="395"/>
        <v>0</v>
      </c>
      <c r="DT245" s="144">
        <f t="shared" si="395"/>
        <v>0</v>
      </c>
      <c r="DU245" s="144">
        <f t="shared" si="395"/>
        <v>0</v>
      </c>
      <c r="DV245" s="144">
        <f t="shared" si="395"/>
        <v>0</v>
      </c>
      <c r="DW245" s="144">
        <f t="shared" si="395"/>
        <v>0</v>
      </c>
      <c r="DX245" s="144">
        <f t="shared" si="395"/>
        <v>0</v>
      </c>
      <c r="DY245" s="144">
        <f t="shared" si="395"/>
        <v>0</v>
      </c>
      <c r="DZ245" s="144">
        <f t="shared" si="395"/>
        <v>0</v>
      </c>
      <c r="EA245" s="144">
        <f t="shared" si="395"/>
        <v>0</v>
      </c>
      <c r="EB245" s="117">
        <f t="shared" si="395"/>
        <v>0</v>
      </c>
      <c r="EC245" s="118"/>
      <c r="ED245" s="117">
        <f t="shared" ref="ED245:FB245" si="396">ED33/ED$211</f>
        <v>0</v>
      </c>
      <c r="EE245" s="117">
        <f t="shared" si="396"/>
        <v>0</v>
      </c>
      <c r="EF245" s="117">
        <f t="shared" si="396"/>
        <v>0</v>
      </c>
      <c r="EG245" s="117" t="e">
        <f t="shared" si="396"/>
        <v>#DIV/0!</v>
      </c>
      <c r="EH245" s="117" t="e">
        <f t="shared" si="396"/>
        <v>#DIV/0!</v>
      </c>
      <c r="EI245" s="117" t="e">
        <f t="shared" si="396"/>
        <v>#DIV/0!</v>
      </c>
      <c r="EJ245" s="117" t="e">
        <f t="shared" si="396"/>
        <v>#DIV/0!</v>
      </c>
      <c r="EK245" s="117" t="e">
        <f t="shared" si="396"/>
        <v>#DIV/0!</v>
      </c>
      <c r="EL245" s="117" t="e">
        <f t="shared" si="396"/>
        <v>#DIV/0!</v>
      </c>
      <c r="EM245" s="117" t="e">
        <f t="shared" si="396"/>
        <v>#DIV/0!</v>
      </c>
      <c r="EN245" s="117" t="e">
        <f t="shared" si="396"/>
        <v>#DIV/0!</v>
      </c>
      <c r="EO245" s="116">
        <f t="shared" si="396"/>
        <v>0</v>
      </c>
      <c r="EP245" s="117">
        <f t="shared" si="396"/>
        <v>0</v>
      </c>
      <c r="EQ245" s="117">
        <f t="shared" si="396"/>
        <v>0</v>
      </c>
      <c r="ER245" s="117">
        <f t="shared" si="396"/>
        <v>0</v>
      </c>
      <c r="ES245" s="117">
        <f t="shared" si="396"/>
        <v>0</v>
      </c>
      <c r="ET245" s="117">
        <f t="shared" si="396"/>
        <v>0</v>
      </c>
      <c r="EU245" s="117">
        <f t="shared" si="396"/>
        <v>0</v>
      </c>
      <c r="EV245" s="117">
        <f t="shared" si="396"/>
        <v>0</v>
      </c>
      <c r="EW245" s="117">
        <f t="shared" si="396"/>
        <v>0</v>
      </c>
      <c r="EX245" s="117">
        <f t="shared" si="396"/>
        <v>0</v>
      </c>
      <c r="EY245" s="117">
        <f t="shared" si="396"/>
        <v>0</v>
      </c>
      <c r="EZ245" s="117">
        <f t="shared" si="396"/>
        <v>0</v>
      </c>
      <c r="FA245" s="117">
        <f t="shared" si="396"/>
        <v>0</v>
      </c>
      <c r="FB245" s="117">
        <f t="shared" si="396"/>
        <v>0</v>
      </c>
      <c r="FC245" s="118"/>
      <c r="FD245" s="117"/>
      <c r="FE245" s="117"/>
      <c r="FF245" s="117"/>
      <c r="FG245" s="117"/>
      <c r="FH245" s="117"/>
      <c r="FI245" s="117"/>
      <c r="FJ245" s="117"/>
      <c r="FK245" s="117" t="e">
        <f t="shared" si="211"/>
        <v>#DIV/0!</v>
      </c>
      <c r="FL245" s="117" t="e">
        <f t="shared" si="212"/>
        <v>#DIV/0!</v>
      </c>
      <c r="FM245" s="117" t="e">
        <f t="shared" si="213"/>
        <v>#DIV/0!</v>
      </c>
      <c r="FN245" s="117" t="e">
        <f t="shared" si="214"/>
        <v>#DIV/0!</v>
      </c>
      <c r="FO245" s="9" t="e">
        <f t="shared" si="215"/>
        <v>#DIV/0!</v>
      </c>
      <c r="FP245" s="118">
        <f t="shared" ref="FP245:GB245" si="397">FP33/FP$211</f>
        <v>4.75239552364405e-5</v>
      </c>
      <c r="FQ245" s="117">
        <f t="shared" si="397"/>
        <v>5.22956858129943e-5</v>
      </c>
      <c r="FR245" s="117">
        <f t="shared" si="397"/>
        <v>5.17364369780867e-5</v>
      </c>
      <c r="FS245" s="117">
        <f t="shared" si="397"/>
        <v>5.34435072856152e-5</v>
      </c>
      <c r="FT245" s="117">
        <f t="shared" si="397"/>
        <v>7.40256593075472e-5</v>
      </c>
      <c r="FU245" s="117">
        <f t="shared" si="397"/>
        <v>0</v>
      </c>
      <c r="FV245" s="117">
        <f t="shared" si="397"/>
        <v>0</v>
      </c>
      <c r="FW245" s="117">
        <f t="shared" si="397"/>
        <v>0</v>
      </c>
      <c r="FX245" s="117">
        <f t="shared" si="397"/>
        <v>0</v>
      </c>
      <c r="FY245" s="117">
        <f t="shared" si="397"/>
        <v>0</v>
      </c>
      <c r="FZ245" s="117">
        <f t="shared" si="397"/>
        <v>0</v>
      </c>
      <c r="GA245" s="117">
        <f t="shared" si="397"/>
        <v>0</v>
      </c>
      <c r="GB245" s="116">
        <f t="shared" si="397"/>
        <v>2.40298680317592e-5</v>
      </c>
    </row>
    <row r="246" spans="1:184">
      <c r="A246" s="147" t="s">
        <v>93</v>
      </c>
      <c r="B246" s="160">
        <f t="shared" si="217"/>
        <v>4.43123232715833</v>
      </c>
      <c r="C246" s="117">
        <f t="shared" ref="C246:AH246" si="398">C34/C$211</f>
        <v>0.00310763539154119</v>
      </c>
      <c r="D246" s="117">
        <f t="shared" si="398"/>
        <v>0.00310290840684314</v>
      </c>
      <c r="E246" s="117">
        <f t="shared" si="398"/>
        <v>0.0019470328131406</v>
      </c>
      <c r="F246" s="117">
        <f t="shared" si="398"/>
        <v>0.00177042480401503</v>
      </c>
      <c r="G246" s="117">
        <f t="shared" si="398"/>
        <v>0.000948286524743139</v>
      </c>
      <c r="H246" s="117">
        <f t="shared" si="398"/>
        <v>0.000190866186978503</v>
      </c>
      <c r="I246" s="117">
        <f t="shared" si="398"/>
        <v>0.00555316126561924</v>
      </c>
      <c r="J246" s="117">
        <f t="shared" si="398"/>
        <v>0.0114939310677529</v>
      </c>
      <c r="K246" s="117">
        <f t="shared" si="398"/>
        <v>0.00377232488910488</v>
      </c>
      <c r="L246" s="117">
        <f t="shared" si="398"/>
        <v>0.00187335112291742</v>
      </c>
      <c r="M246" s="117">
        <f t="shared" si="398"/>
        <v>0.00137935129791706</v>
      </c>
      <c r="N246" s="117">
        <f t="shared" si="398"/>
        <v>0.000955646890676162</v>
      </c>
      <c r="O246" s="9">
        <f t="shared" si="398"/>
        <v>0.00311676954727432</v>
      </c>
      <c r="P246" s="117">
        <f t="shared" si="398"/>
        <v>0.00106096683719896</v>
      </c>
      <c r="Q246" s="117">
        <f t="shared" si="398"/>
        <v>0.00536072828666885</v>
      </c>
      <c r="R246" s="117">
        <f t="shared" si="398"/>
        <v>0.00438897910208653</v>
      </c>
      <c r="S246" s="117">
        <f t="shared" si="398"/>
        <v>0.00497841474473729</v>
      </c>
      <c r="T246" s="117">
        <f t="shared" si="398"/>
        <v>0.00247410759036148</v>
      </c>
      <c r="U246" s="117">
        <f t="shared" si="398"/>
        <v>0</v>
      </c>
      <c r="V246" s="117">
        <f t="shared" si="398"/>
        <v>0.00515914595840418</v>
      </c>
      <c r="W246" s="117">
        <f t="shared" si="398"/>
        <v>0.00821020872984695</v>
      </c>
      <c r="X246" s="117">
        <f t="shared" si="398"/>
        <v>0.00658655448919305</v>
      </c>
      <c r="Y246" s="117">
        <f t="shared" si="398"/>
        <v>0.00407714279267921</v>
      </c>
      <c r="Z246" s="117">
        <f t="shared" si="398"/>
        <v>0.00407326648036965</v>
      </c>
      <c r="AA246" s="117">
        <f t="shared" si="398"/>
        <v>0.00287337514947716</v>
      </c>
      <c r="AB246" s="9">
        <f t="shared" si="398"/>
        <v>0.00414491568910921</v>
      </c>
      <c r="AC246" s="117">
        <f t="shared" si="398"/>
        <v>0.0046989171613713</v>
      </c>
      <c r="AD246" s="117">
        <f t="shared" si="398"/>
        <v>0.0061490951991988</v>
      </c>
      <c r="AE246" s="117">
        <f t="shared" si="398"/>
        <v>0.00479935100488211</v>
      </c>
      <c r="AF246" s="117">
        <f t="shared" si="398"/>
        <v>0.00395342687105413</v>
      </c>
      <c r="AG246" s="117">
        <f t="shared" si="398"/>
        <v>0.00327465768252874</v>
      </c>
      <c r="AH246" s="117">
        <f t="shared" si="398"/>
        <v>0.00113475343187537</v>
      </c>
      <c r="AI246" s="117">
        <f t="shared" ref="AI246:BN246" si="399">AI34/AI$211</f>
        <v>0.00113227412279934</v>
      </c>
      <c r="AJ246" s="117">
        <f t="shared" si="399"/>
        <v>0.00446089636432636</v>
      </c>
      <c r="AK246" s="117">
        <f t="shared" si="399"/>
        <v>0.00440143484224301</v>
      </c>
      <c r="AL246" s="117">
        <f t="shared" si="399"/>
        <v>0.00381315889819971</v>
      </c>
      <c r="AM246" s="117">
        <f t="shared" si="399"/>
        <v>0.0039220920931855</v>
      </c>
      <c r="AN246" s="117">
        <f t="shared" si="399"/>
        <v>0.00302263030164974</v>
      </c>
      <c r="AO246" s="9">
        <f t="shared" si="399"/>
        <v>0.00377178378466243</v>
      </c>
      <c r="AP246" s="144">
        <f t="shared" si="399"/>
        <v>0.00268256954819143</v>
      </c>
      <c r="AQ246" s="144">
        <f t="shared" si="399"/>
        <v>0.000125341189056717</v>
      </c>
      <c r="AR246" s="144">
        <f t="shared" si="399"/>
        <v>0.00268997663692704</v>
      </c>
      <c r="AS246" s="144">
        <f t="shared" si="399"/>
        <v>0.000219538019289752</v>
      </c>
      <c r="AT246" s="144">
        <f t="shared" si="399"/>
        <v>5.82580200071831e-5</v>
      </c>
      <c r="AU246" s="144">
        <f t="shared" si="399"/>
        <v>0</v>
      </c>
      <c r="AV246" s="144">
        <f t="shared" si="399"/>
        <v>0.00699088263946009</v>
      </c>
      <c r="AW246" s="144">
        <f t="shared" si="399"/>
        <v>0</v>
      </c>
      <c r="AX246" s="144">
        <f t="shared" si="399"/>
        <v>0</v>
      </c>
      <c r="AY246" s="144">
        <f t="shared" si="399"/>
        <v>0</v>
      </c>
      <c r="AZ246" s="144">
        <f t="shared" si="399"/>
        <v>0</v>
      </c>
      <c r="BA246" s="144">
        <f t="shared" si="399"/>
        <v>0</v>
      </c>
      <c r="BB246" s="9">
        <f t="shared" si="399"/>
        <v>0.0010851943892192</v>
      </c>
      <c r="BC246" s="144">
        <f t="shared" si="399"/>
        <v>0.00138580835623661</v>
      </c>
      <c r="BD246" s="144">
        <f t="shared" si="399"/>
        <v>0.00190570968737673</v>
      </c>
      <c r="BE246" s="144">
        <f t="shared" si="399"/>
        <v>0</v>
      </c>
      <c r="BF246" s="144">
        <f t="shared" si="399"/>
        <v>0</v>
      </c>
      <c r="BG246" s="144">
        <f t="shared" si="399"/>
        <v>0</v>
      </c>
      <c r="BH246" s="144">
        <f t="shared" si="399"/>
        <v>0</v>
      </c>
      <c r="BI246" s="144">
        <f t="shared" si="399"/>
        <v>0.000992883924964551</v>
      </c>
      <c r="BJ246" s="144">
        <f t="shared" si="399"/>
        <v>0.00940940343093143</v>
      </c>
      <c r="BK246" s="144">
        <f t="shared" si="399"/>
        <v>0.00538251974059158</v>
      </c>
      <c r="BL246" s="144">
        <f t="shared" si="399"/>
        <v>0.0015390448026983</v>
      </c>
      <c r="BM246" s="144">
        <f t="shared" si="399"/>
        <v>0</v>
      </c>
      <c r="BN246" s="144">
        <f t="shared" si="399"/>
        <v>0</v>
      </c>
      <c r="BO246" s="9">
        <f t="shared" ref="BO246:CT246" si="400">BO34/BO$211</f>
        <v>0.0018845885183844</v>
      </c>
      <c r="BP246" s="144">
        <f t="shared" si="400"/>
        <v>0</v>
      </c>
      <c r="BQ246" s="144">
        <f t="shared" si="400"/>
        <v>0</v>
      </c>
      <c r="BR246" s="144">
        <f t="shared" si="400"/>
        <v>0</v>
      </c>
      <c r="BS246" s="144">
        <f t="shared" si="400"/>
        <v>0</v>
      </c>
      <c r="BT246" s="144">
        <f t="shared" si="400"/>
        <v>0</v>
      </c>
      <c r="BU246" s="144">
        <f t="shared" si="400"/>
        <v>0</v>
      </c>
      <c r="BV246" s="144">
        <f t="shared" si="400"/>
        <v>0</v>
      </c>
      <c r="BW246" s="144">
        <f t="shared" si="400"/>
        <v>0</v>
      </c>
      <c r="BX246" s="144">
        <f t="shared" si="400"/>
        <v>0</v>
      </c>
      <c r="BY246" s="144">
        <f t="shared" si="400"/>
        <v>0</v>
      </c>
      <c r="BZ246" s="144">
        <f t="shared" si="400"/>
        <v>0</v>
      </c>
      <c r="CA246" s="144">
        <f t="shared" si="400"/>
        <v>0</v>
      </c>
      <c r="CB246" s="9">
        <f t="shared" si="400"/>
        <v>0</v>
      </c>
      <c r="CC246" s="144">
        <f t="shared" si="400"/>
        <v>0.000942377910884953</v>
      </c>
      <c r="CD246" s="144">
        <f t="shared" si="400"/>
        <v>0.00248080602173962</v>
      </c>
      <c r="CE246" s="144">
        <f t="shared" si="400"/>
        <v>0.000412092186506491</v>
      </c>
      <c r="CF246" s="144">
        <f t="shared" si="400"/>
        <v>0.00139574011945183</v>
      </c>
      <c r="CG246" s="144">
        <f t="shared" si="400"/>
        <v>0.000845219763831686</v>
      </c>
      <c r="CH246" s="144">
        <f t="shared" si="400"/>
        <v>0.00152431664863974</v>
      </c>
      <c r="CI246" s="144">
        <f t="shared" si="400"/>
        <v>0.00251668533950716</v>
      </c>
      <c r="CJ246" s="144">
        <f t="shared" si="400"/>
        <v>0.0127003109177778</v>
      </c>
      <c r="CK246" s="144">
        <f t="shared" si="400"/>
        <v>0.0119600042453631</v>
      </c>
      <c r="CL246" s="144">
        <f t="shared" si="400"/>
        <v>0.00651333825822128</v>
      </c>
      <c r="CM246" s="144">
        <f t="shared" si="400"/>
        <v>0.00441986123417664</v>
      </c>
      <c r="CN246" s="144">
        <f t="shared" si="400"/>
        <v>0</v>
      </c>
      <c r="CO246" s="9">
        <f t="shared" si="400"/>
        <v>0.00395716526449562</v>
      </c>
      <c r="CP246" s="144">
        <f t="shared" si="400"/>
        <v>0.00401393663299351</v>
      </c>
      <c r="CQ246" s="144">
        <f t="shared" si="400"/>
        <v>0.00413731446440688</v>
      </c>
      <c r="CR246" s="144">
        <f t="shared" si="400"/>
        <v>0.00332237105909614</v>
      </c>
      <c r="CS246" s="144">
        <f t="shared" si="400"/>
        <v>0.000165341320421245</v>
      </c>
      <c r="CT246" s="144">
        <f t="shared" si="400"/>
        <v>0</v>
      </c>
      <c r="CU246" s="144">
        <f t="shared" ref="CU246:EB246" si="401">CU34/CU$211</f>
        <v>3.12003702284198e-5</v>
      </c>
      <c r="CV246" s="144">
        <f t="shared" si="401"/>
        <v>0.00306760257701092</v>
      </c>
      <c r="CW246" s="144">
        <f t="shared" si="401"/>
        <v>0.0155223819960042</v>
      </c>
      <c r="CX246" s="144">
        <f t="shared" si="401"/>
        <v>0.00729365067252652</v>
      </c>
      <c r="CY246" s="144">
        <f t="shared" si="401"/>
        <v>0.00372197904315519</v>
      </c>
      <c r="CZ246" s="144">
        <f t="shared" si="401"/>
        <v>0</v>
      </c>
      <c r="DA246" s="144">
        <f t="shared" si="401"/>
        <v>0</v>
      </c>
      <c r="DB246" s="9">
        <f t="shared" si="401"/>
        <v>0.00358402958616586</v>
      </c>
      <c r="DC246" s="144">
        <f t="shared" si="401"/>
        <v>0</v>
      </c>
      <c r="DD246" s="144">
        <f t="shared" si="401"/>
        <v>0</v>
      </c>
      <c r="DE246" s="144">
        <f t="shared" si="401"/>
        <v>0.00221734969428918</v>
      </c>
      <c r="DF246" s="144">
        <f t="shared" si="401"/>
        <v>0</v>
      </c>
      <c r="DG246" s="144">
        <f t="shared" si="401"/>
        <v>0.00512924263205787</v>
      </c>
      <c r="DH246" s="144">
        <f t="shared" si="401"/>
        <v>0.000151945340783304</v>
      </c>
      <c r="DI246" s="144">
        <f t="shared" si="401"/>
        <v>0.00293062177671423</v>
      </c>
      <c r="DJ246" s="144">
        <f t="shared" si="401"/>
        <v>0.00572488010075236</v>
      </c>
      <c r="DK246" s="144">
        <f t="shared" si="401"/>
        <v>0.00286526407145719</v>
      </c>
      <c r="DL246" s="144">
        <f t="shared" si="401"/>
        <v>0.00141548091647945</v>
      </c>
      <c r="DM246" s="144">
        <f t="shared" si="401"/>
        <v>0</v>
      </c>
      <c r="DN246" s="144">
        <f t="shared" si="401"/>
        <v>0</v>
      </c>
      <c r="DO246" s="9">
        <f t="shared" si="401"/>
        <v>0.00158724210934989</v>
      </c>
      <c r="DP246" s="144">
        <f t="shared" si="401"/>
        <v>0</v>
      </c>
      <c r="DQ246" s="144">
        <f t="shared" si="401"/>
        <v>0.0073238638943256</v>
      </c>
      <c r="DR246" s="144">
        <f t="shared" si="401"/>
        <v>0.000177932528816541</v>
      </c>
      <c r="DS246" s="144">
        <f t="shared" si="401"/>
        <v>0.00423536992532733</v>
      </c>
      <c r="DT246" s="144">
        <f t="shared" si="401"/>
        <v>6.77168880921817e-5</v>
      </c>
      <c r="DU246" s="144">
        <f t="shared" si="401"/>
        <v>0.000161147581753071</v>
      </c>
      <c r="DV246" s="144">
        <f t="shared" si="401"/>
        <v>0.00592332026198329</v>
      </c>
      <c r="DW246" s="144">
        <f t="shared" si="401"/>
        <v>0.0152147013295301</v>
      </c>
      <c r="DX246" s="144">
        <f t="shared" si="401"/>
        <v>0.00949220900578603</v>
      </c>
      <c r="DY246" s="144">
        <f t="shared" si="401"/>
        <v>0</v>
      </c>
      <c r="DZ246" s="144">
        <f t="shared" si="401"/>
        <v>0</v>
      </c>
      <c r="EA246" s="144">
        <f t="shared" si="401"/>
        <v>0</v>
      </c>
      <c r="EB246" s="117">
        <f t="shared" si="401"/>
        <v>0.00349250715589556</v>
      </c>
      <c r="EC246" s="118"/>
      <c r="ED246" s="117">
        <f t="shared" ref="ED246:FB246" si="402">ED34/ED$211</f>
        <v>0.0166172353069673</v>
      </c>
      <c r="EE246" s="117">
        <f t="shared" si="402"/>
        <v>0</v>
      </c>
      <c r="EF246" s="117">
        <f t="shared" si="402"/>
        <v>0</v>
      </c>
      <c r="EG246" s="117" t="e">
        <f t="shared" si="402"/>
        <v>#DIV/0!</v>
      </c>
      <c r="EH246" s="117" t="e">
        <f t="shared" si="402"/>
        <v>#DIV/0!</v>
      </c>
      <c r="EI246" s="117" t="e">
        <f t="shared" si="402"/>
        <v>#DIV/0!</v>
      </c>
      <c r="EJ246" s="117" t="e">
        <f t="shared" si="402"/>
        <v>#DIV/0!</v>
      </c>
      <c r="EK246" s="117" t="e">
        <f t="shared" si="402"/>
        <v>#DIV/0!</v>
      </c>
      <c r="EL246" s="117" t="e">
        <f t="shared" si="402"/>
        <v>#DIV/0!</v>
      </c>
      <c r="EM246" s="117" t="e">
        <f t="shared" si="402"/>
        <v>#DIV/0!</v>
      </c>
      <c r="EN246" s="117" t="e">
        <f t="shared" si="402"/>
        <v>#DIV/0!</v>
      </c>
      <c r="EO246" s="116">
        <f t="shared" si="402"/>
        <v>0.00252046501413119</v>
      </c>
      <c r="EP246" s="117">
        <f t="shared" si="402"/>
        <v>0.0113002511635543</v>
      </c>
      <c r="EQ246" s="117">
        <f t="shared" si="402"/>
        <v>0.00687228432308168</v>
      </c>
      <c r="ER246" s="117">
        <f t="shared" si="402"/>
        <v>0.00877852740142589</v>
      </c>
      <c r="ES246" s="117">
        <f t="shared" si="402"/>
        <v>0.00892908718394757</v>
      </c>
      <c r="ET246" s="117">
        <f t="shared" si="402"/>
        <v>0.0061746346578493</v>
      </c>
      <c r="EU246" s="117">
        <f t="shared" si="402"/>
        <v>0.000507823003483068</v>
      </c>
      <c r="EV246" s="117">
        <f t="shared" si="402"/>
        <v>0.00328115520007869</v>
      </c>
      <c r="EW246" s="117">
        <f t="shared" si="402"/>
        <v>0.0187493054930732</v>
      </c>
      <c r="EX246" s="117">
        <f t="shared" si="402"/>
        <v>0.016384392695469</v>
      </c>
      <c r="EY246" s="117">
        <f t="shared" si="402"/>
        <v>0.0128438392964557</v>
      </c>
      <c r="EZ246" s="117">
        <f t="shared" si="402"/>
        <v>0.0151835591841882</v>
      </c>
      <c r="FA246" s="117">
        <f t="shared" si="402"/>
        <v>0.0109198532890285</v>
      </c>
      <c r="FB246" s="117">
        <f t="shared" si="402"/>
        <v>0.0103059982304392</v>
      </c>
      <c r="FC246" s="118"/>
      <c r="FD246" s="117"/>
      <c r="FE246" s="117"/>
      <c r="FF246" s="117"/>
      <c r="FG246" s="117"/>
      <c r="FH246" s="117"/>
      <c r="FI246" s="117"/>
      <c r="FJ246" s="117"/>
      <c r="FK246" s="117" t="e">
        <f t="shared" si="211"/>
        <v>#DIV/0!</v>
      </c>
      <c r="FL246" s="117" t="e">
        <f t="shared" si="212"/>
        <v>#DIV/0!</v>
      </c>
      <c r="FM246" s="117" t="e">
        <f t="shared" si="213"/>
        <v>#DIV/0!</v>
      </c>
      <c r="FN246" s="117" t="e">
        <f t="shared" si="214"/>
        <v>#DIV/0!</v>
      </c>
      <c r="FO246" s="9" t="e">
        <f t="shared" si="215"/>
        <v>#DIV/0!</v>
      </c>
      <c r="FP246" s="118">
        <f t="shared" ref="FP246:GB246" si="403">FP34/FP$211</f>
        <v>0.0074204174949703</v>
      </c>
      <c r="FQ246" s="117">
        <f t="shared" si="403"/>
        <v>0.00316012128175771</v>
      </c>
      <c r="FR246" s="117">
        <f t="shared" si="403"/>
        <v>0.00122785622951251</v>
      </c>
      <c r="FS246" s="117">
        <f t="shared" si="403"/>
        <v>0.0004996236980936</v>
      </c>
      <c r="FT246" s="117">
        <f t="shared" si="403"/>
        <v>0.000390260305826253</v>
      </c>
      <c r="FU246" s="117">
        <f t="shared" si="403"/>
        <v>3.4705473175511e-5</v>
      </c>
      <c r="FV246" s="117">
        <f t="shared" si="403"/>
        <v>0.0140239572098677</v>
      </c>
      <c r="FW246" s="117">
        <f t="shared" si="403"/>
        <v>0.0252809675403539</v>
      </c>
      <c r="FX246" s="117">
        <f t="shared" si="403"/>
        <v>0</v>
      </c>
      <c r="FY246" s="117">
        <f t="shared" si="403"/>
        <v>0</v>
      </c>
      <c r="FZ246" s="117">
        <f t="shared" si="403"/>
        <v>0</v>
      </c>
      <c r="GA246" s="117">
        <f t="shared" si="403"/>
        <v>0</v>
      </c>
      <c r="GB246" s="116">
        <f t="shared" si="403"/>
        <v>0.0046287731887064</v>
      </c>
    </row>
    <row r="247" spans="1:184">
      <c r="A247" s="147" t="s">
        <v>95</v>
      </c>
      <c r="B247" s="160">
        <f t="shared" si="217"/>
        <v>-0.186725877384188</v>
      </c>
      <c r="C247" s="117">
        <f t="shared" ref="C247:AH247" si="404">C35/C$211</f>
        <v>0.00252680474599305</v>
      </c>
      <c r="D247" s="117">
        <f t="shared" si="404"/>
        <v>0.00184343991805748</v>
      </c>
      <c r="E247" s="117">
        <f t="shared" si="404"/>
        <v>0.0016100240751368</v>
      </c>
      <c r="F247" s="117">
        <f t="shared" si="404"/>
        <v>0.00328531625700009</v>
      </c>
      <c r="G247" s="117">
        <f t="shared" si="404"/>
        <v>0.00384103152862377</v>
      </c>
      <c r="H247" s="117">
        <f t="shared" si="404"/>
        <v>0.00278653627479761</v>
      </c>
      <c r="I247" s="117">
        <f t="shared" si="404"/>
        <v>0.00159527318572648</v>
      </c>
      <c r="J247" s="117">
        <f t="shared" si="404"/>
        <v>0.00219671435301224</v>
      </c>
      <c r="K247" s="117">
        <f t="shared" si="404"/>
        <v>0.000562970916423038</v>
      </c>
      <c r="L247" s="117">
        <f t="shared" si="404"/>
        <v>0.000416975339913663</v>
      </c>
      <c r="M247" s="117">
        <f t="shared" si="404"/>
        <v>0.000323431884446028</v>
      </c>
      <c r="N247" s="117">
        <f t="shared" si="404"/>
        <v>0.00738139614546998</v>
      </c>
      <c r="O247" s="9">
        <f t="shared" si="404"/>
        <v>0.00231372212736683</v>
      </c>
      <c r="P247" s="117">
        <f t="shared" si="404"/>
        <v>0.00221065679362513</v>
      </c>
      <c r="Q247" s="117">
        <f t="shared" si="404"/>
        <v>0.000621587612507739</v>
      </c>
      <c r="R247" s="117">
        <f t="shared" si="404"/>
        <v>0.00117913482362544</v>
      </c>
      <c r="S247" s="117">
        <f t="shared" si="404"/>
        <v>0.0018021849675202</v>
      </c>
      <c r="T247" s="117">
        <f t="shared" si="404"/>
        <v>0.00250150123763263</v>
      </c>
      <c r="U247" s="117">
        <f t="shared" si="404"/>
        <v>0.00447532836898825</v>
      </c>
      <c r="V247" s="117">
        <f t="shared" si="404"/>
        <v>0.0019479064727831</v>
      </c>
      <c r="W247" s="117">
        <f t="shared" si="404"/>
        <v>1.89166796774552e-5</v>
      </c>
      <c r="X247" s="117">
        <f t="shared" si="404"/>
        <v>1.93699414486635e-5</v>
      </c>
      <c r="Y247" s="117">
        <f t="shared" si="404"/>
        <v>0</v>
      </c>
      <c r="Z247" s="117">
        <f t="shared" si="404"/>
        <v>0</v>
      </c>
      <c r="AA247" s="117">
        <f t="shared" si="404"/>
        <v>0</v>
      </c>
      <c r="AB247" s="9">
        <f t="shared" si="404"/>
        <v>0.00113111301135141</v>
      </c>
      <c r="AC247" s="117">
        <f t="shared" si="404"/>
        <v>0.00174456558221335</v>
      </c>
      <c r="AD247" s="117">
        <f t="shared" si="404"/>
        <v>0.0022276752462958</v>
      </c>
      <c r="AE247" s="117">
        <f t="shared" si="404"/>
        <v>0.00157426163811869</v>
      </c>
      <c r="AF247" s="117">
        <f t="shared" si="404"/>
        <v>0.00203406193788334</v>
      </c>
      <c r="AG247" s="117">
        <f t="shared" si="404"/>
        <v>0.00337255066296417</v>
      </c>
      <c r="AH247" s="117">
        <f t="shared" si="404"/>
        <v>0.0029334259409081</v>
      </c>
      <c r="AI247" s="117">
        <f t="shared" ref="AI247:BN247" si="405">AI35/AI$211</f>
        <v>0.00246146548434639</v>
      </c>
      <c r="AJ247" s="117">
        <f t="shared" si="405"/>
        <v>0.000713743418292218</v>
      </c>
      <c r="AK247" s="117">
        <f t="shared" si="405"/>
        <v>0</v>
      </c>
      <c r="AL247" s="117">
        <f t="shared" si="405"/>
        <v>0</v>
      </c>
      <c r="AM247" s="117">
        <f t="shared" si="405"/>
        <v>0</v>
      </c>
      <c r="AN247" s="117">
        <f t="shared" si="405"/>
        <v>0</v>
      </c>
      <c r="AO247" s="9">
        <f t="shared" si="405"/>
        <v>0.00127566690288551</v>
      </c>
      <c r="AP247" s="144">
        <f t="shared" si="405"/>
        <v>0.00221750274608735</v>
      </c>
      <c r="AQ247" s="144">
        <f t="shared" si="405"/>
        <v>0.0010742005239666</v>
      </c>
      <c r="AR247" s="144">
        <f t="shared" si="405"/>
        <v>0.000994245653630145</v>
      </c>
      <c r="AS247" s="144">
        <f t="shared" si="405"/>
        <v>0.000525487310153562</v>
      </c>
      <c r="AT247" s="144">
        <f t="shared" si="405"/>
        <v>0.00257286693855858</v>
      </c>
      <c r="AU247" s="144">
        <f t="shared" si="405"/>
        <v>0.000499538311191062</v>
      </c>
      <c r="AV247" s="144">
        <f t="shared" si="405"/>
        <v>5.60058633354492e-5</v>
      </c>
      <c r="AW247" s="144">
        <f t="shared" si="405"/>
        <v>4.93440000349127e-5</v>
      </c>
      <c r="AX247" s="144">
        <f t="shared" si="405"/>
        <v>4.91029442337566e-5</v>
      </c>
      <c r="AY247" s="144">
        <f t="shared" si="405"/>
        <v>5.25532549994057e-5</v>
      </c>
      <c r="AZ247" s="144">
        <f t="shared" si="405"/>
        <v>5.05448752794789e-5</v>
      </c>
      <c r="BA247" s="144">
        <f t="shared" si="405"/>
        <v>0.0184877111815209</v>
      </c>
      <c r="BB247" s="9">
        <f t="shared" si="405"/>
        <v>0.00243088174973638</v>
      </c>
      <c r="BC247" s="144">
        <f t="shared" si="405"/>
        <v>0.00226664808004121</v>
      </c>
      <c r="BD247" s="144">
        <f t="shared" si="405"/>
        <v>0.00197483576621139</v>
      </c>
      <c r="BE247" s="144">
        <f t="shared" si="405"/>
        <v>0.00172388728071143</v>
      </c>
      <c r="BF247" s="144">
        <f t="shared" si="405"/>
        <v>0.00383435977025822</v>
      </c>
      <c r="BG247" s="144">
        <f t="shared" si="405"/>
        <v>0.00298457040012702</v>
      </c>
      <c r="BH247" s="144">
        <f t="shared" si="405"/>
        <v>0.0018163790226642</v>
      </c>
      <c r="BI247" s="144">
        <f t="shared" si="405"/>
        <v>0.00111687450206761</v>
      </c>
      <c r="BJ247" s="144">
        <f t="shared" si="405"/>
        <v>0.00054341293516045</v>
      </c>
      <c r="BK247" s="144">
        <f t="shared" si="405"/>
        <v>0.00029902887447731</v>
      </c>
      <c r="BL247" s="144">
        <f t="shared" si="405"/>
        <v>0.000307808960539661</v>
      </c>
      <c r="BM247" s="144">
        <f t="shared" si="405"/>
        <v>0.000293832167899022</v>
      </c>
      <c r="BN247" s="144">
        <f t="shared" si="405"/>
        <v>0.00372322075953063</v>
      </c>
      <c r="BO247" s="9">
        <f t="shared" ref="BO247:CT247" si="406">BO35/BO$211</f>
        <v>0.00167440637295186</v>
      </c>
      <c r="BP247" s="144">
        <f t="shared" si="406"/>
        <v>0.00153093873922631</v>
      </c>
      <c r="BQ247" s="144">
        <f t="shared" si="406"/>
        <v>0.00147566868853337</v>
      </c>
      <c r="BR247" s="144">
        <f t="shared" si="406"/>
        <v>0.00136390989644171</v>
      </c>
      <c r="BS247" s="144">
        <f t="shared" si="406"/>
        <v>0.00236917871621069</v>
      </c>
      <c r="BT247" s="144">
        <f t="shared" si="406"/>
        <v>0.0026758006562063</v>
      </c>
      <c r="BU247" s="144">
        <f t="shared" si="406"/>
        <v>0.00160886292910414</v>
      </c>
      <c r="BV247" s="144">
        <f t="shared" si="406"/>
        <v>0.00118971317093839</v>
      </c>
      <c r="BW247" s="144">
        <f t="shared" si="406"/>
        <v>0.00112691765616617</v>
      </c>
      <c r="BX247" s="144">
        <f t="shared" si="406"/>
        <v>0.000993036976575607</v>
      </c>
      <c r="BY247" s="144">
        <f t="shared" si="406"/>
        <v>0.001022830331254</v>
      </c>
      <c r="BZ247" s="144">
        <f t="shared" si="406"/>
        <v>0.00106164891971353</v>
      </c>
      <c r="CA247" s="144">
        <f t="shared" si="406"/>
        <v>0.00902777749287481</v>
      </c>
      <c r="CB247" s="9">
        <f t="shared" si="406"/>
        <v>0.00200298096869778</v>
      </c>
      <c r="CC247" s="144">
        <f t="shared" si="406"/>
        <v>6.46856679689945e-5</v>
      </c>
      <c r="CD247" s="144">
        <f t="shared" si="406"/>
        <v>0.00042727391680695</v>
      </c>
      <c r="CE247" s="144">
        <f t="shared" si="406"/>
        <v>0.000255239155292419</v>
      </c>
      <c r="CF247" s="144">
        <f t="shared" si="406"/>
        <v>0.00213093260280403</v>
      </c>
      <c r="CG247" s="144">
        <f t="shared" si="406"/>
        <v>0.00207985663419934</v>
      </c>
      <c r="CH247" s="144">
        <f t="shared" si="406"/>
        <v>0.00207340250809157</v>
      </c>
      <c r="CI247" s="144">
        <f t="shared" si="406"/>
        <v>0.000843353009905701</v>
      </c>
      <c r="CJ247" s="144">
        <f t="shared" si="406"/>
        <v>0.000396884716180556</v>
      </c>
      <c r="CK247" s="144">
        <f t="shared" si="406"/>
        <v>0</v>
      </c>
      <c r="CL247" s="144">
        <f t="shared" si="406"/>
        <v>0</v>
      </c>
      <c r="CM247" s="144">
        <f t="shared" si="406"/>
        <v>0</v>
      </c>
      <c r="CN247" s="144">
        <f t="shared" si="406"/>
        <v>0.00288416183182623</v>
      </c>
      <c r="CO247" s="9">
        <f t="shared" si="406"/>
        <v>0.000914052449245676</v>
      </c>
      <c r="CP247" s="144">
        <f t="shared" si="406"/>
        <v>0.00135423245257589</v>
      </c>
      <c r="CQ247" s="144">
        <f t="shared" si="406"/>
        <v>0.00144534849967221</v>
      </c>
      <c r="CR247" s="144">
        <f t="shared" si="406"/>
        <v>0.00112264557297051</v>
      </c>
      <c r="CS247" s="144">
        <f t="shared" si="406"/>
        <v>0.00280126372752189</v>
      </c>
      <c r="CT247" s="144">
        <f t="shared" si="406"/>
        <v>0.00379297911791594</v>
      </c>
      <c r="CU247" s="144">
        <f t="shared" ref="CU247:EB247" si="407">CU35/CU$211</f>
        <v>0.00188739557216616</v>
      </c>
      <c r="CV247" s="144">
        <f t="shared" si="407"/>
        <v>0.00138428593291732</v>
      </c>
      <c r="CW247" s="144">
        <f t="shared" si="407"/>
        <v>0.000955251896393536</v>
      </c>
      <c r="CX247" s="144">
        <f t="shared" si="407"/>
        <v>0</v>
      </c>
      <c r="CY247" s="144">
        <f t="shared" si="407"/>
        <v>0</v>
      </c>
      <c r="CZ247" s="144">
        <f t="shared" si="407"/>
        <v>0</v>
      </c>
      <c r="DA247" s="144">
        <f t="shared" si="407"/>
        <v>0.00168756328362314</v>
      </c>
      <c r="DB247" s="9">
        <f t="shared" si="407"/>
        <v>0.00135503755059443</v>
      </c>
      <c r="DC247" s="144">
        <f t="shared" si="407"/>
        <v>0.00839665550269199</v>
      </c>
      <c r="DD247" s="144">
        <f t="shared" si="407"/>
        <v>0.00563573153995092</v>
      </c>
      <c r="DE247" s="144">
        <f t="shared" si="407"/>
        <v>0.00467381227084376</v>
      </c>
      <c r="DF247" s="144">
        <f t="shared" si="407"/>
        <v>0.00617870879366224</v>
      </c>
      <c r="DG247" s="144">
        <f t="shared" si="407"/>
        <v>0.00855883635919058</v>
      </c>
      <c r="DH247" s="144">
        <f t="shared" si="407"/>
        <v>0.00933399494396374</v>
      </c>
      <c r="DI247" s="144">
        <f t="shared" si="407"/>
        <v>0.00535298596026884</v>
      </c>
      <c r="DJ247" s="144">
        <f t="shared" si="407"/>
        <v>0.00275734563306768</v>
      </c>
      <c r="DK247" s="144">
        <f t="shared" si="407"/>
        <v>0.00166655939228718</v>
      </c>
      <c r="DL247" s="144">
        <f t="shared" si="407"/>
        <v>0.001214441597907</v>
      </c>
      <c r="DM247" s="144">
        <f t="shared" si="407"/>
        <v>0.000869898802026164</v>
      </c>
      <c r="DN247" s="144">
        <f t="shared" si="407"/>
        <v>0.010122770202986</v>
      </c>
      <c r="DO247" s="9">
        <f t="shared" si="407"/>
        <v>0.00554859616444844</v>
      </c>
      <c r="DP247" s="144">
        <f t="shared" si="407"/>
        <v>0.00787210707713825</v>
      </c>
      <c r="DQ247" s="144">
        <f t="shared" si="407"/>
        <v>0.00548236160074799</v>
      </c>
      <c r="DR247" s="144">
        <f t="shared" si="407"/>
        <v>0.00433382719493829</v>
      </c>
      <c r="DS247" s="144">
        <f t="shared" si="407"/>
        <v>0.00324391405820314</v>
      </c>
      <c r="DT247" s="144">
        <f t="shared" si="407"/>
        <v>0.00916880769631226</v>
      </c>
      <c r="DU247" s="144">
        <f t="shared" si="407"/>
        <v>0.00599608159339965</v>
      </c>
      <c r="DV247" s="144">
        <f t="shared" si="407"/>
        <v>0.00310876975593486</v>
      </c>
      <c r="DW247" s="144">
        <f t="shared" si="407"/>
        <v>0.00221322137875102</v>
      </c>
      <c r="DX247" s="144">
        <f t="shared" si="407"/>
        <v>0.00124911967786286</v>
      </c>
      <c r="DY247" s="144">
        <f t="shared" si="407"/>
        <v>0.00048142668727627</v>
      </c>
      <c r="DZ247" s="144">
        <f t="shared" si="407"/>
        <v>0</v>
      </c>
      <c r="EA247" s="144">
        <f t="shared" si="407"/>
        <v>0.0125648412365752</v>
      </c>
      <c r="EB247" s="117">
        <f t="shared" si="407"/>
        <v>0.00467066050778068</v>
      </c>
      <c r="EC247" s="118"/>
      <c r="ED247" s="117">
        <f t="shared" ref="ED247:FB247" si="408">ED35/ED$211</f>
        <v>0.0265875764911477</v>
      </c>
      <c r="EE247" s="117">
        <f t="shared" si="408"/>
        <v>0</v>
      </c>
      <c r="EF247" s="117">
        <f t="shared" si="408"/>
        <v>0</v>
      </c>
      <c r="EG247" s="117" t="e">
        <f t="shared" si="408"/>
        <v>#DIV/0!</v>
      </c>
      <c r="EH247" s="117" t="e">
        <f t="shared" si="408"/>
        <v>#DIV/0!</v>
      </c>
      <c r="EI247" s="117" t="e">
        <f t="shared" si="408"/>
        <v>#DIV/0!</v>
      </c>
      <c r="EJ247" s="117" t="e">
        <f t="shared" si="408"/>
        <v>#DIV/0!</v>
      </c>
      <c r="EK247" s="117" t="e">
        <f t="shared" si="408"/>
        <v>#DIV/0!</v>
      </c>
      <c r="EL247" s="117" t="e">
        <f t="shared" si="408"/>
        <v>#DIV/0!</v>
      </c>
      <c r="EM247" s="117" t="e">
        <f t="shared" si="408"/>
        <v>#DIV/0!</v>
      </c>
      <c r="EN247" s="117" t="e">
        <f t="shared" si="408"/>
        <v>#DIV/0!</v>
      </c>
      <c r="EO247" s="116">
        <f t="shared" si="408"/>
        <v>0.00565858122975117</v>
      </c>
      <c r="EP247" s="117">
        <f t="shared" si="408"/>
        <v>0.00168136904406184</v>
      </c>
      <c r="EQ247" s="117">
        <f t="shared" si="408"/>
        <v>0.00400833616448756</v>
      </c>
      <c r="ER247" s="117">
        <f t="shared" si="408"/>
        <v>0.0047137341845224</v>
      </c>
      <c r="ES247" s="117">
        <f t="shared" si="408"/>
        <v>0.008353132044297</v>
      </c>
      <c r="ET247" s="117">
        <f t="shared" si="408"/>
        <v>0.00566245201327097</v>
      </c>
      <c r="EU247" s="117">
        <f t="shared" si="408"/>
        <v>0.00592620198194741</v>
      </c>
      <c r="EV247" s="117">
        <f t="shared" si="408"/>
        <v>0.0051630299045913</v>
      </c>
      <c r="EW247" s="117">
        <f t="shared" si="408"/>
        <v>0.00253538313813338</v>
      </c>
      <c r="EX247" s="117">
        <f t="shared" si="408"/>
        <v>0.00221558675781322</v>
      </c>
      <c r="EY247" s="117">
        <f t="shared" si="408"/>
        <v>0.00161156864398841</v>
      </c>
      <c r="EZ247" s="117">
        <f t="shared" si="408"/>
        <v>4.23678833377616e-5</v>
      </c>
      <c r="FA247" s="117">
        <f t="shared" si="408"/>
        <v>3.25018968813283e-5</v>
      </c>
      <c r="FB247" s="117">
        <f t="shared" si="408"/>
        <v>0.00344432493804569</v>
      </c>
      <c r="FC247" s="118"/>
      <c r="FD247" s="117"/>
      <c r="FE247" s="117"/>
      <c r="FF247" s="117"/>
      <c r="FG247" s="117"/>
      <c r="FH247" s="117"/>
      <c r="FI247" s="117"/>
      <c r="FJ247" s="117"/>
      <c r="FK247" s="117" t="e">
        <f t="shared" si="211"/>
        <v>#DIV/0!</v>
      </c>
      <c r="FL247" s="117" t="e">
        <f t="shared" si="212"/>
        <v>#DIV/0!</v>
      </c>
      <c r="FM247" s="117" t="e">
        <f t="shared" si="213"/>
        <v>#DIV/0!</v>
      </c>
      <c r="FN247" s="117" t="e">
        <f t="shared" si="214"/>
        <v>#DIV/0!</v>
      </c>
      <c r="FO247" s="9" t="e">
        <f t="shared" si="215"/>
        <v>#DIV/0!</v>
      </c>
      <c r="FP247" s="118">
        <f t="shared" ref="FP247:GB247" si="409">FP35/FP$211</f>
        <v>0.00245151284773875</v>
      </c>
      <c r="FQ247" s="117">
        <f t="shared" si="409"/>
        <v>0.00134909342745956</v>
      </c>
      <c r="FR247" s="117">
        <f t="shared" si="409"/>
        <v>0.00114247865414348</v>
      </c>
      <c r="FS247" s="117">
        <f t="shared" si="409"/>
        <v>0.0052162143681653</v>
      </c>
      <c r="FT247" s="117">
        <f t="shared" si="409"/>
        <v>0.00407128200047956</v>
      </c>
      <c r="FU247" s="117">
        <f t="shared" si="409"/>
        <v>0.00214468088074309</v>
      </c>
      <c r="FV247" s="117">
        <f t="shared" si="409"/>
        <v>0.001098032239553</v>
      </c>
      <c r="FW247" s="117">
        <f t="shared" si="409"/>
        <v>0.00648862114763582</v>
      </c>
      <c r="FX247" s="117">
        <f t="shared" si="409"/>
        <v>0.000835661313432075</v>
      </c>
      <c r="FY247" s="117">
        <f t="shared" si="409"/>
        <v>0.000468120428477165</v>
      </c>
      <c r="FZ247" s="117">
        <f t="shared" si="409"/>
        <v>0.000421186914765049</v>
      </c>
      <c r="GA247" s="117">
        <f t="shared" si="409"/>
        <v>0.0111944227768043</v>
      </c>
      <c r="GB247" s="116">
        <f t="shared" si="409"/>
        <v>0.00310748834093254</v>
      </c>
    </row>
    <row r="248" spans="1:184">
      <c r="A248" s="147" t="s">
        <v>97</v>
      </c>
      <c r="B248" s="160">
        <f t="shared" si="217"/>
        <v>2.20110697370653</v>
      </c>
      <c r="C248" s="117">
        <f t="shared" ref="C248:AH248" si="410">C36/C$211</f>
        <v>4.35941444320323e-5</v>
      </c>
      <c r="D248" s="117">
        <f t="shared" si="410"/>
        <v>4.09684028370213e-5</v>
      </c>
      <c r="E248" s="117">
        <f t="shared" si="410"/>
        <v>4.42849439223781e-5</v>
      </c>
      <c r="F248" s="117">
        <f t="shared" si="410"/>
        <v>0.00570882663484623</v>
      </c>
      <c r="G248" s="117">
        <f t="shared" si="410"/>
        <v>0.00416317017046555</v>
      </c>
      <c r="H248" s="117">
        <f t="shared" si="410"/>
        <v>0.00989588331358111</v>
      </c>
      <c r="I248" s="117">
        <f t="shared" si="410"/>
        <v>0.00427073244261844</v>
      </c>
      <c r="J248" s="117">
        <f t="shared" si="410"/>
        <v>0.0022297492176647</v>
      </c>
      <c r="K248" s="117">
        <f t="shared" si="410"/>
        <v>0.00112212069175292</v>
      </c>
      <c r="L248" s="117">
        <f t="shared" si="410"/>
        <v>0.000622817642805025</v>
      </c>
      <c r="M248" s="117">
        <f t="shared" si="410"/>
        <v>0.000430404338201442</v>
      </c>
      <c r="N248" s="117">
        <f t="shared" si="410"/>
        <v>0.000177233935239031</v>
      </c>
      <c r="O248" s="9">
        <f t="shared" si="410"/>
        <v>0.00205689997339451</v>
      </c>
      <c r="P248" s="117">
        <f t="shared" si="410"/>
        <v>6.28742983576849e-5</v>
      </c>
      <c r="Q248" s="117">
        <f t="shared" si="410"/>
        <v>1.23347271415351e-5</v>
      </c>
      <c r="R248" s="117">
        <f t="shared" si="410"/>
        <v>0</v>
      </c>
      <c r="S248" s="117">
        <f t="shared" si="410"/>
        <v>0.00495692887261826</v>
      </c>
      <c r="T248" s="117">
        <f t="shared" si="410"/>
        <v>0.00536556808973289</v>
      </c>
      <c r="U248" s="117">
        <f t="shared" si="410"/>
        <v>0.0109990111648015</v>
      </c>
      <c r="V248" s="117">
        <f t="shared" si="410"/>
        <v>0.00794041844392555</v>
      </c>
      <c r="W248" s="117">
        <f t="shared" si="410"/>
        <v>0.00539410546883013</v>
      </c>
      <c r="X248" s="117">
        <f t="shared" si="410"/>
        <v>0.00489261360259834</v>
      </c>
      <c r="Y248" s="117">
        <f t="shared" si="410"/>
        <v>0.0036635196108132</v>
      </c>
      <c r="Z248" s="117">
        <f t="shared" si="410"/>
        <v>0.00319958033675413</v>
      </c>
      <c r="AA248" s="117">
        <f t="shared" si="410"/>
        <v>0.00129801139821832</v>
      </c>
      <c r="AB248" s="9">
        <f t="shared" si="410"/>
        <v>0.00369458043304113</v>
      </c>
      <c r="AC248" s="117">
        <f t="shared" si="410"/>
        <v>0</v>
      </c>
      <c r="AD248" s="117">
        <f t="shared" si="410"/>
        <v>0</v>
      </c>
      <c r="AE248" s="117">
        <f t="shared" si="410"/>
        <v>0</v>
      </c>
      <c r="AF248" s="117">
        <f t="shared" si="410"/>
        <v>0.0065477198933637</v>
      </c>
      <c r="AG248" s="117">
        <f t="shared" si="410"/>
        <v>0.00942900548273994</v>
      </c>
      <c r="AH248" s="117">
        <f t="shared" si="410"/>
        <v>0.0137650524997056</v>
      </c>
      <c r="AI248" s="117">
        <f t="shared" ref="AI248:BN248" si="411">AI36/AI$211</f>
        <v>0.0123614796623876</v>
      </c>
      <c r="AJ248" s="117">
        <f t="shared" si="411"/>
        <v>0.00759903998062204</v>
      </c>
      <c r="AK248" s="117">
        <f t="shared" si="411"/>
        <v>0.00283605497226267</v>
      </c>
      <c r="AL248" s="117">
        <f t="shared" si="411"/>
        <v>0</v>
      </c>
      <c r="AM248" s="117">
        <f t="shared" si="411"/>
        <v>0</v>
      </c>
      <c r="AN248" s="117">
        <f t="shared" si="411"/>
        <v>0</v>
      </c>
      <c r="AO248" s="9">
        <f t="shared" si="411"/>
        <v>0.0041041102299249</v>
      </c>
      <c r="AP248" s="144">
        <f t="shared" si="411"/>
        <v>0</v>
      </c>
      <c r="AQ248" s="144">
        <f t="shared" si="411"/>
        <v>0</v>
      </c>
      <c r="AR248" s="144">
        <f t="shared" si="411"/>
        <v>0</v>
      </c>
      <c r="AS248" s="144">
        <f t="shared" si="411"/>
        <v>0.00266483062010519</v>
      </c>
      <c r="AT248" s="144">
        <f t="shared" si="411"/>
        <v>0.00203109022726684</v>
      </c>
      <c r="AU248" s="144">
        <f t="shared" si="411"/>
        <v>0.0039058227899621</v>
      </c>
      <c r="AV248" s="144">
        <f t="shared" si="411"/>
        <v>0.00195542079625478</v>
      </c>
      <c r="AW248" s="144">
        <f t="shared" si="411"/>
        <v>0</v>
      </c>
      <c r="AX248" s="144">
        <f t="shared" si="411"/>
        <v>0</v>
      </c>
      <c r="AY248" s="144">
        <f t="shared" si="411"/>
        <v>0</v>
      </c>
      <c r="AZ248" s="144">
        <f t="shared" si="411"/>
        <v>0</v>
      </c>
      <c r="BA248" s="144">
        <f t="shared" si="411"/>
        <v>0</v>
      </c>
      <c r="BB248" s="9">
        <f t="shared" si="411"/>
        <v>0.000731449799914865</v>
      </c>
      <c r="BC248" s="144">
        <f t="shared" si="411"/>
        <v>0</v>
      </c>
      <c r="BD248" s="144">
        <f t="shared" si="411"/>
        <v>0</v>
      </c>
      <c r="BE248" s="144">
        <f t="shared" si="411"/>
        <v>0</v>
      </c>
      <c r="BF248" s="144">
        <f t="shared" si="411"/>
        <v>0.0054078649802459</v>
      </c>
      <c r="BG248" s="144">
        <f t="shared" si="411"/>
        <v>0.00442984466622172</v>
      </c>
      <c r="BH248" s="144">
        <f t="shared" si="411"/>
        <v>0.00457807892196267</v>
      </c>
      <c r="BI248" s="144">
        <f t="shared" si="411"/>
        <v>0.00136341669406364</v>
      </c>
      <c r="BJ248" s="144">
        <f t="shared" si="411"/>
        <v>0</v>
      </c>
      <c r="BK248" s="144">
        <f t="shared" si="411"/>
        <v>0</v>
      </c>
      <c r="BL248" s="144">
        <f t="shared" si="411"/>
        <v>0</v>
      </c>
      <c r="BM248" s="144">
        <f t="shared" si="411"/>
        <v>0</v>
      </c>
      <c r="BN248" s="144">
        <f t="shared" si="411"/>
        <v>0</v>
      </c>
      <c r="BO248" s="9">
        <f t="shared" ref="BO248:CT248" si="412">BO36/BO$211</f>
        <v>0.00101656981084272</v>
      </c>
      <c r="BP248" s="144">
        <f t="shared" si="412"/>
        <v>7.97464412820617e-6</v>
      </c>
      <c r="BQ248" s="144">
        <f t="shared" si="412"/>
        <v>2.20033398347095e-6</v>
      </c>
      <c r="BR248" s="144">
        <f t="shared" si="412"/>
        <v>5.18553153165024e-6</v>
      </c>
      <c r="BS248" s="144">
        <f t="shared" si="412"/>
        <v>0.00439390879101848</v>
      </c>
      <c r="BT248" s="144">
        <f t="shared" si="412"/>
        <v>0.00336134650177297</v>
      </c>
      <c r="BU248" s="144">
        <f t="shared" si="412"/>
        <v>0.00683576075173584</v>
      </c>
      <c r="BV248" s="144">
        <f t="shared" si="412"/>
        <v>0.00267931343957134</v>
      </c>
      <c r="BW248" s="144">
        <f t="shared" si="412"/>
        <v>0.000384543726748862</v>
      </c>
      <c r="BX248" s="144">
        <f t="shared" si="412"/>
        <v>0</v>
      </c>
      <c r="BY248" s="144">
        <f t="shared" si="412"/>
        <v>0</v>
      </c>
      <c r="BZ248" s="144">
        <f t="shared" si="412"/>
        <v>0</v>
      </c>
      <c r="CA248" s="144">
        <f t="shared" si="412"/>
        <v>0</v>
      </c>
      <c r="CB248" s="9">
        <f t="shared" si="412"/>
        <v>0.00120143048768859</v>
      </c>
      <c r="CC248" s="144">
        <f t="shared" si="412"/>
        <v>0</v>
      </c>
      <c r="CD248" s="144">
        <f t="shared" si="412"/>
        <v>0.00139046780515375</v>
      </c>
      <c r="CE248" s="144">
        <f t="shared" si="412"/>
        <v>0</v>
      </c>
      <c r="CF248" s="144">
        <f t="shared" si="412"/>
        <v>0.0039091635467649</v>
      </c>
      <c r="CG248" s="144">
        <f t="shared" si="412"/>
        <v>0.00465891728151835</v>
      </c>
      <c r="CH248" s="144">
        <f t="shared" si="412"/>
        <v>0.00200816024595752</v>
      </c>
      <c r="CI248" s="144">
        <f t="shared" si="412"/>
        <v>0.00196454646023963</v>
      </c>
      <c r="CJ248" s="144">
        <f t="shared" si="412"/>
        <v>0.000100946764767663</v>
      </c>
      <c r="CK248" s="144">
        <f t="shared" si="412"/>
        <v>0</v>
      </c>
      <c r="CL248" s="144">
        <f t="shared" si="412"/>
        <v>0</v>
      </c>
      <c r="CM248" s="144">
        <f t="shared" si="412"/>
        <v>0</v>
      </c>
      <c r="CN248" s="144">
        <f t="shared" si="412"/>
        <v>0</v>
      </c>
      <c r="CO248" s="9">
        <f t="shared" si="412"/>
        <v>0.0011757038622176</v>
      </c>
      <c r="CP248" s="144">
        <f t="shared" si="412"/>
        <v>0</v>
      </c>
      <c r="CQ248" s="144">
        <f t="shared" si="412"/>
        <v>0</v>
      </c>
      <c r="CR248" s="144">
        <f t="shared" si="412"/>
        <v>0</v>
      </c>
      <c r="CS248" s="144">
        <f t="shared" si="412"/>
        <v>0.0142950309120392</v>
      </c>
      <c r="CT248" s="144">
        <f t="shared" si="412"/>
        <v>0.00535494046700868</v>
      </c>
      <c r="CU248" s="144">
        <f t="shared" ref="CU248:EB248" si="413">CU36/CU$211</f>
        <v>0.01123934575952</v>
      </c>
      <c r="CV248" s="144">
        <f t="shared" si="413"/>
        <v>0.00411843949231883</v>
      </c>
      <c r="CW248" s="144">
        <f t="shared" si="413"/>
        <v>0.00121019126331696</v>
      </c>
      <c r="CX248" s="144">
        <f t="shared" si="413"/>
        <v>0</v>
      </c>
      <c r="CY248" s="144">
        <f t="shared" si="413"/>
        <v>0</v>
      </c>
      <c r="CZ248" s="144">
        <f t="shared" si="413"/>
        <v>0</v>
      </c>
      <c r="DA248" s="144">
        <f t="shared" si="413"/>
        <v>0</v>
      </c>
      <c r="DB248" s="9">
        <f t="shared" si="413"/>
        <v>0.00273501722113179</v>
      </c>
      <c r="DC248" s="144">
        <f t="shared" si="413"/>
        <v>0</v>
      </c>
      <c r="DD248" s="144">
        <f t="shared" si="413"/>
        <v>0</v>
      </c>
      <c r="DE248" s="144">
        <f t="shared" si="413"/>
        <v>0</v>
      </c>
      <c r="DF248" s="144">
        <f t="shared" si="413"/>
        <v>0.00694498635383446</v>
      </c>
      <c r="DG248" s="144">
        <f t="shared" si="413"/>
        <v>0.00471062474242143</v>
      </c>
      <c r="DH248" s="144">
        <f t="shared" si="413"/>
        <v>0.00423465058443904</v>
      </c>
      <c r="DI248" s="144">
        <f t="shared" si="413"/>
        <v>0.00551402858205688</v>
      </c>
      <c r="DJ248" s="144">
        <f t="shared" si="413"/>
        <v>0.0034691528871407</v>
      </c>
      <c r="DK248" s="144">
        <f t="shared" si="413"/>
        <v>0.000485849125160133</v>
      </c>
      <c r="DL248" s="144">
        <f t="shared" si="413"/>
        <v>0.00036002449397412</v>
      </c>
      <c r="DM248" s="144">
        <f t="shared" si="413"/>
        <v>0.000400351153205223</v>
      </c>
      <c r="DN248" s="144">
        <f t="shared" si="413"/>
        <v>0.000362831949885775</v>
      </c>
      <c r="DO248" s="9">
        <f t="shared" si="413"/>
        <v>0.00198248157212804</v>
      </c>
      <c r="DP248" s="144">
        <f t="shared" si="413"/>
        <v>0</v>
      </c>
      <c r="DQ248" s="144">
        <f t="shared" si="413"/>
        <v>0</v>
      </c>
      <c r="DR248" s="144">
        <f t="shared" si="413"/>
        <v>0</v>
      </c>
      <c r="DS248" s="144">
        <f t="shared" si="413"/>
        <v>0.00397346477540865</v>
      </c>
      <c r="DT248" s="144">
        <f t="shared" si="413"/>
        <v>0.00334536311704055</v>
      </c>
      <c r="DU248" s="144">
        <f t="shared" si="413"/>
        <v>0.00783623906378043</v>
      </c>
      <c r="DV248" s="144">
        <f t="shared" si="413"/>
        <v>0.00511904905035976</v>
      </c>
      <c r="DW248" s="144">
        <f t="shared" si="413"/>
        <v>0.00451234644715475</v>
      </c>
      <c r="DX248" s="144">
        <f t="shared" si="413"/>
        <v>0.000434578090569247</v>
      </c>
      <c r="DY248" s="144">
        <f t="shared" si="413"/>
        <v>0.000210014337862488</v>
      </c>
      <c r="DZ248" s="144">
        <f t="shared" si="413"/>
        <v>0</v>
      </c>
      <c r="EA248" s="144">
        <f t="shared" si="413"/>
        <v>0</v>
      </c>
      <c r="EB248" s="117">
        <f t="shared" si="413"/>
        <v>0.00198748772109362</v>
      </c>
      <c r="EC248" s="118"/>
      <c r="ED248" s="117">
        <f t="shared" ref="ED248:FB248" si="414">ED36/ED$211</f>
        <v>0</v>
      </c>
      <c r="EE248" s="117">
        <f t="shared" si="414"/>
        <v>0</v>
      </c>
      <c r="EF248" s="117">
        <f t="shared" si="414"/>
        <v>0</v>
      </c>
      <c r="EG248" s="117" t="e">
        <f t="shared" si="414"/>
        <v>#DIV/0!</v>
      </c>
      <c r="EH248" s="117" t="e">
        <f t="shared" si="414"/>
        <v>#DIV/0!</v>
      </c>
      <c r="EI248" s="117" t="e">
        <f t="shared" si="414"/>
        <v>#DIV/0!</v>
      </c>
      <c r="EJ248" s="117" t="e">
        <f t="shared" si="414"/>
        <v>#DIV/0!</v>
      </c>
      <c r="EK248" s="117" t="e">
        <f t="shared" si="414"/>
        <v>#DIV/0!</v>
      </c>
      <c r="EL248" s="117" t="e">
        <f t="shared" si="414"/>
        <v>#DIV/0!</v>
      </c>
      <c r="EM248" s="117" t="e">
        <f t="shared" si="414"/>
        <v>#DIV/0!</v>
      </c>
      <c r="EN248" s="117" t="e">
        <f t="shared" si="414"/>
        <v>#DIV/0!</v>
      </c>
      <c r="EO248" s="116">
        <f t="shared" si="414"/>
        <v>0</v>
      </c>
      <c r="EP248" s="117">
        <f t="shared" si="414"/>
        <v>0</v>
      </c>
      <c r="EQ248" s="117">
        <f t="shared" si="414"/>
        <v>0</v>
      </c>
      <c r="ER248" s="117">
        <f t="shared" si="414"/>
        <v>0</v>
      </c>
      <c r="ES248" s="117">
        <f t="shared" si="414"/>
        <v>0.00234700076959631</v>
      </c>
      <c r="ET248" s="117">
        <f t="shared" si="414"/>
        <v>0.00107510168869184</v>
      </c>
      <c r="EU248" s="117">
        <f t="shared" si="414"/>
        <v>0.00608072321830874</v>
      </c>
      <c r="EV248" s="117">
        <f t="shared" si="414"/>
        <v>0.00295473985730151</v>
      </c>
      <c r="EW248" s="117">
        <f t="shared" si="414"/>
        <v>0.000561127040964174</v>
      </c>
      <c r="EX248" s="117">
        <f t="shared" si="414"/>
        <v>0.00039228016396021</v>
      </c>
      <c r="EY248" s="117">
        <f t="shared" si="414"/>
        <v>0</v>
      </c>
      <c r="EZ248" s="117">
        <f t="shared" si="414"/>
        <v>0</v>
      </c>
      <c r="FA248" s="117">
        <f t="shared" si="414"/>
        <v>0</v>
      </c>
      <c r="FB248" s="117">
        <f t="shared" si="414"/>
        <v>0.0010331393443488</v>
      </c>
      <c r="FC248" s="118"/>
      <c r="FD248" s="117"/>
      <c r="FE248" s="117"/>
      <c r="FF248" s="117"/>
      <c r="FG248" s="117"/>
      <c r="FH248" s="117"/>
      <c r="FI248" s="117"/>
      <c r="FJ248" s="117"/>
      <c r="FK248" s="117" t="e">
        <f t="shared" si="211"/>
        <v>#DIV/0!</v>
      </c>
      <c r="FL248" s="117" t="e">
        <f t="shared" si="212"/>
        <v>#DIV/0!</v>
      </c>
      <c r="FM248" s="117" t="e">
        <f t="shared" si="213"/>
        <v>#DIV/0!</v>
      </c>
      <c r="FN248" s="117" t="e">
        <f t="shared" si="214"/>
        <v>#DIV/0!</v>
      </c>
      <c r="FO248" s="9" t="e">
        <f t="shared" si="215"/>
        <v>#DIV/0!</v>
      </c>
      <c r="FP248" s="118">
        <f t="shared" ref="FP248:GB248" si="415">FP36/FP$211</f>
        <v>0.000129279816767784</v>
      </c>
      <c r="FQ248" s="117">
        <f t="shared" si="415"/>
        <v>0.000100711002908649</v>
      </c>
      <c r="FR248" s="117">
        <f t="shared" si="415"/>
        <v>0.000161892924318591</v>
      </c>
      <c r="FS248" s="117">
        <f t="shared" si="415"/>
        <v>0.00620242978328944</v>
      </c>
      <c r="FT248" s="117">
        <f t="shared" si="415"/>
        <v>0.00285648790280689</v>
      </c>
      <c r="FU248" s="117">
        <f t="shared" si="415"/>
        <v>0.0168341664016113</v>
      </c>
      <c r="FV248" s="117">
        <f t="shared" si="415"/>
        <v>0.0021896231669225</v>
      </c>
      <c r="FW248" s="117">
        <f t="shared" si="415"/>
        <v>0.000923423308639844</v>
      </c>
      <c r="FX248" s="117">
        <f t="shared" si="415"/>
        <v>0.000546864315019201</v>
      </c>
      <c r="FY248" s="117">
        <f t="shared" si="415"/>
        <v>0.00047253978836381</v>
      </c>
      <c r="FZ248" s="117">
        <f t="shared" si="415"/>
        <v>2.70853441308403e-5</v>
      </c>
      <c r="GA248" s="117">
        <f t="shared" si="415"/>
        <v>2.57322691141212e-5</v>
      </c>
      <c r="GB248" s="116">
        <f t="shared" si="415"/>
        <v>0.00186260164896894</v>
      </c>
    </row>
    <row r="249" spans="1:184">
      <c r="A249" s="147" t="s">
        <v>99</v>
      </c>
      <c r="B249" s="160">
        <f t="shared" si="217"/>
        <v>-0.94925615991882</v>
      </c>
      <c r="C249" s="117">
        <f t="shared" ref="C249:AH249" si="416">C37/C$211</f>
        <v>4.64817284830387e-5</v>
      </c>
      <c r="D249" s="117">
        <f t="shared" si="416"/>
        <v>3.38729321537306e-5</v>
      </c>
      <c r="E249" s="117">
        <f t="shared" si="416"/>
        <v>3.48725676761852e-5</v>
      </c>
      <c r="F249" s="117">
        <f t="shared" si="416"/>
        <v>4.10288808089264e-5</v>
      </c>
      <c r="G249" s="117">
        <f t="shared" si="416"/>
        <v>4.20311353410681e-5</v>
      </c>
      <c r="H249" s="117">
        <f t="shared" si="416"/>
        <v>4.27452162008114e-5</v>
      </c>
      <c r="I249" s="117">
        <f t="shared" si="416"/>
        <v>3.1144008249808e-5</v>
      </c>
      <c r="J249" s="117">
        <f t="shared" si="416"/>
        <v>2.3437931554061e-5</v>
      </c>
      <c r="K249" s="117">
        <f t="shared" si="416"/>
        <v>1.70765297640725e-5</v>
      </c>
      <c r="L249" s="117">
        <f t="shared" si="416"/>
        <v>1.71319165904493e-5</v>
      </c>
      <c r="M249" s="117">
        <f t="shared" si="416"/>
        <v>1.67109961228027e-5</v>
      </c>
      <c r="N249" s="117">
        <f t="shared" si="416"/>
        <v>1.73148575060705e-5</v>
      </c>
      <c r="O249" s="9">
        <f t="shared" si="416"/>
        <v>3.02677272990809e-5</v>
      </c>
      <c r="P249" s="117">
        <f t="shared" si="416"/>
        <v>0</v>
      </c>
      <c r="Q249" s="117">
        <f t="shared" si="416"/>
        <v>0</v>
      </c>
      <c r="R249" s="117">
        <f t="shared" si="416"/>
        <v>0</v>
      </c>
      <c r="S249" s="117">
        <f t="shared" si="416"/>
        <v>0</v>
      </c>
      <c r="T249" s="117">
        <f t="shared" si="416"/>
        <v>0</v>
      </c>
      <c r="U249" s="117">
        <f t="shared" si="416"/>
        <v>0</v>
      </c>
      <c r="V249" s="117">
        <f t="shared" si="416"/>
        <v>0</v>
      </c>
      <c r="W249" s="117">
        <f t="shared" si="416"/>
        <v>0</v>
      </c>
      <c r="X249" s="117">
        <f t="shared" si="416"/>
        <v>0</v>
      </c>
      <c r="Y249" s="117">
        <f t="shared" si="416"/>
        <v>0</v>
      </c>
      <c r="Z249" s="117">
        <f t="shared" si="416"/>
        <v>0</v>
      </c>
      <c r="AA249" s="117">
        <f t="shared" si="416"/>
        <v>0</v>
      </c>
      <c r="AB249" s="9">
        <f t="shared" si="416"/>
        <v>0</v>
      </c>
      <c r="AC249" s="117">
        <f t="shared" si="416"/>
        <v>0</v>
      </c>
      <c r="AD249" s="117">
        <f t="shared" si="416"/>
        <v>0</v>
      </c>
      <c r="AE249" s="117">
        <f t="shared" si="416"/>
        <v>0</v>
      </c>
      <c r="AF249" s="117">
        <f t="shared" si="416"/>
        <v>0</v>
      </c>
      <c r="AG249" s="117">
        <f t="shared" si="416"/>
        <v>0</v>
      </c>
      <c r="AH249" s="117">
        <f t="shared" si="416"/>
        <v>0</v>
      </c>
      <c r="AI249" s="117">
        <f t="shared" ref="AI249:BN249" si="417">AI37/AI$211</f>
        <v>0</v>
      </c>
      <c r="AJ249" s="117">
        <f t="shared" si="417"/>
        <v>0</v>
      </c>
      <c r="AK249" s="117">
        <f t="shared" si="417"/>
        <v>0</v>
      </c>
      <c r="AL249" s="117">
        <f t="shared" si="417"/>
        <v>0</v>
      </c>
      <c r="AM249" s="117">
        <f t="shared" si="417"/>
        <v>0</v>
      </c>
      <c r="AN249" s="117">
        <f t="shared" si="417"/>
        <v>0</v>
      </c>
      <c r="AO249" s="9">
        <f t="shared" si="417"/>
        <v>0</v>
      </c>
      <c r="AP249" s="144">
        <f t="shared" si="417"/>
        <v>0.000158680328241217</v>
      </c>
      <c r="AQ249" s="144">
        <f t="shared" si="417"/>
        <v>0.000146143430694554</v>
      </c>
      <c r="AR249" s="144">
        <f t="shared" si="417"/>
        <v>0.000128289007652221</v>
      </c>
      <c r="AS249" s="144">
        <f t="shared" si="417"/>
        <v>0.000168252611298496</v>
      </c>
      <c r="AT249" s="144">
        <f t="shared" si="417"/>
        <v>0.000138552776421662</v>
      </c>
      <c r="AU249" s="144">
        <f t="shared" si="417"/>
        <v>0.000141359440077307</v>
      </c>
      <c r="AV249" s="144">
        <f t="shared" si="417"/>
        <v>0.000116514710657668</v>
      </c>
      <c r="AW249" s="144">
        <f t="shared" si="417"/>
        <v>0.000102655356856552</v>
      </c>
      <c r="AX249" s="144">
        <f t="shared" si="417"/>
        <v>0.000102153863883293</v>
      </c>
      <c r="AY249" s="144">
        <f t="shared" si="417"/>
        <v>0.000109331897335447</v>
      </c>
      <c r="AZ249" s="144">
        <f t="shared" si="417"/>
        <v>0.000105153660129167</v>
      </c>
      <c r="BA249" s="144">
        <f t="shared" si="417"/>
        <v>9.86341631870209e-5</v>
      </c>
      <c r="BB249" s="9">
        <f t="shared" si="417"/>
        <v>0.000124351401512364</v>
      </c>
      <c r="BC249" s="144">
        <f t="shared" si="417"/>
        <v>3.70574414126293e-5</v>
      </c>
      <c r="BD249" s="144">
        <f t="shared" si="417"/>
        <v>4.57568094920525e-5</v>
      </c>
      <c r="BE249" s="144">
        <f t="shared" si="417"/>
        <v>2.88979040909645e-5</v>
      </c>
      <c r="BF249" s="144">
        <f t="shared" si="417"/>
        <v>1.31000119361589e-5</v>
      </c>
      <c r="BG249" s="144">
        <f t="shared" si="417"/>
        <v>3.80614852608367e-5</v>
      </c>
      <c r="BH249" s="144">
        <f t="shared" si="417"/>
        <v>4.01892424447105e-5</v>
      </c>
      <c r="BI249" s="144">
        <f t="shared" si="417"/>
        <v>3.30961308321517e-5</v>
      </c>
      <c r="BJ249" s="144">
        <f t="shared" si="417"/>
        <v>2.94043857216607e-5</v>
      </c>
      <c r="BK249" s="144">
        <f t="shared" si="417"/>
        <v>2.9902887447731e-5</v>
      </c>
      <c r="BL249" s="144">
        <f t="shared" si="417"/>
        <v>3.07808960539661e-5</v>
      </c>
      <c r="BM249" s="144">
        <f t="shared" si="417"/>
        <v>2.93832167899022e-5</v>
      </c>
      <c r="BN249" s="144">
        <f t="shared" si="417"/>
        <v>3.04747606651973e-5</v>
      </c>
      <c r="BO249" s="9">
        <f t="shared" ref="BO249:CT249" si="418">BO37/BO$211</f>
        <v>3.27203866145319e-5</v>
      </c>
      <c r="BP249" s="144">
        <f t="shared" si="418"/>
        <v>6.1343334263464e-7</v>
      </c>
      <c r="BQ249" s="144">
        <f t="shared" si="418"/>
        <v>0</v>
      </c>
      <c r="BR249" s="144">
        <f t="shared" si="418"/>
        <v>0</v>
      </c>
      <c r="BS249" s="144">
        <f t="shared" si="418"/>
        <v>3.14495709758473e-6</v>
      </c>
      <c r="BT249" s="144">
        <f t="shared" si="418"/>
        <v>5.60798059283305e-6</v>
      </c>
      <c r="BU249" s="144">
        <f t="shared" si="418"/>
        <v>0</v>
      </c>
      <c r="BV249" s="144">
        <f t="shared" si="418"/>
        <v>0</v>
      </c>
      <c r="BW249" s="144">
        <f t="shared" si="418"/>
        <v>0</v>
      </c>
      <c r="BX249" s="144">
        <f t="shared" si="418"/>
        <v>0</v>
      </c>
      <c r="BY249" s="144">
        <f t="shared" si="418"/>
        <v>0</v>
      </c>
      <c r="BZ249" s="144">
        <f t="shared" si="418"/>
        <v>0</v>
      </c>
      <c r="CA249" s="144">
        <f t="shared" si="418"/>
        <v>0</v>
      </c>
      <c r="CB249" s="9">
        <f t="shared" si="418"/>
        <v>6.99035469417447e-7</v>
      </c>
      <c r="CC249" s="144">
        <f t="shared" si="418"/>
        <v>0</v>
      </c>
      <c r="CD249" s="144">
        <f t="shared" si="418"/>
        <v>0</v>
      </c>
      <c r="CE249" s="144">
        <f t="shared" si="418"/>
        <v>0</v>
      </c>
      <c r="CF249" s="144">
        <f t="shared" si="418"/>
        <v>0</v>
      </c>
      <c r="CG249" s="144">
        <f t="shared" si="418"/>
        <v>0</v>
      </c>
      <c r="CH249" s="144">
        <f t="shared" si="418"/>
        <v>0</v>
      </c>
      <c r="CI249" s="144">
        <f t="shared" si="418"/>
        <v>0</v>
      </c>
      <c r="CJ249" s="144">
        <f t="shared" si="418"/>
        <v>0</v>
      </c>
      <c r="CK249" s="144">
        <f t="shared" si="418"/>
        <v>0</v>
      </c>
      <c r="CL249" s="144">
        <f t="shared" si="418"/>
        <v>0</v>
      </c>
      <c r="CM249" s="144">
        <f t="shared" si="418"/>
        <v>0</v>
      </c>
      <c r="CN249" s="144">
        <f t="shared" si="418"/>
        <v>0</v>
      </c>
      <c r="CO249" s="9">
        <f t="shared" si="418"/>
        <v>0</v>
      </c>
      <c r="CP249" s="144">
        <f t="shared" si="418"/>
        <v>0</v>
      </c>
      <c r="CQ249" s="144">
        <f t="shared" si="418"/>
        <v>0</v>
      </c>
      <c r="CR249" s="144">
        <f t="shared" si="418"/>
        <v>0</v>
      </c>
      <c r="CS249" s="144">
        <f t="shared" si="418"/>
        <v>0</v>
      </c>
      <c r="CT249" s="144">
        <f t="shared" si="418"/>
        <v>0</v>
      </c>
      <c r="CU249" s="144">
        <f t="shared" ref="CU249:EB249" si="419">CU37/CU$211</f>
        <v>0</v>
      </c>
      <c r="CV249" s="144">
        <f t="shared" si="419"/>
        <v>0</v>
      </c>
      <c r="CW249" s="144">
        <f t="shared" si="419"/>
        <v>0</v>
      </c>
      <c r="CX249" s="144">
        <f t="shared" si="419"/>
        <v>0</v>
      </c>
      <c r="CY249" s="144">
        <f t="shared" si="419"/>
        <v>0</v>
      </c>
      <c r="CZ249" s="144">
        <f t="shared" si="419"/>
        <v>0</v>
      </c>
      <c r="DA249" s="144">
        <f t="shared" si="419"/>
        <v>0</v>
      </c>
      <c r="DB249" s="9">
        <f t="shared" si="419"/>
        <v>0</v>
      </c>
      <c r="DC249" s="144">
        <f t="shared" si="419"/>
        <v>0.000199363460479707</v>
      </c>
      <c r="DD249" s="144">
        <f t="shared" si="419"/>
        <v>0.000702684601843809</v>
      </c>
      <c r="DE249" s="144">
        <f t="shared" si="419"/>
        <v>0.000891284484884955</v>
      </c>
      <c r="DF249" s="144">
        <f t="shared" si="419"/>
        <v>0.000815588262979063</v>
      </c>
      <c r="DG249" s="144">
        <f t="shared" si="419"/>
        <v>0.000672300949778512</v>
      </c>
      <c r="DH249" s="144">
        <f t="shared" si="419"/>
        <v>0.000455836022349912</v>
      </c>
      <c r="DI249" s="144">
        <f t="shared" si="419"/>
        <v>0.000293062177671423</v>
      </c>
      <c r="DJ249" s="144">
        <f t="shared" si="419"/>
        <v>0.000143122002518809</v>
      </c>
      <c r="DK249" s="144">
        <f t="shared" si="419"/>
        <v>0.00014326320357286</v>
      </c>
      <c r="DL249" s="144">
        <f t="shared" si="419"/>
        <v>0.000141548091647945</v>
      </c>
      <c r="DM249" s="144">
        <f t="shared" si="419"/>
        <v>0.00015740301749949</v>
      </c>
      <c r="DN249" s="144">
        <f t="shared" si="419"/>
        <v>0.000142651877732869</v>
      </c>
      <c r="DO249" s="9">
        <f t="shared" si="419"/>
        <v>0.000401305315719297</v>
      </c>
      <c r="DP249" s="144">
        <f t="shared" si="419"/>
        <v>0.000327087847600776</v>
      </c>
      <c r="DQ249" s="144">
        <f t="shared" si="419"/>
        <v>0.000130057927429412</v>
      </c>
      <c r="DR249" s="144">
        <f t="shared" si="419"/>
        <v>0.000177935164441219</v>
      </c>
      <c r="DS249" s="144">
        <f t="shared" si="419"/>
        <v>0.000189205819264782</v>
      </c>
      <c r="DT249" s="144">
        <f t="shared" si="419"/>
        <v>0.000237008126111512</v>
      </c>
      <c r="DU249" s="144">
        <f t="shared" si="419"/>
        <v>0.000201434477191338</v>
      </c>
      <c r="DV249" s="144">
        <f t="shared" si="419"/>
        <v>0.000135945055193059</v>
      </c>
      <c r="DW249" s="144">
        <f t="shared" si="419"/>
        <v>9.47366209808847e-5</v>
      </c>
      <c r="DX249" s="144">
        <f t="shared" si="419"/>
        <v>0</v>
      </c>
      <c r="DY249" s="144">
        <f t="shared" si="419"/>
        <v>0</v>
      </c>
      <c r="DZ249" s="144">
        <f t="shared" si="419"/>
        <v>0</v>
      </c>
      <c r="EA249" s="144">
        <f t="shared" si="419"/>
        <v>0</v>
      </c>
      <c r="EB249" s="117">
        <f t="shared" si="419"/>
        <v>0.000135946858327227</v>
      </c>
      <c r="EC249" s="118"/>
      <c r="ED249" s="117">
        <f t="shared" ref="ED249:FB249" si="420">ED37/ED$211</f>
        <v>0</v>
      </c>
      <c r="EE249" s="117">
        <f t="shared" si="420"/>
        <v>0</v>
      </c>
      <c r="EF249" s="117">
        <f t="shared" si="420"/>
        <v>0</v>
      </c>
      <c r="EG249" s="117" t="e">
        <f t="shared" si="420"/>
        <v>#DIV/0!</v>
      </c>
      <c r="EH249" s="117" t="e">
        <f t="shared" si="420"/>
        <v>#DIV/0!</v>
      </c>
      <c r="EI249" s="117" t="e">
        <f t="shared" si="420"/>
        <v>#DIV/0!</v>
      </c>
      <c r="EJ249" s="117" t="e">
        <f t="shared" si="420"/>
        <v>#DIV/0!</v>
      </c>
      <c r="EK249" s="117" t="e">
        <f t="shared" si="420"/>
        <v>#DIV/0!</v>
      </c>
      <c r="EL249" s="117" t="e">
        <f t="shared" si="420"/>
        <v>#DIV/0!</v>
      </c>
      <c r="EM249" s="117" t="e">
        <f t="shared" si="420"/>
        <v>#DIV/0!</v>
      </c>
      <c r="EN249" s="117" t="e">
        <f t="shared" si="420"/>
        <v>#DIV/0!</v>
      </c>
      <c r="EO249" s="116">
        <f t="shared" si="420"/>
        <v>0</v>
      </c>
      <c r="EP249" s="117">
        <f t="shared" si="420"/>
        <v>0</v>
      </c>
      <c r="EQ249" s="117">
        <f t="shared" si="420"/>
        <v>0</v>
      </c>
      <c r="ER249" s="117">
        <f t="shared" si="420"/>
        <v>0</v>
      </c>
      <c r="ES249" s="117">
        <f t="shared" si="420"/>
        <v>0</v>
      </c>
      <c r="ET249" s="117">
        <f t="shared" si="420"/>
        <v>0</v>
      </c>
      <c r="EU249" s="117">
        <f t="shared" si="420"/>
        <v>0</v>
      </c>
      <c r="EV249" s="117">
        <f t="shared" si="420"/>
        <v>0</v>
      </c>
      <c r="EW249" s="117">
        <f t="shared" si="420"/>
        <v>0</v>
      </c>
      <c r="EX249" s="117">
        <f t="shared" si="420"/>
        <v>0</v>
      </c>
      <c r="EY249" s="117">
        <f t="shared" si="420"/>
        <v>0</v>
      </c>
      <c r="EZ249" s="117">
        <f t="shared" si="420"/>
        <v>0</v>
      </c>
      <c r="FA249" s="117">
        <f t="shared" si="420"/>
        <v>0</v>
      </c>
      <c r="FB249" s="117">
        <f t="shared" si="420"/>
        <v>0</v>
      </c>
      <c r="FC249" s="118"/>
      <c r="FD249" s="117"/>
      <c r="FE249" s="117"/>
      <c r="FF249" s="117"/>
      <c r="FG249" s="117"/>
      <c r="FH249" s="117"/>
      <c r="FI249" s="117"/>
      <c r="FJ249" s="117"/>
      <c r="FK249" s="117" t="e">
        <f t="shared" si="211"/>
        <v>#DIV/0!</v>
      </c>
      <c r="FL249" s="117" t="e">
        <f t="shared" si="212"/>
        <v>#DIV/0!</v>
      </c>
      <c r="FM249" s="117" t="e">
        <f t="shared" si="213"/>
        <v>#DIV/0!</v>
      </c>
      <c r="FN249" s="117" t="e">
        <f t="shared" si="214"/>
        <v>#DIV/0!</v>
      </c>
      <c r="FO249" s="9" t="e">
        <f t="shared" si="215"/>
        <v>#DIV/0!</v>
      </c>
      <c r="FP249" s="118">
        <f t="shared" ref="FP249:GB249" si="421">FP37/FP$211</f>
        <v>1.63882330501398e-5</v>
      </c>
      <c r="FQ249" s="117">
        <f t="shared" si="421"/>
        <v>1.46530886437127e-5</v>
      </c>
      <c r="FR249" s="117">
        <f t="shared" si="421"/>
        <v>7.56896206564462e-6</v>
      </c>
      <c r="FS249" s="117">
        <f t="shared" si="421"/>
        <v>1.07287165485813e-5</v>
      </c>
      <c r="FT249" s="117">
        <f t="shared" si="421"/>
        <v>1.35452044496479e-6</v>
      </c>
      <c r="FU249" s="117">
        <f t="shared" si="421"/>
        <v>3.12349258579599e-5</v>
      </c>
      <c r="FV249" s="117">
        <f t="shared" si="421"/>
        <v>2.50159778984439e-5</v>
      </c>
      <c r="FW249" s="117">
        <f t="shared" si="421"/>
        <v>2.10569444780559e-5</v>
      </c>
      <c r="FX249" s="117">
        <f t="shared" si="421"/>
        <v>2.37707179893693e-5</v>
      </c>
      <c r="FY249" s="117">
        <f t="shared" si="421"/>
        <v>2.21503025795536e-5</v>
      </c>
      <c r="FZ249" s="117">
        <f t="shared" si="421"/>
        <v>2.03140080981303e-5</v>
      </c>
      <c r="GA249" s="117">
        <f t="shared" si="421"/>
        <v>1.92992018355909e-5</v>
      </c>
      <c r="GB249" s="116">
        <f t="shared" si="421"/>
        <v>1.7604963339951e-5</v>
      </c>
    </row>
    <row r="250" spans="1:184">
      <c r="A250" s="147" t="s">
        <v>101</v>
      </c>
      <c r="B250" s="160">
        <f t="shared" si="217"/>
        <v>55.7260027896757</v>
      </c>
      <c r="C250" s="117">
        <f t="shared" ref="C250:AH250" si="422">C38/C$211</f>
        <v>0</v>
      </c>
      <c r="D250" s="117">
        <f t="shared" si="422"/>
        <v>0</v>
      </c>
      <c r="E250" s="117">
        <f t="shared" si="422"/>
        <v>0</v>
      </c>
      <c r="F250" s="117">
        <f t="shared" si="422"/>
        <v>7.11522828377399e-5</v>
      </c>
      <c r="G250" s="117">
        <f t="shared" si="422"/>
        <v>0</v>
      </c>
      <c r="H250" s="117">
        <f t="shared" si="422"/>
        <v>0</v>
      </c>
      <c r="I250" s="117">
        <f t="shared" si="422"/>
        <v>0</v>
      </c>
      <c r="J250" s="117">
        <f t="shared" si="422"/>
        <v>0</v>
      </c>
      <c r="K250" s="117">
        <f t="shared" si="422"/>
        <v>0</v>
      </c>
      <c r="L250" s="117">
        <f t="shared" si="422"/>
        <v>0</v>
      </c>
      <c r="M250" s="117">
        <f t="shared" si="422"/>
        <v>0</v>
      </c>
      <c r="N250" s="117">
        <f t="shared" si="422"/>
        <v>0</v>
      </c>
      <c r="O250" s="9">
        <f t="shared" si="422"/>
        <v>5.20081930803747e-6</v>
      </c>
      <c r="P250" s="117">
        <f t="shared" si="422"/>
        <v>0</v>
      </c>
      <c r="Q250" s="117">
        <f t="shared" si="422"/>
        <v>0</v>
      </c>
      <c r="R250" s="117">
        <f t="shared" si="422"/>
        <v>0</v>
      </c>
      <c r="S250" s="117">
        <f t="shared" si="422"/>
        <v>0</v>
      </c>
      <c r="T250" s="117">
        <f t="shared" si="422"/>
        <v>0</v>
      </c>
      <c r="U250" s="117">
        <f t="shared" si="422"/>
        <v>0</v>
      </c>
      <c r="V250" s="117">
        <f t="shared" si="422"/>
        <v>0</v>
      </c>
      <c r="W250" s="117">
        <f t="shared" si="422"/>
        <v>0</v>
      </c>
      <c r="X250" s="117">
        <f t="shared" si="422"/>
        <v>0</v>
      </c>
      <c r="Y250" s="117">
        <f t="shared" si="422"/>
        <v>0</v>
      </c>
      <c r="Z250" s="117">
        <f t="shared" si="422"/>
        <v>0</v>
      </c>
      <c r="AA250" s="117">
        <f t="shared" si="422"/>
        <v>0</v>
      </c>
      <c r="AB250" s="9">
        <f t="shared" si="422"/>
        <v>0</v>
      </c>
      <c r="AC250" s="117">
        <f t="shared" si="422"/>
        <v>0</v>
      </c>
      <c r="AD250" s="117">
        <f t="shared" si="422"/>
        <v>0</v>
      </c>
      <c r="AE250" s="117">
        <f t="shared" si="422"/>
        <v>0</v>
      </c>
      <c r="AF250" s="117">
        <f t="shared" si="422"/>
        <v>0</v>
      </c>
      <c r="AG250" s="117">
        <f t="shared" si="422"/>
        <v>0</v>
      </c>
      <c r="AH250" s="117">
        <f t="shared" si="422"/>
        <v>0</v>
      </c>
      <c r="AI250" s="117">
        <f t="shared" ref="AI250:BN250" si="423">AI38/AI$211</f>
        <v>0</v>
      </c>
      <c r="AJ250" s="117">
        <f t="shared" si="423"/>
        <v>0</v>
      </c>
      <c r="AK250" s="117">
        <f t="shared" si="423"/>
        <v>0</v>
      </c>
      <c r="AL250" s="117">
        <f t="shared" si="423"/>
        <v>0</v>
      </c>
      <c r="AM250" s="117">
        <f t="shared" si="423"/>
        <v>0</v>
      </c>
      <c r="AN250" s="117">
        <f t="shared" si="423"/>
        <v>0</v>
      </c>
      <c r="AO250" s="9">
        <f t="shared" si="423"/>
        <v>0</v>
      </c>
      <c r="AP250" s="144">
        <f t="shared" si="423"/>
        <v>0</v>
      </c>
      <c r="AQ250" s="144">
        <f t="shared" si="423"/>
        <v>0</v>
      </c>
      <c r="AR250" s="144">
        <f t="shared" si="423"/>
        <v>0</v>
      </c>
      <c r="AS250" s="144">
        <f t="shared" si="423"/>
        <v>0</v>
      </c>
      <c r="AT250" s="144">
        <f t="shared" si="423"/>
        <v>0</v>
      </c>
      <c r="AU250" s="144">
        <f t="shared" si="423"/>
        <v>0</v>
      </c>
      <c r="AV250" s="144">
        <f t="shared" si="423"/>
        <v>0</v>
      </c>
      <c r="AW250" s="144">
        <f t="shared" si="423"/>
        <v>0</v>
      </c>
      <c r="AX250" s="144">
        <f t="shared" si="423"/>
        <v>0</v>
      </c>
      <c r="AY250" s="144">
        <f t="shared" si="423"/>
        <v>0</v>
      </c>
      <c r="AZ250" s="144">
        <f t="shared" si="423"/>
        <v>0</v>
      </c>
      <c r="BA250" s="144">
        <f t="shared" si="423"/>
        <v>0</v>
      </c>
      <c r="BB250" s="9">
        <f t="shared" si="423"/>
        <v>0</v>
      </c>
      <c r="BC250" s="144">
        <f t="shared" si="423"/>
        <v>0</v>
      </c>
      <c r="BD250" s="144">
        <f t="shared" si="423"/>
        <v>0</v>
      </c>
      <c r="BE250" s="144">
        <f t="shared" si="423"/>
        <v>0</v>
      </c>
      <c r="BF250" s="144">
        <f t="shared" si="423"/>
        <v>0</v>
      </c>
      <c r="BG250" s="144">
        <f t="shared" si="423"/>
        <v>0</v>
      </c>
      <c r="BH250" s="144">
        <f t="shared" si="423"/>
        <v>0</v>
      </c>
      <c r="BI250" s="144">
        <f t="shared" si="423"/>
        <v>0</v>
      </c>
      <c r="BJ250" s="144">
        <f t="shared" si="423"/>
        <v>0</v>
      </c>
      <c r="BK250" s="144">
        <f t="shared" si="423"/>
        <v>0</v>
      </c>
      <c r="BL250" s="144">
        <f t="shared" si="423"/>
        <v>0</v>
      </c>
      <c r="BM250" s="144">
        <f t="shared" si="423"/>
        <v>0</v>
      </c>
      <c r="BN250" s="144">
        <f t="shared" si="423"/>
        <v>0</v>
      </c>
      <c r="BO250" s="9">
        <f t="shared" ref="BO250:CT250" si="424">BO38/BO$211</f>
        <v>0</v>
      </c>
      <c r="BP250" s="144">
        <f t="shared" si="424"/>
        <v>0</v>
      </c>
      <c r="BQ250" s="144">
        <f t="shared" si="424"/>
        <v>0</v>
      </c>
      <c r="BR250" s="144">
        <f t="shared" si="424"/>
        <v>0</v>
      </c>
      <c r="BS250" s="144">
        <f t="shared" si="424"/>
        <v>0</v>
      </c>
      <c r="BT250" s="144">
        <f t="shared" si="424"/>
        <v>0</v>
      </c>
      <c r="BU250" s="144">
        <f t="shared" si="424"/>
        <v>0</v>
      </c>
      <c r="BV250" s="144">
        <f t="shared" si="424"/>
        <v>0</v>
      </c>
      <c r="BW250" s="144">
        <f t="shared" si="424"/>
        <v>0</v>
      </c>
      <c r="BX250" s="144">
        <f t="shared" si="424"/>
        <v>0</v>
      </c>
      <c r="BY250" s="144">
        <f t="shared" si="424"/>
        <v>0</v>
      </c>
      <c r="BZ250" s="144">
        <f t="shared" si="424"/>
        <v>0</v>
      </c>
      <c r="CA250" s="144">
        <f t="shared" si="424"/>
        <v>0</v>
      </c>
      <c r="CB250" s="9">
        <f t="shared" si="424"/>
        <v>0</v>
      </c>
      <c r="CC250" s="144">
        <f t="shared" si="424"/>
        <v>0</v>
      </c>
      <c r="CD250" s="144">
        <f t="shared" si="424"/>
        <v>0</v>
      </c>
      <c r="CE250" s="144">
        <f t="shared" si="424"/>
        <v>0</v>
      </c>
      <c r="CF250" s="144">
        <f t="shared" si="424"/>
        <v>0</v>
      </c>
      <c r="CG250" s="144">
        <f t="shared" si="424"/>
        <v>0</v>
      </c>
      <c r="CH250" s="144">
        <f t="shared" si="424"/>
        <v>0</v>
      </c>
      <c r="CI250" s="144">
        <f t="shared" si="424"/>
        <v>0</v>
      </c>
      <c r="CJ250" s="144">
        <f t="shared" si="424"/>
        <v>0</v>
      </c>
      <c r="CK250" s="144">
        <f t="shared" si="424"/>
        <v>0</v>
      </c>
      <c r="CL250" s="144">
        <f t="shared" si="424"/>
        <v>0</v>
      </c>
      <c r="CM250" s="144">
        <f t="shared" si="424"/>
        <v>0</v>
      </c>
      <c r="CN250" s="144">
        <f t="shared" si="424"/>
        <v>0</v>
      </c>
      <c r="CO250" s="9">
        <f t="shared" si="424"/>
        <v>0</v>
      </c>
      <c r="CP250" s="144">
        <f t="shared" si="424"/>
        <v>0</v>
      </c>
      <c r="CQ250" s="144">
        <f t="shared" si="424"/>
        <v>0</v>
      </c>
      <c r="CR250" s="144">
        <f t="shared" si="424"/>
        <v>0</v>
      </c>
      <c r="CS250" s="144">
        <f t="shared" si="424"/>
        <v>0</v>
      </c>
      <c r="CT250" s="144">
        <f t="shared" si="424"/>
        <v>0</v>
      </c>
      <c r="CU250" s="144">
        <f t="shared" ref="CU250:EB250" si="425">CU38/CU$211</f>
        <v>0</v>
      </c>
      <c r="CV250" s="144">
        <f t="shared" si="425"/>
        <v>0</v>
      </c>
      <c r="CW250" s="144">
        <f t="shared" si="425"/>
        <v>0</v>
      </c>
      <c r="CX250" s="144">
        <f t="shared" si="425"/>
        <v>0</v>
      </c>
      <c r="CY250" s="144">
        <f t="shared" si="425"/>
        <v>0</v>
      </c>
      <c r="CZ250" s="144">
        <f t="shared" si="425"/>
        <v>0</v>
      </c>
      <c r="DA250" s="144">
        <f t="shared" si="425"/>
        <v>0</v>
      </c>
      <c r="DB250" s="9">
        <f t="shared" si="425"/>
        <v>0</v>
      </c>
      <c r="DC250" s="144">
        <f t="shared" si="425"/>
        <v>0</v>
      </c>
      <c r="DD250" s="144">
        <f t="shared" si="425"/>
        <v>0</v>
      </c>
      <c r="DE250" s="144">
        <f t="shared" si="425"/>
        <v>0</v>
      </c>
      <c r="DF250" s="144">
        <f t="shared" si="425"/>
        <v>0</v>
      </c>
      <c r="DG250" s="144">
        <f t="shared" si="425"/>
        <v>0</v>
      </c>
      <c r="DH250" s="144">
        <f t="shared" si="425"/>
        <v>0</v>
      </c>
      <c r="DI250" s="144">
        <f t="shared" si="425"/>
        <v>0</v>
      </c>
      <c r="DJ250" s="144">
        <f t="shared" si="425"/>
        <v>0</v>
      </c>
      <c r="DK250" s="144">
        <f t="shared" si="425"/>
        <v>0</v>
      </c>
      <c r="DL250" s="144">
        <f t="shared" si="425"/>
        <v>0</v>
      </c>
      <c r="DM250" s="144">
        <f t="shared" si="425"/>
        <v>0</v>
      </c>
      <c r="DN250" s="144">
        <f t="shared" si="425"/>
        <v>0</v>
      </c>
      <c r="DO250" s="9">
        <f t="shared" si="425"/>
        <v>0</v>
      </c>
      <c r="DP250" s="144">
        <f t="shared" si="425"/>
        <v>0</v>
      </c>
      <c r="DQ250" s="144">
        <f t="shared" si="425"/>
        <v>0</v>
      </c>
      <c r="DR250" s="144">
        <f t="shared" si="425"/>
        <v>0</v>
      </c>
      <c r="DS250" s="144">
        <f t="shared" si="425"/>
        <v>0</v>
      </c>
      <c r="DT250" s="144">
        <f t="shared" si="425"/>
        <v>0</v>
      </c>
      <c r="DU250" s="144">
        <f t="shared" si="425"/>
        <v>0</v>
      </c>
      <c r="DV250" s="144">
        <f t="shared" si="425"/>
        <v>0</v>
      </c>
      <c r="DW250" s="144">
        <f t="shared" si="425"/>
        <v>0</v>
      </c>
      <c r="DX250" s="144">
        <f t="shared" si="425"/>
        <v>0</v>
      </c>
      <c r="DY250" s="144">
        <f t="shared" si="425"/>
        <v>0</v>
      </c>
      <c r="DZ250" s="144">
        <f t="shared" si="425"/>
        <v>0</v>
      </c>
      <c r="EA250" s="144">
        <f t="shared" si="425"/>
        <v>0</v>
      </c>
      <c r="EB250" s="117">
        <f t="shared" si="425"/>
        <v>0</v>
      </c>
      <c r="EC250" s="118"/>
      <c r="ED250" s="117">
        <f t="shared" ref="ED250:FB250" si="426">ED38/ED$211</f>
        <v>0</v>
      </c>
      <c r="EE250" s="117">
        <f t="shared" si="426"/>
        <v>0</v>
      </c>
      <c r="EF250" s="117">
        <f t="shared" si="426"/>
        <v>0</v>
      </c>
      <c r="EG250" s="117" t="e">
        <f t="shared" si="426"/>
        <v>#DIV/0!</v>
      </c>
      <c r="EH250" s="117" t="e">
        <f t="shared" si="426"/>
        <v>#DIV/0!</v>
      </c>
      <c r="EI250" s="117" t="e">
        <f t="shared" si="426"/>
        <v>#DIV/0!</v>
      </c>
      <c r="EJ250" s="117" t="e">
        <f t="shared" si="426"/>
        <v>#DIV/0!</v>
      </c>
      <c r="EK250" s="117" t="e">
        <f t="shared" si="426"/>
        <v>#DIV/0!</v>
      </c>
      <c r="EL250" s="117" t="e">
        <f t="shared" si="426"/>
        <v>#DIV/0!</v>
      </c>
      <c r="EM250" s="117" t="e">
        <f t="shared" si="426"/>
        <v>#DIV/0!</v>
      </c>
      <c r="EN250" s="117" t="e">
        <f t="shared" si="426"/>
        <v>#DIV/0!</v>
      </c>
      <c r="EO250" s="116">
        <f t="shared" si="426"/>
        <v>0</v>
      </c>
      <c r="EP250" s="117">
        <f t="shared" si="426"/>
        <v>0</v>
      </c>
      <c r="EQ250" s="117">
        <f t="shared" si="426"/>
        <v>0</v>
      </c>
      <c r="ER250" s="117">
        <f t="shared" si="426"/>
        <v>0</v>
      </c>
      <c r="ES250" s="117">
        <f t="shared" si="426"/>
        <v>0</v>
      </c>
      <c r="ET250" s="117">
        <f t="shared" si="426"/>
        <v>0</v>
      </c>
      <c r="EU250" s="117">
        <f t="shared" si="426"/>
        <v>0</v>
      </c>
      <c r="EV250" s="117">
        <f t="shared" si="426"/>
        <v>0</v>
      </c>
      <c r="EW250" s="117">
        <f t="shared" si="426"/>
        <v>0</v>
      </c>
      <c r="EX250" s="117">
        <f t="shared" si="426"/>
        <v>0</v>
      </c>
      <c r="EY250" s="117">
        <f t="shared" si="426"/>
        <v>0</v>
      </c>
      <c r="EZ250" s="117">
        <f t="shared" si="426"/>
        <v>0</v>
      </c>
      <c r="FA250" s="117">
        <f t="shared" si="426"/>
        <v>0</v>
      </c>
      <c r="FB250" s="117">
        <f t="shared" si="426"/>
        <v>0</v>
      </c>
      <c r="FC250" s="118"/>
      <c r="FD250" s="117"/>
      <c r="FE250" s="117"/>
      <c r="FF250" s="117"/>
      <c r="FG250" s="117"/>
      <c r="FH250" s="117"/>
      <c r="FI250" s="117"/>
      <c r="FJ250" s="117"/>
      <c r="FK250" s="117" t="e">
        <f t="shared" si="211"/>
        <v>#DIV/0!</v>
      </c>
      <c r="FL250" s="117" t="e">
        <f t="shared" si="212"/>
        <v>#DIV/0!</v>
      </c>
      <c r="FM250" s="117" t="e">
        <f t="shared" si="213"/>
        <v>#DIV/0!</v>
      </c>
      <c r="FN250" s="117" t="e">
        <f t="shared" si="214"/>
        <v>#DIV/0!</v>
      </c>
      <c r="FO250" s="9" t="e">
        <f t="shared" si="215"/>
        <v>#DIV/0!</v>
      </c>
      <c r="FP250" s="118">
        <f t="shared" ref="FP250:GB250" si="427">FP38/FP$211</f>
        <v>0</v>
      </c>
      <c r="FQ250" s="117">
        <f t="shared" si="427"/>
        <v>0</v>
      </c>
      <c r="FR250" s="117">
        <f t="shared" si="427"/>
        <v>0</v>
      </c>
      <c r="FS250" s="117">
        <f t="shared" si="427"/>
        <v>0.000292433422616658</v>
      </c>
      <c r="FT250" s="117">
        <f t="shared" si="427"/>
        <v>0</v>
      </c>
      <c r="FU250" s="117">
        <f t="shared" si="427"/>
        <v>0</v>
      </c>
      <c r="FV250" s="117">
        <f t="shared" si="427"/>
        <v>0</v>
      </c>
      <c r="FW250" s="117">
        <f t="shared" si="427"/>
        <v>0</v>
      </c>
      <c r="FX250" s="117">
        <f t="shared" si="427"/>
        <v>0</v>
      </c>
      <c r="FY250" s="117">
        <f t="shared" si="427"/>
        <v>0</v>
      </c>
      <c r="FZ250" s="117">
        <f t="shared" si="427"/>
        <v>0</v>
      </c>
      <c r="GA250" s="117">
        <f t="shared" si="427"/>
        <v>0</v>
      </c>
      <c r="GB250" s="116">
        <f t="shared" si="427"/>
        <v>2.15134435631808e-5</v>
      </c>
    </row>
    <row r="251" spans="1:184">
      <c r="A251" s="147" t="s">
        <v>103</v>
      </c>
      <c r="B251" s="160">
        <f t="shared" si="217"/>
        <v>-0.455723597111364</v>
      </c>
      <c r="C251" s="117">
        <f t="shared" ref="C251:AH251" si="428">C39/C$211</f>
        <v>0.00163822147445491</v>
      </c>
      <c r="D251" s="117">
        <f t="shared" si="428"/>
        <v>0.00210028010650653</v>
      </c>
      <c r="E251" s="117">
        <f t="shared" si="428"/>
        <v>0.00193769560493595</v>
      </c>
      <c r="F251" s="117">
        <f t="shared" si="428"/>
        <v>0.00173932465367527</v>
      </c>
      <c r="G251" s="117">
        <f t="shared" si="428"/>
        <v>0.00173493373528898</v>
      </c>
      <c r="H251" s="117">
        <f t="shared" si="428"/>
        <v>0.00135679079128345</v>
      </c>
      <c r="I251" s="117">
        <f t="shared" si="428"/>
        <v>0.000576419770509509</v>
      </c>
      <c r="J251" s="117">
        <f t="shared" si="428"/>
        <v>0.000166902276163454</v>
      </c>
      <c r="K251" s="117">
        <f t="shared" si="428"/>
        <v>0.000126643672562219</v>
      </c>
      <c r="L251" s="117">
        <f t="shared" si="428"/>
        <v>6.94949607271449e-5</v>
      </c>
      <c r="M251" s="117">
        <f t="shared" si="428"/>
        <v>6.77875130394377e-5</v>
      </c>
      <c r="N251" s="117">
        <f t="shared" si="428"/>
        <v>7.02370535151503e-5</v>
      </c>
      <c r="O251" s="9">
        <f t="shared" si="428"/>
        <v>0.00096926849096938</v>
      </c>
      <c r="P251" s="117">
        <f t="shared" si="428"/>
        <v>0</v>
      </c>
      <c r="Q251" s="117">
        <f t="shared" si="428"/>
        <v>0</v>
      </c>
      <c r="R251" s="117">
        <f t="shared" si="428"/>
        <v>0</v>
      </c>
      <c r="S251" s="117">
        <f t="shared" si="428"/>
        <v>0</v>
      </c>
      <c r="T251" s="117">
        <f t="shared" si="428"/>
        <v>0</v>
      </c>
      <c r="U251" s="117">
        <f t="shared" si="428"/>
        <v>0</v>
      </c>
      <c r="V251" s="117">
        <f t="shared" si="428"/>
        <v>0</v>
      </c>
      <c r="W251" s="117">
        <f t="shared" si="428"/>
        <v>0</v>
      </c>
      <c r="X251" s="117">
        <f t="shared" si="428"/>
        <v>0</v>
      </c>
      <c r="Y251" s="117">
        <f t="shared" si="428"/>
        <v>0</v>
      </c>
      <c r="Z251" s="117">
        <f t="shared" si="428"/>
        <v>0</v>
      </c>
      <c r="AA251" s="117">
        <f t="shared" si="428"/>
        <v>0</v>
      </c>
      <c r="AB251" s="9">
        <f t="shared" si="428"/>
        <v>0</v>
      </c>
      <c r="AC251" s="117">
        <f t="shared" si="428"/>
        <v>0.00822164482360047</v>
      </c>
      <c r="AD251" s="117">
        <f t="shared" si="428"/>
        <v>0.01031186129017</v>
      </c>
      <c r="AE251" s="117">
        <f t="shared" si="428"/>
        <v>0.0130513583384869</v>
      </c>
      <c r="AF251" s="117">
        <f t="shared" si="428"/>
        <v>0.0124925146171601</v>
      </c>
      <c r="AG251" s="117">
        <f t="shared" si="428"/>
        <v>0.0128568388324072</v>
      </c>
      <c r="AH251" s="117">
        <f t="shared" si="428"/>
        <v>0.00840558097685459</v>
      </c>
      <c r="AI251" s="117">
        <f t="shared" ref="AI251:BN251" si="429">AI39/AI$211</f>
        <v>0.0037742470759978</v>
      </c>
      <c r="AJ251" s="117">
        <f t="shared" si="429"/>
        <v>0</v>
      </c>
      <c r="AK251" s="117">
        <f t="shared" si="429"/>
        <v>0</v>
      </c>
      <c r="AL251" s="117">
        <f t="shared" si="429"/>
        <v>0</v>
      </c>
      <c r="AM251" s="117">
        <f t="shared" si="429"/>
        <v>0</v>
      </c>
      <c r="AN251" s="117">
        <f t="shared" si="429"/>
        <v>0</v>
      </c>
      <c r="AO251" s="9">
        <f t="shared" si="429"/>
        <v>0.00506172309087444</v>
      </c>
      <c r="AP251" s="144">
        <f t="shared" si="429"/>
        <v>0.00457918695486162</v>
      </c>
      <c r="AQ251" s="144">
        <f t="shared" si="429"/>
        <v>0.000955231712669048</v>
      </c>
      <c r="AR251" s="144">
        <f t="shared" si="429"/>
        <v>6.83344025402372e-6</v>
      </c>
      <c r="AS251" s="144">
        <f t="shared" si="429"/>
        <v>0</v>
      </c>
      <c r="AT251" s="144">
        <f t="shared" si="429"/>
        <v>0</v>
      </c>
      <c r="AU251" s="144">
        <f t="shared" si="429"/>
        <v>0</v>
      </c>
      <c r="AV251" s="144">
        <f t="shared" si="429"/>
        <v>0</v>
      </c>
      <c r="AW251" s="144">
        <f t="shared" si="429"/>
        <v>0</v>
      </c>
      <c r="AX251" s="144">
        <f t="shared" si="429"/>
        <v>0</v>
      </c>
      <c r="AY251" s="144">
        <f t="shared" si="429"/>
        <v>0</v>
      </c>
      <c r="AZ251" s="144">
        <f t="shared" si="429"/>
        <v>0</v>
      </c>
      <c r="BA251" s="144">
        <f t="shared" si="429"/>
        <v>0</v>
      </c>
      <c r="BB251" s="9">
        <f t="shared" si="429"/>
        <v>0.000518819922970991</v>
      </c>
      <c r="BC251" s="144">
        <f t="shared" si="429"/>
        <v>0.00252527443726484</v>
      </c>
      <c r="BD251" s="144">
        <f t="shared" si="429"/>
        <v>0.00127316223054736</v>
      </c>
      <c r="BE251" s="144">
        <f t="shared" si="429"/>
        <v>0.00149395306438071</v>
      </c>
      <c r="BF251" s="144">
        <f t="shared" si="429"/>
        <v>0.000825255724740989</v>
      </c>
      <c r="BG251" s="144">
        <f t="shared" si="429"/>
        <v>0.000736507216805135</v>
      </c>
      <c r="BH251" s="144">
        <f t="shared" si="429"/>
        <v>0.00080378484889421</v>
      </c>
      <c r="BI251" s="144">
        <f t="shared" si="429"/>
        <v>0.000661922616643034</v>
      </c>
      <c r="BJ251" s="144">
        <f t="shared" si="429"/>
        <v>0.000588087714433214</v>
      </c>
      <c r="BK251" s="144">
        <f t="shared" si="429"/>
        <v>0</v>
      </c>
      <c r="BL251" s="144">
        <f t="shared" si="429"/>
        <v>0</v>
      </c>
      <c r="BM251" s="144">
        <f t="shared" si="429"/>
        <v>0</v>
      </c>
      <c r="BN251" s="144">
        <f t="shared" si="429"/>
        <v>0</v>
      </c>
      <c r="BO251" s="9">
        <f t="shared" ref="BO251:CT251" si="430">BO39/BO$211</f>
        <v>0.000789138203422641</v>
      </c>
      <c r="BP251" s="144">
        <f t="shared" si="430"/>
        <v>0.00043001748671417</v>
      </c>
      <c r="BQ251" s="144">
        <f t="shared" si="430"/>
        <v>0.00195169250096479</v>
      </c>
      <c r="BR251" s="144">
        <f t="shared" si="430"/>
        <v>0.000789065675761066</v>
      </c>
      <c r="BS251" s="144">
        <f t="shared" si="430"/>
        <v>0.000945585342838182</v>
      </c>
      <c r="BT251" s="144">
        <f t="shared" si="430"/>
        <v>7.73899520007186e-5</v>
      </c>
      <c r="BU251" s="144">
        <f t="shared" si="430"/>
        <v>0</v>
      </c>
      <c r="BV251" s="144">
        <f t="shared" si="430"/>
        <v>0</v>
      </c>
      <c r="BW251" s="144">
        <f t="shared" si="430"/>
        <v>0</v>
      </c>
      <c r="BX251" s="144">
        <f t="shared" si="430"/>
        <v>0</v>
      </c>
      <c r="BY251" s="144">
        <f t="shared" si="430"/>
        <v>0</v>
      </c>
      <c r="BZ251" s="144">
        <f t="shared" si="430"/>
        <v>0</v>
      </c>
      <c r="CA251" s="144">
        <f t="shared" si="430"/>
        <v>0</v>
      </c>
      <c r="CB251" s="9">
        <f t="shared" si="430"/>
        <v>0.000422743823446232</v>
      </c>
      <c r="CC251" s="144">
        <f t="shared" si="430"/>
        <v>0.001245208457407</v>
      </c>
      <c r="CD251" s="144">
        <f t="shared" si="430"/>
        <v>0.00135733469810903</v>
      </c>
      <c r="CE251" s="144">
        <f t="shared" si="430"/>
        <v>0.00238725650966037</v>
      </c>
      <c r="CF251" s="144">
        <f t="shared" si="430"/>
        <v>0.00245165322383574</v>
      </c>
      <c r="CG251" s="144">
        <f t="shared" si="430"/>
        <v>0.002853935693393</v>
      </c>
      <c r="CH251" s="144">
        <f t="shared" si="430"/>
        <v>0.00135132054117037</v>
      </c>
      <c r="CI251" s="144">
        <f t="shared" si="430"/>
        <v>0.00119878415619362</v>
      </c>
      <c r="CJ251" s="144">
        <f t="shared" si="430"/>
        <v>0.000925759484276982</v>
      </c>
      <c r="CK251" s="144">
        <f t="shared" si="430"/>
        <v>0.00105492251731597</v>
      </c>
      <c r="CL251" s="144">
        <f t="shared" si="430"/>
        <v>0</v>
      </c>
      <c r="CM251" s="144">
        <f t="shared" si="430"/>
        <v>0</v>
      </c>
      <c r="CN251" s="144">
        <f t="shared" si="430"/>
        <v>0</v>
      </c>
      <c r="CO251" s="9">
        <f t="shared" si="430"/>
        <v>0.00121637355072857</v>
      </c>
      <c r="CP251" s="144">
        <f t="shared" si="430"/>
        <v>0.00358966943373408</v>
      </c>
      <c r="CQ251" s="144">
        <f t="shared" si="430"/>
        <v>0.00503791721721313</v>
      </c>
      <c r="CR251" s="144">
        <f t="shared" si="430"/>
        <v>0.00527961802134342</v>
      </c>
      <c r="CS251" s="144">
        <f t="shared" si="430"/>
        <v>0.00362922459221051</v>
      </c>
      <c r="CT251" s="144">
        <f t="shared" si="430"/>
        <v>0.00356025244968399</v>
      </c>
      <c r="CU251" s="144">
        <f t="shared" ref="CU251:EB251" si="431">CU39/CU$211</f>
        <v>0.00390004627855248</v>
      </c>
      <c r="CV251" s="144">
        <f t="shared" si="431"/>
        <v>0.000554147492046174</v>
      </c>
      <c r="CW251" s="144">
        <f t="shared" si="431"/>
        <v>0</v>
      </c>
      <c r="CX251" s="144">
        <f t="shared" si="431"/>
        <v>0</v>
      </c>
      <c r="CY251" s="144">
        <f t="shared" si="431"/>
        <v>0</v>
      </c>
      <c r="CZ251" s="144">
        <f t="shared" si="431"/>
        <v>0</v>
      </c>
      <c r="DA251" s="144">
        <f t="shared" si="431"/>
        <v>0</v>
      </c>
      <c r="DB251" s="9">
        <f t="shared" si="431"/>
        <v>0.00224002712457352</v>
      </c>
      <c r="DC251" s="144">
        <f t="shared" si="431"/>
        <v>0</v>
      </c>
      <c r="DD251" s="144">
        <f t="shared" si="431"/>
        <v>0</v>
      </c>
      <c r="DE251" s="144">
        <f t="shared" si="431"/>
        <v>0</v>
      </c>
      <c r="DF251" s="144">
        <f t="shared" si="431"/>
        <v>0</v>
      </c>
      <c r="DG251" s="144">
        <f t="shared" si="431"/>
        <v>0</v>
      </c>
      <c r="DH251" s="144">
        <f t="shared" si="431"/>
        <v>0</v>
      </c>
      <c r="DI251" s="144">
        <f t="shared" si="431"/>
        <v>0</v>
      </c>
      <c r="DJ251" s="144">
        <f t="shared" si="431"/>
        <v>0</v>
      </c>
      <c r="DK251" s="144">
        <f t="shared" si="431"/>
        <v>0</v>
      </c>
      <c r="DL251" s="144">
        <f t="shared" si="431"/>
        <v>0</v>
      </c>
      <c r="DM251" s="144">
        <f t="shared" si="431"/>
        <v>0</v>
      </c>
      <c r="DN251" s="144">
        <f t="shared" si="431"/>
        <v>0</v>
      </c>
      <c r="DO251" s="9">
        <f t="shared" si="431"/>
        <v>0</v>
      </c>
      <c r="DP251" s="144">
        <f t="shared" si="431"/>
        <v>0</v>
      </c>
      <c r="DQ251" s="144">
        <f t="shared" si="431"/>
        <v>0</v>
      </c>
      <c r="DR251" s="144">
        <f t="shared" si="431"/>
        <v>0</v>
      </c>
      <c r="DS251" s="144">
        <f t="shared" si="431"/>
        <v>0</v>
      </c>
      <c r="DT251" s="144">
        <f t="shared" si="431"/>
        <v>0</v>
      </c>
      <c r="DU251" s="144">
        <f t="shared" si="431"/>
        <v>0</v>
      </c>
      <c r="DV251" s="144">
        <f t="shared" si="431"/>
        <v>0</v>
      </c>
      <c r="DW251" s="144">
        <f t="shared" si="431"/>
        <v>0</v>
      </c>
      <c r="DX251" s="144">
        <f t="shared" si="431"/>
        <v>0</v>
      </c>
      <c r="DY251" s="144">
        <f t="shared" si="431"/>
        <v>0</v>
      </c>
      <c r="DZ251" s="144">
        <f t="shared" si="431"/>
        <v>0</v>
      </c>
      <c r="EA251" s="144">
        <f t="shared" si="431"/>
        <v>0</v>
      </c>
      <c r="EB251" s="117">
        <f t="shared" si="431"/>
        <v>0</v>
      </c>
      <c r="EC251" s="118"/>
      <c r="ED251" s="117">
        <f t="shared" ref="ED251:FB251" si="432">ED39/ED$211</f>
        <v>0</v>
      </c>
      <c r="EE251" s="117">
        <f t="shared" si="432"/>
        <v>0</v>
      </c>
      <c r="EF251" s="117">
        <f t="shared" si="432"/>
        <v>0</v>
      </c>
      <c r="EG251" s="117" t="e">
        <f t="shared" si="432"/>
        <v>#DIV/0!</v>
      </c>
      <c r="EH251" s="117" t="e">
        <f t="shared" si="432"/>
        <v>#DIV/0!</v>
      </c>
      <c r="EI251" s="117" t="e">
        <f t="shared" si="432"/>
        <v>#DIV/0!</v>
      </c>
      <c r="EJ251" s="117" t="e">
        <f t="shared" si="432"/>
        <v>#DIV/0!</v>
      </c>
      <c r="EK251" s="117" t="e">
        <f t="shared" si="432"/>
        <v>#DIV/0!</v>
      </c>
      <c r="EL251" s="117" t="e">
        <f t="shared" si="432"/>
        <v>#DIV/0!</v>
      </c>
      <c r="EM251" s="117" t="e">
        <f t="shared" si="432"/>
        <v>#DIV/0!</v>
      </c>
      <c r="EN251" s="117" t="e">
        <f t="shared" si="432"/>
        <v>#DIV/0!</v>
      </c>
      <c r="EO251" s="116">
        <f t="shared" si="432"/>
        <v>0</v>
      </c>
      <c r="EP251" s="117">
        <f t="shared" si="432"/>
        <v>0.000967252566927252</v>
      </c>
      <c r="EQ251" s="117">
        <f t="shared" si="432"/>
        <v>0.00133751928188442</v>
      </c>
      <c r="ER251" s="117">
        <f t="shared" si="432"/>
        <v>0.0015090613438881</v>
      </c>
      <c r="ES251" s="117">
        <f t="shared" si="432"/>
        <v>0.000946394979828975</v>
      </c>
      <c r="ET251" s="117">
        <f t="shared" si="432"/>
        <v>0.000227637090029195</v>
      </c>
      <c r="EU251" s="117">
        <f t="shared" si="432"/>
        <v>0</v>
      </c>
      <c r="EV251" s="117">
        <f t="shared" si="432"/>
        <v>0</v>
      </c>
      <c r="EW251" s="117">
        <f t="shared" si="432"/>
        <v>0</v>
      </c>
      <c r="EX251" s="117">
        <f t="shared" si="432"/>
        <v>0</v>
      </c>
      <c r="EY251" s="117">
        <f t="shared" si="432"/>
        <v>0</v>
      </c>
      <c r="EZ251" s="117">
        <f t="shared" si="432"/>
        <v>0</v>
      </c>
      <c r="FA251" s="117">
        <f t="shared" si="432"/>
        <v>0</v>
      </c>
      <c r="FB251" s="117">
        <f t="shared" si="432"/>
        <v>0.000398419821131245</v>
      </c>
      <c r="FC251" s="118"/>
      <c r="FD251" s="117"/>
      <c r="FE251" s="117"/>
      <c r="FF251" s="117"/>
      <c r="FG251" s="117"/>
      <c r="FH251" s="117"/>
      <c r="FI251" s="117"/>
      <c r="FJ251" s="117"/>
      <c r="FK251" s="117" t="e">
        <f t="shared" si="211"/>
        <v>#DIV/0!</v>
      </c>
      <c r="FL251" s="117" t="e">
        <f t="shared" si="212"/>
        <v>#DIV/0!</v>
      </c>
      <c r="FM251" s="117" t="e">
        <f t="shared" si="213"/>
        <v>#DIV/0!</v>
      </c>
      <c r="FN251" s="117" t="e">
        <f t="shared" si="214"/>
        <v>#DIV/0!</v>
      </c>
      <c r="FO251" s="9" t="e">
        <f t="shared" si="215"/>
        <v>#DIV/0!</v>
      </c>
      <c r="FP251" s="118">
        <f t="shared" ref="FP251:GB251" si="433">FP39/FP$211</f>
        <v>0.00109596836592207</v>
      </c>
      <c r="FQ251" s="117">
        <f t="shared" si="433"/>
        <v>0.00129810470302468</v>
      </c>
      <c r="FR251" s="117">
        <f t="shared" si="433"/>
        <v>0.000864033211304914</v>
      </c>
      <c r="FS251" s="117">
        <f t="shared" si="433"/>
        <v>0.000600669034965134</v>
      </c>
      <c r="FT251" s="117">
        <f t="shared" si="433"/>
        <v>0.000585600338931735</v>
      </c>
      <c r="FU251" s="117">
        <f t="shared" si="433"/>
        <v>0.000624698517159199</v>
      </c>
      <c r="FV251" s="117">
        <f t="shared" si="433"/>
        <v>0.000500319557968879</v>
      </c>
      <c r="FW251" s="117">
        <f t="shared" si="433"/>
        <v>0.000421138889561117</v>
      </c>
      <c r="FX251" s="117">
        <f t="shared" si="433"/>
        <v>0.000475414359787386</v>
      </c>
      <c r="FY251" s="117">
        <f t="shared" si="433"/>
        <v>0.000295337367727382</v>
      </c>
      <c r="FZ251" s="117">
        <f t="shared" si="433"/>
        <v>0.000270853441308403</v>
      </c>
      <c r="GA251" s="117">
        <f t="shared" si="433"/>
        <v>0.000257322691141212</v>
      </c>
      <c r="GB251" s="116">
        <f t="shared" si="433"/>
        <v>0.000636960251407355</v>
      </c>
    </row>
    <row r="252" spans="1:184">
      <c r="A252" s="147" t="s">
        <v>105</v>
      </c>
      <c r="B252" s="160">
        <f t="shared" si="217"/>
        <v>-0.841441641812486</v>
      </c>
      <c r="C252" s="117">
        <f t="shared" ref="C252:AH252" si="434">C40/C$211</f>
        <v>0.00078529674672825</v>
      </c>
      <c r="D252" s="117">
        <f t="shared" si="434"/>
        <v>0.000538946853004373</v>
      </c>
      <c r="E252" s="117">
        <f t="shared" si="434"/>
        <v>0.000444610881752538</v>
      </c>
      <c r="F252" s="117">
        <f t="shared" si="434"/>
        <v>0.00042086729150121</v>
      </c>
      <c r="G252" s="117">
        <f t="shared" si="434"/>
        <v>0.000309198542166376</v>
      </c>
      <c r="H252" s="117">
        <f t="shared" si="434"/>
        <v>0.000233110667778337</v>
      </c>
      <c r="I252" s="117">
        <f t="shared" si="434"/>
        <v>0.000193227787168557</v>
      </c>
      <c r="J252" s="117">
        <f t="shared" si="434"/>
        <v>0.000163181167729494</v>
      </c>
      <c r="K252" s="117">
        <f t="shared" si="434"/>
        <v>0.000147493323077955</v>
      </c>
      <c r="L252" s="117">
        <f t="shared" si="434"/>
        <v>0.000151216246272663</v>
      </c>
      <c r="M252" s="117">
        <f t="shared" si="434"/>
        <v>0.000139981854891599</v>
      </c>
      <c r="N252" s="117">
        <f t="shared" si="434"/>
        <v>0.000145040179117519</v>
      </c>
      <c r="O252" s="9">
        <f t="shared" si="434"/>
        <v>0.00032495573967395</v>
      </c>
      <c r="P252" s="117">
        <f t="shared" si="434"/>
        <v>0.000436172235779842</v>
      </c>
      <c r="Q252" s="117">
        <f t="shared" si="434"/>
        <v>0.000529838964648866</v>
      </c>
      <c r="R252" s="117">
        <f t="shared" si="434"/>
        <v>0.0010385691866242</v>
      </c>
      <c r="S252" s="117">
        <f t="shared" si="434"/>
        <v>0.00129629852584125</v>
      </c>
      <c r="T252" s="117">
        <f t="shared" si="434"/>
        <v>0.00102691406516</v>
      </c>
      <c r="U252" s="117">
        <f t="shared" si="434"/>
        <v>0.000799988862052021</v>
      </c>
      <c r="V252" s="117">
        <f t="shared" si="434"/>
        <v>0.000715459924991636</v>
      </c>
      <c r="W252" s="117">
        <f t="shared" si="434"/>
        <v>0.000592817688585443</v>
      </c>
      <c r="X252" s="117">
        <f t="shared" si="434"/>
        <v>0.000534117212944553</v>
      </c>
      <c r="Y252" s="117">
        <f t="shared" si="434"/>
        <v>0.000540401969831603</v>
      </c>
      <c r="Z252" s="117">
        <f t="shared" si="434"/>
        <v>0.000539888186794244</v>
      </c>
      <c r="AA252" s="117">
        <f t="shared" si="434"/>
        <v>0.000571274175249915</v>
      </c>
      <c r="AB252" s="9">
        <f t="shared" si="434"/>
        <v>0.000685420847214844</v>
      </c>
      <c r="AC252" s="117">
        <f t="shared" si="434"/>
        <v>6.41408770898129e-5</v>
      </c>
      <c r="AD252" s="117">
        <f t="shared" si="434"/>
        <v>3.40410168093206e-5</v>
      </c>
      <c r="AE252" s="117">
        <f t="shared" si="434"/>
        <v>2.63771152614634e-5</v>
      </c>
      <c r="AF252" s="117">
        <f t="shared" si="434"/>
        <v>4.91313379049996e-5</v>
      </c>
      <c r="AG252" s="117">
        <f t="shared" si="434"/>
        <v>2.4097797261264e-6</v>
      </c>
      <c r="AH252" s="117">
        <f t="shared" si="434"/>
        <v>0</v>
      </c>
      <c r="AI252" s="117">
        <f t="shared" ref="AI252:BN252" si="435">AI40/AI$211</f>
        <v>0</v>
      </c>
      <c r="AJ252" s="117">
        <f t="shared" si="435"/>
        <v>0</v>
      </c>
      <c r="AK252" s="117">
        <f t="shared" si="435"/>
        <v>0</v>
      </c>
      <c r="AL252" s="117">
        <f t="shared" si="435"/>
        <v>0</v>
      </c>
      <c r="AM252" s="117">
        <f t="shared" si="435"/>
        <v>0</v>
      </c>
      <c r="AN252" s="117">
        <f t="shared" si="435"/>
        <v>0</v>
      </c>
      <c r="AO252" s="9">
        <f t="shared" si="435"/>
        <v>1.34187543743633e-5</v>
      </c>
      <c r="AP252" s="144">
        <f t="shared" si="435"/>
        <v>4.27885484948488e-5</v>
      </c>
      <c r="AQ252" s="144">
        <f t="shared" si="435"/>
        <v>7.27679537152754e-5</v>
      </c>
      <c r="AR252" s="144">
        <f t="shared" si="435"/>
        <v>5.60570214917851e-5</v>
      </c>
      <c r="AS252" s="144">
        <f t="shared" si="435"/>
        <v>4.26516793884642e-5</v>
      </c>
      <c r="AT252" s="144">
        <f t="shared" si="435"/>
        <v>2.05929921033656e-5</v>
      </c>
      <c r="AU252" s="144">
        <f t="shared" si="435"/>
        <v>0</v>
      </c>
      <c r="AV252" s="144">
        <f t="shared" si="435"/>
        <v>0</v>
      </c>
      <c r="AW252" s="144">
        <f t="shared" si="435"/>
        <v>0</v>
      </c>
      <c r="AX252" s="144">
        <f t="shared" si="435"/>
        <v>0</v>
      </c>
      <c r="AY252" s="144">
        <f t="shared" si="435"/>
        <v>0</v>
      </c>
      <c r="AZ252" s="144">
        <f t="shared" si="435"/>
        <v>0</v>
      </c>
      <c r="BA252" s="144">
        <f t="shared" si="435"/>
        <v>0</v>
      </c>
      <c r="BB252" s="9">
        <f t="shared" si="435"/>
        <v>1.85474553715381e-5</v>
      </c>
      <c r="BC252" s="144">
        <f t="shared" si="435"/>
        <v>0.000301438065572367</v>
      </c>
      <c r="BD252" s="144">
        <f t="shared" si="435"/>
        <v>0.000298969390085672</v>
      </c>
      <c r="BE252" s="144">
        <f t="shared" si="435"/>
        <v>7.86899134676383e-5</v>
      </c>
      <c r="BF252" s="144">
        <f t="shared" si="435"/>
        <v>2.59859922804989e-5</v>
      </c>
      <c r="BG252" s="144">
        <f t="shared" si="435"/>
        <v>3.07252092684259e-5</v>
      </c>
      <c r="BH252" s="144">
        <f t="shared" si="435"/>
        <v>2.30068851676241e-5</v>
      </c>
      <c r="BI252" s="144">
        <f t="shared" si="435"/>
        <v>1.89463357662318e-5</v>
      </c>
      <c r="BJ252" s="144">
        <f t="shared" si="435"/>
        <v>1.68329454493565e-5</v>
      </c>
      <c r="BK252" s="144">
        <f t="shared" si="435"/>
        <v>0</v>
      </c>
      <c r="BL252" s="144">
        <f t="shared" si="435"/>
        <v>0</v>
      </c>
      <c r="BM252" s="144">
        <f t="shared" si="435"/>
        <v>0</v>
      </c>
      <c r="BN252" s="144">
        <f t="shared" si="435"/>
        <v>0</v>
      </c>
      <c r="BO252" s="9">
        <f t="shared" ref="BO252:CT252" si="436">BO40/BO$211</f>
        <v>8.03156680661799e-5</v>
      </c>
      <c r="BP252" s="144">
        <f t="shared" si="436"/>
        <v>0.000668984930127272</v>
      </c>
      <c r="BQ252" s="144">
        <f t="shared" si="436"/>
        <v>0.000607138167033898</v>
      </c>
      <c r="BR252" s="144">
        <f t="shared" si="436"/>
        <v>0.000585148368048272</v>
      </c>
      <c r="BS252" s="144">
        <f t="shared" si="436"/>
        <v>0.000611834756798315</v>
      </c>
      <c r="BT252" s="144">
        <f t="shared" si="436"/>
        <v>0.000610325644609781</v>
      </c>
      <c r="BU252" s="144">
        <f t="shared" si="436"/>
        <v>0.000376172286836589</v>
      </c>
      <c r="BV252" s="144">
        <f t="shared" si="436"/>
        <v>0.000331071554803658</v>
      </c>
      <c r="BW252" s="144">
        <f t="shared" si="436"/>
        <v>0.000314098635182034</v>
      </c>
      <c r="BX252" s="144">
        <f t="shared" si="436"/>
        <v>0.000290279019576614</v>
      </c>
      <c r="BY252" s="144">
        <f t="shared" si="436"/>
        <v>0.000311488996101679</v>
      </c>
      <c r="BZ252" s="144">
        <f t="shared" si="436"/>
        <v>0.00026624884878185</v>
      </c>
      <c r="CA252" s="144">
        <f t="shared" si="436"/>
        <v>0.000308831316467491</v>
      </c>
      <c r="CB252" s="9">
        <f t="shared" si="436"/>
        <v>0.000459627797532112</v>
      </c>
      <c r="CC252" s="144">
        <f t="shared" si="436"/>
        <v>0.000263839135747846</v>
      </c>
      <c r="CD252" s="144">
        <f t="shared" si="436"/>
        <v>0.000501709015866089</v>
      </c>
      <c r="CE252" s="144">
        <f t="shared" si="436"/>
        <v>0.000560454284475261</v>
      </c>
      <c r="CF252" s="144">
        <f t="shared" si="436"/>
        <v>0.000188897034225329</v>
      </c>
      <c r="CG252" s="144">
        <f t="shared" si="436"/>
        <v>0.000155040724479729</v>
      </c>
      <c r="CH252" s="144">
        <f t="shared" si="436"/>
        <v>0</v>
      </c>
      <c r="CI252" s="144">
        <f t="shared" si="436"/>
        <v>0</v>
      </c>
      <c r="CJ252" s="144">
        <f t="shared" si="436"/>
        <v>0</v>
      </c>
      <c r="CK252" s="144">
        <f t="shared" si="436"/>
        <v>0</v>
      </c>
      <c r="CL252" s="144">
        <f t="shared" si="436"/>
        <v>0</v>
      </c>
      <c r="CM252" s="144">
        <f t="shared" si="436"/>
        <v>0</v>
      </c>
      <c r="CN252" s="144">
        <f t="shared" si="436"/>
        <v>0</v>
      </c>
      <c r="CO252" s="9">
        <f t="shared" si="436"/>
        <v>0.00011763658482661</v>
      </c>
      <c r="CP252" s="144">
        <f t="shared" si="436"/>
        <v>0</v>
      </c>
      <c r="CQ252" s="144">
        <f t="shared" si="436"/>
        <v>0</v>
      </c>
      <c r="CR252" s="144">
        <f t="shared" si="436"/>
        <v>0</v>
      </c>
      <c r="CS252" s="144">
        <f t="shared" si="436"/>
        <v>0</v>
      </c>
      <c r="CT252" s="144">
        <f t="shared" si="436"/>
        <v>0</v>
      </c>
      <c r="CU252" s="144">
        <f t="shared" ref="CU252:EB252" si="437">CU40/CU$211</f>
        <v>0</v>
      </c>
      <c r="CV252" s="144">
        <f t="shared" si="437"/>
        <v>0</v>
      </c>
      <c r="CW252" s="144">
        <f t="shared" si="437"/>
        <v>0</v>
      </c>
      <c r="CX252" s="144">
        <f t="shared" si="437"/>
        <v>0</v>
      </c>
      <c r="CY252" s="144">
        <f t="shared" si="437"/>
        <v>0</v>
      </c>
      <c r="CZ252" s="144">
        <f t="shared" si="437"/>
        <v>0</v>
      </c>
      <c r="DA252" s="144">
        <f t="shared" si="437"/>
        <v>0</v>
      </c>
      <c r="DB252" s="9">
        <f t="shared" si="437"/>
        <v>0</v>
      </c>
      <c r="DC252" s="144">
        <f t="shared" si="437"/>
        <v>0.00240506500315284</v>
      </c>
      <c r="DD252" s="144">
        <f t="shared" si="437"/>
        <v>0.00169185933728416</v>
      </c>
      <c r="DE252" s="144">
        <f t="shared" si="437"/>
        <v>0.00114459865366043</v>
      </c>
      <c r="DF252" s="144">
        <f t="shared" si="437"/>
        <v>0.000534074230958825</v>
      </c>
      <c r="DG252" s="144">
        <f t="shared" si="437"/>
        <v>0.000694477371411798</v>
      </c>
      <c r="DH252" s="144">
        <f t="shared" si="437"/>
        <v>0.000376560192376014</v>
      </c>
      <c r="DI252" s="144">
        <f t="shared" si="437"/>
        <v>0.000363142263636328</v>
      </c>
      <c r="DJ252" s="144">
        <f t="shared" si="437"/>
        <v>0.000354693658416179</v>
      </c>
      <c r="DK252" s="144">
        <f t="shared" si="437"/>
        <v>0.000300022216177945</v>
      </c>
      <c r="DL252" s="144">
        <f t="shared" si="437"/>
        <v>0.000296430423813449</v>
      </c>
      <c r="DM252" s="144">
        <f t="shared" si="437"/>
        <v>0.000329633855488061</v>
      </c>
      <c r="DN252" s="144">
        <f t="shared" si="437"/>
        <v>0.000298741975831878</v>
      </c>
      <c r="DO252" s="9">
        <f t="shared" si="437"/>
        <v>0.000853564171585458</v>
      </c>
      <c r="DP252" s="144">
        <f t="shared" si="437"/>
        <v>0.00605323041009401</v>
      </c>
      <c r="DQ252" s="144">
        <f t="shared" si="437"/>
        <v>0.00305797216370468</v>
      </c>
      <c r="DR252" s="144">
        <f t="shared" si="437"/>
        <v>0.00186800331547522</v>
      </c>
      <c r="DS252" s="144">
        <f t="shared" si="437"/>
        <v>0.000902886203580946</v>
      </c>
      <c r="DT252" s="144">
        <f t="shared" si="437"/>
        <v>0.000316717214090243</v>
      </c>
      <c r="DU252" s="144">
        <f t="shared" si="437"/>
        <v>0.000319667757281906</v>
      </c>
      <c r="DV252" s="144">
        <f t="shared" si="437"/>
        <v>0.000218412759482016</v>
      </c>
      <c r="DW252" s="144">
        <f t="shared" si="437"/>
        <v>0.000102013491867822</v>
      </c>
      <c r="DX252" s="144">
        <f t="shared" si="437"/>
        <v>0</v>
      </c>
      <c r="DY252" s="144">
        <f t="shared" si="437"/>
        <v>0</v>
      </c>
      <c r="DZ252" s="144">
        <f t="shared" si="437"/>
        <v>0</v>
      </c>
      <c r="EA252" s="144">
        <f t="shared" si="437"/>
        <v>0</v>
      </c>
      <c r="EB252" s="117">
        <f t="shared" si="437"/>
        <v>0.00136372579551207</v>
      </c>
      <c r="EC252" s="118"/>
      <c r="ED252" s="117">
        <f t="shared" ref="ED252:FB252" si="438">ED40/ED$211</f>
        <v>0</v>
      </c>
      <c r="EE252" s="117">
        <f t="shared" si="438"/>
        <v>0</v>
      </c>
      <c r="EF252" s="117">
        <f t="shared" si="438"/>
        <v>0</v>
      </c>
      <c r="EG252" s="117" t="e">
        <f t="shared" si="438"/>
        <v>#DIV/0!</v>
      </c>
      <c r="EH252" s="117" t="e">
        <f t="shared" si="438"/>
        <v>#DIV/0!</v>
      </c>
      <c r="EI252" s="117" t="e">
        <f t="shared" si="438"/>
        <v>#DIV/0!</v>
      </c>
      <c r="EJ252" s="117" t="e">
        <f t="shared" si="438"/>
        <v>#DIV/0!</v>
      </c>
      <c r="EK252" s="117" t="e">
        <f t="shared" si="438"/>
        <v>#DIV/0!</v>
      </c>
      <c r="EL252" s="117" t="e">
        <f t="shared" si="438"/>
        <v>#DIV/0!</v>
      </c>
      <c r="EM252" s="117" t="e">
        <f t="shared" si="438"/>
        <v>#DIV/0!</v>
      </c>
      <c r="EN252" s="117" t="e">
        <f t="shared" si="438"/>
        <v>#DIV/0!</v>
      </c>
      <c r="EO252" s="116">
        <f t="shared" si="438"/>
        <v>0</v>
      </c>
      <c r="EP252" s="117">
        <f t="shared" si="438"/>
        <v>0</v>
      </c>
      <c r="EQ252" s="117">
        <f t="shared" si="438"/>
        <v>0.000606990687398011</v>
      </c>
      <c r="ER252" s="117">
        <f t="shared" si="438"/>
        <v>0</v>
      </c>
      <c r="ES252" s="117">
        <f t="shared" si="438"/>
        <v>0</v>
      </c>
      <c r="ET252" s="117">
        <f t="shared" si="438"/>
        <v>0</v>
      </c>
      <c r="EU252" s="117">
        <f t="shared" si="438"/>
        <v>0</v>
      </c>
      <c r="EV252" s="117">
        <f t="shared" si="438"/>
        <v>0</v>
      </c>
      <c r="EW252" s="117">
        <f t="shared" si="438"/>
        <v>0</v>
      </c>
      <c r="EX252" s="117">
        <f t="shared" si="438"/>
        <v>0</v>
      </c>
      <c r="EY252" s="117">
        <f t="shared" si="438"/>
        <v>0</v>
      </c>
      <c r="EZ252" s="117">
        <f t="shared" si="438"/>
        <v>0</v>
      </c>
      <c r="FA252" s="117">
        <f t="shared" si="438"/>
        <v>0</v>
      </c>
      <c r="FB252" s="117">
        <f t="shared" si="438"/>
        <v>5.11738683762315e-5</v>
      </c>
      <c r="FC252" s="118"/>
      <c r="FD252" s="117"/>
      <c r="FE252" s="117"/>
      <c r="FF252" s="117"/>
      <c r="FG252" s="117"/>
      <c r="FH252" s="117"/>
      <c r="FI252" s="117"/>
      <c r="FJ252" s="117"/>
      <c r="FK252" s="117" t="e">
        <f t="shared" si="211"/>
        <v>#DIV/0!</v>
      </c>
      <c r="FL252" s="117" t="e">
        <f t="shared" si="212"/>
        <v>#DIV/0!</v>
      </c>
      <c r="FM252" s="117" t="e">
        <f t="shared" si="213"/>
        <v>#DIV/0!</v>
      </c>
      <c r="FN252" s="117" t="e">
        <f t="shared" si="214"/>
        <v>#DIV/0!</v>
      </c>
      <c r="FO252" s="9" t="e">
        <f t="shared" si="215"/>
        <v>#DIV/0!</v>
      </c>
      <c r="FP252" s="118">
        <f t="shared" ref="FP252:GB252" si="439">FP40/FP$211</f>
        <v>8.23360613685304e-5</v>
      </c>
      <c r="FQ252" s="117">
        <f t="shared" si="439"/>
        <v>0.000193288833305849</v>
      </c>
      <c r="FR252" s="117">
        <f t="shared" si="439"/>
        <v>0.000107692065766899</v>
      </c>
      <c r="FS252" s="117">
        <f t="shared" si="439"/>
        <v>0.000219018932346658</v>
      </c>
      <c r="FT252" s="117">
        <f t="shared" si="439"/>
        <v>0.000126217587392248</v>
      </c>
      <c r="FU252" s="117">
        <f t="shared" si="439"/>
        <v>0.00012493970343184</v>
      </c>
      <c r="FV252" s="117">
        <f t="shared" si="439"/>
        <v>0.000100063911593776</v>
      </c>
      <c r="FW252" s="117">
        <f t="shared" si="439"/>
        <v>8.42277779122235e-5</v>
      </c>
      <c r="FX252" s="117">
        <f t="shared" si="439"/>
        <v>9.50828719574773e-5</v>
      </c>
      <c r="FY252" s="117">
        <f t="shared" si="439"/>
        <v>8.86012103182145e-5</v>
      </c>
      <c r="FZ252" s="117">
        <f t="shared" si="439"/>
        <v>8.1256032392521e-5</v>
      </c>
      <c r="GA252" s="117">
        <f t="shared" si="439"/>
        <v>7.71968073423636e-5</v>
      </c>
      <c r="GB252" s="116">
        <f t="shared" si="439"/>
        <v>0.000112424500312885</v>
      </c>
    </row>
    <row r="253" spans="1:184">
      <c r="A253" s="147" t="s">
        <v>107</v>
      </c>
      <c r="B253" s="160">
        <f t="shared" si="217"/>
        <v>0.292872822531123</v>
      </c>
      <c r="C253" s="117">
        <f t="shared" ref="C253:AH253" si="440">C41/C$211</f>
        <v>7.83560561945395e-5</v>
      </c>
      <c r="D253" s="117">
        <f t="shared" si="440"/>
        <v>6.02414083044682e-5</v>
      </c>
      <c r="E253" s="117">
        <f t="shared" si="440"/>
        <v>6.94476402077916e-5</v>
      </c>
      <c r="F253" s="117">
        <f t="shared" si="440"/>
        <v>6.40371342632091e-5</v>
      </c>
      <c r="G253" s="117">
        <f t="shared" si="440"/>
        <v>3.51482196204597e-5</v>
      </c>
      <c r="H253" s="117">
        <f t="shared" si="440"/>
        <v>0.000111360336764285</v>
      </c>
      <c r="I253" s="117">
        <f t="shared" si="440"/>
        <v>0.00544311861207675</v>
      </c>
      <c r="J253" s="117">
        <f t="shared" si="440"/>
        <v>0.00213372091153735</v>
      </c>
      <c r="K253" s="117">
        <f t="shared" si="440"/>
        <v>0.00135354633939648</v>
      </c>
      <c r="L253" s="117">
        <f t="shared" si="440"/>
        <v>0.000723089630481775</v>
      </c>
      <c r="M253" s="117">
        <f t="shared" si="440"/>
        <v>0.00052899282813559</v>
      </c>
      <c r="N253" s="117">
        <f t="shared" si="440"/>
        <v>0.000548108285920948</v>
      </c>
      <c r="O253" s="9">
        <f t="shared" si="440"/>
        <v>0.000898560504429048</v>
      </c>
      <c r="P253" s="117">
        <f t="shared" si="440"/>
        <v>0</v>
      </c>
      <c r="Q253" s="117">
        <f t="shared" si="440"/>
        <v>0</v>
      </c>
      <c r="R253" s="117">
        <f t="shared" si="440"/>
        <v>0</v>
      </c>
      <c r="S253" s="117">
        <f t="shared" si="440"/>
        <v>0</v>
      </c>
      <c r="T253" s="117">
        <f t="shared" si="440"/>
        <v>0</v>
      </c>
      <c r="U253" s="117">
        <f t="shared" si="440"/>
        <v>0</v>
      </c>
      <c r="V253" s="117">
        <f t="shared" si="440"/>
        <v>0.00284975539100843</v>
      </c>
      <c r="W253" s="117">
        <f t="shared" si="440"/>
        <v>0.00196771492122273</v>
      </c>
      <c r="X253" s="117">
        <f t="shared" si="440"/>
        <v>0.00161189060497421</v>
      </c>
      <c r="Y253" s="117">
        <f t="shared" si="440"/>
        <v>0</v>
      </c>
      <c r="Z253" s="117">
        <f t="shared" si="440"/>
        <v>0</v>
      </c>
      <c r="AA253" s="117">
        <f t="shared" si="440"/>
        <v>0</v>
      </c>
      <c r="AB253" s="9">
        <f t="shared" si="440"/>
        <v>0.00054750977065753</v>
      </c>
      <c r="AC253" s="117">
        <f t="shared" si="440"/>
        <v>0.000136313283437962</v>
      </c>
      <c r="AD253" s="117">
        <f t="shared" si="440"/>
        <v>8.78375380406936e-6</v>
      </c>
      <c r="AE253" s="117">
        <f t="shared" si="440"/>
        <v>1.81014478100758e-5</v>
      </c>
      <c r="AF253" s="117">
        <f t="shared" si="440"/>
        <v>1.41609875899437e-5</v>
      </c>
      <c r="AG253" s="117">
        <f t="shared" si="440"/>
        <v>1.58757616579769e-5</v>
      </c>
      <c r="AH253" s="117">
        <f t="shared" si="440"/>
        <v>0</v>
      </c>
      <c r="AI253" s="117">
        <f t="shared" ref="AI253:BN253" si="441">AI41/AI$211</f>
        <v>0.0113227412279934</v>
      </c>
      <c r="AJ253" s="117">
        <f t="shared" si="441"/>
        <v>0.00892179272865272</v>
      </c>
      <c r="AK253" s="117">
        <f t="shared" si="441"/>
        <v>0.00704229574758881</v>
      </c>
      <c r="AL253" s="117">
        <f t="shared" si="441"/>
        <v>0.00762631779639942</v>
      </c>
      <c r="AM253" s="117">
        <f t="shared" si="441"/>
        <v>0.00588313813977824</v>
      </c>
      <c r="AN253" s="117">
        <f t="shared" si="441"/>
        <v>0.00604526060329949</v>
      </c>
      <c r="AO253" s="9">
        <f t="shared" si="441"/>
        <v>0.00434157728493671</v>
      </c>
      <c r="AP253" s="144">
        <f t="shared" si="441"/>
        <v>3.13519487805488e-5</v>
      </c>
      <c r="AQ253" s="144">
        <f t="shared" si="441"/>
        <v>2.03376659154929e-5</v>
      </c>
      <c r="AR253" s="144">
        <f t="shared" si="441"/>
        <v>2.47584960393517e-5</v>
      </c>
      <c r="AS253" s="144">
        <f t="shared" si="441"/>
        <v>2.27342031091676e-5</v>
      </c>
      <c r="AT253" s="144">
        <f t="shared" si="441"/>
        <v>4.70443001788463e-6</v>
      </c>
      <c r="AU253" s="144">
        <f t="shared" si="441"/>
        <v>0</v>
      </c>
      <c r="AV253" s="144">
        <f t="shared" si="441"/>
        <v>0.000699088263946009</v>
      </c>
      <c r="AW253" s="144">
        <f t="shared" si="441"/>
        <v>0.000410621427426208</v>
      </c>
      <c r="AX253" s="144">
        <f t="shared" si="441"/>
        <v>0.000204307727766585</v>
      </c>
      <c r="AY253" s="144">
        <f t="shared" si="441"/>
        <v>0</v>
      </c>
      <c r="AZ253" s="144">
        <f t="shared" si="441"/>
        <v>0</v>
      </c>
      <c r="BA253" s="144">
        <f t="shared" si="441"/>
        <v>0</v>
      </c>
      <c r="BB253" s="9">
        <f t="shared" si="441"/>
        <v>0.000123593301457934</v>
      </c>
      <c r="BC253" s="144">
        <f t="shared" si="441"/>
        <v>0</v>
      </c>
      <c r="BD253" s="144">
        <f t="shared" si="441"/>
        <v>0</v>
      </c>
      <c r="BE253" s="144">
        <f t="shared" si="441"/>
        <v>0</v>
      </c>
      <c r="BF253" s="144">
        <f t="shared" si="441"/>
        <v>0</v>
      </c>
      <c r="BG253" s="144">
        <f t="shared" si="441"/>
        <v>0</v>
      </c>
      <c r="BH253" s="144">
        <f t="shared" si="441"/>
        <v>0</v>
      </c>
      <c r="BI253" s="144">
        <f t="shared" si="441"/>
        <v>0.00264769046657214</v>
      </c>
      <c r="BJ253" s="144">
        <f t="shared" si="441"/>
        <v>0.000588087714433214</v>
      </c>
      <c r="BK253" s="144">
        <f t="shared" si="441"/>
        <v>0.00059805774895462</v>
      </c>
      <c r="BL253" s="144">
        <f t="shared" si="441"/>
        <v>0</v>
      </c>
      <c r="BM253" s="144">
        <f t="shared" si="441"/>
        <v>0</v>
      </c>
      <c r="BN253" s="144">
        <f t="shared" si="441"/>
        <v>0</v>
      </c>
      <c r="BO253" s="9">
        <f t="shared" ref="BO253:CT253" si="442">BO41/BO$211</f>
        <v>0.000314840363254616</v>
      </c>
      <c r="BP253" s="144">
        <f t="shared" si="442"/>
        <v>0.000164272278319244</v>
      </c>
      <c r="BQ253" s="144">
        <f t="shared" si="442"/>
        <v>9.63517009090837e-5</v>
      </c>
      <c r="BR253" s="144">
        <f t="shared" si="442"/>
        <v>8.6608022951749e-5</v>
      </c>
      <c r="BS253" s="144">
        <f t="shared" si="442"/>
        <v>9.35770174080232e-5</v>
      </c>
      <c r="BT253" s="144">
        <f t="shared" si="442"/>
        <v>6.04484594475185e-5</v>
      </c>
      <c r="BU253" s="144">
        <f t="shared" si="442"/>
        <v>0</v>
      </c>
      <c r="BV253" s="144">
        <f t="shared" si="442"/>
        <v>0.00207195297960361</v>
      </c>
      <c r="BW253" s="144">
        <f t="shared" si="442"/>
        <v>0.00101252263043107</v>
      </c>
      <c r="BX253" s="144">
        <f t="shared" si="442"/>
        <v>0</v>
      </c>
      <c r="BY253" s="144">
        <f t="shared" si="442"/>
        <v>0</v>
      </c>
      <c r="BZ253" s="144">
        <f t="shared" si="442"/>
        <v>0</v>
      </c>
      <c r="CA253" s="144">
        <f t="shared" si="442"/>
        <v>0</v>
      </c>
      <c r="CB253" s="9">
        <f t="shared" si="442"/>
        <v>0.00027314157745075</v>
      </c>
      <c r="CC253" s="144">
        <f t="shared" si="442"/>
        <v>0.000847528438853946</v>
      </c>
      <c r="CD253" s="144">
        <f t="shared" si="442"/>
        <v>0.00106081042700709</v>
      </c>
      <c r="CE253" s="144">
        <f t="shared" si="442"/>
        <v>0.00184737003003211</v>
      </c>
      <c r="CF253" s="144">
        <f t="shared" si="442"/>
        <v>0.000790590487117364</v>
      </c>
      <c r="CG253" s="144">
        <f t="shared" si="442"/>
        <v>0.000737658218752011</v>
      </c>
      <c r="CH253" s="144">
        <f t="shared" si="442"/>
        <v>0.00101621109909316</v>
      </c>
      <c r="CI253" s="144">
        <f t="shared" si="442"/>
        <v>0.00335558045267621</v>
      </c>
      <c r="CJ253" s="144">
        <f t="shared" si="442"/>
        <v>0.00277819301326389</v>
      </c>
      <c r="CK253" s="144">
        <f t="shared" si="442"/>
        <v>0</v>
      </c>
      <c r="CL253" s="144">
        <f t="shared" si="442"/>
        <v>0</v>
      </c>
      <c r="CM253" s="144">
        <f t="shared" si="442"/>
        <v>0</v>
      </c>
      <c r="CN253" s="144">
        <f t="shared" si="442"/>
        <v>0</v>
      </c>
      <c r="CO253" s="9">
        <f t="shared" si="442"/>
        <v>0.00103219968874718</v>
      </c>
      <c r="CP253" s="144">
        <f t="shared" si="442"/>
        <v>9.67065482649296e-5</v>
      </c>
      <c r="CQ253" s="144">
        <f t="shared" si="442"/>
        <v>0.0001047652612043</v>
      </c>
      <c r="CR253" s="144">
        <f t="shared" si="442"/>
        <v>6.78870653198874e-5</v>
      </c>
      <c r="CS253" s="144">
        <f t="shared" si="442"/>
        <v>5.18779868115871e-5</v>
      </c>
      <c r="CT253" s="144">
        <f t="shared" si="442"/>
        <v>2.15655611854323e-6</v>
      </c>
      <c r="CU253" s="144">
        <f t="shared" ref="CU253:EB253" si="443">CU41/CU$211</f>
        <v>0</v>
      </c>
      <c r="CV253" s="144">
        <f t="shared" si="443"/>
        <v>0.00384676473356775</v>
      </c>
      <c r="CW253" s="144">
        <f t="shared" si="443"/>
        <v>0.00153111664357794</v>
      </c>
      <c r="CX253" s="144">
        <f t="shared" si="443"/>
        <v>0.000193056313915545</v>
      </c>
      <c r="CY253" s="144">
        <f t="shared" si="443"/>
        <v>0</v>
      </c>
      <c r="CZ253" s="144">
        <f t="shared" si="443"/>
        <v>0</v>
      </c>
      <c r="DA253" s="144">
        <f t="shared" si="443"/>
        <v>0</v>
      </c>
      <c r="DB253" s="9">
        <f t="shared" si="443"/>
        <v>0.000484335098013068</v>
      </c>
      <c r="DC253" s="144">
        <f t="shared" si="443"/>
        <v>0</v>
      </c>
      <c r="DD253" s="144">
        <f t="shared" si="443"/>
        <v>0</v>
      </c>
      <c r="DE253" s="144">
        <f t="shared" si="443"/>
        <v>0</v>
      </c>
      <c r="DF253" s="144">
        <f t="shared" si="443"/>
        <v>0</v>
      </c>
      <c r="DG253" s="144">
        <f t="shared" si="443"/>
        <v>0</v>
      </c>
      <c r="DH253" s="144">
        <f t="shared" si="443"/>
        <v>0</v>
      </c>
      <c r="DI253" s="144">
        <f t="shared" si="443"/>
        <v>0.00439593266507134</v>
      </c>
      <c r="DJ253" s="144">
        <f t="shared" si="443"/>
        <v>0.00286244005037618</v>
      </c>
      <c r="DK253" s="144">
        <f t="shared" si="443"/>
        <v>0</v>
      </c>
      <c r="DL253" s="144">
        <f t="shared" si="443"/>
        <v>0</v>
      </c>
      <c r="DM253" s="144">
        <f t="shared" si="443"/>
        <v>0</v>
      </c>
      <c r="DN253" s="144">
        <f t="shared" si="443"/>
        <v>0</v>
      </c>
      <c r="DO253" s="9">
        <f t="shared" si="443"/>
        <v>0.000553141917829702</v>
      </c>
      <c r="DP253" s="144">
        <f t="shared" si="443"/>
        <v>2.62357545668875e-5</v>
      </c>
      <c r="DQ253" s="144">
        <f t="shared" si="443"/>
        <v>0.000123151339013046</v>
      </c>
      <c r="DR253" s="144">
        <f t="shared" si="443"/>
        <v>0.000164353884056797</v>
      </c>
      <c r="DS253" s="144">
        <f t="shared" si="443"/>
        <v>2.24341759789479e-5</v>
      </c>
      <c r="DT253" s="144">
        <f t="shared" si="443"/>
        <v>0</v>
      </c>
      <c r="DU253" s="144">
        <f t="shared" si="443"/>
        <v>0</v>
      </c>
      <c r="DV253" s="144">
        <f t="shared" si="443"/>
        <v>0.0038841444340874</v>
      </c>
      <c r="DW253" s="144">
        <f t="shared" si="443"/>
        <v>0.00568419725885308</v>
      </c>
      <c r="DX253" s="144">
        <f t="shared" si="443"/>
        <v>0.00303750688185153</v>
      </c>
      <c r="DY253" s="144">
        <f t="shared" si="443"/>
        <v>0</v>
      </c>
      <c r="DZ253" s="144">
        <f t="shared" si="443"/>
        <v>0</v>
      </c>
      <c r="EA253" s="144">
        <f t="shared" si="443"/>
        <v>0</v>
      </c>
      <c r="EB253" s="117">
        <f t="shared" si="443"/>
        <v>0.00101939389961108</v>
      </c>
      <c r="EC253" s="118"/>
      <c r="ED253" s="117">
        <f t="shared" ref="ED253:FB253" si="444">ED41/ED$211</f>
        <v>0</v>
      </c>
      <c r="EE253" s="117">
        <f t="shared" si="444"/>
        <v>0</v>
      </c>
      <c r="EF253" s="117">
        <f t="shared" si="444"/>
        <v>0</v>
      </c>
      <c r="EG253" s="117" t="e">
        <f t="shared" si="444"/>
        <v>#DIV/0!</v>
      </c>
      <c r="EH253" s="117" t="e">
        <f t="shared" si="444"/>
        <v>#DIV/0!</v>
      </c>
      <c r="EI253" s="117" t="e">
        <f t="shared" si="444"/>
        <v>#DIV/0!</v>
      </c>
      <c r="EJ253" s="117" t="e">
        <f t="shared" si="444"/>
        <v>#DIV/0!</v>
      </c>
      <c r="EK253" s="117" t="e">
        <f t="shared" si="444"/>
        <v>#DIV/0!</v>
      </c>
      <c r="EL253" s="117" t="e">
        <f t="shared" si="444"/>
        <v>#DIV/0!</v>
      </c>
      <c r="EM253" s="117" t="e">
        <f t="shared" si="444"/>
        <v>#DIV/0!</v>
      </c>
      <c r="EN253" s="117" t="e">
        <f t="shared" si="444"/>
        <v>#DIV/0!</v>
      </c>
      <c r="EO253" s="116">
        <f t="shared" si="444"/>
        <v>0</v>
      </c>
      <c r="EP253" s="117">
        <f t="shared" si="444"/>
        <v>0</v>
      </c>
      <c r="EQ253" s="117">
        <f t="shared" si="444"/>
        <v>0</v>
      </c>
      <c r="ER253" s="117">
        <f t="shared" si="444"/>
        <v>0</v>
      </c>
      <c r="ES253" s="117">
        <f t="shared" si="444"/>
        <v>0</v>
      </c>
      <c r="ET253" s="117">
        <f t="shared" si="444"/>
        <v>0</v>
      </c>
      <c r="EU253" s="117">
        <f t="shared" si="444"/>
        <v>0.00285227276157916</v>
      </c>
      <c r="EV253" s="117">
        <f t="shared" si="444"/>
        <v>0.00764563866466735</v>
      </c>
      <c r="EW253" s="117">
        <f t="shared" si="444"/>
        <v>0.00499981479815287</v>
      </c>
      <c r="EX253" s="117">
        <f t="shared" si="444"/>
        <v>0.00372767697799439</v>
      </c>
      <c r="EY253" s="117">
        <f t="shared" si="444"/>
        <v>0</v>
      </c>
      <c r="EZ253" s="117">
        <f t="shared" si="444"/>
        <v>0</v>
      </c>
      <c r="FA253" s="117">
        <f t="shared" si="444"/>
        <v>0</v>
      </c>
      <c r="FB253" s="117">
        <f t="shared" si="444"/>
        <v>0.00160143652020873</v>
      </c>
      <c r="FC253" s="118"/>
      <c r="FD253" s="117"/>
      <c r="FE253" s="117"/>
      <c r="FF253" s="117"/>
      <c r="FG253" s="117"/>
      <c r="FH253" s="117"/>
      <c r="FI253" s="117"/>
      <c r="FJ253" s="117"/>
      <c r="FK253" s="117" t="e">
        <f t="shared" si="211"/>
        <v>#DIV/0!</v>
      </c>
      <c r="FL253" s="117" t="e">
        <f t="shared" si="212"/>
        <v>#DIV/0!</v>
      </c>
      <c r="FM253" s="117" t="e">
        <f t="shared" si="213"/>
        <v>#DIV/0!</v>
      </c>
      <c r="FN253" s="117" t="e">
        <f t="shared" si="214"/>
        <v>#DIV/0!</v>
      </c>
      <c r="FO253" s="9" t="e">
        <f t="shared" si="215"/>
        <v>#DIV/0!</v>
      </c>
      <c r="FP253" s="118">
        <f t="shared" ref="FP253:GB253" si="445">FP41/FP$211</f>
        <v>2.24007807254049e-5</v>
      </c>
      <c r="FQ253" s="117">
        <f t="shared" si="445"/>
        <v>3.1304652401345e-5</v>
      </c>
      <c r="FR253" s="117">
        <f t="shared" si="445"/>
        <v>1.89355180800239e-5</v>
      </c>
      <c r="FS253" s="117">
        <f t="shared" si="445"/>
        <v>6.86888136558323e-5</v>
      </c>
      <c r="FT253" s="117">
        <f t="shared" si="445"/>
        <v>4.99673200325943e-6</v>
      </c>
      <c r="FU253" s="117">
        <f t="shared" si="445"/>
        <v>0</v>
      </c>
      <c r="FV253" s="117">
        <f t="shared" si="445"/>
        <v>0.0107668768874903</v>
      </c>
      <c r="FW253" s="117">
        <f t="shared" si="445"/>
        <v>0</v>
      </c>
      <c r="FX253" s="117">
        <f t="shared" si="445"/>
        <v>0</v>
      </c>
      <c r="FY253" s="117">
        <f t="shared" si="445"/>
        <v>0</v>
      </c>
      <c r="FZ253" s="117">
        <f t="shared" si="445"/>
        <v>0</v>
      </c>
      <c r="GA253" s="117">
        <f t="shared" si="445"/>
        <v>0</v>
      </c>
      <c r="GB253" s="116">
        <f t="shared" si="445"/>
        <v>0.000794194209884471</v>
      </c>
    </row>
    <row r="254" spans="1:184">
      <c r="A254" s="147" t="s">
        <v>109</v>
      </c>
      <c r="B254" s="160">
        <f t="shared" si="217"/>
        <v>-0.726342516402268</v>
      </c>
      <c r="C254" s="117">
        <f t="shared" ref="C254:AH254" si="446">C42/C$211</f>
        <v>0.000425227919140036</v>
      </c>
      <c r="D254" s="117">
        <f t="shared" si="446"/>
        <v>0.000411737869397131</v>
      </c>
      <c r="E254" s="117">
        <f t="shared" si="446"/>
        <v>0.000410387435896035</v>
      </c>
      <c r="F254" s="117">
        <f t="shared" si="446"/>
        <v>0.000400504799823654</v>
      </c>
      <c r="G254" s="117">
        <f t="shared" si="446"/>
        <v>0.000292960473264819</v>
      </c>
      <c r="H254" s="117">
        <f t="shared" si="446"/>
        <v>0.000235697207971264</v>
      </c>
      <c r="I254" s="117">
        <f t="shared" si="446"/>
        <v>0.00129659967161732</v>
      </c>
      <c r="J254" s="117">
        <f t="shared" si="446"/>
        <v>0.000949418583063306</v>
      </c>
      <c r="K254" s="117">
        <f t="shared" si="446"/>
        <v>0.00116292850535882</v>
      </c>
      <c r="L254" s="117">
        <f t="shared" si="446"/>
        <v>0.000452831178945564</v>
      </c>
      <c r="M254" s="117">
        <f t="shared" si="446"/>
        <v>0.000198271376014986</v>
      </c>
      <c r="N254" s="117">
        <f t="shared" si="446"/>
        <v>6.50474232584347e-5</v>
      </c>
      <c r="O254" s="9">
        <f t="shared" si="446"/>
        <v>0.000526437872346891</v>
      </c>
      <c r="P254" s="117">
        <f t="shared" si="446"/>
        <v>0.000209051394104666</v>
      </c>
      <c r="Q254" s="117">
        <f t="shared" si="446"/>
        <v>0.000175791961573416</v>
      </c>
      <c r="R254" s="117">
        <f t="shared" si="446"/>
        <v>0.000194349562464418</v>
      </c>
      <c r="S254" s="117">
        <f t="shared" si="446"/>
        <v>0.000312825730464103</v>
      </c>
      <c r="T254" s="117">
        <f t="shared" si="446"/>
        <v>0.000189225993285398</v>
      </c>
      <c r="U254" s="117">
        <f t="shared" si="446"/>
        <v>6.70193510523097e-5</v>
      </c>
      <c r="V254" s="117">
        <f t="shared" si="446"/>
        <v>0.000362204216129044</v>
      </c>
      <c r="W254" s="117">
        <f t="shared" si="446"/>
        <v>0.00053922042949932</v>
      </c>
      <c r="X254" s="117">
        <f t="shared" si="446"/>
        <v>0.000544726879366183</v>
      </c>
      <c r="Y254" s="117">
        <f t="shared" si="446"/>
        <v>0.000259335169582655</v>
      </c>
      <c r="Z254" s="117">
        <f t="shared" si="446"/>
        <v>0.000129544304327376</v>
      </c>
      <c r="AA254" s="117">
        <f t="shared" si="446"/>
        <v>0</v>
      </c>
      <c r="AB254" s="9">
        <f t="shared" si="446"/>
        <v>0.00025333410257157</v>
      </c>
      <c r="AC254" s="117">
        <f t="shared" si="446"/>
        <v>0.000543059622260887</v>
      </c>
      <c r="AD254" s="117">
        <f t="shared" si="446"/>
        <v>0.000575209446594164</v>
      </c>
      <c r="AE254" s="117">
        <f t="shared" si="446"/>
        <v>0.000207381505047228</v>
      </c>
      <c r="AF254" s="117">
        <f t="shared" si="446"/>
        <v>0.000139724380664593</v>
      </c>
      <c r="AG254" s="117">
        <f t="shared" si="446"/>
        <v>0.000163994533083938</v>
      </c>
      <c r="AH254" s="117">
        <f t="shared" si="446"/>
        <v>2.52167429305638e-5</v>
      </c>
      <c r="AI254" s="117">
        <f t="shared" ref="AI254:BN254" si="447">AI42/AI$211</f>
        <v>0.000184172317462096</v>
      </c>
      <c r="AJ254" s="117">
        <f t="shared" si="447"/>
        <v>0.000136197415567839</v>
      </c>
      <c r="AK254" s="117">
        <f t="shared" si="447"/>
        <v>0.000167977464993815</v>
      </c>
      <c r="AL254" s="117">
        <f t="shared" si="447"/>
        <v>0.000291052708171765</v>
      </c>
      <c r="AM254" s="117">
        <f t="shared" si="447"/>
        <v>0.000187104634880226</v>
      </c>
      <c r="AN254" s="117">
        <f t="shared" si="447"/>
        <v>0</v>
      </c>
      <c r="AO254" s="9">
        <f t="shared" si="447"/>
        <v>0.000217309687794973</v>
      </c>
      <c r="AP254" s="144">
        <f t="shared" si="447"/>
        <v>0.000473431249482602</v>
      </c>
      <c r="AQ254" s="144">
        <f t="shared" si="447"/>
        <v>0.000644403631211138</v>
      </c>
      <c r="AR254" s="144">
        <f t="shared" si="447"/>
        <v>0.00052486007456692</v>
      </c>
      <c r="AS254" s="144">
        <f t="shared" si="447"/>
        <v>0.000541953246471565</v>
      </c>
      <c r="AT254" s="144">
        <f t="shared" si="447"/>
        <v>0.000471655288727114</v>
      </c>
      <c r="AU254" s="144">
        <f t="shared" si="447"/>
        <v>0.000373987909943657</v>
      </c>
      <c r="AV254" s="144">
        <f t="shared" si="447"/>
        <v>0.001601373680295</v>
      </c>
      <c r="AW254" s="144">
        <f t="shared" si="447"/>
        <v>0.00101911477459041</v>
      </c>
      <c r="AX254" s="144">
        <f t="shared" si="447"/>
        <v>0.00120906747108245</v>
      </c>
      <c r="AY254" s="144">
        <f t="shared" si="447"/>
        <v>0.000668139372605509</v>
      </c>
      <c r="AZ254" s="144">
        <f t="shared" si="447"/>
        <v>0.000441950165760268</v>
      </c>
      <c r="BA254" s="144">
        <f t="shared" si="447"/>
        <v>0.000180233682248747</v>
      </c>
      <c r="BB254" s="9">
        <f t="shared" si="447"/>
        <v>0.00068729716659757</v>
      </c>
      <c r="BC254" s="144">
        <f t="shared" si="447"/>
        <v>0.000361645151251542</v>
      </c>
      <c r="BD254" s="144">
        <f t="shared" si="447"/>
        <v>0.000268186925314059</v>
      </c>
      <c r="BE254" s="144">
        <f t="shared" si="447"/>
        <v>0.000274336237146157</v>
      </c>
      <c r="BF254" s="144">
        <f t="shared" si="447"/>
        <v>0.000256602119477947</v>
      </c>
      <c r="BG254" s="144">
        <f t="shared" si="447"/>
        <v>0.000142252985077562</v>
      </c>
      <c r="BH254" s="144">
        <f t="shared" si="447"/>
        <v>7.85340510574173e-5</v>
      </c>
      <c r="BI254" s="144">
        <f t="shared" si="447"/>
        <v>0.0010751445979749</v>
      </c>
      <c r="BJ254" s="144">
        <f t="shared" si="447"/>
        <v>0.000955216385436268</v>
      </c>
      <c r="BK254" s="144">
        <f t="shared" si="447"/>
        <v>0.00153017553280237</v>
      </c>
      <c r="BL254" s="144">
        <f t="shared" si="447"/>
        <v>0.000635320668553479</v>
      </c>
      <c r="BM254" s="144">
        <f t="shared" si="447"/>
        <v>0.000326125316786475</v>
      </c>
      <c r="BN254" s="144">
        <f t="shared" si="447"/>
        <v>4.74787937899814e-5</v>
      </c>
      <c r="BO254" s="9">
        <f t="shared" ref="BO254:CT254" si="448">BO42/BO$211</f>
        <v>0.000512216063326017</v>
      </c>
      <c r="BP254" s="144">
        <f t="shared" si="448"/>
        <v>0.000395941842616502</v>
      </c>
      <c r="BQ254" s="144">
        <f t="shared" si="448"/>
        <v>0.000371490564755623</v>
      </c>
      <c r="BR254" s="144">
        <f t="shared" si="448"/>
        <v>0.000491308588494523</v>
      </c>
      <c r="BS254" s="144">
        <f t="shared" si="448"/>
        <v>0.000492877706195031</v>
      </c>
      <c r="BT254" s="144">
        <f t="shared" si="448"/>
        <v>0.000375793182032566</v>
      </c>
      <c r="BU254" s="144">
        <f t="shared" si="448"/>
        <v>0.000202985807804239</v>
      </c>
      <c r="BV254" s="144">
        <f t="shared" si="448"/>
        <v>0.000972419747100547</v>
      </c>
      <c r="BW254" s="144">
        <f t="shared" si="448"/>
        <v>0.00167625543882255</v>
      </c>
      <c r="BX254" s="144">
        <f t="shared" si="448"/>
        <v>0.00231781365913978</v>
      </c>
      <c r="BY254" s="144">
        <f t="shared" si="448"/>
        <v>0.000491952235999765</v>
      </c>
      <c r="BZ254" s="144">
        <f t="shared" si="448"/>
        <v>6.94869772929536e-5</v>
      </c>
      <c r="CA254" s="144">
        <f t="shared" si="448"/>
        <v>8.06003660594699e-5</v>
      </c>
      <c r="CB254" s="9">
        <f t="shared" si="448"/>
        <v>0.00064896333321667</v>
      </c>
      <c r="CC254" s="144">
        <f t="shared" si="448"/>
        <v>0.000556905288593963</v>
      </c>
      <c r="CD254" s="144">
        <f t="shared" si="448"/>
        <v>0.00101243423515082</v>
      </c>
      <c r="CE254" s="144">
        <f t="shared" si="448"/>
        <v>0.000361455022032565</v>
      </c>
      <c r="CF254" s="144">
        <f t="shared" si="448"/>
        <v>0.000188993602438909</v>
      </c>
      <c r="CG254" s="144">
        <f t="shared" si="448"/>
        <v>0.000145071381728502</v>
      </c>
      <c r="CH254" s="144">
        <f t="shared" si="448"/>
        <v>0.000738666387567564</v>
      </c>
      <c r="CI254" s="144">
        <f t="shared" si="448"/>
        <v>0.0018730598823568</v>
      </c>
      <c r="CJ254" s="144">
        <f t="shared" si="448"/>
        <v>0.00310966545295818</v>
      </c>
      <c r="CK254" s="144">
        <f t="shared" si="448"/>
        <v>0.00341507387508318</v>
      </c>
      <c r="CL254" s="144">
        <f t="shared" si="448"/>
        <v>0.00182683681078923</v>
      </c>
      <c r="CM254" s="144">
        <f t="shared" si="448"/>
        <v>0.000793973455071067</v>
      </c>
      <c r="CN254" s="144">
        <f t="shared" si="448"/>
        <v>0</v>
      </c>
      <c r="CO254" s="9">
        <f t="shared" si="448"/>
        <v>0.00120470770543485</v>
      </c>
      <c r="CP254" s="144">
        <f t="shared" si="448"/>
        <v>0.000621569596987314</v>
      </c>
      <c r="CQ254" s="144">
        <f t="shared" si="448"/>
        <v>0.000441617214529688</v>
      </c>
      <c r="CR254" s="144">
        <f t="shared" si="448"/>
        <v>0.000468066991998108</v>
      </c>
      <c r="CS254" s="144">
        <f t="shared" si="448"/>
        <v>0.000352205365155626</v>
      </c>
      <c r="CT254" s="144">
        <f t="shared" si="448"/>
        <v>0.000270617560782056</v>
      </c>
      <c r="CU254" s="144">
        <f t="shared" ref="CU254:EB254" si="449">CU42/CU$211</f>
        <v>0.000205553163763322</v>
      </c>
      <c r="CV254" s="144">
        <f t="shared" si="449"/>
        <v>0.00184558700013236</v>
      </c>
      <c r="CW254" s="144">
        <f t="shared" si="449"/>
        <v>0.00118618077093607</v>
      </c>
      <c r="CX254" s="144">
        <f t="shared" si="449"/>
        <v>0.00151395019612695</v>
      </c>
      <c r="CY254" s="144">
        <f t="shared" si="449"/>
        <v>0.000521811272857809</v>
      </c>
      <c r="CZ254" s="144">
        <f t="shared" si="449"/>
        <v>0.000363926644823409</v>
      </c>
      <c r="DA254" s="144">
        <f t="shared" si="449"/>
        <v>4.68767578784204e-5</v>
      </c>
      <c r="DB254" s="9">
        <f t="shared" si="449"/>
        <v>0.000654581023842071</v>
      </c>
      <c r="DC254" s="144">
        <f t="shared" si="449"/>
        <v>0.000288703360666762</v>
      </c>
      <c r="DD254" s="144">
        <f t="shared" si="449"/>
        <v>0.000270886242111398</v>
      </c>
      <c r="DE254" s="144">
        <f t="shared" si="449"/>
        <v>0.00019564822753338</v>
      </c>
      <c r="DF254" s="144">
        <f t="shared" si="449"/>
        <v>0.000395435850665937</v>
      </c>
      <c r="DG254" s="144">
        <f t="shared" si="449"/>
        <v>0.000115913020045314</v>
      </c>
      <c r="DH254" s="144">
        <f t="shared" si="449"/>
        <v>0.000455836022349912</v>
      </c>
      <c r="DI254" s="144">
        <f t="shared" si="449"/>
        <v>0.000293062177671423</v>
      </c>
      <c r="DJ254" s="144">
        <f t="shared" si="449"/>
        <v>0.000143122002518809</v>
      </c>
      <c r="DK254" s="144">
        <f t="shared" si="449"/>
        <v>0.00233027635956434</v>
      </c>
      <c r="DL254" s="144">
        <f t="shared" si="449"/>
        <v>0.00176217116993601</v>
      </c>
      <c r="DM254" s="144">
        <f t="shared" si="449"/>
        <v>0.00105847826260526</v>
      </c>
      <c r="DN254" s="144">
        <f t="shared" si="449"/>
        <v>0.000414861982585445</v>
      </c>
      <c r="DO254" s="9">
        <f t="shared" si="449"/>
        <v>0.000611186043978019</v>
      </c>
      <c r="DP254" s="144">
        <f t="shared" si="449"/>
        <v>0.000893928068990322</v>
      </c>
      <c r="DQ254" s="144">
        <f t="shared" si="449"/>
        <v>0.000867013844304318</v>
      </c>
      <c r="DR254" s="144">
        <f t="shared" si="449"/>
        <v>0.000765714541140608</v>
      </c>
      <c r="DS254" s="144">
        <f t="shared" si="449"/>
        <v>0.000496789845919748</v>
      </c>
      <c r="DT254" s="144">
        <f t="shared" si="449"/>
        <v>0.000158823345972126</v>
      </c>
      <c r="DU254" s="144">
        <f t="shared" si="449"/>
        <v>0.000311201670559372</v>
      </c>
      <c r="DV254" s="144">
        <f t="shared" si="449"/>
        <v>0.00173003921170463</v>
      </c>
      <c r="DW254" s="144">
        <f t="shared" si="449"/>
        <v>0.00237294640639512</v>
      </c>
      <c r="DX254" s="144">
        <f t="shared" si="449"/>
        <v>0.00144905219605236</v>
      </c>
      <c r="DY254" s="144">
        <f t="shared" si="449"/>
        <v>0.000727202835465112</v>
      </c>
      <c r="DZ254" s="144">
        <f t="shared" si="449"/>
        <v>0</v>
      </c>
      <c r="EA254" s="144">
        <f t="shared" si="449"/>
        <v>0</v>
      </c>
      <c r="EB254" s="117">
        <f t="shared" si="449"/>
        <v>0.00082999434981285</v>
      </c>
      <c r="EC254" s="118"/>
      <c r="ED254" s="117">
        <f t="shared" ref="ED254:FB254" si="450">ED42/ED$211</f>
        <v>0</v>
      </c>
      <c r="EE254" s="117">
        <f t="shared" si="450"/>
        <v>0</v>
      </c>
      <c r="EF254" s="117">
        <f t="shared" si="450"/>
        <v>0</v>
      </c>
      <c r="EG254" s="117" t="e">
        <f t="shared" si="450"/>
        <v>#DIV/0!</v>
      </c>
      <c r="EH254" s="117" t="e">
        <f t="shared" si="450"/>
        <v>#DIV/0!</v>
      </c>
      <c r="EI254" s="117" t="e">
        <f t="shared" si="450"/>
        <v>#DIV/0!</v>
      </c>
      <c r="EJ254" s="117" t="e">
        <f t="shared" si="450"/>
        <v>#DIV/0!</v>
      </c>
      <c r="EK254" s="117" t="e">
        <f t="shared" si="450"/>
        <v>#DIV/0!</v>
      </c>
      <c r="EL254" s="117" t="e">
        <f t="shared" si="450"/>
        <v>#DIV/0!</v>
      </c>
      <c r="EM254" s="117" t="e">
        <f t="shared" si="450"/>
        <v>#DIV/0!</v>
      </c>
      <c r="EN254" s="117" t="e">
        <f t="shared" si="450"/>
        <v>#DIV/0!</v>
      </c>
      <c r="EO254" s="116">
        <f t="shared" si="450"/>
        <v>0.000242532325116697</v>
      </c>
      <c r="EP254" s="117">
        <f t="shared" si="450"/>
        <v>0.00267990616095907</v>
      </c>
      <c r="EQ254" s="117">
        <f t="shared" si="450"/>
        <v>0.00194947933863497</v>
      </c>
      <c r="ER254" s="117">
        <f t="shared" si="450"/>
        <v>0.00161237719113803</v>
      </c>
      <c r="ES254" s="117">
        <f t="shared" si="450"/>
        <v>0.000998002951959126</v>
      </c>
      <c r="ET254" s="117">
        <f t="shared" si="450"/>
        <v>0.00195241683121444</v>
      </c>
      <c r="EU254" s="117">
        <f t="shared" si="450"/>
        <v>0.00118171035658898</v>
      </c>
      <c r="EV254" s="117">
        <f t="shared" si="450"/>
        <v>0.00144216154830311</v>
      </c>
      <c r="EW254" s="117">
        <f t="shared" si="450"/>
        <v>0.00275926869777008</v>
      </c>
      <c r="EX254" s="117">
        <f t="shared" si="450"/>
        <v>0.00331672866436377</v>
      </c>
      <c r="EY254" s="117">
        <f t="shared" si="450"/>
        <v>0.000980351018763289</v>
      </c>
      <c r="EZ254" s="117">
        <f t="shared" si="450"/>
        <v>0.000603613715554987</v>
      </c>
      <c r="FA254" s="117">
        <f t="shared" si="450"/>
        <v>0</v>
      </c>
      <c r="FB254" s="117">
        <f t="shared" si="450"/>
        <v>0.00160300352372897</v>
      </c>
      <c r="FC254" s="118"/>
      <c r="FD254" s="117"/>
      <c r="FE254" s="117"/>
      <c r="FF254" s="117"/>
      <c r="FG254" s="117"/>
      <c r="FH254" s="117"/>
      <c r="FI254" s="117"/>
      <c r="FJ254" s="117"/>
      <c r="FK254" s="117" t="e">
        <f t="shared" si="211"/>
        <v>#DIV/0!</v>
      </c>
      <c r="FL254" s="117" t="e">
        <f t="shared" si="212"/>
        <v>#DIV/0!</v>
      </c>
      <c r="FM254" s="117" t="e">
        <f t="shared" si="213"/>
        <v>#DIV/0!</v>
      </c>
      <c r="FN254" s="117" t="e">
        <f t="shared" si="214"/>
        <v>#DIV/0!</v>
      </c>
      <c r="FO254" s="9" t="e">
        <f t="shared" si="215"/>
        <v>#DIV/0!</v>
      </c>
      <c r="FP254" s="118">
        <f t="shared" ref="FP254:GB254" si="451">FP42/FP$211</f>
        <v>0.000207657704273346</v>
      </c>
      <c r="FQ254" s="117">
        <f t="shared" si="451"/>
        <v>0.000187975067677417</v>
      </c>
      <c r="FR254" s="117">
        <f t="shared" si="451"/>
        <v>0.0002765622522805</v>
      </c>
      <c r="FS254" s="117">
        <f t="shared" si="451"/>
        <v>0.0003723199348714</v>
      </c>
      <c r="FT254" s="117">
        <f t="shared" si="451"/>
        <v>0.00015679139584067</v>
      </c>
      <c r="FU254" s="117">
        <f t="shared" si="451"/>
        <v>0.000239970742783135</v>
      </c>
      <c r="FV254" s="117">
        <f t="shared" si="451"/>
        <v>0.00206054313796922</v>
      </c>
      <c r="FW254" s="117">
        <f t="shared" si="451"/>
        <v>0.000127196151571793</v>
      </c>
      <c r="FX254" s="117">
        <f t="shared" si="451"/>
        <v>0.00013952377950282</v>
      </c>
      <c r="FY254" s="117">
        <f t="shared" si="451"/>
        <v>0.000111072531775733</v>
      </c>
      <c r="FZ254" s="117">
        <f t="shared" si="451"/>
        <v>0.000101864446405117</v>
      </c>
      <c r="GA254" s="117">
        <f t="shared" si="451"/>
        <v>9.67757077552819e-5</v>
      </c>
      <c r="GB254" s="116">
        <f t="shared" si="451"/>
        <v>0.000317629056643719</v>
      </c>
    </row>
    <row r="255" spans="1:184">
      <c r="A255" s="147" t="s">
        <v>111</v>
      </c>
      <c r="B255" s="160">
        <f t="shared" si="217"/>
        <v>-0.424382600896701</v>
      </c>
      <c r="C255" s="117">
        <f t="shared" ref="C255:AH255" si="452">C43/C$211</f>
        <v>0.0012166150547392</v>
      </c>
      <c r="D255" s="117">
        <f t="shared" si="452"/>
        <v>0.00205508897771636</v>
      </c>
      <c r="E255" s="117">
        <f t="shared" si="452"/>
        <v>0.00219312115277659</v>
      </c>
      <c r="F255" s="117">
        <f t="shared" si="452"/>
        <v>0.00164812152193282</v>
      </c>
      <c r="G255" s="117">
        <f t="shared" si="452"/>
        <v>0.00155865398368375</v>
      </c>
      <c r="H255" s="117">
        <f t="shared" si="452"/>
        <v>0.00124763606891626</v>
      </c>
      <c r="I255" s="117">
        <f t="shared" si="452"/>
        <v>0.00076898624569931</v>
      </c>
      <c r="J255" s="117">
        <f t="shared" si="452"/>
        <v>0.000648114230761263</v>
      </c>
      <c r="K255" s="117">
        <f t="shared" si="452"/>
        <v>0.000285821763890467</v>
      </c>
      <c r="L255" s="117">
        <f t="shared" si="452"/>
        <v>0.000507080246724216</v>
      </c>
      <c r="M255" s="117">
        <f t="shared" si="452"/>
        <v>0.000250242705801306</v>
      </c>
      <c r="N255" s="117">
        <f t="shared" si="452"/>
        <v>0.000222744816415257</v>
      </c>
      <c r="O255" s="9">
        <f t="shared" si="452"/>
        <v>0.00104668949500591</v>
      </c>
      <c r="P255" s="117">
        <f t="shared" si="452"/>
        <v>0</v>
      </c>
      <c r="Q255" s="117">
        <f t="shared" si="452"/>
        <v>0.0013277406666391</v>
      </c>
      <c r="R255" s="117">
        <f t="shared" si="452"/>
        <v>0.00295131621263961</v>
      </c>
      <c r="S255" s="117">
        <f t="shared" si="452"/>
        <v>0.00287207685634356</v>
      </c>
      <c r="T255" s="117">
        <f t="shared" si="452"/>
        <v>0.00286927976933692</v>
      </c>
      <c r="U255" s="117">
        <f t="shared" si="452"/>
        <v>0.00414381845558554</v>
      </c>
      <c r="V255" s="117">
        <f t="shared" si="452"/>
        <v>0.00237479615917369</v>
      </c>
      <c r="W255" s="117">
        <f t="shared" si="452"/>
        <v>0.00196771492122273</v>
      </c>
      <c r="X255" s="117">
        <f t="shared" si="452"/>
        <v>0.00151114744216332</v>
      </c>
      <c r="Y255" s="117">
        <f t="shared" si="452"/>
        <v>0.0015289285472547</v>
      </c>
      <c r="Z255" s="117">
        <f t="shared" si="452"/>
        <v>0.00152747493013862</v>
      </c>
      <c r="AA255" s="117">
        <f t="shared" si="452"/>
        <v>0.0016162735215809</v>
      </c>
      <c r="AB255" s="9">
        <f t="shared" si="452"/>
        <v>0.00191420627131324</v>
      </c>
      <c r="AC255" s="117">
        <f t="shared" si="452"/>
        <v>0.00290200877878854</v>
      </c>
      <c r="AD255" s="117">
        <f t="shared" si="452"/>
        <v>0.00380086643885229</v>
      </c>
      <c r="AE255" s="117">
        <f t="shared" si="452"/>
        <v>0.00800449367398123</v>
      </c>
      <c r="AF255" s="117">
        <f t="shared" si="452"/>
        <v>0.00557903204885088</v>
      </c>
      <c r="AG255" s="117">
        <f t="shared" si="452"/>
        <v>0.00524552151608125</v>
      </c>
      <c r="AH255" s="117">
        <f t="shared" si="452"/>
        <v>0.00433051877327124</v>
      </c>
      <c r="AI255" s="117">
        <f t="shared" ref="AI255:BN255" si="453">AI43/AI$211</f>
        <v>0.00387385437926435</v>
      </c>
      <c r="AJ255" s="117">
        <f t="shared" si="453"/>
        <v>0.00305241682529427</v>
      </c>
      <c r="AK255" s="117">
        <f t="shared" si="453"/>
        <v>0.000370868727142041</v>
      </c>
      <c r="AL255" s="117">
        <f t="shared" si="453"/>
        <v>0.000381315889819971</v>
      </c>
      <c r="AM255" s="117">
        <f t="shared" si="453"/>
        <v>0.00039220920931855</v>
      </c>
      <c r="AN255" s="117">
        <f t="shared" si="453"/>
        <v>0</v>
      </c>
      <c r="AO255" s="9">
        <f t="shared" si="453"/>
        <v>0.00289849192524007</v>
      </c>
      <c r="AP255" s="144">
        <f t="shared" si="453"/>
        <v>0.00208389607473531</v>
      </c>
      <c r="AQ255" s="144">
        <f t="shared" si="453"/>
        <v>0.00169519862985195</v>
      </c>
      <c r="AR255" s="144">
        <f t="shared" si="453"/>
        <v>0.00413763596403472</v>
      </c>
      <c r="AS255" s="144">
        <f t="shared" si="453"/>
        <v>0.00197963969257309</v>
      </c>
      <c r="AT255" s="144">
        <f t="shared" si="453"/>
        <v>0.00138279937363965</v>
      </c>
      <c r="AU255" s="144">
        <f t="shared" si="453"/>
        <v>0.000376958506872817</v>
      </c>
      <c r="AV255" s="144">
        <f t="shared" si="453"/>
        <v>0.000310705895087115</v>
      </c>
      <c r="AW255" s="144">
        <f t="shared" si="453"/>
        <v>0.000273747618284139</v>
      </c>
      <c r="AX255" s="144">
        <f t="shared" si="453"/>
        <v>0.000204307727766585</v>
      </c>
      <c r="AY255" s="144">
        <f t="shared" si="453"/>
        <v>0</v>
      </c>
      <c r="AZ255" s="144">
        <f t="shared" si="453"/>
        <v>0</v>
      </c>
      <c r="BA255" s="144">
        <f t="shared" si="453"/>
        <v>0</v>
      </c>
      <c r="BB255" s="9">
        <f t="shared" si="453"/>
        <v>0.000988857378121149</v>
      </c>
      <c r="BC255" s="144">
        <f t="shared" si="453"/>
        <v>0.000226040604651497</v>
      </c>
      <c r="BD255" s="144">
        <f t="shared" si="453"/>
        <v>0.00181624318432295</v>
      </c>
      <c r="BE255" s="144">
        <f t="shared" si="453"/>
        <v>0.00229146340972674</v>
      </c>
      <c r="BF255" s="144">
        <f t="shared" si="453"/>
        <v>0.00111018247363983</v>
      </c>
      <c r="BG255" s="144">
        <f t="shared" si="453"/>
        <v>0.000760130688349527</v>
      </c>
      <c r="BH255" s="144">
        <f t="shared" si="453"/>
        <v>0.000783690227671854</v>
      </c>
      <c r="BI255" s="144">
        <f t="shared" si="453"/>
        <v>0</v>
      </c>
      <c r="BJ255" s="144">
        <f t="shared" si="453"/>
        <v>0</v>
      </c>
      <c r="BK255" s="144">
        <f t="shared" si="453"/>
        <v>0</v>
      </c>
      <c r="BL255" s="144">
        <f t="shared" si="453"/>
        <v>0</v>
      </c>
      <c r="BM255" s="144">
        <f t="shared" si="453"/>
        <v>0</v>
      </c>
      <c r="BN255" s="144">
        <f t="shared" si="453"/>
        <v>0</v>
      </c>
      <c r="BO255" s="9">
        <f t="shared" ref="BO255:CT255" si="454">BO43/BO$211</f>
        <v>0.000552953671673932</v>
      </c>
      <c r="BP255" s="144">
        <f t="shared" si="454"/>
        <v>0.00185441196284442</v>
      </c>
      <c r="BQ255" s="144">
        <f t="shared" si="454"/>
        <v>0.0015211612067558</v>
      </c>
      <c r="BR255" s="144">
        <f t="shared" si="454"/>
        <v>0.000212607002442852</v>
      </c>
      <c r="BS255" s="144">
        <f t="shared" si="454"/>
        <v>1.04832042252247e-5</v>
      </c>
      <c r="BT255" s="144">
        <f t="shared" si="454"/>
        <v>1.57023282204808e-5</v>
      </c>
      <c r="BU255" s="144">
        <f t="shared" si="454"/>
        <v>0</v>
      </c>
      <c r="BV255" s="144">
        <f t="shared" si="454"/>
        <v>0</v>
      </c>
      <c r="BW255" s="144">
        <f t="shared" si="454"/>
        <v>0</v>
      </c>
      <c r="BX255" s="144">
        <f t="shared" si="454"/>
        <v>0</v>
      </c>
      <c r="BY255" s="144">
        <f t="shared" si="454"/>
        <v>0</v>
      </c>
      <c r="BZ255" s="144">
        <f t="shared" si="454"/>
        <v>0</v>
      </c>
      <c r="CA255" s="144">
        <f t="shared" si="454"/>
        <v>0</v>
      </c>
      <c r="CB255" s="9">
        <f t="shared" si="454"/>
        <v>0.000438565122192871</v>
      </c>
      <c r="CC255" s="144">
        <f t="shared" si="454"/>
        <v>0</v>
      </c>
      <c r="CD255" s="144">
        <f t="shared" si="454"/>
        <v>0.000744296798920363</v>
      </c>
      <c r="CE255" s="144">
        <f t="shared" si="454"/>
        <v>0.00106443713464201</v>
      </c>
      <c r="CF255" s="144">
        <f t="shared" si="454"/>
        <v>0.00154764524367903</v>
      </c>
      <c r="CG255" s="144">
        <f t="shared" si="454"/>
        <v>0.00200234539155405</v>
      </c>
      <c r="CH255" s="144">
        <f t="shared" si="454"/>
        <v>0.000338737033031053</v>
      </c>
      <c r="CI255" s="144">
        <f t="shared" si="454"/>
        <v>0</v>
      </c>
      <c r="CJ255" s="144">
        <f t="shared" si="454"/>
        <v>0</v>
      </c>
      <c r="CK255" s="144">
        <f t="shared" si="454"/>
        <v>0</v>
      </c>
      <c r="CL255" s="144">
        <f t="shared" si="454"/>
        <v>0</v>
      </c>
      <c r="CM255" s="144">
        <f t="shared" si="454"/>
        <v>0</v>
      </c>
      <c r="CN255" s="144">
        <f t="shared" si="454"/>
        <v>0</v>
      </c>
      <c r="CO255" s="9">
        <f t="shared" si="454"/>
        <v>0.000435152643339196</v>
      </c>
      <c r="CP255" s="144">
        <f t="shared" si="454"/>
        <v>0.00111462927419895</v>
      </c>
      <c r="CQ255" s="144">
        <f t="shared" si="454"/>
        <v>0.00189399488014404</v>
      </c>
      <c r="CR255" s="144">
        <f t="shared" si="454"/>
        <v>0.00184760098843836</v>
      </c>
      <c r="CS255" s="144">
        <f t="shared" si="454"/>
        <v>0.00114400341538863</v>
      </c>
      <c r="CT255" s="144">
        <f t="shared" si="454"/>
        <v>0.000837791819958926</v>
      </c>
      <c r="CU255" s="144">
        <f t="shared" ref="CU255:EB255" si="455">CU43/CU$211</f>
        <v>0.000626607435420765</v>
      </c>
      <c r="CV255" s="144">
        <f t="shared" si="455"/>
        <v>0.000580650198187513</v>
      </c>
      <c r="CW255" s="144">
        <f t="shared" si="455"/>
        <v>0.000503371949650937</v>
      </c>
      <c r="CX255" s="144">
        <f t="shared" si="455"/>
        <v>0.000147929049137729</v>
      </c>
      <c r="CY255" s="144">
        <f t="shared" si="455"/>
        <v>0.000155082460131466</v>
      </c>
      <c r="CZ255" s="144">
        <f t="shared" si="455"/>
        <v>0.000139893807759416</v>
      </c>
      <c r="DA255" s="144">
        <f t="shared" si="455"/>
        <v>0.000150441688074931</v>
      </c>
      <c r="DB255" s="9">
        <f t="shared" si="455"/>
        <v>0.000807639627185481</v>
      </c>
      <c r="DC255" s="144">
        <f t="shared" si="455"/>
        <v>0.00213167493195705</v>
      </c>
      <c r="DD255" s="144">
        <f t="shared" si="455"/>
        <v>0.00282635603298819</v>
      </c>
      <c r="DE255" s="144">
        <f t="shared" si="455"/>
        <v>0.00493468520797236</v>
      </c>
      <c r="DF255" s="144">
        <f t="shared" si="455"/>
        <v>0.00286691602209915</v>
      </c>
      <c r="DG255" s="144">
        <f t="shared" si="455"/>
        <v>0.0083064600148611</v>
      </c>
      <c r="DH255" s="144">
        <f t="shared" si="455"/>
        <v>0.000683754033524868</v>
      </c>
      <c r="DI255" s="144">
        <f t="shared" si="455"/>
        <v>0.000439593266507134</v>
      </c>
      <c r="DJ255" s="144">
        <f t="shared" si="455"/>
        <v>0.000214683003778213</v>
      </c>
      <c r="DK255" s="144">
        <f t="shared" si="455"/>
        <v>0.000214894805359289</v>
      </c>
      <c r="DL255" s="144">
        <f t="shared" si="455"/>
        <v>0.000212322137471917</v>
      </c>
      <c r="DM255" s="144">
        <f t="shared" si="455"/>
        <v>0.000236104526249234</v>
      </c>
      <c r="DN255" s="144">
        <f t="shared" si="455"/>
        <v>0.000213977816599303</v>
      </c>
      <c r="DO255" s="9">
        <f t="shared" si="455"/>
        <v>0.00201478188761025</v>
      </c>
      <c r="DP255" s="144">
        <f t="shared" si="455"/>
        <v>0.00231461814296825</v>
      </c>
      <c r="DQ255" s="144">
        <f t="shared" si="455"/>
        <v>0.00334084408438494</v>
      </c>
      <c r="DR255" s="144">
        <f t="shared" si="455"/>
        <v>0.00274650209969309</v>
      </c>
      <c r="DS255" s="144">
        <f t="shared" si="455"/>
        <v>0.00235547187976721</v>
      </c>
      <c r="DT255" s="144">
        <f t="shared" si="455"/>
        <v>0.00195022787165449</v>
      </c>
      <c r="DU255" s="144">
        <f t="shared" si="455"/>
        <v>0.00119182065671542</v>
      </c>
      <c r="DV255" s="144">
        <f t="shared" si="455"/>
        <v>0.000281600471471337</v>
      </c>
      <c r="DW255" s="144">
        <f t="shared" si="455"/>
        <v>5.05261978564718e-5</v>
      </c>
      <c r="DX255" s="144">
        <f t="shared" si="455"/>
        <v>0</v>
      </c>
      <c r="DY255" s="144">
        <f t="shared" si="455"/>
        <v>0</v>
      </c>
      <c r="DZ255" s="144">
        <f t="shared" si="455"/>
        <v>0</v>
      </c>
      <c r="EA255" s="144">
        <f t="shared" si="455"/>
        <v>0</v>
      </c>
      <c r="EB255" s="117">
        <f t="shared" si="455"/>
        <v>0.00130053478132314</v>
      </c>
      <c r="EC255" s="118"/>
      <c r="ED255" s="117">
        <f t="shared" ref="ED255:FB255" si="456">ED43/ED$211</f>
        <v>0</v>
      </c>
      <c r="EE255" s="117">
        <f t="shared" si="456"/>
        <v>0</v>
      </c>
      <c r="EF255" s="117">
        <f t="shared" si="456"/>
        <v>0</v>
      </c>
      <c r="EG255" s="117" t="e">
        <f t="shared" si="456"/>
        <v>#DIV/0!</v>
      </c>
      <c r="EH255" s="117" t="e">
        <f t="shared" si="456"/>
        <v>#DIV/0!</v>
      </c>
      <c r="EI255" s="117" t="e">
        <f t="shared" si="456"/>
        <v>#DIV/0!</v>
      </c>
      <c r="EJ255" s="117" t="e">
        <f t="shared" si="456"/>
        <v>#DIV/0!</v>
      </c>
      <c r="EK255" s="117" t="e">
        <f t="shared" si="456"/>
        <v>#DIV/0!</v>
      </c>
      <c r="EL255" s="117" t="e">
        <f t="shared" si="456"/>
        <v>#DIV/0!</v>
      </c>
      <c r="EM255" s="117" t="e">
        <f t="shared" si="456"/>
        <v>#DIV/0!</v>
      </c>
      <c r="EN255" s="117" t="e">
        <f t="shared" si="456"/>
        <v>#DIV/0!</v>
      </c>
      <c r="EO255" s="116">
        <f t="shared" si="456"/>
        <v>0</v>
      </c>
      <c r="EP255" s="117">
        <f t="shared" si="456"/>
        <v>0.0102336598599127</v>
      </c>
      <c r="EQ255" s="117">
        <f t="shared" si="456"/>
        <v>0.00266944035939137</v>
      </c>
      <c r="ER255" s="117">
        <f t="shared" si="456"/>
        <v>0.00257459652380221</v>
      </c>
      <c r="ES255" s="117">
        <f t="shared" si="456"/>
        <v>0.00391390305646226</v>
      </c>
      <c r="ET255" s="117">
        <f t="shared" si="456"/>
        <v>0.00263488522794031</v>
      </c>
      <c r="EU255" s="117">
        <f t="shared" si="456"/>
        <v>0.00052084410613648</v>
      </c>
      <c r="EV255" s="117">
        <f t="shared" si="456"/>
        <v>0.000656231040015737</v>
      </c>
      <c r="EW255" s="117">
        <f t="shared" si="456"/>
        <v>0.000416651233179406</v>
      </c>
      <c r="EX255" s="117">
        <f t="shared" si="456"/>
        <v>0.000364097615454867</v>
      </c>
      <c r="EY255" s="117">
        <f t="shared" si="456"/>
        <v>0</v>
      </c>
      <c r="EZ255" s="117">
        <f t="shared" si="456"/>
        <v>0</v>
      </c>
      <c r="FA255" s="117">
        <f t="shared" si="456"/>
        <v>0</v>
      </c>
      <c r="FB255" s="117">
        <f t="shared" si="456"/>
        <v>0.00175488941037408</v>
      </c>
      <c r="FC255" s="118"/>
      <c r="FD255" s="117"/>
      <c r="FE255" s="117"/>
      <c r="FF255" s="117"/>
      <c r="FG255" s="117"/>
      <c r="FH255" s="117"/>
      <c r="FI255" s="117"/>
      <c r="FJ255" s="117"/>
      <c r="FK255" s="117" t="e">
        <f t="shared" si="211"/>
        <v>#DIV/0!</v>
      </c>
      <c r="FL255" s="117" t="e">
        <f t="shared" si="212"/>
        <v>#DIV/0!</v>
      </c>
      <c r="FM255" s="117" t="e">
        <f t="shared" si="213"/>
        <v>#DIV/0!</v>
      </c>
      <c r="FN255" s="117" t="e">
        <f t="shared" si="214"/>
        <v>#DIV/0!</v>
      </c>
      <c r="FO255" s="9" t="e">
        <f t="shared" si="215"/>
        <v>#DIV/0!</v>
      </c>
      <c r="FP255" s="118">
        <f t="shared" ref="FP255:GB255" si="457">FP43/FP$211</f>
        <v>0.000281675715328608</v>
      </c>
      <c r="FQ255" s="117">
        <f t="shared" si="457"/>
        <v>0.00221599861494177</v>
      </c>
      <c r="FR255" s="117">
        <f t="shared" si="457"/>
        <v>0.000988468857842692</v>
      </c>
      <c r="FS255" s="117">
        <f t="shared" si="457"/>
        <v>0.000660394110231842</v>
      </c>
      <c r="FT255" s="117">
        <f t="shared" si="457"/>
        <v>0.000607869461794929</v>
      </c>
      <c r="FU255" s="117">
        <f t="shared" si="457"/>
        <v>2.15023040326536e-5</v>
      </c>
      <c r="FV255" s="117">
        <f t="shared" si="457"/>
        <v>8.88248490596923e-6</v>
      </c>
      <c r="FW255" s="117">
        <f t="shared" si="457"/>
        <v>7.47674115525172e-6</v>
      </c>
      <c r="FX255" s="117">
        <f t="shared" si="457"/>
        <v>8.44032740202244e-6</v>
      </c>
      <c r="FY255" s="117">
        <f t="shared" si="457"/>
        <v>0.00107257757442587</v>
      </c>
      <c r="FZ255" s="117">
        <f t="shared" si="457"/>
        <v>7.21294490440857e-6</v>
      </c>
      <c r="GA255" s="117">
        <f t="shared" si="457"/>
        <v>6.85261514452141e-6</v>
      </c>
      <c r="GB255" s="116">
        <f t="shared" si="457"/>
        <v>0.000515328244705857</v>
      </c>
    </row>
    <row r="256" spans="1:184">
      <c r="A256" s="147" t="s">
        <v>113</v>
      </c>
      <c r="B256" s="160">
        <f t="shared" si="217"/>
        <v>0.161209783185092</v>
      </c>
      <c r="C256" s="117">
        <f t="shared" ref="C256:AH256" si="458">C44/C$211</f>
        <v>0.003327091372998</v>
      </c>
      <c r="D256" s="117">
        <f t="shared" si="458"/>
        <v>0.00379266677032895</v>
      </c>
      <c r="E256" s="117">
        <f t="shared" si="458"/>
        <v>0.00266689579598235</v>
      </c>
      <c r="F256" s="117">
        <f t="shared" si="458"/>
        <v>0.00276323932825915</v>
      </c>
      <c r="G256" s="117">
        <f t="shared" si="458"/>
        <v>0.00265969429123129</v>
      </c>
      <c r="H256" s="117">
        <f t="shared" si="458"/>
        <v>0.00797297310523786</v>
      </c>
      <c r="I256" s="117">
        <f t="shared" si="458"/>
        <v>0.00634331360438199</v>
      </c>
      <c r="J256" s="117">
        <f t="shared" si="458"/>
        <v>0.00290743883871138</v>
      </c>
      <c r="K256" s="117">
        <f t="shared" si="458"/>
        <v>0.00159005264020068</v>
      </c>
      <c r="L256" s="117">
        <f t="shared" si="458"/>
        <v>0.00100235797389712</v>
      </c>
      <c r="M256" s="117">
        <f t="shared" si="458"/>
        <v>0.00137761089336194</v>
      </c>
      <c r="N256" s="117">
        <f t="shared" si="458"/>
        <v>0.000148967416175606</v>
      </c>
      <c r="O256" s="9">
        <f t="shared" si="458"/>
        <v>0.00294939839750833</v>
      </c>
      <c r="P256" s="117">
        <f t="shared" si="458"/>
        <v>0.00483813912503575</v>
      </c>
      <c r="Q256" s="117">
        <f t="shared" si="458"/>
        <v>0.0108437431437007</v>
      </c>
      <c r="R256" s="117">
        <f t="shared" si="458"/>
        <v>0.0052618889073676</v>
      </c>
      <c r="S256" s="117">
        <f t="shared" si="458"/>
        <v>0.00669252405063977</v>
      </c>
      <c r="T256" s="117">
        <f t="shared" si="458"/>
        <v>0.00539544067915549</v>
      </c>
      <c r="U256" s="117">
        <f t="shared" si="458"/>
        <v>0.0170233143519542</v>
      </c>
      <c r="V256" s="117">
        <f t="shared" si="458"/>
        <v>0.0118435703800119</v>
      </c>
      <c r="W256" s="117">
        <f t="shared" si="458"/>
        <v>0.00787655796393371</v>
      </c>
      <c r="X256" s="117">
        <f t="shared" si="458"/>
        <v>0.00463807536614671</v>
      </c>
      <c r="Y256" s="117">
        <f t="shared" si="458"/>
        <v>0.00366942851341129</v>
      </c>
      <c r="Z256" s="117">
        <f t="shared" si="458"/>
        <v>0.00775493393582528</v>
      </c>
      <c r="AA256" s="117">
        <f t="shared" si="458"/>
        <v>0</v>
      </c>
      <c r="AB256" s="9">
        <f t="shared" si="458"/>
        <v>0.0069364088018791</v>
      </c>
      <c r="AC256" s="117">
        <f t="shared" si="458"/>
        <v>0.0108485948001647</v>
      </c>
      <c r="AD256" s="117">
        <f t="shared" si="458"/>
        <v>0.0078598757129008</v>
      </c>
      <c r="AE256" s="117">
        <f t="shared" si="458"/>
        <v>0.00610879911447159</v>
      </c>
      <c r="AF256" s="117">
        <f t="shared" si="458"/>
        <v>0.00650411691220277</v>
      </c>
      <c r="AG256" s="117">
        <f t="shared" si="458"/>
        <v>0.00648848286786209</v>
      </c>
      <c r="AH256" s="117">
        <f t="shared" si="458"/>
        <v>0.00876281816837091</v>
      </c>
      <c r="AI256" s="117">
        <f t="shared" ref="AI256:BN256" si="459">AI44/AI$211</f>
        <v>0.00900157927625476</v>
      </c>
      <c r="AJ256" s="117">
        <f t="shared" si="459"/>
        <v>0.00535307563719163</v>
      </c>
      <c r="AK256" s="117">
        <f t="shared" si="459"/>
        <v>0.00440143484224301</v>
      </c>
      <c r="AL256" s="117">
        <f t="shared" si="459"/>
        <v>0.00285986917364978</v>
      </c>
      <c r="AM256" s="117">
        <f t="shared" si="459"/>
        <v>0.00196104604659275</v>
      </c>
      <c r="AN256" s="117">
        <f t="shared" si="459"/>
        <v>0</v>
      </c>
      <c r="AO256" s="9">
        <f t="shared" si="459"/>
        <v>0.00562504657244755</v>
      </c>
      <c r="AP256" s="144">
        <f t="shared" si="459"/>
        <v>0.00333511479012624</v>
      </c>
      <c r="AQ256" s="144">
        <f t="shared" si="459"/>
        <v>0.00396965188171935</v>
      </c>
      <c r="AR256" s="144">
        <f t="shared" si="459"/>
        <v>0.00326825759141812</v>
      </c>
      <c r="AS256" s="144">
        <f t="shared" si="459"/>
        <v>0.00231873372972934</v>
      </c>
      <c r="AT256" s="144">
        <f t="shared" si="459"/>
        <v>0.00262756917949458</v>
      </c>
      <c r="AU256" s="144">
        <f t="shared" si="459"/>
        <v>0.010601958005798</v>
      </c>
      <c r="AV256" s="144">
        <f t="shared" si="459"/>
        <v>0.00407801487301839</v>
      </c>
      <c r="AW256" s="144">
        <f t="shared" si="459"/>
        <v>0.00153983035284828</v>
      </c>
      <c r="AX256" s="144">
        <f t="shared" si="459"/>
        <v>0.00153230795824939</v>
      </c>
      <c r="AY256" s="144">
        <f t="shared" si="459"/>
        <v>0.0016399784600317</v>
      </c>
      <c r="AZ256" s="144">
        <f t="shared" si="459"/>
        <v>0.00136699758167917</v>
      </c>
      <c r="BA256" s="144">
        <f t="shared" si="459"/>
        <v>0.00128224412143127</v>
      </c>
      <c r="BB256" s="9">
        <f t="shared" si="459"/>
        <v>0.00295580033776491</v>
      </c>
      <c r="BC256" s="144">
        <f t="shared" si="459"/>
        <v>0.00279022755640067</v>
      </c>
      <c r="BD256" s="144">
        <f t="shared" si="459"/>
        <v>0.00168690769185224</v>
      </c>
      <c r="BE256" s="144">
        <f t="shared" si="459"/>
        <v>0.00188401333754564</v>
      </c>
      <c r="BF256" s="144">
        <f t="shared" si="459"/>
        <v>0.00094311570863679</v>
      </c>
      <c r="BG256" s="144">
        <f t="shared" si="459"/>
        <v>0.000691481646327508</v>
      </c>
      <c r="BH256" s="144">
        <f t="shared" si="459"/>
        <v>0.003054382425798</v>
      </c>
      <c r="BI256" s="144">
        <f t="shared" si="459"/>
        <v>0.00549395771813718</v>
      </c>
      <c r="BJ256" s="144">
        <f t="shared" si="459"/>
        <v>0.00223473331484622</v>
      </c>
      <c r="BK256" s="144">
        <f t="shared" si="459"/>
        <v>0.00119611549790924</v>
      </c>
      <c r="BL256" s="144">
        <f t="shared" si="459"/>
        <v>0.000615617921079321</v>
      </c>
      <c r="BM256" s="144">
        <f t="shared" si="459"/>
        <v>0.000293832167899022</v>
      </c>
      <c r="BN256" s="144">
        <f t="shared" si="459"/>
        <v>0</v>
      </c>
      <c r="BO256" s="9">
        <f t="shared" ref="BO256:CT256" si="460">BO44/BO$211</f>
        <v>0.00175740640278461</v>
      </c>
      <c r="BP256" s="144">
        <f t="shared" si="460"/>
        <v>0.00169001192276116</v>
      </c>
      <c r="BQ256" s="144">
        <f t="shared" si="460"/>
        <v>0.00247683792978956</v>
      </c>
      <c r="BR256" s="144">
        <f t="shared" si="460"/>
        <v>0.00224015151257259</v>
      </c>
      <c r="BS256" s="144">
        <f t="shared" si="460"/>
        <v>0.00234718972485394</v>
      </c>
      <c r="BT256" s="144">
        <f t="shared" si="460"/>
        <v>0.00215906900064663</v>
      </c>
      <c r="BU256" s="144">
        <f t="shared" si="460"/>
        <v>0.00389741244854572</v>
      </c>
      <c r="BV256" s="144">
        <f t="shared" si="460"/>
        <v>0.00377672441851797</v>
      </c>
      <c r="BW256" s="144">
        <f t="shared" si="460"/>
        <v>0.00101252263043107</v>
      </c>
      <c r="BX256" s="144">
        <f t="shared" si="460"/>
        <v>0</v>
      </c>
      <c r="BY256" s="144">
        <f t="shared" si="460"/>
        <v>0</v>
      </c>
      <c r="BZ256" s="144">
        <f t="shared" si="460"/>
        <v>0</v>
      </c>
      <c r="CA256" s="144">
        <f t="shared" si="460"/>
        <v>0</v>
      </c>
      <c r="CB256" s="9">
        <f t="shared" si="460"/>
        <v>0.00161060920551581</v>
      </c>
      <c r="CC256" s="144">
        <f t="shared" si="460"/>
        <v>0.00370303788063184</v>
      </c>
      <c r="CD256" s="144">
        <f t="shared" si="460"/>
        <v>0.00601422990713091</v>
      </c>
      <c r="CE256" s="144">
        <f t="shared" si="460"/>
        <v>0.00318902559360624</v>
      </c>
      <c r="CF256" s="144">
        <f t="shared" si="460"/>
        <v>0.00518947649248236</v>
      </c>
      <c r="CG256" s="144">
        <f t="shared" si="460"/>
        <v>0.00547444503120544</v>
      </c>
      <c r="CH256" s="144">
        <f t="shared" si="460"/>
        <v>0.00760797075105526</v>
      </c>
      <c r="CI256" s="144">
        <f t="shared" si="460"/>
        <v>0.00693179032011589</v>
      </c>
      <c r="CJ256" s="144">
        <f t="shared" si="460"/>
        <v>0.00361133340947011</v>
      </c>
      <c r="CK256" s="144">
        <f t="shared" si="460"/>
        <v>0.00337232822562432</v>
      </c>
      <c r="CL256" s="144">
        <f t="shared" si="460"/>
        <v>0.0015108388273807</v>
      </c>
      <c r="CM256" s="144">
        <f t="shared" si="460"/>
        <v>0.00156729817475613</v>
      </c>
      <c r="CN256" s="144">
        <f t="shared" si="460"/>
        <v>0.0017469596345865</v>
      </c>
      <c r="CO256" s="9">
        <f t="shared" si="460"/>
        <v>0.0041515248246765</v>
      </c>
      <c r="CP256" s="144">
        <f t="shared" si="460"/>
        <v>0.00404351754667681</v>
      </c>
      <c r="CQ256" s="144">
        <f t="shared" si="460"/>
        <v>0.00220421345523748</v>
      </c>
      <c r="CR256" s="144">
        <f t="shared" si="460"/>
        <v>0.00163606673859921</v>
      </c>
      <c r="CS256" s="144">
        <f t="shared" si="460"/>
        <v>0.00117134423168064</v>
      </c>
      <c r="CT256" s="144">
        <f t="shared" si="460"/>
        <v>0.0010162518774509</v>
      </c>
      <c r="CU256" s="144">
        <f t="shared" ref="CU256:EB256" si="461">CU44/CU$211</f>
        <v>0.00382599235298064</v>
      </c>
      <c r="CV256" s="144">
        <f t="shared" si="461"/>
        <v>0.00394722538121338</v>
      </c>
      <c r="CW256" s="144">
        <f t="shared" si="461"/>
        <v>0.00243785518216597</v>
      </c>
      <c r="CX256" s="144">
        <f t="shared" si="461"/>
        <v>0</v>
      </c>
      <c r="CY256" s="144">
        <f t="shared" si="461"/>
        <v>0</v>
      </c>
      <c r="CZ256" s="144">
        <f t="shared" si="461"/>
        <v>0</v>
      </c>
      <c r="DA256" s="144">
        <f t="shared" si="461"/>
        <v>0</v>
      </c>
      <c r="DB256" s="9">
        <f t="shared" si="461"/>
        <v>0.00178119450924798</v>
      </c>
      <c r="DC256" s="144">
        <f t="shared" si="461"/>
        <v>0.0041019979910814</v>
      </c>
      <c r="DD256" s="144">
        <f t="shared" si="461"/>
        <v>0.0115444746558087</v>
      </c>
      <c r="DE256" s="144">
        <f t="shared" si="461"/>
        <v>0.00489121229814102</v>
      </c>
      <c r="DF256" s="144">
        <f t="shared" si="461"/>
        <v>0.00523953624747124</v>
      </c>
      <c r="DG256" s="144">
        <f t="shared" si="461"/>
        <v>0.00983652680690027</v>
      </c>
      <c r="DH256" s="144">
        <f t="shared" si="461"/>
        <v>0.00486225090506573</v>
      </c>
      <c r="DI256" s="144">
        <f t="shared" si="461"/>
        <v>0.00849880315247126</v>
      </c>
      <c r="DJ256" s="144">
        <f t="shared" si="461"/>
        <v>0.000572488010075236</v>
      </c>
      <c r="DK256" s="144">
        <f t="shared" si="461"/>
        <v>0.000286526407145719</v>
      </c>
      <c r="DL256" s="144">
        <f t="shared" si="461"/>
        <v>0.000283096183295889</v>
      </c>
      <c r="DM256" s="144">
        <f t="shared" si="461"/>
        <v>0.000314806034998979</v>
      </c>
      <c r="DN256" s="144">
        <f t="shared" si="461"/>
        <v>0.000285303755465738</v>
      </c>
      <c r="DO256" s="9">
        <f t="shared" si="461"/>
        <v>0.00453090236964246</v>
      </c>
      <c r="DP256" s="144">
        <f t="shared" si="461"/>
        <v>0.00359795886915467</v>
      </c>
      <c r="DQ256" s="144">
        <f t="shared" si="461"/>
        <v>0.00474437202452998</v>
      </c>
      <c r="DR256" s="144">
        <f t="shared" si="461"/>
        <v>0.00438235504105861</v>
      </c>
      <c r="DS256" s="144">
        <f t="shared" si="461"/>
        <v>0.00333166660600722</v>
      </c>
      <c r="DT256" s="144">
        <f t="shared" si="461"/>
        <v>0.00353139873759868</v>
      </c>
      <c r="DU256" s="144">
        <f t="shared" si="461"/>
        <v>0.00862139562378927</v>
      </c>
      <c r="DV256" s="144">
        <f t="shared" si="461"/>
        <v>0.00753524020212956</v>
      </c>
      <c r="DW256" s="144">
        <f t="shared" si="461"/>
        <v>0.00507788288457542</v>
      </c>
      <c r="DX256" s="144">
        <f t="shared" si="461"/>
        <v>0.000569532540347162</v>
      </c>
      <c r="DY256" s="144">
        <f t="shared" si="461"/>
        <v>0.000304872884944361</v>
      </c>
      <c r="DZ256" s="144">
        <f t="shared" si="461"/>
        <v>0.000190345641477915</v>
      </c>
      <c r="EA256" s="144">
        <f t="shared" si="461"/>
        <v>0</v>
      </c>
      <c r="EB256" s="117">
        <f t="shared" si="461"/>
        <v>0.00352727526930605</v>
      </c>
      <c r="EC256" s="118"/>
      <c r="ED256" s="117">
        <f t="shared" ref="ED256:FB256" si="462">ED44/ED$211</f>
        <v>0.0265875764911477</v>
      </c>
      <c r="EE256" s="117">
        <f t="shared" si="462"/>
        <v>0</v>
      </c>
      <c r="EF256" s="117">
        <f t="shared" si="462"/>
        <v>0</v>
      </c>
      <c r="EG256" s="117" t="e">
        <f t="shared" si="462"/>
        <v>#DIV/0!</v>
      </c>
      <c r="EH256" s="117" t="e">
        <f t="shared" si="462"/>
        <v>#DIV/0!</v>
      </c>
      <c r="EI256" s="117" t="e">
        <f t="shared" si="462"/>
        <v>#DIV/0!</v>
      </c>
      <c r="EJ256" s="117" t="e">
        <f t="shared" si="462"/>
        <v>#DIV/0!</v>
      </c>
      <c r="EK256" s="117" t="e">
        <f t="shared" si="462"/>
        <v>#DIV/0!</v>
      </c>
      <c r="EL256" s="117" t="e">
        <f t="shared" si="462"/>
        <v>#DIV/0!</v>
      </c>
      <c r="EM256" s="117" t="e">
        <f t="shared" si="462"/>
        <v>#DIV/0!</v>
      </c>
      <c r="EN256" s="117" t="e">
        <f t="shared" si="462"/>
        <v>#DIV/0!</v>
      </c>
      <c r="EO256" s="116">
        <f t="shared" si="462"/>
        <v>0.00657311465876813</v>
      </c>
      <c r="EP256" s="117">
        <f t="shared" si="462"/>
        <v>0.00263796084285024</v>
      </c>
      <c r="EQ256" s="117">
        <f t="shared" si="462"/>
        <v>0.00272810985940212</v>
      </c>
      <c r="ER256" s="117">
        <f t="shared" si="462"/>
        <v>0.00144415463788839</v>
      </c>
      <c r="ES256" s="117">
        <f t="shared" si="462"/>
        <v>0.000974055957146497</v>
      </c>
      <c r="ET256" s="117">
        <f t="shared" si="462"/>
        <v>0.000916131403343625</v>
      </c>
      <c r="EU256" s="117">
        <f t="shared" si="462"/>
        <v>0.00284849641646041</v>
      </c>
      <c r="EV256" s="117">
        <f t="shared" si="462"/>
        <v>0.00821391268166898</v>
      </c>
      <c r="EW256" s="117">
        <f t="shared" si="462"/>
        <v>0.00650815892645962</v>
      </c>
      <c r="EX256" s="117">
        <f t="shared" si="462"/>
        <v>0.00564210325358339</v>
      </c>
      <c r="EY256" s="117">
        <f t="shared" si="462"/>
        <v>0.000188885076418539</v>
      </c>
      <c r="EZ256" s="117">
        <f t="shared" si="462"/>
        <v>0.000186078040387958</v>
      </c>
      <c r="FA256" s="117">
        <f t="shared" si="462"/>
        <v>0.000142747024493874</v>
      </c>
      <c r="FB256" s="117">
        <f t="shared" si="462"/>
        <v>0.00267304865407823</v>
      </c>
      <c r="FC256" s="118"/>
      <c r="FD256" s="117"/>
      <c r="FE256" s="117"/>
      <c r="FF256" s="117"/>
      <c r="FG256" s="117"/>
      <c r="FH256" s="117"/>
      <c r="FI256" s="117"/>
      <c r="FJ256" s="117"/>
      <c r="FK256" s="117" t="e">
        <f t="shared" si="211"/>
        <v>#DIV/0!</v>
      </c>
      <c r="FL256" s="117" t="e">
        <f t="shared" si="212"/>
        <v>#DIV/0!</v>
      </c>
      <c r="FM256" s="117" t="e">
        <f t="shared" si="213"/>
        <v>#DIV/0!</v>
      </c>
      <c r="FN256" s="117" t="e">
        <f t="shared" si="214"/>
        <v>#DIV/0!</v>
      </c>
      <c r="FO256" s="9" t="e">
        <f t="shared" si="215"/>
        <v>#DIV/0!</v>
      </c>
      <c r="FP256" s="118">
        <f t="shared" ref="FP256:GB256" si="463">FP44/FP$211</f>
        <v>0.00206920232219318</v>
      </c>
      <c r="FQ256" s="117">
        <f t="shared" si="463"/>
        <v>0.00100864233222095</v>
      </c>
      <c r="FR256" s="117">
        <f t="shared" si="463"/>
        <v>0.000666233221337895</v>
      </c>
      <c r="FS256" s="117">
        <f t="shared" si="463"/>
        <v>0.000829909954021583</v>
      </c>
      <c r="FT256" s="117">
        <f t="shared" si="463"/>
        <v>0.000520880024595808</v>
      </c>
      <c r="FU256" s="117">
        <f t="shared" si="463"/>
        <v>0.00846813545482469</v>
      </c>
      <c r="FV256" s="117">
        <f t="shared" si="463"/>
        <v>0.00529588252110058</v>
      </c>
      <c r="FW256" s="117">
        <f t="shared" si="463"/>
        <v>0.000168455555824447</v>
      </c>
      <c r="FX256" s="117">
        <f t="shared" si="463"/>
        <v>0</v>
      </c>
      <c r="FY256" s="117">
        <f t="shared" si="463"/>
        <v>0</v>
      </c>
      <c r="FZ256" s="117">
        <f t="shared" si="463"/>
        <v>0</v>
      </c>
      <c r="GA256" s="117">
        <f t="shared" si="463"/>
        <v>0</v>
      </c>
      <c r="GB256" s="116">
        <f t="shared" si="463"/>
        <v>0.00135678604335929</v>
      </c>
    </row>
    <row r="257" spans="1:184">
      <c r="A257" s="147" t="s">
        <v>115</v>
      </c>
      <c r="B257" s="160">
        <f t="shared" si="217"/>
        <v>0.506223532479328</v>
      </c>
      <c r="C257" s="117">
        <f t="shared" ref="C257:AH257" si="464">C45/C$211</f>
        <v>0.00430714727753115</v>
      </c>
      <c r="D257" s="117">
        <f t="shared" si="464"/>
        <v>0.00304066314695804</v>
      </c>
      <c r="E257" s="117">
        <f t="shared" si="464"/>
        <v>0.00292682785373971</v>
      </c>
      <c r="F257" s="117">
        <f t="shared" si="464"/>
        <v>0.00221011518759763</v>
      </c>
      <c r="G257" s="117">
        <f t="shared" si="464"/>
        <v>0.00398715768927231</v>
      </c>
      <c r="H257" s="117">
        <f t="shared" si="464"/>
        <v>0.00348224614047503</v>
      </c>
      <c r="I257" s="117">
        <f t="shared" si="464"/>
        <v>0.00228721255863335</v>
      </c>
      <c r="J257" s="117">
        <f t="shared" si="464"/>
        <v>0.00407753234229772</v>
      </c>
      <c r="K257" s="117">
        <f t="shared" si="464"/>
        <v>0.0101569673858191</v>
      </c>
      <c r="L257" s="117">
        <f t="shared" si="464"/>
        <v>0.0109549836396822</v>
      </c>
      <c r="M257" s="117">
        <f t="shared" si="464"/>
        <v>0.00416423888518716</v>
      </c>
      <c r="N257" s="117">
        <f t="shared" si="464"/>
        <v>0.0011888378383082</v>
      </c>
      <c r="O257" s="9">
        <f t="shared" si="464"/>
        <v>0.0044516695965411</v>
      </c>
      <c r="P257" s="117">
        <f t="shared" si="464"/>
        <v>0.00399244829880403</v>
      </c>
      <c r="Q257" s="117">
        <f t="shared" si="464"/>
        <v>0.00300347889323762</v>
      </c>
      <c r="R257" s="117">
        <f t="shared" si="464"/>
        <v>0.00220273472727102</v>
      </c>
      <c r="S257" s="117">
        <f t="shared" si="464"/>
        <v>0.00159199534631933</v>
      </c>
      <c r="T257" s="117">
        <f t="shared" si="464"/>
        <v>0.00241381294530152</v>
      </c>
      <c r="U257" s="117">
        <f t="shared" si="464"/>
        <v>0.00501594988239691</v>
      </c>
      <c r="V257" s="117">
        <f t="shared" si="464"/>
        <v>0.0018437940324715</v>
      </c>
      <c r="W257" s="117">
        <f t="shared" si="464"/>
        <v>0.00660386991061473</v>
      </c>
      <c r="X257" s="117">
        <f t="shared" si="464"/>
        <v>0.0114556656482682</v>
      </c>
      <c r="Y257" s="117">
        <f t="shared" si="464"/>
        <v>0.00317603514647112</v>
      </c>
      <c r="Z257" s="117">
        <f t="shared" si="464"/>
        <v>0.000764464115000789</v>
      </c>
      <c r="AA257" s="117">
        <f t="shared" si="464"/>
        <v>0.00080890565396214</v>
      </c>
      <c r="AB257" s="9">
        <f t="shared" si="464"/>
        <v>0.00370011901318612</v>
      </c>
      <c r="AC257" s="117">
        <f t="shared" si="464"/>
        <v>0.00489389448945557</v>
      </c>
      <c r="AD257" s="117">
        <f t="shared" si="464"/>
        <v>0.00273463151801281</v>
      </c>
      <c r="AE257" s="117">
        <f t="shared" si="464"/>
        <v>0.00188721101411286</v>
      </c>
      <c r="AF257" s="117">
        <f t="shared" si="464"/>
        <v>0.00177807089339192</v>
      </c>
      <c r="AG257" s="117">
        <f t="shared" si="464"/>
        <v>0.00214307416419059</v>
      </c>
      <c r="AH257" s="117">
        <f t="shared" si="464"/>
        <v>0.00210361845947202</v>
      </c>
      <c r="AI257" s="117">
        <f t="shared" ref="AI257:BN257" si="465">AI45/AI$211</f>
        <v>0.00188912006000287</v>
      </c>
      <c r="AJ257" s="117">
        <f t="shared" si="465"/>
        <v>0.000654544953012969</v>
      </c>
      <c r="AK257" s="117">
        <f t="shared" si="465"/>
        <v>0.00681218788351754</v>
      </c>
      <c r="AL257" s="117">
        <f t="shared" si="465"/>
        <v>0.0139014510266976</v>
      </c>
      <c r="AM257" s="117">
        <f t="shared" si="465"/>
        <v>0</v>
      </c>
      <c r="AN257" s="117">
        <f t="shared" si="465"/>
        <v>0</v>
      </c>
      <c r="AO257" s="9">
        <f t="shared" si="465"/>
        <v>0.00340219249205972</v>
      </c>
      <c r="AP257" s="144">
        <f t="shared" si="465"/>
        <v>0.00443590834025646</v>
      </c>
      <c r="AQ257" s="144">
        <f t="shared" si="465"/>
        <v>0.00321115028250678</v>
      </c>
      <c r="AR257" s="144">
        <f t="shared" si="465"/>
        <v>0.0032583897802639</v>
      </c>
      <c r="AS257" s="144">
        <f t="shared" si="465"/>
        <v>0.00244323224833996</v>
      </c>
      <c r="AT257" s="144">
        <f t="shared" si="465"/>
        <v>0.0039270265312949</v>
      </c>
      <c r="AU257" s="144">
        <f t="shared" si="465"/>
        <v>0.002930715811767</v>
      </c>
      <c r="AV257" s="144">
        <f t="shared" si="465"/>
        <v>0.00241562575970265</v>
      </c>
      <c r="AW257" s="144">
        <f t="shared" si="465"/>
        <v>0.00212828854823951</v>
      </c>
      <c r="AX257" s="144">
        <f t="shared" si="465"/>
        <v>0.00893999293026172</v>
      </c>
      <c r="AY257" s="144">
        <f t="shared" si="465"/>
        <v>0.0122491866195399</v>
      </c>
      <c r="AZ257" s="144">
        <f t="shared" si="465"/>
        <v>0.0121894935603645</v>
      </c>
      <c r="BA257" s="144">
        <f t="shared" si="465"/>
        <v>0.00125584637920634</v>
      </c>
      <c r="BB257" s="9">
        <f t="shared" si="465"/>
        <v>0.00510119290817459</v>
      </c>
      <c r="BC257" s="144">
        <f t="shared" si="465"/>
        <v>0.00460156785716563</v>
      </c>
      <c r="BD257" s="144">
        <f t="shared" si="465"/>
        <v>0.00298242324591949</v>
      </c>
      <c r="BE257" s="144">
        <f t="shared" si="465"/>
        <v>0.0022194641176796</v>
      </c>
      <c r="BF257" s="144">
        <f t="shared" si="465"/>
        <v>0.00176081382562986</v>
      </c>
      <c r="BG257" s="144">
        <f t="shared" si="465"/>
        <v>0.00318650589803604</v>
      </c>
      <c r="BH257" s="144">
        <f t="shared" si="465"/>
        <v>0.00180545803286944</v>
      </c>
      <c r="BI257" s="144">
        <f t="shared" si="465"/>
        <v>0.00110016655196153</v>
      </c>
      <c r="BJ257" s="144">
        <f t="shared" si="465"/>
        <v>0.00704583060956567</v>
      </c>
      <c r="BK257" s="144">
        <f t="shared" si="465"/>
        <v>0.0224943387387606</v>
      </c>
      <c r="BL257" s="144">
        <f t="shared" si="465"/>
        <v>0.0133963812826174</v>
      </c>
      <c r="BM257" s="144">
        <f t="shared" si="465"/>
        <v>0.00222460760160071</v>
      </c>
      <c r="BN257" s="144">
        <f t="shared" si="465"/>
        <v>0.000341847315287866</v>
      </c>
      <c r="BO257" s="9">
        <f t="shared" ref="BO257:CT257" si="466">BO45/BO$211</f>
        <v>0.00548940581497025</v>
      </c>
      <c r="BP257" s="144">
        <f t="shared" si="466"/>
        <v>0.00506425749741278</v>
      </c>
      <c r="BQ257" s="144">
        <f t="shared" si="466"/>
        <v>0.00403197027307544</v>
      </c>
      <c r="BR257" s="144">
        <f t="shared" si="466"/>
        <v>0.0042231657386449</v>
      </c>
      <c r="BS257" s="144">
        <f t="shared" si="466"/>
        <v>0.00395173037879279</v>
      </c>
      <c r="BT257" s="144">
        <f t="shared" si="466"/>
        <v>0.00574474738126698</v>
      </c>
      <c r="BU257" s="144">
        <f t="shared" si="466"/>
        <v>0.00418620404329467</v>
      </c>
      <c r="BV257" s="144">
        <f t="shared" si="466"/>
        <v>0.00348442358540199</v>
      </c>
      <c r="BW257" s="144">
        <f t="shared" si="466"/>
        <v>0.00303986802034211</v>
      </c>
      <c r="BX257" s="144">
        <f t="shared" si="466"/>
        <v>0.00710814260367174</v>
      </c>
      <c r="BY257" s="144">
        <f t="shared" si="466"/>
        <v>0.0206365223845385</v>
      </c>
      <c r="BZ257" s="144">
        <f t="shared" si="466"/>
        <v>0.011560916252453</v>
      </c>
      <c r="CA257" s="144">
        <f t="shared" si="466"/>
        <v>0.00329857155890797</v>
      </c>
      <c r="CB257" s="9">
        <f t="shared" si="466"/>
        <v>0.00634720983831609</v>
      </c>
      <c r="CC257" s="144">
        <f t="shared" si="466"/>
        <v>0.00106864152530169</v>
      </c>
      <c r="CD257" s="144">
        <f t="shared" si="466"/>
        <v>0.00161112406758264</v>
      </c>
      <c r="CE257" s="144">
        <f t="shared" si="466"/>
        <v>0.00183808953182851</v>
      </c>
      <c r="CF257" s="144">
        <f t="shared" si="466"/>
        <v>0.00177710833186525</v>
      </c>
      <c r="CG257" s="144">
        <f t="shared" si="466"/>
        <v>0.00279353058512639</v>
      </c>
      <c r="CH257" s="144">
        <f t="shared" si="466"/>
        <v>0.00119601375208057</v>
      </c>
      <c r="CI257" s="144">
        <f t="shared" si="466"/>
        <v>0.000962884989843337</v>
      </c>
      <c r="CJ257" s="144">
        <f t="shared" si="466"/>
        <v>0.01007629729461</v>
      </c>
      <c r="CK257" s="144">
        <f t="shared" si="466"/>
        <v>0.0233652928957272</v>
      </c>
      <c r="CL257" s="144">
        <f t="shared" si="466"/>
        <v>0.017173936700863</v>
      </c>
      <c r="CM257" s="144">
        <f t="shared" si="466"/>
        <v>0.00713841514585774</v>
      </c>
      <c r="CN257" s="144">
        <f t="shared" si="466"/>
        <v>0.000137128107766415</v>
      </c>
      <c r="CO257" s="9">
        <f t="shared" si="466"/>
        <v>0.00597434647741896</v>
      </c>
      <c r="CP257" s="144">
        <f t="shared" si="466"/>
        <v>0.0041366903869961</v>
      </c>
      <c r="CQ257" s="144">
        <f t="shared" si="466"/>
        <v>0.00275904262102253</v>
      </c>
      <c r="CR257" s="144">
        <f t="shared" si="466"/>
        <v>0.00349665490138579</v>
      </c>
      <c r="CS257" s="144">
        <f t="shared" si="466"/>
        <v>0.00260456584254061</v>
      </c>
      <c r="CT257" s="144">
        <f t="shared" si="466"/>
        <v>0.00492122075305548</v>
      </c>
      <c r="CU257" s="144">
        <f t="shared" ref="CU257:EB257" si="467">CU45/CU$211</f>
        <v>0.00351795287433617</v>
      </c>
      <c r="CV257" s="144">
        <f t="shared" si="467"/>
        <v>0.00278215562216528</v>
      </c>
      <c r="CW257" s="144">
        <f t="shared" si="467"/>
        <v>0.0104500958913788</v>
      </c>
      <c r="CX257" s="144">
        <f t="shared" si="467"/>
        <v>0.0252022921283184</v>
      </c>
      <c r="CY257" s="144">
        <f t="shared" si="467"/>
        <v>0.0138090816673584</v>
      </c>
      <c r="CZ257" s="144">
        <f t="shared" si="467"/>
        <v>0.00260729618519723</v>
      </c>
      <c r="DA257" s="144">
        <f t="shared" si="467"/>
        <v>0.000863404470690907</v>
      </c>
      <c r="DB257" s="9">
        <f t="shared" si="467"/>
        <v>0.00625254713216962</v>
      </c>
      <c r="DC257" s="144">
        <f t="shared" si="467"/>
        <v>0.00662689703729933</v>
      </c>
      <c r="DD257" s="144">
        <f t="shared" si="467"/>
        <v>0.00879002650865815</v>
      </c>
      <c r="DE257" s="144">
        <f t="shared" si="467"/>
        <v>0.00294977384115887</v>
      </c>
      <c r="DF257" s="144">
        <f t="shared" si="467"/>
        <v>0.00299043220113536</v>
      </c>
      <c r="DG257" s="144">
        <f t="shared" si="467"/>
        <v>0.00515863643932609</v>
      </c>
      <c r="DH257" s="144">
        <f t="shared" si="467"/>
        <v>0.00393075990287243</v>
      </c>
      <c r="DI257" s="144">
        <f t="shared" si="467"/>
        <v>0.00232538467065368</v>
      </c>
      <c r="DJ257" s="144">
        <f t="shared" si="467"/>
        <v>0.0127751943987441</v>
      </c>
      <c r="DK257" s="144">
        <f t="shared" si="467"/>
        <v>0.0209807923493297</v>
      </c>
      <c r="DL257" s="144">
        <f t="shared" si="467"/>
        <v>0.0150676917848428</v>
      </c>
      <c r="DM257" s="144">
        <f t="shared" si="467"/>
        <v>0.00533801537606965</v>
      </c>
      <c r="DN257" s="144">
        <f t="shared" si="467"/>
        <v>0.00297088041017583</v>
      </c>
      <c r="DO257" s="9">
        <f t="shared" si="467"/>
        <v>0.00755453303259524</v>
      </c>
      <c r="DP257" s="144">
        <f t="shared" si="467"/>
        <v>0.00561679590404407</v>
      </c>
      <c r="DQ257" s="144">
        <f t="shared" si="467"/>
        <v>0.00428511942042848</v>
      </c>
      <c r="DR257" s="144">
        <f t="shared" si="467"/>
        <v>0.00732817319573246</v>
      </c>
      <c r="DS257" s="144">
        <f t="shared" si="467"/>
        <v>0.00231926730645878</v>
      </c>
      <c r="DT257" s="144">
        <f t="shared" si="467"/>
        <v>0.00295452078487751</v>
      </c>
      <c r="DU257" s="144">
        <f t="shared" si="467"/>
        <v>0.00479778973246529</v>
      </c>
      <c r="DV257" s="144">
        <f t="shared" si="467"/>
        <v>0.00275535014039845</v>
      </c>
      <c r="DW257" s="144">
        <f t="shared" si="467"/>
        <v>0.00660067109225512</v>
      </c>
      <c r="DX257" s="144">
        <f t="shared" si="467"/>
        <v>0.0152607207163747</v>
      </c>
      <c r="DY257" s="144">
        <f t="shared" si="467"/>
        <v>0.0138214564234287</v>
      </c>
      <c r="DZ257" s="144">
        <f t="shared" si="467"/>
        <v>0</v>
      </c>
      <c r="EA257" s="144">
        <f t="shared" si="467"/>
        <v>0</v>
      </c>
      <c r="EB257" s="117">
        <f t="shared" si="467"/>
        <v>0.00553183806595245</v>
      </c>
      <c r="EC257" s="118"/>
      <c r="ED257" s="117">
        <f t="shared" ref="ED257:FB257" si="468">ED45/ED$211</f>
        <v>0.0482611700567589</v>
      </c>
      <c r="EE257" s="117">
        <f t="shared" si="468"/>
        <v>0</v>
      </c>
      <c r="EF257" s="117">
        <f t="shared" si="468"/>
        <v>0</v>
      </c>
      <c r="EG257" s="117" t="e">
        <f t="shared" si="468"/>
        <v>#DIV/0!</v>
      </c>
      <c r="EH257" s="117" t="e">
        <f t="shared" si="468"/>
        <v>#DIV/0!</v>
      </c>
      <c r="EI257" s="117" t="e">
        <f t="shared" si="468"/>
        <v>#DIV/0!</v>
      </c>
      <c r="EJ257" s="117" t="e">
        <f t="shared" si="468"/>
        <v>#DIV/0!</v>
      </c>
      <c r="EK257" s="117" t="e">
        <f t="shared" si="468"/>
        <v>#DIV/0!</v>
      </c>
      <c r="EL257" s="117" t="e">
        <f t="shared" si="468"/>
        <v>#DIV/0!</v>
      </c>
      <c r="EM257" s="117" t="e">
        <f t="shared" si="468"/>
        <v>#DIV/0!</v>
      </c>
      <c r="EN257" s="117" t="e">
        <f t="shared" si="468"/>
        <v>#DIV/0!</v>
      </c>
      <c r="EO257" s="116">
        <f t="shared" si="468"/>
        <v>0.00874275368296891</v>
      </c>
      <c r="EP257" s="117">
        <f t="shared" si="468"/>
        <v>0.00198646597122528</v>
      </c>
      <c r="EQ257" s="117">
        <f t="shared" si="468"/>
        <v>0.00262935066501901</v>
      </c>
      <c r="ER257" s="117">
        <f t="shared" si="468"/>
        <v>0.00288427176845279</v>
      </c>
      <c r="ES257" s="117">
        <f t="shared" si="468"/>
        <v>0.00188626564929699</v>
      </c>
      <c r="ET257" s="117">
        <f t="shared" si="468"/>
        <v>0.00527264619342915</v>
      </c>
      <c r="EU257" s="117">
        <f t="shared" si="468"/>
        <v>0.003238506747675</v>
      </c>
      <c r="EV257" s="117">
        <f t="shared" si="468"/>
        <v>0.00178243002334431</v>
      </c>
      <c r="EW257" s="117">
        <f t="shared" si="468"/>
        <v>0.00148302622554626</v>
      </c>
      <c r="EX257" s="117">
        <f t="shared" si="468"/>
        <v>0.0107075229953516</v>
      </c>
      <c r="EY257" s="117">
        <f t="shared" si="468"/>
        <v>0.0300835559089199</v>
      </c>
      <c r="EZ257" s="117">
        <f t="shared" si="468"/>
        <v>0.0167355130997811</v>
      </c>
      <c r="FA257" s="117">
        <f t="shared" si="468"/>
        <v>0.00814339268203376</v>
      </c>
      <c r="FB257" s="117">
        <f t="shared" si="468"/>
        <v>0.00791945498101341</v>
      </c>
      <c r="FC257" s="118"/>
      <c r="FD257" s="117"/>
      <c r="FE257" s="117"/>
      <c r="FF257" s="117"/>
      <c r="FG257" s="117"/>
      <c r="FH257" s="117"/>
      <c r="FI257" s="117"/>
      <c r="FJ257" s="117"/>
      <c r="FK257" s="117" t="e">
        <f t="shared" si="211"/>
        <v>#DIV/0!</v>
      </c>
      <c r="FL257" s="117" t="e">
        <f t="shared" si="212"/>
        <v>#DIV/0!</v>
      </c>
      <c r="FM257" s="117" t="e">
        <f t="shared" si="213"/>
        <v>#DIV/0!</v>
      </c>
      <c r="FN257" s="117" t="e">
        <f t="shared" si="214"/>
        <v>#DIV/0!</v>
      </c>
      <c r="FO257" s="9" t="e">
        <f t="shared" si="215"/>
        <v>#DIV/0!</v>
      </c>
      <c r="FP257" s="118">
        <f t="shared" ref="FP257:GB257" si="469">FP45/FP$211</f>
        <v>0.00363395294433009</v>
      </c>
      <c r="FQ257" s="117">
        <f t="shared" si="469"/>
        <v>0.00153243258016725</v>
      </c>
      <c r="FR257" s="117">
        <f t="shared" si="469"/>
        <v>0.00129443824148389</v>
      </c>
      <c r="FS257" s="117">
        <f t="shared" si="469"/>
        <v>0.00124705534398241</v>
      </c>
      <c r="FT257" s="117">
        <f t="shared" si="469"/>
        <v>0.00419914110669951</v>
      </c>
      <c r="FU257" s="117">
        <f t="shared" si="469"/>
        <v>0.0030320512086466</v>
      </c>
      <c r="FV257" s="117">
        <f t="shared" si="469"/>
        <v>0.00201829393085185</v>
      </c>
      <c r="FW257" s="117">
        <f t="shared" si="469"/>
        <v>0.00108401557070509</v>
      </c>
      <c r="FX257" s="117">
        <f t="shared" si="469"/>
        <v>0.00103355541155323</v>
      </c>
      <c r="FY257" s="117">
        <f t="shared" si="469"/>
        <v>0.000557545587248822</v>
      </c>
      <c r="FZ257" s="117">
        <f t="shared" si="469"/>
        <v>0.000446319366329934</v>
      </c>
      <c r="GA257" s="117">
        <f t="shared" si="469"/>
        <v>0.000424023043228345</v>
      </c>
      <c r="GB257" s="116">
        <f t="shared" si="469"/>
        <v>0.00166554006261691</v>
      </c>
    </row>
    <row r="258" spans="1:184">
      <c r="A258" s="147" t="s">
        <v>117</v>
      </c>
      <c r="B258" s="160">
        <f t="shared" si="217"/>
        <v>-0.850515563136231</v>
      </c>
      <c r="C258" s="117">
        <f t="shared" ref="C258:AH258" si="470">C46/C$211</f>
        <v>0.000243258293393081</v>
      </c>
      <c r="D258" s="117">
        <f t="shared" si="470"/>
        <v>0.000167767374710768</v>
      </c>
      <c r="E258" s="117">
        <f t="shared" si="470"/>
        <v>0.000163709942459421</v>
      </c>
      <c r="F258" s="117">
        <f t="shared" si="470"/>
        <v>0.000142508163499752</v>
      </c>
      <c r="G258" s="117">
        <f t="shared" si="470"/>
        <v>0.000143904839406607</v>
      </c>
      <c r="H258" s="117">
        <f t="shared" si="470"/>
        <v>0.000116997649851819</v>
      </c>
      <c r="I258" s="117">
        <f t="shared" si="470"/>
        <v>9.91304108886377e-5</v>
      </c>
      <c r="J258" s="117">
        <f t="shared" si="470"/>
        <v>8.53421841530366e-5</v>
      </c>
      <c r="K258" s="117">
        <f t="shared" si="470"/>
        <v>4.46700752202855e-5</v>
      </c>
      <c r="L258" s="117">
        <f t="shared" si="470"/>
        <v>4.48149602604341e-5</v>
      </c>
      <c r="M258" s="117">
        <f t="shared" si="470"/>
        <v>4.70557082289953e-5</v>
      </c>
      <c r="N258" s="117">
        <f t="shared" si="470"/>
        <v>4.87560931044986e-5</v>
      </c>
      <c r="O258" s="9">
        <f t="shared" si="470"/>
        <v>0.000116200961632326</v>
      </c>
      <c r="P258" s="117">
        <f t="shared" si="470"/>
        <v>0.000138962848548277</v>
      </c>
      <c r="Q258" s="117">
        <f t="shared" si="470"/>
        <v>0.000109369218965297</v>
      </c>
      <c r="R258" s="117">
        <f t="shared" si="470"/>
        <v>0.000151666245560131</v>
      </c>
      <c r="S258" s="117">
        <f t="shared" si="470"/>
        <v>7.05874468965843e-5</v>
      </c>
      <c r="T258" s="117">
        <f t="shared" si="470"/>
        <v>5.76845503746209e-6</v>
      </c>
      <c r="U258" s="117">
        <f t="shared" si="470"/>
        <v>6.03877830671782e-5</v>
      </c>
      <c r="V258" s="117">
        <f t="shared" si="470"/>
        <v>2.70749707036227e-5</v>
      </c>
      <c r="W258" s="117">
        <f t="shared" si="470"/>
        <v>0</v>
      </c>
      <c r="X258" s="117">
        <f t="shared" si="470"/>
        <v>0</v>
      </c>
      <c r="Y258" s="117">
        <f t="shared" si="470"/>
        <v>0</v>
      </c>
      <c r="Z258" s="117">
        <f t="shared" si="470"/>
        <v>0</v>
      </c>
      <c r="AA258" s="117">
        <f t="shared" si="470"/>
        <v>0</v>
      </c>
      <c r="AB258" s="9">
        <f t="shared" si="470"/>
        <v>4.87577848389121e-5</v>
      </c>
      <c r="AC258" s="117">
        <f t="shared" si="470"/>
        <v>0</v>
      </c>
      <c r="AD258" s="117">
        <f t="shared" si="470"/>
        <v>0</v>
      </c>
      <c r="AE258" s="117">
        <f t="shared" si="470"/>
        <v>0</v>
      </c>
      <c r="AF258" s="117">
        <f t="shared" si="470"/>
        <v>0</v>
      </c>
      <c r="AG258" s="117">
        <f t="shared" si="470"/>
        <v>0</v>
      </c>
      <c r="AH258" s="117">
        <f t="shared" si="470"/>
        <v>0</v>
      </c>
      <c r="AI258" s="117">
        <f t="shared" ref="AI258:BN258" si="471">AI46/AI$211</f>
        <v>0</v>
      </c>
      <c r="AJ258" s="117">
        <f t="shared" si="471"/>
        <v>0</v>
      </c>
      <c r="AK258" s="117">
        <f t="shared" si="471"/>
        <v>0</v>
      </c>
      <c r="AL258" s="117">
        <f t="shared" si="471"/>
        <v>0</v>
      </c>
      <c r="AM258" s="117">
        <f t="shared" si="471"/>
        <v>0</v>
      </c>
      <c r="AN258" s="117">
        <f t="shared" si="471"/>
        <v>0</v>
      </c>
      <c r="AO258" s="9">
        <f t="shared" si="471"/>
        <v>0</v>
      </c>
      <c r="AP258" s="144">
        <f t="shared" si="471"/>
        <v>0.000145668572121565</v>
      </c>
      <c r="AQ258" s="144">
        <f t="shared" si="471"/>
        <v>0.000113837067149248</v>
      </c>
      <c r="AR258" s="144">
        <f t="shared" si="471"/>
        <v>7.61800175260774e-5</v>
      </c>
      <c r="AS258" s="144">
        <f t="shared" si="471"/>
        <v>5.88617178029845e-5</v>
      </c>
      <c r="AT258" s="144">
        <f t="shared" si="471"/>
        <v>0.000184996059501339</v>
      </c>
      <c r="AU258" s="144">
        <f t="shared" si="471"/>
        <v>7.25235388222703e-5</v>
      </c>
      <c r="AV258" s="144">
        <f t="shared" si="471"/>
        <v>5.97771124243689e-5</v>
      </c>
      <c r="AW258" s="144">
        <f t="shared" si="471"/>
        <v>5.26666613437963e-5</v>
      </c>
      <c r="AX258" s="144">
        <f t="shared" si="471"/>
        <v>5.24093736444719e-5</v>
      </c>
      <c r="AY258" s="144">
        <f t="shared" si="471"/>
        <v>5.6092016893838e-5</v>
      </c>
      <c r="AZ258" s="144">
        <f t="shared" si="471"/>
        <v>5.39483995445292e-5</v>
      </c>
      <c r="BA258" s="144">
        <f t="shared" si="471"/>
        <v>5.06036141568195e-5</v>
      </c>
      <c r="BB258" s="9">
        <f t="shared" si="471"/>
        <v>7.91526385806427e-5</v>
      </c>
      <c r="BC258" s="144">
        <f t="shared" si="471"/>
        <v>0.000278522840192147</v>
      </c>
      <c r="BD258" s="144">
        <f t="shared" si="471"/>
        <v>9.9100600824267e-5</v>
      </c>
      <c r="BE258" s="144">
        <f t="shared" si="471"/>
        <v>9.5967030949077e-5</v>
      </c>
      <c r="BF258" s="144">
        <f t="shared" si="471"/>
        <v>4.00707010090412e-5</v>
      </c>
      <c r="BG258" s="144">
        <f t="shared" si="471"/>
        <v>6.04926838983103e-6</v>
      </c>
      <c r="BH258" s="144">
        <f t="shared" si="471"/>
        <v>0</v>
      </c>
      <c r="BI258" s="144">
        <f t="shared" si="471"/>
        <v>0</v>
      </c>
      <c r="BJ258" s="144">
        <f t="shared" si="471"/>
        <v>0</v>
      </c>
      <c r="BK258" s="144">
        <f t="shared" si="471"/>
        <v>0</v>
      </c>
      <c r="BL258" s="144">
        <f t="shared" si="471"/>
        <v>0</v>
      </c>
      <c r="BM258" s="144">
        <f t="shared" si="471"/>
        <v>0</v>
      </c>
      <c r="BN258" s="144">
        <f t="shared" si="471"/>
        <v>0</v>
      </c>
      <c r="BO258" s="9">
        <f t="shared" ref="BO258:CT258" si="472">BO46/BO$211</f>
        <v>5.25419611222349e-5</v>
      </c>
      <c r="BP258" s="144">
        <f t="shared" si="472"/>
        <v>0.000278952886096466</v>
      </c>
      <c r="BQ258" s="144">
        <f t="shared" si="472"/>
        <v>0.000217409433302842</v>
      </c>
      <c r="BR258" s="144">
        <f t="shared" si="472"/>
        <v>0.000235806931655586</v>
      </c>
      <c r="BS258" s="144">
        <f t="shared" si="472"/>
        <v>0.000232176930271265</v>
      </c>
      <c r="BT258" s="144">
        <f t="shared" si="472"/>
        <v>0.000271073282140882</v>
      </c>
      <c r="BU258" s="144">
        <f t="shared" si="472"/>
        <v>0.000125284588898441</v>
      </c>
      <c r="BV258" s="144">
        <f t="shared" si="472"/>
        <v>0.000112131008802617</v>
      </c>
      <c r="BW258" s="144">
        <f t="shared" si="472"/>
        <v>0.000103069073836151</v>
      </c>
      <c r="BX258" s="144">
        <f t="shared" si="472"/>
        <v>7.67680051772863e-5</v>
      </c>
      <c r="BY258" s="144">
        <f t="shared" si="472"/>
        <v>7.75232302451846e-5</v>
      </c>
      <c r="BZ258" s="144">
        <f t="shared" si="472"/>
        <v>9.63131948383147e-5</v>
      </c>
      <c r="CA258" s="144">
        <f t="shared" si="472"/>
        <v>0.000111717030481802</v>
      </c>
      <c r="CB258" s="9">
        <f t="shared" si="472"/>
        <v>0.000170201641974559</v>
      </c>
      <c r="CC258" s="144">
        <f t="shared" si="472"/>
        <v>0.00207690553352529</v>
      </c>
      <c r="CD258" s="144">
        <f t="shared" si="472"/>
        <v>0.00134608606587448</v>
      </c>
      <c r="CE258" s="144">
        <f t="shared" si="472"/>
        <v>0.00181856188456552</v>
      </c>
      <c r="CF258" s="144">
        <f t="shared" si="472"/>
        <v>0.000912585765792374</v>
      </c>
      <c r="CG258" s="144">
        <f t="shared" si="472"/>
        <v>0.000830764610976687</v>
      </c>
      <c r="CH258" s="144">
        <f t="shared" si="472"/>
        <v>0.000907049432816023</v>
      </c>
      <c r="CI258" s="144">
        <f t="shared" si="472"/>
        <v>0.000938488578899145</v>
      </c>
      <c r="CJ258" s="144">
        <f t="shared" si="472"/>
        <v>0.000888005585985623</v>
      </c>
      <c r="CK258" s="144">
        <f t="shared" si="472"/>
        <v>0.000730476449768552</v>
      </c>
      <c r="CL258" s="144">
        <f t="shared" si="472"/>
        <v>0.000696172023976549</v>
      </c>
      <c r="CM258" s="144">
        <f t="shared" si="472"/>
        <v>0.000755860327004122</v>
      </c>
      <c r="CN258" s="144">
        <f t="shared" si="472"/>
        <v>0.000879408517197661</v>
      </c>
      <c r="CO258" s="9">
        <f t="shared" si="472"/>
        <v>0.00106847978556003</v>
      </c>
      <c r="CP258" s="144">
        <f t="shared" si="472"/>
        <v>0.000193413096529859</v>
      </c>
      <c r="CQ258" s="144">
        <f t="shared" si="472"/>
        <v>0.00027676792885315</v>
      </c>
      <c r="CR258" s="144">
        <f t="shared" si="472"/>
        <v>0.000234518952923247</v>
      </c>
      <c r="CS258" s="144">
        <f t="shared" si="472"/>
        <v>0.000173678477586618</v>
      </c>
      <c r="CT258" s="144">
        <f t="shared" si="472"/>
        <v>8.19491325046428e-5</v>
      </c>
      <c r="CU258" s="144">
        <f t="shared" ref="CU258:EB258" si="473">CU46/CU$211</f>
        <v>0.000160071464650154</v>
      </c>
      <c r="CV258" s="144">
        <f t="shared" si="473"/>
        <v>0.000148331351368125</v>
      </c>
      <c r="CW258" s="144">
        <f t="shared" si="473"/>
        <v>0.000138969522461635</v>
      </c>
      <c r="CX258" s="144">
        <f t="shared" si="473"/>
        <v>0</v>
      </c>
      <c r="CY258" s="144">
        <f t="shared" si="473"/>
        <v>0</v>
      </c>
      <c r="CZ258" s="144">
        <f t="shared" si="473"/>
        <v>0</v>
      </c>
      <c r="DA258" s="144">
        <f t="shared" si="473"/>
        <v>0</v>
      </c>
      <c r="DB258" s="9">
        <f t="shared" si="473"/>
        <v>0.000124805159685878</v>
      </c>
      <c r="DC258" s="144">
        <f t="shared" si="473"/>
        <v>0.000386706030306378</v>
      </c>
      <c r="DD258" s="144">
        <f t="shared" si="473"/>
        <v>0.000339435559603867</v>
      </c>
      <c r="DE258" s="144">
        <f t="shared" si="473"/>
        <v>0.000132312722101693</v>
      </c>
      <c r="DF258" s="144">
        <f t="shared" si="473"/>
        <v>0.00023638444528102</v>
      </c>
      <c r="DG258" s="144">
        <f t="shared" si="473"/>
        <v>0.000161259522310114</v>
      </c>
      <c r="DH258" s="144">
        <f t="shared" si="473"/>
        <v>0.000259848553803331</v>
      </c>
      <c r="DI258" s="144">
        <f t="shared" si="473"/>
        <v>0.000250589398298753</v>
      </c>
      <c r="DJ258" s="144">
        <f t="shared" si="473"/>
        <v>0.000244759366626369</v>
      </c>
      <c r="DK258" s="144">
        <f t="shared" si="473"/>
        <v>0.000245000840892717</v>
      </c>
      <c r="DL258" s="144">
        <f t="shared" si="473"/>
        <v>0.000242067750934166</v>
      </c>
      <c r="DM258" s="144">
        <f t="shared" si="473"/>
        <v>0.000269181971955649</v>
      </c>
      <c r="DN258" s="144">
        <f t="shared" si="473"/>
        <v>0.000243955385108384</v>
      </c>
      <c r="DO258" s="9">
        <f t="shared" si="473"/>
        <v>0.000259992065029515</v>
      </c>
      <c r="DP258" s="144">
        <f t="shared" si="473"/>
        <v>0.000526446057785037</v>
      </c>
      <c r="DQ258" s="144">
        <f t="shared" si="473"/>
        <v>0.00021427950438578</v>
      </c>
      <c r="DR258" s="144">
        <f t="shared" si="473"/>
        <v>0.000211311695338943</v>
      </c>
      <c r="DS258" s="144">
        <f t="shared" si="473"/>
        <v>0.000259233078852637</v>
      </c>
      <c r="DT258" s="144">
        <f t="shared" si="473"/>
        <v>0.000307779489817345</v>
      </c>
      <c r="DU258" s="144">
        <f t="shared" si="473"/>
        <v>0.000275585719519744</v>
      </c>
      <c r="DV258" s="144">
        <f t="shared" si="473"/>
        <v>0.000265697996070906</v>
      </c>
      <c r="DW258" s="144">
        <f t="shared" si="473"/>
        <v>0.000259221362915812</v>
      </c>
      <c r="DX258" s="144">
        <f t="shared" si="473"/>
        <v>0</v>
      </c>
      <c r="DY258" s="144">
        <f t="shared" si="473"/>
        <v>0</v>
      </c>
      <c r="DZ258" s="144">
        <f t="shared" si="473"/>
        <v>0</v>
      </c>
      <c r="EA258" s="144">
        <f t="shared" si="473"/>
        <v>0</v>
      </c>
      <c r="EB258" s="117">
        <f t="shared" si="473"/>
        <v>0.000211957659787803</v>
      </c>
      <c r="EC258" s="118"/>
      <c r="ED258" s="117">
        <f t="shared" ref="ED258:FB258" si="474">ED46/ED$211</f>
        <v>0</v>
      </c>
      <c r="EE258" s="117">
        <f t="shared" si="474"/>
        <v>0</v>
      </c>
      <c r="EF258" s="117">
        <f t="shared" si="474"/>
        <v>0</v>
      </c>
      <c r="EG258" s="117" t="e">
        <f t="shared" si="474"/>
        <v>#DIV/0!</v>
      </c>
      <c r="EH258" s="117" t="e">
        <f t="shared" si="474"/>
        <v>#DIV/0!</v>
      </c>
      <c r="EI258" s="117" t="e">
        <f t="shared" si="474"/>
        <v>#DIV/0!</v>
      </c>
      <c r="EJ258" s="117" t="e">
        <f t="shared" si="474"/>
        <v>#DIV/0!</v>
      </c>
      <c r="EK258" s="117" t="e">
        <f t="shared" si="474"/>
        <v>#DIV/0!</v>
      </c>
      <c r="EL258" s="117" t="e">
        <f t="shared" si="474"/>
        <v>#DIV/0!</v>
      </c>
      <c r="EM258" s="117" t="e">
        <f t="shared" si="474"/>
        <v>#DIV/0!</v>
      </c>
      <c r="EN258" s="117" t="e">
        <f t="shared" si="474"/>
        <v>#DIV/0!</v>
      </c>
      <c r="EO258" s="116">
        <f t="shared" si="474"/>
        <v>0</v>
      </c>
      <c r="EP258" s="117">
        <f t="shared" si="474"/>
        <v>0.000410350702991754</v>
      </c>
      <c r="EQ258" s="117">
        <f t="shared" si="474"/>
        <v>0.000461697822526201</v>
      </c>
      <c r="ER258" s="117">
        <f t="shared" si="474"/>
        <v>0.000183449839199808</v>
      </c>
      <c r="ES258" s="117">
        <f t="shared" si="474"/>
        <v>5.84347875763109e-5</v>
      </c>
      <c r="ET258" s="117">
        <f t="shared" si="474"/>
        <v>0.000151282751683385</v>
      </c>
      <c r="EU258" s="117">
        <f t="shared" si="474"/>
        <v>6.68039179609833e-5</v>
      </c>
      <c r="EV258" s="117">
        <f t="shared" si="474"/>
        <v>0.000112225018437474</v>
      </c>
      <c r="EW258" s="117">
        <f t="shared" si="474"/>
        <v>0.000160320148419032</v>
      </c>
      <c r="EX258" s="117">
        <f t="shared" si="474"/>
        <v>0</v>
      </c>
      <c r="EY258" s="117">
        <f t="shared" si="474"/>
        <v>0</v>
      </c>
      <c r="EZ258" s="117">
        <f t="shared" si="474"/>
        <v>0</v>
      </c>
      <c r="FA258" s="117">
        <f t="shared" si="474"/>
        <v>0</v>
      </c>
      <c r="FB258" s="117">
        <f t="shared" si="474"/>
        <v>0.000122471401196319</v>
      </c>
      <c r="FC258" s="118"/>
      <c r="FD258" s="117"/>
      <c r="FE258" s="117"/>
      <c r="FF258" s="117"/>
      <c r="FG258" s="117"/>
      <c r="FH258" s="117"/>
      <c r="FI258" s="117"/>
      <c r="FJ258" s="117"/>
      <c r="FK258" s="117" t="e">
        <f t="shared" si="211"/>
        <v>#DIV/0!</v>
      </c>
      <c r="FL258" s="117" t="e">
        <f t="shared" si="212"/>
        <v>#DIV/0!</v>
      </c>
      <c r="FM258" s="117" t="e">
        <f t="shared" si="213"/>
        <v>#DIV/0!</v>
      </c>
      <c r="FN258" s="117" t="e">
        <f t="shared" si="214"/>
        <v>#DIV/0!</v>
      </c>
      <c r="FO258" s="9" t="e">
        <f t="shared" si="215"/>
        <v>#DIV/0!</v>
      </c>
      <c r="FP258" s="118">
        <f t="shared" ref="FP258:GB258" si="475">FP46/FP$211</f>
        <v>9.51923958383816e-5</v>
      </c>
      <c r="FQ258" s="117">
        <f t="shared" si="475"/>
        <v>9.31974062959172e-5</v>
      </c>
      <c r="FR258" s="117">
        <f t="shared" si="475"/>
        <v>7.8817119300599e-5</v>
      </c>
      <c r="FS258" s="117">
        <f t="shared" si="475"/>
        <v>7.1830587380783e-5</v>
      </c>
      <c r="FT258" s="117">
        <f t="shared" si="475"/>
        <v>6.03963123849403e-5</v>
      </c>
      <c r="FU258" s="117">
        <f t="shared" si="475"/>
        <v>5.34162500179605e-5</v>
      </c>
      <c r="FV258" s="117">
        <f t="shared" si="475"/>
        <v>4.27809477103824e-5</v>
      </c>
      <c r="FW258" s="117">
        <f t="shared" si="475"/>
        <v>3.60104267885593e-5</v>
      </c>
      <c r="FX258" s="117">
        <f t="shared" si="475"/>
        <v>4.06513727934142e-5</v>
      </c>
      <c r="FY258" s="117">
        <f t="shared" si="475"/>
        <v>3.78802275998163e-5</v>
      </c>
      <c r="FZ258" s="117">
        <f t="shared" si="475"/>
        <v>3.47398979069474e-5</v>
      </c>
      <c r="GA258" s="117">
        <f t="shared" si="475"/>
        <v>3.30044321246337e-5</v>
      </c>
      <c r="GB258" s="116">
        <f t="shared" si="475"/>
        <v>5.86010166514586e-5</v>
      </c>
    </row>
    <row r="259" spans="1:184">
      <c r="A259" s="147" t="s">
        <v>119</v>
      </c>
      <c r="B259" s="160">
        <f t="shared" si="217"/>
        <v>0.191643997860613</v>
      </c>
      <c r="C259" s="117">
        <f t="shared" ref="C259:AH259" si="476">C47/C$211</f>
        <v>7.35157012110054e-5</v>
      </c>
      <c r="D259" s="117">
        <f t="shared" si="476"/>
        <v>0.000131869654878073</v>
      </c>
      <c r="E259" s="117">
        <f t="shared" si="476"/>
        <v>7.36536573351378e-5</v>
      </c>
      <c r="F259" s="117">
        <f t="shared" si="476"/>
        <v>4.11549111649117e-5</v>
      </c>
      <c r="G259" s="117">
        <f t="shared" si="476"/>
        <v>4.89576443544093e-5</v>
      </c>
      <c r="H259" s="117">
        <f t="shared" si="476"/>
        <v>0</v>
      </c>
      <c r="I259" s="117">
        <f t="shared" si="476"/>
        <v>0</v>
      </c>
      <c r="J259" s="117">
        <f t="shared" si="476"/>
        <v>0</v>
      </c>
      <c r="K259" s="117">
        <f t="shared" si="476"/>
        <v>0</v>
      </c>
      <c r="L259" s="117">
        <f t="shared" si="476"/>
        <v>0</v>
      </c>
      <c r="M259" s="117">
        <f t="shared" si="476"/>
        <v>0.00349783567283499</v>
      </c>
      <c r="N259" s="117">
        <f t="shared" si="476"/>
        <v>0</v>
      </c>
      <c r="O259" s="9">
        <f t="shared" si="476"/>
        <v>0.000335456849876612</v>
      </c>
      <c r="P259" s="117">
        <f t="shared" si="476"/>
        <v>0</v>
      </c>
      <c r="Q259" s="117">
        <f t="shared" si="476"/>
        <v>0</v>
      </c>
      <c r="R259" s="117">
        <f t="shared" si="476"/>
        <v>0</v>
      </c>
      <c r="S259" s="117">
        <f t="shared" si="476"/>
        <v>0</v>
      </c>
      <c r="T259" s="117">
        <f t="shared" si="476"/>
        <v>0</v>
      </c>
      <c r="U259" s="117">
        <f t="shared" si="476"/>
        <v>0</v>
      </c>
      <c r="V259" s="117">
        <f t="shared" si="476"/>
        <v>0</v>
      </c>
      <c r="W259" s="117">
        <f t="shared" si="476"/>
        <v>0</v>
      </c>
      <c r="X259" s="117">
        <f t="shared" si="476"/>
        <v>0</v>
      </c>
      <c r="Y259" s="117">
        <f t="shared" si="476"/>
        <v>0</v>
      </c>
      <c r="Z259" s="117">
        <f t="shared" si="476"/>
        <v>0</v>
      </c>
      <c r="AA259" s="117">
        <f t="shared" si="476"/>
        <v>0</v>
      </c>
      <c r="AB259" s="9">
        <f t="shared" si="476"/>
        <v>0</v>
      </c>
      <c r="AC259" s="117">
        <f t="shared" si="476"/>
        <v>0</v>
      </c>
      <c r="AD259" s="117">
        <f t="shared" si="476"/>
        <v>0</v>
      </c>
      <c r="AE259" s="117">
        <f t="shared" si="476"/>
        <v>0</v>
      </c>
      <c r="AF259" s="117">
        <f t="shared" si="476"/>
        <v>0</v>
      </c>
      <c r="AG259" s="117">
        <f t="shared" si="476"/>
        <v>0</v>
      </c>
      <c r="AH259" s="117">
        <f t="shared" si="476"/>
        <v>0</v>
      </c>
      <c r="AI259" s="117">
        <f t="shared" ref="AI259:BN259" si="477">AI47/AI$211</f>
        <v>0</v>
      </c>
      <c r="AJ259" s="117">
        <f t="shared" si="477"/>
        <v>0</v>
      </c>
      <c r="AK259" s="117">
        <f t="shared" si="477"/>
        <v>0</v>
      </c>
      <c r="AL259" s="117">
        <f t="shared" si="477"/>
        <v>0</v>
      </c>
      <c r="AM259" s="117">
        <f t="shared" si="477"/>
        <v>0</v>
      </c>
      <c r="AN259" s="117">
        <f t="shared" si="477"/>
        <v>0</v>
      </c>
      <c r="AO259" s="9">
        <f t="shared" si="477"/>
        <v>0</v>
      </c>
      <c r="AP259" s="144">
        <f t="shared" si="477"/>
        <v>0</v>
      </c>
      <c r="AQ259" s="144">
        <f t="shared" si="477"/>
        <v>0</v>
      </c>
      <c r="AR259" s="144">
        <f t="shared" si="477"/>
        <v>0</v>
      </c>
      <c r="AS259" s="144">
        <f t="shared" si="477"/>
        <v>0</v>
      </c>
      <c r="AT259" s="144">
        <f t="shared" si="477"/>
        <v>0</v>
      </c>
      <c r="AU259" s="144">
        <f t="shared" si="477"/>
        <v>0</v>
      </c>
      <c r="AV259" s="144">
        <f t="shared" si="477"/>
        <v>0</v>
      </c>
      <c r="AW259" s="144">
        <f t="shared" si="477"/>
        <v>0</v>
      </c>
      <c r="AX259" s="144">
        <f t="shared" si="477"/>
        <v>0</v>
      </c>
      <c r="AY259" s="144">
        <f t="shared" si="477"/>
        <v>0</v>
      </c>
      <c r="AZ259" s="144">
        <f t="shared" si="477"/>
        <v>0</v>
      </c>
      <c r="BA259" s="144">
        <f t="shared" si="477"/>
        <v>0</v>
      </c>
      <c r="BB259" s="9">
        <f t="shared" si="477"/>
        <v>0</v>
      </c>
      <c r="BC259" s="144">
        <f t="shared" si="477"/>
        <v>6.60630945639022e-6</v>
      </c>
      <c r="BD259" s="144">
        <f t="shared" si="477"/>
        <v>1.41865170780624e-5</v>
      </c>
      <c r="BE259" s="144">
        <f t="shared" si="477"/>
        <v>3.09105109792353e-5</v>
      </c>
      <c r="BF259" s="144">
        <f t="shared" si="477"/>
        <v>0</v>
      </c>
      <c r="BG259" s="144">
        <f t="shared" si="477"/>
        <v>0</v>
      </c>
      <c r="BH259" s="144">
        <f t="shared" si="477"/>
        <v>0</v>
      </c>
      <c r="BI259" s="144">
        <f t="shared" si="477"/>
        <v>0</v>
      </c>
      <c r="BJ259" s="144">
        <f t="shared" si="477"/>
        <v>0</v>
      </c>
      <c r="BK259" s="144">
        <f t="shared" si="477"/>
        <v>0</v>
      </c>
      <c r="BL259" s="144">
        <f t="shared" si="477"/>
        <v>0</v>
      </c>
      <c r="BM259" s="144">
        <f t="shared" si="477"/>
        <v>0</v>
      </c>
      <c r="BN259" s="144">
        <f t="shared" si="477"/>
        <v>0</v>
      </c>
      <c r="BO259" s="9">
        <f t="shared" ref="BO259:CT259" si="478">BO47/BO$211</f>
        <v>4.51245853542453e-6</v>
      </c>
      <c r="BP259" s="144">
        <f t="shared" si="478"/>
        <v>0.000277595246299626</v>
      </c>
      <c r="BQ259" s="144">
        <f t="shared" si="478"/>
        <v>0.000537768156738046</v>
      </c>
      <c r="BR259" s="144">
        <f t="shared" si="478"/>
        <v>0.000269647749550434</v>
      </c>
      <c r="BS259" s="144">
        <f t="shared" si="478"/>
        <v>0.000160393047858255</v>
      </c>
      <c r="BT259" s="144">
        <f t="shared" si="478"/>
        <v>0.000135712879702555</v>
      </c>
      <c r="BU259" s="144">
        <f t="shared" si="478"/>
        <v>0</v>
      </c>
      <c r="BV259" s="144">
        <f t="shared" si="478"/>
        <v>0</v>
      </c>
      <c r="BW259" s="144">
        <f t="shared" si="478"/>
        <v>0</v>
      </c>
      <c r="BX259" s="144">
        <f t="shared" si="478"/>
        <v>0</v>
      </c>
      <c r="BY259" s="144">
        <f t="shared" si="478"/>
        <v>0</v>
      </c>
      <c r="BZ259" s="144">
        <f t="shared" si="478"/>
        <v>0</v>
      </c>
      <c r="CA259" s="144">
        <f t="shared" si="478"/>
        <v>0</v>
      </c>
      <c r="CB259" s="9">
        <f t="shared" si="478"/>
        <v>0.000142760167415543</v>
      </c>
      <c r="CC259" s="144">
        <f t="shared" si="478"/>
        <v>0.000494375479482277</v>
      </c>
      <c r="CD259" s="144">
        <f t="shared" si="478"/>
        <v>0.00126430495698738</v>
      </c>
      <c r="CE259" s="144">
        <f t="shared" si="478"/>
        <v>0.00130877669995677</v>
      </c>
      <c r="CF259" s="144">
        <f t="shared" si="478"/>
        <v>0.000411805212028952</v>
      </c>
      <c r="CG259" s="144">
        <f t="shared" si="478"/>
        <v>0.000802903812920148</v>
      </c>
      <c r="CH259" s="144">
        <f t="shared" si="478"/>
        <v>0</v>
      </c>
      <c r="CI259" s="144">
        <f t="shared" si="478"/>
        <v>0</v>
      </c>
      <c r="CJ259" s="144">
        <f t="shared" si="478"/>
        <v>0</v>
      </c>
      <c r="CK259" s="144">
        <f t="shared" si="478"/>
        <v>0</v>
      </c>
      <c r="CL259" s="144">
        <f t="shared" si="478"/>
        <v>0</v>
      </c>
      <c r="CM259" s="144">
        <f t="shared" si="478"/>
        <v>0</v>
      </c>
      <c r="CN259" s="144">
        <f t="shared" si="478"/>
        <v>0</v>
      </c>
      <c r="CO259" s="9">
        <f t="shared" si="478"/>
        <v>0.00029876214957144</v>
      </c>
      <c r="CP259" s="144">
        <f t="shared" si="478"/>
        <v>0</v>
      </c>
      <c r="CQ259" s="144">
        <f t="shared" si="478"/>
        <v>0</v>
      </c>
      <c r="CR259" s="144">
        <f t="shared" si="478"/>
        <v>0</v>
      </c>
      <c r="CS259" s="144">
        <f t="shared" si="478"/>
        <v>0</v>
      </c>
      <c r="CT259" s="144">
        <f t="shared" si="478"/>
        <v>0</v>
      </c>
      <c r="CU259" s="144">
        <f t="shared" ref="CU259:EB259" si="479">CU47/CU$211</f>
        <v>0</v>
      </c>
      <c r="CV259" s="144">
        <f t="shared" si="479"/>
        <v>0</v>
      </c>
      <c r="CW259" s="144">
        <f t="shared" si="479"/>
        <v>0</v>
      </c>
      <c r="CX259" s="144">
        <f t="shared" si="479"/>
        <v>0</v>
      </c>
      <c r="CY259" s="144">
        <f t="shared" si="479"/>
        <v>0</v>
      </c>
      <c r="CZ259" s="144">
        <f t="shared" si="479"/>
        <v>0</v>
      </c>
      <c r="DA259" s="144">
        <f t="shared" si="479"/>
        <v>0</v>
      </c>
      <c r="DB259" s="9">
        <f t="shared" si="479"/>
        <v>0</v>
      </c>
      <c r="DC259" s="144">
        <f t="shared" si="479"/>
        <v>0</v>
      </c>
      <c r="DD259" s="144">
        <f t="shared" si="479"/>
        <v>0</v>
      </c>
      <c r="DE259" s="144">
        <f t="shared" si="479"/>
        <v>0</v>
      </c>
      <c r="DF259" s="144">
        <f t="shared" si="479"/>
        <v>0</v>
      </c>
      <c r="DG259" s="144">
        <f t="shared" si="479"/>
        <v>0</v>
      </c>
      <c r="DH259" s="144">
        <f t="shared" si="479"/>
        <v>0</v>
      </c>
      <c r="DI259" s="144">
        <f t="shared" si="479"/>
        <v>0</v>
      </c>
      <c r="DJ259" s="144">
        <f t="shared" si="479"/>
        <v>0</v>
      </c>
      <c r="DK259" s="144">
        <f t="shared" si="479"/>
        <v>0</v>
      </c>
      <c r="DL259" s="144">
        <f t="shared" si="479"/>
        <v>0</v>
      </c>
      <c r="DM259" s="144">
        <f t="shared" si="479"/>
        <v>0</v>
      </c>
      <c r="DN259" s="144">
        <f t="shared" si="479"/>
        <v>0</v>
      </c>
      <c r="DO259" s="9">
        <f t="shared" si="479"/>
        <v>0</v>
      </c>
      <c r="DP259" s="144">
        <f t="shared" si="479"/>
        <v>4.77513366696609e-5</v>
      </c>
      <c r="DQ259" s="144">
        <f t="shared" si="479"/>
        <v>5.17260021637537e-6</v>
      </c>
      <c r="DR259" s="144">
        <f t="shared" si="479"/>
        <v>0</v>
      </c>
      <c r="DS259" s="144">
        <f t="shared" si="479"/>
        <v>0</v>
      </c>
      <c r="DT259" s="144">
        <f t="shared" si="479"/>
        <v>0</v>
      </c>
      <c r="DU259" s="144">
        <f t="shared" si="479"/>
        <v>0</v>
      </c>
      <c r="DV259" s="144">
        <f t="shared" si="479"/>
        <v>0</v>
      </c>
      <c r="DW259" s="144">
        <f t="shared" si="479"/>
        <v>0</v>
      </c>
      <c r="DX259" s="144">
        <f t="shared" si="479"/>
        <v>0</v>
      </c>
      <c r="DY259" s="144">
        <f t="shared" si="479"/>
        <v>0</v>
      </c>
      <c r="DZ259" s="144">
        <f t="shared" si="479"/>
        <v>0</v>
      </c>
      <c r="EA259" s="144">
        <f t="shared" si="479"/>
        <v>0</v>
      </c>
      <c r="EB259" s="117">
        <f t="shared" si="479"/>
        <v>6.58253987043585e-6</v>
      </c>
      <c r="EC259" s="118"/>
      <c r="ED259" s="117">
        <f t="shared" ref="ED259:FB259" si="480">ED47/ED$211</f>
        <v>0</v>
      </c>
      <c r="EE259" s="117">
        <f t="shared" si="480"/>
        <v>0</v>
      </c>
      <c r="EF259" s="117">
        <f t="shared" si="480"/>
        <v>0</v>
      </c>
      <c r="EG259" s="117" t="e">
        <f t="shared" si="480"/>
        <v>#DIV/0!</v>
      </c>
      <c r="EH259" s="117" t="e">
        <f t="shared" si="480"/>
        <v>#DIV/0!</v>
      </c>
      <c r="EI259" s="117" t="e">
        <f t="shared" si="480"/>
        <v>#DIV/0!</v>
      </c>
      <c r="EJ259" s="117" t="e">
        <f t="shared" si="480"/>
        <v>#DIV/0!</v>
      </c>
      <c r="EK259" s="117" t="e">
        <f t="shared" si="480"/>
        <v>#DIV/0!</v>
      </c>
      <c r="EL259" s="117" t="e">
        <f t="shared" si="480"/>
        <v>#DIV/0!</v>
      </c>
      <c r="EM259" s="117" t="e">
        <f t="shared" si="480"/>
        <v>#DIV/0!</v>
      </c>
      <c r="EN259" s="117" t="e">
        <f t="shared" si="480"/>
        <v>#DIV/0!</v>
      </c>
      <c r="EO259" s="116">
        <f t="shared" si="480"/>
        <v>0</v>
      </c>
      <c r="EP259" s="117">
        <f t="shared" si="480"/>
        <v>0</v>
      </c>
      <c r="EQ259" s="117">
        <f t="shared" si="480"/>
        <v>0</v>
      </c>
      <c r="ER259" s="117">
        <f t="shared" si="480"/>
        <v>0</v>
      </c>
      <c r="ES259" s="117">
        <f t="shared" si="480"/>
        <v>0</v>
      </c>
      <c r="ET259" s="117">
        <f t="shared" si="480"/>
        <v>0</v>
      </c>
      <c r="EU259" s="117">
        <f t="shared" si="480"/>
        <v>0</v>
      </c>
      <c r="EV259" s="117">
        <f t="shared" si="480"/>
        <v>0</v>
      </c>
      <c r="EW259" s="117">
        <f t="shared" si="480"/>
        <v>0</v>
      </c>
      <c r="EX259" s="117">
        <f t="shared" si="480"/>
        <v>0</v>
      </c>
      <c r="EY259" s="117">
        <f t="shared" si="480"/>
        <v>0</v>
      </c>
      <c r="EZ259" s="117">
        <f t="shared" si="480"/>
        <v>0</v>
      </c>
      <c r="FA259" s="117">
        <f t="shared" si="480"/>
        <v>0</v>
      </c>
      <c r="FB259" s="117">
        <f t="shared" si="480"/>
        <v>0</v>
      </c>
      <c r="FC259" s="118"/>
      <c r="FD259" s="117"/>
      <c r="FE259" s="117"/>
      <c r="FF259" s="117"/>
      <c r="FG259" s="117"/>
      <c r="FH259" s="117"/>
      <c r="FI259" s="117"/>
      <c r="FJ259" s="117"/>
      <c r="FK259" s="117" t="e">
        <f t="shared" si="211"/>
        <v>#DIV/0!</v>
      </c>
      <c r="FL259" s="117" t="e">
        <f t="shared" si="212"/>
        <v>#DIV/0!</v>
      </c>
      <c r="FM259" s="117" t="e">
        <f t="shared" si="213"/>
        <v>#DIV/0!</v>
      </c>
      <c r="FN259" s="117" t="e">
        <f t="shared" si="214"/>
        <v>#DIV/0!</v>
      </c>
      <c r="FO259" s="9" t="e">
        <f t="shared" si="215"/>
        <v>#DIV/0!</v>
      </c>
      <c r="FP259" s="118">
        <f t="shared" ref="FP259:GB259" si="481">FP47/FP$211</f>
        <v>4.42875541393612e-7</v>
      </c>
      <c r="FQ259" s="117">
        <f t="shared" si="481"/>
        <v>8.97049585264903e-7</v>
      </c>
      <c r="FR259" s="117">
        <f t="shared" si="481"/>
        <v>0</v>
      </c>
      <c r="FS259" s="117">
        <f t="shared" si="481"/>
        <v>1.25655235170235e-6</v>
      </c>
      <c r="FT259" s="117">
        <f t="shared" si="481"/>
        <v>1.62987730304054e-6</v>
      </c>
      <c r="FU259" s="117">
        <f t="shared" si="481"/>
        <v>0</v>
      </c>
      <c r="FV259" s="117">
        <f t="shared" si="481"/>
        <v>0</v>
      </c>
      <c r="FW259" s="117">
        <f t="shared" si="481"/>
        <v>0</v>
      </c>
      <c r="FX259" s="117">
        <f t="shared" si="481"/>
        <v>0</v>
      </c>
      <c r="FY259" s="117">
        <f t="shared" si="481"/>
        <v>0</v>
      </c>
      <c r="FZ259" s="117">
        <f t="shared" si="481"/>
        <v>0.0139760375715136</v>
      </c>
      <c r="GA259" s="117">
        <f t="shared" si="481"/>
        <v>0</v>
      </c>
      <c r="GB259" s="116">
        <f t="shared" si="481"/>
        <v>0.00124911712673779</v>
      </c>
    </row>
    <row r="260" spans="1:184">
      <c r="A260" s="147" t="s">
        <v>121</v>
      </c>
      <c r="B260" s="160">
        <f t="shared" si="217"/>
        <v>-0.622503209045256</v>
      </c>
      <c r="C260" s="117">
        <f t="shared" ref="C260:AH260" si="482">C48/C$211</f>
        <v>0.000701191262425522</v>
      </c>
      <c r="D260" s="117">
        <f t="shared" si="482"/>
        <v>0.000436123155465045</v>
      </c>
      <c r="E260" s="117">
        <f t="shared" si="482"/>
        <v>0.000416421168564749</v>
      </c>
      <c r="F260" s="117">
        <f t="shared" si="482"/>
        <v>0.00113918144217621</v>
      </c>
      <c r="G260" s="117">
        <f t="shared" si="482"/>
        <v>0.00038182661781582</v>
      </c>
      <c r="H260" s="117">
        <f t="shared" si="482"/>
        <v>0.00101665079402207</v>
      </c>
      <c r="I260" s="117">
        <f t="shared" si="482"/>
        <v>0.000412830961557244</v>
      </c>
      <c r="J260" s="117">
        <f t="shared" si="482"/>
        <v>0.000140707556677598</v>
      </c>
      <c r="K260" s="117">
        <f t="shared" si="482"/>
        <v>0.00010328606737908</v>
      </c>
      <c r="L260" s="117">
        <f t="shared" si="482"/>
        <v>0.000106162463272803</v>
      </c>
      <c r="M260" s="117">
        <f t="shared" si="482"/>
        <v>0.000102508408212148</v>
      </c>
      <c r="N260" s="117">
        <f t="shared" si="482"/>
        <v>0.000105345810368404</v>
      </c>
      <c r="O260" s="9">
        <f t="shared" si="482"/>
        <v>0.000411545485795128</v>
      </c>
      <c r="P260" s="117">
        <f t="shared" si="482"/>
        <v>0.00166529021449967</v>
      </c>
      <c r="Q260" s="117">
        <f t="shared" si="482"/>
        <v>0.000581030890279782</v>
      </c>
      <c r="R260" s="117">
        <f t="shared" si="482"/>
        <v>0.000399399750035797</v>
      </c>
      <c r="S260" s="117">
        <f t="shared" si="482"/>
        <v>0.000488191065998462</v>
      </c>
      <c r="T260" s="117">
        <f t="shared" si="482"/>
        <v>0.000363807941328116</v>
      </c>
      <c r="U260" s="117">
        <f t="shared" si="482"/>
        <v>0.000300147752278814</v>
      </c>
      <c r="V260" s="117">
        <f t="shared" si="482"/>
        <v>0.000269143564706352</v>
      </c>
      <c r="W260" s="117">
        <f t="shared" si="482"/>
        <v>0.000196771492122273</v>
      </c>
      <c r="X260" s="117">
        <f t="shared" si="482"/>
        <v>0.000201486325621776</v>
      </c>
      <c r="Y260" s="117">
        <f t="shared" si="482"/>
        <v>0.00020385713963396</v>
      </c>
      <c r="Z260" s="117">
        <f t="shared" si="482"/>
        <v>0.000203663324018482</v>
      </c>
      <c r="AA260" s="117">
        <f t="shared" si="482"/>
        <v>0.000215503136210787</v>
      </c>
      <c r="AB260" s="9">
        <f t="shared" si="482"/>
        <v>0.000458243841712158</v>
      </c>
      <c r="AC260" s="117">
        <f t="shared" si="482"/>
        <v>0</v>
      </c>
      <c r="AD260" s="117">
        <f t="shared" si="482"/>
        <v>0</v>
      </c>
      <c r="AE260" s="117">
        <f t="shared" si="482"/>
        <v>0</v>
      </c>
      <c r="AF260" s="117">
        <f t="shared" si="482"/>
        <v>0</v>
      </c>
      <c r="AG260" s="117">
        <f t="shared" si="482"/>
        <v>0</v>
      </c>
      <c r="AH260" s="117">
        <f t="shared" si="482"/>
        <v>0</v>
      </c>
      <c r="AI260" s="117">
        <f t="shared" ref="AI260:BN260" si="483">AI48/AI$211</f>
        <v>0</v>
      </c>
      <c r="AJ260" s="117">
        <f t="shared" si="483"/>
        <v>0</v>
      </c>
      <c r="AK260" s="117">
        <f t="shared" si="483"/>
        <v>0</v>
      </c>
      <c r="AL260" s="117">
        <f t="shared" si="483"/>
        <v>0</v>
      </c>
      <c r="AM260" s="117">
        <f t="shared" si="483"/>
        <v>0</v>
      </c>
      <c r="AN260" s="117">
        <f t="shared" si="483"/>
        <v>0</v>
      </c>
      <c r="AO260" s="9">
        <f t="shared" si="483"/>
        <v>0</v>
      </c>
      <c r="AP260" s="144">
        <f t="shared" si="483"/>
        <v>0.00064955143059617</v>
      </c>
      <c r="AQ260" s="144">
        <f t="shared" si="483"/>
        <v>0.000360152639174384</v>
      </c>
      <c r="AR260" s="144">
        <f t="shared" si="483"/>
        <v>0.000249083250252431</v>
      </c>
      <c r="AS260" s="144">
        <f t="shared" si="483"/>
        <v>0.000149638628823814</v>
      </c>
      <c r="AT260" s="144">
        <f t="shared" si="483"/>
        <v>0.000154403265934301</v>
      </c>
      <c r="AU260" s="144">
        <f t="shared" si="483"/>
        <v>0</v>
      </c>
      <c r="AV260" s="144">
        <f t="shared" si="483"/>
        <v>0</v>
      </c>
      <c r="AW260" s="144">
        <f t="shared" si="483"/>
        <v>0</v>
      </c>
      <c r="AX260" s="144">
        <f t="shared" si="483"/>
        <v>0</v>
      </c>
      <c r="AY260" s="144">
        <f t="shared" si="483"/>
        <v>0</v>
      </c>
      <c r="AZ260" s="144">
        <f t="shared" si="483"/>
        <v>0</v>
      </c>
      <c r="BA260" s="144">
        <f t="shared" si="483"/>
        <v>0</v>
      </c>
      <c r="BB260" s="9">
        <f t="shared" si="483"/>
        <v>0.000131079737110867</v>
      </c>
      <c r="BC260" s="144">
        <f t="shared" si="483"/>
        <v>0.000583933508402844</v>
      </c>
      <c r="BD260" s="144">
        <f t="shared" si="483"/>
        <v>0.000394224256573022</v>
      </c>
      <c r="BE260" s="144">
        <f t="shared" si="483"/>
        <v>0.000323650789297974</v>
      </c>
      <c r="BF260" s="144">
        <f t="shared" si="483"/>
        <v>0.000268523346635857</v>
      </c>
      <c r="BG260" s="144">
        <f t="shared" si="483"/>
        <v>0.000228096170158338</v>
      </c>
      <c r="BH260" s="144">
        <f t="shared" si="483"/>
        <v>0.000241135454668263</v>
      </c>
      <c r="BI260" s="144">
        <f t="shared" si="483"/>
        <v>0.00019857678499291</v>
      </c>
      <c r="BJ260" s="144">
        <f t="shared" si="483"/>
        <v>0.000176426314329964</v>
      </c>
      <c r="BK260" s="144">
        <f t="shared" si="483"/>
        <v>0</v>
      </c>
      <c r="BL260" s="144">
        <f t="shared" si="483"/>
        <v>0</v>
      </c>
      <c r="BM260" s="144">
        <f t="shared" si="483"/>
        <v>0</v>
      </c>
      <c r="BN260" s="144">
        <f t="shared" si="483"/>
        <v>0</v>
      </c>
      <c r="BO260" s="9">
        <f t="shared" ref="BO260:CT260" si="484">BO48/BO$211</f>
        <v>0.000210766981154262</v>
      </c>
      <c r="BP260" s="144">
        <f t="shared" si="484"/>
        <v>0.000403510693934294</v>
      </c>
      <c r="BQ260" s="144">
        <f t="shared" si="484"/>
        <v>0.000447535548868569</v>
      </c>
      <c r="BR260" s="144">
        <f t="shared" si="484"/>
        <v>0.000550167272703131</v>
      </c>
      <c r="BS260" s="144">
        <f t="shared" si="484"/>
        <v>0.000546313034978841</v>
      </c>
      <c r="BT260" s="144">
        <f t="shared" si="484"/>
        <v>0.000519740882505342</v>
      </c>
      <c r="BU260" s="144">
        <f t="shared" si="484"/>
        <v>0.000402149373913271</v>
      </c>
      <c r="BV260" s="144">
        <f t="shared" si="484"/>
        <v>0.000359927868085914</v>
      </c>
      <c r="BW260" s="144">
        <f t="shared" si="484"/>
        <v>0.000354947762467944</v>
      </c>
      <c r="BX260" s="144">
        <f t="shared" si="484"/>
        <v>0.000319243219270092</v>
      </c>
      <c r="BY260" s="144">
        <f t="shared" si="484"/>
        <v>0.000333716701948815</v>
      </c>
      <c r="BZ260" s="144">
        <f t="shared" si="484"/>
        <v>0.000331681965614095</v>
      </c>
      <c r="CA260" s="144">
        <f t="shared" si="484"/>
        <v>0.000384729468532106</v>
      </c>
      <c r="CB260" s="9">
        <f t="shared" si="484"/>
        <v>0.00041370522624933</v>
      </c>
      <c r="CC260" s="144">
        <f t="shared" si="484"/>
        <v>0.000293905425825468</v>
      </c>
      <c r="CD260" s="144">
        <f t="shared" si="484"/>
        <v>0.000124057242584863</v>
      </c>
      <c r="CE260" s="144">
        <f t="shared" si="484"/>
        <v>0.000492320798893053</v>
      </c>
      <c r="CF260" s="144">
        <f t="shared" si="484"/>
        <v>0.000327545281218111</v>
      </c>
      <c r="CG260" s="144">
        <f t="shared" si="484"/>
        <v>0.000247839322555269</v>
      </c>
      <c r="CH260" s="144">
        <f t="shared" si="484"/>
        <v>0.000375421415801514</v>
      </c>
      <c r="CI260" s="144">
        <f t="shared" si="484"/>
        <v>0.000426006191105667</v>
      </c>
      <c r="CJ260" s="144">
        <f t="shared" si="484"/>
        <v>0</v>
      </c>
      <c r="CK260" s="144">
        <f t="shared" si="484"/>
        <v>0</v>
      </c>
      <c r="CL260" s="144">
        <f t="shared" si="484"/>
        <v>0</v>
      </c>
      <c r="CM260" s="144">
        <f t="shared" si="484"/>
        <v>0</v>
      </c>
      <c r="CN260" s="144">
        <f t="shared" si="484"/>
        <v>0</v>
      </c>
      <c r="CO260" s="9">
        <f t="shared" si="484"/>
        <v>0.000191206922297527</v>
      </c>
      <c r="CP260" s="144">
        <f t="shared" si="484"/>
        <v>0.000552503015903053</v>
      </c>
      <c r="CQ260" s="144">
        <f t="shared" si="484"/>
        <v>0.000181939950061868</v>
      </c>
      <c r="CR260" s="144">
        <f t="shared" si="484"/>
        <v>0.000167583575434947</v>
      </c>
      <c r="CS260" s="144">
        <f t="shared" si="484"/>
        <v>0.000125974339368567</v>
      </c>
      <c r="CT260" s="144">
        <f t="shared" si="484"/>
        <v>0.000107898347482441</v>
      </c>
      <c r="CU260" s="144">
        <f t="shared" ref="CU260:EB260" si="485">CU48/CU$211</f>
        <v>0.000156001851142099</v>
      </c>
      <c r="CV260" s="144">
        <f t="shared" si="485"/>
        <v>0.000144560215316393</v>
      </c>
      <c r="CW260" s="144">
        <f t="shared" si="485"/>
        <v>0.000135436399009221</v>
      </c>
      <c r="CX260" s="144">
        <f t="shared" si="485"/>
        <v>0</v>
      </c>
      <c r="CY260" s="144">
        <f t="shared" si="485"/>
        <v>0</v>
      </c>
      <c r="CZ260" s="144">
        <f t="shared" si="485"/>
        <v>0</v>
      </c>
      <c r="DA260" s="144">
        <f t="shared" si="485"/>
        <v>0</v>
      </c>
      <c r="DB260" s="9">
        <f t="shared" si="485"/>
        <v>0.000145369889529684</v>
      </c>
      <c r="DC260" s="144">
        <f t="shared" si="485"/>
        <v>0.000460072724664362</v>
      </c>
      <c r="DD260" s="144">
        <f t="shared" si="485"/>
        <v>0.000390381154860133</v>
      </c>
      <c r="DE260" s="144">
        <f t="shared" si="485"/>
        <v>0.000369557616105421</v>
      </c>
      <c r="DF260" s="144">
        <f t="shared" si="485"/>
        <v>0.000296576904368637</v>
      </c>
      <c r="DG260" s="144">
        <f t="shared" si="485"/>
        <v>0.00663729404970252</v>
      </c>
      <c r="DH260" s="144">
        <f t="shared" si="485"/>
        <v>0.000303890681566608</v>
      </c>
      <c r="DI260" s="144">
        <f t="shared" si="485"/>
        <v>0.000293062177671423</v>
      </c>
      <c r="DJ260" s="144">
        <f t="shared" si="485"/>
        <v>0.000286244005037618</v>
      </c>
      <c r="DK260" s="144">
        <f t="shared" si="485"/>
        <v>0.000286526407145719</v>
      </c>
      <c r="DL260" s="144">
        <f t="shared" si="485"/>
        <v>0.000283096183295889</v>
      </c>
      <c r="DM260" s="144">
        <f t="shared" si="485"/>
        <v>0.000314806034998979</v>
      </c>
      <c r="DN260" s="144">
        <f t="shared" si="485"/>
        <v>0.000285303755465738</v>
      </c>
      <c r="DO260" s="9">
        <f t="shared" si="485"/>
        <v>0.000826538852104538</v>
      </c>
      <c r="DP260" s="144">
        <f t="shared" si="485"/>
        <v>0.00167058662712272</v>
      </c>
      <c r="DQ260" s="144">
        <f t="shared" si="485"/>
        <v>0.00129515241530301</v>
      </c>
      <c r="DR260" s="144">
        <f t="shared" si="485"/>
        <v>0.000972901245344242</v>
      </c>
      <c r="DS260" s="144">
        <f t="shared" si="485"/>
        <v>0.00904658404752939</v>
      </c>
      <c r="DT260" s="144">
        <f t="shared" si="485"/>
        <v>0.000634991388235559</v>
      </c>
      <c r="DU260" s="144">
        <f t="shared" si="485"/>
        <v>0.000512587492079891</v>
      </c>
      <c r="DV260" s="144">
        <f t="shared" si="485"/>
        <v>0.000299989174589238</v>
      </c>
      <c r="DW260" s="144">
        <f t="shared" si="485"/>
        <v>0.000178992717225237</v>
      </c>
      <c r="DX260" s="144">
        <f t="shared" si="485"/>
        <v>0</v>
      </c>
      <c r="DY260" s="144">
        <f t="shared" si="485"/>
        <v>0</v>
      </c>
      <c r="DZ260" s="144">
        <f t="shared" si="485"/>
        <v>0</v>
      </c>
      <c r="EA260" s="144">
        <f t="shared" si="485"/>
        <v>0</v>
      </c>
      <c r="EB260" s="117">
        <f t="shared" si="485"/>
        <v>0.00134998094386261</v>
      </c>
      <c r="EC260" s="118"/>
      <c r="ED260" s="117">
        <f t="shared" ref="ED260:FB260" si="486">ED48/ED$211</f>
        <v>0</v>
      </c>
      <c r="EE260" s="117">
        <f t="shared" si="486"/>
        <v>0</v>
      </c>
      <c r="EF260" s="117">
        <f t="shared" si="486"/>
        <v>0</v>
      </c>
      <c r="EG260" s="117" t="e">
        <f t="shared" si="486"/>
        <v>#DIV/0!</v>
      </c>
      <c r="EH260" s="117" t="e">
        <f t="shared" si="486"/>
        <v>#DIV/0!</v>
      </c>
      <c r="EI260" s="117" t="e">
        <f t="shared" si="486"/>
        <v>#DIV/0!</v>
      </c>
      <c r="EJ260" s="117" t="e">
        <f t="shared" si="486"/>
        <v>#DIV/0!</v>
      </c>
      <c r="EK260" s="117" t="e">
        <f t="shared" si="486"/>
        <v>#DIV/0!</v>
      </c>
      <c r="EL260" s="117" t="e">
        <f t="shared" si="486"/>
        <v>#DIV/0!</v>
      </c>
      <c r="EM260" s="117" t="e">
        <f t="shared" si="486"/>
        <v>#DIV/0!</v>
      </c>
      <c r="EN260" s="117" t="e">
        <f t="shared" si="486"/>
        <v>#DIV/0!</v>
      </c>
      <c r="EO260" s="116">
        <f t="shared" si="486"/>
        <v>0.00101614825446329</v>
      </c>
      <c r="EP260" s="117">
        <f t="shared" si="486"/>
        <v>0.00139092522617181</v>
      </c>
      <c r="EQ260" s="117">
        <f t="shared" si="486"/>
        <v>0.000943908604722412</v>
      </c>
      <c r="ER260" s="117">
        <f t="shared" si="486"/>
        <v>0.0010547193900692</v>
      </c>
      <c r="ES260" s="117">
        <f t="shared" si="486"/>
        <v>0.000657082811216897</v>
      </c>
      <c r="ET260" s="117">
        <f t="shared" si="486"/>
        <v>0.000813796903462674</v>
      </c>
      <c r="EU260" s="117">
        <f t="shared" si="486"/>
        <v>0.0010856995392415</v>
      </c>
      <c r="EV260" s="117">
        <f t="shared" si="486"/>
        <v>0.000288566662662921</v>
      </c>
      <c r="EW260" s="117">
        <f t="shared" si="486"/>
        <v>0.000219858522724109</v>
      </c>
      <c r="EX260" s="117">
        <f t="shared" si="486"/>
        <v>0.00015370162377858</v>
      </c>
      <c r="EY260" s="117">
        <f t="shared" si="486"/>
        <v>0.000160718003619283</v>
      </c>
      <c r="EZ260" s="117">
        <f t="shared" si="486"/>
        <v>0.000158329560680982</v>
      </c>
      <c r="FA260" s="117">
        <f t="shared" si="486"/>
        <v>0.000121460187507946</v>
      </c>
      <c r="FB260" s="117">
        <f t="shared" si="486"/>
        <v>0.000542492185330664</v>
      </c>
      <c r="FC260" s="118"/>
      <c r="FD260" s="117"/>
      <c r="FE260" s="117"/>
      <c r="FF260" s="117"/>
      <c r="FG260" s="117"/>
      <c r="FH260" s="117"/>
      <c r="FI260" s="117"/>
      <c r="FJ260" s="117"/>
      <c r="FK260" s="117" t="e">
        <f t="shared" si="211"/>
        <v>#DIV/0!</v>
      </c>
      <c r="FL260" s="117" t="e">
        <f t="shared" si="212"/>
        <v>#DIV/0!</v>
      </c>
      <c r="FM260" s="117" t="e">
        <f t="shared" si="213"/>
        <v>#DIV/0!</v>
      </c>
      <c r="FN260" s="117" t="e">
        <f t="shared" si="214"/>
        <v>#DIV/0!</v>
      </c>
      <c r="FO260" s="9" t="e">
        <f t="shared" si="215"/>
        <v>#DIV/0!</v>
      </c>
      <c r="FP260" s="118">
        <f t="shared" ref="FP260:GB260" si="487">FP48/FP$211</f>
        <v>0.000422235438748627</v>
      </c>
      <c r="FQ260" s="117">
        <f t="shared" si="487"/>
        <v>0.000313461479677937</v>
      </c>
      <c r="FR260" s="117">
        <f t="shared" si="487"/>
        <v>0.000352305657057186</v>
      </c>
      <c r="FS260" s="117">
        <f t="shared" si="487"/>
        <v>0.000176068772654728</v>
      </c>
      <c r="FT260" s="117">
        <f t="shared" si="487"/>
        <v>0.000186388329959745</v>
      </c>
      <c r="FU260" s="117">
        <f t="shared" si="487"/>
        <v>0.00400710902218067</v>
      </c>
      <c r="FV260" s="117">
        <f t="shared" si="487"/>
        <v>0.00105790999480767</v>
      </c>
      <c r="FW260" s="117">
        <f t="shared" si="487"/>
        <v>4.82071786867182e-5</v>
      </c>
      <c r="FX260" s="117">
        <f t="shared" si="487"/>
        <v>5.44200157254209e-5</v>
      </c>
      <c r="FY260" s="117">
        <f t="shared" si="487"/>
        <v>5.07102820891326e-5</v>
      </c>
      <c r="FZ260" s="117">
        <f t="shared" si="487"/>
        <v>4.65063209550914e-5</v>
      </c>
      <c r="GA260" s="117">
        <f t="shared" si="487"/>
        <v>4.4183051931819e-5</v>
      </c>
      <c r="GB260" s="116">
        <f t="shared" si="487"/>
        <v>0.000447649911170412</v>
      </c>
    </row>
    <row r="261" spans="1:184">
      <c r="A261" s="147" t="s">
        <v>123</v>
      </c>
      <c r="B261" s="160">
        <f t="shared" si="217"/>
        <v>-0.985070934898832</v>
      </c>
      <c r="C261" s="117">
        <f t="shared" ref="C261:AH261" si="488">C49/C$211</f>
        <v>3.42749695894357e-6</v>
      </c>
      <c r="D261" s="117">
        <f t="shared" si="488"/>
        <v>3.07410048135511e-6</v>
      </c>
      <c r="E261" s="117">
        <f t="shared" si="488"/>
        <v>3.16369722778545e-6</v>
      </c>
      <c r="F261" s="117">
        <f t="shared" si="488"/>
        <v>2.35359085017018e-6</v>
      </c>
      <c r="G261" s="117">
        <f t="shared" si="488"/>
        <v>2.40544940098207e-6</v>
      </c>
      <c r="H261" s="117">
        <f t="shared" si="488"/>
        <v>0</v>
      </c>
      <c r="I261" s="117">
        <f t="shared" si="488"/>
        <v>0</v>
      </c>
      <c r="J261" s="117">
        <f t="shared" si="488"/>
        <v>0</v>
      </c>
      <c r="K261" s="117">
        <f t="shared" si="488"/>
        <v>0</v>
      </c>
      <c r="L261" s="117">
        <f t="shared" si="488"/>
        <v>0</v>
      </c>
      <c r="M261" s="117">
        <f t="shared" si="488"/>
        <v>0</v>
      </c>
      <c r="N261" s="117">
        <f t="shared" si="488"/>
        <v>0</v>
      </c>
      <c r="O261" s="9">
        <f t="shared" si="488"/>
        <v>1.2893344956876e-6</v>
      </c>
      <c r="P261" s="117">
        <f t="shared" si="488"/>
        <v>1.96643375497853e-6</v>
      </c>
      <c r="Q261" s="117">
        <f t="shared" si="488"/>
        <v>0</v>
      </c>
      <c r="R261" s="117">
        <f t="shared" si="488"/>
        <v>0</v>
      </c>
      <c r="S261" s="117">
        <f t="shared" si="488"/>
        <v>0</v>
      </c>
      <c r="T261" s="117">
        <f t="shared" si="488"/>
        <v>0</v>
      </c>
      <c r="U261" s="117">
        <f t="shared" si="488"/>
        <v>0</v>
      </c>
      <c r="V261" s="117">
        <f t="shared" si="488"/>
        <v>0</v>
      </c>
      <c r="W261" s="117">
        <f t="shared" si="488"/>
        <v>0</v>
      </c>
      <c r="X261" s="117">
        <f t="shared" si="488"/>
        <v>0</v>
      </c>
      <c r="Y261" s="117">
        <f t="shared" si="488"/>
        <v>0</v>
      </c>
      <c r="Z261" s="117">
        <f t="shared" si="488"/>
        <v>0</v>
      </c>
      <c r="AA261" s="117">
        <f t="shared" si="488"/>
        <v>0</v>
      </c>
      <c r="AB261" s="9">
        <f t="shared" si="488"/>
        <v>2.23077270430137e-7</v>
      </c>
      <c r="AC261" s="117">
        <f t="shared" si="488"/>
        <v>0</v>
      </c>
      <c r="AD261" s="117">
        <f t="shared" si="488"/>
        <v>0</v>
      </c>
      <c r="AE261" s="117">
        <f t="shared" si="488"/>
        <v>0</v>
      </c>
      <c r="AF261" s="117">
        <f t="shared" si="488"/>
        <v>0</v>
      </c>
      <c r="AG261" s="117">
        <f t="shared" si="488"/>
        <v>0</v>
      </c>
      <c r="AH261" s="117">
        <f t="shared" si="488"/>
        <v>0</v>
      </c>
      <c r="AI261" s="117">
        <f t="shared" ref="AI261:BN261" si="489">AI49/AI$211</f>
        <v>0</v>
      </c>
      <c r="AJ261" s="117">
        <f t="shared" si="489"/>
        <v>0</v>
      </c>
      <c r="AK261" s="117">
        <f t="shared" si="489"/>
        <v>0</v>
      </c>
      <c r="AL261" s="117">
        <f t="shared" si="489"/>
        <v>0</v>
      </c>
      <c r="AM261" s="117">
        <f t="shared" si="489"/>
        <v>0</v>
      </c>
      <c r="AN261" s="117">
        <f t="shared" si="489"/>
        <v>0</v>
      </c>
      <c r="AO261" s="9">
        <f t="shared" si="489"/>
        <v>0</v>
      </c>
      <c r="AP261" s="144">
        <f t="shared" si="489"/>
        <v>0</v>
      </c>
      <c r="AQ261" s="144">
        <f t="shared" si="489"/>
        <v>0</v>
      </c>
      <c r="AR261" s="144">
        <f t="shared" si="489"/>
        <v>0</v>
      </c>
      <c r="AS261" s="144">
        <f t="shared" si="489"/>
        <v>0</v>
      </c>
      <c r="AT261" s="144">
        <f t="shared" si="489"/>
        <v>0</v>
      </c>
      <c r="AU261" s="144">
        <f t="shared" si="489"/>
        <v>0</v>
      </c>
      <c r="AV261" s="144">
        <f t="shared" si="489"/>
        <v>0</v>
      </c>
      <c r="AW261" s="144">
        <f t="shared" si="489"/>
        <v>0</v>
      </c>
      <c r="AX261" s="144">
        <f t="shared" si="489"/>
        <v>0</v>
      </c>
      <c r="AY261" s="144">
        <f t="shared" si="489"/>
        <v>0</v>
      </c>
      <c r="AZ261" s="144">
        <f t="shared" si="489"/>
        <v>0</v>
      </c>
      <c r="BA261" s="144">
        <f t="shared" si="489"/>
        <v>0</v>
      </c>
      <c r="BB261" s="9">
        <f t="shared" si="489"/>
        <v>0</v>
      </c>
      <c r="BC261" s="144">
        <f t="shared" si="489"/>
        <v>0</v>
      </c>
      <c r="BD261" s="144">
        <f t="shared" si="489"/>
        <v>0</v>
      </c>
      <c r="BE261" s="144">
        <f t="shared" si="489"/>
        <v>0</v>
      </c>
      <c r="BF261" s="144">
        <f t="shared" si="489"/>
        <v>0</v>
      </c>
      <c r="BG261" s="144">
        <f t="shared" si="489"/>
        <v>0</v>
      </c>
      <c r="BH261" s="144">
        <f t="shared" si="489"/>
        <v>0</v>
      </c>
      <c r="BI261" s="144">
        <f t="shared" si="489"/>
        <v>0</v>
      </c>
      <c r="BJ261" s="144">
        <f t="shared" si="489"/>
        <v>0</v>
      </c>
      <c r="BK261" s="144">
        <f t="shared" si="489"/>
        <v>0</v>
      </c>
      <c r="BL261" s="144">
        <f t="shared" si="489"/>
        <v>0</v>
      </c>
      <c r="BM261" s="144">
        <f t="shared" si="489"/>
        <v>0</v>
      </c>
      <c r="BN261" s="144">
        <f t="shared" si="489"/>
        <v>0</v>
      </c>
      <c r="BO261" s="9">
        <f t="shared" ref="BO261:CT261" si="490">BO49/BO$211</f>
        <v>0</v>
      </c>
      <c r="BP261" s="144">
        <f t="shared" si="490"/>
        <v>0</v>
      </c>
      <c r="BQ261" s="144">
        <f t="shared" si="490"/>
        <v>0</v>
      </c>
      <c r="BR261" s="144">
        <f t="shared" si="490"/>
        <v>0</v>
      </c>
      <c r="BS261" s="144">
        <f t="shared" si="490"/>
        <v>0</v>
      </c>
      <c r="BT261" s="144">
        <f t="shared" si="490"/>
        <v>0</v>
      </c>
      <c r="BU261" s="144">
        <f t="shared" si="490"/>
        <v>0</v>
      </c>
      <c r="BV261" s="144">
        <f t="shared" si="490"/>
        <v>0</v>
      </c>
      <c r="BW261" s="144">
        <f t="shared" si="490"/>
        <v>0</v>
      </c>
      <c r="BX261" s="144">
        <f t="shared" si="490"/>
        <v>0</v>
      </c>
      <c r="BY261" s="144">
        <f t="shared" si="490"/>
        <v>0</v>
      </c>
      <c r="BZ261" s="144">
        <f t="shared" si="490"/>
        <v>0</v>
      </c>
      <c r="CA261" s="144">
        <f t="shared" si="490"/>
        <v>0</v>
      </c>
      <c r="CB261" s="9">
        <f t="shared" si="490"/>
        <v>0</v>
      </c>
      <c r="CC261" s="144">
        <f t="shared" si="490"/>
        <v>0</v>
      </c>
      <c r="CD261" s="144">
        <f t="shared" si="490"/>
        <v>0</v>
      </c>
      <c r="CE261" s="144">
        <f t="shared" si="490"/>
        <v>0</v>
      </c>
      <c r="CF261" s="144">
        <f t="shared" si="490"/>
        <v>0</v>
      </c>
      <c r="CG261" s="144">
        <f t="shared" si="490"/>
        <v>0</v>
      </c>
      <c r="CH261" s="144">
        <f t="shared" si="490"/>
        <v>0</v>
      </c>
      <c r="CI261" s="144">
        <f t="shared" si="490"/>
        <v>0</v>
      </c>
      <c r="CJ261" s="144">
        <f t="shared" si="490"/>
        <v>0</v>
      </c>
      <c r="CK261" s="144">
        <f t="shared" si="490"/>
        <v>0</v>
      </c>
      <c r="CL261" s="144">
        <f t="shared" si="490"/>
        <v>0</v>
      </c>
      <c r="CM261" s="144">
        <f t="shared" si="490"/>
        <v>0</v>
      </c>
      <c r="CN261" s="144">
        <f t="shared" si="490"/>
        <v>0</v>
      </c>
      <c r="CO261" s="9">
        <f t="shared" si="490"/>
        <v>0</v>
      </c>
      <c r="CP261" s="144">
        <f t="shared" si="490"/>
        <v>0</v>
      </c>
      <c r="CQ261" s="144">
        <f t="shared" si="490"/>
        <v>0</v>
      </c>
      <c r="CR261" s="144">
        <f t="shared" si="490"/>
        <v>0</v>
      </c>
      <c r="CS261" s="144">
        <f t="shared" si="490"/>
        <v>1.57994925295752e-5</v>
      </c>
      <c r="CT261" s="144">
        <f t="shared" si="490"/>
        <v>0</v>
      </c>
      <c r="CU261" s="144">
        <f t="shared" ref="CU261:EB261" si="491">CU49/CU$211</f>
        <v>0</v>
      </c>
      <c r="CV261" s="144">
        <f t="shared" si="491"/>
        <v>0</v>
      </c>
      <c r="CW261" s="144">
        <f t="shared" si="491"/>
        <v>0</v>
      </c>
      <c r="CX261" s="144">
        <f t="shared" si="491"/>
        <v>0</v>
      </c>
      <c r="CY261" s="144">
        <f t="shared" si="491"/>
        <v>0</v>
      </c>
      <c r="CZ261" s="144">
        <f t="shared" si="491"/>
        <v>0</v>
      </c>
      <c r="DA261" s="144">
        <f t="shared" si="491"/>
        <v>0</v>
      </c>
      <c r="DB261" s="9">
        <f t="shared" si="491"/>
        <v>1.17140564336203e-6</v>
      </c>
      <c r="DC261" s="144">
        <f t="shared" si="491"/>
        <v>0</v>
      </c>
      <c r="DD261" s="144">
        <f t="shared" si="491"/>
        <v>0</v>
      </c>
      <c r="DE261" s="144">
        <f t="shared" si="491"/>
        <v>0</v>
      </c>
      <c r="DF261" s="144">
        <f t="shared" si="491"/>
        <v>0</v>
      </c>
      <c r="DG261" s="144">
        <f t="shared" si="491"/>
        <v>0</v>
      </c>
      <c r="DH261" s="144">
        <f t="shared" si="491"/>
        <v>0</v>
      </c>
      <c r="DI261" s="144">
        <f t="shared" si="491"/>
        <v>0</v>
      </c>
      <c r="DJ261" s="144">
        <f t="shared" si="491"/>
        <v>0</v>
      </c>
      <c r="DK261" s="144">
        <f t="shared" si="491"/>
        <v>0</v>
      </c>
      <c r="DL261" s="144">
        <f t="shared" si="491"/>
        <v>0</v>
      </c>
      <c r="DM261" s="144">
        <f t="shared" si="491"/>
        <v>0</v>
      </c>
      <c r="DN261" s="144">
        <f t="shared" si="491"/>
        <v>0</v>
      </c>
      <c r="DO261" s="9">
        <f t="shared" si="491"/>
        <v>0</v>
      </c>
      <c r="DP261" s="144">
        <f t="shared" si="491"/>
        <v>0</v>
      </c>
      <c r="DQ261" s="144">
        <f t="shared" si="491"/>
        <v>0</v>
      </c>
      <c r="DR261" s="144">
        <f t="shared" si="491"/>
        <v>0</v>
      </c>
      <c r="DS261" s="144">
        <f t="shared" si="491"/>
        <v>0</v>
      </c>
      <c r="DT261" s="144">
        <f t="shared" si="491"/>
        <v>0</v>
      </c>
      <c r="DU261" s="144">
        <f t="shared" si="491"/>
        <v>0</v>
      </c>
      <c r="DV261" s="144">
        <f t="shared" si="491"/>
        <v>0</v>
      </c>
      <c r="DW261" s="144">
        <f t="shared" si="491"/>
        <v>0</v>
      </c>
      <c r="DX261" s="144">
        <f t="shared" si="491"/>
        <v>0</v>
      </c>
      <c r="DY261" s="144">
        <f t="shared" si="491"/>
        <v>0</v>
      </c>
      <c r="DZ261" s="144">
        <f t="shared" si="491"/>
        <v>0</v>
      </c>
      <c r="EA261" s="144">
        <f t="shared" si="491"/>
        <v>0</v>
      </c>
      <c r="EB261" s="117">
        <f t="shared" si="491"/>
        <v>0</v>
      </c>
      <c r="EC261" s="118"/>
      <c r="ED261" s="117">
        <f t="shared" ref="ED261:FB261" si="492">ED49/ED$211</f>
        <v>0</v>
      </c>
      <c r="EE261" s="117">
        <f t="shared" si="492"/>
        <v>0</v>
      </c>
      <c r="EF261" s="117">
        <f t="shared" si="492"/>
        <v>0</v>
      </c>
      <c r="EG261" s="117" t="e">
        <f t="shared" si="492"/>
        <v>#DIV/0!</v>
      </c>
      <c r="EH261" s="117" t="e">
        <f t="shared" si="492"/>
        <v>#DIV/0!</v>
      </c>
      <c r="EI261" s="117" t="e">
        <f t="shared" si="492"/>
        <v>#DIV/0!</v>
      </c>
      <c r="EJ261" s="117" t="e">
        <f t="shared" si="492"/>
        <v>#DIV/0!</v>
      </c>
      <c r="EK261" s="117" t="e">
        <f t="shared" si="492"/>
        <v>#DIV/0!</v>
      </c>
      <c r="EL261" s="117" t="e">
        <f t="shared" si="492"/>
        <v>#DIV/0!</v>
      </c>
      <c r="EM261" s="117" t="e">
        <f t="shared" si="492"/>
        <v>#DIV/0!</v>
      </c>
      <c r="EN261" s="117" t="e">
        <f t="shared" si="492"/>
        <v>#DIV/0!</v>
      </c>
      <c r="EO261" s="116">
        <f t="shared" si="492"/>
        <v>0</v>
      </c>
      <c r="EP261" s="117">
        <f t="shared" si="492"/>
        <v>0</v>
      </c>
      <c r="EQ261" s="117">
        <f t="shared" si="492"/>
        <v>0</v>
      </c>
      <c r="ER261" s="117">
        <f t="shared" si="492"/>
        <v>0</v>
      </c>
      <c r="ES261" s="117">
        <f t="shared" si="492"/>
        <v>0</v>
      </c>
      <c r="ET261" s="117">
        <f t="shared" si="492"/>
        <v>0</v>
      </c>
      <c r="EU261" s="117">
        <f t="shared" si="492"/>
        <v>0</v>
      </c>
      <c r="EV261" s="117">
        <f t="shared" si="492"/>
        <v>0</v>
      </c>
      <c r="EW261" s="117">
        <f t="shared" si="492"/>
        <v>0</v>
      </c>
      <c r="EX261" s="117">
        <f t="shared" si="492"/>
        <v>0</v>
      </c>
      <c r="EY261" s="117">
        <f t="shared" si="492"/>
        <v>0</v>
      </c>
      <c r="EZ261" s="117">
        <f t="shared" si="492"/>
        <v>0</v>
      </c>
      <c r="FA261" s="117">
        <f t="shared" si="492"/>
        <v>0</v>
      </c>
      <c r="FB261" s="117">
        <f t="shared" si="492"/>
        <v>0</v>
      </c>
      <c r="FC261" s="118"/>
      <c r="FD261" s="117"/>
      <c r="FE261" s="117"/>
      <c r="FF261" s="117"/>
      <c r="FG261" s="117"/>
      <c r="FH261" s="117"/>
      <c r="FI261" s="117"/>
      <c r="FJ261" s="117"/>
      <c r="FK261" s="117" t="e">
        <f t="shared" si="211"/>
        <v>#DIV/0!</v>
      </c>
      <c r="FL261" s="117" t="e">
        <f t="shared" si="212"/>
        <v>#DIV/0!</v>
      </c>
      <c r="FM261" s="117" t="e">
        <f t="shared" si="213"/>
        <v>#DIV/0!</v>
      </c>
      <c r="FN261" s="117" t="e">
        <f t="shared" si="214"/>
        <v>#DIV/0!</v>
      </c>
      <c r="FO261" s="9" t="e">
        <f t="shared" si="215"/>
        <v>#DIV/0!</v>
      </c>
      <c r="FP261" s="118">
        <f t="shared" ref="FP261:GB261" si="493">FP49/FP$211</f>
        <v>1.20331037803633e-5</v>
      </c>
      <c r="FQ261" s="117">
        <f t="shared" si="493"/>
        <v>1.26433786886024e-5</v>
      </c>
      <c r="FR261" s="117">
        <f t="shared" si="493"/>
        <v>1.18384421809473e-5</v>
      </c>
      <c r="FS261" s="117">
        <f t="shared" si="493"/>
        <v>4.45807586307653e-6</v>
      </c>
      <c r="FT261" s="117">
        <f t="shared" si="493"/>
        <v>1.14683373230872e-5</v>
      </c>
      <c r="FU261" s="117">
        <f t="shared" si="493"/>
        <v>0</v>
      </c>
      <c r="FV261" s="117">
        <f t="shared" si="493"/>
        <v>0</v>
      </c>
      <c r="FW261" s="117">
        <f t="shared" si="493"/>
        <v>0</v>
      </c>
      <c r="FX261" s="117">
        <f t="shared" si="493"/>
        <v>0</v>
      </c>
      <c r="FY261" s="117">
        <f t="shared" si="493"/>
        <v>0</v>
      </c>
      <c r="FZ261" s="117">
        <f t="shared" si="493"/>
        <v>0</v>
      </c>
      <c r="GA261" s="117">
        <f t="shared" si="493"/>
        <v>0</v>
      </c>
      <c r="GB261" s="116">
        <f t="shared" si="493"/>
        <v>4.83290039226659e-6</v>
      </c>
    </row>
    <row r="262" spans="1:184">
      <c r="A262" s="147" t="s">
        <v>125</v>
      </c>
      <c r="B262" s="160">
        <f t="shared" si="217"/>
        <v>-0.83409110764845</v>
      </c>
      <c r="C262" s="117">
        <f t="shared" ref="C262:AH262" si="494">C50/C$211</f>
        <v>9.47809444804434e-5</v>
      </c>
      <c r="D262" s="117">
        <f t="shared" si="494"/>
        <v>9.96922624230746e-5</v>
      </c>
      <c r="E262" s="117">
        <f t="shared" si="494"/>
        <v>9.73163567790958e-5</v>
      </c>
      <c r="F262" s="117">
        <f t="shared" si="494"/>
        <v>8.65890312800369e-5</v>
      </c>
      <c r="G262" s="117">
        <f t="shared" si="494"/>
        <v>7.19504678820329e-5</v>
      </c>
      <c r="H262" s="117">
        <f t="shared" si="494"/>
        <v>7.55658018399941e-5</v>
      </c>
      <c r="I262" s="117">
        <f t="shared" si="494"/>
        <v>6.74547361465399e-5</v>
      </c>
      <c r="J262" s="117">
        <f t="shared" si="494"/>
        <v>6.08444909342757e-5</v>
      </c>
      <c r="K262" s="117">
        <f t="shared" si="494"/>
        <v>2.55232694950393e-5</v>
      </c>
      <c r="L262" s="117">
        <f t="shared" si="494"/>
        <v>9.22596317325033e-6</v>
      </c>
      <c r="M262" s="117">
        <f t="shared" si="494"/>
        <v>8.99928703267536e-6</v>
      </c>
      <c r="N262" s="117">
        <f t="shared" si="494"/>
        <v>9.32448140625076e-6</v>
      </c>
      <c r="O262" s="9">
        <f t="shared" si="494"/>
        <v>5.95579369458622e-5</v>
      </c>
      <c r="P262" s="117">
        <f t="shared" si="494"/>
        <v>4.68733696370573e-5</v>
      </c>
      <c r="Q262" s="117">
        <f t="shared" si="494"/>
        <v>0.000124681742478254</v>
      </c>
      <c r="R262" s="117">
        <f t="shared" si="494"/>
        <v>8.10544988280142e-5</v>
      </c>
      <c r="S262" s="117">
        <f t="shared" si="494"/>
        <v>0.00012677101497353</v>
      </c>
      <c r="T262" s="117">
        <f t="shared" si="494"/>
        <v>0.000126189880722904</v>
      </c>
      <c r="U262" s="117">
        <f t="shared" si="494"/>
        <v>8.82787506702393e-5</v>
      </c>
      <c r="V262" s="117">
        <f t="shared" si="494"/>
        <v>7.91598719724563e-5</v>
      </c>
      <c r="W262" s="117">
        <f t="shared" si="494"/>
        <v>6.5590497374091e-5</v>
      </c>
      <c r="X262" s="117">
        <f t="shared" si="494"/>
        <v>6.7162108540592e-5</v>
      </c>
      <c r="Y262" s="117">
        <f t="shared" si="494"/>
        <v>0</v>
      </c>
      <c r="Z262" s="117">
        <f t="shared" si="494"/>
        <v>0</v>
      </c>
      <c r="AA262" s="117">
        <f t="shared" si="494"/>
        <v>0</v>
      </c>
      <c r="AB262" s="9">
        <f t="shared" si="494"/>
        <v>6.29580476755504e-5</v>
      </c>
      <c r="AC262" s="117">
        <f t="shared" si="494"/>
        <v>0.000177205921477663</v>
      </c>
      <c r="AD262" s="117">
        <f t="shared" si="494"/>
        <v>0.000160187929364227</v>
      </c>
      <c r="AE262" s="117">
        <f t="shared" si="494"/>
        <v>0.000101364768977063</v>
      </c>
      <c r="AF262" s="117">
        <f t="shared" si="494"/>
        <v>0.000147964119885802</v>
      </c>
      <c r="AG262" s="117">
        <f t="shared" si="494"/>
        <v>0.000145145971353669</v>
      </c>
      <c r="AH262" s="117">
        <f t="shared" si="494"/>
        <v>0.000100866971722255</v>
      </c>
      <c r="AI262" s="117">
        <f t="shared" ref="AI262:BN262" si="495">AI50/AI$211</f>
        <v>9.05819298239473e-5</v>
      </c>
      <c r="AJ262" s="117">
        <f t="shared" si="495"/>
        <v>7.13743418292218e-5</v>
      </c>
      <c r="AK262" s="117">
        <f t="shared" si="495"/>
        <v>7.04229574758881e-5</v>
      </c>
      <c r="AL262" s="117">
        <f t="shared" si="495"/>
        <v>0</v>
      </c>
      <c r="AM262" s="117">
        <f t="shared" si="495"/>
        <v>0</v>
      </c>
      <c r="AN262" s="117">
        <f t="shared" si="495"/>
        <v>0</v>
      </c>
      <c r="AO262" s="9">
        <f t="shared" si="495"/>
        <v>8.32236775885411e-5</v>
      </c>
      <c r="AP262" s="144">
        <f t="shared" si="495"/>
        <v>0.000139539639197946</v>
      </c>
      <c r="AQ262" s="144">
        <f t="shared" si="495"/>
        <v>0.000153914043741104</v>
      </c>
      <c r="AR262" s="144">
        <f t="shared" si="495"/>
        <v>0.000111524583330985</v>
      </c>
      <c r="AS262" s="144">
        <f t="shared" si="495"/>
        <v>9.09968095535531e-5</v>
      </c>
      <c r="AT262" s="144">
        <f t="shared" si="495"/>
        <v>8.20908610257975e-5</v>
      </c>
      <c r="AU262" s="144">
        <f t="shared" si="495"/>
        <v>8.48156640463839e-5</v>
      </c>
      <c r="AV262" s="144">
        <f t="shared" si="495"/>
        <v>6.99088263946009e-5</v>
      </c>
      <c r="AW262" s="144">
        <f t="shared" si="495"/>
        <v>6.15932141139313e-5</v>
      </c>
      <c r="AX262" s="144">
        <f t="shared" si="495"/>
        <v>6.12923183299756e-5</v>
      </c>
      <c r="AY262" s="144">
        <f t="shared" si="495"/>
        <v>6.55991384012682e-5</v>
      </c>
      <c r="AZ262" s="144">
        <f t="shared" si="495"/>
        <v>6.30921960775003e-5</v>
      </c>
      <c r="BA262" s="144">
        <f t="shared" si="495"/>
        <v>5.91804979122126e-5</v>
      </c>
      <c r="BB262" s="9">
        <f t="shared" si="495"/>
        <v>8.61540500268379e-5</v>
      </c>
      <c r="BC262" s="144">
        <f t="shared" si="495"/>
        <v>0.000113020725226531</v>
      </c>
      <c r="BD262" s="144">
        <f t="shared" si="495"/>
        <v>9.94685102084932e-5</v>
      </c>
      <c r="BE262" s="144">
        <f t="shared" si="495"/>
        <v>7.51304002438182e-5</v>
      </c>
      <c r="BF262" s="144">
        <f t="shared" si="495"/>
        <v>3.27446835790704e-6</v>
      </c>
      <c r="BG262" s="144">
        <f t="shared" si="495"/>
        <v>0</v>
      </c>
      <c r="BH262" s="144">
        <f t="shared" si="495"/>
        <v>0</v>
      </c>
      <c r="BI262" s="144">
        <f t="shared" si="495"/>
        <v>0</v>
      </c>
      <c r="BJ262" s="144">
        <f t="shared" si="495"/>
        <v>0</v>
      </c>
      <c r="BK262" s="144">
        <f t="shared" si="495"/>
        <v>0</v>
      </c>
      <c r="BL262" s="144">
        <f t="shared" si="495"/>
        <v>0</v>
      </c>
      <c r="BM262" s="144">
        <f t="shared" si="495"/>
        <v>0</v>
      </c>
      <c r="BN262" s="144">
        <f t="shared" si="495"/>
        <v>0</v>
      </c>
      <c r="BO262" s="9">
        <f t="shared" ref="BO262:CT262" si="496">BO50/BO$211</f>
        <v>2.92819985417688e-5</v>
      </c>
      <c r="BP262" s="144">
        <f t="shared" si="496"/>
        <v>0</v>
      </c>
      <c r="BQ262" s="144">
        <f t="shared" si="496"/>
        <v>0</v>
      </c>
      <c r="BR262" s="144">
        <f t="shared" si="496"/>
        <v>0</v>
      </c>
      <c r="BS262" s="144">
        <f t="shared" si="496"/>
        <v>0</v>
      </c>
      <c r="BT262" s="144">
        <f t="shared" si="496"/>
        <v>0</v>
      </c>
      <c r="BU262" s="144">
        <f t="shared" si="496"/>
        <v>0</v>
      </c>
      <c r="BV262" s="144">
        <f t="shared" si="496"/>
        <v>0</v>
      </c>
      <c r="BW262" s="144">
        <f t="shared" si="496"/>
        <v>0</v>
      </c>
      <c r="BX262" s="144">
        <f t="shared" si="496"/>
        <v>0</v>
      </c>
      <c r="BY262" s="144">
        <f t="shared" si="496"/>
        <v>0</v>
      </c>
      <c r="BZ262" s="144">
        <f t="shared" si="496"/>
        <v>0</v>
      </c>
      <c r="CA262" s="144">
        <f t="shared" si="496"/>
        <v>0</v>
      </c>
      <c r="CB262" s="9">
        <f t="shared" si="496"/>
        <v>0</v>
      </c>
      <c r="CC262" s="144">
        <f t="shared" si="496"/>
        <v>4.68335561610557e-5</v>
      </c>
      <c r="CD262" s="144">
        <f t="shared" si="496"/>
        <v>0.000572362000811689</v>
      </c>
      <c r="CE262" s="144">
        <f t="shared" si="496"/>
        <v>0.000983466663941096</v>
      </c>
      <c r="CF262" s="144">
        <f t="shared" si="496"/>
        <v>0.000447482337006699</v>
      </c>
      <c r="CG262" s="144">
        <f t="shared" si="496"/>
        <v>0.000195206825053184</v>
      </c>
      <c r="CH262" s="144">
        <f t="shared" si="496"/>
        <v>7.7393812812485e-5</v>
      </c>
      <c r="CI262" s="144">
        <f t="shared" si="496"/>
        <v>0.000100896203156605</v>
      </c>
      <c r="CJ262" s="144">
        <f t="shared" si="496"/>
        <v>9.54688144557952e-5</v>
      </c>
      <c r="CK262" s="144">
        <f t="shared" si="496"/>
        <v>0</v>
      </c>
      <c r="CL262" s="144">
        <f t="shared" si="496"/>
        <v>0</v>
      </c>
      <c r="CM262" s="144">
        <f t="shared" si="496"/>
        <v>0</v>
      </c>
      <c r="CN262" s="144">
        <f t="shared" si="496"/>
        <v>0</v>
      </c>
      <c r="CO262" s="9">
        <f t="shared" si="496"/>
        <v>0.000169726688040382</v>
      </c>
      <c r="CP262" s="144">
        <f t="shared" si="496"/>
        <v>0.000506364791405276</v>
      </c>
      <c r="CQ262" s="144">
        <f t="shared" si="496"/>
        <v>0.000436655880148483</v>
      </c>
      <c r="CR262" s="144">
        <f t="shared" si="496"/>
        <v>0.000490696013771403</v>
      </c>
      <c r="CS262" s="144">
        <f t="shared" si="496"/>
        <v>0.000343804967860048</v>
      </c>
      <c r="CT262" s="144">
        <f t="shared" si="496"/>
        <v>0.000240889333914287</v>
      </c>
      <c r="CU262" s="144">
        <f t="shared" ref="CU262:EB262" si="497">CU50/CU$211</f>
        <v>0.000374404442741038</v>
      </c>
      <c r="CV262" s="144">
        <f t="shared" si="497"/>
        <v>0.000346944516759344</v>
      </c>
      <c r="CW262" s="144">
        <f t="shared" si="497"/>
        <v>0.000325047357622129</v>
      </c>
      <c r="CX262" s="144">
        <f t="shared" si="497"/>
        <v>0</v>
      </c>
      <c r="CY262" s="144">
        <f t="shared" si="497"/>
        <v>0</v>
      </c>
      <c r="CZ262" s="144">
        <f t="shared" si="497"/>
        <v>0</v>
      </c>
      <c r="DA262" s="144">
        <f t="shared" si="497"/>
        <v>0</v>
      </c>
      <c r="DB262" s="9">
        <f t="shared" si="497"/>
        <v>0.000269171242216824</v>
      </c>
      <c r="DC262" s="144">
        <f t="shared" si="497"/>
        <v>0</v>
      </c>
      <c r="DD262" s="144">
        <f t="shared" si="497"/>
        <v>0</v>
      </c>
      <c r="DE262" s="144">
        <f t="shared" si="497"/>
        <v>0</v>
      </c>
      <c r="DF262" s="144">
        <f t="shared" si="497"/>
        <v>0</v>
      </c>
      <c r="DG262" s="144">
        <f t="shared" si="497"/>
        <v>0</v>
      </c>
      <c r="DH262" s="144">
        <f t="shared" si="497"/>
        <v>0</v>
      </c>
      <c r="DI262" s="144">
        <f t="shared" si="497"/>
        <v>0</v>
      </c>
      <c r="DJ262" s="144">
        <f t="shared" si="497"/>
        <v>0</v>
      </c>
      <c r="DK262" s="144">
        <f t="shared" si="497"/>
        <v>0</v>
      </c>
      <c r="DL262" s="144">
        <f t="shared" si="497"/>
        <v>0</v>
      </c>
      <c r="DM262" s="144">
        <f t="shared" si="497"/>
        <v>0</v>
      </c>
      <c r="DN262" s="144">
        <f t="shared" si="497"/>
        <v>0</v>
      </c>
      <c r="DO262" s="9">
        <f t="shared" si="497"/>
        <v>0</v>
      </c>
      <c r="DP262" s="144">
        <f t="shared" si="497"/>
        <v>0</v>
      </c>
      <c r="DQ262" s="144">
        <f t="shared" si="497"/>
        <v>0</v>
      </c>
      <c r="DR262" s="144">
        <f t="shared" si="497"/>
        <v>0</v>
      </c>
      <c r="DS262" s="144">
        <f t="shared" si="497"/>
        <v>0</v>
      </c>
      <c r="DT262" s="144">
        <f t="shared" si="497"/>
        <v>0</v>
      </c>
      <c r="DU262" s="144">
        <f t="shared" si="497"/>
        <v>0</v>
      </c>
      <c r="DV262" s="144">
        <f t="shared" si="497"/>
        <v>0</v>
      </c>
      <c r="DW262" s="144">
        <f t="shared" si="497"/>
        <v>0</v>
      </c>
      <c r="DX262" s="144">
        <f t="shared" si="497"/>
        <v>0</v>
      </c>
      <c r="DY262" s="144">
        <f t="shared" si="497"/>
        <v>0</v>
      </c>
      <c r="DZ262" s="144">
        <f t="shared" si="497"/>
        <v>0</v>
      </c>
      <c r="EA262" s="144">
        <f t="shared" si="497"/>
        <v>0</v>
      </c>
      <c r="EB262" s="117">
        <f t="shared" si="497"/>
        <v>0</v>
      </c>
      <c r="EC262" s="118"/>
      <c r="ED262" s="117">
        <f t="shared" ref="ED262:FB262" si="498">ED50/ED$211</f>
        <v>0</v>
      </c>
      <c r="EE262" s="117">
        <f t="shared" si="498"/>
        <v>0</v>
      </c>
      <c r="EF262" s="117">
        <f t="shared" si="498"/>
        <v>0</v>
      </c>
      <c r="EG262" s="117" t="e">
        <f t="shared" si="498"/>
        <v>#DIV/0!</v>
      </c>
      <c r="EH262" s="117" t="e">
        <f t="shared" si="498"/>
        <v>#DIV/0!</v>
      </c>
      <c r="EI262" s="117" t="e">
        <f t="shared" si="498"/>
        <v>#DIV/0!</v>
      </c>
      <c r="EJ262" s="117" t="e">
        <f t="shared" si="498"/>
        <v>#DIV/0!</v>
      </c>
      <c r="EK262" s="117" t="e">
        <f t="shared" si="498"/>
        <v>#DIV/0!</v>
      </c>
      <c r="EL262" s="117" t="e">
        <f t="shared" si="498"/>
        <v>#DIV/0!</v>
      </c>
      <c r="EM262" s="117" t="e">
        <f t="shared" si="498"/>
        <v>#DIV/0!</v>
      </c>
      <c r="EN262" s="117" t="e">
        <f t="shared" si="498"/>
        <v>#DIV/0!</v>
      </c>
      <c r="EO262" s="116">
        <f t="shared" si="498"/>
        <v>0</v>
      </c>
      <c r="EP262" s="117">
        <f t="shared" si="498"/>
        <v>0.000695462145831094</v>
      </c>
      <c r="EQ262" s="117">
        <f t="shared" si="498"/>
        <v>0.000212659556214388</v>
      </c>
      <c r="ER262" s="117">
        <f t="shared" si="498"/>
        <v>0.000151446771713044</v>
      </c>
      <c r="ES262" s="117">
        <f t="shared" si="498"/>
        <v>0.000201047922087252</v>
      </c>
      <c r="ET262" s="117">
        <f t="shared" si="498"/>
        <v>0.000113816717219359</v>
      </c>
      <c r="EU262" s="117">
        <f t="shared" si="498"/>
        <v>0.000234379847761416</v>
      </c>
      <c r="EV262" s="117">
        <f t="shared" si="498"/>
        <v>0.000262492416006295</v>
      </c>
      <c r="EW262" s="117">
        <f t="shared" si="498"/>
        <v>0.000312488424884554</v>
      </c>
      <c r="EX262" s="117">
        <f t="shared" si="498"/>
        <v>0</v>
      </c>
      <c r="EY262" s="117">
        <f t="shared" si="498"/>
        <v>0</v>
      </c>
      <c r="EZ262" s="117">
        <f t="shared" si="498"/>
        <v>0</v>
      </c>
      <c r="FA262" s="117">
        <f t="shared" si="498"/>
        <v>0</v>
      </c>
      <c r="FB262" s="117">
        <f t="shared" si="498"/>
        <v>0.000162013421258455</v>
      </c>
      <c r="FC262" s="118"/>
      <c r="FD262" s="117"/>
      <c r="FE262" s="117"/>
      <c r="FF262" s="117"/>
      <c r="FG262" s="117"/>
      <c r="FH262" s="117"/>
      <c r="FI262" s="117"/>
      <c r="FJ262" s="117"/>
      <c r="FK262" s="117" t="e">
        <f t="shared" si="211"/>
        <v>#DIV/0!</v>
      </c>
      <c r="FL262" s="117" t="e">
        <f t="shared" si="212"/>
        <v>#DIV/0!</v>
      </c>
      <c r="FM262" s="117" t="e">
        <f t="shared" si="213"/>
        <v>#DIV/0!</v>
      </c>
      <c r="FN262" s="117" t="e">
        <f t="shared" si="214"/>
        <v>#DIV/0!</v>
      </c>
      <c r="FO262" s="9" t="e">
        <f t="shared" si="215"/>
        <v>#DIV/0!</v>
      </c>
      <c r="FP262" s="118">
        <f t="shared" ref="FP262:GB262" si="499">FP50/FP$211</f>
        <v>5.44053035300834e-5</v>
      </c>
      <c r="FQ262" s="117">
        <f t="shared" si="499"/>
        <v>2.58950302561859e-5</v>
      </c>
      <c r="FR262" s="117">
        <f t="shared" si="499"/>
        <v>4.38030567605044e-5</v>
      </c>
      <c r="FS262" s="117">
        <f t="shared" si="499"/>
        <v>3.27988047435121e-5</v>
      </c>
      <c r="FT262" s="117">
        <f t="shared" si="499"/>
        <v>3.31648084038136e-5</v>
      </c>
      <c r="FU262" s="117">
        <f t="shared" si="499"/>
        <v>2.49879406863679e-5</v>
      </c>
      <c r="FV262" s="117">
        <f t="shared" si="499"/>
        <v>2.00127823187552e-5</v>
      </c>
      <c r="FW262" s="117">
        <f t="shared" si="499"/>
        <v>1.68455555824447e-5</v>
      </c>
      <c r="FX262" s="117">
        <f t="shared" si="499"/>
        <v>1.90165743914955e-5</v>
      </c>
      <c r="FY262" s="117">
        <f t="shared" si="499"/>
        <v>1.77202420636429e-5</v>
      </c>
      <c r="FZ262" s="117">
        <f t="shared" si="499"/>
        <v>1.62512064785042e-5</v>
      </c>
      <c r="GA262" s="117">
        <f t="shared" si="499"/>
        <v>1.54393614684727e-5</v>
      </c>
      <c r="GB262" s="116">
        <f t="shared" si="499"/>
        <v>2.78513432983369e-5</v>
      </c>
    </row>
    <row r="263" spans="1:184">
      <c r="A263" s="147" t="s">
        <v>127</v>
      </c>
      <c r="B263" s="160">
        <f t="shared" si="217"/>
        <v>-0.997813100676051</v>
      </c>
      <c r="C263" s="117">
        <f t="shared" ref="C263:AH263" si="500">C51/C$211</f>
        <v>0</v>
      </c>
      <c r="D263" s="117">
        <f t="shared" si="500"/>
        <v>2.4323947343474e-6</v>
      </c>
      <c r="E263" s="117">
        <f t="shared" si="500"/>
        <v>0</v>
      </c>
      <c r="F263" s="117">
        <f t="shared" si="500"/>
        <v>0</v>
      </c>
      <c r="G263" s="117">
        <f t="shared" si="500"/>
        <v>0</v>
      </c>
      <c r="H263" s="117">
        <f t="shared" si="500"/>
        <v>0</v>
      </c>
      <c r="I263" s="117">
        <f t="shared" si="500"/>
        <v>0</v>
      </c>
      <c r="J263" s="117">
        <f t="shared" si="500"/>
        <v>0</v>
      </c>
      <c r="K263" s="117">
        <f t="shared" si="500"/>
        <v>0</v>
      </c>
      <c r="L263" s="117">
        <f t="shared" si="500"/>
        <v>0</v>
      </c>
      <c r="M263" s="117">
        <f t="shared" si="500"/>
        <v>0</v>
      </c>
      <c r="N263" s="117">
        <f t="shared" si="500"/>
        <v>0</v>
      </c>
      <c r="O263" s="9">
        <f t="shared" si="500"/>
        <v>2.3151350496304e-7</v>
      </c>
      <c r="P263" s="117">
        <f t="shared" si="500"/>
        <v>0</v>
      </c>
      <c r="Q263" s="117">
        <f t="shared" si="500"/>
        <v>0</v>
      </c>
      <c r="R263" s="117">
        <f t="shared" si="500"/>
        <v>0</v>
      </c>
      <c r="S263" s="117">
        <f t="shared" si="500"/>
        <v>0</v>
      </c>
      <c r="T263" s="117">
        <f t="shared" si="500"/>
        <v>0</v>
      </c>
      <c r="U263" s="117">
        <f t="shared" si="500"/>
        <v>0</v>
      </c>
      <c r="V263" s="117">
        <f t="shared" si="500"/>
        <v>0</v>
      </c>
      <c r="W263" s="117">
        <f t="shared" si="500"/>
        <v>0</v>
      </c>
      <c r="X263" s="117">
        <f t="shared" si="500"/>
        <v>0</v>
      </c>
      <c r="Y263" s="117">
        <f t="shared" si="500"/>
        <v>0</v>
      </c>
      <c r="Z263" s="117">
        <f t="shared" si="500"/>
        <v>0</v>
      </c>
      <c r="AA263" s="117">
        <f t="shared" si="500"/>
        <v>0</v>
      </c>
      <c r="AB263" s="9">
        <f t="shared" si="500"/>
        <v>0</v>
      </c>
      <c r="AC263" s="117">
        <f t="shared" si="500"/>
        <v>0</v>
      </c>
      <c r="AD263" s="117">
        <f t="shared" si="500"/>
        <v>0</v>
      </c>
      <c r="AE263" s="117">
        <f t="shared" si="500"/>
        <v>0</v>
      </c>
      <c r="AF263" s="117">
        <f t="shared" si="500"/>
        <v>0</v>
      </c>
      <c r="AG263" s="117">
        <f t="shared" si="500"/>
        <v>0</v>
      </c>
      <c r="AH263" s="117">
        <f t="shared" si="500"/>
        <v>0</v>
      </c>
      <c r="AI263" s="117">
        <f t="shared" ref="AI263:BN263" si="501">AI51/AI$211</f>
        <v>0</v>
      </c>
      <c r="AJ263" s="117">
        <f t="shared" si="501"/>
        <v>0</v>
      </c>
      <c r="AK263" s="117">
        <f t="shared" si="501"/>
        <v>0</v>
      </c>
      <c r="AL263" s="117">
        <f t="shared" si="501"/>
        <v>0</v>
      </c>
      <c r="AM263" s="117">
        <f t="shared" si="501"/>
        <v>0</v>
      </c>
      <c r="AN263" s="117">
        <f t="shared" si="501"/>
        <v>0</v>
      </c>
      <c r="AO263" s="9">
        <f t="shared" si="501"/>
        <v>0</v>
      </c>
      <c r="AP263" s="144">
        <f t="shared" si="501"/>
        <v>0</v>
      </c>
      <c r="AQ263" s="144">
        <f t="shared" si="501"/>
        <v>0</v>
      </c>
      <c r="AR263" s="144">
        <f t="shared" si="501"/>
        <v>0</v>
      </c>
      <c r="AS263" s="144">
        <f t="shared" si="501"/>
        <v>0</v>
      </c>
      <c r="AT263" s="144">
        <f t="shared" si="501"/>
        <v>0</v>
      </c>
      <c r="AU263" s="144">
        <f t="shared" si="501"/>
        <v>0</v>
      </c>
      <c r="AV263" s="144">
        <f t="shared" si="501"/>
        <v>0</v>
      </c>
      <c r="AW263" s="144">
        <f t="shared" si="501"/>
        <v>0</v>
      </c>
      <c r="AX263" s="144">
        <f t="shared" si="501"/>
        <v>0</v>
      </c>
      <c r="AY263" s="144">
        <f t="shared" si="501"/>
        <v>0</v>
      </c>
      <c r="AZ263" s="144">
        <f t="shared" si="501"/>
        <v>0</v>
      </c>
      <c r="BA263" s="144">
        <f t="shared" si="501"/>
        <v>0</v>
      </c>
      <c r="BB263" s="9">
        <f t="shared" si="501"/>
        <v>0</v>
      </c>
      <c r="BC263" s="144">
        <f t="shared" si="501"/>
        <v>0</v>
      </c>
      <c r="BD263" s="144">
        <f t="shared" si="501"/>
        <v>0</v>
      </c>
      <c r="BE263" s="144">
        <f t="shared" si="501"/>
        <v>0</v>
      </c>
      <c r="BF263" s="144">
        <f t="shared" si="501"/>
        <v>0</v>
      </c>
      <c r="BG263" s="144">
        <f t="shared" si="501"/>
        <v>0</v>
      </c>
      <c r="BH263" s="144">
        <f t="shared" si="501"/>
        <v>0</v>
      </c>
      <c r="BI263" s="144">
        <f t="shared" si="501"/>
        <v>0</v>
      </c>
      <c r="BJ263" s="144">
        <f t="shared" si="501"/>
        <v>0</v>
      </c>
      <c r="BK263" s="144">
        <f t="shared" si="501"/>
        <v>0</v>
      </c>
      <c r="BL263" s="144">
        <f t="shared" si="501"/>
        <v>0</v>
      </c>
      <c r="BM263" s="144">
        <f t="shared" si="501"/>
        <v>0</v>
      </c>
      <c r="BN263" s="144">
        <f t="shared" si="501"/>
        <v>0</v>
      </c>
      <c r="BO263" s="9">
        <f t="shared" ref="BO263:CT263" si="502">BO51/BO$211</f>
        <v>0</v>
      </c>
      <c r="BP263" s="144">
        <f t="shared" si="502"/>
        <v>0</v>
      </c>
      <c r="BQ263" s="144">
        <f t="shared" si="502"/>
        <v>0</v>
      </c>
      <c r="BR263" s="144">
        <f t="shared" si="502"/>
        <v>0</v>
      </c>
      <c r="BS263" s="144">
        <f t="shared" si="502"/>
        <v>0</v>
      </c>
      <c r="BT263" s="144">
        <f t="shared" si="502"/>
        <v>0</v>
      </c>
      <c r="BU263" s="144">
        <f t="shared" si="502"/>
        <v>0</v>
      </c>
      <c r="BV263" s="144">
        <f t="shared" si="502"/>
        <v>0</v>
      </c>
      <c r="BW263" s="144">
        <f t="shared" si="502"/>
        <v>0</v>
      </c>
      <c r="BX263" s="144">
        <f t="shared" si="502"/>
        <v>0</v>
      </c>
      <c r="BY263" s="144">
        <f t="shared" si="502"/>
        <v>0</v>
      </c>
      <c r="BZ263" s="144">
        <f t="shared" si="502"/>
        <v>0</v>
      </c>
      <c r="CA263" s="144">
        <f t="shared" si="502"/>
        <v>0</v>
      </c>
      <c r="CB263" s="9">
        <f t="shared" si="502"/>
        <v>0</v>
      </c>
      <c r="CC263" s="144">
        <f t="shared" si="502"/>
        <v>0</v>
      </c>
      <c r="CD263" s="144">
        <f t="shared" si="502"/>
        <v>0</v>
      </c>
      <c r="CE263" s="144">
        <f t="shared" si="502"/>
        <v>0</v>
      </c>
      <c r="CF263" s="144">
        <f t="shared" si="502"/>
        <v>0</v>
      </c>
      <c r="CG263" s="144">
        <f t="shared" si="502"/>
        <v>0</v>
      </c>
      <c r="CH263" s="144">
        <f t="shared" si="502"/>
        <v>0</v>
      </c>
      <c r="CI263" s="144">
        <f t="shared" si="502"/>
        <v>0</v>
      </c>
      <c r="CJ263" s="144">
        <f t="shared" si="502"/>
        <v>0</v>
      </c>
      <c r="CK263" s="144">
        <f t="shared" si="502"/>
        <v>0</v>
      </c>
      <c r="CL263" s="144">
        <f t="shared" si="502"/>
        <v>0</v>
      </c>
      <c r="CM263" s="144">
        <f t="shared" si="502"/>
        <v>0</v>
      </c>
      <c r="CN263" s="144">
        <f t="shared" si="502"/>
        <v>0</v>
      </c>
      <c r="CO263" s="9">
        <f t="shared" si="502"/>
        <v>0</v>
      </c>
      <c r="CP263" s="144">
        <f t="shared" si="502"/>
        <v>0</v>
      </c>
      <c r="CQ263" s="144">
        <f t="shared" si="502"/>
        <v>0</v>
      </c>
      <c r="CR263" s="144">
        <f t="shared" si="502"/>
        <v>0</v>
      </c>
      <c r="CS263" s="144">
        <f t="shared" si="502"/>
        <v>0</v>
      </c>
      <c r="CT263" s="144">
        <f t="shared" si="502"/>
        <v>0</v>
      </c>
      <c r="CU263" s="144">
        <f t="shared" ref="CU263:EB263" si="503">CU51/CU$211</f>
        <v>0</v>
      </c>
      <c r="CV263" s="144">
        <f t="shared" si="503"/>
        <v>0</v>
      </c>
      <c r="CW263" s="144">
        <f t="shared" si="503"/>
        <v>0</v>
      </c>
      <c r="CX263" s="144">
        <f t="shared" si="503"/>
        <v>0</v>
      </c>
      <c r="CY263" s="144">
        <f t="shared" si="503"/>
        <v>0</v>
      </c>
      <c r="CZ263" s="144">
        <f t="shared" si="503"/>
        <v>0</v>
      </c>
      <c r="DA263" s="144">
        <f t="shared" si="503"/>
        <v>0</v>
      </c>
      <c r="DB263" s="9">
        <f t="shared" si="503"/>
        <v>0</v>
      </c>
      <c r="DC263" s="144">
        <f t="shared" si="503"/>
        <v>0</v>
      </c>
      <c r="DD263" s="144">
        <f t="shared" si="503"/>
        <v>0</v>
      </c>
      <c r="DE263" s="144">
        <f t="shared" si="503"/>
        <v>0</v>
      </c>
      <c r="DF263" s="144">
        <f t="shared" si="503"/>
        <v>0</v>
      </c>
      <c r="DG263" s="144">
        <f t="shared" si="503"/>
        <v>0</v>
      </c>
      <c r="DH263" s="144">
        <f t="shared" si="503"/>
        <v>0</v>
      </c>
      <c r="DI263" s="144">
        <f t="shared" si="503"/>
        <v>0</v>
      </c>
      <c r="DJ263" s="144">
        <f t="shared" si="503"/>
        <v>0</v>
      </c>
      <c r="DK263" s="144">
        <f t="shared" si="503"/>
        <v>0</v>
      </c>
      <c r="DL263" s="144">
        <f t="shared" si="503"/>
        <v>0</v>
      </c>
      <c r="DM263" s="144">
        <f t="shared" si="503"/>
        <v>0</v>
      </c>
      <c r="DN263" s="144">
        <f t="shared" si="503"/>
        <v>0</v>
      </c>
      <c r="DO263" s="9">
        <f t="shared" si="503"/>
        <v>0</v>
      </c>
      <c r="DP263" s="144">
        <f t="shared" si="503"/>
        <v>0</v>
      </c>
      <c r="DQ263" s="144">
        <f t="shared" si="503"/>
        <v>0</v>
      </c>
      <c r="DR263" s="144">
        <f t="shared" si="503"/>
        <v>0</v>
      </c>
      <c r="DS263" s="144">
        <f t="shared" si="503"/>
        <v>0</v>
      </c>
      <c r="DT263" s="144">
        <f t="shared" si="503"/>
        <v>0</v>
      </c>
      <c r="DU263" s="144">
        <f t="shared" si="503"/>
        <v>0</v>
      </c>
      <c r="DV263" s="144">
        <f t="shared" si="503"/>
        <v>0</v>
      </c>
      <c r="DW263" s="144">
        <f t="shared" si="503"/>
        <v>0</v>
      </c>
      <c r="DX263" s="144">
        <f t="shared" si="503"/>
        <v>0</v>
      </c>
      <c r="DY263" s="144">
        <f t="shared" si="503"/>
        <v>0</v>
      </c>
      <c r="DZ263" s="144">
        <f t="shared" si="503"/>
        <v>0</v>
      </c>
      <c r="EA263" s="144">
        <f t="shared" si="503"/>
        <v>0</v>
      </c>
      <c r="EB263" s="117">
        <f t="shared" si="503"/>
        <v>0</v>
      </c>
      <c r="EC263" s="118"/>
      <c r="ED263" s="117">
        <f t="shared" ref="ED263:FB263" si="504">ED51/ED$211</f>
        <v>0</v>
      </c>
      <c r="EE263" s="117">
        <f t="shared" si="504"/>
        <v>0</v>
      </c>
      <c r="EF263" s="117">
        <f t="shared" si="504"/>
        <v>0</v>
      </c>
      <c r="EG263" s="117" t="e">
        <f t="shared" si="504"/>
        <v>#DIV/0!</v>
      </c>
      <c r="EH263" s="117" t="e">
        <f t="shared" si="504"/>
        <v>#DIV/0!</v>
      </c>
      <c r="EI263" s="117" t="e">
        <f t="shared" si="504"/>
        <v>#DIV/0!</v>
      </c>
      <c r="EJ263" s="117" t="e">
        <f t="shared" si="504"/>
        <v>#DIV/0!</v>
      </c>
      <c r="EK263" s="117" t="e">
        <f t="shared" si="504"/>
        <v>#DIV/0!</v>
      </c>
      <c r="EL263" s="117" t="e">
        <f t="shared" si="504"/>
        <v>#DIV/0!</v>
      </c>
      <c r="EM263" s="117" t="e">
        <f t="shared" si="504"/>
        <v>#DIV/0!</v>
      </c>
      <c r="EN263" s="117" t="e">
        <f t="shared" si="504"/>
        <v>#DIV/0!</v>
      </c>
      <c r="EO263" s="116">
        <f t="shared" si="504"/>
        <v>0</v>
      </c>
      <c r="EP263" s="117">
        <f t="shared" si="504"/>
        <v>0</v>
      </c>
      <c r="EQ263" s="117">
        <f t="shared" si="504"/>
        <v>0</v>
      </c>
      <c r="ER263" s="117">
        <f t="shared" si="504"/>
        <v>0</v>
      </c>
      <c r="ES263" s="117">
        <f t="shared" si="504"/>
        <v>0</v>
      </c>
      <c r="ET263" s="117">
        <f t="shared" si="504"/>
        <v>0</v>
      </c>
      <c r="EU263" s="117">
        <f t="shared" si="504"/>
        <v>0</v>
      </c>
      <c r="EV263" s="117">
        <f t="shared" si="504"/>
        <v>0</v>
      </c>
      <c r="EW263" s="117">
        <f t="shared" si="504"/>
        <v>0</v>
      </c>
      <c r="EX263" s="117">
        <f t="shared" si="504"/>
        <v>0</v>
      </c>
      <c r="EY263" s="117">
        <f t="shared" si="504"/>
        <v>0</v>
      </c>
      <c r="EZ263" s="117">
        <f t="shared" si="504"/>
        <v>0</v>
      </c>
      <c r="FA263" s="117">
        <f t="shared" si="504"/>
        <v>0</v>
      </c>
      <c r="FB263" s="117">
        <f t="shared" si="504"/>
        <v>0</v>
      </c>
      <c r="FC263" s="118"/>
      <c r="FD263" s="117"/>
      <c r="FE263" s="117"/>
      <c r="FF263" s="117"/>
      <c r="FG263" s="117"/>
      <c r="FH263" s="117"/>
      <c r="FI263" s="117"/>
      <c r="FJ263" s="117"/>
      <c r="FK263" s="117" t="e">
        <f t="shared" si="211"/>
        <v>#DIV/0!</v>
      </c>
      <c r="FL263" s="117" t="e">
        <f t="shared" si="212"/>
        <v>#DIV/0!</v>
      </c>
      <c r="FM263" s="117" t="e">
        <f t="shared" si="213"/>
        <v>#DIV/0!</v>
      </c>
      <c r="FN263" s="117" t="e">
        <f t="shared" si="214"/>
        <v>#DIV/0!</v>
      </c>
      <c r="FO263" s="9" t="e">
        <f t="shared" si="215"/>
        <v>#DIV/0!</v>
      </c>
      <c r="FP263" s="118">
        <f t="shared" ref="FP263:GB263" si="505">FP51/FP$211</f>
        <v>0</v>
      </c>
      <c r="FQ263" s="117">
        <f t="shared" si="505"/>
        <v>1.00041257379329e-5</v>
      </c>
      <c r="FR263" s="117">
        <f t="shared" si="505"/>
        <v>0</v>
      </c>
      <c r="FS263" s="117">
        <f t="shared" si="505"/>
        <v>0</v>
      </c>
      <c r="FT263" s="117">
        <f t="shared" si="505"/>
        <v>0</v>
      </c>
      <c r="FU263" s="117">
        <f t="shared" si="505"/>
        <v>0</v>
      </c>
      <c r="FV263" s="117">
        <f t="shared" si="505"/>
        <v>0</v>
      </c>
      <c r="FW263" s="117">
        <f t="shared" si="505"/>
        <v>0</v>
      </c>
      <c r="FX263" s="117">
        <f t="shared" si="505"/>
        <v>0</v>
      </c>
      <c r="FY263" s="117">
        <f t="shared" si="505"/>
        <v>0</v>
      </c>
      <c r="FZ263" s="117">
        <f t="shared" si="505"/>
        <v>0</v>
      </c>
      <c r="GA263" s="117">
        <f t="shared" si="505"/>
        <v>0</v>
      </c>
      <c r="GB263" s="116">
        <f t="shared" si="505"/>
        <v>9.57666942098781e-7</v>
      </c>
    </row>
    <row r="264" spans="1:184">
      <c r="A264" s="147" t="s">
        <v>129</v>
      </c>
      <c r="B264" s="160">
        <f t="shared" si="217"/>
        <v>-1</v>
      </c>
      <c r="C264" s="117">
        <f t="shared" ref="C264:AH264" si="506">C52/C$211</f>
        <v>0</v>
      </c>
      <c r="D264" s="117">
        <f t="shared" si="506"/>
        <v>0</v>
      </c>
      <c r="E264" s="117">
        <f t="shared" si="506"/>
        <v>0</v>
      </c>
      <c r="F264" s="117">
        <f t="shared" si="506"/>
        <v>0</v>
      </c>
      <c r="G264" s="117">
        <f t="shared" si="506"/>
        <v>0</v>
      </c>
      <c r="H264" s="117">
        <f t="shared" si="506"/>
        <v>0</v>
      </c>
      <c r="I264" s="117">
        <f t="shared" si="506"/>
        <v>0</v>
      </c>
      <c r="J264" s="117">
        <f t="shared" si="506"/>
        <v>0</v>
      </c>
      <c r="K264" s="117">
        <f t="shared" si="506"/>
        <v>0</v>
      </c>
      <c r="L264" s="117">
        <f t="shared" si="506"/>
        <v>0</v>
      </c>
      <c r="M264" s="117">
        <f t="shared" si="506"/>
        <v>0</v>
      </c>
      <c r="N264" s="117">
        <f t="shared" si="506"/>
        <v>0</v>
      </c>
      <c r="O264" s="9">
        <f t="shared" si="506"/>
        <v>0</v>
      </c>
      <c r="P264" s="117">
        <f t="shared" si="506"/>
        <v>0</v>
      </c>
      <c r="Q264" s="117">
        <f t="shared" si="506"/>
        <v>0</v>
      </c>
      <c r="R264" s="117">
        <f t="shared" si="506"/>
        <v>0</v>
      </c>
      <c r="S264" s="117">
        <f t="shared" si="506"/>
        <v>0</v>
      </c>
      <c r="T264" s="117">
        <f t="shared" si="506"/>
        <v>0</v>
      </c>
      <c r="U264" s="117">
        <f t="shared" si="506"/>
        <v>0</v>
      </c>
      <c r="V264" s="117">
        <f t="shared" si="506"/>
        <v>0</v>
      </c>
      <c r="W264" s="117">
        <f t="shared" si="506"/>
        <v>0</v>
      </c>
      <c r="X264" s="117">
        <f t="shared" si="506"/>
        <v>0</v>
      </c>
      <c r="Y264" s="117">
        <f t="shared" si="506"/>
        <v>0</v>
      </c>
      <c r="Z264" s="117">
        <f t="shared" si="506"/>
        <v>0</v>
      </c>
      <c r="AA264" s="117">
        <f t="shared" si="506"/>
        <v>0</v>
      </c>
      <c r="AB264" s="9">
        <f t="shared" si="506"/>
        <v>0</v>
      </c>
      <c r="AC264" s="117">
        <f t="shared" si="506"/>
        <v>0</v>
      </c>
      <c r="AD264" s="117">
        <f t="shared" si="506"/>
        <v>0</v>
      </c>
      <c r="AE264" s="117">
        <f t="shared" si="506"/>
        <v>0</v>
      </c>
      <c r="AF264" s="117">
        <f t="shared" si="506"/>
        <v>0</v>
      </c>
      <c r="AG264" s="117">
        <f t="shared" si="506"/>
        <v>0</v>
      </c>
      <c r="AH264" s="117">
        <f t="shared" si="506"/>
        <v>0</v>
      </c>
      <c r="AI264" s="117">
        <f t="shared" ref="AI264:BN264" si="507">AI52/AI$211</f>
        <v>0</v>
      </c>
      <c r="AJ264" s="117">
        <f t="shared" si="507"/>
        <v>0</v>
      </c>
      <c r="AK264" s="117">
        <f t="shared" si="507"/>
        <v>0</v>
      </c>
      <c r="AL264" s="117">
        <f t="shared" si="507"/>
        <v>0</v>
      </c>
      <c r="AM264" s="117">
        <f t="shared" si="507"/>
        <v>0</v>
      </c>
      <c r="AN264" s="117">
        <f t="shared" si="507"/>
        <v>0</v>
      </c>
      <c r="AO264" s="9">
        <f t="shared" si="507"/>
        <v>0</v>
      </c>
      <c r="AP264" s="144">
        <f t="shared" si="507"/>
        <v>0</v>
      </c>
      <c r="AQ264" s="144">
        <f t="shared" si="507"/>
        <v>0</v>
      </c>
      <c r="AR264" s="144">
        <f t="shared" si="507"/>
        <v>0</v>
      </c>
      <c r="AS264" s="144">
        <f t="shared" si="507"/>
        <v>0</v>
      </c>
      <c r="AT264" s="144">
        <f t="shared" si="507"/>
        <v>0</v>
      </c>
      <c r="AU264" s="144">
        <f t="shared" si="507"/>
        <v>0</v>
      </c>
      <c r="AV264" s="144">
        <f t="shared" si="507"/>
        <v>0</v>
      </c>
      <c r="AW264" s="144">
        <f t="shared" si="507"/>
        <v>0</v>
      </c>
      <c r="AX264" s="144">
        <f t="shared" si="507"/>
        <v>0</v>
      </c>
      <c r="AY264" s="144">
        <f t="shared" si="507"/>
        <v>0</v>
      </c>
      <c r="AZ264" s="144">
        <f t="shared" si="507"/>
        <v>0</v>
      </c>
      <c r="BA264" s="144">
        <f t="shared" si="507"/>
        <v>0</v>
      </c>
      <c r="BB264" s="9">
        <f t="shared" si="507"/>
        <v>0</v>
      </c>
      <c r="BC264" s="144">
        <f t="shared" si="507"/>
        <v>0</v>
      </c>
      <c r="BD264" s="144">
        <f t="shared" si="507"/>
        <v>0</v>
      </c>
      <c r="BE264" s="144">
        <f t="shared" si="507"/>
        <v>0</v>
      </c>
      <c r="BF264" s="144">
        <f t="shared" si="507"/>
        <v>0</v>
      </c>
      <c r="BG264" s="144">
        <f t="shared" si="507"/>
        <v>0</v>
      </c>
      <c r="BH264" s="144">
        <f t="shared" si="507"/>
        <v>0</v>
      </c>
      <c r="BI264" s="144">
        <f t="shared" si="507"/>
        <v>0</v>
      </c>
      <c r="BJ264" s="144">
        <f t="shared" si="507"/>
        <v>0</v>
      </c>
      <c r="BK264" s="144">
        <f t="shared" si="507"/>
        <v>0</v>
      </c>
      <c r="BL264" s="144">
        <f t="shared" si="507"/>
        <v>0</v>
      </c>
      <c r="BM264" s="144">
        <f t="shared" si="507"/>
        <v>0</v>
      </c>
      <c r="BN264" s="144">
        <f t="shared" si="507"/>
        <v>0</v>
      </c>
      <c r="BO264" s="9">
        <f t="shared" ref="BO264:CT264" si="508">BO52/BO$211</f>
        <v>0</v>
      </c>
      <c r="BP264" s="144">
        <f t="shared" si="508"/>
        <v>0</v>
      </c>
      <c r="BQ264" s="144">
        <f t="shared" si="508"/>
        <v>0</v>
      </c>
      <c r="BR264" s="144">
        <f t="shared" si="508"/>
        <v>0</v>
      </c>
      <c r="BS264" s="144">
        <f t="shared" si="508"/>
        <v>0</v>
      </c>
      <c r="BT264" s="144">
        <f t="shared" si="508"/>
        <v>0</v>
      </c>
      <c r="BU264" s="144">
        <f t="shared" si="508"/>
        <v>0</v>
      </c>
      <c r="BV264" s="144">
        <f t="shared" si="508"/>
        <v>0</v>
      </c>
      <c r="BW264" s="144">
        <f t="shared" si="508"/>
        <v>0</v>
      </c>
      <c r="BX264" s="144">
        <f t="shared" si="508"/>
        <v>0</v>
      </c>
      <c r="BY264" s="144">
        <f t="shared" si="508"/>
        <v>0</v>
      </c>
      <c r="BZ264" s="144">
        <f t="shared" si="508"/>
        <v>0</v>
      </c>
      <c r="CA264" s="144">
        <f t="shared" si="508"/>
        <v>0</v>
      </c>
      <c r="CB264" s="9">
        <f t="shared" si="508"/>
        <v>0</v>
      </c>
      <c r="CC264" s="144">
        <f t="shared" si="508"/>
        <v>0</v>
      </c>
      <c r="CD264" s="144">
        <f t="shared" si="508"/>
        <v>0</v>
      </c>
      <c r="CE264" s="144">
        <f t="shared" si="508"/>
        <v>0</v>
      </c>
      <c r="CF264" s="144">
        <f t="shared" si="508"/>
        <v>0</v>
      </c>
      <c r="CG264" s="144">
        <f t="shared" si="508"/>
        <v>0</v>
      </c>
      <c r="CH264" s="144">
        <f t="shared" si="508"/>
        <v>0</v>
      </c>
      <c r="CI264" s="144">
        <f t="shared" si="508"/>
        <v>0</v>
      </c>
      <c r="CJ264" s="144">
        <f t="shared" si="508"/>
        <v>0</v>
      </c>
      <c r="CK264" s="144">
        <f t="shared" si="508"/>
        <v>0</v>
      </c>
      <c r="CL264" s="144">
        <f t="shared" si="508"/>
        <v>0</v>
      </c>
      <c r="CM264" s="144">
        <f t="shared" si="508"/>
        <v>0</v>
      </c>
      <c r="CN264" s="144">
        <f t="shared" si="508"/>
        <v>0</v>
      </c>
      <c r="CO264" s="9">
        <f t="shared" si="508"/>
        <v>0</v>
      </c>
      <c r="CP264" s="144">
        <f t="shared" si="508"/>
        <v>0</v>
      </c>
      <c r="CQ264" s="144">
        <f t="shared" si="508"/>
        <v>0</v>
      </c>
      <c r="CR264" s="144">
        <f t="shared" si="508"/>
        <v>0</v>
      </c>
      <c r="CS264" s="144">
        <f t="shared" si="508"/>
        <v>0</v>
      </c>
      <c r="CT264" s="144">
        <f t="shared" si="508"/>
        <v>0</v>
      </c>
      <c r="CU264" s="144">
        <f t="shared" ref="CU264:EB264" si="509">CU52/CU$211</f>
        <v>0</v>
      </c>
      <c r="CV264" s="144">
        <f t="shared" si="509"/>
        <v>0</v>
      </c>
      <c r="CW264" s="144">
        <f t="shared" si="509"/>
        <v>0</v>
      </c>
      <c r="CX264" s="144">
        <f t="shared" si="509"/>
        <v>0</v>
      </c>
      <c r="CY264" s="144">
        <f t="shared" si="509"/>
        <v>0</v>
      </c>
      <c r="CZ264" s="144">
        <f t="shared" si="509"/>
        <v>0</v>
      </c>
      <c r="DA264" s="144">
        <f t="shared" si="509"/>
        <v>0</v>
      </c>
      <c r="DB264" s="9">
        <f t="shared" si="509"/>
        <v>0</v>
      </c>
      <c r="DC264" s="144">
        <f t="shared" si="509"/>
        <v>0</v>
      </c>
      <c r="DD264" s="144">
        <f t="shared" si="509"/>
        <v>0</v>
      </c>
      <c r="DE264" s="144">
        <f t="shared" si="509"/>
        <v>0</v>
      </c>
      <c r="DF264" s="144">
        <f t="shared" si="509"/>
        <v>0</v>
      </c>
      <c r="DG264" s="144">
        <f t="shared" si="509"/>
        <v>0</v>
      </c>
      <c r="DH264" s="144">
        <f t="shared" si="509"/>
        <v>0</v>
      </c>
      <c r="DI264" s="144">
        <f t="shared" si="509"/>
        <v>0</v>
      </c>
      <c r="DJ264" s="144">
        <f t="shared" si="509"/>
        <v>0</v>
      </c>
      <c r="DK264" s="144">
        <f t="shared" si="509"/>
        <v>0</v>
      </c>
      <c r="DL264" s="144">
        <f t="shared" si="509"/>
        <v>0</v>
      </c>
      <c r="DM264" s="144">
        <f t="shared" si="509"/>
        <v>0</v>
      </c>
      <c r="DN264" s="144">
        <f t="shared" si="509"/>
        <v>0</v>
      </c>
      <c r="DO264" s="9">
        <f t="shared" si="509"/>
        <v>0</v>
      </c>
      <c r="DP264" s="144">
        <f t="shared" si="509"/>
        <v>0</v>
      </c>
      <c r="DQ264" s="144">
        <f t="shared" si="509"/>
        <v>0</v>
      </c>
      <c r="DR264" s="144">
        <f t="shared" si="509"/>
        <v>0</v>
      </c>
      <c r="DS264" s="144">
        <f t="shared" si="509"/>
        <v>0</v>
      </c>
      <c r="DT264" s="144">
        <f t="shared" si="509"/>
        <v>0</v>
      </c>
      <c r="DU264" s="144">
        <f t="shared" si="509"/>
        <v>0</v>
      </c>
      <c r="DV264" s="144">
        <f t="shared" si="509"/>
        <v>0</v>
      </c>
      <c r="DW264" s="144">
        <f t="shared" si="509"/>
        <v>0</v>
      </c>
      <c r="DX264" s="144">
        <f t="shared" si="509"/>
        <v>0</v>
      </c>
      <c r="DY264" s="144">
        <f t="shared" si="509"/>
        <v>0</v>
      </c>
      <c r="DZ264" s="144">
        <f t="shared" si="509"/>
        <v>0</v>
      </c>
      <c r="EA264" s="144">
        <f t="shared" si="509"/>
        <v>0</v>
      </c>
      <c r="EB264" s="117">
        <f t="shared" si="509"/>
        <v>0</v>
      </c>
      <c r="EC264" s="118"/>
      <c r="ED264" s="117">
        <f t="shared" ref="ED264:FB264" si="510">ED52/ED$211</f>
        <v>0</v>
      </c>
      <c r="EE264" s="117">
        <f t="shared" si="510"/>
        <v>0</v>
      </c>
      <c r="EF264" s="117">
        <f t="shared" si="510"/>
        <v>0</v>
      </c>
      <c r="EG264" s="117" t="e">
        <f t="shared" si="510"/>
        <v>#DIV/0!</v>
      </c>
      <c r="EH264" s="117" t="e">
        <f t="shared" si="510"/>
        <v>#DIV/0!</v>
      </c>
      <c r="EI264" s="117" t="e">
        <f t="shared" si="510"/>
        <v>#DIV/0!</v>
      </c>
      <c r="EJ264" s="117" t="e">
        <f t="shared" si="510"/>
        <v>#DIV/0!</v>
      </c>
      <c r="EK264" s="117" t="e">
        <f t="shared" si="510"/>
        <v>#DIV/0!</v>
      </c>
      <c r="EL264" s="117" t="e">
        <f t="shared" si="510"/>
        <v>#DIV/0!</v>
      </c>
      <c r="EM264" s="117" t="e">
        <f t="shared" si="510"/>
        <v>#DIV/0!</v>
      </c>
      <c r="EN264" s="117" t="e">
        <f t="shared" si="510"/>
        <v>#DIV/0!</v>
      </c>
      <c r="EO264" s="116">
        <f t="shared" si="510"/>
        <v>0</v>
      </c>
      <c r="EP264" s="117">
        <f t="shared" si="510"/>
        <v>0</v>
      </c>
      <c r="EQ264" s="117">
        <f t="shared" si="510"/>
        <v>0</v>
      </c>
      <c r="ER264" s="117">
        <f t="shared" si="510"/>
        <v>0</v>
      </c>
      <c r="ES264" s="117">
        <f t="shared" si="510"/>
        <v>0</v>
      </c>
      <c r="ET264" s="117">
        <f t="shared" si="510"/>
        <v>0</v>
      </c>
      <c r="EU264" s="117">
        <f t="shared" si="510"/>
        <v>0</v>
      </c>
      <c r="EV264" s="117">
        <f t="shared" si="510"/>
        <v>0</v>
      </c>
      <c r="EW264" s="117">
        <f t="shared" si="510"/>
        <v>0</v>
      </c>
      <c r="EX264" s="117">
        <f t="shared" si="510"/>
        <v>0</v>
      </c>
      <c r="EY264" s="117">
        <f t="shared" si="510"/>
        <v>0</v>
      </c>
      <c r="EZ264" s="117">
        <f t="shared" si="510"/>
        <v>0</v>
      </c>
      <c r="FA264" s="117">
        <f t="shared" si="510"/>
        <v>0</v>
      </c>
      <c r="FB264" s="117">
        <f t="shared" si="510"/>
        <v>0</v>
      </c>
      <c r="FC264" s="118"/>
      <c r="FD264" s="117"/>
      <c r="FE264" s="117"/>
      <c r="FF264" s="117"/>
      <c r="FG264" s="117"/>
      <c r="FH264" s="117"/>
      <c r="FI264" s="117"/>
      <c r="FJ264" s="117"/>
      <c r="FK264" s="117" t="e">
        <f t="shared" si="211"/>
        <v>#DIV/0!</v>
      </c>
      <c r="FL264" s="117" t="e">
        <f t="shared" si="212"/>
        <v>#DIV/0!</v>
      </c>
      <c r="FM264" s="117" t="e">
        <f t="shared" si="213"/>
        <v>#DIV/0!</v>
      </c>
      <c r="FN264" s="117" t="e">
        <f t="shared" si="214"/>
        <v>#DIV/0!</v>
      </c>
      <c r="FO264" s="9" t="e">
        <f t="shared" si="215"/>
        <v>#DIV/0!</v>
      </c>
      <c r="FP264" s="118">
        <f t="shared" ref="FP264:GB264" si="511">FP52/FP$211</f>
        <v>0</v>
      </c>
      <c r="FQ264" s="117">
        <f t="shared" si="511"/>
        <v>0</v>
      </c>
      <c r="FR264" s="117">
        <f t="shared" si="511"/>
        <v>0</v>
      </c>
      <c r="FS264" s="117">
        <f t="shared" si="511"/>
        <v>0</v>
      </c>
      <c r="FT264" s="117">
        <f t="shared" si="511"/>
        <v>0</v>
      </c>
      <c r="FU264" s="117">
        <f t="shared" si="511"/>
        <v>0</v>
      </c>
      <c r="FV264" s="117">
        <f t="shared" si="511"/>
        <v>0</v>
      </c>
      <c r="FW264" s="117">
        <f t="shared" si="511"/>
        <v>0</v>
      </c>
      <c r="FX264" s="117">
        <f t="shared" si="511"/>
        <v>0</v>
      </c>
      <c r="FY264" s="117">
        <f t="shared" si="511"/>
        <v>0</v>
      </c>
      <c r="FZ264" s="117">
        <f t="shared" si="511"/>
        <v>0</v>
      </c>
      <c r="GA264" s="117">
        <f t="shared" si="511"/>
        <v>0</v>
      </c>
      <c r="GB264" s="116">
        <f t="shared" si="511"/>
        <v>0</v>
      </c>
    </row>
    <row r="265" spans="1:184">
      <c r="A265" s="147" t="s">
        <v>131</v>
      </c>
      <c r="B265" s="160">
        <f t="shared" si="217"/>
        <v>-0.843317727374521</v>
      </c>
      <c r="C265" s="117">
        <f t="shared" ref="C265:AH265" si="512">C53/C$211</f>
        <v>2.88925437532865e-5</v>
      </c>
      <c r="D265" s="117">
        <f t="shared" si="512"/>
        <v>3.49949084578559e-5</v>
      </c>
      <c r="E265" s="117">
        <f t="shared" si="512"/>
        <v>4.08682294392387e-5</v>
      </c>
      <c r="F265" s="117">
        <f t="shared" si="512"/>
        <v>8.54827716384181e-5</v>
      </c>
      <c r="G265" s="117">
        <f t="shared" si="512"/>
        <v>3.63022799383728e-5</v>
      </c>
      <c r="H265" s="117">
        <f t="shared" si="512"/>
        <v>3.59224280145739e-5</v>
      </c>
      <c r="I265" s="117">
        <f t="shared" si="512"/>
        <v>3.02815659477582e-5</v>
      </c>
      <c r="J265" s="117">
        <f t="shared" si="512"/>
        <v>2.72468838336654e-5</v>
      </c>
      <c r="K265" s="117">
        <f t="shared" si="512"/>
        <v>1.793495387594e-5</v>
      </c>
      <c r="L265" s="117">
        <f t="shared" si="512"/>
        <v>1.78001743686304e-5</v>
      </c>
      <c r="M265" s="117">
        <f t="shared" si="512"/>
        <v>2.1120501549606e-5</v>
      </c>
      <c r="N265" s="117">
        <f t="shared" si="512"/>
        <v>2.12596677776404e-5</v>
      </c>
      <c r="O265" s="9">
        <f t="shared" si="512"/>
        <v>3.23505073411331e-5</v>
      </c>
      <c r="P265" s="117">
        <f t="shared" si="512"/>
        <v>0</v>
      </c>
      <c r="Q265" s="117">
        <f t="shared" si="512"/>
        <v>0</v>
      </c>
      <c r="R265" s="117">
        <f t="shared" si="512"/>
        <v>0</v>
      </c>
      <c r="S265" s="117">
        <f t="shared" si="512"/>
        <v>0</v>
      </c>
      <c r="T265" s="117">
        <f t="shared" si="512"/>
        <v>0</v>
      </c>
      <c r="U265" s="117">
        <f t="shared" si="512"/>
        <v>0</v>
      </c>
      <c r="V265" s="117">
        <f t="shared" si="512"/>
        <v>0</v>
      </c>
      <c r="W265" s="117">
        <f t="shared" si="512"/>
        <v>0</v>
      </c>
      <c r="X265" s="117">
        <f t="shared" si="512"/>
        <v>0</v>
      </c>
      <c r="Y265" s="117">
        <f t="shared" si="512"/>
        <v>0</v>
      </c>
      <c r="Z265" s="117">
        <f t="shared" si="512"/>
        <v>0</v>
      </c>
      <c r="AA265" s="117">
        <f t="shared" si="512"/>
        <v>0</v>
      </c>
      <c r="AB265" s="9">
        <f t="shared" si="512"/>
        <v>0</v>
      </c>
      <c r="AC265" s="117">
        <f t="shared" si="512"/>
        <v>0</v>
      </c>
      <c r="AD265" s="117">
        <f t="shared" si="512"/>
        <v>0</v>
      </c>
      <c r="AE265" s="117">
        <f t="shared" si="512"/>
        <v>0</v>
      </c>
      <c r="AF265" s="117">
        <f t="shared" si="512"/>
        <v>0</v>
      </c>
      <c r="AG265" s="117">
        <f t="shared" si="512"/>
        <v>0</v>
      </c>
      <c r="AH265" s="117">
        <f t="shared" si="512"/>
        <v>0</v>
      </c>
      <c r="AI265" s="117">
        <f t="shared" ref="AI265:BN265" si="513">AI53/AI$211</f>
        <v>0</v>
      </c>
      <c r="AJ265" s="117">
        <f t="shared" si="513"/>
        <v>0</v>
      </c>
      <c r="AK265" s="117">
        <f t="shared" si="513"/>
        <v>0</v>
      </c>
      <c r="AL265" s="117">
        <f t="shared" si="513"/>
        <v>0</v>
      </c>
      <c r="AM265" s="117">
        <f t="shared" si="513"/>
        <v>0</v>
      </c>
      <c r="AN265" s="117">
        <f t="shared" si="513"/>
        <v>0</v>
      </c>
      <c r="AO265" s="9">
        <f t="shared" si="513"/>
        <v>0</v>
      </c>
      <c r="AP265" s="144">
        <f t="shared" si="513"/>
        <v>9.05281332696841e-6</v>
      </c>
      <c r="AQ265" s="144">
        <f t="shared" si="513"/>
        <v>4.57917665645357e-6</v>
      </c>
      <c r="AR265" s="144">
        <f t="shared" si="513"/>
        <v>0</v>
      </c>
      <c r="AS265" s="144">
        <f t="shared" si="513"/>
        <v>4.76131964338532e-6</v>
      </c>
      <c r="AT265" s="144">
        <f t="shared" si="513"/>
        <v>0</v>
      </c>
      <c r="AU265" s="144">
        <f t="shared" si="513"/>
        <v>0</v>
      </c>
      <c r="AV265" s="144">
        <f t="shared" si="513"/>
        <v>0</v>
      </c>
      <c r="AW265" s="144">
        <f t="shared" si="513"/>
        <v>0</v>
      </c>
      <c r="AX265" s="144">
        <f t="shared" si="513"/>
        <v>0</v>
      </c>
      <c r="AY265" s="144">
        <f t="shared" si="513"/>
        <v>0</v>
      </c>
      <c r="AZ265" s="144">
        <f t="shared" si="513"/>
        <v>0</v>
      </c>
      <c r="BA265" s="144">
        <f t="shared" si="513"/>
        <v>0</v>
      </c>
      <c r="BB265" s="9">
        <f t="shared" si="513"/>
        <v>1.55257957620987e-6</v>
      </c>
      <c r="BC265" s="144">
        <f t="shared" si="513"/>
        <v>0</v>
      </c>
      <c r="BD265" s="144">
        <f t="shared" si="513"/>
        <v>5.96825938391043e-6</v>
      </c>
      <c r="BE265" s="144">
        <f t="shared" si="513"/>
        <v>0</v>
      </c>
      <c r="BF265" s="144">
        <f t="shared" si="513"/>
        <v>0</v>
      </c>
      <c r="BG265" s="144">
        <f t="shared" si="513"/>
        <v>0</v>
      </c>
      <c r="BH265" s="144">
        <f t="shared" si="513"/>
        <v>0</v>
      </c>
      <c r="BI265" s="144">
        <f t="shared" si="513"/>
        <v>0</v>
      </c>
      <c r="BJ265" s="144">
        <f t="shared" si="513"/>
        <v>0</v>
      </c>
      <c r="BK265" s="144">
        <f t="shared" si="513"/>
        <v>0</v>
      </c>
      <c r="BL265" s="144">
        <f t="shared" si="513"/>
        <v>0</v>
      </c>
      <c r="BM265" s="144">
        <f t="shared" si="513"/>
        <v>0</v>
      </c>
      <c r="BN265" s="144">
        <f t="shared" si="513"/>
        <v>0</v>
      </c>
      <c r="BO265" s="9">
        <f t="shared" ref="BO265:CT265" si="514">BO53/BO$211</f>
        <v>6.35946837528508e-7</v>
      </c>
      <c r="BP265" s="144">
        <f t="shared" si="514"/>
        <v>7.11583763002139e-5</v>
      </c>
      <c r="BQ265" s="144">
        <f t="shared" si="514"/>
        <v>9.09469313963388e-5</v>
      </c>
      <c r="BR265" s="144">
        <f t="shared" si="514"/>
        <v>0.00014433077368619</v>
      </c>
      <c r="BS265" s="144">
        <f t="shared" si="514"/>
        <v>0.000322469426999868</v>
      </c>
      <c r="BT265" s="144">
        <f t="shared" si="514"/>
        <v>0.000149172012852833</v>
      </c>
      <c r="BU265" s="144">
        <f t="shared" si="514"/>
        <v>0.000146519264982922</v>
      </c>
      <c r="BV265" s="144">
        <f t="shared" si="514"/>
        <v>0.000131136264531874</v>
      </c>
      <c r="BW265" s="144">
        <f t="shared" si="514"/>
        <v>0.000126565328803884</v>
      </c>
      <c r="BX265" s="144">
        <f t="shared" si="514"/>
        <v>9.53907521959289e-5</v>
      </c>
      <c r="BY265" s="144">
        <f t="shared" si="514"/>
        <v>9.63291833449169e-5</v>
      </c>
      <c r="BZ265" s="144">
        <f t="shared" si="514"/>
        <v>0.000118269338407388</v>
      </c>
      <c r="CA265" s="144">
        <f t="shared" si="514"/>
        <v>0.000137184726413671</v>
      </c>
      <c r="CB265" s="9">
        <f t="shared" si="514"/>
        <v>0.000129518890821388</v>
      </c>
      <c r="CC265" s="144">
        <f t="shared" si="514"/>
        <v>8.84637459268434e-5</v>
      </c>
      <c r="CD265" s="144">
        <f t="shared" si="514"/>
        <v>9.31210577146122e-5</v>
      </c>
      <c r="CE265" s="144">
        <f t="shared" si="514"/>
        <v>0.000154697643678961</v>
      </c>
      <c r="CF265" s="144">
        <f t="shared" si="514"/>
        <v>0.000115258400588573</v>
      </c>
      <c r="CG265" s="144">
        <f t="shared" si="514"/>
        <v>7.23426605124605e-5</v>
      </c>
      <c r="CH265" s="144">
        <f t="shared" si="514"/>
        <v>8.27008171196267e-5</v>
      </c>
      <c r="CI265" s="144">
        <f t="shared" si="514"/>
        <v>6.84538412345948e-5</v>
      </c>
      <c r="CJ265" s="144">
        <f t="shared" si="514"/>
        <v>5.18172685445334e-5</v>
      </c>
      <c r="CK265" s="144">
        <f t="shared" si="514"/>
        <v>4.46142329792744e-5</v>
      </c>
      <c r="CL265" s="144">
        <f t="shared" si="514"/>
        <v>3.40152577197349e-5</v>
      </c>
      <c r="CM265" s="144">
        <f t="shared" si="514"/>
        <v>2.95453226359861e-5</v>
      </c>
      <c r="CN265" s="144">
        <f t="shared" si="514"/>
        <v>0</v>
      </c>
      <c r="CO265" s="9">
        <f t="shared" si="514"/>
        <v>6.80163236035842e-5</v>
      </c>
      <c r="CP265" s="144">
        <f t="shared" si="514"/>
        <v>7.19409598744241e-5</v>
      </c>
      <c r="CQ265" s="144">
        <f t="shared" si="514"/>
        <v>7.27759800247472e-5</v>
      </c>
      <c r="CR265" s="144">
        <f t="shared" si="514"/>
        <v>5.26600600144921e-5</v>
      </c>
      <c r="CS265" s="144">
        <f t="shared" si="514"/>
        <v>0.000107603081543985</v>
      </c>
      <c r="CT265" s="144">
        <f t="shared" si="514"/>
        <v>2.76019028443454e-5</v>
      </c>
      <c r="CU265" s="144">
        <f t="shared" ref="CU265:EB265" si="515">CU53/CU$211</f>
        <v>6.24007404568397e-5</v>
      </c>
      <c r="CV265" s="144">
        <f t="shared" si="515"/>
        <v>5.78240861265573e-5</v>
      </c>
      <c r="CW265" s="144">
        <f t="shared" si="515"/>
        <v>5.41745596036882e-5</v>
      </c>
      <c r="CX265" s="144">
        <f t="shared" si="515"/>
        <v>0</v>
      </c>
      <c r="CY265" s="144">
        <f t="shared" si="515"/>
        <v>0</v>
      </c>
      <c r="CZ265" s="144">
        <f t="shared" si="515"/>
        <v>0</v>
      </c>
      <c r="DA265" s="144">
        <f t="shared" si="515"/>
        <v>0</v>
      </c>
      <c r="DB265" s="9">
        <f t="shared" si="515"/>
        <v>4.3935854686018e-5</v>
      </c>
      <c r="DC265" s="144">
        <f t="shared" si="515"/>
        <v>0</v>
      </c>
      <c r="DD265" s="144">
        <f t="shared" si="515"/>
        <v>0</v>
      </c>
      <c r="DE265" s="144">
        <f t="shared" si="515"/>
        <v>0</v>
      </c>
      <c r="DF265" s="144">
        <f t="shared" si="515"/>
        <v>0</v>
      </c>
      <c r="DG265" s="144">
        <f t="shared" si="515"/>
        <v>0</v>
      </c>
      <c r="DH265" s="144">
        <f t="shared" si="515"/>
        <v>0</v>
      </c>
      <c r="DI265" s="144">
        <f t="shared" si="515"/>
        <v>0</v>
      </c>
      <c r="DJ265" s="144">
        <f t="shared" si="515"/>
        <v>0</v>
      </c>
      <c r="DK265" s="144">
        <f t="shared" si="515"/>
        <v>0</v>
      </c>
      <c r="DL265" s="144">
        <f t="shared" si="515"/>
        <v>0</v>
      </c>
      <c r="DM265" s="144">
        <f t="shared" si="515"/>
        <v>0</v>
      </c>
      <c r="DN265" s="144">
        <f t="shared" si="515"/>
        <v>0</v>
      </c>
      <c r="DO265" s="9">
        <f t="shared" si="515"/>
        <v>0</v>
      </c>
      <c r="DP265" s="144">
        <f t="shared" si="515"/>
        <v>1.73155980141457e-5</v>
      </c>
      <c r="DQ265" s="144">
        <f t="shared" si="515"/>
        <v>1.62563905739992e-5</v>
      </c>
      <c r="DR265" s="144">
        <f t="shared" si="515"/>
        <v>2.0089027172223e-5</v>
      </c>
      <c r="DS265" s="144">
        <f t="shared" si="515"/>
        <v>2.74198438264813e-6</v>
      </c>
      <c r="DT265" s="144">
        <f t="shared" si="515"/>
        <v>3.3856841233869e-6</v>
      </c>
      <c r="DU265" s="144">
        <f t="shared" si="515"/>
        <v>2.01434477191338e-5</v>
      </c>
      <c r="DV265" s="144">
        <f t="shared" si="515"/>
        <v>1.9420722170437e-5</v>
      </c>
      <c r="DW265" s="144">
        <f t="shared" si="515"/>
        <v>1.89473241961769e-5</v>
      </c>
      <c r="DX265" s="144">
        <f t="shared" si="515"/>
        <v>0</v>
      </c>
      <c r="DY265" s="144">
        <f t="shared" si="515"/>
        <v>0</v>
      </c>
      <c r="DZ265" s="144">
        <f t="shared" si="515"/>
        <v>0</v>
      </c>
      <c r="EA265" s="144">
        <f t="shared" si="515"/>
        <v>0</v>
      </c>
      <c r="EB265" s="117">
        <f t="shared" si="515"/>
        <v>1.03743380429598e-5</v>
      </c>
      <c r="EC265" s="118"/>
      <c r="ED265" s="117">
        <f t="shared" ref="ED265:FB265" si="516">ED53/ED$211</f>
        <v>0</v>
      </c>
      <c r="EE265" s="117">
        <f t="shared" si="516"/>
        <v>0</v>
      </c>
      <c r="EF265" s="117">
        <f t="shared" si="516"/>
        <v>0</v>
      </c>
      <c r="EG265" s="117" t="e">
        <f t="shared" si="516"/>
        <v>#DIV/0!</v>
      </c>
      <c r="EH265" s="117" t="e">
        <f t="shared" si="516"/>
        <v>#DIV/0!</v>
      </c>
      <c r="EI265" s="117" t="e">
        <f t="shared" si="516"/>
        <v>#DIV/0!</v>
      </c>
      <c r="EJ265" s="117" t="e">
        <f t="shared" si="516"/>
        <v>#DIV/0!</v>
      </c>
      <c r="EK265" s="117" t="e">
        <f t="shared" si="516"/>
        <v>#DIV/0!</v>
      </c>
      <c r="EL265" s="117" t="e">
        <f t="shared" si="516"/>
        <v>#DIV/0!</v>
      </c>
      <c r="EM265" s="117" t="e">
        <f t="shared" si="516"/>
        <v>#DIV/0!</v>
      </c>
      <c r="EN265" s="117" t="e">
        <f t="shared" si="516"/>
        <v>#DIV/0!</v>
      </c>
      <c r="EO265" s="116">
        <f t="shared" si="516"/>
        <v>0</v>
      </c>
      <c r="EP265" s="117">
        <f t="shared" si="516"/>
        <v>0</v>
      </c>
      <c r="EQ265" s="117">
        <f t="shared" si="516"/>
        <v>0</v>
      </c>
      <c r="ER265" s="117">
        <f t="shared" si="516"/>
        <v>0</v>
      </c>
      <c r="ES265" s="117">
        <f t="shared" si="516"/>
        <v>0</v>
      </c>
      <c r="ET265" s="117">
        <f t="shared" si="516"/>
        <v>0</v>
      </c>
      <c r="EU265" s="117">
        <f t="shared" si="516"/>
        <v>0</v>
      </c>
      <c r="EV265" s="117">
        <f t="shared" si="516"/>
        <v>0</v>
      </c>
      <c r="EW265" s="117">
        <f t="shared" si="516"/>
        <v>0</v>
      </c>
      <c r="EX265" s="117">
        <f t="shared" si="516"/>
        <v>0</v>
      </c>
      <c r="EY265" s="117">
        <f t="shared" si="516"/>
        <v>0</v>
      </c>
      <c r="EZ265" s="117">
        <f t="shared" si="516"/>
        <v>0</v>
      </c>
      <c r="FA265" s="117">
        <f t="shared" si="516"/>
        <v>0</v>
      </c>
      <c r="FB265" s="117">
        <f t="shared" si="516"/>
        <v>0</v>
      </c>
      <c r="FC265" s="118"/>
      <c r="FD265" s="117"/>
      <c r="FE265" s="117"/>
      <c r="FF265" s="117"/>
      <c r="FG265" s="117"/>
      <c r="FH265" s="117"/>
      <c r="FI265" s="117"/>
      <c r="FJ265" s="117"/>
      <c r="FK265" s="117" t="e">
        <f t="shared" si="211"/>
        <v>#DIV/0!</v>
      </c>
      <c r="FL265" s="117" t="e">
        <f t="shared" si="212"/>
        <v>#DIV/0!</v>
      </c>
      <c r="FM265" s="117" t="e">
        <f t="shared" si="213"/>
        <v>#DIV/0!</v>
      </c>
      <c r="FN265" s="117" t="e">
        <f t="shared" si="214"/>
        <v>#DIV/0!</v>
      </c>
      <c r="FO265" s="9" t="e">
        <f t="shared" si="215"/>
        <v>#DIV/0!</v>
      </c>
      <c r="FP265" s="118">
        <f t="shared" ref="FP265:GB265" si="517">FP53/FP$211</f>
        <v>1.82096937394791e-5</v>
      </c>
      <c r="FQ265" s="117">
        <f t="shared" si="517"/>
        <v>2.32428583009923e-5</v>
      </c>
      <c r="FR265" s="117">
        <f t="shared" si="517"/>
        <v>1.75933383337444e-5</v>
      </c>
      <c r="FS265" s="117">
        <f t="shared" si="517"/>
        <v>5.31687257527266e-5</v>
      </c>
      <c r="FT265" s="117">
        <f t="shared" si="517"/>
        <v>1.1465233575432e-5</v>
      </c>
      <c r="FU265" s="117">
        <f t="shared" si="517"/>
        <v>0</v>
      </c>
      <c r="FV265" s="117">
        <f t="shared" si="517"/>
        <v>0</v>
      </c>
      <c r="FW265" s="117">
        <f t="shared" si="517"/>
        <v>0</v>
      </c>
      <c r="FX265" s="117">
        <f t="shared" si="517"/>
        <v>0</v>
      </c>
      <c r="FY265" s="117">
        <f t="shared" si="517"/>
        <v>0</v>
      </c>
      <c r="FZ265" s="117">
        <f t="shared" si="517"/>
        <v>0</v>
      </c>
      <c r="GA265" s="117">
        <f t="shared" si="517"/>
        <v>0</v>
      </c>
      <c r="GB265" s="116">
        <f t="shared" si="517"/>
        <v>1.07607979410429e-5</v>
      </c>
    </row>
    <row r="266" spans="1:184">
      <c r="A266" s="147" t="s">
        <v>306</v>
      </c>
      <c r="B266" s="160">
        <f t="shared" si="217"/>
        <v>-0.601082152769136</v>
      </c>
      <c r="C266" s="117">
        <f t="shared" ref="C266:AH266" si="518">C54/C$211</f>
        <v>0.000420217534191522</v>
      </c>
      <c r="D266" s="117">
        <f t="shared" si="518"/>
        <v>0.000270131426661698</v>
      </c>
      <c r="E266" s="117">
        <f t="shared" si="518"/>
        <v>0.000165688212614059</v>
      </c>
      <c r="F266" s="117">
        <f t="shared" si="518"/>
        <v>8.27917447267001e-5</v>
      </c>
      <c r="G266" s="117">
        <f t="shared" si="518"/>
        <v>5.93920417024108e-5</v>
      </c>
      <c r="H266" s="117">
        <f t="shared" si="518"/>
        <v>0</v>
      </c>
      <c r="I266" s="117">
        <f t="shared" si="518"/>
        <v>0</v>
      </c>
      <c r="J266" s="117">
        <f t="shared" si="518"/>
        <v>0</v>
      </c>
      <c r="K266" s="117">
        <f t="shared" si="518"/>
        <v>0</v>
      </c>
      <c r="L266" s="117">
        <f t="shared" si="518"/>
        <v>0</v>
      </c>
      <c r="M266" s="117">
        <f t="shared" si="518"/>
        <v>0</v>
      </c>
      <c r="N266" s="117">
        <f t="shared" si="518"/>
        <v>0</v>
      </c>
      <c r="O266" s="9">
        <f t="shared" si="518"/>
        <v>9.8905745604121e-5</v>
      </c>
      <c r="P266" s="117">
        <f t="shared" si="518"/>
        <v>0.000386753554926898</v>
      </c>
      <c r="Q266" s="117">
        <f t="shared" si="518"/>
        <v>0.000206554749416622</v>
      </c>
      <c r="R266" s="117">
        <f t="shared" si="518"/>
        <v>0.000185550464548993</v>
      </c>
      <c r="S266" s="117">
        <f t="shared" si="518"/>
        <v>0.000142736705806445</v>
      </c>
      <c r="T266" s="117">
        <f t="shared" si="518"/>
        <v>4.36004966722505e-5</v>
      </c>
      <c r="U266" s="117">
        <f t="shared" si="518"/>
        <v>0</v>
      </c>
      <c r="V266" s="117">
        <f t="shared" si="518"/>
        <v>0</v>
      </c>
      <c r="W266" s="117">
        <f t="shared" si="518"/>
        <v>0</v>
      </c>
      <c r="X266" s="117">
        <f t="shared" si="518"/>
        <v>0</v>
      </c>
      <c r="Y266" s="117">
        <f t="shared" si="518"/>
        <v>0</v>
      </c>
      <c r="Z266" s="117">
        <f t="shared" si="518"/>
        <v>0</v>
      </c>
      <c r="AA266" s="117">
        <f t="shared" si="518"/>
        <v>0</v>
      </c>
      <c r="AB266" s="9">
        <f t="shared" si="518"/>
        <v>8.88132972973991e-5</v>
      </c>
      <c r="AC266" s="117">
        <f t="shared" si="518"/>
        <v>0.000388494422148468</v>
      </c>
      <c r="AD266" s="117">
        <f t="shared" si="518"/>
        <v>0.000302764496577326</v>
      </c>
      <c r="AE266" s="117">
        <f t="shared" si="518"/>
        <v>0.000184635257857642</v>
      </c>
      <c r="AF266" s="117">
        <f t="shared" si="518"/>
        <v>4.248319051951e-5</v>
      </c>
      <c r="AG266" s="117">
        <f t="shared" si="518"/>
        <v>0</v>
      </c>
      <c r="AH266" s="117">
        <f t="shared" si="518"/>
        <v>0</v>
      </c>
      <c r="AI266" s="117">
        <f t="shared" ref="AI266:BN266" si="519">AI54/AI$211</f>
        <v>0</v>
      </c>
      <c r="AJ266" s="117">
        <f t="shared" si="519"/>
        <v>0</v>
      </c>
      <c r="AK266" s="117">
        <f t="shared" si="519"/>
        <v>0</v>
      </c>
      <c r="AL266" s="117">
        <f t="shared" si="519"/>
        <v>0</v>
      </c>
      <c r="AM266" s="117">
        <f t="shared" si="519"/>
        <v>0</v>
      </c>
      <c r="AN266" s="117">
        <f t="shared" si="519"/>
        <v>0</v>
      </c>
      <c r="AO266" s="9">
        <f t="shared" si="519"/>
        <v>7.22277553440912e-5</v>
      </c>
      <c r="AP266" s="144">
        <f t="shared" si="519"/>
        <v>0.0002021721624864</v>
      </c>
      <c r="AQ266" s="144">
        <f t="shared" si="519"/>
        <v>0.000157706601366738</v>
      </c>
      <c r="AR266" s="144">
        <f t="shared" si="519"/>
        <v>8.19331013681441e-5</v>
      </c>
      <c r="AS266" s="144">
        <f t="shared" si="519"/>
        <v>7.03474138484279e-5</v>
      </c>
      <c r="AT266" s="144">
        <f t="shared" si="519"/>
        <v>7.27856003267167e-5</v>
      </c>
      <c r="AU266" s="144">
        <f t="shared" si="519"/>
        <v>0</v>
      </c>
      <c r="AV266" s="144">
        <f t="shared" si="519"/>
        <v>0</v>
      </c>
      <c r="AW266" s="144">
        <f t="shared" si="519"/>
        <v>0</v>
      </c>
      <c r="AX266" s="144">
        <f t="shared" si="519"/>
        <v>0</v>
      </c>
      <c r="AY266" s="144">
        <f t="shared" si="519"/>
        <v>0</v>
      </c>
      <c r="AZ266" s="144">
        <f t="shared" si="519"/>
        <v>0</v>
      </c>
      <c r="BA266" s="144">
        <f t="shared" si="519"/>
        <v>0</v>
      </c>
      <c r="BB266" s="9">
        <f t="shared" si="519"/>
        <v>4.78320979180594e-5</v>
      </c>
      <c r="BC266" s="144">
        <f t="shared" si="519"/>
        <v>0.000376595125873427</v>
      </c>
      <c r="BD266" s="144">
        <f t="shared" si="519"/>
        <v>0.000279551938119299</v>
      </c>
      <c r="BE266" s="144">
        <f t="shared" si="519"/>
        <v>0.000181280793182015</v>
      </c>
      <c r="BF266" s="144">
        <f t="shared" si="519"/>
        <v>0.000139702820598651</v>
      </c>
      <c r="BG266" s="144">
        <f t="shared" si="519"/>
        <v>8.68342452172208e-6</v>
      </c>
      <c r="BH266" s="144">
        <f t="shared" si="519"/>
        <v>0</v>
      </c>
      <c r="BI266" s="144">
        <f t="shared" si="519"/>
        <v>0</v>
      </c>
      <c r="BJ266" s="144">
        <f t="shared" si="519"/>
        <v>0</v>
      </c>
      <c r="BK266" s="144">
        <f t="shared" si="519"/>
        <v>0</v>
      </c>
      <c r="BL266" s="144">
        <f t="shared" si="519"/>
        <v>0</v>
      </c>
      <c r="BM266" s="144">
        <f t="shared" si="519"/>
        <v>0</v>
      </c>
      <c r="BN266" s="144">
        <f t="shared" si="519"/>
        <v>0</v>
      </c>
      <c r="BO266" s="9">
        <f t="shared" ref="BO266:CT266" si="520">BO54/BO$211</f>
        <v>9.57620534332882e-5</v>
      </c>
      <c r="BP266" s="144">
        <f t="shared" si="520"/>
        <v>0.000347478632449379</v>
      </c>
      <c r="BQ266" s="144">
        <f t="shared" si="520"/>
        <v>0.000340472405936226</v>
      </c>
      <c r="BR266" s="144">
        <f t="shared" si="520"/>
        <v>0.00023403162385962</v>
      </c>
      <c r="BS266" s="144">
        <f t="shared" si="520"/>
        <v>0.000121660475878529</v>
      </c>
      <c r="BT266" s="144">
        <f t="shared" si="520"/>
        <v>0.000108470081821258</v>
      </c>
      <c r="BU266" s="144">
        <f t="shared" si="520"/>
        <v>0</v>
      </c>
      <c r="BV266" s="144">
        <f t="shared" si="520"/>
        <v>0</v>
      </c>
      <c r="BW266" s="144">
        <f t="shared" si="520"/>
        <v>0</v>
      </c>
      <c r="BX266" s="144">
        <f t="shared" si="520"/>
        <v>0</v>
      </c>
      <c r="BY266" s="144">
        <f t="shared" si="520"/>
        <v>0</v>
      </c>
      <c r="BZ266" s="144">
        <f t="shared" si="520"/>
        <v>0</v>
      </c>
      <c r="CA266" s="144">
        <f t="shared" si="520"/>
        <v>0</v>
      </c>
      <c r="CB266" s="9">
        <f t="shared" si="520"/>
        <v>0.00012196859487249</v>
      </c>
      <c r="CC266" s="144">
        <f t="shared" si="520"/>
        <v>0.000271558678692886</v>
      </c>
      <c r="CD266" s="144">
        <f t="shared" si="520"/>
        <v>0.000219309841622169</v>
      </c>
      <c r="CE266" s="144">
        <f t="shared" si="520"/>
        <v>9.10721532200228e-5</v>
      </c>
      <c r="CF266" s="144">
        <f t="shared" si="520"/>
        <v>9.31642318139509e-5</v>
      </c>
      <c r="CG266" s="144">
        <f t="shared" si="520"/>
        <v>9.93004278573068e-5</v>
      </c>
      <c r="CH266" s="144">
        <f t="shared" si="520"/>
        <v>0</v>
      </c>
      <c r="CI266" s="144">
        <f t="shared" si="520"/>
        <v>0</v>
      </c>
      <c r="CJ266" s="144">
        <f t="shared" si="520"/>
        <v>0</v>
      </c>
      <c r="CK266" s="144">
        <f t="shared" si="520"/>
        <v>0</v>
      </c>
      <c r="CL266" s="144">
        <f t="shared" si="520"/>
        <v>0</v>
      </c>
      <c r="CM266" s="144">
        <f t="shared" si="520"/>
        <v>0</v>
      </c>
      <c r="CN266" s="144">
        <f t="shared" si="520"/>
        <v>0</v>
      </c>
      <c r="CO266" s="9">
        <f t="shared" si="520"/>
        <v>6.54673134583798e-5</v>
      </c>
      <c r="CP266" s="144">
        <f t="shared" si="520"/>
        <v>0.00147966797235694</v>
      </c>
      <c r="CQ266" s="144">
        <f t="shared" si="520"/>
        <v>0.000744901612409927</v>
      </c>
      <c r="CR266" s="144">
        <f t="shared" si="520"/>
        <v>0.000106877427389763</v>
      </c>
      <c r="CS266" s="144">
        <f t="shared" si="520"/>
        <v>4.13590451541381e-5</v>
      </c>
      <c r="CT266" s="144">
        <f t="shared" si="520"/>
        <v>3.95435804166525e-5</v>
      </c>
      <c r="CU266" s="144">
        <f t="shared" ref="CU266:EB266" si="521">CU54/CU$211</f>
        <v>0</v>
      </c>
      <c r="CV266" s="144">
        <f t="shared" si="521"/>
        <v>0</v>
      </c>
      <c r="CW266" s="144">
        <f t="shared" si="521"/>
        <v>0</v>
      </c>
      <c r="CX266" s="144">
        <f t="shared" si="521"/>
        <v>0</v>
      </c>
      <c r="CY266" s="144">
        <f t="shared" si="521"/>
        <v>0</v>
      </c>
      <c r="CZ266" s="144">
        <f t="shared" si="521"/>
        <v>0</v>
      </c>
      <c r="DA266" s="144">
        <f t="shared" si="521"/>
        <v>0</v>
      </c>
      <c r="DB266" s="9">
        <f t="shared" si="521"/>
        <v>0.000256082618208153</v>
      </c>
      <c r="DC266" s="144">
        <f t="shared" si="521"/>
        <v>0.000314689613314304</v>
      </c>
      <c r="DD266" s="144">
        <f t="shared" si="521"/>
        <v>0.000240319250370102</v>
      </c>
      <c r="DE266" s="144">
        <f t="shared" si="521"/>
        <v>0.000167279919673305</v>
      </c>
      <c r="DF266" s="144">
        <f t="shared" si="521"/>
        <v>0.000190180483706247</v>
      </c>
      <c r="DG266" s="144">
        <f t="shared" si="521"/>
        <v>5.94625868686074e-5</v>
      </c>
      <c r="DH266" s="144">
        <f t="shared" si="521"/>
        <v>0</v>
      </c>
      <c r="DI266" s="144">
        <f t="shared" si="521"/>
        <v>0</v>
      </c>
      <c r="DJ266" s="144">
        <f t="shared" si="521"/>
        <v>0</v>
      </c>
      <c r="DK266" s="144">
        <f t="shared" si="521"/>
        <v>0</v>
      </c>
      <c r="DL266" s="144">
        <f t="shared" si="521"/>
        <v>0</v>
      </c>
      <c r="DM266" s="144">
        <f t="shared" si="521"/>
        <v>0</v>
      </c>
      <c r="DN266" s="144">
        <f t="shared" si="521"/>
        <v>0</v>
      </c>
      <c r="DO266" s="9">
        <f t="shared" si="521"/>
        <v>9.86602587489472e-5</v>
      </c>
      <c r="DP266" s="144">
        <f t="shared" si="521"/>
        <v>0.000412625885703165</v>
      </c>
      <c r="DQ266" s="144">
        <f t="shared" si="521"/>
        <v>0.000213811126516974</v>
      </c>
      <c r="DR266" s="144">
        <f t="shared" si="521"/>
        <v>0.000297696219816698</v>
      </c>
      <c r="DS266" s="144">
        <f t="shared" si="521"/>
        <v>3.49004746207897e-5</v>
      </c>
      <c r="DT266" s="144">
        <f t="shared" si="521"/>
        <v>4.30931757675007e-5</v>
      </c>
      <c r="DU266" s="144">
        <f t="shared" si="521"/>
        <v>0</v>
      </c>
      <c r="DV266" s="144">
        <f t="shared" si="521"/>
        <v>0</v>
      </c>
      <c r="DW266" s="144">
        <f t="shared" si="521"/>
        <v>0</v>
      </c>
      <c r="DX266" s="144">
        <f t="shared" si="521"/>
        <v>0</v>
      </c>
      <c r="DY266" s="144">
        <f t="shared" si="521"/>
        <v>0</v>
      </c>
      <c r="DZ266" s="144">
        <f t="shared" si="521"/>
        <v>0</v>
      </c>
      <c r="EA266" s="144">
        <f t="shared" si="521"/>
        <v>0</v>
      </c>
      <c r="EB266" s="117">
        <f t="shared" si="521"/>
        <v>0.000103571796044705</v>
      </c>
      <c r="EC266" s="118"/>
      <c r="ED266" s="117">
        <f t="shared" ref="ED266:FB266" si="522">ED54/ED$211</f>
        <v>0</v>
      </c>
      <c r="EE266" s="117">
        <f t="shared" si="522"/>
        <v>0</v>
      </c>
      <c r="EF266" s="117">
        <f t="shared" si="522"/>
        <v>0</v>
      </c>
      <c r="EG266" s="117" t="e">
        <f t="shared" si="522"/>
        <v>#DIV/0!</v>
      </c>
      <c r="EH266" s="117" t="e">
        <f t="shared" si="522"/>
        <v>#DIV/0!</v>
      </c>
      <c r="EI266" s="117" t="e">
        <f t="shared" si="522"/>
        <v>#DIV/0!</v>
      </c>
      <c r="EJ266" s="117" t="e">
        <f t="shared" si="522"/>
        <v>#DIV/0!</v>
      </c>
      <c r="EK266" s="117" t="e">
        <f t="shared" si="522"/>
        <v>#DIV/0!</v>
      </c>
      <c r="EL266" s="117" t="e">
        <f t="shared" si="522"/>
        <v>#DIV/0!</v>
      </c>
      <c r="EM266" s="117" t="e">
        <f t="shared" si="522"/>
        <v>#DIV/0!</v>
      </c>
      <c r="EN266" s="117" t="e">
        <f t="shared" si="522"/>
        <v>#DIV/0!</v>
      </c>
      <c r="EO266" s="116">
        <f t="shared" si="522"/>
        <v>0</v>
      </c>
      <c r="EP266" s="117">
        <f t="shared" si="522"/>
        <v>0.000339739959374197</v>
      </c>
      <c r="EQ266" s="117">
        <f t="shared" si="522"/>
        <v>0.000206132459376138</v>
      </c>
      <c r="ER266" s="117">
        <f t="shared" si="522"/>
        <v>9.1950677217336e-5</v>
      </c>
      <c r="ES266" s="117">
        <f t="shared" si="522"/>
        <v>0.000111149236208153</v>
      </c>
      <c r="ET266" s="117">
        <f t="shared" si="522"/>
        <v>0.000128991307875753</v>
      </c>
      <c r="EU266" s="117">
        <f t="shared" si="522"/>
        <v>0</v>
      </c>
      <c r="EV266" s="117">
        <f t="shared" si="522"/>
        <v>0</v>
      </c>
      <c r="EW266" s="117">
        <f t="shared" si="522"/>
        <v>0</v>
      </c>
      <c r="EX266" s="117">
        <f t="shared" si="522"/>
        <v>0</v>
      </c>
      <c r="EY266" s="117">
        <f t="shared" si="522"/>
        <v>0</v>
      </c>
      <c r="EZ266" s="117">
        <f t="shared" si="522"/>
        <v>0</v>
      </c>
      <c r="FA266" s="117">
        <f t="shared" si="522"/>
        <v>0</v>
      </c>
      <c r="FB266" s="117">
        <f t="shared" si="522"/>
        <v>6.49077904500614e-5</v>
      </c>
      <c r="FC266" s="118"/>
      <c r="FD266" s="117"/>
      <c r="FE266" s="117"/>
      <c r="FF266" s="117"/>
      <c r="FG266" s="117"/>
      <c r="FH266" s="117"/>
      <c r="FI266" s="117"/>
      <c r="FJ266" s="117"/>
      <c r="FK266" s="117" t="e">
        <f t="shared" si="211"/>
        <v>#DIV/0!</v>
      </c>
      <c r="FL266" s="117" t="e">
        <f t="shared" si="212"/>
        <v>#DIV/0!</v>
      </c>
      <c r="FM266" s="117" t="e">
        <f t="shared" si="213"/>
        <v>#DIV/0!</v>
      </c>
      <c r="FN266" s="117" t="e">
        <f t="shared" si="214"/>
        <v>#DIV/0!</v>
      </c>
      <c r="FO266" s="9" t="e">
        <f t="shared" si="215"/>
        <v>#DIV/0!</v>
      </c>
      <c r="FP266" s="118">
        <f t="shared" ref="FP266:GB266" si="523">FP54/FP$211</f>
        <v>0.000306694654235064</v>
      </c>
      <c r="FQ266" s="117">
        <f t="shared" si="523"/>
        <v>0.000106276740693514</v>
      </c>
      <c r="FR266" s="117">
        <f t="shared" si="523"/>
        <v>0.000109695261282374</v>
      </c>
      <c r="FS266" s="117">
        <f t="shared" si="523"/>
        <v>4.98961474686511e-5</v>
      </c>
      <c r="FT266" s="117">
        <f t="shared" si="523"/>
        <v>5.90629159293502e-5</v>
      </c>
      <c r="FU266" s="117">
        <f t="shared" si="523"/>
        <v>0</v>
      </c>
      <c r="FV266" s="117">
        <f t="shared" si="523"/>
        <v>0</v>
      </c>
      <c r="FW266" s="117">
        <f t="shared" si="523"/>
        <v>0</v>
      </c>
      <c r="FX266" s="117">
        <f t="shared" si="523"/>
        <v>0</v>
      </c>
      <c r="FY266" s="117">
        <f t="shared" si="523"/>
        <v>0</v>
      </c>
      <c r="FZ266" s="117">
        <f t="shared" si="523"/>
        <v>0</v>
      </c>
      <c r="GA266" s="117">
        <f t="shared" si="523"/>
        <v>0</v>
      </c>
      <c r="GB266" s="116">
        <f t="shared" si="523"/>
        <v>6.68317682633102e-5</v>
      </c>
    </row>
    <row r="267" spans="1:184">
      <c r="A267" s="147" t="s">
        <v>135</v>
      </c>
      <c r="B267" s="160">
        <f t="shared" si="217"/>
        <v>-0.999391155730609</v>
      </c>
      <c r="C267" s="117">
        <f t="shared" ref="C267:AH267" si="524">C55/C$211</f>
        <v>3.45153231516127e-7</v>
      </c>
      <c r="D267" s="117">
        <f t="shared" si="524"/>
        <v>0</v>
      </c>
      <c r="E267" s="117">
        <f t="shared" si="524"/>
        <v>0</v>
      </c>
      <c r="F267" s="117">
        <f t="shared" si="524"/>
        <v>0</v>
      </c>
      <c r="G267" s="117">
        <f t="shared" si="524"/>
        <v>0</v>
      </c>
      <c r="H267" s="117">
        <f t="shared" si="524"/>
        <v>0</v>
      </c>
      <c r="I267" s="117">
        <f t="shared" si="524"/>
        <v>0</v>
      </c>
      <c r="J267" s="117">
        <f t="shared" si="524"/>
        <v>0</v>
      </c>
      <c r="K267" s="117">
        <f t="shared" si="524"/>
        <v>0</v>
      </c>
      <c r="L267" s="117">
        <f t="shared" si="524"/>
        <v>0</v>
      </c>
      <c r="M267" s="117">
        <f t="shared" si="524"/>
        <v>0</v>
      </c>
      <c r="N267" s="117">
        <f t="shared" si="524"/>
        <v>0</v>
      </c>
      <c r="O267" s="9">
        <f t="shared" si="524"/>
        <v>4.05366365176708e-8</v>
      </c>
      <c r="P267" s="117">
        <f t="shared" si="524"/>
        <v>0</v>
      </c>
      <c r="Q267" s="117">
        <f t="shared" si="524"/>
        <v>0</v>
      </c>
      <c r="R267" s="117">
        <f t="shared" si="524"/>
        <v>0</v>
      </c>
      <c r="S267" s="117">
        <f t="shared" si="524"/>
        <v>0</v>
      </c>
      <c r="T267" s="117">
        <f t="shared" si="524"/>
        <v>0</v>
      </c>
      <c r="U267" s="117">
        <f t="shared" si="524"/>
        <v>0</v>
      </c>
      <c r="V267" s="117">
        <f t="shared" si="524"/>
        <v>0</v>
      </c>
      <c r="W267" s="117">
        <f t="shared" si="524"/>
        <v>0</v>
      </c>
      <c r="X267" s="117">
        <f t="shared" si="524"/>
        <v>0</v>
      </c>
      <c r="Y267" s="117">
        <f t="shared" si="524"/>
        <v>0</v>
      </c>
      <c r="Z267" s="117">
        <f t="shared" si="524"/>
        <v>0</v>
      </c>
      <c r="AA267" s="117">
        <f t="shared" si="524"/>
        <v>0</v>
      </c>
      <c r="AB267" s="9">
        <f t="shared" si="524"/>
        <v>0</v>
      </c>
      <c r="AC267" s="117">
        <f t="shared" si="524"/>
        <v>0</v>
      </c>
      <c r="AD267" s="117">
        <f t="shared" si="524"/>
        <v>0</v>
      </c>
      <c r="AE267" s="117">
        <f t="shared" si="524"/>
        <v>0</v>
      </c>
      <c r="AF267" s="117">
        <f t="shared" si="524"/>
        <v>0</v>
      </c>
      <c r="AG267" s="117">
        <f t="shared" si="524"/>
        <v>0</v>
      </c>
      <c r="AH267" s="117">
        <f t="shared" si="524"/>
        <v>0</v>
      </c>
      <c r="AI267" s="117">
        <f t="shared" ref="AI267:BN267" si="525">AI55/AI$211</f>
        <v>0</v>
      </c>
      <c r="AJ267" s="117">
        <f t="shared" si="525"/>
        <v>0</v>
      </c>
      <c r="AK267" s="117">
        <f t="shared" si="525"/>
        <v>0</v>
      </c>
      <c r="AL267" s="117">
        <f t="shared" si="525"/>
        <v>0</v>
      </c>
      <c r="AM267" s="117">
        <f t="shared" si="525"/>
        <v>0</v>
      </c>
      <c r="AN267" s="117">
        <f t="shared" si="525"/>
        <v>0</v>
      </c>
      <c r="AO267" s="9">
        <f t="shared" si="525"/>
        <v>0</v>
      </c>
      <c r="AP267" s="144">
        <f t="shared" si="525"/>
        <v>0</v>
      </c>
      <c r="AQ267" s="144">
        <f t="shared" si="525"/>
        <v>0</v>
      </c>
      <c r="AR267" s="144">
        <f t="shared" si="525"/>
        <v>0</v>
      </c>
      <c r="AS267" s="144">
        <f t="shared" si="525"/>
        <v>0</v>
      </c>
      <c r="AT267" s="144">
        <f t="shared" si="525"/>
        <v>0</v>
      </c>
      <c r="AU267" s="144">
        <f t="shared" si="525"/>
        <v>0</v>
      </c>
      <c r="AV267" s="144">
        <f t="shared" si="525"/>
        <v>0</v>
      </c>
      <c r="AW267" s="144">
        <f t="shared" si="525"/>
        <v>0</v>
      </c>
      <c r="AX267" s="144">
        <f t="shared" si="525"/>
        <v>0</v>
      </c>
      <c r="AY267" s="144">
        <f t="shared" si="525"/>
        <v>0</v>
      </c>
      <c r="AZ267" s="144">
        <f t="shared" si="525"/>
        <v>0</v>
      </c>
      <c r="BA267" s="144">
        <f t="shared" si="525"/>
        <v>0</v>
      </c>
      <c r="BB267" s="9">
        <f t="shared" si="525"/>
        <v>0</v>
      </c>
      <c r="BC267" s="144">
        <f t="shared" si="525"/>
        <v>0</v>
      </c>
      <c r="BD267" s="144">
        <f t="shared" si="525"/>
        <v>0</v>
      </c>
      <c r="BE267" s="144">
        <f t="shared" si="525"/>
        <v>0</v>
      </c>
      <c r="BF267" s="144">
        <f t="shared" si="525"/>
        <v>0</v>
      </c>
      <c r="BG267" s="144">
        <f t="shared" si="525"/>
        <v>0</v>
      </c>
      <c r="BH267" s="144">
        <f t="shared" si="525"/>
        <v>0</v>
      </c>
      <c r="BI267" s="144">
        <f t="shared" si="525"/>
        <v>0</v>
      </c>
      <c r="BJ267" s="144">
        <f t="shared" si="525"/>
        <v>0</v>
      </c>
      <c r="BK267" s="144">
        <f t="shared" si="525"/>
        <v>0</v>
      </c>
      <c r="BL267" s="144">
        <f t="shared" si="525"/>
        <v>0</v>
      </c>
      <c r="BM267" s="144">
        <f t="shared" si="525"/>
        <v>0</v>
      </c>
      <c r="BN267" s="144">
        <f t="shared" si="525"/>
        <v>0</v>
      </c>
      <c r="BO267" s="9">
        <f t="shared" ref="BO267:CT267" si="526">BO55/BO$211</f>
        <v>0</v>
      </c>
      <c r="BP267" s="144">
        <f t="shared" si="526"/>
        <v>0</v>
      </c>
      <c r="BQ267" s="144">
        <f t="shared" si="526"/>
        <v>0</v>
      </c>
      <c r="BR267" s="144">
        <f t="shared" si="526"/>
        <v>0</v>
      </c>
      <c r="BS267" s="144">
        <f t="shared" si="526"/>
        <v>0</v>
      </c>
      <c r="BT267" s="144">
        <f t="shared" si="526"/>
        <v>0</v>
      </c>
      <c r="BU267" s="144">
        <f t="shared" si="526"/>
        <v>0</v>
      </c>
      <c r="BV267" s="144">
        <f t="shared" si="526"/>
        <v>0</v>
      </c>
      <c r="BW267" s="144">
        <f t="shared" si="526"/>
        <v>0</v>
      </c>
      <c r="BX267" s="144">
        <f t="shared" si="526"/>
        <v>0</v>
      </c>
      <c r="BY267" s="144">
        <f t="shared" si="526"/>
        <v>0</v>
      </c>
      <c r="BZ267" s="144">
        <f t="shared" si="526"/>
        <v>0</v>
      </c>
      <c r="CA267" s="144">
        <f t="shared" si="526"/>
        <v>0</v>
      </c>
      <c r="CB267" s="9">
        <f t="shared" si="526"/>
        <v>0</v>
      </c>
      <c r="CC267" s="144">
        <f t="shared" si="526"/>
        <v>1.56088992440301e-5</v>
      </c>
      <c r="CD267" s="144">
        <f t="shared" si="526"/>
        <v>0</v>
      </c>
      <c r="CE267" s="144">
        <f t="shared" si="526"/>
        <v>0</v>
      </c>
      <c r="CF267" s="144">
        <f t="shared" si="526"/>
        <v>0</v>
      </c>
      <c r="CG267" s="144">
        <f t="shared" si="526"/>
        <v>0</v>
      </c>
      <c r="CH267" s="144">
        <f t="shared" si="526"/>
        <v>0</v>
      </c>
      <c r="CI267" s="144">
        <f t="shared" si="526"/>
        <v>0</v>
      </c>
      <c r="CJ267" s="144">
        <f t="shared" si="526"/>
        <v>0</v>
      </c>
      <c r="CK267" s="144">
        <f t="shared" si="526"/>
        <v>0</v>
      </c>
      <c r="CL267" s="144">
        <f t="shared" si="526"/>
        <v>0</v>
      </c>
      <c r="CM267" s="144">
        <f t="shared" si="526"/>
        <v>0</v>
      </c>
      <c r="CN267" s="144">
        <f t="shared" si="526"/>
        <v>0</v>
      </c>
      <c r="CO267" s="9">
        <f t="shared" si="526"/>
        <v>1.90756251123531e-6</v>
      </c>
      <c r="CP267" s="144">
        <f t="shared" si="526"/>
        <v>0</v>
      </c>
      <c r="CQ267" s="144">
        <f t="shared" si="526"/>
        <v>0</v>
      </c>
      <c r="CR267" s="144">
        <f t="shared" si="526"/>
        <v>0</v>
      </c>
      <c r="CS267" s="144">
        <f t="shared" si="526"/>
        <v>0</v>
      </c>
      <c r="CT267" s="144">
        <f t="shared" si="526"/>
        <v>0</v>
      </c>
      <c r="CU267" s="144">
        <f t="shared" ref="CU267:EB267" si="527">CU55/CU$211</f>
        <v>0</v>
      </c>
      <c r="CV267" s="144">
        <f t="shared" si="527"/>
        <v>0</v>
      </c>
      <c r="CW267" s="144">
        <f t="shared" si="527"/>
        <v>0</v>
      </c>
      <c r="CX267" s="144">
        <f t="shared" si="527"/>
        <v>0</v>
      </c>
      <c r="CY267" s="144">
        <f t="shared" si="527"/>
        <v>0</v>
      </c>
      <c r="CZ267" s="144">
        <f t="shared" si="527"/>
        <v>0</v>
      </c>
      <c r="DA267" s="144">
        <f t="shared" si="527"/>
        <v>0</v>
      </c>
      <c r="DB267" s="9">
        <f t="shared" si="527"/>
        <v>0</v>
      </c>
      <c r="DC267" s="144">
        <f t="shared" si="527"/>
        <v>0</v>
      </c>
      <c r="DD267" s="144">
        <f t="shared" si="527"/>
        <v>0</v>
      </c>
      <c r="DE267" s="144">
        <f t="shared" si="527"/>
        <v>0</v>
      </c>
      <c r="DF267" s="144">
        <f t="shared" si="527"/>
        <v>0</v>
      </c>
      <c r="DG267" s="144">
        <f t="shared" si="527"/>
        <v>0</v>
      </c>
      <c r="DH267" s="144">
        <f t="shared" si="527"/>
        <v>0</v>
      </c>
      <c r="DI267" s="144">
        <f t="shared" si="527"/>
        <v>0</v>
      </c>
      <c r="DJ267" s="144">
        <f t="shared" si="527"/>
        <v>0</v>
      </c>
      <c r="DK267" s="144">
        <f t="shared" si="527"/>
        <v>0</v>
      </c>
      <c r="DL267" s="144">
        <f t="shared" si="527"/>
        <v>0</v>
      </c>
      <c r="DM267" s="144">
        <f t="shared" si="527"/>
        <v>0</v>
      </c>
      <c r="DN267" s="144">
        <f t="shared" si="527"/>
        <v>0</v>
      </c>
      <c r="DO267" s="9">
        <f t="shared" si="527"/>
        <v>0</v>
      </c>
      <c r="DP267" s="144">
        <f t="shared" si="527"/>
        <v>0</v>
      </c>
      <c r="DQ267" s="144">
        <f t="shared" si="527"/>
        <v>0</v>
      </c>
      <c r="DR267" s="144">
        <f t="shared" si="527"/>
        <v>0</v>
      </c>
      <c r="DS267" s="144">
        <f t="shared" si="527"/>
        <v>0</v>
      </c>
      <c r="DT267" s="144">
        <f t="shared" si="527"/>
        <v>0</v>
      </c>
      <c r="DU267" s="144">
        <f t="shared" si="527"/>
        <v>0</v>
      </c>
      <c r="DV267" s="144">
        <f t="shared" si="527"/>
        <v>0</v>
      </c>
      <c r="DW267" s="144">
        <f t="shared" si="527"/>
        <v>0</v>
      </c>
      <c r="DX267" s="144">
        <f t="shared" si="527"/>
        <v>0</v>
      </c>
      <c r="DY267" s="144">
        <f t="shared" si="527"/>
        <v>0</v>
      </c>
      <c r="DZ267" s="144">
        <f t="shared" si="527"/>
        <v>0</v>
      </c>
      <c r="EA267" s="144">
        <f t="shared" si="527"/>
        <v>0</v>
      </c>
      <c r="EB267" s="117">
        <f t="shared" si="527"/>
        <v>0</v>
      </c>
      <c r="EC267" s="118"/>
      <c r="ED267" s="117">
        <f t="shared" ref="ED267:FB267" si="528">ED55/ED$211</f>
        <v>0</v>
      </c>
      <c r="EE267" s="117">
        <f t="shared" si="528"/>
        <v>0</v>
      </c>
      <c r="EF267" s="117">
        <f t="shared" si="528"/>
        <v>0</v>
      </c>
      <c r="EG267" s="117" t="e">
        <f t="shared" si="528"/>
        <v>#DIV/0!</v>
      </c>
      <c r="EH267" s="117" t="e">
        <f t="shared" si="528"/>
        <v>#DIV/0!</v>
      </c>
      <c r="EI267" s="117" t="e">
        <f t="shared" si="528"/>
        <v>#DIV/0!</v>
      </c>
      <c r="EJ267" s="117" t="e">
        <f t="shared" si="528"/>
        <v>#DIV/0!</v>
      </c>
      <c r="EK267" s="117" t="e">
        <f t="shared" si="528"/>
        <v>#DIV/0!</v>
      </c>
      <c r="EL267" s="117" t="e">
        <f t="shared" si="528"/>
        <v>#DIV/0!</v>
      </c>
      <c r="EM267" s="117" t="e">
        <f t="shared" si="528"/>
        <v>#DIV/0!</v>
      </c>
      <c r="EN267" s="117" t="e">
        <f t="shared" si="528"/>
        <v>#DIV/0!</v>
      </c>
      <c r="EO267" s="116">
        <f t="shared" si="528"/>
        <v>0</v>
      </c>
      <c r="EP267" s="117">
        <f t="shared" si="528"/>
        <v>0</v>
      </c>
      <c r="EQ267" s="117">
        <f t="shared" si="528"/>
        <v>0</v>
      </c>
      <c r="ER267" s="117">
        <f t="shared" si="528"/>
        <v>0</v>
      </c>
      <c r="ES267" s="117">
        <f t="shared" si="528"/>
        <v>0</v>
      </c>
      <c r="ET267" s="117">
        <f t="shared" si="528"/>
        <v>0</v>
      </c>
      <c r="EU267" s="117">
        <f t="shared" si="528"/>
        <v>0</v>
      </c>
      <c r="EV267" s="117">
        <f t="shared" si="528"/>
        <v>0</v>
      </c>
      <c r="EW267" s="117">
        <f t="shared" si="528"/>
        <v>0</v>
      </c>
      <c r="EX267" s="117">
        <f t="shared" si="528"/>
        <v>0</v>
      </c>
      <c r="EY267" s="117">
        <f t="shared" si="528"/>
        <v>0</v>
      </c>
      <c r="EZ267" s="117">
        <f t="shared" si="528"/>
        <v>0</v>
      </c>
      <c r="FA267" s="117">
        <f t="shared" si="528"/>
        <v>0</v>
      </c>
      <c r="FB267" s="117">
        <f t="shared" si="528"/>
        <v>0</v>
      </c>
      <c r="FC267" s="118"/>
      <c r="FD267" s="117"/>
      <c r="FE267" s="117"/>
      <c r="FF267" s="117"/>
      <c r="FG267" s="117"/>
      <c r="FH267" s="117"/>
      <c r="FI267" s="117"/>
      <c r="FJ267" s="117"/>
      <c r="FK267" s="117" t="e">
        <f t="shared" si="211"/>
        <v>#DIV/0!</v>
      </c>
      <c r="FL267" s="117" t="e">
        <f t="shared" si="212"/>
        <v>#DIV/0!</v>
      </c>
      <c r="FM267" s="117" t="e">
        <f t="shared" si="213"/>
        <v>#DIV/0!</v>
      </c>
      <c r="FN267" s="117" t="e">
        <f t="shared" si="214"/>
        <v>#DIV/0!</v>
      </c>
      <c r="FO267" s="9" t="e">
        <f t="shared" si="215"/>
        <v>#DIV/0!</v>
      </c>
      <c r="FP267" s="118">
        <f t="shared" ref="FP267:GB267" si="529">FP55/FP$211</f>
        <v>0</v>
      </c>
      <c r="FQ267" s="117">
        <f t="shared" si="529"/>
        <v>0</v>
      </c>
      <c r="FR267" s="117">
        <f t="shared" si="529"/>
        <v>0</v>
      </c>
      <c r="FS267" s="117">
        <f t="shared" si="529"/>
        <v>0</v>
      </c>
      <c r="FT267" s="117">
        <f t="shared" si="529"/>
        <v>0</v>
      </c>
      <c r="FU267" s="117">
        <f t="shared" si="529"/>
        <v>0</v>
      </c>
      <c r="FV267" s="117">
        <f t="shared" si="529"/>
        <v>0</v>
      </c>
      <c r="FW267" s="117">
        <f t="shared" si="529"/>
        <v>0</v>
      </c>
      <c r="FX267" s="117">
        <f t="shared" si="529"/>
        <v>0</v>
      </c>
      <c r="FY267" s="117">
        <f t="shared" si="529"/>
        <v>0</v>
      </c>
      <c r="FZ267" s="117">
        <f t="shared" si="529"/>
        <v>0</v>
      </c>
      <c r="GA267" s="117">
        <f t="shared" si="529"/>
        <v>0</v>
      </c>
      <c r="GB267" s="116">
        <f t="shared" si="529"/>
        <v>0</v>
      </c>
    </row>
    <row r="268" spans="1:184">
      <c r="A268" s="147" t="s">
        <v>137</v>
      </c>
      <c r="B268" s="160">
        <f t="shared" si="217"/>
        <v>-0.950968087789428</v>
      </c>
      <c r="C268" s="117">
        <f t="shared" ref="C268:AH268" si="530">C56/C$211</f>
        <v>1.78498322802022e-5</v>
      </c>
      <c r="D268" s="117">
        <f t="shared" si="530"/>
        <v>1.65867364037759e-5</v>
      </c>
      <c r="E268" s="117">
        <f t="shared" si="530"/>
        <v>2.32835471641094e-5</v>
      </c>
      <c r="F268" s="117">
        <f t="shared" si="530"/>
        <v>2.61169230780319e-5</v>
      </c>
      <c r="G268" s="117">
        <f t="shared" si="530"/>
        <v>2.25588915481251e-5</v>
      </c>
      <c r="H268" s="117">
        <f t="shared" si="530"/>
        <v>4.41406776155689e-5</v>
      </c>
      <c r="I268" s="117">
        <f t="shared" si="530"/>
        <v>1.84413076004524e-5</v>
      </c>
      <c r="J268" s="117">
        <f t="shared" si="530"/>
        <v>1.61778386252075e-5</v>
      </c>
      <c r="K268" s="117">
        <f t="shared" si="530"/>
        <v>0</v>
      </c>
      <c r="L268" s="117">
        <f t="shared" si="530"/>
        <v>0</v>
      </c>
      <c r="M268" s="117">
        <f t="shared" si="530"/>
        <v>0</v>
      </c>
      <c r="N268" s="117">
        <f t="shared" si="530"/>
        <v>0</v>
      </c>
      <c r="O268" s="9">
        <f t="shared" si="530"/>
        <v>1.46625230302537e-5</v>
      </c>
      <c r="P268" s="117">
        <f t="shared" si="530"/>
        <v>0</v>
      </c>
      <c r="Q268" s="117">
        <f t="shared" si="530"/>
        <v>0</v>
      </c>
      <c r="R268" s="117">
        <f t="shared" si="530"/>
        <v>0</v>
      </c>
      <c r="S268" s="117">
        <f t="shared" si="530"/>
        <v>0</v>
      </c>
      <c r="T268" s="117">
        <f t="shared" si="530"/>
        <v>0</v>
      </c>
      <c r="U268" s="117">
        <f t="shared" si="530"/>
        <v>0</v>
      </c>
      <c r="V268" s="117">
        <f t="shared" si="530"/>
        <v>0</v>
      </c>
      <c r="W268" s="117">
        <f t="shared" si="530"/>
        <v>0</v>
      </c>
      <c r="X268" s="117">
        <f t="shared" si="530"/>
        <v>0</v>
      </c>
      <c r="Y268" s="117">
        <f t="shared" si="530"/>
        <v>0</v>
      </c>
      <c r="Z268" s="117">
        <f t="shared" si="530"/>
        <v>0</v>
      </c>
      <c r="AA268" s="117">
        <f t="shared" si="530"/>
        <v>0</v>
      </c>
      <c r="AB268" s="9">
        <f t="shared" si="530"/>
        <v>0</v>
      </c>
      <c r="AC268" s="117">
        <f t="shared" si="530"/>
        <v>0</v>
      </c>
      <c r="AD268" s="117">
        <f t="shared" si="530"/>
        <v>0</v>
      </c>
      <c r="AE268" s="117">
        <f t="shared" si="530"/>
        <v>0</v>
      </c>
      <c r="AF268" s="117">
        <f t="shared" si="530"/>
        <v>0</v>
      </c>
      <c r="AG268" s="117">
        <f t="shared" si="530"/>
        <v>0</v>
      </c>
      <c r="AH268" s="117">
        <f t="shared" si="530"/>
        <v>0</v>
      </c>
      <c r="AI268" s="117">
        <f t="shared" ref="AI268:BN268" si="531">AI56/AI$211</f>
        <v>0</v>
      </c>
      <c r="AJ268" s="117">
        <f t="shared" si="531"/>
        <v>0</v>
      </c>
      <c r="AK268" s="117">
        <f t="shared" si="531"/>
        <v>0</v>
      </c>
      <c r="AL268" s="117">
        <f t="shared" si="531"/>
        <v>0</v>
      </c>
      <c r="AM268" s="117">
        <f t="shared" si="531"/>
        <v>0</v>
      </c>
      <c r="AN268" s="117">
        <f t="shared" si="531"/>
        <v>0</v>
      </c>
      <c r="AO268" s="9">
        <f t="shared" si="531"/>
        <v>0</v>
      </c>
      <c r="AP268" s="144">
        <f t="shared" si="531"/>
        <v>0</v>
      </c>
      <c r="AQ268" s="144">
        <f t="shared" si="531"/>
        <v>0</v>
      </c>
      <c r="AR268" s="144">
        <f t="shared" si="531"/>
        <v>0</v>
      </c>
      <c r="AS268" s="144">
        <f t="shared" si="531"/>
        <v>0</v>
      </c>
      <c r="AT268" s="144">
        <f t="shared" si="531"/>
        <v>0</v>
      </c>
      <c r="AU268" s="144">
        <f t="shared" si="531"/>
        <v>0</v>
      </c>
      <c r="AV268" s="144">
        <f t="shared" si="531"/>
        <v>0</v>
      </c>
      <c r="AW268" s="144">
        <f t="shared" si="531"/>
        <v>0</v>
      </c>
      <c r="AX268" s="144">
        <f t="shared" si="531"/>
        <v>0</v>
      </c>
      <c r="AY268" s="144">
        <f t="shared" si="531"/>
        <v>0</v>
      </c>
      <c r="AZ268" s="144">
        <f t="shared" si="531"/>
        <v>0</v>
      </c>
      <c r="BA268" s="144">
        <f t="shared" si="531"/>
        <v>0</v>
      </c>
      <c r="BB268" s="9">
        <f t="shared" si="531"/>
        <v>0</v>
      </c>
      <c r="BC268" s="144">
        <f t="shared" si="531"/>
        <v>1.66743072244493e-5</v>
      </c>
      <c r="BD268" s="144">
        <f t="shared" si="531"/>
        <v>5.96832234207471e-6</v>
      </c>
      <c r="BE268" s="144">
        <f t="shared" si="531"/>
        <v>0.000153155081733664</v>
      </c>
      <c r="BF268" s="144">
        <f t="shared" si="531"/>
        <v>0.000127725988054797</v>
      </c>
      <c r="BG268" s="144">
        <f t="shared" si="531"/>
        <v>0.000107272538360981</v>
      </c>
      <c r="BH268" s="144">
        <f t="shared" si="531"/>
        <v>0.000120567727334131</v>
      </c>
      <c r="BI268" s="144">
        <f t="shared" si="531"/>
        <v>9.92883924964551e-5</v>
      </c>
      <c r="BJ268" s="144">
        <f t="shared" si="531"/>
        <v>8.82131571649822e-5</v>
      </c>
      <c r="BK268" s="144">
        <f t="shared" si="531"/>
        <v>0</v>
      </c>
      <c r="BL268" s="144">
        <f t="shared" si="531"/>
        <v>0</v>
      </c>
      <c r="BM268" s="144">
        <f t="shared" si="531"/>
        <v>0</v>
      </c>
      <c r="BN268" s="144">
        <f t="shared" si="531"/>
        <v>0</v>
      </c>
      <c r="BO268" s="9">
        <f t="shared" ref="BO268:CT268" si="532">BO56/BO$211</f>
        <v>5.18223199078467e-5</v>
      </c>
      <c r="BP268" s="144">
        <f t="shared" si="532"/>
        <v>0</v>
      </c>
      <c r="BQ268" s="144">
        <f t="shared" si="532"/>
        <v>0</v>
      </c>
      <c r="BR268" s="144">
        <f t="shared" si="532"/>
        <v>0</v>
      </c>
      <c r="BS268" s="144">
        <f t="shared" si="532"/>
        <v>0</v>
      </c>
      <c r="BT268" s="144">
        <f t="shared" si="532"/>
        <v>0</v>
      </c>
      <c r="BU268" s="144">
        <f t="shared" si="532"/>
        <v>0</v>
      </c>
      <c r="BV268" s="144">
        <f t="shared" si="532"/>
        <v>0</v>
      </c>
      <c r="BW268" s="144">
        <f t="shared" si="532"/>
        <v>0</v>
      </c>
      <c r="BX268" s="144">
        <f t="shared" si="532"/>
        <v>0</v>
      </c>
      <c r="BY268" s="144">
        <f t="shared" si="532"/>
        <v>0</v>
      </c>
      <c r="BZ268" s="144">
        <f t="shared" si="532"/>
        <v>0</v>
      </c>
      <c r="CA268" s="144">
        <f t="shared" si="532"/>
        <v>0</v>
      </c>
      <c r="CB268" s="9">
        <f t="shared" si="532"/>
        <v>0</v>
      </c>
      <c r="CC268" s="144">
        <f t="shared" si="532"/>
        <v>0</v>
      </c>
      <c r="CD268" s="144">
        <f t="shared" si="532"/>
        <v>0</v>
      </c>
      <c r="CE268" s="144">
        <f t="shared" si="532"/>
        <v>0</v>
      </c>
      <c r="CF268" s="144">
        <f t="shared" si="532"/>
        <v>0</v>
      </c>
      <c r="CG268" s="144">
        <f t="shared" si="532"/>
        <v>0</v>
      </c>
      <c r="CH268" s="144">
        <f t="shared" si="532"/>
        <v>0.000762158324319868</v>
      </c>
      <c r="CI268" s="144">
        <f t="shared" si="532"/>
        <v>0</v>
      </c>
      <c r="CJ268" s="144">
        <f t="shared" si="532"/>
        <v>0</v>
      </c>
      <c r="CK268" s="144">
        <f t="shared" si="532"/>
        <v>0</v>
      </c>
      <c r="CL268" s="144">
        <f t="shared" si="532"/>
        <v>0</v>
      </c>
      <c r="CM268" s="144">
        <f t="shared" si="532"/>
        <v>0</v>
      </c>
      <c r="CN268" s="144">
        <f t="shared" si="532"/>
        <v>0</v>
      </c>
      <c r="CO268" s="9">
        <f t="shared" si="532"/>
        <v>6.87956343630621e-5</v>
      </c>
      <c r="CP268" s="144">
        <f t="shared" si="532"/>
        <v>9.03873598422251e-5</v>
      </c>
      <c r="CQ268" s="144">
        <f t="shared" si="532"/>
        <v>0.000129177364543926</v>
      </c>
      <c r="CR268" s="144">
        <f t="shared" si="532"/>
        <v>0.00015319290186034</v>
      </c>
      <c r="CS268" s="144">
        <f t="shared" si="532"/>
        <v>0.000155054259241214</v>
      </c>
      <c r="CT268" s="144">
        <f t="shared" si="532"/>
        <v>0.000127972458641965</v>
      </c>
      <c r="CU268" s="144">
        <f t="shared" ref="CU268:EB268" si="533">CU56/CU$211</f>
        <v>0.000140401666027889</v>
      </c>
      <c r="CV268" s="144">
        <f t="shared" si="533"/>
        <v>0.000130104193784754</v>
      </c>
      <c r="CW268" s="144">
        <f t="shared" si="533"/>
        <v>0.000121892759108299</v>
      </c>
      <c r="CX268" s="144">
        <f t="shared" si="533"/>
        <v>0</v>
      </c>
      <c r="CY268" s="144">
        <f t="shared" si="533"/>
        <v>0</v>
      </c>
      <c r="CZ268" s="144">
        <f t="shared" si="533"/>
        <v>0</v>
      </c>
      <c r="DA268" s="144">
        <f t="shared" si="533"/>
        <v>0</v>
      </c>
      <c r="DB268" s="9">
        <f t="shared" si="533"/>
        <v>8.87487745234844e-5</v>
      </c>
      <c r="DC268" s="144">
        <f t="shared" si="533"/>
        <v>0</v>
      </c>
      <c r="DD268" s="144">
        <f t="shared" si="533"/>
        <v>0</v>
      </c>
      <c r="DE268" s="144">
        <f t="shared" si="533"/>
        <v>0</v>
      </c>
      <c r="DF268" s="144">
        <f t="shared" si="533"/>
        <v>0</v>
      </c>
      <c r="DG268" s="144">
        <f t="shared" si="533"/>
        <v>0</v>
      </c>
      <c r="DH268" s="144">
        <f t="shared" si="533"/>
        <v>0</v>
      </c>
      <c r="DI268" s="144">
        <f t="shared" si="533"/>
        <v>0</v>
      </c>
      <c r="DJ268" s="144">
        <f t="shared" si="533"/>
        <v>0</v>
      </c>
      <c r="DK268" s="144">
        <f t="shared" si="533"/>
        <v>0</v>
      </c>
      <c r="DL268" s="144">
        <f t="shared" si="533"/>
        <v>0</v>
      </c>
      <c r="DM268" s="144">
        <f t="shared" si="533"/>
        <v>0</v>
      </c>
      <c r="DN268" s="144">
        <f t="shared" si="533"/>
        <v>0</v>
      </c>
      <c r="DO268" s="9">
        <f t="shared" si="533"/>
        <v>0</v>
      </c>
      <c r="DP268" s="144">
        <f t="shared" si="533"/>
        <v>5.00248686189762e-5</v>
      </c>
      <c r="DQ268" s="144">
        <f t="shared" si="533"/>
        <v>5.41879685799972e-6</v>
      </c>
      <c r="DR268" s="144">
        <f t="shared" si="533"/>
        <v>1.14796709752792e-5</v>
      </c>
      <c r="DS268" s="144">
        <f t="shared" si="533"/>
        <v>2.7421034727671e-6</v>
      </c>
      <c r="DT268" s="144">
        <f t="shared" si="533"/>
        <v>3.38587946258666e-6</v>
      </c>
      <c r="DU268" s="144">
        <f t="shared" si="533"/>
        <v>0</v>
      </c>
      <c r="DV268" s="144">
        <f t="shared" si="533"/>
        <v>0</v>
      </c>
      <c r="DW268" s="144">
        <f t="shared" si="533"/>
        <v>0</v>
      </c>
      <c r="DX268" s="144">
        <f t="shared" si="533"/>
        <v>0</v>
      </c>
      <c r="DY268" s="144">
        <f t="shared" si="533"/>
        <v>0</v>
      </c>
      <c r="DZ268" s="144">
        <f t="shared" si="533"/>
        <v>0</v>
      </c>
      <c r="EA268" s="144">
        <f t="shared" si="533"/>
        <v>0</v>
      </c>
      <c r="EB268" s="117">
        <f t="shared" si="533"/>
        <v>8.35156293077434e-6</v>
      </c>
      <c r="EC268" s="118"/>
      <c r="ED268" s="117">
        <f t="shared" ref="ED268:FB268" si="534">ED56/ED$211</f>
        <v>0</v>
      </c>
      <c r="EE268" s="117">
        <f t="shared" si="534"/>
        <v>0</v>
      </c>
      <c r="EF268" s="117">
        <f t="shared" si="534"/>
        <v>0</v>
      </c>
      <c r="EG268" s="117" t="e">
        <f t="shared" si="534"/>
        <v>#DIV/0!</v>
      </c>
      <c r="EH268" s="117" t="e">
        <f t="shared" si="534"/>
        <v>#DIV/0!</v>
      </c>
      <c r="EI268" s="117" t="e">
        <f t="shared" si="534"/>
        <v>#DIV/0!</v>
      </c>
      <c r="EJ268" s="117" t="e">
        <f t="shared" si="534"/>
        <v>#DIV/0!</v>
      </c>
      <c r="EK268" s="117" t="e">
        <f t="shared" si="534"/>
        <v>#DIV/0!</v>
      </c>
      <c r="EL268" s="117" t="e">
        <f t="shared" si="534"/>
        <v>#DIV/0!</v>
      </c>
      <c r="EM268" s="117" t="e">
        <f t="shared" si="534"/>
        <v>#DIV/0!</v>
      </c>
      <c r="EN268" s="117" t="e">
        <f t="shared" si="534"/>
        <v>#DIV/0!</v>
      </c>
      <c r="EO268" s="116">
        <f t="shared" si="534"/>
        <v>0</v>
      </c>
      <c r="EP268" s="117">
        <f t="shared" si="534"/>
        <v>0</v>
      </c>
      <c r="EQ268" s="117">
        <f t="shared" si="534"/>
        <v>0</v>
      </c>
      <c r="ER268" s="117">
        <f t="shared" si="534"/>
        <v>0</v>
      </c>
      <c r="ES268" s="117">
        <f t="shared" si="534"/>
        <v>0</v>
      </c>
      <c r="ET268" s="117">
        <f t="shared" si="534"/>
        <v>0</v>
      </c>
      <c r="EU268" s="117">
        <f t="shared" si="534"/>
        <v>0</v>
      </c>
      <c r="EV268" s="117">
        <f t="shared" si="534"/>
        <v>0</v>
      </c>
      <c r="EW268" s="117">
        <f t="shared" si="534"/>
        <v>0</v>
      </c>
      <c r="EX268" s="117">
        <f t="shared" si="534"/>
        <v>0</v>
      </c>
      <c r="EY268" s="117">
        <f t="shared" si="534"/>
        <v>0</v>
      </c>
      <c r="EZ268" s="117">
        <f t="shared" si="534"/>
        <v>0</v>
      </c>
      <c r="FA268" s="117">
        <f t="shared" si="534"/>
        <v>0</v>
      </c>
      <c r="FB268" s="117">
        <f t="shared" si="534"/>
        <v>0</v>
      </c>
      <c r="FC268" s="118"/>
      <c r="FD268" s="117"/>
      <c r="FE268" s="117"/>
      <c r="FF268" s="117"/>
      <c r="FG268" s="117"/>
      <c r="FH268" s="117"/>
      <c r="FI268" s="117"/>
      <c r="FJ268" s="117"/>
      <c r="FK268" s="117" t="e">
        <f t="shared" si="211"/>
        <v>#DIV/0!</v>
      </c>
      <c r="FL268" s="117" t="e">
        <f t="shared" si="212"/>
        <v>#DIV/0!</v>
      </c>
      <c r="FM268" s="117" t="e">
        <f t="shared" si="213"/>
        <v>#DIV/0!</v>
      </c>
      <c r="FN268" s="117" t="e">
        <f t="shared" si="214"/>
        <v>#DIV/0!</v>
      </c>
      <c r="FO268" s="9" t="e">
        <f t="shared" si="215"/>
        <v>#DIV/0!</v>
      </c>
      <c r="FP268" s="118">
        <f t="shared" ref="FP268:GB268" si="535">FP56/FP$211</f>
        <v>2.20045399682678e-5</v>
      </c>
      <c r="FQ268" s="117">
        <f t="shared" si="535"/>
        <v>1.61686346039111e-5</v>
      </c>
      <c r="FR268" s="117">
        <f t="shared" si="535"/>
        <v>4.23867378012154e-6</v>
      </c>
      <c r="FS268" s="117">
        <f t="shared" si="535"/>
        <v>2.16474240759495e-5</v>
      </c>
      <c r="FT268" s="117">
        <f t="shared" si="535"/>
        <v>1.44927503682731e-5</v>
      </c>
      <c r="FU268" s="117">
        <f t="shared" si="535"/>
        <v>0</v>
      </c>
      <c r="FV268" s="117">
        <f t="shared" si="535"/>
        <v>0</v>
      </c>
      <c r="FW268" s="117">
        <f t="shared" si="535"/>
        <v>0</v>
      </c>
      <c r="FX268" s="117">
        <f t="shared" si="535"/>
        <v>0</v>
      </c>
      <c r="FY268" s="117">
        <f t="shared" si="535"/>
        <v>0</v>
      </c>
      <c r="FZ268" s="117">
        <f t="shared" si="535"/>
        <v>0</v>
      </c>
      <c r="GA268" s="117">
        <f t="shared" si="535"/>
        <v>0</v>
      </c>
      <c r="GB268" s="116">
        <f t="shared" si="535"/>
        <v>7.18142966074332e-6</v>
      </c>
    </row>
    <row r="269" spans="1:184">
      <c r="A269" s="147" t="s">
        <v>139</v>
      </c>
      <c r="B269" s="160">
        <f t="shared" si="217"/>
        <v>-0.978255759311375</v>
      </c>
      <c r="C269" s="117">
        <f t="shared" ref="C269:AH269" si="536">C57/C$211</f>
        <v>4.3744052526593e-6</v>
      </c>
      <c r="D269" s="117">
        <f t="shared" si="536"/>
        <v>5.21754236308946e-6</v>
      </c>
      <c r="E269" s="117">
        <f t="shared" si="536"/>
        <v>8.90769879537166e-6</v>
      </c>
      <c r="F269" s="117">
        <f t="shared" si="536"/>
        <v>2.68563877562336e-6</v>
      </c>
      <c r="G269" s="117">
        <f t="shared" si="536"/>
        <v>1.80108628499106e-6</v>
      </c>
      <c r="H269" s="117">
        <f t="shared" si="536"/>
        <v>0</v>
      </c>
      <c r="I269" s="117">
        <f t="shared" si="536"/>
        <v>0</v>
      </c>
      <c r="J269" s="117">
        <f t="shared" si="536"/>
        <v>0</v>
      </c>
      <c r="K269" s="117">
        <f t="shared" si="536"/>
        <v>0</v>
      </c>
      <c r="L269" s="117">
        <f t="shared" si="536"/>
        <v>0</v>
      </c>
      <c r="M269" s="117">
        <f t="shared" si="536"/>
        <v>0</v>
      </c>
      <c r="N269" s="117">
        <f t="shared" si="536"/>
        <v>0</v>
      </c>
      <c r="O269" s="9">
        <f t="shared" si="536"/>
        <v>2.072832541789e-6</v>
      </c>
      <c r="P269" s="117">
        <f t="shared" si="536"/>
        <v>0</v>
      </c>
      <c r="Q269" s="117">
        <f t="shared" si="536"/>
        <v>0</v>
      </c>
      <c r="R269" s="117">
        <f t="shared" si="536"/>
        <v>0</v>
      </c>
      <c r="S269" s="117">
        <f t="shared" si="536"/>
        <v>0</v>
      </c>
      <c r="T269" s="117">
        <f t="shared" si="536"/>
        <v>0</v>
      </c>
      <c r="U269" s="117">
        <f t="shared" si="536"/>
        <v>0</v>
      </c>
      <c r="V269" s="117">
        <f t="shared" si="536"/>
        <v>0</v>
      </c>
      <c r="W269" s="117">
        <f t="shared" si="536"/>
        <v>0</v>
      </c>
      <c r="X269" s="117">
        <f t="shared" si="536"/>
        <v>0</v>
      </c>
      <c r="Y269" s="117">
        <f t="shared" si="536"/>
        <v>0</v>
      </c>
      <c r="Z269" s="117">
        <f t="shared" si="536"/>
        <v>0</v>
      </c>
      <c r="AA269" s="117">
        <f t="shared" si="536"/>
        <v>0</v>
      </c>
      <c r="AB269" s="9">
        <f t="shared" si="536"/>
        <v>0</v>
      </c>
      <c r="AC269" s="117">
        <f t="shared" si="536"/>
        <v>0</v>
      </c>
      <c r="AD269" s="117">
        <f t="shared" si="536"/>
        <v>0</v>
      </c>
      <c r="AE269" s="117">
        <f t="shared" si="536"/>
        <v>0</v>
      </c>
      <c r="AF269" s="117">
        <f t="shared" si="536"/>
        <v>0</v>
      </c>
      <c r="AG269" s="117">
        <f t="shared" si="536"/>
        <v>0</v>
      </c>
      <c r="AH269" s="117">
        <f t="shared" si="536"/>
        <v>0</v>
      </c>
      <c r="AI269" s="117">
        <f t="shared" ref="AI269:BN269" si="537">AI57/AI$211</f>
        <v>0</v>
      </c>
      <c r="AJ269" s="117">
        <f t="shared" si="537"/>
        <v>0</v>
      </c>
      <c r="AK269" s="117">
        <f t="shared" si="537"/>
        <v>0</v>
      </c>
      <c r="AL269" s="117">
        <f t="shared" si="537"/>
        <v>0</v>
      </c>
      <c r="AM269" s="117">
        <f t="shared" si="537"/>
        <v>0</v>
      </c>
      <c r="AN269" s="117">
        <f t="shared" si="537"/>
        <v>0</v>
      </c>
      <c r="AO269" s="9">
        <f t="shared" si="537"/>
        <v>0</v>
      </c>
      <c r="AP269" s="144">
        <f t="shared" si="537"/>
        <v>0</v>
      </c>
      <c r="AQ269" s="144">
        <f t="shared" si="537"/>
        <v>0</v>
      </c>
      <c r="AR269" s="144">
        <f t="shared" si="537"/>
        <v>0</v>
      </c>
      <c r="AS269" s="144">
        <f t="shared" si="537"/>
        <v>0</v>
      </c>
      <c r="AT269" s="144">
        <f t="shared" si="537"/>
        <v>0</v>
      </c>
      <c r="AU269" s="144">
        <f t="shared" si="537"/>
        <v>0</v>
      </c>
      <c r="AV269" s="144">
        <f t="shared" si="537"/>
        <v>0</v>
      </c>
      <c r="AW269" s="144">
        <f t="shared" si="537"/>
        <v>0</v>
      </c>
      <c r="AX269" s="144">
        <f t="shared" si="537"/>
        <v>0</v>
      </c>
      <c r="AY269" s="144">
        <f t="shared" si="537"/>
        <v>0</v>
      </c>
      <c r="AZ269" s="144">
        <f t="shared" si="537"/>
        <v>0</v>
      </c>
      <c r="BA269" s="144">
        <f t="shared" si="537"/>
        <v>0</v>
      </c>
      <c r="BB269" s="9">
        <f t="shared" si="537"/>
        <v>0</v>
      </c>
      <c r="BC269" s="144">
        <f t="shared" si="537"/>
        <v>0</v>
      </c>
      <c r="BD269" s="144">
        <f t="shared" si="537"/>
        <v>0</v>
      </c>
      <c r="BE269" s="144">
        <f t="shared" si="537"/>
        <v>0</v>
      </c>
      <c r="BF269" s="144">
        <f t="shared" si="537"/>
        <v>0</v>
      </c>
      <c r="BG269" s="144">
        <f t="shared" si="537"/>
        <v>0</v>
      </c>
      <c r="BH269" s="144">
        <f t="shared" si="537"/>
        <v>0</v>
      </c>
      <c r="BI269" s="144">
        <f t="shared" si="537"/>
        <v>0</v>
      </c>
      <c r="BJ269" s="144">
        <f t="shared" si="537"/>
        <v>0</v>
      </c>
      <c r="BK269" s="144">
        <f t="shared" si="537"/>
        <v>0</v>
      </c>
      <c r="BL269" s="144">
        <f t="shared" si="537"/>
        <v>0</v>
      </c>
      <c r="BM269" s="144">
        <f t="shared" si="537"/>
        <v>0</v>
      </c>
      <c r="BN269" s="144">
        <f t="shared" si="537"/>
        <v>0</v>
      </c>
      <c r="BO269" s="9">
        <f t="shared" ref="BO269:CT269" si="538">BO57/BO$211</f>
        <v>0</v>
      </c>
      <c r="BP269" s="144">
        <f t="shared" si="538"/>
        <v>0</v>
      </c>
      <c r="BQ269" s="144">
        <f t="shared" si="538"/>
        <v>0</v>
      </c>
      <c r="BR269" s="144">
        <f t="shared" si="538"/>
        <v>0</v>
      </c>
      <c r="BS269" s="144">
        <f t="shared" si="538"/>
        <v>0</v>
      </c>
      <c r="BT269" s="144">
        <f t="shared" si="538"/>
        <v>0</v>
      </c>
      <c r="BU269" s="144">
        <f t="shared" si="538"/>
        <v>0</v>
      </c>
      <c r="BV269" s="144">
        <f t="shared" si="538"/>
        <v>0</v>
      </c>
      <c r="BW269" s="144">
        <f t="shared" si="538"/>
        <v>0</v>
      </c>
      <c r="BX269" s="144">
        <f t="shared" si="538"/>
        <v>0</v>
      </c>
      <c r="BY269" s="144">
        <f t="shared" si="538"/>
        <v>0</v>
      </c>
      <c r="BZ269" s="144">
        <f t="shared" si="538"/>
        <v>0</v>
      </c>
      <c r="CA269" s="144">
        <f t="shared" si="538"/>
        <v>0</v>
      </c>
      <c r="CB269" s="9">
        <f t="shared" si="538"/>
        <v>0</v>
      </c>
      <c r="CC269" s="144">
        <f t="shared" si="538"/>
        <v>0.000197824167954009</v>
      </c>
      <c r="CD269" s="144">
        <f t="shared" si="538"/>
        <v>0.000465824309440618</v>
      </c>
      <c r="CE269" s="144">
        <f t="shared" si="538"/>
        <v>0.000574823161531966</v>
      </c>
      <c r="CF269" s="144">
        <f t="shared" si="538"/>
        <v>0.000101759738261062</v>
      </c>
      <c r="CG269" s="144">
        <f t="shared" si="538"/>
        <v>6.50803476335737e-5</v>
      </c>
      <c r="CH269" s="144">
        <f t="shared" si="538"/>
        <v>0</v>
      </c>
      <c r="CI269" s="144">
        <f t="shared" si="538"/>
        <v>0</v>
      </c>
      <c r="CJ269" s="144">
        <f t="shared" si="538"/>
        <v>0</v>
      </c>
      <c r="CK269" s="144">
        <f t="shared" si="538"/>
        <v>0</v>
      </c>
      <c r="CL269" s="144">
        <f t="shared" si="538"/>
        <v>0</v>
      </c>
      <c r="CM269" s="144">
        <f t="shared" si="538"/>
        <v>0</v>
      </c>
      <c r="CN269" s="144">
        <f t="shared" si="538"/>
        <v>0</v>
      </c>
      <c r="CO269" s="9">
        <f t="shared" si="538"/>
        <v>9.31832051198401e-5</v>
      </c>
      <c r="CP269" s="144">
        <f t="shared" si="538"/>
        <v>0</v>
      </c>
      <c r="CQ269" s="144">
        <f t="shared" si="538"/>
        <v>3.63879900123736e-6</v>
      </c>
      <c r="CR269" s="144">
        <f t="shared" si="538"/>
        <v>9.57455636627128e-6</v>
      </c>
      <c r="CS269" s="144">
        <f t="shared" si="538"/>
        <v>0</v>
      </c>
      <c r="CT269" s="144">
        <f t="shared" si="538"/>
        <v>0</v>
      </c>
      <c r="CU269" s="144">
        <f t="shared" ref="CU269:EB269" si="539">CU57/CU$211</f>
        <v>0</v>
      </c>
      <c r="CV269" s="144">
        <f t="shared" si="539"/>
        <v>0</v>
      </c>
      <c r="CW269" s="144">
        <f t="shared" si="539"/>
        <v>0</v>
      </c>
      <c r="CX269" s="144">
        <f t="shared" si="539"/>
        <v>0</v>
      </c>
      <c r="CY269" s="144">
        <f t="shared" si="539"/>
        <v>0</v>
      </c>
      <c r="CZ269" s="144">
        <f t="shared" si="539"/>
        <v>0</v>
      </c>
      <c r="DA269" s="144">
        <f t="shared" si="539"/>
        <v>0</v>
      </c>
      <c r="DB269" s="9">
        <f t="shared" si="539"/>
        <v>1.17008229145197e-6</v>
      </c>
      <c r="DC269" s="144">
        <f t="shared" si="539"/>
        <v>0</v>
      </c>
      <c r="DD269" s="144">
        <f t="shared" si="539"/>
        <v>0</v>
      </c>
      <c r="DE269" s="144">
        <f t="shared" si="539"/>
        <v>0</v>
      </c>
      <c r="DF269" s="144">
        <f t="shared" si="539"/>
        <v>0</v>
      </c>
      <c r="DG269" s="144">
        <f t="shared" si="539"/>
        <v>0</v>
      </c>
      <c r="DH269" s="144">
        <f t="shared" si="539"/>
        <v>0</v>
      </c>
      <c r="DI269" s="144">
        <f t="shared" si="539"/>
        <v>0</v>
      </c>
      <c r="DJ269" s="144">
        <f t="shared" si="539"/>
        <v>0</v>
      </c>
      <c r="DK269" s="144">
        <f t="shared" si="539"/>
        <v>0</v>
      </c>
      <c r="DL269" s="144">
        <f t="shared" si="539"/>
        <v>0</v>
      </c>
      <c r="DM269" s="144">
        <f t="shared" si="539"/>
        <v>0</v>
      </c>
      <c r="DN269" s="144">
        <f t="shared" si="539"/>
        <v>0</v>
      </c>
      <c r="DO269" s="9">
        <f t="shared" si="539"/>
        <v>0</v>
      </c>
      <c r="DP269" s="144">
        <f t="shared" si="539"/>
        <v>0</v>
      </c>
      <c r="DQ269" s="144">
        <f t="shared" si="539"/>
        <v>0</v>
      </c>
      <c r="DR269" s="144">
        <f t="shared" si="539"/>
        <v>0</v>
      </c>
      <c r="DS269" s="144">
        <f t="shared" si="539"/>
        <v>0</v>
      </c>
      <c r="DT269" s="144">
        <f t="shared" si="539"/>
        <v>0</v>
      </c>
      <c r="DU269" s="144">
        <f t="shared" si="539"/>
        <v>0</v>
      </c>
      <c r="DV269" s="144">
        <f t="shared" si="539"/>
        <v>0</v>
      </c>
      <c r="DW269" s="144">
        <f t="shared" si="539"/>
        <v>0</v>
      </c>
      <c r="DX269" s="144">
        <f t="shared" si="539"/>
        <v>0</v>
      </c>
      <c r="DY269" s="144">
        <f t="shared" si="539"/>
        <v>0</v>
      </c>
      <c r="DZ269" s="144">
        <f t="shared" si="539"/>
        <v>0</v>
      </c>
      <c r="EA269" s="144">
        <f t="shared" si="539"/>
        <v>0</v>
      </c>
      <c r="EB269" s="117">
        <f t="shared" si="539"/>
        <v>0</v>
      </c>
      <c r="EC269" s="118"/>
      <c r="ED269" s="117">
        <f t="shared" ref="ED269:FB269" si="540">ED57/ED$211</f>
        <v>0</v>
      </c>
      <c r="EE269" s="117">
        <f t="shared" si="540"/>
        <v>0</v>
      </c>
      <c r="EF269" s="117">
        <f t="shared" si="540"/>
        <v>0</v>
      </c>
      <c r="EG269" s="117" t="e">
        <f t="shared" si="540"/>
        <v>#DIV/0!</v>
      </c>
      <c r="EH269" s="117" t="e">
        <f t="shared" si="540"/>
        <v>#DIV/0!</v>
      </c>
      <c r="EI269" s="117" t="e">
        <f t="shared" si="540"/>
        <v>#DIV/0!</v>
      </c>
      <c r="EJ269" s="117" t="e">
        <f t="shared" si="540"/>
        <v>#DIV/0!</v>
      </c>
      <c r="EK269" s="117" t="e">
        <f t="shared" si="540"/>
        <v>#DIV/0!</v>
      </c>
      <c r="EL269" s="117" t="e">
        <f t="shared" si="540"/>
        <v>#DIV/0!</v>
      </c>
      <c r="EM269" s="117" t="e">
        <f t="shared" si="540"/>
        <v>#DIV/0!</v>
      </c>
      <c r="EN269" s="117" t="e">
        <f t="shared" si="540"/>
        <v>#DIV/0!</v>
      </c>
      <c r="EO269" s="116">
        <f t="shared" si="540"/>
        <v>0</v>
      </c>
      <c r="EP269" s="117">
        <f t="shared" si="540"/>
        <v>0</v>
      </c>
      <c r="EQ269" s="117">
        <f t="shared" si="540"/>
        <v>0</v>
      </c>
      <c r="ER269" s="117">
        <f t="shared" si="540"/>
        <v>0</v>
      </c>
      <c r="ES269" s="117">
        <f t="shared" si="540"/>
        <v>0</v>
      </c>
      <c r="ET269" s="117">
        <f t="shared" si="540"/>
        <v>0</v>
      </c>
      <c r="EU269" s="117">
        <f t="shared" si="540"/>
        <v>0</v>
      </c>
      <c r="EV269" s="117">
        <f t="shared" si="540"/>
        <v>0</v>
      </c>
      <c r="EW269" s="117">
        <f t="shared" si="540"/>
        <v>0</v>
      </c>
      <c r="EX269" s="117">
        <f t="shared" si="540"/>
        <v>0</v>
      </c>
      <c r="EY269" s="117">
        <f t="shared" si="540"/>
        <v>0</v>
      </c>
      <c r="EZ269" s="117">
        <f t="shared" si="540"/>
        <v>0</v>
      </c>
      <c r="FA269" s="117">
        <f t="shared" si="540"/>
        <v>0</v>
      </c>
      <c r="FB269" s="117">
        <f t="shared" si="540"/>
        <v>0</v>
      </c>
      <c r="FC269" s="118"/>
      <c r="FD269" s="117"/>
      <c r="FE269" s="117"/>
      <c r="FF269" s="117"/>
      <c r="FG269" s="117"/>
      <c r="FH269" s="117"/>
      <c r="FI269" s="117"/>
      <c r="FJ269" s="117"/>
      <c r="FK269" s="117" t="e">
        <f t="shared" si="211"/>
        <v>#DIV/0!</v>
      </c>
      <c r="FL269" s="117" t="e">
        <f t="shared" si="212"/>
        <v>#DIV/0!</v>
      </c>
      <c r="FM269" s="117" t="e">
        <f t="shared" si="213"/>
        <v>#DIV/0!</v>
      </c>
      <c r="FN269" s="117" t="e">
        <f t="shared" si="214"/>
        <v>#DIV/0!</v>
      </c>
      <c r="FO269" s="9" t="e">
        <f t="shared" si="215"/>
        <v>#DIV/0!</v>
      </c>
      <c r="FP269" s="118">
        <f t="shared" ref="FP269:GB269" si="541">FP57/FP$211</f>
        <v>0</v>
      </c>
      <c r="FQ269" s="117">
        <f t="shared" si="541"/>
        <v>0</v>
      </c>
      <c r="FR269" s="117">
        <f t="shared" si="541"/>
        <v>0</v>
      </c>
      <c r="FS269" s="117">
        <f t="shared" si="541"/>
        <v>0</v>
      </c>
      <c r="FT269" s="117">
        <f t="shared" si="541"/>
        <v>0</v>
      </c>
      <c r="FU269" s="117">
        <f t="shared" si="541"/>
        <v>0</v>
      </c>
      <c r="FV269" s="117">
        <f t="shared" si="541"/>
        <v>0</v>
      </c>
      <c r="FW269" s="117">
        <f t="shared" si="541"/>
        <v>0</v>
      </c>
      <c r="FX269" s="117">
        <f t="shared" si="541"/>
        <v>0</v>
      </c>
      <c r="FY269" s="117">
        <f t="shared" si="541"/>
        <v>0</v>
      </c>
      <c r="FZ269" s="117">
        <f t="shared" si="541"/>
        <v>0</v>
      </c>
      <c r="GA269" s="117">
        <f t="shared" si="541"/>
        <v>0</v>
      </c>
      <c r="GB269" s="116">
        <f t="shared" si="541"/>
        <v>0</v>
      </c>
    </row>
    <row r="270" spans="1:184">
      <c r="A270" s="147" t="s">
        <v>141</v>
      </c>
      <c r="B270" s="160">
        <f t="shared" si="217"/>
        <v>-0.960412136251601</v>
      </c>
      <c r="C270" s="117">
        <f t="shared" ref="C270:AH270" si="542">C58/C$211</f>
        <v>2.37021771880878e-5</v>
      </c>
      <c r="D270" s="117">
        <f t="shared" si="542"/>
        <v>8.01443424877209e-5</v>
      </c>
      <c r="E270" s="117">
        <f t="shared" si="542"/>
        <v>1.81944329756633e-5</v>
      </c>
      <c r="F270" s="117">
        <f t="shared" si="542"/>
        <v>4.69867673705644e-5</v>
      </c>
      <c r="G270" s="117">
        <f t="shared" si="542"/>
        <v>1.24443432388464e-5</v>
      </c>
      <c r="H270" s="117">
        <f t="shared" si="542"/>
        <v>0</v>
      </c>
      <c r="I270" s="117">
        <f t="shared" si="542"/>
        <v>0</v>
      </c>
      <c r="J270" s="117">
        <f t="shared" si="542"/>
        <v>0</v>
      </c>
      <c r="K270" s="117">
        <f t="shared" si="542"/>
        <v>0</v>
      </c>
      <c r="L270" s="117">
        <f t="shared" si="542"/>
        <v>0</v>
      </c>
      <c r="M270" s="117">
        <f t="shared" si="542"/>
        <v>0</v>
      </c>
      <c r="N270" s="117">
        <f t="shared" si="542"/>
        <v>0</v>
      </c>
      <c r="O270" s="9">
        <f t="shared" si="542"/>
        <v>1.61840090894565e-5</v>
      </c>
      <c r="P270" s="117">
        <f t="shared" si="542"/>
        <v>9.02265245570793e-5</v>
      </c>
      <c r="Q270" s="117">
        <f t="shared" si="542"/>
        <v>0.000182910614530784</v>
      </c>
      <c r="R270" s="117">
        <f t="shared" si="542"/>
        <v>0</v>
      </c>
      <c r="S270" s="117">
        <f t="shared" si="542"/>
        <v>0</v>
      </c>
      <c r="T270" s="117">
        <f t="shared" si="542"/>
        <v>0</v>
      </c>
      <c r="U270" s="117">
        <f t="shared" si="542"/>
        <v>0</v>
      </c>
      <c r="V270" s="117">
        <f t="shared" si="542"/>
        <v>0</v>
      </c>
      <c r="W270" s="117">
        <f t="shared" si="542"/>
        <v>0</v>
      </c>
      <c r="X270" s="117">
        <f t="shared" si="542"/>
        <v>0</v>
      </c>
      <c r="Y270" s="117">
        <f t="shared" si="542"/>
        <v>0</v>
      </c>
      <c r="Z270" s="117">
        <f t="shared" si="542"/>
        <v>0</v>
      </c>
      <c r="AA270" s="117">
        <f t="shared" si="542"/>
        <v>0</v>
      </c>
      <c r="AB270" s="9">
        <f t="shared" si="542"/>
        <v>2.60463048775611e-5</v>
      </c>
      <c r="AC270" s="117">
        <f t="shared" si="542"/>
        <v>0</v>
      </c>
      <c r="AD270" s="117">
        <f t="shared" si="542"/>
        <v>0</v>
      </c>
      <c r="AE270" s="117">
        <f t="shared" si="542"/>
        <v>0</v>
      </c>
      <c r="AF270" s="117">
        <f t="shared" si="542"/>
        <v>0</v>
      </c>
      <c r="AG270" s="117">
        <f t="shared" si="542"/>
        <v>0</v>
      </c>
      <c r="AH270" s="117">
        <f t="shared" si="542"/>
        <v>0</v>
      </c>
      <c r="AI270" s="117">
        <f t="shared" ref="AI270:BN270" si="543">AI58/AI$211</f>
        <v>0</v>
      </c>
      <c r="AJ270" s="117">
        <f t="shared" si="543"/>
        <v>0</v>
      </c>
      <c r="AK270" s="117">
        <f t="shared" si="543"/>
        <v>0</v>
      </c>
      <c r="AL270" s="117">
        <f t="shared" si="543"/>
        <v>0</v>
      </c>
      <c r="AM270" s="117">
        <f t="shared" si="543"/>
        <v>0</v>
      </c>
      <c r="AN270" s="117">
        <f t="shared" si="543"/>
        <v>0</v>
      </c>
      <c r="AO270" s="9">
        <f t="shared" si="543"/>
        <v>0</v>
      </c>
      <c r="AP270" s="144">
        <f t="shared" si="543"/>
        <v>0.000148447452702785</v>
      </c>
      <c r="AQ270" s="144">
        <f t="shared" si="543"/>
        <v>1.55637516675409e-5</v>
      </c>
      <c r="AR270" s="144">
        <f t="shared" si="543"/>
        <v>4.37542008524528e-5</v>
      </c>
      <c r="AS270" s="144">
        <f t="shared" si="543"/>
        <v>3.11115778139403e-5</v>
      </c>
      <c r="AT270" s="144">
        <f t="shared" si="543"/>
        <v>4.06978070715616e-5</v>
      </c>
      <c r="AU270" s="144">
        <f t="shared" si="543"/>
        <v>0</v>
      </c>
      <c r="AV270" s="144">
        <f t="shared" si="543"/>
        <v>0</v>
      </c>
      <c r="AW270" s="144">
        <f t="shared" si="543"/>
        <v>0</v>
      </c>
      <c r="AX270" s="144">
        <f t="shared" si="543"/>
        <v>0</v>
      </c>
      <c r="AY270" s="144">
        <f t="shared" si="543"/>
        <v>0</v>
      </c>
      <c r="AZ270" s="144">
        <f t="shared" si="543"/>
        <v>0</v>
      </c>
      <c r="BA270" s="144">
        <f t="shared" si="543"/>
        <v>0</v>
      </c>
      <c r="BB270" s="9">
        <f t="shared" si="543"/>
        <v>2.38301503714756e-5</v>
      </c>
      <c r="BC270" s="144">
        <f t="shared" si="543"/>
        <v>0</v>
      </c>
      <c r="BD270" s="144">
        <f t="shared" si="543"/>
        <v>0</v>
      </c>
      <c r="BE270" s="144">
        <f t="shared" si="543"/>
        <v>0</v>
      </c>
      <c r="BF270" s="144">
        <f t="shared" si="543"/>
        <v>0</v>
      </c>
      <c r="BG270" s="144">
        <f t="shared" si="543"/>
        <v>0</v>
      </c>
      <c r="BH270" s="144">
        <f t="shared" si="543"/>
        <v>0</v>
      </c>
      <c r="BI270" s="144">
        <f t="shared" si="543"/>
        <v>0</v>
      </c>
      <c r="BJ270" s="144">
        <f t="shared" si="543"/>
        <v>0</v>
      </c>
      <c r="BK270" s="144">
        <f t="shared" si="543"/>
        <v>0</v>
      </c>
      <c r="BL270" s="144">
        <f t="shared" si="543"/>
        <v>0</v>
      </c>
      <c r="BM270" s="144">
        <f t="shared" si="543"/>
        <v>0</v>
      </c>
      <c r="BN270" s="144">
        <f t="shared" si="543"/>
        <v>0</v>
      </c>
      <c r="BO270" s="9">
        <f t="shared" ref="BO270:CT270" si="544">BO58/BO$211</f>
        <v>0</v>
      </c>
      <c r="BP270" s="144">
        <f t="shared" si="544"/>
        <v>0</v>
      </c>
      <c r="BQ270" s="144">
        <f t="shared" si="544"/>
        <v>0</v>
      </c>
      <c r="BR270" s="144">
        <f t="shared" si="544"/>
        <v>0</v>
      </c>
      <c r="BS270" s="144">
        <f t="shared" si="544"/>
        <v>0</v>
      </c>
      <c r="BT270" s="144">
        <f t="shared" si="544"/>
        <v>0</v>
      </c>
      <c r="BU270" s="144">
        <f t="shared" si="544"/>
        <v>0</v>
      </c>
      <c r="BV270" s="144">
        <f t="shared" si="544"/>
        <v>0</v>
      </c>
      <c r="BW270" s="144">
        <f t="shared" si="544"/>
        <v>0</v>
      </c>
      <c r="BX270" s="144">
        <f t="shared" si="544"/>
        <v>0</v>
      </c>
      <c r="BY270" s="144">
        <f t="shared" si="544"/>
        <v>0</v>
      </c>
      <c r="BZ270" s="144">
        <f t="shared" si="544"/>
        <v>0</v>
      </c>
      <c r="CA270" s="144">
        <f t="shared" si="544"/>
        <v>0</v>
      </c>
      <c r="CB270" s="9">
        <f t="shared" si="544"/>
        <v>0</v>
      </c>
      <c r="CC270" s="144">
        <f t="shared" si="544"/>
        <v>0</v>
      </c>
      <c r="CD270" s="144">
        <f t="shared" si="544"/>
        <v>0</v>
      </c>
      <c r="CE270" s="144">
        <f t="shared" si="544"/>
        <v>0</v>
      </c>
      <c r="CF270" s="144">
        <f t="shared" si="544"/>
        <v>0</v>
      </c>
      <c r="CG270" s="144">
        <f t="shared" si="544"/>
        <v>0</v>
      </c>
      <c r="CH270" s="144">
        <f t="shared" si="544"/>
        <v>0</v>
      </c>
      <c r="CI270" s="144">
        <f t="shared" si="544"/>
        <v>0</v>
      </c>
      <c r="CJ270" s="144">
        <f t="shared" si="544"/>
        <v>0</v>
      </c>
      <c r="CK270" s="144">
        <f t="shared" si="544"/>
        <v>0</v>
      </c>
      <c r="CL270" s="144">
        <f t="shared" si="544"/>
        <v>0</v>
      </c>
      <c r="CM270" s="144">
        <f t="shared" si="544"/>
        <v>0</v>
      </c>
      <c r="CN270" s="144">
        <f t="shared" si="544"/>
        <v>0</v>
      </c>
      <c r="CO270" s="9">
        <f t="shared" si="544"/>
        <v>0</v>
      </c>
      <c r="CP270" s="144">
        <f t="shared" si="544"/>
        <v>0</v>
      </c>
      <c r="CQ270" s="144">
        <f t="shared" si="544"/>
        <v>0</v>
      </c>
      <c r="CR270" s="144">
        <f t="shared" si="544"/>
        <v>0</v>
      </c>
      <c r="CS270" s="144">
        <f t="shared" si="544"/>
        <v>0</v>
      </c>
      <c r="CT270" s="144">
        <f t="shared" si="544"/>
        <v>0</v>
      </c>
      <c r="CU270" s="144">
        <f t="shared" ref="CU270:EB270" si="545">CU58/CU$211</f>
        <v>0</v>
      </c>
      <c r="CV270" s="144">
        <f t="shared" si="545"/>
        <v>0</v>
      </c>
      <c r="CW270" s="144">
        <f t="shared" si="545"/>
        <v>0</v>
      </c>
      <c r="CX270" s="144">
        <f t="shared" si="545"/>
        <v>0</v>
      </c>
      <c r="CY270" s="144">
        <f t="shared" si="545"/>
        <v>0</v>
      </c>
      <c r="CZ270" s="144">
        <f t="shared" si="545"/>
        <v>0</v>
      </c>
      <c r="DA270" s="144">
        <f t="shared" si="545"/>
        <v>0</v>
      </c>
      <c r="DB270" s="9">
        <f t="shared" si="545"/>
        <v>0</v>
      </c>
      <c r="DC270" s="144">
        <f t="shared" si="545"/>
        <v>0</v>
      </c>
      <c r="DD270" s="144">
        <f t="shared" si="545"/>
        <v>0</v>
      </c>
      <c r="DE270" s="144">
        <f t="shared" si="545"/>
        <v>0</v>
      </c>
      <c r="DF270" s="144">
        <f t="shared" si="545"/>
        <v>0</v>
      </c>
      <c r="DG270" s="144">
        <f t="shared" si="545"/>
        <v>0</v>
      </c>
      <c r="DH270" s="144">
        <f t="shared" si="545"/>
        <v>0</v>
      </c>
      <c r="DI270" s="144">
        <f t="shared" si="545"/>
        <v>0</v>
      </c>
      <c r="DJ270" s="144">
        <f t="shared" si="545"/>
        <v>0</v>
      </c>
      <c r="DK270" s="144">
        <f t="shared" si="545"/>
        <v>0</v>
      </c>
      <c r="DL270" s="144">
        <f t="shared" si="545"/>
        <v>0</v>
      </c>
      <c r="DM270" s="144">
        <f t="shared" si="545"/>
        <v>0</v>
      </c>
      <c r="DN270" s="144">
        <f t="shared" si="545"/>
        <v>0</v>
      </c>
      <c r="DO270" s="9">
        <f t="shared" si="545"/>
        <v>0</v>
      </c>
      <c r="DP270" s="144">
        <f t="shared" si="545"/>
        <v>0</v>
      </c>
      <c r="DQ270" s="144">
        <f t="shared" si="545"/>
        <v>0</v>
      </c>
      <c r="DR270" s="144">
        <f t="shared" si="545"/>
        <v>0</v>
      </c>
      <c r="DS270" s="144">
        <f t="shared" si="545"/>
        <v>0</v>
      </c>
      <c r="DT270" s="144">
        <f t="shared" si="545"/>
        <v>0</v>
      </c>
      <c r="DU270" s="144">
        <f t="shared" si="545"/>
        <v>0</v>
      </c>
      <c r="DV270" s="144">
        <f t="shared" si="545"/>
        <v>0</v>
      </c>
      <c r="DW270" s="144">
        <f t="shared" si="545"/>
        <v>0</v>
      </c>
      <c r="DX270" s="144">
        <f t="shared" si="545"/>
        <v>0</v>
      </c>
      <c r="DY270" s="144">
        <f t="shared" si="545"/>
        <v>0</v>
      </c>
      <c r="DZ270" s="144">
        <f t="shared" si="545"/>
        <v>0</v>
      </c>
      <c r="EA270" s="144">
        <f t="shared" si="545"/>
        <v>0</v>
      </c>
      <c r="EB270" s="117">
        <f t="shared" si="545"/>
        <v>0</v>
      </c>
      <c r="EC270" s="118"/>
      <c r="ED270" s="117">
        <f t="shared" ref="ED270:FB270" si="546">ED58/ED$211</f>
        <v>0</v>
      </c>
      <c r="EE270" s="117">
        <f t="shared" si="546"/>
        <v>0</v>
      </c>
      <c r="EF270" s="117">
        <f t="shared" si="546"/>
        <v>0</v>
      </c>
      <c r="EG270" s="117" t="e">
        <f t="shared" si="546"/>
        <v>#DIV/0!</v>
      </c>
      <c r="EH270" s="117" t="e">
        <f t="shared" si="546"/>
        <v>#DIV/0!</v>
      </c>
      <c r="EI270" s="117" t="e">
        <f t="shared" si="546"/>
        <v>#DIV/0!</v>
      </c>
      <c r="EJ270" s="117" t="e">
        <f t="shared" si="546"/>
        <v>#DIV/0!</v>
      </c>
      <c r="EK270" s="117" t="e">
        <f t="shared" si="546"/>
        <v>#DIV/0!</v>
      </c>
      <c r="EL270" s="117" t="e">
        <f t="shared" si="546"/>
        <v>#DIV/0!</v>
      </c>
      <c r="EM270" s="117" t="e">
        <f t="shared" si="546"/>
        <v>#DIV/0!</v>
      </c>
      <c r="EN270" s="117" t="e">
        <f t="shared" si="546"/>
        <v>#DIV/0!</v>
      </c>
      <c r="EO270" s="116">
        <f t="shared" si="546"/>
        <v>0</v>
      </c>
      <c r="EP270" s="117">
        <f t="shared" si="546"/>
        <v>0</v>
      </c>
      <c r="EQ270" s="117">
        <f t="shared" si="546"/>
        <v>0.00186756932708519</v>
      </c>
      <c r="ER270" s="117">
        <f t="shared" si="546"/>
        <v>0</v>
      </c>
      <c r="ES270" s="117">
        <f t="shared" si="546"/>
        <v>0.000829829502293365</v>
      </c>
      <c r="ET270" s="117">
        <f t="shared" si="546"/>
        <v>0</v>
      </c>
      <c r="EU270" s="117">
        <f t="shared" si="546"/>
        <v>0</v>
      </c>
      <c r="EV270" s="117">
        <f t="shared" si="546"/>
        <v>0</v>
      </c>
      <c r="EW270" s="117">
        <f t="shared" si="546"/>
        <v>0</v>
      </c>
      <c r="EX270" s="117">
        <f t="shared" si="546"/>
        <v>0</v>
      </c>
      <c r="EY270" s="117">
        <f t="shared" si="546"/>
        <v>0</v>
      </c>
      <c r="EZ270" s="117">
        <f t="shared" si="546"/>
        <v>0</v>
      </c>
      <c r="FA270" s="117">
        <f t="shared" si="546"/>
        <v>0</v>
      </c>
      <c r="FB270" s="117">
        <f t="shared" si="546"/>
        <v>0.000232274062935065</v>
      </c>
      <c r="FC270" s="118"/>
      <c r="FD270" s="117"/>
      <c r="FE270" s="117"/>
      <c r="FF270" s="117"/>
      <c r="FG270" s="117"/>
      <c r="FH270" s="117"/>
      <c r="FI270" s="117"/>
      <c r="FJ270" s="117"/>
      <c r="FK270" s="117" t="e">
        <f t="shared" si="211"/>
        <v>#DIV/0!</v>
      </c>
      <c r="FL270" s="117" t="e">
        <f t="shared" si="212"/>
        <v>#DIV/0!</v>
      </c>
      <c r="FM270" s="117" t="e">
        <f t="shared" si="213"/>
        <v>#DIV/0!</v>
      </c>
      <c r="FN270" s="117" t="e">
        <f t="shared" si="214"/>
        <v>#DIV/0!</v>
      </c>
      <c r="FO270" s="9" t="e">
        <f t="shared" si="215"/>
        <v>#DIV/0!</v>
      </c>
      <c r="FP270" s="118">
        <f t="shared" ref="FP270:GB270" si="547">FP58/FP$211</f>
        <v>1.35915735681566e-5</v>
      </c>
      <c r="FQ270" s="117">
        <f t="shared" si="547"/>
        <v>5.46280301089348e-5</v>
      </c>
      <c r="FR270" s="117">
        <f t="shared" si="547"/>
        <v>5.62426700184531e-5</v>
      </c>
      <c r="FS270" s="117">
        <f t="shared" si="547"/>
        <v>7.02601182813217e-5</v>
      </c>
      <c r="FT270" s="117">
        <f t="shared" si="547"/>
        <v>4.55427992567119e-5</v>
      </c>
      <c r="FU270" s="117">
        <f t="shared" si="547"/>
        <v>0</v>
      </c>
      <c r="FV270" s="117">
        <f t="shared" si="547"/>
        <v>0</v>
      </c>
      <c r="FW270" s="117">
        <f t="shared" si="547"/>
        <v>0</v>
      </c>
      <c r="FX270" s="117">
        <f t="shared" si="547"/>
        <v>0</v>
      </c>
      <c r="FY270" s="117">
        <f t="shared" si="547"/>
        <v>0</v>
      </c>
      <c r="FZ270" s="117">
        <f t="shared" si="547"/>
        <v>0</v>
      </c>
      <c r="GA270" s="117">
        <f t="shared" si="547"/>
        <v>0</v>
      </c>
      <c r="GB270" s="116">
        <f t="shared" si="547"/>
        <v>1.99403141026397e-5</v>
      </c>
    </row>
    <row r="271" spans="1:184">
      <c r="A271" s="147" t="s">
        <v>143</v>
      </c>
      <c r="B271" s="160">
        <f t="shared" si="217"/>
        <v>-0.957296641150868</v>
      </c>
      <c r="C271" s="117">
        <f t="shared" ref="C271:AH271" si="548">C59/C$211</f>
        <v>8.53190349275353e-6</v>
      </c>
      <c r="D271" s="117">
        <f t="shared" si="548"/>
        <v>1.1513034916849e-5</v>
      </c>
      <c r="E271" s="117">
        <f t="shared" si="548"/>
        <v>6.29290361640898e-6</v>
      </c>
      <c r="F271" s="117">
        <f t="shared" si="548"/>
        <v>5.51746930678575e-6</v>
      </c>
      <c r="G271" s="117">
        <f t="shared" si="548"/>
        <v>5.04366759083998e-6</v>
      </c>
      <c r="H271" s="117">
        <f t="shared" si="548"/>
        <v>0</v>
      </c>
      <c r="I271" s="117">
        <f t="shared" si="548"/>
        <v>0</v>
      </c>
      <c r="J271" s="117">
        <f t="shared" si="548"/>
        <v>0</v>
      </c>
      <c r="K271" s="117">
        <f t="shared" si="548"/>
        <v>0</v>
      </c>
      <c r="L271" s="117">
        <f t="shared" si="548"/>
        <v>0</v>
      </c>
      <c r="M271" s="117">
        <f t="shared" si="548"/>
        <v>0</v>
      </c>
      <c r="N271" s="117">
        <f t="shared" si="548"/>
        <v>0</v>
      </c>
      <c r="O271" s="9">
        <f t="shared" si="548"/>
        <v>3.35765895962407e-6</v>
      </c>
      <c r="P271" s="117">
        <f t="shared" si="548"/>
        <v>0</v>
      </c>
      <c r="Q271" s="117">
        <f t="shared" si="548"/>
        <v>0</v>
      </c>
      <c r="R271" s="117">
        <f t="shared" si="548"/>
        <v>0</v>
      </c>
      <c r="S271" s="117">
        <f t="shared" si="548"/>
        <v>0</v>
      </c>
      <c r="T271" s="117">
        <f t="shared" si="548"/>
        <v>0</v>
      </c>
      <c r="U271" s="117">
        <f t="shared" si="548"/>
        <v>0</v>
      </c>
      <c r="V271" s="117">
        <f t="shared" si="548"/>
        <v>0</v>
      </c>
      <c r="W271" s="117">
        <f t="shared" si="548"/>
        <v>0</v>
      </c>
      <c r="X271" s="117">
        <f t="shared" si="548"/>
        <v>0</v>
      </c>
      <c r="Y271" s="117">
        <f t="shared" si="548"/>
        <v>0</v>
      </c>
      <c r="Z271" s="117">
        <f t="shared" si="548"/>
        <v>0</v>
      </c>
      <c r="AA271" s="117">
        <f t="shared" si="548"/>
        <v>0</v>
      </c>
      <c r="AB271" s="9">
        <f t="shared" si="548"/>
        <v>0</v>
      </c>
      <c r="AC271" s="117">
        <f t="shared" si="548"/>
        <v>0</v>
      </c>
      <c r="AD271" s="117">
        <f t="shared" si="548"/>
        <v>0</v>
      </c>
      <c r="AE271" s="117">
        <f t="shared" si="548"/>
        <v>0</v>
      </c>
      <c r="AF271" s="117">
        <f t="shared" si="548"/>
        <v>0</v>
      </c>
      <c r="AG271" s="117">
        <f t="shared" si="548"/>
        <v>0</v>
      </c>
      <c r="AH271" s="117">
        <f t="shared" si="548"/>
        <v>0</v>
      </c>
      <c r="AI271" s="117">
        <f t="shared" ref="AI271:BN271" si="549">AI59/AI$211</f>
        <v>0</v>
      </c>
      <c r="AJ271" s="117">
        <f t="shared" si="549"/>
        <v>0</v>
      </c>
      <c r="AK271" s="117">
        <f t="shared" si="549"/>
        <v>0</v>
      </c>
      <c r="AL271" s="117">
        <f t="shared" si="549"/>
        <v>0</v>
      </c>
      <c r="AM271" s="117">
        <f t="shared" si="549"/>
        <v>0</v>
      </c>
      <c r="AN271" s="117">
        <f t="shared" si="549"/>
        <v>0</v>
      </c>
      <c r="AO271" s="9">
        <f t="shared" si="549"/>
        <v>0</v>
      </c>
      <c r="AP271" s="144">
        <f t="shared" si="549"/>
        <v>9.2883131361821e-6</v>
      </c>
      <c r="AQ271" s="144">
        <f t="shared" si="549"/>
        <v>0</v>
      </c>
      <c r="AR271" s="144">
        <f t="shared" si="549"/>
        <v>0</v>
      </c>
      <c r="AS271" s="144">
        <f t="shared" si="549"/>
        <v>0</v>
      </c>
      <c r="AT271" s="144">
        <f t="shared" si="549"/>
        <v>0</v>
      </c>
      <c r="AU271" s="144">
        <f t="shared" si="549"/>
        <v>0</v>
      </c>
      <c r="AV271" s="144">
        <f t="shared" si="549"/>
        <v>0</v>
      </c>
      <c r="AW271" s="144">
        <f t="shared" si="549"/>
        <v>0</v>
      </c>
      <c r="AX271" s="144">
        <f t="shared" si="549"/>
        <v>0</v>
      </c>
      <c r="AY271" s="144">
        <f t="shared" si="549"/>
        <v>0</v>
      </c>
      <c r="AZ271" s="144">
        <f t="shared" si="549"/>
        <v>0</v>
      </c>
      <c r="BA271" s="144">
        <f t="shared" si="549"/>
        <v>0</v>
      </c>
      <c r="BB271" s="9">
        <f t="shared" si="549"/>
        <v>9.01045121816855e-7</v>
      </c>
      <c r="BC271" s="144">
        <f t="shared" si="549"/>
        <v>4.81684318863441e-5</v>
      </c>
      <c r="BD271" s="144">
        <f t="shared" si="549"/>
        <v>3.58075877319512e-5</v>
      </c>
      <c r="BE271" s="144">
        <f t="shared" si="549"/>
        <v>0</v>
      </c>
      <c r="BF271" s="144">
        <f t="shared" si="549"/>
        <v>1.63731624259214e-5</v>
      </c>
      <c r="BG271" s="144">
        <f t="shared" si="549"/>
        <v>3.45979992694914e-6</v>
      </c>
      <c r="BH271" s="144">
        <f t="shared" si="549"/>
        <v>0</v>
      </c>
      <c r="BI271" s="144">
        <f t="shared" si="549"/>
        <v>0</v>
      </c>
      <c r="BJ271" s="144">
        <f t="shared" si="549"/>
        <v>0</v>
      </c>
      <c r="BK271" s="144">
        <f t="shared" si="549"/>
        <v>0</v>
      </c>
      <c r="BL271" s="144">
        <f t="shared" si="549"/>
        <v>0</v>
      </c>
      <c r="BM271" s="144">
        <f t="shared" si="549"/>
        <v>0</v>
      </c>
      <c r="BN271" s="144">
        <f t="shared" si="549"/>
        <v>0</v>
      </c>
      <c r="BO271" s="9">
        <f t="shared" ref="BO271:CT271" si="550">BO59/BO$211</f>
        <v>1.06197400997727e-5</v>
      </c>
      <c r="BP271" s="144">
        <f t="shared" si="550"/>
        <v>0</v>
      </c>
      <c r="BQ271" s="144">
        <f t="shared" si="550"/>
        <v>0</v>
      </c>
      <c r="BR271" s="144">
        <f t="shared" si="550"/>
        <v>0</v>
      </c>
      <c r="BS271" s="144">
        <f t="shared" si="550"/>
        <v>0</v>
      </c>
      <c r="BT271" s="144">
        <f t="shared" si="550"/>
        <v>0</v>
      </c>
      <c r="BU271" s="144">
        <f t="shared" si="550"/>
        <v>0</v>
      </c>
      <c r="BV271" s="144">
        <f t="shared" si="550"/>
        <v>0</v>
      </c>
      <c r="BW271" s="144">
        <f t="shared" si="550"/>
        <v>0</v>
      </c>
      <c r="BX271" s="144">
        <f t="shared" si="550"/>
        <v>0</v>
      </c>
      <c r="BY271" s="144">
        <f t="shared" si="550"/>
        <v>0</v>
      </c>
      <c r="BZ271" s="144">
        <f t="shared" si="550"/>
        <v>0</v>
      </c>
      <c r="CA271" s="144">
        <f t="shared" si="550"/>
        <v>0</v>
      </c>
      <c r="CB271" s="9">
        <f t="shared" si="550"/>
        <v>0</v>
      </c>
      <c r="CC271" s="144">
        <f t="shared" si="550"/>
        <v>0.000197800714838372</v>
      </c>
      <c r="CD271" s="144">
        <f t="shared" si="550"/>
        <v>0.000691940192404456</v>
      </c>
      <c r="CE271" s="144">
        <f t="shared" si="550"/>
        <v>0.000442144468585358</v>
      </c>
      <c r="CF271" s="144">
        <f t="shared" si="550"/>
        <v>0.000169550004140715</v>
      </c>
      <c r="CG271" s="144">
        <f t="shared" si="550"/>
        <v>0.000166335184787543</v>
      </c>
      <c r="CH271" s="144">
        <f t="shared" si="550"/>
        <v>0</v>
      </c>
      <c r="CI271" s="144">
        <f t="shared" si="550"/>
        <v>0</v>
      </c>
      <c r="CJ271" s="144">
        <f t="shared" si="550"/>
        <v>0</v>
      </c>
      <c r="CK271" s="144">
        <f t="shared" si="550"/>
        <v>0</v>
      </c>
      <c r="CL271" s="144">
        <f t="shared" si="550"/>
        <v>0</v>
      </c>
      <c r="CM271" s="144">
        <f t="shared" si="550"/>
        <v>0</v>
      </c>
      <c r="CN271" s="144">
        <f t="shared" si="550"/>
        <v>0</v>
      </c>
      <c r="CO271" s="9">
        <f t="shared" si="550"/>
        <v>0.000111035215692652</v>
      </c>
      <c r="CP271" s="144">
        <f t="shared" si="550"/>
        <v>1.8446399967801e-6</v>
      </c>
      <c r="CQ271" s="144">
        <f t="shared" si="550"/>
        <v>1.45551960049494e-5</v>
      </c>
      <c r="CR271" s="144">
        <f t="shared" si="550"/>
        <v>0</v>
      </c>
      <c r="CS271" s="144">
        <f t="shared" si="550"/>
        <v>0</v>
      </c>
      <c r="CT271" s="144">
        <f t="shared" si="550"/>
        <v>0</v>
      </c>
      <c r="CU271" s="144">
        <f t="shared" ref="CU271:EB271" si="551">CU59/CU$211</f>
        <v>0</v>
      </c>
      <c r="CV271" s="144">
        <f t="shared" si="551"/>
        <v>0</v>
      </c>
      <c r="CW271" s="144">
        <f t="shared" si="551"/>
        <v>0</v>
      </c>
      <c r="CX271" s="144">
        <f t="shared" si="551"/>
        <v>0</v>
      </c>
      <c r="CY271" s="144">
        <f t="shared" si="551"/>
        <v>0</v>
      </c>
      <c r="CZ271" s="144">
        <f t="shared" si="551"/>
        <v>0</v>
      </c>
      <c r="DA271" s="144">
        <f t="shared" si="551"/>
        <v>0</v>
      </c>
      <c r="DB271" s="9">
        <f t="shared" si="551"/>
        <v>1.79237405898815e-6</v>
      </c>
      <c r="DC271" s="144">
        <f t="shared" si="551"/>
        <v>0</v>
      </c>
      <c r="DD271" s="144">
        <f t="shared" si="551"/>
        <v>0</v>
      </c>
      <c r="DE271" s="144">
        <f t="shared" si="551"/>
        <v>0</v>
      </c>
      <c r="DF271" s="144">
        <f t="shared" si="551"/>
        <v>0</v>
      </c>
      <c r="DG271" s="144">
        <f t="shared" si="551"/>
        <v>0</v>
      </c>
      <c r="DH271" s="144">
        <f t="shared" si="551"/>
        <v>0</v>
      </c>
      <c r="DI271" s="144">
        <f t="shared" si="551"/>
        <v>0</v>
      </c>
      <c r="DJ271" s="144">
        <f t="shared" si="551"/>
        <v>0</v>
      </c>
      <c r="DK271" s="144">
        <f t="shared" si="551"/>
        <v>0</v>
      </c>
      <c r="DL271" s="144">
        <f t="shared" si="551"/>
        <v>0</v>
      </c>
      <c r="DM271" s="144">
        <f t="shared" si="551"/>
        <v>0</v>
      </c>
      <c r="DN271" s="144">
        <f t="shared" si="551"/>
        <v>0</v>
      </c>
      <c r="DO271" s="9">
        <f t="shared" si="551"/>
        <v>0</v>
      </c>
      <c r="DP271" s="144">
        <f t="shared" si="551"/>
        <v>0</v>
      </c>
      <c r="DQ271" s="144">
        <f t="shared" si="551"/>
        <v>0</v>
      </c>
      <c r="DR271" s="144">
        <f t="shared" si="551"/>
        <v>0</v>
      </c>
      <c r="DS271" s="144">
        <f t="shared" si="551"/>
        <v>0</v>
      </c>
      <c r="DT271" s="144">
        <f t="shared" si="551"/>
        <v>0</v>
      </c>
      <c r="DU271" s="144">
        <f t="shared" si="551"/>
        <v>0</v>
      </c>
      <c r="DV271" s="144">
        <f t="shared" si="551"/>
        <v>0</v>
      </c>
      <c r="DW271" s="144">
        <f t="shared" si="551"/>
        <v>0</v>
      </c>
      <c r="DX271" s="144">
        <f t="shared" si="551"/>
        <v>0</v>
      </c>
      <c r="DY271" s="144">
        <f t="shared" si="551"/>
        <v>0</v>
      </c>
      <c r="DZ271" s="144">
        <f t="shared" si="551"/>
        <v>0</v>
      </c>
      <c r="EA271" s="144">
        <f t="shared" si="551"/>
        <v>0</v>
      </c>
      <c r="EB271" s="117">
        <f t="shared" si="551"/>
        <v>0</v>
      </c>
      <c r="EC271" s="118"/>
      <c r="ED271" s="117">
        <f t="shared" ref="ED271:FB271" si="552">ED59/ED$211</f>
        <v>0</v>
      </c>
      <c r="EE271" s="117">
        <f t="shared" si="552"/>
        <v>0</v>
      </c>
      <c r="EF271" s="117">
        <f t="shared" si="552"/>
        <v>0</v>
      </c>
      <c r="EG271" s="117" t="e">
        <f t="shared" si="552"/>
        <v>#DIV/0!</v>
      </c>
      <c r="EH271" s="117" t="e">
        <f t="shared" si="552"/>
        <v>#DIV/0!</v>
      </c>
      <c r="EI271" s="117" t="e">
        <f t="shared" si="552"/>
        <v>#DIV/0!</v>
      </c>
      <c r="EJ271" s="117" t="e">
        <f t="shared" si="552"/>
        <v>#DIV/0!</v>
      </c>
      <c r="EK271" s="117" t="e">
        <f t="shared" si="552"/>
        <v>#DIV/0!</v>
      </c>
      <c r="EL271" s="117" t="e">
        <f t="shared" si="552"/>
        <v>#DIV/0!</v>
      </c>
      <c r="EM271" s="117" t="e">
        <f t="shared" si="552"/>
        <v>#DIV/0!</v>
      </c>
      <c r="EN271" s="117" t="e">
        <f t="shared" si="552"/>
        <v>#DIV/0!</v>
      </c>
      <c r="EO271" s="116">
        <f t="shared" si="552"/>
        <v>0</v>
      </c>
      <c r="EP271" s="117">
        <f t="shared" si="552"/>
        <v>0</v>
      </c>
      <c r="EQ271" s="117">
        <f t="shared" si="552"/>
        <v>0</v>
      </c>
      <c r="ER271" s="117">
        <f t="shared" si="552"/>
        <v>0</v>
      </c>
      <c r="ES271" s="117">
        <f t="shared" si="552"/>
        <v>0</v>
      </c>
      <c r="ET271" s="117">
        <f t="shared" si="552"/>
        <v>0</v>
      </c>
      <c r="EU271" s="117">
        <f t="shared" si="552"/>
        <v>0</v>
      </c>
      <c r="EV271" s="117">
        <f t="shared" si="552"/>
        <v>0</v>
      </c>
      <c r="EW271" s="117">
        <f t="shared" si="552"/>
        <v>0</v>
      </c>
      <c r="EX271" s="117">
        <f t="shared" si="552"/>
        <v>0</v>
      </c>
      <c r="EY271" s="117">
        <f t="shared" si="552"/>
        <v>0</v>
      </c>
      <c r="EZ271" s="117">
        <f t="shared" si="552"/>
        <v>0</v>
      </c>
      <c r="FA271" s="117">
        <f t="shared" si="552"/>
        <v>0</v>
      </c>
      <c r="FB271" s="117">
        <f t="shared" si="552"/>
        <v>0</v>
      </c>
      <c r="FC271" s="118"/>
      <c r="FD271" s="117"/>
      <c r="FE271" s="117"/>
      <c r="FF271" s="117"/>
      <c r="FG271" s="117"/>
      <c r="FH271" s="117"/>
      <c r="FI271" s="117"/>
      <c r="FJ271" s="117"/>
      <c r="FK271" s="117" t="e">
        <f t="shared" si="211"/>
        <v>#DIV/0!</v>
      </c>
      <c r="FL271" s="117" t="e">
        <f t="shared" si="212"/>
        <v>#DIV/0!</v>
      </c>
      <c r="FM271" s="117" t="e">
        <f t="shared" si="213"/>
        <v>#DIV/0!</v>
      </c>
      <c r="FN271" s="117" t="e">
        <f t="shared" si="214"/>
        <v>#DIV/0!</v>
      </c>
      <c r="FO271" s="9" t="e">
        <f t="shared" si="215"/>
        <v>#DIV/0!</v>
      </c>
      <c r="FP271" s="118">
        <f t="shared" ref="FP271:GB271" si="553">FP59/FP$211</f>
        <v>0</v>
      </c>
      <c r="FQ271" s="117">
        <f t="shared" si="553"/>
        <v>0</v>
      </c>
      <c r="FR271" s="117">
        <f t="shared" si="553"/>
        <v>0</v>
      </c>
      <c r="FS271" s="117">
        <f t="shared" si="553"/>
        <v>0</v>
      </c>
      <c r="FT271" s="117">
        <f t="shared" si="553"/>
        <v>9.87008790767296e-7</v>
      </c>
      <c r="FU271" s="117">
        <f t="shared" si="553"/>
        <v>0</v>
      </c>
      <c r="FV271" s="117">
        <f t="shared" si="553"/>
        <v>0</v>
      </c>
      <c r="FW271" s="117">
        <f t="shared" si="553"/>
        <v>0</v>
      </c>
      <c r="FX271" s="117">
        <f t="shared" si="553"/>
        <v>0</v>
      </c>
      <c r="FY271" s="117">
        <f t="shared" si="553"/>
        <v>0</v>
      </c>
      <c r="FZ271" s="117">
        <f t="shared" si="553"/>
        <v>0</v>
      </c>
      <c r="GA271" s="117">
        <f t="shared" si="553"/>
        <v>0</v>
      </c>
      <c r="GB271" s="116">
        <f t="shared" si="553"/>
        <v>5.55458431740615e-8</v>
      </c>
    </row>
    <row r="272" spans="1:184">
      <c r="A272" s="147" t="s">
        <v>145</v>
      </c>
      <c r="B272" s="160" t="e">
        <f t="shared" si="217"/>
        <v>#DIV/0!</v>
      </c>
      <c r="C272" s="117">
        <f t="shared" ref="C272:AH272" si="554">C60/C$211</f>
        <v>0</v>
      </c>
      <c r="D272" s="117">
        <f t="shared" si="554"/>
        <v>0</v>
      </c>
      <c r="E272" s="117">
        <f t="shared" si="554"/>
        <v>0</v>
      </c>
      <c r="F272" s="117">
        <f t="shared" si="554"/>
        <v>0</v>
      </c>
      <c r="G272" s="117">
        <f t="shared" si="554"/>
        <v>0</v>
      </c>
      <c r="H272" s="117">
        <f t="shared" si="554"/>
        <v>0</v>
      </c>
      <c r="I272" s="117">
        <f t="shared" si="554"/>
        <v>0</v>
      </c>
      <c r="J272" s="117">
        <f t="shared" si="554"/>
        <v>0</v>
      </c>
      <c r="K272" s="117">
        <f t="shared" si="554"/>
        <v>0</v>
      </c>
      <c r="L272" s="117">
        <f t="shared" si="554"/>
        <v>0</v>
      </c>
      <c r="M272" s="117">
        <f t="shared" si="554"/>
        <v>0</v>
      </c>
      <c r="N272" s="117">
        <f t="shared" si="554"/>
        <v>0</v>
      </c>
      <c r="O272" s="9">
        <f t="shared" si="554"/>
        <v>0</v>
      </c>
      <c r="P272" s="117">
        <f t="shared" si="554"/>
        <v>0</v>
      </c>
      <c r="Q272" s="117">
        <f t="shared" si="554"/>
        <v>0</v>
      </c>
      <c r="R272" s="117">
        <f t="shared" si="554"/>
        <v>0</v>
      </c>
      <c r="S272" s="117">
        <f t="shared" si="554"/>
        <v>0</v>
      </c>
      <c r="T272" s="117">
        <f t="shared" si="554"/>
        <v>0</v>
      </c>
      <c r="U272" s="117">
        <f t="shared" si="554"/>
        <v>0</v>
      </c>
      <c r="V272" s="117">
        <f t="shared" si="554"/>
        <v>0</v>
      </c>
      <c r="W272" s="117">
        <f t="shared" si="554"/>
        <v>0</v>
      </c>
      <c r="X272" s="117">
        <f t="shared" si="554"/>
        <v>0</v>
      </c>
      <c r="Y272" s="117">
        <f t="shared" si="554"/>
        <v>0</v>
      </c>
      <c r="Z272" s="117">
        <f t="shared" si="554"/>
        <v>0</v>
      </c>
      <c r="AA272" s="117">
        <f t="shared" si="554"/>
        <v>0</v>
      </c>
      <c r="AB272" s="9">
        <f t="shared" si="554"/>
        <v>0</v>
      </c>
      <c r="AC272" s="117">
        <f t="shared" si="554"/>
        <v>0</v>
      </c>
      <c r="AD272" s="117">
        <f t="shared" si="554"/>
        <v>0</v>
      </c>
      <c r="AE272" s="117">
        <f t="shared" si="554"/>
        <v>0</v>
      </c>
      <c r="AF272" s="117">
        <f t="shared" si="554"/>
        <v>0</v>
      </c>
      <c r="AG272" s="117">
        <f t="shared" si="554"/>
        <v>0</v>
      </c>
      <c r="AH272" s="117">
        <f t="shared" si="554"/>
        <v>0</v>
      </c>
      <c r="AI272" s="117">
        <f t="shared" ref="AI272:BN272" si="555">AI60/AI$211</f>
        <v>0</v>
      </c>
      <c r="AJ272" s="117">
        <f t="shared" si="555"/>
        <v>0</v>
      </c>
      <c r="AK272" s="117">
        <f t="shared" si="555"/>
        <v>0</v>
      </c>
      <c r="AL272" s="117">
        <f t="shared" si="555"/>
        <v>0</v>
      </c>
      <c r="AM272" s="117">
        <f t="shared" si="555"/>
        <v>0</v>
      </c>
      <c r="AN272" s="117">
        <f t="shared" si="555"/>
        <v>0</v>
      </c>
      <c r="AO272" s="9">
        <f t="shared" si="555"/>
        <v>0</v>
      </c>
      <c r="AP272" s="144">
        <f t="shared" si="555"/>
        <v>0</v>
      </c>
      <c r="AQ272" s="144">
        <f t="shared" si="555"/>
        <v>0</v>
      </c>
      <c r="AR272" s="144">
        <f t="shared" si="555"/>
        <v>0</v>
      </c>
      <c r="AS272" s="144">
        <f t="shared" si="555"/>
        <v>0</v>
      </c>
      <c r="AT272" s="144">
        <f t="shared" si="555"/>
        <v>0</v>
      </c>
      <c r="AU272" s="144">
        <f t="shared" si="555"/>
        <v>0</v>
      </c>
      <c r="AV272" s="144">
        <f t="shared" si="555"/>
        <v>0</v>
      </c>
      <c r="AW272" s="144">
        <f t="shared" si="555"/>
        <v>0</v>
      </c>
      <c r="AX272" s="144">
        <f t="shared" si="555"/>
        <v>0</v>
      </c>
      <c r="AY272" s="144">
        <f t="shared" si="555"/>
        <v>0</v>
      </c>
      <c r="AZ272" s="144">
        <f t="shared" si="555"/>
        <v>0</v>
      </c>
      <c r="BA272" s="144">
        <f t="shared" si="555"/>
        <v>0</v>
      </c>
      <c r="BB272" s="9">
        <f t="shared" si="555"/>
        <v>0</v>
      </c>
      <c r="BC272" s="144">
        <f t="shared" si="555"/>
        <v>0</v>
      </c>
      <c r="BD272" s="144">
        <f t="shared" si="555"/>
        <v>0</v>
      </c>
      <c r="BE272" s="144">
        <f t="shared" si="555"/>
        <v>0</v>
      </c>
      <c r="BF272" s="144">
        <f t="shared" si="555"/>
        <v>0</v>
      </c>
      <c r="BG272" s="144">
        <f t="shared" si="555"/>
        <v>0</v>
      </c>
      <c r="BH272" s="144">
        <f t="shared" si="555"/>
        <v>0</v>
      </c>
      <c r="BI272" s="144">
        <f t="shared" si="555"/>
        <v>0</v>
      </c>
      <c r="BJ272" s="144">
        <f t="shared" si="555"/>
        <v>0</v>
      </c>
      <c r="BK272" s="144">
        <f t="shared" si="555"/>
        <v>0</v>
      </c>
      <c r="BL272" s="144">
        <f t="shared" si="555"/>
        <v>0</v>
      </c>
      <c r="BM272" s="144">
        <f t="shared" si="555"/>
        <v>0</v>
      </c>
      <c r="BN272" s="144">
        <f t="shared" si="555"/>
        <v>0</v>
      </c>
      <c r="BO272" s="9">
        <f t="shared" ref="BO272:CT272" si="556">BO60/BO$211</f>
        <v>0</v>
      </c>
      <c r="BP272" s="144">
        <f t="shared" si="556"/>
        <v>0</v>
      </c>
      <c r="BQ272" s="144">
        <f t="shared" si="556"/>
        <v>0</v>
      </c>
      <c r="BR272" s="144">
        <f t="shared" si="556"/>
        <v>0</v>
      </c>
      <c r="BS272" s="144">
        <f t="shared" si="556"/>
        <v>0</v>
      </c>
      <c r="BT272" s="144">
        <f t="shared" si="556"/>
        <v>0</v>
      </c>
      <c r="BU272" s="144">
        <f t="shared" si="556"/>
        <v>0</v>
      </c>
      <c r="BV272" s="144">
        <f t="shared" si="556"/>
        <v>0</v>
      </c>
      <c r="BW272" s="144">
        <f t="shared" si="556"/>
        <v>0</v>
      </c>
      <c r="BX272" s="144">
        <f t="shared" si="556"/>
        <v>0</v>
      </c>
      <c r="BY272" s="144">
        <f t="shared" si="556"/>
        <v>0</v>
      </c>
      <c r="BZ272" s="144">
        <f t="shared" si="556"/>
        <v>0</v>
      </c>
      <c r="CA272" s="144">
        <f t="shared" si="556"/>
        <v>0</v>
      </c>
      <c r="CB272" s="9">
        <f t="shared" si="556"/>
        <v>0</v>
      </c>
      <c r="CC272" s="144">
        <f t="shared" si="556"/>
        <v>0</v>
      </c>
      <c r="CD272" s="144">
        <f t="shared" si="556"/>
        <v>0</v>
      </c>
      <c r="CE272" s="144">
        <f t="shared" si="556"/>
        <v>0</v>
      </c>
      <c r="CF272" s="144">
        <f t="shared" si="556"/>
        <v>0</v>
      </c>
      <c r="CG272" s="144">
        <f t="shared" si="556"/>
        <v>0</v>
      </c>
      <c r="CH272" s="144">
        <f t="shared" si="556"/>
        <v>0</v>
      </c>
      <c r="CI272" s="144">
        <f t="shared" si="556"/>
        <v>0</v>
      </c>
      <c r="CJ272" s="144">
        <f t="shared" si="556"/>
        <v>0</v>
      </c>
      <c r="CK272" s="144">
        <f t="shared" si="556"/>
        <v>0</v>
      </c>
      <c r="CL272" s="144">
        <f t="shared" si="556"/>
        <v>0</v>
      </c>
      <c r="CM272" s="144">
        <f t="shared" si="556"/>
        <v>0</v>
      </c>
      <c r="CN272" s="144">
        <f t="shared" si="556"/>
        <v>0</v>
      </c>
      <c r="CO272" s="9">
        <f t="shared" si="556"/>
        <v>0</v>
      </c>
      <c r="CP272" s="144">
        <f t="shared" si="556"/>
        <v>0</v>
      </c>
      <c r="CQ272" s="144">
        <f t="shared" si="556"/>
        <v>0</v>
      </c>
      <c r="CR272" s="144">
        <f t="shared" si="556"/>
        <v>0</v>
      </c>
      <c r="CS272" s="144">
        <f t="shared" si="556"/>
        <v>0</v>
      </c>
      <c r="CT272" s="144">
        <f t="shared" si="556"/>
        <v>0</v>
      </c>
      <c r="CU272" s="144">
        <f t="shared" ref="CU272:EB272" si="557">CU60/CU$211</f>
        <v>0</v>
      </c>
      <c r="CV272" s="144">
        <f t="shared" si="557"/>
        <v>0</v>
      </c>
      <c r="CW272" s="144">
        <f t="shared" si="557"/>
        <v>0</v>
      </c>
      <c r="CX272" s="144">
        <f t="shared" si="557"/>
        <v>0</v>
      </c>
      <c r="CY272" s="144">
        <f t="shared" si="557"/>
        <v>0</v>
      </c>
      <c r="CZ272" s="144">
        <f t="shared" si="557"/>
        <v>0</v>
      </c>
      <c r="DA272" s="144">
        <f t="shared" si="557"/>
        <v>0</v>
      </c>
      <c r="DB272" s="9">
        <f t="shared" si="557"/>
        <v>0</v>
      </c>
      <c r="DC272" s="144">
        <f t="shared" si="557"/>
        <v>0</v>
      </c>
      <c r="DD272" s="144">
        <f t="shared" si="557"/>
        <v>0</v>
      </c>
      <c r="DE272" s="144">
        <f t="shared" si="557"/>
        <v>0</v>
      </c>
      <c r="DF272" s="144">
        <f t="shared" si="557"/>
        <v>0</v>
      </c>
      <c r="DG272" s="144">
        <f t="shared" si="557"/>
        <v>0</v>
      </c>
      <c r="DH272" s="144">
        <f t="shared" si="557"/>
        <v>0</v>
      </c>
      <c r="DI272" s="144">
        <f t="shared" si="557"/>
        <v>0</v>
      </c>
      <c r="DJ272" s="144">
        <f t="shared" si="557"/>
        <v>0</v>
      </c>
      <c r="DK272" s="144">
        <f t="shared" si="557"/>
        <v>0</v>
      </c>
      <c r="DL272" s="144">
        <f t="shared" si="557"/>
        <v>0</v>
      </c>
      <c r="DM272" s="144">
        <f t="shared" si="557"/>
        <v>0</v>
      </c>
      <c r="DN272" s="144">
        <f t="shared" si="557"/>
        <v>0</v>
      </c>
      <c r="DO272" s="9">
        <f t="shared" si="557"/>
        <v>0</v>
      </c>
      <c r="DP272" s="144">
        <f t="shared" si="557"/>
        <v>0</v>
      </c>
      <c r="DQ272" s="144">
        <f t="shared" si="557"/>
        <v>0</v>
      </c>
      <c r="DR272" s="144">
        <f t="shared" si="557"/>
        <v>0</v>
      </c>
      <c r="DS272" s="144">
        <f t="shared" si="557"/>
        <v>0</v>
      </c>
      <c r="DT272" s="144">
        <f t="shared" si="557"/>
        <v>0</v>
      </c>
      <c r="DU272" s="144">
        <f t="shared" si="557"/>
        <v>0</v>
      </c>
      <c r="DV272" s="144">
        <f t="shared" si="557"/>
        <v>0</v>
      </c>
      <c r="DW272" s="144">
        <f t="shared" si="557"/>
        <v>0</v>
      </c>
      <c r="DX272" s="144">
        <f t="shared" si="557"/>
        <v>0</v>
      </c>
      <c r="DY272" s="144">
        <f t="shared" si="557"/>
        <v>0</v>
      </c>
      <c r="DZ272" s="144">
        <f t="shared" si="557"/>
        <v>0</v>
      </c>
      <c r="EA272" s="144">
        <f t="shared" si="557"/>
        <v>0</v>
      </c>
      <c r="EB272" s="117">
        <f t="shared" si="557"/>
        <v>0</v>
      </c>
      <c r="EC272" s="118"/>
      <c r="ED272" s="117">
        <f t="shared" ref="ED272:FB272" si="558">ED60/ED$211</f>
        <v>0</v>
      </c>
      <c r="EE272" s="117">
        <f t="shared" si="558"/>
        <v>0</v>
      </c>
      <c r="EF272" s="117">
        <f t="shared" si="558"/>
        <v>0</v>
      </c>
      <c r="EG272" s="117" t="e">
        <f t="shared" si="558"/>
        <v>#DIV/0!</v>
      </c>
      <c r="EH272" s="117" t="e">
        <f t="shared" si="558"/>
        <v>#DIV/0!</v>
      </c>
      <c r="EI272" s="117" t="e">
        <f t="shared" si="558"/>
        <v>#DIV/0!</v>
      </c>
      <c r="EJ272" s="117" t="e">
        <f t="shared" si="558"/>
        <v>#DIV/0!</v>
      </c>
      <c r="EK272" s="117" t="e">
        <f t="shared" si="558"/>
        <v>#DIV/0!</v>
      </c>
      <c r="EL272" s="117" t="e">
        <f t="shared" si="558"/>
        <v>#DIV/0!</v>
      </c>
      <c r="EM272" s="117" t="e">
        <f t="shared" si="558"/>
        <v>#DIV/0!</v>
      </c>
      <c r="EN272" s="117" t="e">
        <f t="shared" si="558"/>
        <v>#DIV/0!</v>
      </c>
      <c r="EO272" s="116">
        <f t="shared" si="558"/>
        <v>0</v>
      </c>
      <c r="EP272" s="117">
        <f t="shared" si="558"/>
        <v>0</v>
      </c>
      <c r="EQ272" s="117">
        <f t="shared" si="558"/>
        <v>0</v>
      </c>
      <c r="ER272" s="117">
        <f t="shared" si="558"/>
        <v>0</v>
      </c>
      <c r="ES272" s="117">
        <f t="shared" si="558"/>
        <v>0</v>
      </c>
      <c r="ET272" s="117">
        <f t="shared" si="558"/>
        <v>0</v>
      </c>
      <c r="EU272" s="117">
        <f t="shared" si="558"/>
        <v>0</v>
      </c>
      <c r="EV272" s="117">
        <f t="shared" si="558"/>
        <v>0</v>
      </c>
      <c r="EW272" s="117">
        <f t="shared" si="558"/>
        <v>0</v>
      </c>
      <c r="EX272" s="117">
        <f t="shared" si="558"/>
        <v>0</v>
      </c>
      <c r="EY272" s="117">
        <f t="shared" si="558"/>
        <v>0</v>
      </c>
      <c r="EZ272" s="117">
        <f t="shared" si="558"/>
        <v>0</v>
      </c>
      <c r="FA272" s="117">
        <f t="shared" si="558"/>
        <v>0</v>
      </c>
      <c r="FB272" s="117">
        <f t="shared" si="558"/>
        <v>0</v>
      </c>
      <c r="FC272" s="118"/>
      <c r="FD272" s="117"/>
      <c r="FE272" s="117"/>
      <c r="FF272" s="117"/>
      <c r="FG272" s="117"/>
      <c r="FH272" s="117"/>
      <c r="FI272" s="117"/>
      <c r="FJ272" s="117"/>
      <c r="FK272" s="117" t="e">
        <f t="shared" si="211"/>
        <v>#DIV/0!</v>
      </c>
      <c r="FL272" s="117" t="e">
        <f t="shared" si="212"/>
        <v>#DIV/0!</v>
      </c>
      <c r="FM272" s="117" t="e">
        <f t="shared" si="213"/>
        <v>#DIV/0!</v>
      </c>
      <c r="FN272" s="117" t="e">
        <f t="shared" si="214"/>
        <v>#DIV/0!</v>
      </c>
      <c r="FO272" s="9" t="e">
        <f t="shared" si="215"/>
        <v>#DIV/0!</v>
      </c>
      <c r="FP272" s="118">
        <f t="shared" ref="FP272:GB272" si="559">FP60/FP$211</f>
        <v>0</v>
      </c>
      <c r="FQ272" s="117">
        <f t="shared" si="559"/>
        <v>0</v>
      </c>
      <c r="FR272" s="117">
        <f t="shared" si="559"/>
        <v>0</v>
      </c>
      <c r="FS272" s="117">
        <f t="shared" si="559"/>
        <v>0</v>
      </c>
      <c r="FT272" s="117">
        <f t="shared" si="559"/>
        <v>0</v>
      </c>
      <c r="FU272" s="117">
        <f t="shared" si="559"/>
        <v>0</v>
      </c>
      <c r="FV272" s="117">
        <f t="shared" si="559"/>
        <v>0</v>
      </c>
      <c r="FW272" s="117">
        <f t="shared" si="559"/>
        <v>0</v>
      </c>
      <c r="FX272" s="117">
        <f t="shared" si="559"/>
        <v>0</v>
      </c>
      <c r="FY272" s="117">
        <f t="shared" si="559"/>
        <v>0</v>
      </c>
      <c r="FZ272" s="117">
        <f t="shared" si="559"/>
        <v>0</v>
      </c>
      <c r="GA272" s="117">
        <f t="shared" si="559"/>
        <v>0</v>
      </c>
      <c r="GB272" s="116">
        <f t="shared" si="559"/>
        <v>0</v>
      </c>
    </row>
    <row r="273" spans="1:184">
      <c r="A273" s="147" t="s">
        <v>147</v>
      </c>
      <c r="B273" s="160">
        <f t="shared" si="217"/>
        <v>-0.996743111511332</v>
      </c>
      <c r="C273" s="117">
        <f t="shared" ref="C273:AH273" si="560">C61/C$211</f>
        <v>1.28041471443436e-6</v>
      </c>
      <c r="D273" s="117">
        <f t="shared" si="560"/>
        <v>0</v>
      </c>
      <c r="E273" s="117">
        <f t="shared" si="560"/>
        <v>0</v>
      </c>
      <c r="F273" s="117">
        <f t="shared" si="560"/>
        <v>0</v>
      </c>
      <c r="G273" s="117">
        <f t="shared" si="560"/>
        <v>0</v>
      </c>
      <c r="H273" s="117">
        <f t="shared" si="560"/>
        <v>0</v>
      </c>
      <c r="I273" s="117">
        <f t="shared" si="560"/>
        <v>0</v>
      </c>
      <c r="J273" s="117">
        <f t="shared" si="560"/>
        <v>0</v>
      </c>
      <c r="K273" s="117">
        <f t="shared" si="560"/>
        <v>0</v>
      </c>
      <c r="L273" s="117">
        <f t="shared" si="560"/>
        <v>0</v>
      </c>
      <c r="M273" s="117">
        <f t="shared" si="560"/>
        <v>0</v>
      </c>
      <c r="N273" s="117">
        <f t="shared" si="560"/>
        <v>0</v>
      </c>
      <c r="O273" s="9">
        <f t="shared" si="560"/>
        <v>1.50378733650876e-7</v>
      </c>
      <c r="P273" s="117">
        <f t="shared" si="560"/>
        <v>0</v>
      </c>
      <c r="Q273" s="117">
        <f t="shared" si="560"/>
        <v>0</v>
      </c>
      <c r="R273" s="117">
        <f t="shared" si="560"/>
        <v>0</v>
      </c>
      <c r="S273" s="117">
        <f t="shared" si="560"/>
        <v>0</v>
      </c>
      <c r="T273" s="117">
        <f t="shared" si="560"/>
        <v>0</v>
      </c>
      <c r="U273" s="117">
        <f t="shared" si="560"/>
        <v>0</v>
      </c>
      <c r="V273" s="117">
        <f t="shared" si="560"/>
        <v>0</v>
      </c>
      <c r="W273" s="117">
        <f t="shared" si="560"/>
        <v>0</v>
      </c>
      <c r="X273" s="117">
        <f t="shared" si="560"/>
        <v>0</v>
      </c>
      <c r="Y273" s="117">
        <f t="shared" si="560"/>
        <v>0</v>
      </c>
      <c r="Z273" s="117">
        <f t="shared" si="560"/>
        <v>0</v>
      </c>
      <c r="AA273" s="117">
        <f t="shared" si="560"/>
        <v>0</v>
      </c>
      <c r="AB273" s="9">
        <f t="shared" si="560"/>
        <v>0</v>
      </c>
      <c r="AC273" s="117">
        <f t="shared" si="560"/>
        <v>0</v>
      </c>
      <c r="AD273" s="117">
        <f t="shared" si="560"/>
        <v>0</v>
      </c>
      <c r="AE273" s="117">
        <f t="shared" si="560"/>
        <v>0</v>
      </c>
      <c r="AF273" s="117">
        <f t="shared" si="560"/>
        <v>0</v>
      </c>
      <c r="AG273" s="117">
        <f t="shared" si="560"/>
        <v>0</v>
      </c>
      <c r="AH273" s="117">
        <f t="shared" si="560"/>
        <v>0</v>
      </c>
      <c r="AI273" s="117">
        <f t="shared" ref="AI273:BN273" si="561">AI61/AI$211</f>
        <v>0</v>
      </c>
      <c r="AJ273" s="117">
        <f t="shared" si="561"/>
        <v>0</v>
      </c>
      <c r="AK273" s="117">
        <f t="shared" si="561"/>
        <v>0</v>
      </c>
      <c r="AL273" s="117">
        <f t="shared" si="561"/>
        <v>0</v>
      </c>
      <c r="AM273" s="117">
        <f t="shared" si="561"/>
        <v>0</v>
      </c>
      <c r="AN273" s="117">
        <f t="shared" si="561"/>
        <v>0</v>
      </c>
      <c r="AO273" s="9">
        <f t="shared" si="561"/>
        <v>0</v>
      </c>
      <c r="AP273" s="144">
        <f t="shared" si="561"/>
        <v>0</v>
      </c>
      <c r="AQ273" s="144">
        <f t="shared" si="561"/>
        <v>0</v>
      </c>
      <c r="AR273" s="144">
        <f t="shared" si="561"/>
        <v>0</v>
      </c>
      <c r="AS273" s="144">
        <f t="shared" si="561"/>
        <v>0</v>
      </c>
      <c r="AT273" s="144">
        <f t="shared" si="561"/>
        <v>0</v>
      </c>
      <c r="AU273" s="144">
        <f t="shared" si="561"/>
        <v>0</v>
      </c>
      <c r="AV273" s="144">
        <f t="shared" si="561"/>
        <v>0</v>
      </c>
      <c r="AW273" s="144">
        <f t="shared" si="561"/>
        <v>0</v>
      </c>
      <c r="AX273" s="144">
        <f t="shared" si="561"/>
        <v>0</v>
      </c>
      <c r="AY273" s="144">
        <f t="shared" si="561"/>
        <v>0</v>
      </c>
      <c r="AZ273" s="144">
        <f t="shared" si="561"/>
        <v>0</v>
      </c>
      <c r="BA273" s="144">
        <f t="shared" si="561"/>
        <v>0</v>
      </c>
      <c r="BB273" s="9">
        <f t="shared" si="561"/>
        <v>0</v>
      </c>
      <c r="BC273" s="144">
        <f t="shared" si="561"/>
        <v>0</v>
      </c>
      <c r="BD273" s="144">
        <f t="shared" si="561"/>
        <v>0</v>
      </c>
      <c r="BE273" s="144">
        <f t="shared" si="561"/>
        <v>0</v>
      </c>
      <c r="BF273" s="144">
        <f t="shared" si="561"/>
        <v>0</v>
      </c>
      <c r="BG273" s="144">
        <f t="shared" si="561"/>
        <v>0</v>
      </c>
      <c r="BH273" s="144">
        <f t="shared" si="561"/>
        <v>0</v>
      </c>
      <c r="BI273" s="144">
        <f t="shared" si="561"/>
        <v>0</v>
      </c>
      <c r="BJ273" s="144">
        <f t="shared" si="561"/>
        <v>0</v>
      </c>
      <c r="BK273" s="144">
        <f t="shared" si="561"/>
        <v>0</v>
      </c>
      <c r="BL273" s="144">
        <f t="shared" si="561"/>
        <v>0</v>
      </c>
      <c r="BM273" s="144">
        <f t="shared" si="561"/>
        <v>0</v>
      </c>
      <c r="BN273" s="144">
        <f t="shared" si="561"/>
        <v>0</v>
      </c>
      <c r="BO273" s="9">
        <f t="shared" ref="BO273:CT273" si="562">BO61/BO$211</f>
        <v>0</v>
      </c>
      <c r="BP273" s="144">
        <f t="shared" si="562"/>
        <v>6.13433894201567e-6</v>
      </c>
      <c r="BQ273" s="144">
        <f t="shared" si="562"/>
        <v>0</v>
      </c>
      <c r="BR273" s="144">
        <f t="shared" si="562"/>
        <v>0</v>
      </c>
      <c r="BS273" s="144">
        <f t="shared" si="562"/>
        <v>0</v>
      </c>
      <c r="BT273" s="144">
        <f t="shared" si="562"/>
        <v>0</v>
      </c>
      <c r="BU273" s="144">
        <f t="shared" si="562"/>
        <v>0</v>
      </c>
      <c r="BV273" s="144">
        <f t="shared" si="562"/>
        <v>0</v>
      </c>
      <c r="BW273" s="144">
        <f t="shared" si="562"/>
        <v>0</v>
      </c>
      <c r="BX273" s="144">
        <f t="shared" si="562"/>
        <v>0</v>
      </c>
      <c r="BY273" s="144">
        <f t="shared" si="562"/>
        <v>0</v>
      </c>
      <c r="BZ273" s="144">
        <f t="shared" si="562"/>
        <v>0</v>
      </c>
      <c r="CA273" s="144">
        <f t="shared" si="562"/>
        <v>0</v>
      </c>
      <c r="CB273" s="9">
        <f t="shared" si="562"/>
        <v>8.16436476333551e-7</v>
      </c>
      <c r="CC273" s="144">
        <f t="shared" si="562"/>
        <v>0</v>
      </c>
      <c r="CD273" s="144">
        <f t="shared" si="562"/>
        <v>0</v>
      </c>
      <c r="CE273" s="144">
        <f t="shared" si="562"/>
        <v>0</v>
      </c>
      <c r="CF273" s="144">
        <f t="shared" si="562"/>
        <v>0</v>
      </c>
      <c r="CG273" s="144">
        <f t="shared" si="562"/>
        <v>0</v>
      </c>
      <c r="CH273" s="144">
        <f t="shared" si="562"/>
        <v>0</v>
      </c>
      <c r="CI273" s="144">
        <f t="shared" si="562"/>
        <v>0</v>
      </c>
      <c r="CJ273" s="144">
        <f t="shared" si="562"/>
        <v>0</v>
      </c>
      <c r="CK273" s="144">
        <f t="shared" si="562"/>
        <v>0</v>
      </c>
      <c r="CL273" s="144">
        <f t="shared" si="562"/>
        <v>0</v>
      </c>
      <c r="CM273" s="144">
        <f t="shared" si="562"/>
        <v>0</v>
      </c>
      <c r="CN273" s="144">
        <f t="shared" si="562"/>
        <v>0</v>
      </c>
      <c r="CO273" s="9">
        <f t="shared" si="562"/>
        <v>0</v>
      </c>
      <c r="CP273" s="144">
        <f t="shared" si="562"/>
        <v>0</v>
      </c>
      <c r="CQ273" s="144">
        <f t="shared" si="562"/>
        <v>0</v>
      </c>
      <c r="CR273" s="144">
        <f t="shared" si="562"/>
        <v>0</v>
      </c>
      <c r="CS273" s="144">
        <f t="shared" si="562"/>
        <v>0</v>
      </c>
      <c r="CT273" s="144">
        <f t="shared" si="562"/>
        <v>0</v>
      </c>
      <c r="CU273" s="144">
        <f t="shared" ref="CU273:EB273" si="563">CU61/CU$211</f>
        <v>0</v>
      </c>
      <c r="CV273" s="144">
        <f t="shared" si="563"/>
        <v>0</v>
      </c>
      <c r="CW273" s="144">
        <f t="shared" si="563"/>
        <v>0</v>
      </c>
      <c r="CX273" s="144">
        <f t="shared" si="563"/>
        <v>0</v>
      </c>
      <c r="CY273" s="144">
        <f t="shared" si="563"/>
        <v>0</v>
      </c>
      <c r="CZ273" s="144">
        <f t="shared" si="563"/>
        <v>0</v>
      </c>
      <c r="DA273" s="144">
        <f t="shared" si="563"/>
        <v>0</v>
      </c>
      <c r="DB273" s="9">
        <f t="shared" si="563"/>
        <v>0</v>
      </c>
      <c r="DC273" s="144">
        <f t="shared" si="563"/>
        <v>0</v>
      </c>
      <c r="DD273" s="144">
        <f t="shared" si="563"/>
        <v>0</v>
      </c>
      <c r="DE273" s="144">
        <f t="shared" si="563"/>
        <v>0</v>
      </c>
      <c r="DF273" s="144">
        <f t="shared" si="563"/>
        <v>0</v>
      </c>
      <c r="DG273" s="144">
        <f t="shared" si="563"/>
        <v>0</v>
      </c>
      <c r="DH273" s="144">
        <f t="shared" si="563"/>
        <v>0</v>
      </c>
      <c r="DI273" s="144">
        <f t="shared" si="563"/>
        <v>0</v>
      </c>
      <c r="DJ273" s="144">
        <f t="shared" si="563"/>
        <v>0</v>
      </c>
      <c r="DK273" s="144">
        <f t="shared" si="563"/>
        <v>0</v>
      </c>
      <c r="DL273" s="144">
        <f t="shared" si="563"/>
        <v>0</v>
      </c>
      <c r="DM273" s="144">
        <f t="shared" si="563"/>
        <v>0</v>
      </c>
      <c r="DN273" s="144">
        <f t="shared" si="563"/>
        <v>0</v>
      </c>
      <c r="DO273" s="9">
        <f t="shared" si="563"/>
        <v>0</v>
      </c>
      <c r="DP273" s="144">
        <f t="shared" si="563"/>
        <v>0</v>
      </c>
      <c r="DQ273" s="144">
        <f t="shared" si="563"/>
        <v>0</v>
      </c>
      <c r="DR273" s="144">
        <f t="shared" si="563"/>
        <v>0</v>
      </c>
      <c r="DS273" s="144">
        <f t="shared" si="563"/>
        <v>0</v>
      </c>
      <c r="DT273" s="144">
        <f t="shared" si="563"/>
        <v>0</v>
      </c>
      <c r="DU273" s="144">
        <f t="shared" si="563"/>
        <v>0</v>
      </c>
      <c r="DV273" s="144">
        <f t="shared" si="563"/>
        <v>0</v>
      </c>
      <c r="DW273" s="144">
        <f t="shared" si="563"/>
        <v>0</v>
      </c>
      <c r="DX273" s="144">
        <f t="shared" si="563"/>
        <v>0</v>
      </c>
      <c r="DY273" s="144">
        <f t="shared" si="563"/>
        <v>0</v>
      </c>
      <c r="DZ273" s="144">
        <f t="shared" si="563"/>
        <v>0</v>
      </c>
      <c r="EA273" s="144">
        <f t="shared" si="563"/>
        <v>0</v>
      </c>
      <c r="EB273" s="117">
        <f t="shared" si="563"/>
        <v>0</v>
      </c>
      <c r="EC273" s="118"/>
      <c r="ED273" s="117">
        <f t="shared" ref="ED273:FB273" si="564">ED61/ED$211</f>
        <v>0</v>
      </c>
      <c r="EE273" s="117">
        <f t="shared" si="564"/>
        <v>0</v>
      </c>
      <c r="EF273" s="117">
        <f t="shared" si="564"/>
        <v>0</v>
      </c>
      <c r="EG273" s="117" t="e">
        <f t="shared" si="564"/>
        <v>#DIV/0!</v>
      </c>
      <c r="EH273" s="117" t="e">
        <f t="shared" si="564"/>
        <v>#DIV/0!</v>
      </c>
      <c r="EI273" s="117" t="e">
        <f t="shared" si="564"/>
        <v>#DIV/0!</v>
      </c>
      <c r="EJ273" s="117" t="e">
        <f t="shared" si="564"/>
        <v>#DIV/0!</v>
      </c>
      <c r="EK273" s="117" t="e">
        <f t="shared" si="564"/>
        <v>#DIV/0!</v>
      </c>
      <c r="EL273" s="117" t="e">
        <f t="shared" si="564"/>
        <v>#DIV/0!</v>
      </c>
      <c r="EM273" s="117" t="e">
        <f t="shared" si="564"/>
        <v>#DIV/0!</v>
      </c>
      <c r="EN273" s="117" t="e">
        <f t="shared" si="564"/>
        <v>#DIV/0!</v>
      </c>
      <c r="EO273" s="116">
        <f t="shared" si="564"/>
        <v>0</v>
      </c>
      <c r="EP273" s="117">
        <f t="shared" si="564"/>
        <v>0</v>
      </c>
      <c r="EQ273" s="117">
        <f t="shared" si="564"/>
        <v>0</v>
      </c>
      <c r="ER273" s="117">
        <f t="shared" si="564"/>
        <v>0</v>
      </c>
      <c r="ES273" s="117">
        <f t="shared" si="564"/>
        <v>0</v>
      </c>
      <c r="ET273" s="117">
        <f t="shared" si="564"/>
        <v>0</v>
      </c>
      <c r="EU273" s="117">
        <f t="shared" si="564"/>
        <v>0</v>
      </c>
      <c r="EV273" s="117">
        <f t="shared" si="564"/>
        <v>0</v>
      </c>
      <c r="EW273" s="117">
        <f t="shared" si="564"/>
        <v>0</v>
      </c>
      <c r="EX273" s="117">
        <f t="shared" si="564"/>
        <v>0</v>
      </c>
      <c r="EY273" s="117">
        <f t="shared" si="564"/>
        <v>0</v>
      </c>
      <c r="EZ273" s="117">
        <f t="shared" si="564"/>
        <v>0</v>
      </c>
      <c r="FA273" s="117">
        <f t="shared" si="564"/>
        <v>0</v>
      </c>
      <c r="FB273" s="117">
        <f t="shared" si="564"/>
        <v>0</v>
      </c>
      <c r="FC273" s="118"/>
      <c r="FD273" s="117"/>
      <c r="FE273" s="117"/>
      <c r="FF273" s="117"/>
      <c r="FG273" s="117"/>
      <c r="FH273" s="117"/>
      <c r="FI273" s="117"/>
      <c r="FJ273" s="117"/>
      <c r="FK273" s="117" t="e">
        <f t="shared" si="211"/>
        <v>#DIV/0!</v>
      </c>
      <c r="FL273" s="117" t="e">
        <f t="shared" si="212"/>
        <v>#DIV/0!</v>
      </c>
      <c r="FM273" s="117" t="e">
        <f t="shared" si="213"/>
        <v>#DIV/0!</v>
      </c>
      <c r="FN273" s="117" t="e">
        <f t="shared" si="214"/>
        <v>#DIV/0!</v>
      </c>
      <c r="FO273" s="9" t="e">
        <f t="shared" si="215"/>
        <v>#DIV/0!</v>
      </c>
      <c r="FP273" s="118">
        <f t="shared" ref="FP273:GB273" si="565">FP61/FP$211</f>
        <v>0</v>
      </c>
      <c r="FQ273" s="117">
        <f t="shared" si="565"/>
        <v>0</v>
      </c>
      <c r="FR273" s="117">
        <f t="shared" si="565"/>
        <v>0</v>
      </c>
      <c r="FS273" s="117">
        <f t="shared" si="565"/>
        <v>0</v>
      </c>
      <c r="FT273" s="117">
        <f t="shared" si="565"/>
        <v>0</v>
      </c>
      <c r="FU273" s="117">
        <f t="shared" si="565"/>
        <v>0</v>
      </c>
      <c r="FV273" s="117">
        <f t="shared" si="565"/>
        <v>0</v>
      </c>
      <c r="FW273" s="117">
        <f t="shared" si="565"/>
        <v>0</v>
      </c>
      <c r="FX273" s="117">
        <f t="shared" si="565"/>
        <v>0</v>
      </c>
      <c r="FY273" s="117">
        <f t="shared" si="565"/>
        <v>0</v>
      </c>
      <c r="FZ273" s="117">
        <f t="shared" si="565"/>
        <v>0</v>
      </c>
      <c r="GA273" s="117">
        <f t="shared" si="565"/>
        <v>0</v>
      </c>
      <c r="GB273" s="116">
        <f t="shared" si="565"/>
        <v>0</v>
      </c>
    </row>
    <row r="274" spans="1:184">
      <c r="A274" s="147" t="s">
        <v>149</v>
      </c>
      <c r="B274" s="160" t="e">
        <f t="shared" si="217"/>
        <v>#DIV/0!</v>
      </c>
      <c r="C274" s="117">
        <f t="shared" ref="C274:AH274" si="566">C62/C$211</f>
        <v>0</v>
      </c>
      <c r="D274" s="117">
        <f t="shared" si="566"/>
        <v>0</v>
      </c>
      <c r="E274" s="117">
        <f t="shared" si="566"/>
        <v>0</v>
      </c>
      <c r="F274" s="117">
        <f t="shared" si="566"/>
        <v>0</v>
      </c>
      <c r="G274" s="117">
        <f t="shared" si="566"/>
        <v>0</v>
      </c>
      <c r="H274" s="117">
        <f t="shared" si="566"/>
        <v>0</v>
      </c>
      <c r="I274" s="117">
        <f t="shared" si="566"/>
        <v>0</v>
      </c>
      <c r="J274" s="117">
        <f t="shared" si="566"/>
        <v>0</v>
      </c>
      <c r="K274" s="117">
        <f t="shared" si="566"/>
        <v>0</v>
      </c>
      <c r="L274" s="117">
        <f t="shared" si="566"/>
        <v>0</v>
      </c>
      <c r="M274" s="117">
        <f t="shared" si="566"/>
        <v>0</v>
      </c>
      <c r="N274" s="117">
        <f t="shared" si="566"/>
        <v>0</v>
      </c>
      <c r="O274" s="9">
        <f t="shared" si="566"/>
        <v>0</v>
      </c>
      <c r="P274" s="117">
        <f t="shared" si="566"/>
        <v>0</v>
      </c>
      <c r="Q274" s="117">
        <f t="shared" si="566"/>
        <v>0</v>
      </c>
      <c r="R274" s="117">
        <f t="shared" si="566"/>
        <v>0</v>
      </c>
      <c r="S274" s="117">
        <f t="shared" si="566"/>
        <v>0</v>
      </c>
      <c r="T274" s="117">
        <f t="shared" si="566"/>
        <v>0</v>
      </c>
      <c r="U274" s="117">
        <f t="shared" si="566"/>
        <v>0</v>
      </c>
      <c r="V274" s="117">
        <f t="shared" si="566"/>
        <v>0</v>
      </c>
      <c r="W274" s="117">
        <f t="shared" si="566"/>
        <v>0</v>
      </c>
      <c r="X274" s="117">
        <f t="shared" si="566"/>
        <v>0</v>
      </c>
      <c r="Y274" s="117">
        <f t="shared" si="566"/>
        <v>0</v>
      </c>
      <c r="Z274" s="117">
        <f t="shared" si="566"/>
        <v>0</v>
      </c>
      <c r="AA274" s="117">
        <f t="shared" si="566"/>
        <v>0</v>
      </c>
      <c r="AB274" s="9">
        <f t="shared" si="566"/>
        <v>0</v>
      </c>
      <c r="AC274" s="117">
        <f t="shared" si="566"/>
        <v>0</v>
      </c>
      <c r="AD274" s="117">
        <f t="shared" si="566"/>
        <v>0</v>
      </c>
      <c r="AE274" s="117">
        <f t="shared" si="566"/>
        <v>0</v>
      </c>
      <c r="AF274" s="117">
        <f t="shared" si="566"/>
        <v>0</v>
      </c>
      <c r="AG274" s="117">
        <f t="shared" si="566"/>
        <v>0</v>
      </c>
      <c r="AH274" s="117">
        <f t="shared" si="566"/>
        <v>0</v>
      </c>
      <c r="AI274" s="117">
        <f t="shared" ref="AI274:BN274" si="567">AI62/AI$211</f>
        <v>0</v>
      </c>
      <c r="AJ274" s="117">
        <f t="shared" si="567"/>
        <v>0</v>
      </c>
      <c r="AK274" s="117">
        <f t="shared" si="567"/>
        <v>0</v>
      </c>
      <c r="AL274" s="117">
        <f t="shared" si="567"/>
        <v>0</v>
      </c>
      <c r="AM274" s="117">
        <f t="shared" si="567"/>
        <v>0</v>
      </c>
      <c r="AN274" s="117">
        <f t="shared" si="567"/>
        <v>0</v>
      </c>
      <c r="AO274" s="9">
        <f t="shared" si="567"/>
        <v>0</v>
      </c>
      <c r="AP274" s="144">
        <f t="shared" si="567"/>
        <v>0</v>
      </c>
      <c r="AQ274" s="144">
        <f t="shared" si="567"/>
        <v>0</v>
      </c>
      <c r="AR274" s="144">
        <f t="shared" si="567"/>
        <v>0</v>
      </c>
      <c r="AS274" s="144">
        <f t="shared" si="567"/>
        <v>0</v>
      </c>
      <c r="AT274" s="144">
        <f t="shared" si="567"/>
        <v>0</v>
      </c>
      <c r="AU274" s="144">
        <f t="shared" si="567"/>
        <v>0</v>
      </c>
      <c r="AV274" s="144">
        <f t="shared" si="567"/>
        <v>0</v>
      </c>
      <c r="AW274" s="144">
        <f t="shared" si="567"/>
        <v>0</v>
      </c>
      <c r="AX274" s="144">
        <f t="shared" si="567"/>
        <v>0</v>
      </c>
      <c r="AY274" s="144">
        <f t="shared" si="567"/>
        <v>0</v>
      </c>
      <c r="AZ274" s="144">
        <f t="shared" si="567"/>
        <v>0</v>
      </c>
      <c r="BA274" s="144">
        <f t="shared" si="567"/>
        <v>0</v>
      </c>
      <c r="BB274" s="9">
        <f t="shared" si="567"/>
        <v>0</v>
      </c>
      <c r="BC274" s="144">
        <f t="shared" si="567"/>
        <v>0</v>
      </c>
      <c r="BD274" s="144">
        <f t="shared" si="567"/>
        <v>0</v>
      </c>
      <c r="BE274" s="144">
        <f t="shared" si="567"/>
        <v>0</v>
      </c>
      <c r="BF274" s="144">
        <f t="shared" si="567"/>
        <v>0</v>
      </c>
      <c r="BG274" s="144">
        <f t="shared" si="567"/>
        <v>0</v>
      </c>
      <c r="BH274" s="144">
        <f t="shared" si="567"/>
        <v>0</v>
      </c>
      <c r="BI274" s="144">
        <f t="shared" si="567"/>
        <v>0</v>
      </c>
      <c r="BJ274" s="144">
        <f t="shared" si="567"/>
        <v>0</v>
      </c>
      <c r="BK274" s="144">
        <f t="shared" si="567"/>
        <v>0</v>
      </c>
      <c r="BL274" s="144">
        <f t="shared" si="567"/>
        <v>0</v>
      </c>
      <c r="BM274" s="144">
        <f t="shared" si="567"/>
        <v>0</v>
      </c>
      <c r="BN274" s="144">
        <f t="shared" si="567"/>
        <v>0</v>
      </c>
      <c r="BO274" s="9">
        <f t="shared" ref="BO274:CT274" si="568">BO62/BO$211</f>
        <v>0</v>
      </c>
      <c r="BP274" s="144">
        <f t="shared" si="568"/>
        <v>0</v>
      </c>
      <c r="BQ274" s="144">
        <f t="shared" si="568"/>
        <v>0</v>
      </c>
      <c r="BR274" s="144">
        <f t="shared" si="568"/>
        <v>0</v>
      </c>
      <c r="BS274" s="144">
        <f t="shared" si="568"/>
        <v>0</v>
      </c>
      <c r="BT274" s="144">
        <f t="shared" si="568"/>
        <v>0</v>
      </c>
      <c r="BU274" s="144">
        <f t="shared" si="568"/>
        <v>0</v>
      </c>
      <c r="BV274" s="144">
        <f t="shared" si="568"/>
        <v>0</v>
      </c>
      <c r="BW274" s="144">
        <f t="shared" si="568"/>
        <v>0</v>
      </c>
      <c r="BX274" s="144">
        <f t="shared" si="568"/>
        <v>0</v>
      </c>
      <c r="BY274" s="144">
        <f t="shared" si="568"/>
        <v>0</v>
      </c>
      <c r="BZ274" s="144">
        <f t="shared" si="568"/>
        <v>0</v>
      </c>
      <c r="CA274" s="144">
        <f t="shared" si="568"/>
        <v>0</v>
      </c>
      <c r="CB274" s="9">
        <f t="shared" si="568"/>
        <v>0</v>
      </c>
      <c r="CC274" s="144">
        <f t="shared" si="568"/>
        <v>0</v>
      </c>
      <c r="CD274" s="144">
        <f t="shared" si="568"/>
        <v>0</v>
      </c>
      <c r="CE274" s="144">
        <f t="shared" si="568"/>
        <v>0</v>
      </c>
      <c r="CF274" s="144">
        <f t="shared" si="568"/>
        <v>0</v>
      </c>
      <c r="CG274" s="144">
        <f t="shared" si="568"/>
        <v>0</v>
      </c>
      <c r="CH274" s="144">
        <f t="shared" si="568"/>
        <v>0</v>
      </c>
      <c r="CI274" s="144">
        <f t="shared" si="568"/>
        <v>0</v>
      </c>
      <c r="CJ274" s="144">
        <f t="shared" si="568"/>
        <v>0</v>
      </c>
      <c r="CK274" s="144">
        <f t="shared" si="568"/>
        <v>0</v>
      </c>
      <c r="CL274" s="144">
        <f t="shared" si="568"/>
        <v>0</v>
      </c>
      <c r="CM274" s="144">
        <f t="shared" si="568"/>
        <v>0</v>
      </c>
      <c r="CN274" s="144">
        <f t="shared" si="568"/>
        <v>0</v>
      </c>
      <c r="CO274" s="9">
        <f t="shared" si="568"/>
        <v>0</v>
      </c>
      <c r="CP274" s="144">
        <f t="shared" si="568"/>
        <v>0</v>
      </c>
      <c r="CQ274" s="144">
        <f t="shared" si="568"/>
        <v>0</v>
      </c>
      <c r="CR274" s="144">
        <f t="shared" si="568"/>
        <v>0</v>
      </c>
      <c r="CS274" s="144">
        <f t="shared" si="568"/>
        <v>0</v>
      </c>
      <c r="CT274" s="144">
        <f t="shared" si="568"/>
        <v>0</v>
      </c>
      <c r="CU274" s="144">
        <f t="shared" ref="CU274:EB274" si="569">CU62/CU$211</f>
        <v>0</v>
      </c>
      <c r="CV274" s="144">
        <f t="shared" si="569"/>
        <v>0</v>
      </c>
      <c r="CW274" s="144">
        <f t="shared" si="569"/>
        <v>0</v>
      </c>
      <c r="CX274" s="144">
        <f t="shared" si="569"/>
        <v>0</v>
      </c>
      <c r="CY274" s="144">
        <f t="shared" si="569"/>
        <v>0</v>
      </c>
      <c r="CZ274" s="144">
        <f t="shared" si="569"/>
        <v>0</v>
      </c>
      <c r="DA274" s="144">
        <f t="shared" si="569"/>
        <v>0</v>
      </c>
      <c r="DB274" s="9">
        <f t="shared" si="569"/>
        <v>0</v>
      </c>
      <c r="DC274" s="144">
        <f t="shared" si="569"/>
        <v>0</v>
      </c>
      <c r="DD274" s="144">
        <f t="shared" si="569"/>
        <v>0</v>
      </c>
      <c r="DE274" s="144">
        <f t="shared" si="569"/>
        <v>0</v>
      </c>
      <c r="DF274" s="144">
        <f t="shared" si="569"/>
        <v>0</v>
      </c>
      <c r="DG274" s="144">
        <f t="shared" si="569"/>
        <v>0</v>
      </c>
      <c r="DH274" s="144">
        <f t="shared" si="569"/>
        <v>0</v>
      </c>
      <c r="DI274" s="144">
        <f t="shared" si="569"/>
        <v>0</v>
      </c>
      <c r="DJ274" s="144">
        <f t="shared" si="569"/>
        <v>0</v>
      </c>
      <c r="DK274" s="144">
        <f t="shared" si="569"/>
        <v>0</v>
      </c>
      <c r="DL274" s="144">
        <f t="shared" si="569"/>
        <v>0</v>
      </c>
      <c r="DM274" s="144">
        <f t="shared" si="569"/>
        <v>0</v>
      </c>
      <c r="DN274" s="144">
        <f t="shared" si="569"/>
        <v>0</v>
      </c>
      <c r="DO274" s="9">
        <f t="shared" si="569"/>
        <v>0</v>
      </c>
      <c r="DP274" s="144">
        <f t="shared" si="569"/>
        <v>0</v>
      </c>
      <c r="DQ274" s="144">
        <f t="shared" si="569"/>
        <v>0</v>
      </c>
      <c r="DR274" s="144">
        <f t="shared" si="569"/>
        <v>0</v>
      </c>
      <c r="DS274" s="144">
        <f t="shared" si="569"/>
        <v>0</v>
      </c>
      <c r="DT274" s="144">
        <f t="shared" si="569"/>
        <v>0</v>
      </c>
      <c r="DU274" s="144">
        <f t="shared" si="569"/>
        <v>0</v>
      </c>
      <c r="DV274" s="144">
        <f t="shared" si="569"/>
        <v>0</v>
      </c>
      <c r="DW274" s="144">
        <f t="shared" si="569"/>
        <v>0</v>
      </c>
      <c r="DX274" s="144">
        <f t="shared" si="569"/>
        <v>0</v>
      </c>
      <c r="DY274" s="144">
        <f t="shared" si="569"/>
        <v>0</v>
      </c>
      <c r="DZ274" s="144">
        <f t="shared" si="569"/>
        <v>0</v>
      </c>
      <c r="EA274" s="144">
        <f t="shared" si="569"/>
        <v>0</v>
      </c>
      <c r="EB274" s="117">
        <f t="shared" si="569"/>
        <v>0</v>
      </c>
      <c r="EC274" s="118"/>
      <c r="ED274" s="117">
        <f t="shared" ref="ED274:FB274" si="570">ED62/ED$211</f>
        <v>0</v>
      </c>
      <c r="EE274" s="117">
        <f t="shared" si="570"/>
        <v>0</v>
      </c>
      <c r="EF274" s="117">
        <f t="shared" si="570"/>
        <v>0</v>
      </c>
      <c r="EG274" s="117" t="e">
        <f t="shared" si="570"/>
        <v>#DIV/0!</v>
      </c>
      <c r="EH274" s="117" t="e">
        <f t="shared" si="570"/>
        <v>#DIV/0!</v>
      </c>
      <c r="EI274" s="117" t="e">
        <f t="shared" si="570"/>
        <v>#DIV/0!</v>
      </c>
      <c r="EJ274" s="117" t="e">
        <f t="shared" si="570"/>
        <v>#DIV/0!</v>
      </c>
      <c r="EK274" s="117" t="e">
        <f t="shared" si="570"/>
        <v>#DIV/0!</v>
      </c>
      <c r="EL274" s="117" t="e">
        <f t="shared" si="570"/>
        <v>#DIV/0!</v>
      </c>
      <c r="EM274" s="117" t="e">
        <f t="shared" si="570"/>
        <v>#DIV/0!</v>
      </c>
      <c r="EN274" s="117" t="e">
        <f t="shared" si="570"/>
        <v>#DIV/0!</v>
      </c>
      <c r="EO274" s="116">
        <f t="shared" si="570"/>
        <v>0</v>
      </c>
      <c r="EP274" s="117">
        <f t="shared" si="570"/>
        <v>0</v>
      </c>
      <c r="EQ274" s="117">
        <f t="shared" si="570"/>
        <v>0</v>
      </c>
      <c r="ER274" s="117">
        <f t="shared" si="570"/>
        <v>0</v>
      </c>
      <c r="ES274" s="117">
        <f t="shared" si="570"/>
        <v>0</v>
      </c>
      <c r="ET274" s="117">
        <f t="shared" si="570"/>
        <v>0</v>
      </c>
      <c r="EU274" s="117">
        <f t="shared" si="570"/>
        <v>0</v>
      </c>
      <c r="EV274" s="117">
        <f t="shared" si="570"/>
        <v>0</v>
      </c>
      <c r="EW274" s="117">
        <f t="shared" si="570"/>
        <v>0</v>
      </c>
      <c r="EX274" s="117">
        <f t="shared" si="570"/>
        <v>0</v>
      </c>
      <c r="EY274" s="117">
        <f t="shared" si="570"/>
        <v>0</v>
      </c>
      <c r="EZ274" s="117">
        <f t="shared" si="570"/>
        <v>0</v>
      </c>
      <c r="FA274" s="117">
        <f t="shared" si="570"/>
        <v>0</v>
      </c>
      <c r="FB274" s="117">
        <f t="shared" si="570"/>
        <v>0</v>
      </c>
      <c r="FC274" s="118"/>
      <c r="FD274" s="117"/>
      <c r="FE274" s="117"/>
      <c r="FF274" s="117"/>
      <c r="FG274" s="117"/>
      <c r="FH274" s="117"/>
      <c r="FI274" s="117"/>
      <c r="FJ274" s="117"/>
      <c r="FK274" s="117" t="e">
        <f t="shared" si="211"/>
        <v>#DIV/0!</v>
      </c>
      <c r="FL274" s="117" t="e">
        <f t="shared" si="212"/>
        <v>#DIV/0!</v>
      </c>
      <c r="FM274" s="117" t="e">
        <f t="shared" si="213"/>
        <v>#DIV/0!</v>
      </c>
      <c r="FN274" s="117" t="e">
        <f t="shared" si="214"/>
        <v>#DIV/0!</v>
      </c>
      <c r="FO274" s="9" t="e">
        <f t="shared" si="215"/>
        <v>#DIV/0!</v>
      </c>
      <c r="FP274" s="118">
        <f t="shared" ref="FP274:GB274" si="571">FP62/FP$211</f>
        <v>0</v>
      </c>
      <c r="FQ274" s="117">
        <f t="shared" si="571"/>
        <v>0</v>
      </c>
      <c r="FR274" s="117">
        <f t="shared" si="571"/>
        <v>0</v>
      </c>
      <c r="FS274" s="117">
        <f t="shared" si="571"/>
        <v>0</v>
      </c>
      <c r="FT274" s="117">
        <f t="shared" si="571"/>
        <v>0</v>
      </c>
      <c r="FU274" s="117">
        <f t="shared" si="571"/>
        <v>0</v>
      </c>
      <c r="FV274" s="117">
        <f t="shared" si="571"/>
        <v>0</v>
      </c>
      <c r="FW274" s="117">
        <f t="shared" si="571"/>
        <v>0</v>
      </c>
      <c r="FX274" s="117">
        <f t="shared" si="571"/>
        <v>0</v>
      </c>
      <c r="FY274" s="117">
        <f t="shared" si="571"/>
        <v>0</v>
      </c>
      <c r="FZ274" s="117">
        <f t="shared" si="571"/>
        <v>0</v>
      </c>
      <c r="GA274" s="117">
        <f t="shared" si="571"/>
        <v>0</v>
      </c>
      <c r="GB274" s="116">
        <f t="shared" si="571"/>
        <v>0</v>
      </c>
    </row>
    <row r="275" spans="1:184">
      <c r="A275" s="147" t="s">
        <v>151</v>
      </c>
      <c r="B275" s="160">
        <f t="shared" si="217"/>
        <v>-0.952949407191916</v>
      </c>
      <c r="C275" s="117">
        <f t="shared" ref="C275:AH275" si="572">C63/C$211</f>
        <v>4.41295778795392e-6</v>
      </c>
      <c r="D275" s="117">
        <f t="shared" si="572"/>
        <v>1.02732881716398e-5</v>
      </c>
      <c r="E275" s="117">
        <f t="shared" si="572"/>
        <v>5.55596594011449e-6</v>
      </c>
      <c r="F275" s="117">
        <f t="shared" si="572"/>
        <v>5.44402697679148e-6</v>
      </c>
      <c r="G275" s="117">
        <f t="shared" si="572"/>
        <v>4.02143909285892e-6</v>
      </c>
      <c r="H275" s="117">
        <f t="shared" si="572"/>
        <v>0</v>
      </c>
      <c r="I275" s="117">
        <f t="shared" si="572"/>
        <v>0</v>
      </c>
      <c r="J275" s="117">
        <f t="shared" si="572"/>
        <v>0</v>
      </c>
      <c r="K275" s="117">
        <f t="shared" si="572"/>
        <v>0</v>
      </c>
      <c r="L275" s="117">
        <f t="shared" si="572"/>
        <v>0</v>
      </c>
      <c r="M275" s="117">
        <f t="shared" si="572"/>
        <v>0</v>
      </c>
      <c r="N275" s="117">
        <f t="shared" si="572"/>
        <v>0</v>
      </c>
      <c r="O275" s="9">
        <f t="shared" si="572"/>
        <v>2.62224293812949e-6</v>
      </c>
      <c r="P275" s="117">
        <f t="shared" si="572"/>
        <v>0</v>
      </c>
      <c r="Q275" s="117">
        <f t="shared" si="572"/>
        <v>0</v>
      </c>
      <c r="R275" s="117">
        <f t="shared" si="572"/>
        <v>0</v>
      </c>
      <c r="S275" s="117">
        <f t="shared" si="572"/>
        <v>0</v>
      </c>
      <c r="T275" s="117">
        <f t="shared" si="572"/>
        <v>0</v>
      </c>
      <c r="U275" s="117">
        <f t="shared" si="572"/>
        <v>0</v>
      </c>
      <c r="V275" s="117">
        <f t="shared" si="572"/>
        <v>0</v>
      </c>
      <c r="W275" s="117">
        <f t="shared" si="572"/>
        <v>0</v>
      </c>
      <c r="X275" s="117">
        <f t="shared" si="572"/>
        <v>0</v>
      </c>
      <c r="Y275" s="117">
        <f t="shared" si="572"/>
        <v>0</v>
      </c>
      <c r="Z275" s="117">
        <f t="shared" si="572"/>
        <v>0</v>
      </c>
      <c r="AA275" s="117">
        <f t="shared" si="572"/>
        <v>0</v>
      </c>
      <c r="AB275" s="9">
        <f t="shared" si="572"/>
        <v>0</v>
      </c>
      <c r="AC275" s="117">
        <f t="shared" si="572"/>
        <v>0</v>
      </c>
      <c r="AD275" s="117">
        <f t="shared" si="572"/>
        <v>0</v>
      </c>
      <c r="AE275" s="117">
        <f t="shared" si="572"/>
        <v>0</v>
      </c>
      <c r="AF275" s="117">
        <f t="shared" si="572"/>
        <v>0</v>
      </c>
      <c r="AG275" s="117">
        <f t="shared" si="572"/>
        <v>0</v>
      </c>
      <c r="AH275" s="117">
        <f t="shared" si="572"/>
        <v>0</v>
      </c>
      <c r="AI275" s="117">
        <f t="shared" ref="AI275:BN275" si="573">AI63/AI$211</f>
        <v>0</v>
      </c>
      <c r="AJ275" s="117">
        <f t="shared" si="573"/>
        <v>0</v>
      </c>
      <c r="AK275" s="117">
        <f t="shared" si="573"/>
        <v>0</v>
      </c>
      <c r="AL275" s="117">
        <f t="shared" si="573"/>
        <v>0</v>
      </c>
      <c r="AM275" s="117">
        <f t="shared" si="573"/>
        <v>0</v>
      </c>
      <c r="AN275" s="117">
        <f t="shared" si="573"/>
        <v>0</v>
      </c>
      <c r="AO275" s="9">
        <f t="shared" si="573"/>
        <v>0</v>
      </c>
      <c r="AP275" s="144">
        <f t="shared" si="573"/>
        <v>0</v>
      </c>
      <c r="AQ275" s="144">
        <f t="shared" si="573"/>
        <v>0</v>
      </c>
      <c r="AR275" s="144">
        <f t="shared" si="573"/>
        <v>0</v>
      </c>
      <c r="AS275" s="144">
        <f t="shared" si="573"/>
        <v>0</v>
      </c>
      <c r="AT275" s="144">
        <f t="shared" si="573"/>
        <v>0</v>
      </c>
      <c r="AU275" s="144">
        <f t="shared" si="573"/>
        <v>0</v>
      </c>
      <c r="AV275" s="144">
        <f t="shared" si="573"/>
        <v>0</v>
      </c>
      <c r="AW275" s="144">
        <f t="shared" si="573"/>
        <v>0</v>
      </c>
      <c r="AX275" s="144">
        <f t="shared" si="573"/>
        <v>0</v>
      </c>
      <c r="AY275" s="144">
        <f t="shared" si="573"/>
        <v>0</v>
      </c>
      <c r="AZ275" s="144">
        <f t="shared" si="573"/>
        <v>0</v>
      </c>
      <c r="BA275" s="144">
        <f t="shared" si="573"/>
        <v>0</v>
      </c>
      <c r="BB275" s="9">
        <f t="shared" si="573"/>
        <v>0</v>
      </c>
      <c r="BC275" s="144">
        <f t="shared" si="573"/>
        <v>0</v>
      </c>
      <c r="BD275" s="144">
        <f t="shared" si="573"/>
        <v>0</v>
      </c>
      <c r="BE275" s="144">
        <f t="shared" si="573"/>
        <v>0</v>
      </c>
      <c r="BF275" s="144">
        <f t="shared" si="573"/>
        <v>0</v>
      </c>
      <c r="BG275" s="144">
        <f t="shared" si="573"/>
        <v>0</v>
      </c>
      <c r="BH275" s="144">
        <f t="shared" si="573"/>
        <v>0</v>
      </c>
      <c r="BI275" s="144">
        <f t="shared" si="573"/>
        <v>0</v>
      </c>
      <c r="BJ275" s="144">
        <f t="shared" si="573"/>
        <v>0</v>
      </c>
      <c r="BK275" s="144">
        <f t="shared" si="573"/>
        <v>0</v>
      </c>
      <c r="BL275" s="144">
        <f t="shared" si="573"/>
        <v>0</v>
      </c>
      <c r="BM275" s="144">
        <f t="shared" si="573"/>
        <v>0</v>
      </c>
      <c r="BN275" s="144">
        <f t="shared" si="573"/>
        <v>0</v>
      </c>
      <c r="BO275" s="9">
        <f t="shared" ref="BO275:CT275" si="574">BO63/BO$211</f>
        <v>0</v>
      </c>
      <c r="BP275" s="144">
        <f t="shared" si="574"/>
        <v>0</v>
      </c>
      <c r="BQ275" s="144">
        <f t="shared" si="574"/>
        <v>0</v>
      </c>
      <c r="BR275" s="144">
        <f t="shared" si="574"/>
        <v>0</v>
      </c>
      <c r="BS275" s="144">
        <f t="shared" si="574"/>
        <v>0</v>
      </c>
      <c r="BT275" s="144">
        <f t="shared" si="574"/>
        <v>0</v>
      </c>
      <c r="BU275" s="144">
        <f t="shared" si="574"/>
        <v>0</v>
      </c>
      <c r="BV275" s="144">
        <f t="shared" si="574"/>
        <v>0</v>
      </c>
      <c r="BW275" s="144">
        <f t="shared" si="574"/>
        <v>0</v>
      </c>
      <c r="BX275" s="144">
        <f t="shared" si="574"/>
        <v>0</v>
      </c>
      <c r="BY275" s="144">
        <f t="shared" si="574"/>
        <v>0</v>
      </c>
      <c r="BZ275" s="144">
        <f t="shared" si="574"/>
        <v>0</v>
      </c>
      <c r="CA275" s="144">
        <f t="shared" si="574"/>
        <v>0</v>
      </c>
      <c r="CB275" s="9">
        <f t="shared" si="574"/>
        <v>0</v>
      </c>
      <c r="CC275" s="144">
        <f t="shared" si="574"/>
        <v>2.08030624471638e-5</v>
      </c>
      <c r="CD275" s="144">
        <f t="shared" si="574"/>
        <v>0.000159711887408607</v>
      </c>
      <c r="CE275" s="144">
        <f t="shared" si="574"/>
        <v>4.42225918894117e-5</v>
      </c>
      <c r="CF275" s="144">
        <f t="shared" si="574"/>
        <v>2.7112460110473e-5</v>
      </c>
      <c r="CG275" s="144">
        <f t="shared" si="574"/>
        <v>5.78086745124724e-5</v>
      </c>
      <c r="CH275" s="144">
        <f t="shared" si="574"/>
        <v>0</v>
      </c>
      <c r="CI275" s="144">
        <f t="shared" si="574"/>
        <v>0</v>
      </c>
      <c r="CJ275" s="144">
        <f t="shared" si="574"/>
        <v>0</v>
      </c>
      <c r="CK275" s="144">
        <f t="shared" si="574"/>
        <v>0</v>
      </c>
      <c r="CL275" s="144">
        <f t="shared" si="574"/>
        <v>0</v>
      </c>
      <c r="CM275" s="144">
        <f t="shared" si="574"/>
        <v>0</v>
      </c>
      <c r="CN275" s="144">
        <f t="shared" si="574"/>
        <v>0</v>
      </c>
      <c r="CO275" s="9">
        <f t="shared" si="574"/>
        <v>1.98818717065405e-5</v>
      </c>
      <c r="CP275" s="144">
        <f t="shared" si="574"/>
        <v>0</v>
      </c>
      <c r="CQ275" s="144">
        <f t="shared" si="574"/>
        <v>0</v>
      </c>
      <c r="CR275" s="144">
        <f t="shared" si="574"/>
        <v>0</v>
      </c>
      <c r="CS275" s="144">
        <f t="shared" si="574"/>
        <v>0</v>
      </c>
      <c r="CT275" s="144">
        <f t="shared" si="574"/>
        <v>0</v>
      </c>
      <c r="CU275" s="144">
        <f t="shared" ref="CU275:EB275" si="575">CU63/CU$211</f>
        <v>0</v>
      </c>
      <c r="CV275" s="144">
        <f t="shared" si="575"/>
        <v>0</v>
      </c>
      <c r="CW275" s="144">
        <f t="shared" si="575"/>
        <v>0</v>
      </c>
      <c r="CX275" s="144">
        <f t="shared" si="575"/>
        <v>0</v>
      </c>
      <c r="CY275" s="144">
        <f t="shared" si="575"/>
        <v>0</v>
      </c>
      <c r="CZ275" s="144">
        <f t="shared" si="575"/>
        <v>0</v>
      </c>
      <c r="DA275" s="144">
        <f t="shared" si="575"/>
        <v>0</v>
      </c>
      <c r="DB275" s="9">
        <f t="shared" si="575"/>
        <v>0</v>
      </c>
      <c r="DC275" s="144">
        <f t="shared" si="575"/>
        <v>0</v>
      </c>
      <c r="DD275" s="144">
        <f t="shared" si="575"/>
        <v>1.56152819286924e-5</v>
      </c>
      <c r="DE275" s="144">
        <f t="shared" si="575"/>
        <v>2.17387602595344e-5</v>
      </c>
      <c r="DF275" s="144">
        <f t="shared" si="575"/>
        <v>0</v>
      </c>
      <c r="DG275" s="144">
        <f t="shared" si="575"/>
        <v>0</v>
      </c>
      <c r="DH275" s="144">
        <f t="shared" si="575"/>
        <v>0</v>
      </c>
      <c r="DI275" s="144">
        <f t="shared" si="575"/>
        <v>0</v>
      </c>
      <c r="DJ275" s="144">
        <f t="shared" si="575"/>
        <v>0</v>
      </c>
      <c r="DK275" s="144">
        <f t="shared" si="575"/>
        <v>0</v>
      </c>
      <c r="DL275" s="144">
        <f t="shared" si="575"/>
        <v>0</v>
      </c>
      <c r="DM275" s="144">
        <f t="shared" si="575"/>
        <v>0</v>
      </c>
      <c r="DN275" s="144">
        <f t="shared" si="575"/>
        <v>0</v>
      </c>
      <c r="DO275" s="9">
        <f t="shared" si="575"/>
        <v>3.60393170455498e-6</v>
      </c>
      <c r="DP275" s="144">
        <f t="shared" si="575"/>
        <v>0</v>
      </c>
      <c r="DQ275" s="144">
        <f t="shared" si="575"/>
        <v>0</v>
      </c>
      <c r="DR275" s="144">
        <f t="shared" si="575"/>
        <v>0</v>
      </c>
      <c r="DS275" s="144">
        <f t="shared" si="575"/>
        <v>0</v>
      </c>
      <c r="DT275" s="144">
        <f t="shared" si="575"/>
        <v>0</v>
      </c>
      <c r="DU275" s="144">
        <f t="shared" si="575"/>
        <v>0</v>
      </c>
      <c r="DV275" s="144">
        <f t="shared" si="575"/>
        <v>0</v>
      </c>
      <c r="DW275" s="144">
        <f t="shared" si="575"/>
        <v>0</v>
      </c>
      <c r="DX275" s="144">
        <f t="shared" si="575"/>
        <v>0</v>
      </c>
      <c r="DY275" s="144">
        <f t="shared" si="575"/>
        <v>0</v>
      </c>
      <c r="DZ275" s="144">
        <f t="shared" si="575"/>
        <v>0</v>
      </c>
      <c r="EA275" s="144">
        <f t="shared" si="575"/>
        <v>0</v>
      </c>
      <c r="EB275" s="117">
        <f t="shared" si="575"/>
        <v>0</v>
      </c>
      <c r="EC275" s="118"/>
      <c r="ED275" s="117">
        <f t="shared" ref="ED275:FB275" si="576">ED63/ED$211</f>
        <v>0</v>
      </c>
      <c r="EE275" s="117">
        <f t="shared" si="576"/>
        <v>0</v>
      </c>
      <c r="EF275" s="117">
        <f t="shared" si="576"/>
        <v>0</v>
      </c>
      <c r="EG275" s="117" t="e">
        <f t="shared" si="576"/>
        <v>#DIV/0!</v>
      </c>
      <c r="EH275" s="117" t="e">
        <f t="shared" si="576"/>
        <v>#DIV/0!</v>
      </c>
      <c r="EI275" s="117" t="e">
        <f t="shared" si="576"/>
        <v>#DIV/0!</v>
      </c>
      <c r="EJ275" s="117" t="e">
        <f t="shared" si="576"/>
        <v>#DIV/0!</v>
      </c>
      <c r="EK275" s="117" t="e">
        <f t="shared" si="576"/>
        <v>#DIV/0!</v>
      </c>
      <c r="EL275" s="117" t="e">
        <f t="shared" si="576"/>
        <v>#DIV/0!</v>
      </c>
      <c r="EM275" s="117" t="e">
        <f t="shared" si="576"/>
        <v>#DIV/0!</v>
      </c>
      <c r="EN275" s="117" t="e">
        <f t="shared" si="576"/>
        <v>#DIV/0!</v>
      </c>
      <c r="EO275" s="116">
        <f t="shared" si="576"/>
        <v>0</v>
      </c>
      <c r="EP275" s="117">
        <f t="shared" si="576"/>
        <v>0</v>
      </c>
      <c r="EQ275" s="117">
        <f t="shared" si="576"/>
        <v>0</v>
      </c>
      <c r="ER275" s="117">
        <f t="shared" si="576"/>
        <v>0</v>
      </c>
      <c r="ES275" s="117">
        <f t="shared" si="576"/>
        <v>0</v>
      </c>
      <c r="ET275" s="117">
        <f t="shared" si="576"/>
        <v>0</v>
      </c>
      <c r="EU275" s="117">
        <f t="shared" si="576"/>
        <v>0</v>
      </c>
      <c r="EV275" s="117">
        <f t="shared" si="576"/>
        <v>0</v>
      </c>
      <c r="EW275" s="117">
        <f t="shared" si="576"/>
        <v>0</v>
      </c>
      <c r="EX275" s="117">
        <f t="shared" si="576"/>
        <v>0</v>
      </c>
      <c r="EY275" s="117">
        <f t="shared" si="576"/>
        <v>0</v>
      </c>
      <c r="EZ275" s="117">
        <f t="shared" si="576"/>
        <v>0</v>
      </c>
      <c r="FA275" s="117">
        <f t="shared" si="576"/>
        <v>0</v>
      </c>
      <c r="FB275" s="117">
        <f t="shared" si="576"/>
        <v>0</v>
      </c>
      <c r="FC275" s="118"/>
      <c r="FD275" s="117"/>
      <c r="FE275" s="117"/>
      <c r="FF275" s="117"/>
      <c r="FG275" s="117"/>
      <c r="FH275" s="117"/>
      <c r="FI275" s="117"/>
      <c r="FJ275" s="117"/>
      <c r="FK275" s="117" t="e">
        <f t="shared" si="211"/>
        <v>#DIV/0!</v>
      </c>
      <c r="FL275" s="117" t="e">
        <f t="shared" si="212"/>
        <v>#DIV/0!</v>
      </c>
      <c r="FM275" s="117" t="e">
        <f t="shared" si="213"/>
        <v>#DIV/0!</v>
      </c>
      <c r="FN275" s="117" t="e">
        <f t="shared" si="214"/>
        <v>#DIV/0!</v>
      </c>
      <c r="FO275" s="9" t="e">
        <f t="shared" si="215"/>
        <v>#DIV/0!</v>
      </c>
      <c r="FP275" s="118">
        <f t="shared" ref="FP275:GB275" si="577">FP63/FP$211</f>
        <v>1.49250600646834e-5</v>
      </c>
      <c r="FQ275" s="117">
        <f t="shared" si="577"/>
        <v>3.46280800834697e-5</v>
      </c>
      <c r="FR275" s="117">
        <f t="shared" si="577"/>
        <v>1.77086772005568e-5</v>
      </c>
      <c r="FS275" s="117">
        <f t="shared" si="577"/>
        <v>1.94338731288686e-5</v>
      </c>
      <c r="FT275" s="117">
        <f t="shared" si="577"/>
        <v>1.15453137844338e-5</v>
      </c>
      <c r="FU275" s="117">
        <f t="shared" si="577"/>
        <v>0</v>
      </c>
      <c r="FV275" s="117">
        <f t="shared" si="577"/>
        <v>0</v>
      </c>
      <c r="FW275" s="117">
        <f t="shared" si="577"/>
        <v>0</v>
      </c>
      <c r="FX275" s="117">
        <f t="shared" si="577"/>
        <v>0</v>
      </c>
      <c r="FY275" s="117">
        <f t="shared" si="577"/>
        <v>0</v>
      </c>
      <c r="FZ275" s="117">
        <f t="shared" si="577"/>
        <v>0</v>
      </c>
      <c r="GA275" s="117">
        <f t="shared" si="577"/>
        <v>0</v>
      </c>
      <c r="GB275" s="116">
        <f t="shared" si="577"/>
        <v>8.96149924751418e-6</v>
      </c>
    </row>
    <row r="276" spans="1:184">
      <c r="A276" s="147" t="s">
        <v>153</v>
      </c>
      <c r="B276" s="160">
        <f t="shared" si="217"/>
        <v>-0.984685007119292</v>
      </c>
      <c r="C276" s="117">
        <f t="shared" ref="C276:AH276" si="578">C64/C$211</f>
        <v>4.8997617970698e-6</v>
      </c>
      <c r="D276" s="117">
        <f t="shared" si="578"/>
        <v>3.64432559834712e-6</v>
      </c>
      <c r="E276" s="117">
        <f t="shared" si="578"/>
        <v>5.27010293275724e-6</v>
      </c>
      <c r="F276" s="117">
        <f t="shared" si="578"/>
        <v>1.42959823478496e-6</v>
      </c>
      <c r="G276" s="117">
        <f t="shared" si="578"/>
        <v>1.29216585958473e-6</v>
      </c>
      <c r="H276" s="117">
        <f t="shared" si="578"/>
        <v>0</v>
      </c>
      <c r="I276" s="117">
        <f t="shared" si="578"/>
        <v>0</v>
      </c>
      <c r="J276" s="117">
        <f t="shared" si="578"/>
        <v>0</v>
      </c>
      <c r="K276" s="117">
        <f t="shared" si="578"/>
        <v>0</v>
      </c>
      <c r="L276" s="117">
        <f t="shared" si="578"/>
        <v>0</v>
      </c>
      <c r="M276" s="117">
        <f t="shared" si="578"/>
        <v>0</v>
      </c>
      <c r="N276" s="117">
        <f t="shared" si="578"/>
        <v>0</v>
      </c>
      <c r="O276" s="9">
        <f t="shared" si="578"/>
        <v>1.55396810937782e-6</v>
      </c>
      <c r="P276" s="117">
        <f t="shared" si="578"/>
        <v>2.27329097053573e-5</v>
      </c>
      <c r="Q276" s="117">
        <f t="shared" si="578"/>
        <v>1.90400688438577e-5</v>
      </c>
      <c r="R276" s="117">
        <f t="shared" si="578"/>
        <v>2.85034794193558e-5</v>
      </c>
      <c r="S276" s="117">
        <f t="shared" si="578"/>
        <v>0</v>
      </c>
      <c r="T276" s="117">
        <f t="shared" si="578"/>
        <v>5.12453425756606e-6</v>
      </c>
      <c r="U276" s="117">
        <f t="shared" si="578"/>
        <v>0</v>
      </c>
      <c r="V276" s="117">
        <f t="shared" si="578"/>
        <v>0</v>
      </c>
      <c r="W276" s="117">
        <f t="shared" si="578"/>
        <v>0</v>
      </c>
      <c r="X276" s="117">
        <f t="shared" si="578"/>
        <v>0</v>
      </c>
      <c r="Y276" s="117">
        <f t="shared" si="578"/>
        <v>0</v>
      </c>
      <c r="Z276" s="117">
        <f t="shared" si="578"/>
        <v>0</v>
      </c>
      <c r="AA276" s="117">
        <f t="shared" si="578"/>
        <v>0</v>
      </c>
      <c r="AB276" s="9">
        <f t="shared" si="578"/>
        <v>6.84178865197736e-6</v>
      </c>
      <c r="AC276" s="117">
        <f t="shared" si="578"/>
        <v>0</v>
      </c>
      <c r="AD276" s="117">
        <f t="shared" si="578"/>
        <v>0</v>
      </c>
      <c r="AE276" s="117">
        <f t="shared" si="578"/>
        <v>0</v>
      </c>
      <c r="AF276" s="117">
        <f t="shared" si="578"/>
        <v>0</v>
      </c>
      <c r="AG276" s="117">
        <f t="shared" si="578"/>
        <v>0</v>
      </c>
      <c r="AH276" s="117">
        <f t="shared" si="578"/>
        <v>0</v>
      </c>
      <c r="AI276" s="117">
        <f t="shared" ref="AI276:BN276" si="579">AI64/AI$211</f>
        <v>0</v>
      </c>
      <c r="AJ276" s="117">
        <f t="shared" si="579"/>
        <v>0</v>
      </c>
      <c r="AK276" s="117">
        <f t="shared" si="579"/>
        <v>0</v>
      </c>
      <c r="AL276" s="117">
        <f t="shared" si="579"/>
        <v>0</v>
      </c>
      <c r="AM276" s="117">
        <f t="shared" si="579"/>
        <v>0</v>
      </c>
      <c r="AN276" s="117">
        <f t="shared" si="579"/>
        <v>0</v>
      </c>
      <c r="AO276" s="9">
        <f t="shared" si="579"/>
        <v>0</v>
      </c>
      <c r="AP276" s="144">
        <f t="shared" si="579"/>
        <v>0</v>
      </c>
      <c r="AQ276" s="144">
        <f t="shared" si="579"/>
        <v>0</v>
      </c>
      <c r="AR276" s="144">
        <f t="shared" si="579"/>
        <v>2.0155377025007e-6</v>
      </c>
      <c r="AS276" s="144">
        <f t="shared" si="579"/>
        <v>0</v>
      </c>
      <c r="AT276" s="144">
        <f t="shared" si="579"/>
        <v>0</v>
      </c>
      <c r="AU276" s="144">
        <f t="shared" si="579"/>
        <v>0</v>
      </c>
      <c r="AV276" s="144">
        <f t="shared" si="579"/>
        <v>0</v>
      </c>
      <c r="AW276" s="144">
        <f t="shared" si="579"/>
        <v>0</v>
      </c>
      <c r="AX276" s="144">
        <f t="shared" si="579"/>
        <v>0</v>
      </c>
      <c r="AY276" s="144">
        <f t="shared" si="579"/>
        <v>0</v>
      </c>
      <c r="AZ276" s="144">
        <f t="shared" si="579"/>
        <v>0</v>
      </c>
      <c r="BA276" s="144">
        <f t="shared" si="579"/>
        <v>0</v>
      </c>
      <c r="BB276" s="9">
        <f t="shared" si="579"/>
        <v>1.6580393194757e-7</v>
      </c>
      <c r="BC276" s="144">
        <f t="shared" si="579"/>
        <v>5.55732139007445e-6</v>
      </c>
      <c r="BD276" s="144">
        <f t="shared" si="579"/>
        <v>1.39259873422593e-5</v>
      </c>
      <c r="BE276" s="144">
        <f t="shared" si="579"/>
        <v>2.02267304375193e-5</v>
      </c>
      <c r="BF276" s="144">
        <f t="shared" si="579"/>
        <v>1.63749402949278e-5</v>
      </c>
      <c r="BG276" s="144">
        <f t="shared" si="579"/>
        <v>3.46056048072353e-6</v>
      </c>
      <c r="BH276" s="144">
        <f t="shared" si="579"/>
        <v>0</v>
      </c>
      <c r="BI276" s="144">
        <f t="shared" si="579"/>
        <v>0</v>
      </c>
      <c r="BJ276" s="144">
        <f t="shared" si="579"/>
        <v>0</v>
      </c>
      <c r="BK276" s="144">
        <f t="shared" si="579"/>
        <v>0</v>
      </c>
      <c r="BL276" s="144">
        <f t="shared" si="579"/>
        <v>0</v>
      </c>
      <c r="BM276" s="144">
        <f t="shared" si="579"/>
        <v>0</v>
      </c>
      <c r="BN276" s="144">
        <f t="shared" si="579"/>
        <v>0</v>
      </c>
      <c r="BO276" s="9">
        <f t="shared" ref="BO276:CT276" si="580">BO64/BO$211</f>
        <v>4.8399721540888e-6</v>
      </c>
      <c r="BP276" s="144">
        <f t="shared" si="580"/>
        <v>0</v>
      </c>
      <c r="BQ276" s="144">
        <f t="shared" si="580"/>
        <v>0</v>
      </c>
      <c r="BR276" s="144">
        <f t="shared" si="580"/>
        <v>0</v>
      </c>
      <c r="BS276" s="144">
        <f t="shared" si="580"/>
        <v>0</v>
      </c>
      <c r="BT276" s="144">
        <f t="shared" si="580"/>
        <v>0</v>
      </c>
      <c r="BU276" s="144">
        <f t="shared" si="580"/>
        <v>0</v>
      </c>
      <c r="BV276" s="144">
        <f t="shared" si="580"/>
        <v>0</v>
      </c>
      <c r="BW276" s="144">
        <f t="shared" si="580"/>
        <v>0</v>
      </c>
      <c r="BX276" s="144">
        <f t="shared" si="580"/>
        <v>0</v>
      </c>
      <c r="BY276" s="144">
        <f t="shared" si="580"/>
        <v>0</v>
      </c>
      <c r="BZ276" s="144">
        <f t="shared" si="580"/>
        <v>0</v>
      </c>
      <c r="CA276" s="144">
        <f t="shared" si="580"/>
        <v>0</v>
      </c>
      <c r="CB276" s="9">
        <f t="shared" si="580"/>
        <v>0</v>
      </c>
      <c r="CC276" s="144">
        <f t="shared" si="580"/>
        <v>0</v>
      </c>
      <c r="CD276" s="144">
        <f t="shared" si="580"/>
        <v>0</v>
      </c>
      <c r="CE276" s="144">
        <f t="shared" si="580"/>
        <v>0</v>
      </c>
      <c r="CF276" s="144">
        <f t="shared" si="580"/>
        <v>0</v>
      </c>
      <c r="CG276" s="144">
        <f t="shared" si="580"/>
        <v>0</v>
      </c>
      <c r="CH276" s="144">
        <f t="shared" si="580"/>
        <v>0</v>
      </c>
      <c r="CI276" s="144">
        <f t="shared" si="580"/>
        <v>0</v>
      </c>
      <c r="CJ276" s="144">
        <f t="shared" si="580"/>
        <v>0</v>
      </c>
      <c r="CK276" s="144">
        <f t="shared" si="580"/>
        <v>0</v>
      </c>
      <c r="CL276" s="144">
        <f t="shared" si="580"/>
        <v>0</v>
      </c>
      <c r="CM276" s="144">
        <f t="shared" si="580"/>
        <v>0</v>
      </c>
      <c r="CN276" s="144">
        <f t="shared" si="580"/>
        <v>0</v>
      </c>
      <c r="CO276" s="9">
        <f t="shared" si="580"/>
        <v>0</v>
      </c>
      <c r="CP276" s="144">
        <f t="shared" si="580"/>
        <v>0</v>
      </c>
      <c r="CQ276" s="144">
        <f t="shared" si="580"/>
        <v>0</v>
      </c>
      <c r="CR276" s="144">
        <f t="shared" si="580"/>
        <v>0</v>
      </c>
      <c r="CS276" s="144">
        <f t="shared" si="580"/>
        <v>0</v>
      </c>
      <c r="CT276" s="144">
        <f t="shared" si="580"/>
        <v>0</v>
      </c>
      <c r="CU276" s="144">
        <f t="shared" ref="CU276:EB276" si="581">CU64/CU$211</f>
        <v>0</v>
      </c>
      <c r="CV276" s="144">
        <f t="shared" si="581"/>
        <v>0</v>
      </c>
      <c r="CW276" s="144">
        <f t="shared" si="581"/>
        <v>0</v>
      </c>
      <c r="CX276" s="144">
        <f t="shared" si="581"/>
        <v>0</v>
      </c>
      <c r="CY276" s="144">
        <f t="shared" si="581"/>
        <v>0</v>
      </c>
      <c r="CZ276" s="144">
        <f t="shared" si="581"/>
        <v>0</v>
      </c>
      <c r="DA276" s="144">
        <f t="shared" si="581"/>
        <v>0</v>
      </c>
      <c r="DB276" s="9">
        <f t="shared" si="581"/>
        <v>0</v>
      </c>
      <c r="DC276" s="144">
        <f t="shared" si="581"/>
        <v>1.5335566467636e-5</v>
      </c>
      <c r="DD276" s="144">
        <f t="shared" si="581"/>
        <v>0</v>
      </c>
      <c r="DE276" s="144">
        <f t="shared" si="581"/>
        <v>0</v>
      </c>
      <c r="DF276" s="144">
        <f t="shared" si="581"/>
        <v>2.47147790226272e-5</v>
      </c>
      <c r="DG276" s="144">
        <f t="shared" si="581"/>
        <v>2.31826512840422e-5</v>
      </c>
      <c r="DH276" s="144">
        <f t="shared" si="581"/>
        <v>0</v>
      </c>
      <c r="DI276" s="144">
        <f t="shared" si="581"/>
        <v>0</v>
      </c>
      <c r="DJ276" s="144">
        <f t="shared" si="581"/>
        <v>0</v>
      </c>
      <c r="DK276" s="144">
        <f t="shared" si="581"/>
        <v>0</v>
      </c>
      <c r="DL276" s="144">
        <f t="shared" si="581"/>
        <v>0</v>
      </c>
      <c r="DM276" s="144">
        <f t="shared" si="581"/>
        <v>0</v>
      </c>
      <c r="DN276" s="144">
        <f t="shared" si="581"/>
        <v>0</v>
      </c>
      <c r="DO276" s="9">
        <f t="shared" si="581"/>
        <v>5.4629426400893e-6</v>
      </c>
      <c r="DP276" s="144">
        <f t="shared" si="581"/>
        <v>1.73160993974624e-5</v>
      </c>
      <c r="DQ276" s="144">
        <f t="shared" si="581"/>
        <v>2.70951275728521e-6</v>
      </c>
      <c r="DR276" s="144">
        <f t="shared" si="581"/>
        <v>2.86992890857781e-6</v>
      </c>
      <c r="DS276" s="144">
        <f t="shared" si="581"/>
        <v>0</v>
      </c>
      <c r="DT276" s="144">
        <f t="shared" si="581"/>
        <v>0</v>
      </c>
      <c r="DU276" s="144">
        <f t="shared" si="581"/>
        <v>0</v>
      </c>
      <c r="DV276" s="144">
        <f t="shared" si="581"/>
        <v>0</v>
      </c>
      <c r="DW276" s="144">
        <f t="shared" si="581"/>
        <v>0</v>
      </c>
      <c r="DX276" s="144">
        <f t="shared" si="581"/>
        <v>0</v>
      </c>
      <c r="DY276" s="144">
        <f t="shared" si="581"/>
        <v>0</v>
      </c>
      <c r="DZ276" s="144">
        <f t="shared" si="581"/>
        <v>0</v>
      </c>
      <c r="EA276" s="144">
        <f t="shared" si="581"/>
        <v>0</v>
      </c>
      <c r="EB276" s="117">
        <f t="shared" si="581"/>
        <v>2.70369350604999e-6</v>
      </c>
      <c r="EC276" s="118"/>
      <c r="ED276" s="117">
        <f t="shared" ref="ED276:FB276" si="582">ED64/ED$211</f>
        <v>0</v>
      </c>
      <c r="EE276" s="117">
        <f t="shared" si="582"/>
        <v>0</v>
      </c>
      <c r="EF276" s="117">
        <f t="shared" si="582"/>
        <v>0</v>
      </c>
      <c r="EG276" s="117" t="e">
        <f t="shared" si="582"/>
        <v>#DIV/0!</v>
      </c>
      <c r="EH276" s="117" t="e">
        <f t="shared" si="582"/>
        <v>#DIV/0!</v>
      </c>
      <c r="EI276" s="117" t="e">
        <f t="shared" si="582"/>
        <v>#DIV/0!</v>
      </c>
      <c r="EJ276" s="117" t="e">
        <f t="shared" si="582"/>
        <v>#DIV/0!</v>
      </c>
      <c r="EK276" s="117" t="e">
        <f t="shared" si="582"/>
        <v>#DIV/0!</v>
      </c>
      <c r="EL276" s="117" t="e">
        <f t="shared" si="582"/>
        <v>#DIV/0!</v>
      </c>
      <c r="EM276" s="117" t="e">
        <f t="shared" si="582"/>
        <v>#DIV/0!</v>
      </c>
      <c r="EN276" s="117" t="e">
        <f t="shared" si="582"/>
        <v>#DIV/0!</v>
      </c>
      <c r="EO276" s="116">
        <f t="shared" si="582"/>
        <v>0</v>
      </c>
      <c r="EP276" s="117">
        <f t="shared" si="582"/>
        <v>0</v>
      </c>
      <c r="EQ276" s="117">
        <f t="shared" si="582"/>
        <v>0</v>
      </c>
      <c r="ER276" s="117">
        <f t="shared" si="582"/>
        <v>0</v>
      </c>
      <c r="ES276" s="117">
        <f t="shared" si="582"/>
        <v>0</v>
      </c>
      <c r="ET276" s="117">
        <f t="shared" si="582"/>
        <v>0</v>
      </c>
      <c r="EU276" s="117">
        <f t="shared" si="582"/>
        <v>0</v>
      </c>
      <c r="EV276" s="117">
        <f t="shared" si="582"/>
        <v>0</v>
      </c>
      <c r="EW276" s="117">
        <f t="shared" si="582"/>
        <v>0</v>
      </c>
      <c r="EX276" s="117">
        <f t="shared" si="582"/>
        <v>0</v>
      </c>
      <c r="EY276" s="117">
        <f t="shared" si="582"/>
        <v>0</v>
      </c>
      <c r="EZ276" s="117">
        <f t="shared" si="582"/>
        <v>0</v>
      </c>
      <c r="FA276" s="117">
        <f t="shared" si="582"/>
        <v>0</v>
      </c>
      <c r="FB276" s="117">
        <f t="shared" si="582"/>
        <v>0</v>
      </c>
      <c r="FC276" s="118"/>
      <c r="FD276" s="117"/>
      <c r="FE276" s="117"/>
      <c r="FF276" s="117"/>
      <c r="FG276" s="117"/>
      <c r="FH276" s="117"/>
      <c r="FI276" s="117"/>
      <c r="FJ276" s="117"/>
      <c r="FK276" s="117" t="e">
        <f t="shared" si="211"/>
        <v>#DIV/0!</v>
      </c>
      <c r="FL276" s="117" t="e">
        <f t="shared" si="212"/>
        <v>#DIV/0!</v>
      </c>
      <c r="FM276" s="117" t="e">
        <f t="shared" si="213"/>
        <v>#DIV/0!</v>
      </c>
      <c r="FN276" s="117" t="e">
        <f t="shared" si="214"/>
        <v>#DIV/0!</v>
      </c>
      <c r="FO276" s="9" t="e">
        <f t="shared" si="215"/>
        <v>#DIV/0!</v>
      </c>
      <c r="FP276" s="118">
        <f t="shared" ref="FP276:GB276" si="583">FP64/FP$211</f>
        <v>3.94650323957623e-7</v>
      </c>
      <c r="FQ276" s="117">
        <f t="shared" si="583"/>
        <v>4.64061658740048e-7</v>
      </c>
      <c r="FR276" s="117">
        <f t="shared" si="583"/>
        <v>5.75087504407936e-7</v>
      </c>
      <c r="FS276" s="117">
        <f t="shared" si="583"/>
        <v>6.64402055962618e-7</v>
      </c>
      <c r="FT276" s="117">
        <f t="shared" si="583"/>
        <v>9.50761760106983e-7</v>
      </c>
      <c r="FU276" s="117">
        <f t="shared" si="583"/>
        <v>0</v>
      </c>
      <c r="FV276" s="117">
        <f t="shared" si="583"/>
        <v>0</v>
      </c>
      <c r="FW276" s="117">
        <f t="shared" si="583"/>
        <v>0</v>
      </c>
      <c r="FX276" s="117">
        <f t="shared" si="583"/>
        <v>0</v>
      </c>
      <c r="FY276" s="117">
        <f t="shared" si="583"/>
        <v>0</v>
      </c>
      <c r="FZ276" s="117">
        <f t="shared" si="583"/>
        <v>0</v>
      </c>
      <c r="GA276" s="117">
        <f t="shared" si="583"/>
        <v>0</v>
      </c>
      <c r="GB276" s="116">
        <f t="shared" si="583"/>
        <v>2.51067150837779e-7</v>
      </c>
    </row>
    <row r="277" spans="1:184">
      <c r="A277" s="147" t="s">
        <v>155</v>
      </c>
      <c r="B277" s="160">
        <f t="shared" si="217"/>
        <v>-0.960183161732467</v>
      </c>
      <c r="C277" s="117">
        <f t="shared" ref="C277:AH277" si="584">C65/C$211</f>
        <v>8.57877869898724e-6</v>
      </c>
      <c r="D277" s="117">
        <f t="shared" si="584"/>
        <v>1.37046776667902e-5</v>
      </c>
      <c r="E277" s="117">
        <f t="shared" si="584"/>
        <v>3.74289717197035e-6</v>
      </c>
      <c r="F277" s="117">
        <f t="shared" si="584"/>
        <v>0</v>
      </c>
      <c r="G277" s="117">
        <f t="shared" si="584"/>
        <v>0</v>
      </c>
      <c r="H277" s="117">
        <f t="shared" si="584"/>
        <v>0</v>
      </c>
      <c r="I277" s="117">
        <f t="shared" si="584"/>
        <v>0</v>
      </c>
      <c r="J277" s="117">
        <f t="shared" si="584"/>
        <v>0</v>
      </c>
      <c r="K277" s="117">
        <f t="shared" si="584"/>
        <v>0</v>
      </c>
      <c r="L277" s="117">
        <f t="shared" si="584"/>
        <v>0</v>
      </c>
      <c r="M277" s="117">
        <f t="shared" si="584"/>
        <v>0</v>
      </c>
      <c r="N277" s="117">
        <f t="shared" si="584"/>
        <v>0</v>
      </c>
      <c r="O277" s="9">
        <f t="shared" si="584"/>
        <v>2.6268049639051e-6</v>
      </c>
      <c r="P277" s="117">
        <f t="shared" si="584"/>
        <v>0</v>
      </c>
      <c r="Q277" s="117">
        <f t="shared" si="584"/>
        <v>0</v>
      </c>
      <c r="R277" s="117">
        <f t="shared" si="584"/>
        <v>0</v>
      </c>
      <c r="S277" s="117">
        <f t="shared" si="584"/>
        <v>0</v>
      </c>
      <c r="T277" s="117">
        <f t="shared" si="584"/>
        <v>0</v>
      </c>
      <c r="U277" s="117">
        <f t="shared" si="584"/>
        <v>0</v>
      </c>
      <c r="V277" s="117">
        <f t="shared" si="584"/>
        <v>0</v>
      </c>
      <c r="W277" s="117">
        <f t="shared" si="584"/>
        <v>0</v>
      </c>
      <c r="X277" s="117">
        <f t="shared" si="584"/>
        <v>0</v>
      </c>
      <c r="Y277" s="117">
        <f t="shared" si="584"/>
        <v>0</v>
      </c>
      <c r="Z277" s="117">
        <f t="shared" si="584"/>
        <v>0</v>
      </c>
      <c r="AA277" s="117">
        <f t="shared" si="584"/>
        <v>0</v>
      </c>
      <c r="AB277" s="9">
        <f t="shared" si="584"/>
        <v>0</v>
      </c>
      <c r="AC277" s="117">
        <f t="shared" si="584"/>
        <v>0</v>
      </c>
      <c r="AD277" s="117">
        <f t="shared" si="584"/>
        <v>0</v>
      </c>
      <c r="AE277" s="117">
        <f t="shared" si="584"/>
        <v>0</v>
      </c>
      <c r="AF277" s="117">
        <f t="shared" si="584"/>
        <v>0</v>
      </c>
      <c r="AG277" s="117">
        <f t="shared" si="584"/>
        <v>0</v>
      </c>
      <c r="AH277" s="117">
        <f t="shared" si="584"/>
        <v>0</v>
      </c>
      <c r="AI277" s="117">
        <f t="shared" ref="AI277:BN277" si="585">AI65/AI$211</f>
        <v>0</v>
      </c>
      <c r="AJ277" s="117">
        <f t="shared" si="585"/>
        <v>0</v>
      </c>
      <c r="AK277" s="117">
        <f t="shared" si="585"/>
        <v>0</v>
      </c>
      <c r="AL277" s="117">
        <f t="shared" si="585"/>
        <v>0</v>
      </c>
      <c r="AM277" s="117">
        <f t="shared" si="585"/>
        <v>0</v>
      </c>
      <c r="AN277" s="117">
        <f t="shared" si="585"/>
        <v>0</v>
      </c>
      <c r="AO277" s="9">
        <f t="shared" si="585"/>
        <v>0</v>
      </c>
      <c r="AP277" s="144">
        <f t="shared" si="585"/>
        <v>0</v>
      </c>
      <c r="AQ277" s="144">
        <f t="shared" si="585"/>
        <v>0</v>
      </c>
      <c r="AR277" s="144">
        <f t="shared" si="585"/>
        <v>0</v>
      </c>
      <c r="AS277" s="144">
        <f t="shared" si="585"/>
        <v>0</v>
      </c>
      <c r="AT277" s="144">
        <f t="shared" si="585"/>
        <v>0</v>
      </c>
      <c r="AU277" s="144">
        <f t="shared" si="585"/>
        <v>0</v>
      </c>
      <c r="AV277" s="144">
        <f t="shared" si="585"/>
        <v>0</v>
      </c>
      <c r="AW277" s="144">
        <f t="shared" si="585"/>
        <v>0</v>
      </c>
      <c r="AX277" s="144">
        <f t="shared" si="585"/>
        <v>0</v>
      </c>
      <c r="AY277" s="144">
        <f t="shared" si="585"/>
        <v>0</v>
      </c>
      <c r="AZ277" s="144">
        <f t="shared" si="585"/>
        <v>0</v>
      </c>
      <c r="BA277" s="144">
        <f t="shared" si="585"/>
        <v>0</v>
      </c>
      <c r="BB277" s="9">
        <f t="shared" si="585"/>
        <v>0</v>
      </c>
      <c r="BC277" s="144">
        <f t="shared" si="585"/>
        <v>0</v>
      </c>
      <c r="BD277" s="144">
        <f t="shared" si="585"/>
        <v>0</v>
      </c>
      <c r="BE277" s="144">
        <f t="shared" si="585"/>
        <v>0</v>
      </c>
      <c r="BF277" s="144">
        <f t="shared" si="585"/>
        <v>0</v>
      </c>
      <c r="BG277" s="144">
        <f t="shared" si="585"/>
        <v>0</v>
      </c>
      <c r="BH277" s="144">
        <f t="shared" si="585"/>
        <v>0</v>
      </c>
      <c r="BI277" s="144">
        <f t="shared" si="585"/>
        <v>0</v>
      </c>
      <c r="BJ277" s="144">
        <f t="shared" si="585"/>
        <v>0</v>
      </c>
      <c r="BK277" s="144">
        <f t="shared" si="585"/>
        <v>0</v>
      </c>
      <c r="BL277" s="144">
        <f t="shared" si="585"/>
        <v>0</v>
      </c>
      <c r="BM277" s="144">
        <f t="shared" si="585"/>
        <v>0</v>
      </c>
      <c r="BN277" s="144">
        <f t="shared" si="585"/>
        <v>0</v>
      </c>
      <c r="BO277" s="9">
        <f t="shared" ref="BO277:CT277" si="586">BO65/BO$211</f>
        <v>0</v>
      </c>
      <c r="BP277" s="144">
        <f t="shared" si="586"/>
        <v>4.11000714494131e-5</v>
      </c>
      <c r="BQ277" s="144">
        <f t="shared" si="586"/>
        <v>6.30760964570961e-5</v>
      </c>
      <c r="BR277" s="144">
        <f t="shared" si="586"/>
        <v>1.90136357216462e-5</v>
      </c>
      <c r="BS277" s="144">
        <f t="shared" si="586"/>
        <v>0</v>
      </c>
      <c r="BT277" s="144">
        <f t="shared" si="586"/>
        <v>0</v>
      </c>
      <c r="BU277" s="144">
        <f t="shared" si="586"/>
        <v>0</v>
      </c>
      <c r="BV277" s="144">
        <f t="shared" si="586"/>
        <v>0</v>
      </c>
      <c r="BW277" s="144">
        <f t="shared" si="586"/>
        <v>0</v>
      </c>
      <c r="BX277" s="144">
        <f t="shared" si="586"/>
        <v>0</v>
      </c>
      <c r="BY277" s="144">
        <f t="shared" si="586"/>
        <v>0</v>
      </c>
      <c r="BZ277" s="144">
        <f t="shared" si="586"/>
        <v>0</v>
      </c>
      <c r="CA277" s="144">
        <f t="shared" si="586"/>
        <v>0</v>
      </c>
      <c r="CB277" s="9">
        <f t="shared" si="586"/>
        <v>1.426145397477e-5</v>
      </c>
      <c r="CC277" s="144">
        <f t="shared" si="586"/>
        <v>0</v>
      </c>
      <c r="CD277" s="144">
        <f t="shared" si="586"/>
        <v>0</v>
      </c>
      <c r="CE277" s="144">
        <f t="shared" si="586"/>
        <v>0</v>
      </c>
      <c r="CF277" s="144">
        <f t="shared" si="586"/>
        <v>0</v>
      </c>
      <c r="CG277" s="144">
        <f t="shared" si="586"/>
        <v>0</v>
      </c>
      <c r="CH277" s="144">
        <f t="shared" si="586"/>
        <v>0</v>
      </c>
      <c r="CI277" s="144">
        <f t="shared" si="586"/>
        <v>0</v>
      </c>
      <c r="CJ277" s="144">
        <f t="shared" si="586"/>
        <v>0</v>
      </c>
      <c r="CK277" s="144">
        <f t="shared" si="586"/>
        <v>0</v>
      </c>
      <c r="CL277" s="144">
        <f t="shared" si="586"/>
        <v>0</v>
      </c>
      <c r="CM277" s="144">
        <f t="shared" si="586"/>
        <v>0</v>
      </c>
      <c r="CN277" s="144">
        <f t="shared" si="586"/>
        <v>0</v>
      </c>
      <c r="CO277" s="9">
        <f t="shared" si="586"/>
        <v>0</v>
      </c>
      <c r="CP277" s="144">
        <f t="shared" si="586"/>
        <v>0</v>
      </c>
      <c r="CQ277" s="144">
        <f t="shared" si="586"/>
        <v>0</v>
      </c>
      <c r="CR277" s="144">
        <f t="shared" si="586"/>
        <v>0</v>
      </c>
      <c r="CS277" s="144">
        <f t="shared" si="586"/>
        <v>0</v>
      </c>
      <c r="CT277" s="144">
        <f t="shared" si="586"/>
        <v>0</v>
      </c>
      <c r="CU277" s="144">
        <f t="shared" ref="CU277:EB277" si="587">CU65/CU$211</f>
        <v>0</v>
      </c>
      <c r="CV277" s="144">
        <f t="shared" si="587"/>
        <v>0</v>
      </c>
      <c r="CW277" s="144">
        <f t="shared" si="587"/>
        <v>0</v>
      </c>
      <c r="CX277" s="144">
        <f t="shared" si="587"/>
        <v>0</v>
      </c>
      <c r="CY277" s="144">
        <f t="shared" si="587"/>
        <v>0</v>
      </c>
      <c r="CZ277" s="144">
        <f t="shared" si="587"/>
        <v>0</v>
      </c>
      <c r="DA277" s="144">
        <f t="shared" si="587"/>
        <v>0</v>
      </c>
      <c r="DB277" s="9">
        <f t="shared" si="587"/>
        <v>0</v>
      </c>
      <c r="DC277" s="144">
        <f t="shared" si="587"/>
        <v>0</v>
      </c>
      <c r="DD277" s="144">
        <f t="shared" si="587"/>
        <v>0</v>
      </c>
      <c r="DE277" s="144">
        <f t="shared" si="587"/>
        <v>0</v>
      </c>
      <c r="DF277" s="144">
        <f t="shared" si="587"/>
        <v>0</v>
      </c>
      <c r="DG277" s="144">
        <f t="shared" si="587"/>
        <v>0</v>
      </c>
      <c r="DH277" s="144">
        <f t="shared" si="587"/>
        <v>0</v>
      </c>
      <c r="DI277" s="144">
        <f t="shared" si="587"/>
        <v>0</v>
      </c>
      <c r="DJ277" s="144">
        <f t="shared" si="587"/>
        <v>0</v>
      </c>
      <c r="DK277" s="144">
        <f t="shared" si="587"/>
        <v>0</v>
      </c>
      <c r="DL277" s="144">
        <f t="shared" si="587"/>
        <v>0</v>
      </c>
      <c r="DM277" s="144">
        <f t="shared" si="587"/>
        <v>0</v>
      </c>
      <c r="DN277" s="144">
        <f t="shared" si="587"/>
        <v>0</v>
      </c>
      <c r="DO277" s="9">
        <f t="shared" si="587"/>
        <v>0</v>
      </c>
      <c r="DP277" s="144">
        <f t="shared" si="587"/>
        <v>0</v>
      </c>
      <c r="DQ277" s="144">
        <f t="shared" si="587"/>
        <v>0</v>
      </c>
      <c r="DR277" s="144">
        <f t="shared" si="587"/>
        <v>0</v>
      </c>
      <c r="DS277" s="144">
        <f t="shared" si="587"/>
        <v>0</v>
      </c>
      <c r="DT277" s="144">
        <f t="shared" si="587"/>
        <v>0</v>
      </c>
      <c r="DU277" s="144">
        <f t="shared" si="587"/>
        <v>0</v>
      </c>
      <c r="DV277" s="144">
        <f t="shared" si="587"/>
        <v>0</v>
      </c>
      <c r="DW277" s="144">
        <f t="shared" si="587"/>
        <v>0</v>
      </c>
      <c r="DX277" s="144">
        <f t="shared" si="587"/>
        <v>0</v>
      </c>
      <c r="DY277" s="144">
        <f t="shared" si="587"/>
        <v>0</v>
      </c>
      <c r="DZ277" s="144">
        <f t="shared" si="587"/>
        <v>0</v>
      </c>
      <c r="EA277" s="144">
        <f t="shared" si="587"/>
        <v>0</v>
      </c>
      <c r="EB277" s="117">
        <f t="shared" si="587"/>
        <v>0</v>
      </c>
      <c r="EC277" s="118"/>
      <c r="ED277" s="117">
        <f t="shared" ref="ED277:FB277" si="588">ED65/ED$211</f>
        <v>0</v>
      </c>
      <c r="EE277" s="117">
        <f t="shared" si="588"/>
        <v>0</v>
      </c>
      <c r="EF277" s="117">
        <f t="shared" si="588"/>
        <v>0</v>
      </c>
      <c r="EG277" s="117" t="e">
        <f t="shared" si="588"/>
        <v>#DIV/0!</v>
      </c>
      <c r="EH277" s="117" t="e">
        <f t="shared" si="588"/>
        <v>#DIV/0!</v>
      </c>
      <c r="EI277" s="117" t="e">
        <f t="shared" si="588"/>
        <v>#DIV/0!</v>
      </c>
      <c r="EJ277" s="117" t="e">
        <f t="shared" si="588"/>
        <v>#DIV/0!</v>
      </c>
      <c r="EK277" s="117" t="e">
        <f t="shared" si="588"/>
        <v>#DIV/0!</v>
      </c>
      <c r="EL277" s="117" t="e">
        <f t="shared" si="588"/>
        <v>#DIV/0!</v>
      </c>
      <c r="EM277" s="117" t="e">
        <f t="shared" si="588"/>
        <v>#DIV/0!</v>
      </c>
      <c r="EN277" s="117" t="e">
        <f t="shared" si="588"/>
        <v>#DIV/0!</v>
      </c>
      <c r="EO277" s="116">
        <f t="shared" si="588"/>
        <v>0</v>
      </c>
      <c r="EP277" s="117">
        <f t="shared" si="588"/>
        <v>0</v>
      </c>
      <c r="EQ277" s="117">
        <f t="shared" si="588"/>
        <v>0</v>
      </c>
      <c r="ER277" s="117">
        <f t="shared" si="588"/>
        <v>0</v>
      </c>
      <c r="ES277" s="117">
        <f t="shared" si="588"/>
        <v>0</v>
      </c>
      <c r="ET277" s="117">
        <f t="shared" si="588"/>
        <v>0</v>
      </c>
      <c r="EU277" s="117">
        <f t="shared" si="588"/>
        <v>0</v>
      </c>
      <c r="EV277" s="117">
        <f t="shared" si="588"/>
        <v>0</v>
      </c>
      <c r="EW277" s="117">
        <f t="shared" si="588"/>
        <v>0</v>
      </c>
      <c r="EX277" s="117">
        <f t="shared" si="588"/>
        <v>0</v>
      </c>
      <c r="EY277" s="117">
        <f t="shared" si="588"/>
        <v>0</v>
      </c>
      <c r="EZ277" s="117">
        <f t="shared" si="588"/>
        <v>0</v>
      </c>
      <c r="FA277" s="117">
        <f t="shared" si="588"/>
        <v>0</v>
      </c>
      <c r="FB277" s="117">
        <f t="shared" si="588"/>
        <v>0</v>
      </c>
      <c r="FC277" s="118"/>
      <c r="FD277" s="117"/>
      <c r="FE277" s="117"/>
      <c r="FF277" s="117"/>
      <c r="FG277" s="117"/>
      <c r="FH277" s="117"/>
      <c r="FI277" s="117"/>
      <c r="FJ277" s="117"/>
      <c r="FK277" s="117" t="e">
        <f t="shared" si="211"/>
        <v>#DIV/0!</v>
      </c>
      <c r="FL277" s="117" t="e">
        <f t="shared" si="212"/>
        <v>#DIV/0!</v>
      </c>
      <c r="FM277" s="117" t="e">
        <f t="shared" si="213"/>
        <v>#DIV/0!</v>
      </c>
      <c r="FN277" s="117" t="e">
        <f t="shared" si="214"/>
        <v>#DIV/0!</v>
      </c>
      <c r="FO277" s="9" t="e">
        <f t="shared" si="215"/>
        <v>#DIV/0!</v>
      </c>
      <c r="FP277" s="118">
        <f t="shared" ref="FP277:GB277" si="589">FP65/FP$211</f>
        <v>0</v>
      </c>
      <c r="FQ277" s="117">
        <f t="shared" si="589"/>
        <v>0</v>
      </c>
      <c r="FR277" s="117">
        <f t="shared" si="589"/>
        <v>0</v>
      </c>
      <c r="FS277" s="117">
        <f t="shared" si="589"/>
        <v>0</v>
      </c>
      <c r="FT277" s="117">
        <f t="shared" si="589"/>
        <v>0</v>
      </c>
      <c r="FU277" s="117">
        <f t="shared" si="589"/>
        <v>0</v>
      </c>
      <c r="FV277" s="117">
        <f t="shared" si="589"/>
        <v>0</v>
      </c>
      <c r="FW277" s="117">
        <f t="shared" si="589"/>
        <v>0</v>
      </c>
      <c r="FX277" s="117">
        <f t="shared" si="589"/>
        <v>0</v>
      </c>
      <c r="FY277" s="117">
        <f t="shared" si="589"/>
        <v>0</v>
      </c>
      <c r="FZ277" s="117">
        <f t="shared" si="589"/>
        <v>0</v>
      </c>
      <c r="GA277" s="117">
        <f t="shared" si="589"/>
        <v>0</v>
      </c>
      <c r="GB277" s="116">
        <f t="shared" si="589"/>
        <v>0</v>
      </c>
    </row>
    <row r="278" spans="1:184">
      <c r="A278" s="147" t="s">
        <v>157</v>
      </c>
      <c r="B278" s="160">
        <f t="shared" si="217"/>
        <v>-0.991615702176251</v>
      </c>
      <c r="C278" s="117">
        <f t="shared" ref="C278:AH278" si="590">C66/C$211</f>
        <v>1.21027557327245e-7</v>
      </c>
      <c r="D278" s="117">
        <f t="shared" si="590"/>
        <v>3.06511661855142e-6</v>
      </c>
      <c r="E278" s="117">
        <f t="shared" si="590"/>
        <v>6.50635773708938e-7</v>
      </c>
      <c r="F278" s="117">
        <f t="shared" si="590"/>
        <v>1.56568468493188e-7</v>
      </c>
      <c r="G278" s="117">
        <f t="shared" si="590"/>
        <v>0</v>
      </c>
      <c r="H278" s="117">
        <f t="shared" si="590"/>
        <v>0</v>
      </c>
      <c r="I278" s="117">
        <f t="shared" si="590"/>
        <v>0</v>
      </c>
      <c r="J278" s="117">
        <f t="shared" si="590"/>
        <v>0</v>
      </c>
      <c r="K278" s="117">
        <f t="shared" si="590"/>
        <v>0</v>
      </c>
      <c r="L278" s="117">
        <f t="shared" si="590"/>
        <v>0</v>
      </c>
      <c r="M278" s="117">
        <f t="shared" si="590"/>
        <v>0</v>
      </c>
      <c r="N278" s="117">
        <f t="shared" si="590"/>
        <v>0</v>
      </c>
      <c r="O278" s="9">
        <f t="shared" si="590"/>
        <v>3.72127781601158e-7</v>
      </c>
      <c r="P278" s="117">
        <f t="shared" si="590"/>
        <v>0</v>
      </c>
      <c r="Q278" s="117">
        <f t="shared" si="590"/>
        <v>0</v>
      </c>
      <c r="R278" s="117">
        <f t="shared" si="590"/>
        <v>0</v>
      </c>
      <c r="S278" s="117">
        <f t="shared" si="590"/>
        <v>0</v>
      </c>
      <c r="T278" s="117">
        <f t="shared" si="590"/>
        <v>0</v>
      </c>
      <c r="U278" s="117">
        <f t="shared" si="590"/>
        <v>0</v>
      </c>
      <c r="V278" s="117">
        <f t="shared" si="590"/>
        <v>0</v>
      </c>
      <c r="W278" s="117">
        <f t="shared" si="590"/>
        <v>0</v>
      </c>
      <c r="X278" s="117">
        <f t="shared" si="590"/>
        <v>0</v>
      </c>
      <c r="Y278" s="117">
        <f t="shared" si="590"/>
        <v>0</v>
      </c>
      <c r="Z278" s="117">
        <f t="shared" si="590"/>
        <v>0</v>
      </c>
      <c r="AA278" s="117">
        <f t="shared" si="590"/>
        <v>0</v>
      </c>
      <c r="AB278" s="9">
        <f t="shared" si="590"/>
        <v>0</v>
      </c>
      <c r="AC278" s="117">
        <f t="shared" si="590"/>
        <v>0</v>
      </c>
      <c r="AD278" s="117">
        <f t="shared" si="590"/>
        <v>0</v>
      </c>
      <c r="AE278" s="117">
        <f t="shared" si="590"/>
        <v>0</v>
      </c>
      <c r="AF278" s="117">
        <f t="shared" si="590"/>
        <v>0</v>
      </c>
      <c r="AG278" s="117">
        <f t="shared" si="590"/>
        <v>0</v>
      </c>
      <c r="AH278" s="117">
        <f t="shared" si="590"/>
        <v>0</v>
      </c>
      <c r="AI278" s="117">
        <f t="shared" ref="AI278:BN278" si="591">AI66/AI$211</f>
        <v>0</v>
      </c>
      <c r="AJ278" s="117">
        <f t="shared" si="591"/>
        <v>0</v>
      </c>
      <c r="AK278" s="117">
        <f t="shared" si="591"/>
        <v>0</v>
      </c>
      <c r="AL278" s="117">
        <f t="shared" si="591"/>
        <v>0</v>
      </c>
      <c r="AM278" s="117">
        <f t="shared" si="591"/>
        <v>0</v>
      </c>
      <c r="AN278" s="117">
        <f t="shared" si="591"/>
        <v>0</v>
      </c>
      <c r="AO278" s="9">
        <f t="shared" si="591"/>
        <v>0</v>
      </c>
      <c r="AP278" s="144">
        <f t="shared" si="591"/>
        <v>0</v>
      </c>
      <c r="AQ278" s="144">
        <f t="shared" si="591"/>
        <v>0</v>
      </c>
      <c r="AR278" s="144">
        <f t="shared" si="591"/>
        <v>0</v>
      </c>
      <c r="AS278" s="144">
        <f t="shared" si="591"/>
        <v>0</v>
      </c>
      <c r="AT278" s="144">
        <f t="shared" si="591"/>
        <v>0</v>
      </c>
      <c r="AU278" s="144">
        <f t="shared" si="591"/>
        <v>0</v>
      </c>
      <c r="AV278" s="144">
        <f t="shared" si="591"/>
        <v>0</v>
      </c>
      <c r="AW278" s="144">
        <f t="shared" si="591"/>
        <v>0</v>
      </c>
      <c r="AX278" s="144">
        <f t="shared" si="591"/>
        <v>0</v>
      </c>
      <c r="AY278" s="144">
        <f t="shared" si="591"/>
        <v>0</v>
      </c>
      <c r="AZ278" s="144">
        <f t="shared" si="591"/>
        <v>0</v>
      </c>
      <c r="BA278" s="144">
        <f t="shared" si="591"/>
        <v>0</v>
      </c>
      <c r="BB278" s="9">
        <f t="shared" si="591"/>
        <v>0</v>
      </c>
      <c r="BC278" s="144">
        <f t="shared" si="591"/>
        <v>0</v>
      </c>
      <c r="BD278" s="144">
        <f t="shared" si="591"/>
        <v>0</v>
      </c>
      <c r="BE278" s="144">
        <f t="shared" si="591"/>
        <v>0</v>
      </c>
      <c r="BF278" s="144">
        <f t="shared" si="591"/>
        <v>0</v>
      </c>
      <c r="BG278" s="144">
        <f t="shared" si="591"/>
        <v>0</v>
      </c>
      <c r="BH278" s="144">
        <f t="shared" si="591"/>
        <v>0</v>
      </c>
      <c r="BI278" s="144">
        <f t="shared" si="591"/>
        <v>0</v>
      </c>
      <c r="BJ278" s="144">
        <f t="shared" si="591"/>
        <v>0</v>
      </c>
      <c r="BK278" s="144">
        <f t="shared" si="591"/>
        <v>0</v>
      </c>
      <c r="BL278" s="144">
        <f t="shared" si="591"/>
        <v>0</v>
      </c>
      <c r="BM278" s="144">
        <f t="shared" si="591"/>
        <v>0</v>
      </c>
      <c r="BN278" s="144">
        <f t="shared" si="591"/>
        <v>0</v>
      </c>
      <c r="BO278" s="9">
        <f t="shared" ref="BO278:CT278" si="592">BO66/BO$211</f>
        <v>0</v>
      </c>
      <c r="BP278" s="144">
        <f t="shared" si="592"/>
        <v>0</v>
      </c>
      <c r="BQ278" s="144">
        <f t="shared" si="592"/>
        <v>0</v>
      </c>
      <c r="BR278" s="144">
        <f t="shared" si="592"/>
        <v>0</v>
      </c>
      <c r="BS278" s="144">
        <f t="shared" si="592"/>
        <v>0</v>
      </c>
      <c r="BT278" s="144">
        <f t="shared" si="592"/>
        <v>0</v>
      </c>
      <c r="BU278" s="144">
        <f t="shared" si="592"/>
        <v>0</v>
      </c>
      <c r="BV278" s="144">
        <f t="shared" si="592"/>
        <v>0</v>
      </c>
      <c r="BW278" s="144">
        <f t="shared" si="592"/>
        <v>0</v>
      </c>
      <c r="BX278" s="144">
        <f t="shared" si="592"/>
        <v>0</v>
      </c>
      <c r="BY278" s="144">
        <f t="shared" si="592"/>
        <v>0</v>
      </c>
      <c r="BZ278" s="144">
        <f t="shared" si="592"/>
        <v>0</v>
      </c>
      <c r="CA278" s="144">
        <f t="shared" si="592"/>
        <v>0</v>
      </c>
      <c r="CB278" s="9">
        <f t="shared" si="592"/>
        <v>0</v>
      </c>
      <c r="CC278" s="144">
        <f t="shared" si="592"/>
        <v>0</v>
      </c>
      <c r="CD278" s="144">
        <f t="shared" si="592"/>
        <v>0</v>
      </c>
      <c r="CE278" s="144">
        <f t="shared" si="592"/>
        <v>0</v>
      </c>
      <c r="CF278" s="144">
        <f t="shared" si="592"/>
        <v>0</v>
      </c>
      <c r="CG278" s="144">
        <f t="shared" si="592"/>
        <v>0</v>
      </c>
      <c r="CH278" s="144">
        <f t="shared" si="592"/>
        <v>0</v>
      </c>
      <c r="CI278" s="144">
        <f t="shared" si="592"/>
        <v>0</v>
      </c>
      <c r="CJ278" s="144">
        <f t="shared" si="592"/>
        <v>0</v>
      </c>
      <c r="CK278" s="144">
        <f t="shared" si="592"/>
        <v>0</v>
      </c>
      <c r="CL278" s="144">
        <f t="shared" si="592"/>
        <v>0</v>
      </c>
      <c r="CM278" s="144">
        <f t="shared" si="592"/>
        <v>0</v>
      </c>
      <c r="CN278" s="144">
        <f t="shared" si="592"/>
        <v>0</v>
      </c>
      <c r="CO278" s="9">
        <f t="shared" si="592"/>
        <v>0</v>
      </c>
      <c r="CP278" s="144">
        <f t="shared" si="592"/>
        <v>0</v>
      </c>
      <c r="CQ278" s="144">
        <f t="shared" si="592"/>
        <v>0</v>
      </c>
      <c r="CR278" s="144">
        <f t="shared" si="592"/>
        <v>0</v>
      </c>
      <c r="CS278" s="144">
        <f t="shared" si="592"/>
        <v>0</v>
      </c>
      <c r="CT278" s="144">
        <f t="shared" si="592"/>
        <v>0</v>
      </c>
      <c r="CU278" s="144">
        <f t="shared" ref="CU278:EB278" si="593">CU66/CU$211</f>
        <v>0</v>
      </c>
      <c r="CV278" s="144">
        <f t="shared" si="593"/>
        <v>0</v>
      </c>
      <c r="CW278" s="144">
        <f t="shared" si="593"/>
        <v>0</v>
      </c>
      <c r="CX278" s="144">
        <f t="shared" si="593"/>
        <v>0</v>
      </c>
      <c r="CY278" s="144">
        <f t="shared" si="593"/>
        <v>0</v>
      </c>
      <c r="CZ278" s="144">
        <f t="shared" si="593"/>
        <v>0</v>
      </c>
      <c r="DA278" s="144">
        <f t="shared" si="593"/>
        <v>0</v>
      </c>
      <c r="DB278" s="9">
        <f t="shared" si="593"/>
        <v>0</v>
      </c>
      <c r="DC278" s="144">
        <f t="shared" si="593"/>
        <v>0</v>
      </c>
      <c r="DD278" s="144">
        <f t="shared" si="593"/>
        <v>0</v>
      </c>
      <c r="DE278" s="144">
        <f t="shared" si="593"/>
        <v>0</v>
      </c>
      <c r="DF278" s="144">
        <f t="shared" si="593"/>
        <v>1.71891610914228e-5</v>
      </c>
      <c r="DG278" s="144">
        <f t="shared" si="593"/>
        <v>0</v>
      </c>
      <c r="DH278" s="144">
        <f t="shared" si="593"/>
        <v>0</v>
      </c>
      <c r="DI278" s="144">
        <f t="shared" si="593"/>
        <v>0</v>
      </c>
      <c r="DJ278" s="144">
        <f t="shared" si="593"/>
        <v>0</v>
      </c>
      <c r="DK278" s="144">
        <f t="shared" si="593"/>
        <v>0</v>
      </c>
      <c r="DL278" s="144">
        <f t="shared" si="593"/>
        <v>0</v>
      </c>
      <c r="DM278" s="144">
        <f t="shared" si="593"/>
        <v>0</v>
      </c>
      <c r="DN278" s="144">
        <f t="shared" si="593"/>
        <v>0</v>
      </c>
      <c r="DO278" s="9">
        <f t="shared" si="593"/>
        <v>1.2376681911006e-6</v>
      </c>
      <c r="DP278" s="144">
        <f t="shared" si="593"/>
        <v>0</v>
      </c>
      <c r="DQ278" s="144">
        <f t="shared" si="593"/>
        <v>0</v>
      </c>
      <c r="DR278" s="144">
        <f t="shared" si="593"/>
        <v>0</v>
      </c>
      <c r="DS278" s="144">
        <f t="shared" si="593"/>
        <v>0</v>
      </c>
      <c r="DT278" s="144">
        <f t="shared" si="593"/>
        <v>0</v>
      </c>
      <c r="DU278" s="144">
        <f t="shared" si="593"/>
        <v>0</v>
      </c>
      <c r="DV278" s="144">
        <f t="shared" si="593"/>
        <v>0</v>
      </c>
      <c r="DW278" s="144">
        <f t="shared" si="593"/>
        <v>0</v>
      </c>
      <c r="DX278" s="144">
        <f t="shared" si="593"/>
        <v>0</v>
      </c>
      <c r="DY278" s="144">
        <f t="shared" si="593"/>
        <v>0</v>
      </c>
      <c r="DZ278" s="144">
        <f t="shared" si="593"/>
        <v>0</v>
      </c>
      <c r="EA278" s="144">
        <f t="shared" si="593"/>
        <v>0</v>
      </c>
      <c r="EB278" s="117">
        <f t="shared" si="593"/>
        <v>0</v>
      </c>
      <c r="EC278" s="118"/>
      <c r="ED278" s="117">
        <f t="shared" ref="ED278:FB278" si="594">ED66/ED$211</f>
        <v>0</v>
      </c>
      <c r="EE278" s="117">
        <f t="shared" si="594"/>
        <v>0</v>
      </c>
      <c r="EF278" s="117">
        <f t="shared" si="594"/>
        <v>0</v>
      </c>
      <c r="EG278" s="117" t="e">
        <f t="shared" si="594"/>
        <v>#DIV/0!</v>
      </c>
      <c r="EH278" s="117" t="e">
        <f t="shared" si="594"/>
        <v>#DIV/0!</v>
      </c>
      <c r="EI278" s="117" t="e">
        <f t="shared" si="594"/>
        <v>#DIV/0!</v>
      </c>
      <c r="EJ278" s="117" t="e">
        <f t="shared" si="594"/>
        <v>#DIV/0!</v>
      </c>
      <c r="EK278" s="117" t="e">
        <f t="shared" si="594"/>
        <v>#DIV/0!</v>
      </c>
      <c r="EL278" s="117" t="e">
        <f t="shared" si="594"/>
        <v>#DIV/0!</v>
      </c>
      <c r="EM278" s="117" t="e">
        <f t="shared" si="594"/>
        <v>#DIV/0!</v>
      </c>
      <c r="EN278" s="117" t="e">
        <f t="shared" si="594"/>
        <v>#DIV/0!</v>
      </c>
      <c r="EO278" s="116">
        <f t="shared" si="594"/>
        <v>0</v>
      </c>
      <c r="EP278" s="117">
        <f t="shared" si="594"/>
        <v>0</v>
      </c>
      <c r="EQ278" s="117">
        <f t="shared" si="594"/>
        <v>0</v>
      </c>
      <c r="ER278" s="117">
        <f t="shared" si="594"/>
        <v>0</v>
      </c>
      <c r="ES278" s="117">
        <f t="shared" si="594"/>
        <v>0</v>
      </c>
      <c r="ET278" s="117">
        <f t="shared" si="594"/>
        <v>0</v>
      </c>
      <c r="EU278" s="117">
        <f t="shared" si="594"/>
        <v>0</v>
      </c>
      <c r="EV278" s="117">
        <f t="shared" si="594"/>
        <v>0</v>
      </c>
      <c r="EW278" s="117">
        <f t="shared" si="594"/>
        <v>0</v>
      </c>
      <c r="EX278" s="117">
        <f t="shared" si="594"/>
        <v>0</v>
      </c>
      <c r="EY278" s="117">
        <f t="shared" si="594"/>
        <v>0</v>
      </c>
      <c r="EZ278" s="117">
        <f t="shared" si="594"/>
        <v>0</v>
      </c>
      <c r="FA278" s="117">
        <f t="shared" si="594"/>
        <v>0</v>
      </c>
      <c r="FB278" s="117">
        <f t="shared" si="594"/>
        <v>0</v>
      </c>
      <c r="FC278" s="118"/>
      <c r="FD278" s="117"/>
      <c r="FE278" s="117"/>
      <c r="FF278" s="117"/>
      <c r="FG278" s="117"/>
      <c r="FH278" s="117"/>
      <c r="FI278" s="117"/>
      <c r="FJ278" s="117"/>
      <c r="FK278" s="117" t="e">
        <f t="shared" si="211"/>
        <v>#DIV/0!</v>
      </c>
      <c r="FL278" s="117" t="e">
        <f t="shared" si="212"/>
        <v>#DIV/0!</v>
      </c>
      <c r="FM278" s="117" t="e">
        <f t="shared" si="213"/>
        <v>#DIV/0!</v>
      </c>
      <c r="FN278" s="117" t="e">
        <f t="shared" si="214"/>
        <v>#DIV/0!</v>
      </c>
      <c r="FO278" s="9" t="e">
        <f t="shared" si="215"/>
        <v>#DIV/0!</v>
      </c>
      <c r="FP278" s="118">
        <f t="shared" ref="FP278:GB278" si="595">FP66/FP$211</f>
        <v>4.56961108042697e-7</v>
      </c>
      <c r="FQ278" s="117">
        <f t="shared" si="595"/>
        <v>1.26064292199034e-5</v>
      </c>
      <c r="FR278" s="117">
        <f t="shared" si="595"/>
        <v>2.43465585779232e-6</v>
      </c>
      <c r="FS278" s="117">
        <f t="shared" si="595"/>
        <v>0</v>
      </c>
      <c r="FT278" s="117">
        <f t="shared" si="595"/>
        <v>0</v>
      </c>
      <c r="FU278" s="117">
        <f t="shared" si="595"/>
        <v>0</v>
      </c>
      <c r="FV278" s="117">
        <f t="shared" si="595"/>
        <v>0</v>
      </c>
      <c r="FW278" s="117">
        <f t="shared" si="595"/>
        <v>0</v>
      </c>
      <c r="FX278" s="117">
        <f t="shared" si="595"/>
        <v>0</v>
      </c>
      <c r="FY278" s="117">
        <f t="shared" si="595"/>
        <v>0</v>
      </c>
      <c r="FZ278" s="117">
        <f t="shared" si="595"/>
        <v>0</v>
      </c>
      <c r="GA278" s="117">
        <f t="shared" si="595"/>
        <v>0</v>
      </c>
      <c r="GB278" s="116">
        <f t="shared" si="595"/>
        <v>1.49198508962163e-6</v>
      </c>
    </row>
    <row r="279" spans="1:184">
      <c r="A279" s="147" t="s">
        <v>159</v>
      </c>
      <c r="B279" s="160">
        <f t="shared" si="217"/>
        <v>-0.993137643600223</v>
      </c>
      <c r="C279" s="117">
        <f t="shared" ref="C279:AH279" si="596">C67/C$211</f>
        <v>9.2154767610072e-7</v>
      </c>
      <c r="D279" s="117">
        <f t="shared" si="596"/>
        <v>3.10516374491298e-7</v>
      </c>
      <c r="E279" s="117">
        <f t="shared" si="596"/>
        <v>1.07271755446647e-6</v>
      </c>
      <c r="F279" s="117">
        <f t="shared" si="596"/>
        <v>3.91478942855517e-7</v>
      </c>
      <c r="G279" s="117">
        <f t="shared" si="596"/>
        <v>6.72959906107535e-7</v>
      </c>
      <c r="H279" s="117">
        <f t="shared" si="596"/>
        <v>0</v>
      </c>
      <c r="I279" s="117">
        <f t="shared" si="596"/>
        <v>0</v>
      </c>
      <c r="J279" s="117">
        <f t="shared" si="596"/>
        <v>0</v>
      </c>
      <c r="K279" s="117">
        <f t="shared" si="596"/>
        <v>0</v>
      </c>
      <c r="L279" s="117">
        <f t="shared" si="596"/>
        <v>0</v>
      </c>
      <c r="M279" s="117">
        <f t="shared" si="596"/>
        <v>0</v>
      </c>
      <c r="N279" s="117">
        <f t="shared" si="596"/>
        <v>0</v>
      </c>
      <c r="O279" s="9">
        <f t="shared" si="596"/>
        <v>3.00292197526726e-7</v>
      </c>
      <c r="P279" s="117">
        <f t="shared" si="596"/>
        <v>3.33992027594649e-6</v>
      </c>
      <c r="Q279" s="117">
        <f t="shared" si="596"/>
        <v>0</v>
      </c>
      <c r="R279" s="117">
        <f t="shared" si="596"/>
        <v>0</v>
      </c>
      <c r="S279" s="117">
        <f t="shared" si="596"/>
        <v>0</v>
      </c>
      <c r="T279" s="117">
        <f t="shared" si="596"/>
        <v>0</v>
      </c>
      <c r="U279" s="117">
        <f t="shared" si="596"/>
        <v>0</v>
      </c>
      <c r="V279" s="117">
        <f t="shared" si="596"/>
        <v>0</v>
      </c>
      <c r="W279" s="117">
        <f t="shared" si="596"/>
        <v>0</v>
      </c>
      <c r="X279" s="117">
        <f t="shared" si="596"/>
        <v>0</v>
      </c>
      <c r="Y279" s="117">
        <f t="shared" si="596"/>
        <v>0</v>
      </c>
      <c r="Z279" s="117">
        <f t="shared" si="596"/>
        <v>0</v>
      </c>
      <c r="AA279" s="117">
        <f t="shared" si="596"/>
        <v>0</v>
      </c>
      <c r="AB279" s="9">
        <f t="shared" si="596"/>
        <v>3.78889091344219e-7</v>
      </c>
      <c r="AC279" s="117">
        <f t="shared" si="596"/>
        <v>0</v>
      </c>
      <c r="AD279" s="117">
        <f t="shared" si="596"/>
        <v>0</v>
      </c>
      <c r="AE279" s="117">
        <f t="shared" si="596"/>
        <v>0</v>
      </c>
      <c r="AF279" s="117">
        <f t="shared" si="596"/>
        <v>0</v>
      </c>
      <c r="AG279" s="117">
        <f t="shared" si="596"/>
        <v>0</v>
      </c>
      <c r="AH279" s="117">
        <f t="shared" si="596"/>
        <v>0</v>
      </c>
      <c r="AI279" s="117">
        <f t="shared" ref="AI279:BN279" si="597">AI67/AI$211</f>
        <v>0</v>
      </c>
      <c r="AJ279" s="117">
        <f t="shared" si="597"/>
        <v>0</v>
      </c>
      <c r="AK279" s="117">
        <f t="shared" si="597"/>
        <v>0</v>
      </c>
      <c r="AL279" s="117">
        <f t="shared" si="597"/>
        <v>0</v>
      </c>
      <c r="AM279" s="117">
        <f t="shared" si="597"/>
        <v>0</v>
      </c>
      <c r="AN279" s="117">
        <f t="shared" si="597"/>
        <v>0</v>
      </c>
      <c r="AO279" s="9">
        <f t="shared" si="597"/>
        <v>0</v>
      </c>
      <c r="AP279" s="144">
        <f t="shared" si="597"/>
        <v>0</v>
      </c>
      <c r="AQ279" s="144">
        <f t="shared" si="597"/>
        <v>0</v>
      </c>
      <c r="AR279" s="144">
        <f t="shared" si="597"/>
        <v>0</v>
      </c>
      <c r="AS279" s="144">
        <f t="shared" si="597"/>
        <v>0</v>
      </c>
      <c r="AT279" s="144">
        <f t="shared" si="597"/>
        <v>0</v>
      </c>
      <c r="AU279" s="144">
        <f t="shared" si="597"/>
        <v>0</v>
      </c>
      <c r="AV279" s="144">
        <f t="shared" si="597"/>
        <v>0</v>
      </c>
      <c r="AW279" s="144">
        <f t="shared" si="597"/>
        <v>0</v>
      </c>
      <c r="AX279" s="144">
        <f t="shared" si="597"/>
        <v>0</v>
      </c>
      <c r="AY279" s="144">
        <f t="shared" si="597"/>
        <v>0</v>
      </c>
      <c r="AZ279" s="144">
        <f t="shared" si="597"/>
        <v>0</v>
      </c>
      <c r="BA279" s="144">
        <f t="shared" si="597"/>
        <v>0</v>
      </c>
      <c r="BB279" s="9">
        <f t="shared" si="597"/>
        <v>0</v>
      </c>
      <c r="BC279" s="144">
        <f t="shared" si="597"/>
        <v>0</v>
      </c>
      <c r="BD279" s="144">
        <f t="shared" si="597"/>
        <v>0</v>
      </c>
      <c r="BE279" s="144">
        <f t="shared" si="597"/>
        <v>0</v>
      </c>
      <c r="BF279" s="144">
        <f t="shared" si="597"/>
        <v>0</v>
      </c>
      <c r="BG279" s="144">
        <f t="shared" si="597"/>
        <v>0</v>
      </c>
      <c r="BH279" s="144">
        <f t="shared" si="597"/>
        <v>0</v>
      </c>
      <c r="BI279" s="144">
        <f t="shared" si="597"/>
        <v>0</v>
      </c>
      <c r="BJ279" s="144">
        <f t="shared" si="597"/>
        <v>0</v>
      </c>
      <c r="BK279" s="144">
        <f t="shared" si="597"/>
        <v>0</v>
      </c>
      <c r="BL279" s="144">
        <f t="shared" si="597"/>
        <v>0</v>
      </c>
      <c r="BM279" s="144">
        <f t="shared" si="597"/>
        <v>0</v>
      </c>
      <c r="BN279" s="144">
        <f t="shared" si="597"/>
        <v>0</v>
      </c>
      <c r="BO279" s="9">
        <f t="shared" ref="BO279:CT279" si="598">BO67/BO$211</f>
        <v>0</v>
      </c>
      <c r="BP279" s="144">
        <f t="shared" si="598"/>
        <v>0</v>
      </c>
      <c r="BQ279" s="144">
        <f t="shared" si="598"/>
        <v>0</v>
      </c>
      <c r="BR279" s="144">
        <f t="shared" si="598"/>
        <v>0</v>
      </c>
      <c r="BS279" s="144">
        <f t="shared" si="598"/>
        <v>0</v>
      </c>
      <c r="BT279" s="144">
        <f t="shared" si="598"/>
        <v>0</v>
      </c>
      <c r="BU279" s="144">
        <f t="shared" si="598"/>
        <v>0</v>
      </c>
      <c r="BV279" s="144">
        <f t="shared" si="598"/>
        <v>0</v>
      </c>
      <c r="BW279" s="144">
        <f t="shared" si="598"/>
        <v>0</v>
      </c>
      <c r="BX279" s="144">
        <f t="shared" si="598"/>
        <v>0</v>
      </c>
      <c r="BY279" s="144">
        <f t="shared" si="598"/>
        <v>0</v>
      </c>
      <c r="BZ279" s="144">
        <f t="shared" si="598"/>
        <v>0</v>
      </c>
      <c r="CA279" s="144">
        <f t="shared" si="598"/>
        <v>0</v>
      </c>
      <c r="CB279" s="9">
        <f t="shared" si="598"/>
        <v>0</v>
      </c>
      <c r="CC279" s="144">
        <f t="shared" si="598"/>
        <v>0</v>
      </c>
      <c r="CD279" s="144">
        <f t="shared" si="598"/>
        <v>0</v>
      </c>
      <c r="CE279" s="144">
        <f t="shared" si="598"/>
        <v>0</v>
      </c>
      <c r="CF279" s="144">
        <f t="shared" si="598"/>
        <v>0</v>
      </c>
      <c r="CG279" s="144">
        <f t="shared" si="598"/>
        <v>0</v>
      </c>
      <c r="CH279" s="144">
        <f t="shared" si="598"/>
        <v>0</v>
      </c>
      <c r="CI279" s="144">
        <f t="shared" si="598"/>
        <v>0</v>
      </c>
      <c r="CJ279" s="144">
        <f t="shared" si="598"/>
        <v>0</v>
      </c>
      <c r="CK279" s="144">
        <f t="shared" si="598"/>
        <v>0</v>
      </c>
      <c r="CL279" s="144">
        <f t="shared" si="598"/>
        <v>0</v>
      </c>
      <c r="CM279" s="144">
        <f t="shared" si="598"/>
        <v>0</v>
      </c>
      <c r="CN279" s="144">
        <f t="shared" si="598"/>
        <v>0</v>
      </c>
      <c r="CO279" s="9">
        <f t="shared" si="598"/>
        <v>0</v>
      </c>
      <c r="CP279" s="144">
        <f t="shared" si="598"/>
        <v>0</v>
      </c>
      <c r="CQ279" s="144">
        <f t="shared" si="598"/>
        <v>0</v>
      </c>
      <c r="CR279" s="144">
        <f t="shared" si="598"/>
        <v>0</v>
      </c>
      <c r="CS279" s="144">
        <f t="shared" si="598"/>
        <v>0</v>
      </c>
      <c r="CT279" s="144">
        <f t="shared" si="598"/>
        <v>0</v>
      </c>
      <c r="CU279" s="144">
        <f t="shared" ref="CU279:EB279" si="599">CU67/CU$211</f>
        <v>0</v>
      </c>
      <c r="CV279" s="144">
        <f t="shared" si="599"/>
        <v>0</v>
      </c>
      <c r="CW279" s="144">
        <f t="shared" si="599"/>
        <v>0</v>
      </c>
      <c r="CX279" s="144">
        <f t="shared" si="599"/>
        <v>0</v>
      </c>
      <c r="CY279" s="144">
        <f t="shared" si="599"/>
        <v>0</v>
      </c>
      <c r="CZ279" s="144">
        <f t="shared" si="599"/>
        <v>0</v>
      </c>
      <c r="DA279" s="144">
        <f t="shared" si="599"/>
        <v>0</v>
      </c>
      <c r="DB279" s="9">
        <f t="shared" si="599"/>
        <v>0</v>
      </c>
      <c r="DC279" s="144">
        <f t="shared" si="599"/>
        <v>5.33375049508393e-5</v>
      </c>
      <c r="DD279" s="144">
        <f t="shared" si="599"/>
        <v>2.7154771467347e-5</v>
      </c>
      <c r="DE279" s="144">
        <f t="shared" si="599"/>
        <v>5.67051334049557e-5</v>
      </c>
      <c r="DF279" s="144">
        <f t="shared" si="599"/>
        <v>4.29792452938004e-5</v>
      </c>
      <c r="DG279" s="144">
        <f t="shared" si="599"/>
        <v>6.04730729471869e-5</v>
      </c>
      <c r="DH279" s="144">
        <f t="shared" si="599"/>
        <v>0</v>
      </c>
      <c r="DI279" s="144">
        <f t="shared" si="599"/>
        <v>0</v>
      </c>
      <c r="DJ279" s="144">
        <f t="shared" si="599"/>
        <v>0</v>
      </c>
      <c r="DK279" s="144">
        <f t="shared" si="599"/>
        <v>0</v>
      </c>
      <c r="DL279" s="144">
        <f t="shared" si="599"/>
        <v>0</v>
      </c>
      <c r="DM279" s="144">
        <f t="shared" si="599"/>
        <v>0</v>
      </c>
      <c r="DN279" s="144">
        <f t="shared" si="599"/>
        <v>0</v>
      </c>
      <c r="DO279" s="9">
        <f t="shared" si="599"/>
        <v>2.21347850548513e-5</v>
      </c>
      <c r="DP279" s="144">
        <f t="shared" si="599"/>
        <v>0</v>
      </c>
      <c r="DQ279" s="144">
        <f t="shared" si="599"/>
        <v>0</v>
      </c>
      <c r="DR279" s="144">
        <f t="shared" si="599"/>
        <v>7.30542173331393e-6</v>
      </c>
      <c r="DS279" s="144">
        <f t="shared" si="599"/>
        <v>0</v>
      </c>
      <c r="DT279" s="144">
        <f t="shared" si="599"/>
        <v>0</v>
      </c>
      <c r="DU279" s="144">
        <f t="shared" si="599"/>
        <v>0</v>
      </c>
      <c r="DV279" s="144">
        <f t="shared" si="599"/>
        <v>0</v>
      </c>
      <c r="DW279" s="144">
        <f t="shared" si="599"/>
        <v>0</v>
      </c>
      <c r="DX279" s="144">
        <f t="shared" si="599"/>
        <v>0</v>
      </c>
      <c r="DY279" s="144">
        <f t="shared" si="599"/>
        <v>0</v>
      </c>
      <c r="DZ279" s="144">
        <f t="shared" si="599"/>
        <v>0</v>
      </c>
      <c r="EA279" s="144">
        <f t="shared" si="599"/>
        <v>0</v>
      </c>
      <c r="EB279" s="117">
        <f t="shared" si="599"/>
        <v>6.11965502739345e-7</v>
      </c>
      <c r="EC279" s="118"/>
      <c r="ED279" s="117">
        <f t="shared" ref="ED279:FB279" si="600">ED67/ED$211</f>
        <v>0</v>
      </c>
      <c r="EE279" s="117">
        <f t="shared" si="600"/>
        <v>0</v>
      </c>
      <c r="EF279" s="117">
        <f t="shared" si="600"/>
        <v>0</v>
      </c>
      <c r="EG279" s="117" t="e">
        <f t="shared" si="600"/>
        <v>#DIV/0!</v>
      </c>
      <c r="EH279" s="117" t="e">
        <f t="shared" si="600"/>
        <v>#DIV/0!</v>
      </c>
      <c r="EI279" s="117" t="e">
        <f t="shared" si="600"/>
        <v>#DIV/0!</v>
      </c>
      <c r="EJ279" s="117" t="e">
        <f t="shared" si="600"/>
        <v>#DIV/0!</v>
      </c>
      <c r="EK279" s="117" t="e">
        <f t="shared" si="600"/>
        <v>#DIV/0!</v>
      </c>
      <c r="EL279" s="117" t="e">
        <f t="shared" si="600"/>
        <v>#DIV/0!</v>
      </c>
      <c r="EM279" s="117" t="e">
        <f t="shared" si="600"/>
        <v>#DIV/0!</v>
      </c>
      <c r="EN279" s="117" t="e">
        <f t="shared" si="600"/>
        <v>#DIV/0!</v>
      </c>
      <c r="EO279" s="116">
        <f t="shared" si="600"/>
        <v>0</v>
      </c>
      <c r="EP279" s="117">
        <f t="shared" si="600"/>
        <v>0</v>
      </c>
      <c r="EQ279" s="117">
        <f t="shared" si="600"/>
        <v>0</v>
      </c>
      <c r="ER279" s="117">
        <f t="shared" si="600"/>
        <v>0</v>
      </c>
      <c r="ES279" s="117">
        <f t="shared" si="600"/>
        <v>0</v>
      </c>
      <c r="ET279" s="117">
        <f t="shared" si="600"/>
        <v>0</v>
      </c>
      <c r="EU279" s="117">
        <f t="shared" si="600"/>
        <v>0</v>
      </c>
      <c r="EV279" s="117">
        <f t="shared" si="600"/>
        <v>0</v>
      </c>
      <c r="EW279" s="117">
        <f t="shared" si="600"/>
        <v>0</v>
      </c>
      <c r="EX279" s="117">
        <f t="shared" si="600"/>
        <v>0</v>
      </c>
      <c r="EY279" s="117">
        <f t="shared" si="600"/>
        <v>0</v>
      </c>
      <c r="EZ279" s="117">
        <f t="shared" si="600"/>
        <v>0</v>
      </c>
      <c r="FA279" s="117">
        <f t="shared" si="600"/>
        <v>0</v>
      </c>
      <c r="FB279" s="117">
        <f t="shared" si="600"/>
        <v>0</v>
      </c>
      <c r="FC279" s="118"/>
      <c r="FD279" s="117"/>
      <c r="FE279" s="117"/>
      <c r="FF279" s="117"/>
      <c r="FG279" s="117"/>
      <c r="FH279" s="117"/>
      <c r="FI279" s="117"/>
      <c r="FJ279" s="117"/>
      <c r="FK279" s="117" t="e">
        <f t="shared" ref="FK279:FK342" si="601">FK67/FK$211</f>
        <v>#DIV/0!</v>
      </c>
      <c r="FL279" s="117" t="e">
        <f t="shared" ref="FL279:FL342" si="602">FL67/FL$211</f>
        <v>#DIV/0!</v>
      </c>
      <c r="FM279" s="117" t="e">
        <f t="shared" ref="FM279:FM342" si="603">FM67/FM$211</f>
        <v>#DIV/0!</v>
      </c>
      <c r="FN279" s="117" t="e">
        <f t="shared" ref="FN279:FN342" si="604">FN67/FN$211</f>
        <v>#DIV/0!</v>
      </c>
      <c r="FO279" s="9" t="e">
        <f t="shared" ref="FO279:FO342" si="605">FO67/FO$211</f>
        <v>#DIV/0!</v>
      </c>
      <c r="FP279" s="118">
        <f t="shared" ref="FP279:GB279" si="606">FP67/FP$211</f>
        <v>0</v>
      </c>
      <c r="FQ279" s="117">
        <f t="shared" si="606"/>
        <v>0</v>
      </c>
      <c r="FR279" s="117">
        <f t="shared" si="606"/>
        <v>0</v>
      </c>
      <c r="FS279" s="117">
        <f t="shared" si="606"/>
        <v>0</v>
      </c>
      <c r="FT279" s="117">
        <f t="shared" si="606"/>
        <v>0</v>
      </c>
      <c r="FU279" s="117">
        <f t="shared" si="606"/>
        <v>0</v>
      </c>
      <c r="FV279" s="117">
        <f t="shared" si="606"/>
        <v>0</v>
      </c>
      <c r="FW279" s="117">
        <f t="shared" si="606"/>
        <v>0</v>
      </c>
      <c r="FX279" s="117">
        <f t="shared" si="606"/>
        <v>0</v>
      </c>
      <c r="FY279" s="117">
        <f t="shared" si="606"/>
        <v>0</v>
      </c>
      <c r="FZ279" s="117">
        <f t="shared" si="606"/>
        <v>0</v>
      </c>
      <c r="GA279" s="117">
        <f t="shared" si="606"/>
        <v>0</v>
      </c>
      <c r="GB279" s="116">
        <f t="shared" si="606"/>
        <v>0</v>
      </c>
    </row>
    <row r="280" spans="1:184">
      <c r="A280" s="147" t="s">
        <v>161</v>
      </c>
      <c r="B280" s="160">
        <f t="shared" ref="B280:B343" si="607">O68/B68-1</f>
        <v>-0.90967927453292</v>
      </c>
      <c r="C280" s="117">
        <f t="shared" ref="C280:AH280" si="608">C68/C$211</f>
        <v>7.07616739118477e-6</v>
      </c>
      <c r="D280" s="117">
        <f t="shared" si="608"/>
        <v>5.56565814369352e-6</v>
      </c>
      <c r="E280" s="117">
        <f t="shared" si="608"/>
        <v>6.24996387806817e-6</v>
      </c>
      <c r="F280" s="117">
        <f t="shared" si="608"/>
        <v>1.86333703517983e-5</v>
      </c>
      <c r="G280" s="117">
        <f t="shared" si="608"/>
        <v>8.24984008845208e-6</v>
      </c>
      <c r="H280" s="117">
        <f t="shared" si="608"/>
        <v>0</v>
      </c>
      <c r="I280" s="117">
        <f t="shared" si="608"/>
        <v>0</v>
      </c>
      <c r="J280" s="117">
        <f t="shared" si="608"/>
        <v>0</v>
      </c>
      <c r="K280" s="117">
        <f t="shared" si="608"/>
        <v>0</v>
      </c>
      <c r="L280" s="117">
        <f t="shared" si="608"/>
        <v>0</v>
      </c>
      <c r="M280" s="117">
        <f t="shared" si="608"/>
        <v>0</v>
      </c>
      <c r="N280" s="117">
        <f t="shared" si="608"/>
        <v>0</v>
      </c>
      <c r="O280" s="9">
        <f t="shared" si="608"/>
        <v>3.78366851897951e-6</v>
      </c>
      <c r="P280" s="117">
        <f t="shared" si="608"/>
        <v>0</v>
      </c>
      <c r="Q280" s="117">
        <f t="shared" si="608"/>
        <v>0</v>
      </c>
      <c r="R280" s="117">
        <f t="shared" si="608"/>
        <v>0</v>
      </c>
      <c r="S280" s="117">
        <f t="shared" si="608"/>
        <v>0</v>
      </c>
      <c r="T280" s="117">
        <f t="shared" si="608"/>
        <v>0</v>
      </c>
      <c r="U280" s="117">
        <f t="shared" si="608"/>
        <v>0</v>
      </c>
      <c r="V280" s="117">
        <f t="shared" si="608"/>
        <v>0</v>
      </c>
      <c r="W280" s="117">
        <f t="shared" si="608"/>
        <v>0</v>
      </c>
      <c r="X280" s="117">
        <f t="shared" si="608"/>
        <v>0</v>
      </c>
      <c r="Y280" s="117">
        <f t="shared" si="608"/>
        <v>0</v>
      </c>
      <c r="Z280" s="117">
        <f t="shared" si="608"/>
        <v>0</v>
      </c>
      <c r="AA280" s="117">
        <f t="shared" si="608"/>
        <v>0</v>
      </c>
      <c r="AB280" s="9">
        <f t="shared" si="608"/>
        <v>0</v>
      </c>
      <c r="AC280" s="117">
        <f t="shared" si="608"/>
        <v>0</v>
      </c>
      <c r="AD280" s="117">
        <f t="shared" si="608"/>
        <v>0</v>
      </c>
      <c r="AE280" s="117">
        <f t="shared" si="608"/>
        <v>0</v>
      </c>
      <c r="AF280" s="117">
        <f t="shared" si="608"/>
        <v>0</v>
      </c>
      <c r="AG280" s="117">
        <f t="shared" si="608"/>
        <v>0</v>
      </c>
      <c r="AH280" s="117">
        <f t="shared" si="608"/>
        <v>0</v>
      </c>
      <c r="AI280" s="117">
        <f t="shared" ref="AI280:BN280" si="609">AI68/AI$211</f>
        <v>0</v>
      </c>
      <c r="AJ280" s="117">
        <f t="shared" si="609"/>
        <v>0</v>
      </c>
      <c r="AK280" s="117">
        <f t="shared" si="609"/>
        <v>0</v>
      </c>
      <c r="AL280" s="117">
        <f t="shared" si="609"/>
        <v>0</v>
      </c>
      <c r="AM280" s="117">
        <f t="shared" si="609"/>
        <v>0</v>
      </c>
      <c r="AN280" s="117">
        <f t="shared" si="609"/>
        <v>0</v>
      </c>
      <c r="AO280" s="9">
        <f t="shared" si="609"/>
        <v>0</v>
      </c>
      <c r="AP280" s="144">
        <f t="shared" si="609"/>
        <v>0</v>
      </c>
      <c r="AQ280" s="144">
        <f t="shared" si="609"/>
        <v>0</v>
      </c>
      <c r="AR280" s="144">
        <f t="shared" si="609"/>
        <v>0</v>
      </c>
      <c r="AS280" s="144">
        <f t="shared" si="609"/>
        <v>0</v>
      </c>
      <c r="AT280" s="144">
        <f t="shared" si="609"/>
        <v>0</v>
      </c>
      <c r="AU280" s="144">
        <f t="shared" si="609"/>
        <v>0</v>
      </c>
      <c r="AV280" s="144">
        <f t="shared" si="609"/>
        <v>0</v>
      </c>
      <c r="AW280" s="144">
        <f t="shared" si="609"/>
        <v>0</v>
      </c>
      <c r="AX280" s="144">
        <f t="shared" si="609"/>
        <v>0</v>
      </c>
      <c r="AY280" s="144">
        <f t="shared" si="609"/>
        <v>0</v>
      </c>
      <c r="AZ280" s="144">
        <f t="shared" si="609"/>
        <v>0</v>
      </c>
      <c r="BA280" s="144">
        <f t="shared" si="609"/>
        <v>0</v>
      </c>
      <c r="BB280" s="9">
        <f t="shared" si="609"/>
        <v>0</v>
      </c>
      <c r="BC280" s="144">
        <f t="shared" si="609"/>
        <v>0</v>
      </c>
      <c r="BD280" s="144">
        <f t="shared" si="609"/>
        <v>0</v>
      </c>
      <c r="BE280" s="144">
        <f t="shared" si="609"/>
        <v>0</v>
      </c>
      <c r="BF280" s="144">
        <f t="shared" si="609"/>
        <v>0</v>
      </c>
      <c r="BG280" s="144">
        <f t="shared" si="609"/>
        <v>0</v>
      </c>
      <c r="BH280" s="144">
        <f t="shared" si="609"/>
        <v>0</v>
      </c>
      <c r="BI280" s="144">
        <f t="shared" si="609"/>
        <v>0</v>
      </c>
      <c r="BJ280" s="144">
        <f t="shared" si="609"/>
        <v>0</v>
      </c>
      <c r="BK280" s="144">
        <f t="shared" si="609"/>
        <v>0</v>
      </c>
      <c r="BL280" s="144">
        <f t="shared" si="609"/>
        <v>0</v>
      </c>
      <c r="BM280" s="144">
        <f t="shared" si="609"/>
        <v>0</v>
      </c>
      <c r="BN280" s="144">
        <f t="shared" si="609"/>
        <v>0</v>
      </c>
      <c r="BO280" s="9">
        <f t="shared" ref="BO280:CT280" si="610">BO68/BO$211</f>
        <v>0</v>
      </c>
      <c r="BP280" s="144">
        <f t="shared" si="610"/>
        <v>0</v>
      </c>
      <c r="BQ280" s="144">
        <f t="shared" si="610"/>
        <v>0</v>
      </c>
      <c r="BR280" s="144">
        <f t="shared" si="610"/>
        <v>0</v>
      </c>
      <c r="BS280" s="144">
        <f t="shared" si="610"/>
        <v>0</v>
      </c>
      <c r="BT280" s="144">
        <f t="shared" si="610"/>
        <v>0</v>
      </c>
      <c r="BU280" s="144">
        <f t="shared" si="610"/>
        <v>0</v>
      </c>
      <c r="BV280" s="144">
        <f t="shared" si="610"/>
        <v>0</v>
      </c>
      <c r="BW280" s="144">
        <f t="shared" si="610"/>
        <v>0</v>
      </c>
      <c r="BX280" s="144">
        <f t="shared" si="610"/>
        <v>0</v>
      </c>
      <c r="BY280" s="144">
        <f t="shared" si="610"/>
        <v>0</v>
      </c>
      <c r="BZ280" s="144">
        <f t="shared" si="610"/>
        <v>0</v>
      </c>
      <c r="CA280" s="144">
        <f t="shared" si="610"/>
        <v>0</v>
      </c>
      <c r="CB280" s="9">
        <f t="shared" si="610"/>
        <v>0</v>
      </c>
      <c r="CC280" s="144">
        <f t="shared" si="610"/>
        <v>0.000192562985390842</v>
      </c>
      <c r="CD280" s="144">
        <f t="shared" si="610"/>
        <v>0.000372694596306314</v>
      </c>
      <c r="CE280" s="144">
        <f t="shared" si="610"/>
        <v>0.000375763758252414</v>
      </c>
      <c r="CF280" s="144">
        <f t="shared" si="610"/>
        <v>0.000237378448993793</v>
      </c>
      <c r="CG280" s="144">
        <f t="shared" si="610"/>
        <v>0.000151906239974522</v>
      </c>
      <c r="CH280" s="144">
        <f t="shared" si="610"/>
        <v>0</v>
      </c>
      <c r="CI280" s="144">
        <f t="shared" si="610"/>
        <v>0</v>
      </c>
      <c r="CJ280" s="144">
        <f t="shared" si="610"/>
        <v>0</v>
      </c>
      <c r="CK280" s="144">
        <f t="shared" si="610"/>
        <v>0</v>
      </c>
      <c r="CL280" s="144">
        <f t="shared" si="610"/>
        <v>0</v>
      </c>
      <c r="CM280" s="144">
        <f t="shared" si="610"/>
        <v>0</v>
      </c>
      <c r="CN280" s="144">
        <f t="shared" si="610"/>
        <v>0</v>
      </c>
      <c r="CO280" s="9">
        <f t="shared" si="610"/>
        <v>9.6595057334682e-5</v>
      </c>
      <c r="CP280" s="144">
        <f t="shared" si="610"/>
        <v>0</v>
      </c>
      <c r="CQ280" s="144">
        <f t="shared" si="610"/>
        <v>0</v>
      </c>
      <c r="CR280" s="144">
        <f t="shared" si="610"/>
        <v>0</v>
      </c>
      <c r="CS280" s="144">
        <f t="shared" si="610"/>
        <v>0</v>
      </c>
      <c r="CT280" s="144">
        <f t="shared" si="610"/>
        <v>0</v>
      </c>
      <c r="CU280" s="144">
        <f t="shared" ref="CU280:EB280" si="611">CU68/CU$211</f>
        <v>0</v>
      </c>
      <c r="CV280" s="144">
        <f t="shared" si="611"/>
        <v>0</v>
      </c>
      <c r="CW280" s="144">
        <f t="shared" si="611"/>
        <v>0</v>
      </c>
      <c r="CX280" s="144">
        <f t="shared" si="611"/>
        <v>0</v>
      </c>
      <c r="CY280" s="144">
        <f t="shared" si="611"/>
        <v>0</v>
      </c>
      <c r="CZ280" s="144">
        <f t="shared" si="611"/>
        <v>0</v>
      </c>
      <c r="DA280" s="144">
        <f t="shared" si="611"/>
        <v>0</v>
      </c>
      <c r="DB280" s="9">
        <f t="shared" si="611"/>
        <v>0</v>
      </c>
      <c r="DC280" s="144">
        <f t="shared" si="611"/>
        <v>0.000199365105277159</v>
      </c>
      <c r="DD280" s="144">
        <f t="shared" si="611"/>
        <v>6.24610895925122e-5</v>
      </c>
      <c r="DE280" s="144">
        <f t="shared" si="611"/>
        <v>4.34769703413281e-5</v>
      </c>
      <c r="DF280" s="144">
        <f t="shared" si="611"/>
        <v>0.000420151493997413</v>
      </c>
      <c r="DG280" s="144">
        <f t="shared" si="611"/>
        <v>0.00011591621297987</v>
      </c>
      <c r="DH280" s="144">
        <f t="shared" si="611"/>
        <v>0</v>
      </c>
      <c r="DI280" s="144">
        <f t="shared" si="611"/>
        <v>0</v>
      </c>
      <c r="DJ280" s="144">
        <f t="shared" si="611"/>
        <v>0</v>
      </c>
      <c r="DK280" s="144">
        <f t="shared" si="611"/>
        <v>0</v>
      </c>
      <c r="DL280" s="144">
        <f t="shared" si="611"/>
        <v>0</v>
      </c>
      <c r="DM280" s="144">
        <f t="shared" si="611"/>
        <v>0</v>
      </c>
      <c r="DN280" s="144">
        <f t="shared" si="611"/>
        <v>0</v>
      </c>
      <c r="DO280" s="9">
        <f t="shared" si="611"/>
        <v>7.4543295428207e-5</v>
      </c>
      <c r="DP280" s="144">
        <f t="shared" si="611"/>
        <v>0</v>
      </c>
      <c r="DQ280" s="144">
        <f t="shared" si="611"/>
        <v>0</v>
      </c>
      <c r="DR280" s="144">
        <f t="shared" si="611"/>
        <v>0</v>
      </c>
      <c r="DS280" s="144">
        <f t="shared" si="611"/>
        <v>0</v>
      </c>
      <c r="DT280" s="144">
        <f t="shared" si="611"/>
        <v>0</v>
      </c>
      <c r="DU280" s="144">
        <f t="shared" si="611"/>
        <v>0</v>
      </c>
      <c r="DV280" s="144">
        <f t="shared" si="611"/>
        <v>0</v>
      </c>
      <c r="DW280" s="144">
        <f t="shared" si="611"/>
        <v>0</v>
      </c>
      <c r="DX280" s="144">
        <f t="shared" si="611"/>
        <v>0</v>
      </c>
      <c r="DY280" s="144">
        <f t="shared" si="611"/>
        <v>0</v>
      </c>
      <c r="DZ280" s="144">
        <f t="shared" si="611"/>
        <v>0</v>
      </c>
      <c r="EA280" s="144">
        <f t="shared" si="611"/>
        <v>0</v>
      </c>
      <c r="EB280" s="117">
        <f t="shared" si="611"/>
        <v>0</v>
      </c>
      <c r="EC280" s="118"/>
      <c r="ED280" s="117">
        <f t="shared" ref="ED280:FB280" si="612">ED68/ED$211</f>
        <v>0</v>
      </c>
      <c r="EE280" s="117">
        <f t="shared" si="612"/>
        <v>0</v>
      </c>
      <c r="EF280" s="117">
        <f t="shared" si="612"/>
        <v>0</v>
      </c>
      <c r="EG280" s="117" t="e">
        <f t="shared" si="612"/>
        <v>#DIV/0!</v>
      </c>
      <c r="EH280" s="117" t="e">
        <f t="shared" si="612"/>
        <v>#DIV/0!</v>
      </c>
      <c r="EI280" s="117" t="e">
        <f t="shared" si="612"/>
        <v>#DIV/0!</v>
      </c>
      <c r="EJ280" s="117" t="e">
        <f t="shared" si="612"/>
        <v>#DIV/0!</v>
      </c>
      <c r="EK280" s="117" t="e">
        <f t="shared" si="612"/>
        <v>#DIV/0!</v>
      </c>
      <c r="EL280" s="117" t="e">
        <f t="shared" si="612"/>
        <v>#DIV/0!</v>
      </c>
      <c r="EM280" s="117" t="e">
        <f t="shared" si="612"/>
        <v>#DIV/0!</v>
      </c>
      <c r="EN280" s="117" t="e">
        <f t="shared" si="612"/>
        <v>#DIV/0!</v>
      </c>
      <c r="EO280" s="116">
        <f t="shared" si="612"/>
        <v>0</v>
      </c>
      <c r="EP280" s="117">
        <f t="shared" si="612"/>
        <v>0</v>
      </c>
      <c r="EQ280" s="117">
        <f t="shared" si="612"/>
        <v>0</v>
      </c>
      <c r="ER280" s="117">
        <f t="shared" si="612"/>
        <v>0</v>
      </c>
      <c r="ES280" s="117">
        <f t="shared" si="612"/>
        <v>0</v>
      </c>
      <c r="ET280" s="117">
        <f t="shared" si="612"/>
        <v>0</v>
      </c>
      <c r="EU280" s="117">
        <f t="shared" si="612"/>
        <v>0</v>
      </c>
      <c r="EV280" s="117">
        <f t="shared" si="612"/>
        <v>0</v>
      </c>
      <c r="EW280" s="117">
        <f t="shared" si="612"/>
        <v>0</v>
      </c>
      <c r="EX280" s="117">
        <f t="shared" si="612"/>
        <v>0</v>
      </c>
      <c r="EY280" s="117">
        <f t="shared" si="612"/>
        <v>0</v>
      </c>
      <c r="EZ280" s="117">
        <f t="shared" si="612"/>
        <v>0</v>
      </c>
      <c r="FA280" s="117">
        <f t="shared" si="612"/>
        <v>0</v>
      </c>
      <c r="FB280" s="117">
        <f t="shared" si="612"/>
        <v>0</v>
      </c>
      <c r="FC280" s="118"/>
      <c r="FD280" s="117"/>
      <c r="FE280" s="117"/>
      <c r="FF280" s="117"/>
      <c r="FG280" s="117"/>
      <c r="FH280" s="117"/>
      <c r="FI280" s="117"/>
      <c r="FJ280" s="117"/>
      <c r="FK280" s="117" t="e">
        <f t="shared" si="601"/>
        <v>#DIV/0!</v>
      </c>
      <c r="FL280" s="117" t="e">
        <f t="shared" si="602"/>
        <v>#DIV/0!</v>
      </c>
      <c r="FM280" s="117" t="e">
        <f t="shared" si="603"/>
        <v>#DIV/0!</v>
      </c>
      <c r="FN280" s="117" t="e">
        <f t="shared" si="604"/>
        <v>#DIV/0!</v>
      </c>
      <c r="FO280" s="9" t="e">
        <f t="shared" si="605"/>
        <v>#DIV/0!</v>
      </c>
      <c r="FP280" s="118">
        <f t="shared" ref="FP280:GB280" si="613">FP68/FP$211</f>
        <v>3.39927935538924e-6</v>
      </c>
      <c r="FQ280" s="117">
        <f t="shared" si="613"/>
        <v>3.87458711382946e-6</v>
      </c>
      <c r="FR280" s="117">
        <f t="shared" si="613"/>
        <v>1.92199031979192e-6</v>
      </c>
      <c r="FS280" s="117">
        <f t="shared" si="613"/>
        <v>3.51053272981236e-5</v>
      </c>
      <c r="FT280" s="117">
        <f t="shared" si="613"/>
        <v>1.31392496915248e-5</v>
      </c>
      <c r="FU280" s="117">
        <f t="shared" si="613"/>
        <v>0</v>
      </c>
      <c r="FV280" s="117">
        <f t="shared" si="613"/>
        <v>0</v>
      </c>
      <c r="FW280" s="117">
        <f t="shared" si="613"/>
        <v>0</v>
      </c>
      <c r="FX280" s="117">
        <f t="shared" si="613"/>
        <v>0</v>
      </c>
      <c r="FY280" s="117">
        <f t="shared" si="613"/>
        <v>0</v>
      </c>
      <c r="FZ280" s="117">
        <f t="shared" si="613"/>
        <v>0</v>
      </c>
      <c r="GA280" s="117">
        <f t="shared" si="613"/>
        <v>0</v>
      </c>
      <c r="GB280" s="116">
        <f t="shared" si="613"/>
        <v>4.30905454857522e-6</v>
      </c>
    </row>
    <row r="281" spans="1:184">
      <c r="A281" s="147" t="s">
        <v>163</v>
      </c>
      <c r="B281" s="160">
        <f t="shared" si="607"/>
        <v>-0.934046055660884</v>
      </c>
      <c r="C281" s="117">
        <f t="shared" ref="C281:AH281" si="614">C69/C$211</f>
        <v>7.30713836294328e-6</v>
      </c>
      <c r="D281" s="117">
        <f t="shared" si="614"/>
        <v>3.64255661413871e-6</v>
      </c>
      <c r="E281" s="117">
        <f t="shared" si="614"/>
        <v>8.00838404319238e-6</v>
      </c>
      <c r="F281" s="117">
        <f t="shared" si="614"/>
        <v>3.92801344090128e-6</v>
      </c>
      <c r="G281" s="117">
        <f t="shared" si="614"/>
        <v>4.80368941882037e-6</v>
      </c>
      <c r="H281" s="117">
        <f t="shared" si="614"/>
        <v>0</v>
      </c>
      <c r="I281" s="117">
        <f t="shared" si="614"/>
        <v>0</v>
      </c>
      <c r="J281" s="117">
        <f t="shared" si="614"/>
        <v>0</v>
      </c>
      <c r="K281" s="117">
        <f t="shared" si="614"/>
        <v>0</v>
      </c>
      <c r="L281" s="117">
        <f t="shared" si="614"/>
        <v>0</v>
      </c>
      <c r="M281" s="117">
        <f t="shared" si="614"/>
        <v>0</v>
      </c>
      <c r="N281" s="117">
        <f t="shared" si="614"/>
        <v>0</v>
      </c>
      <c r="O281" s="9">
        <f t="shared" si="614"/>
        <v>2.47727672297475e-6</v>
      </c>
      <c r="P281" s="117">
        <f t="shared" si="614"/>
        <v>9.89606007687849e-7</v>
      </c>
      <c r="Q281" s="117">
        <f t="shared" si="614"/>
        <v>2.53865657534568e-6</v>
      </c>
      <c r="R281" s="117">
        <f t="shared" si="614"/>
        <v>0</v>
      </c>
      <c r="S281" s="117">
        <f t="shared" si="614"/>
        <v>0</v>
      </c>
      <c r="T281" s="117">
        <f t="shared" si="614"/>
        <v>0</v>
      </c>
      <c r="U281" s="117">
        <f t="shared" si="614"/>
        <v>0</v>
      </c>
      <c r="V281" s="117">
        <f t="shared" si="614"/>
        <v>0</v>
      </c>
      <c r="W281" s="117">
        <f t="shared" si="614"/>
        <v>0</v>
      </c>
      <c r="X281" s="117">
        <f t="shared" si="614"/>
        <v>0</v>
      </c>
      <c r="Y281" s="117">
        <f t="shared" si="614"/>
        <v>0</v>
      </c>
      <c r="Z281" s="117">
        <f t="shared" si="614"/>
        <v>0</v>
      </c>
      <c r="AA281" s="117">
        <f t="shared" si="614"/>
        <v>0</v>
      </c>
      <c r="AB281" s="9">
        <f t="shared" si="614"/>
        <v>3.31704684499688e-7</v>
      </c>
      <c r="AC281" s="117">
        <f t="shared" si="614"/>
        <v>0</v>
      </c>
      <c r="AD281" s="117">
        <f t="shared" si="614"/>
        <v>0</v>
      </c>
      <c r="AE281" s="117">
        <f t="shared" si="614"/>
        <v>0</v>
      </c>
      <c r="AF281" s="117">
        <f t="shared" si="614"/>
        <v>0</v>
      </c>
      <c r="AG281" s="117">
        <f t="shared" si="614"/>
        <v>0</v>
      </c>
      <c r="AH281" s="117">
        <f t="shared" si="614"/>
        <v>0</v>
      </c>
      <c r="AI281" s="117">
        <f t="shared" ref="AI281:BN281" si="615">AI69/AI$211</f>
        <v>0</v>
      </c>
      <c r="AJ281" s="117">
        <f t="shared" si="615"/>
        <v>0</v>
      </c>
      <c r="AK281" s="117">
        <f t="shared" si="615"/>
        <v>0</v>
      </c>
      <c r="AL281" s="117">
        <f t="shared" si="615"/>
        <v>0</v>
      </c>
      <c r="AM281" s="117">
        <f t="shared" si="615"/>
        <v>0</v>
      </c>
      <c r="AN281" s="117">
        <f t="shared" si="615"/>
        <v>0</v>
      </c>
      <c r="AO281" s="9">
        <f t="shared" si="615"/>
        <v>0</v>
      </c>
      <c r="AP281" s="144">
        <f t="shared" si="615"/>
        <v>0</v>
      </c>
      <c r="AQ281" s="144">
        <f t="shared" si="615"/>
        <v>0</v>
      </c>
      <c r="AR281" s="144">
        <f t="shared" si="615"/>
        <v>0</v>
      </c>
      <c r="AS281" s="144">
        <f t="shared" si="615"/>
        <v>0</v>
      </c>
      <c r="AT281" s="144">
        <f t="shared" si="615"/>
        <v>0</v>
      </c>
      <c r="AU281" s="144">
        <f t="shared" si="615"/>
        <v>0</v>
      </c>
      <c r="AV281" s="144">
        <f t="shared" si="615"/>
        <v>0</v>
      </c>
      <c r="AW281" s="144">
        <f t="shared" si="615"/>
        <v>0</v>
      </c>
      <c r="AX281" s="144">
        <f t="shared" si="615"/>
        <v>0</v>
      </c>
      <c r="AY281" s="144">
        <f t="shared" si="615"/>
        <v>0</v>
      </c>
      <c r="AZ281" s="144">
        <f t="shared" si="615"/>
        <v>0</v>
      </c>
      <c r="BA281" s="144">
        <f t="shared" si="615"/>
        <v>0</v>
      </c>
      <c r="BB281" s="9">
        <f t="shared" si="615"/>
        <v>0</v>
      </c>
      <c r="BC281" s="144">
        <f t="shared" si="615"/>
        <v>0</v>
      </c>
      <c r="BD281" s="144">
        <f t="shared" si="615"/>
        <v>0</v>
      </c>
      <c r="BE281" s="144">
        <f t="shared" si="615"/>
        <v>0</v>
      </c>
      <c r="BF281" s="144">
        <f t="shared" si="615"/>
        <v>0</v>
      </c>
      <c r="BG281" s="144">
        <f t="shared" si="615"/>
        <v>0</v>
      </c>
      <c r="BH281" s="144">
        <f t="shared" si="615"/>
        <v>0</v>
      </c>
      <c r="BI281" s="144">
        <f t="shared" si="615"/>
        <v>0</v>
      </c>
      <c r="BJ281" s="144">
        <f t="shared" si="615"/>
        <v>0</v>
      </c>
      <c r="BK281" s="144">
        <f t="shared" si="615"/>
        <v>0</v>
      </c>
      <c r="BL281" s="144">
        <f t="shared" si="615"/>
        <v>0</v>
      </c>
      <c r="BM281" s="144">
        <f t="shared" si="615"/>
        <v>0</v>
      </c>
      <c r="BN281" s="144">
        <f t="shared" si="615"/>
        <v>0</v>
      </c>
      <c r="BO281" s="9">
        <f t="shared" ref="BO281:CT281" si="616">BO69/BO$211</f>
        <v>0</v>
      </c>
      <c r="BP281" s="144">
        <f t="shared" si="616"/>
        <v>7.3612096297812e-6</v>
      </c>
      <c r="BQ281" s="144">
        <f t="shared" si="616"/>
        <v>0</v>
      </c>
      <c r="BR281" s="144">
        <f t="shared" si="616"/>
        <v>0</v>
      </c>
      <c r="BS281" s="144">
        <f t="shared" si="616"/>
        <v>0</v>
      </c>
      <c r="BT281" s="144">
        <f t="shared" si="616"/>
        <v>0</v>
      </c>
      <c r="BU281" s="144">
        <f t="shared" si="616"/>
        <v>0</v>
      </c>
      <c r="BV281" s="144">
        <f t="shared" si="616"/>
        <v>0</v>
      </c>
      <c r="BW281" s="144">
        <f t="shared" si="616"/>
        <v>0</v>
      </c>
      <c r="BX281" s="144">
        <f t="shared" si="616"/>
        <v>0</v>
      </c>
      <c r="BY281" s="144">
        <f t="shared" si="616"/>
        <v>0</v>
      </c>
      <c r="BZ281" s="144">
        <f t="shared" si="616"/>
        <v>0</v>
      </c>
      <c r="CA281" s="144">
        <f t="shared" si="616"/>
        <v>0</v>
      </c>
      <c r="CB281" s="9">
        <f t="shared" si="616"/>
        <v>9.79724157484582e-7</v>
      </c>
      <c r="CC281" s="144">
        <f t="shared" si="616"/>
        <v>0.000228970336189678</v>
      </c>
      <c r="CD281" s="144">
        <f t="shared" si="616"/>
        <v>0.000319430671871674</v>
      </c>
      <c r="CE281" s="144">
        <f t="shared" si="616"/>
        <v>0.000475209348237712</v>
      </c>
      <c r="CF281" s="144">
        <f t="shared" si="616"/>
        <v>0.000122061220898761</v>
      </c>
      <c r="CG281" s="144">
        <f t="shared" si="616"/>
        <v>0.000173576235578354</v>
      </c>
      <c r="CH281" s="144">
        <f t="shared" si="616"/>
        <v>0</v>
      </c>
      <c r="CI281" s="144">
        <f t="shared" si="616"/>
        <v>0</v>
      </c>
      <c r="CJ281" s="144">
        <f t="shared" si="616"/>
        <v>0</v>
      </c>
      <c r="CK281" s="144">
        <f t="shared" si="616"/>
        <v>0</v>
      </c>
      <c r="CL281" s="144">
        <f t="shared" si="616"/>
        <v>0</v>
      </c>
      <c r="CM281" s="144">
        <f t="shared" si="616"/>
        <v>0</v>
      </c>
      <c r="CN281" s="144">
        <f t="shared" si="616"/>
        <v>0</v>
      </c>
      <c r="CO281" s="9">
        <f t="shared" si="616"/>
        <v>9.55071277238932e-5</v>
      </c>
      <c r="CP281" s="144">
        <f t="shared" si="616"/>
        <v>0</v>
      </c>
      <c r="CQ281" s="144">
        <f t="shared" si="616"/>
        <v>0</v>
      </c>
      <c r="CR281" s="144">
        <f t="shared" si="616"/>
        <v>0</v>
      </c>
      <c r="CS281" s="144">
        <f t="shared" si="616"/>
        <v>0</v>
      </c>
      <c r="CT281" s="144">
        <f t="shared" si="616"/>
        <v>0</v>
      </c>
      <c r="CU281" s="144">
        <f t="shared" ref="CU281:EB281" si="617">CU69/CU$211</f>
        <v>0</v>
      </c>
      <c r="CV281" s="144">
        <f t="shared" si="617"/>
        <v>0</v>
      </c>
      <c r="CW281" s="144">
        <f t="shared" si="617"/>
        <v>0</v>
      </c>
      <c r="CX281" s="144">
        <f t="shared" si="617"/>
        <v>0</v>
      </c>
      <c r="CY281" s="144">
        <f t="shared" si="617"/>
        <v>0</v>
      </c>
      <c r="CZ281" s="144">
        <f t="shared" si="617"/>
        <v>0</v>
      </c>
      <c r="DA281" s="144">
        <f t="shared" si="617"/>
        <v>0</v>
      </c>
      <c r="DB281" s="9">
        <f t="shared" si="617"/>
        <v>0</v>
      </c>
      <c r="DC281" s="144">
        <f t="shared" si="617"/>
        <v>0</v>
      </c>
      <c r="DD281" s="144">
        <f t="shared" si="617"/>
        <v>0</v>
      </c>
      <c r="DE281" s="144">
        <f t="shared" si="617"/>
        <v>0</v>
      </c>
      <c r="DF281" s="144">
        <f t="shared" si="617"/>
        <v>0</v>
      </c>
      <c r="DG281" s="144">
        <f t="shared" si="617"/>
        <v>0</v>
      </c>
      <c r="DH281" s="144">
        <f t="shared" si="617"/>
        <v>0</v>
      </c>
      <c r="DI281" s="144">
        <f t="shared" si="617"/>
        <v>0</v>
      </c>
      <c r="DJ281" s="144">
        <f t="shared" si="617"/>
        <v>0</v>
      </c>
      <c r="DK281" s="144">
        <f t="shared" si="617"/>
        <v>0</v>
      </c>
      <c r="DL281" s="144">
        <f t="shared" si="617"/>
        <v>0</v>
      </c>
      <c r="DM281" s="144">
        <f t="shared" si="617"/>
        <v>0</v>
      </c>
      <c r="DN281" s="144">
        <f t="shared" si="617"/>
        <v>0</v>
      </c>
      <c r="DO281" s="9">
        <f t="shared" si="617"/>
        <v>0</v>
      </c>
      <c r="DP281" s="144">
        <f t="shared" si="617"/>
        <v>0</v>
      </c>
      <c r="DQ281" s="144">
        <f t="shared" si="617"/>
        <v>0</v>
      </c>
      <c r="DR281" s="144">
        <f t="shared" si="617"/>
        <v>0</v>
      </c>
      <c r="DS281" s="144">
        <f t="shared" si="617"/>
        <v>5.48396876529626e-6</v>
      </c>
      <c r="DT281" s="144">
        <f t="shared" si="617"/>
        <v>0</v>
      </c>
      <c r="DU281" s="144">
        <f t="shared" si="617"/>
        <v>0</v>
      </c>
      <c r="DV281" s="144">
        <f t="shared" si="617"/>
        <v>0</v>
      </c>
      <c r="DW281" s="144">
        <f t="shared" si="617"/>
        <v>0</v>
      </c>
      <c r="DX281" s="144">
        <f t="shared" si="617"/>
        <v>0</v>
      </c>
      <c r="DY281" s="144">
        <f t="shared" si="617"/>
        <v>0</v>
      </c>
      <c r="DZ281" s="144">
        <f t="shared" si="617"/>
        <v>0</v>
      </c>
      <c r="EA281" s="144">
        <f t="shared" si="617"/>
        <v>0</v>
      </c>
      <c r="EB281" s="117">
        <f t="shared" si="617"/>
        <v>4.9375468988585e-7</v>
      </c>
      <c r="EC281" s="118"/>
      <c r="ED281" s="117">
        <f t="shared" ref="ED281:FB281" si="618">ED69/ED$211</f>
        <v>0</v>
      </c>
      <c r="EE281" s="117">
        <f t="shared" si="618"/>
        <v>0</v>
      </c>
      <c r="EF281" s="117">
        <f t="shared" si="618"/>
        <v>0</v>
      </c>
      <c r="EG281" s="117" t="e">
        <f t="shared" si="618"/>
        <v>#DIV/0!</v>
      </c>
      <c r="EH281" s="117" t="e">
        <f t="shared" si="618"/>
        <v>#DIV/0!</v>
      </c>
      <c r="EI281" s="117" t="e">
        <f t="shared" si="618"/>
        <v>#DIV/0!</v>
      </c>
      <c r="EJ281" s="117" t="e">
        <f t="shared" si="618"/>
        <v>#DIV/0!</v>
      </c>
      <c r="EK281" s="117" t="e">
        <f t="shared" si="618"/>
        <v>#DIV/0!</v>
      </c>
      <c r="EL281" s="117" t="e">
        <f t="shared" si="618"/>
        <v>#DIV/0!</v>
      </c>
      <c r="EM281" s="117" t="e">
        <f t="shared" si="618"/>
        <v>#DIV/0!</v>
      </c>
      <c r="EN281" s="117" t="e">
        <f t="shared" si="618"/>
        <v>#DIV/0!</v>
      </c>
      <c r="EO281" s="116">
        <f t="shared" si="618"/>
        <v>0</v>
      </c>
      <c r="EP281" s="117">
        <f t="shared" si="618"/>
        <v>0</v>
      </c>
      <c r="EQ281" s="117">
        <f t="shared" si="618"/>
        <v>0</v>
      </c>
      <c r="ER281" s="117">
        <f t="shared" si="618"/>
        <v>0</v>
      </c>
      <c r="ES281" s="117">
        <f t="shared" si="618"/>
        <v>0</v>
      </c>
      <c r="ET281" s="117">
        <f t="shared" si="618"/>
        <v>0</v>
      </c>
      <c r="EU281" s="117">
        <f t="shared" si="618"/>
        <v>0</v>
      </c>
      <c r="EV281" s="117">
        <f t="shared" si="618"/>
        <v>0</v>
      </c>
      <c r="EW281" s="117">
        <f t="shared" si="618"/>
        <v>0</v>
      </c>
      <c r="EX281" s="117">
        <f t="shared" si="618"/>
        <v>0</v>
      </c>
      <c r="EY281" s="117">
        <f t="shared" si="618"/>
        <v>0</v>
      </c>
      <c r="EZ281" s="117">
        <f t="shared" si="618"/>
        <v>0</v>
      </c>
      <c r="FA281" s="117">
        <f t="shared" si="618"/>
        <v>0</v>
      </c>
      <c r="FB281" s="117">
        <f t="shared" si="618"/>
        <v>0</v>
      </c>
      <c r="FC281" s="118"/>
      <c r="FD281" s="117"/>
      <c r="FE281" s="117"/>
      <c r="FF281" s="117"/>
      <c r="FG281" s="117"/>
      <c r="FH281" s="117"/>
      <c r="FI281" s="117"/>
      <c r="FJ281" s="117"/>
      <c r="FK281" s="117" t="e">
        <f t="shared" si="601"/>
        <v>#DIV/0!</v>
      </c>
      <c r="FL281" s="117" t="e">
        <f t="shared" si="602"/>
        <v>#DIV/0!</v>
      </c>
      <c r="FM281" s="117" t="e">
        <f t="shared" si="603"/>
        <v>#DIV/0!</v>
      </c>
      <c r="FN281" s="117" t="e">
        <f t="shared" si="604"/>
        <v>#DIV/0!</v>
      </c>
      <c r="FO281" s="9" t="e">
        <f t="shared" si="605"/>
        <v>#DIV/0!</v>
      </c>
      <c r="FP281" s="118">
        <f t="shared" ref="FP281:GB281" si="619">FP69/FP$211</f>
        <v>2.21437770696806e-6</v>
      </c>
      <c r="FQ281" s="117">
        <f t="shared" si="619"/>
        <v>0</v>
      </c>
      <c r="FR281" s="117">
        <f t="shared" si="619"/>
        <v>4.65829041968492e-6</v>
      </c>
      <c r="FS281" s="117">
        <f t="shared" si="619"/>
        <v>7.42388570053949e-7</v>
      </c>
      <c r="FT281" s="117">
        <f t="shared" si="619"/>
        <v>0</v>
      </c>
      <c r="FU281" s="117">
        <f t="shared" si="619"/>
        <v>0</v>
      </c>
      <c r="FV281" s="117">
        <f t="shared" si="619"/>
        <v>0</v>
      </c>
      <c r="FW281" s="117">
        <f t="shared" si="619"/>
        <v>0</v>
      </c>
      <c r="FX281" s="117">
        <f t="shared" si="619"/>
        <v>0</v>
      </c>
      <c r="FY281" s="117">
        <f t="shared" si="619"/>
        <v>0</v>
      </c>
      <c r="FZ281" s="117">
        <f t="shared" si="619"/>
        <v>0</v>
      </c>
      <c r="GA281" s="117">
        <f t="shared" si="619"/>
        <v>0</v>
      </c>
      <c r="GB281" s="116">
        <f t="shared" si="619"/>
        <v>7.72735565830048e-7</v>
      </c>
    </row>
    <row r="282" spans="1:184">
      <c r="A282" s="147" t="s">
        <v>165</v>
      </c>
      <c r="B282" s="160">
        <f t="shared" si="607"/>
        <v>-0.727377077083432</v>
      </c>
      <c r="C282" s="117">
        <f t="shared" ref="C282:AH282" si="620">C70/C$211</f>
        <v>0.000112211655457422</v>
      </c>
      <c r="D282" s="117">
        <f t="shared" si="620"/>
        <v>0.00013302985871031</v>
      </c>
      <c r="E282" s="117">
        <f t="shared" si="620"/>
        <v>0.000105247387277216</v>
      </c>
      <c r="F282" s="117">
        <f t="shared" si="620"/>
        <v>8.11492170902349e-5</v>
      </c>
      <c r="G282" s="117">
        <f t="shared" si="620"/>
        <v>9.18730722746297e-5</v>
      </c>
      <c r="H282" s="117">
        <f t="shared" si="620"/>
        <v>7.58913263350287e-5</v>
      </c>
      <c r="I282" s="117">
        <f t="shared" si="620"/>
        <v>1.59622737971558e-5</v>
      </c>
      <c r="J282" s="117">
        <f t="shared" si="620"/>
        <v>7.39978229195692e-6</v>
      </c>
      <c r="K282" s="117">
        <f t="shared" si="620"/>
        <v>5.73238046382613e-7</v>
      </c>
      <c r="L282" s="117">
        <f t="shared" si="620"/>
        <v>5.11836609321362e-7</v>
      </c>
      <c r="M282" s="117">
        <f t="shared" si="620"/>
        <v>4.44342382731127e-7</v>
      </c>
      <c r="N282" s="117">
        <f t="shared" si="620"/>
        <v>4.09755064035656e-7</v>
      </c>
      <c r="O282" s="9">
        <f t="shared" si="620"/>
        <v>5.35161019373232e-5</v>
      </c>
      <c r="P282" s="117">
        <f t="shared" si="620"/>
        <v>0</v>
      </c>
      <c r="Q282" s="117">
        <f t="shared" si="620"/>
        <v>0</v>
      </c>
      <c r="R282" s="117">
        <f t="shared" si="620"/>
        <v>0</v>
      </c>
      <c r="S282" s="117">
        <f t="shared" si="620"/>
        <v>0</v>
      </c>
      <c r="T282" s="117">
        <f t="shared" si="620"/>
        <v>0</v>
      </c>
      <c r="U282" s="117">
        <f t="shared" si="620"/>
        <v>0</v>
      </c>
      <c r="V282" s="117">
        <f t="shared" si="620"/>
        <v>0</v>
      </c>
      <c r="W282" s="117">
        <f t="shared" si="620"/>
        <v>0</v>
      </c>
      <c r="X282" s="117">
        <f t="shared" si="620"/>
        <v>0</v>
      </c>
      <c r="Y282" s="117">
        <f t="shared" si="620"/>
        <v>0</v>
      </c>
      <c r="Z282" s="117">
        <f t="shared" si="620"/>
        <v>0</v>
      </c>
      <c r="AA282" s="117">
        <f t="shared" si="620"/>
        <v>0</v>
      </c>
      <c r="AB282" s="9">
        <f t="shared" si="620"/>
        <v>0</v>
      </c>
      <c r="AC282" s="117">
        <f t="shared" si="620"/>
        <v>0.00117229221691803</v>
      </c>
      <c r="AD282" s="117">
        <f t="shared" si="620"/>
        <v>0.00119930580363692</v>
      </c>
      <c r="AE282" s="117">
        <f t="shared" si="620"/>
        <v>0.000622678587185701</v>
      </c>
      <c r="AF282" s="117">
        <f t="shared" si="620"/>
        <v>0.000369388149970897</v>
      </c>
      <c r="AG282" s="117">
        <f t="shared" si="620"/>
        <v>0.000530695301781476</v>
      </c>
      <c r="AH282" s="117">
        <f t="shared" si="620"/>
        <v>0.000431242850116888</v>
      </c>
      <c r="AI282" s="117">
        <f t="shared" ref="AI282:BN282" si="621">AI70/AI$211</f>
        <v>4.75883326973636e-5</v>
      </c>
      <c r="AJ282" s="117">
        <f t="shared" si="621"/>
        <v>3.74973897291201e-5</v>
      </c>
      <c r="AK282" s="117">
        <f t="shared" si="621"/>
        <v>0</v>
      </c>
      <c r="AL282" s="117">
        <f t="shared" si="621"/>
        <v>0</v>
      </c>
      <c r="AM282" s="117">
        <f t="shared" si="621"/>
        <v>0</v>
      </c>
      <c r="AN282" s="117">
        <f t="shared" si="621"/>
        <v>0</v>
      </c>
      <c r="AO282" s="9">
        <f t="shared" si="621"/>
        <v>0.000335005153042861</v>
      </c>
      <c r="AP282" s="144">
        <f t="shared" si="621"/>
        <v>0</v>
      </c>
      <c r="AQ282" s="144">
        <f t="shared" si="621"/>
        <v>0</v>
      </c>
      <c r="AR282" s="144">
        <f t="shared" si="621"/>
        <v>0</v>
      </c>
      <c r="AS282" s="144">
        <f t="shared" si="621"/>
        <v>0</v>
      </c>
      <c r="AT282" s="144">
        <f t="shared" si="621"/>
        <v>0</v>
      </c>
      <c r="AU282" s="144">
        <f t="shared" si="621"/>
        <v>0</v>
      </c>
      <c r="AV282" s="144">
        <f t="shared" si="621"/>
        <v>0</v>
      </c>
      <c r="AW282" s="144">
        <f t="shared" si="621"/>
        <v>0</v>
      </c>
      <c r="AX282" s="144">
        <f t="shared" si="621"/>
        <v>0</v>
      </c>
      <c r="AY282" s="144">
        <f t="shared" si="621"/>
        <v>0</v>
      </c>
      <c r="AZ282" s="144">
        <f t="shared" si="621"/>
        <v>0</v>
      </c>
      <c r="BA282" s="144">
        <f t="shared" si="621"/>
        <v>0</v>
      </c>
      <c r="BB282" s="9">
        <f t="shared" si="621"/>
        <v>0</v>
      </c>
      <c r="BC282" s="144">
        <f t="shared" si="621"/>
        <v>2.7793331792791e-5</v>
      </c>
      <c r="BD282" s="144">
        <f t="shared" si="621"/>
        <v>1.1894251948349e-5</v>
      </c>
      <c r="BE282" s="144">
        <f t="shared" si="621"/>
        <v>3.24946145860082e-5</v>
      </c>
      <c r="BF282" s="144">
        <f t="shared" si="621"/>
        <v>1.01909225457754e-5</v>
      </c>
      <c r="BG282" s="144">
        <f t="shared" si="621"/>
        <v>0</v>
      </c>
      <c r="BH282" s="144">
        <f t="shared" si="621"/>
        <v>0</v>
      </c>
      <c r="BI282" s="144">
        <f t="shared" si="621"/>
        <v>0</v>
      </c>
      <c r="BJ282" s="144">
        <f t="shared" si="621"/>
        <v>0</v>
      </c>
      <c r="BK282" s="144">
        <f t="shared" si="621"/>
        <v>0</v>
      </c>
      <c r="BL282" s="144">
        <f t="shared" si="621"/>
        <v>0</v>
      </c>
      <c r="BM282" s="144">
        <f t="shared" si="621"/>
        <v>0</v>
      </c>
      <c r="BN282" s="144">
        <f t="shared" si="621"/>
        <v>0</v>
      </c>
      <c r="BO282" s="9">
        <f t="shared" ref="BO282:CT282" si="622">BO70/BO$211</f>
        <v>7.47512447527656e-6</v>
      </c>
      <c r="BP282" s="144">
        <f t="shared" si="622"/>
        <v>0</v>
      </c>
      <c r="BQ282" s="144">
        <f t="shared" si="622"/>
        <v>0</v>
      </c>
      <c r="BR282" s="144">
        <f t="shared" si="622"/>
        <v>0</v>
      </c>
      <c r="BS282" s="144">
        <f t="shared" si="622"/>
        <v>0</v>
      </c>
      <c r="BT282" s="144">
        <f t="shared" si="622"/>
        <v>0</v>
      </c>
      <c r="BU282" s="144">
        <f t="shared" si="622"/>
        <v>0</v>
      </c>
      <c r="BV282" s="144">
        <f t="shared" si="622"/>
        <v>0</v>
      </c>
      <c r="BW282" s="144">
        <f t="shared" si="622"/>
        <v>0</v>
      </c>
      <c r="BX282" s="144">
        <f t="shared" si="622"/>
        <v>0</v>
      </c>
      <c r="BY282" s="144">
        <f t="shared" si="622"/>
        <v>0</v>
      </c>
      <c r="BZ282" s="144">
        <f t="shared" si="622"/>
        <v>0</v>
      </c>
      <c r="CA282" s="144">
        <f t="shared" si="622"/>
        <v>0</v>
      </c>
      <c r="CB282" s="9">
        <f t="shared" si="622"/>
        <v>0</v>
      </c>
      <c r="CC282" s="144">
        <f t="shared" si="622"/>
        <v>0.000561523096657397</v>
      </c>
      <c r="CD282" s="144">
        <f t="shared" si="622"/>
        <v>0.000468446661847438</v>
      </c>
      <c r="CE282" s="144">
        <f t="shared" si="622"/>
        <v>0.000504556786669245</v>
      </c>
      <c r="CF282" s="144">
        <f t="shared" si="622"/>
        <v>0.000382087693515205</v>
      </c>
      <c r="CG282" s="144">
        <f t="shared" si="622"/>
        <v>0.000504207456408778</v>
      </c>
      <c r="CH282" s="144">
        <f t="shared" si="622"/>
        <v>0.00075230802138603</v>
      </c>
      <c r="CI282" s="144">
        <f t="shared" si="622"/>
        <v>0.00020275649018868</v>
      </c>
      <c r="CJ282" s="144">
        <f t="shared" si="622"/>
        <v>2.77651309964124e-5</v>
      </c>
      <c r="CK282" s="144">
        <f t="shared" si="622"/>
        <v>2.65949183402872e-5</v>
      </c>
      <c r="CL282" s="144">
        <f t="shared" si="622"/>
        <v>2.25579181088459e-5</v>
      </c>
      <c r="CM282" s="144">
        <f t="shared" si="622"/>
        <v>2.1797867403796e-5</v>
      </c>
      <c r="CN282" s="144">
        <f t="shared" si="622"/>
        <v>2.25711210318221e-5</v>
      </c>
      <c r="CO282" s="9">
        <f t="shared" si="622"/>
        <v>0.000292208791863866</v>
      </c>
      <c r="CP282" s="144">
        <f t="shared" si="622"/>
        <v>0.000240269915725177</v>
      </c>
      <c r="CQ282" s="144">
        <f t="shared" si="622"/>
        <v>0.000156468357053206</v>
      </c>
      <c r="CR282" s="144">
        <f t="shared" si="622"/>
        <v>0.000122075593669959</v>
      </c>
      <c r="CS282" s="144">
        <f t="shared" si="622"/>
        <v>6.82361004913073e-5</v>
      </c>
      <c r="CT282" s="144">
        <f t="shared" si="622"/>
        <v>3.01111667392858e-5</v>
      </c>
      <c r="CU282" s="144">
        <f t="shared" ref="CU282:EB282" si="623">CU70/CU$211</f>
        <v>7.80009255710496e-5</v>
      </c>
      <c r="CV282" s="144">
        <f t="shared" si="623"/>
        <v>2.89120430632786e-5</v>
      </c>
      <c r="CW282" s="144">
        <f t="shared" si="623"/>
        <v>0</v>
      </c>
      <c r="CX282" s="144">
        <f t="shared" si="623"/>
        <v>0</v>
      </c>
      <c r="CY282" s="144">
        <f t="shared" si="623"/>
        <v>0</v>
      </c>
      <c r="CZ282" s="144">
        <f t="shared" si="623"/>
        <v>0</v>
      </c>
      <c r="DA282" s="144">
        <f t="shared" si="623"/>
        <v>0</v>
      </c>
      <c r="DB282" s="9">
        <f t="shared" si="623"/>
        <v>6.83743303054298e-5</v>
      </c>
      <c r="DC282" s="144">
        <f t="shared" si="623"/>
        <v>0</v>
      </c>
      <c r="DD282" s="144">
        <f t="shared" si="623"/>
        <v>0</v>
      </c>
      <c r="DE282" s="144">
        <f t="shared" si="623"/>
        <v>0</v>
      </c>
      <c r="DF282" s="144">
        <f t="shared" si="623"/>
        <v>0</v>
      </c>
      <c r="DG282" s="144">
        <f t="shared" si="623"/>
        <v>0</v>
      </c>
      <c r="DH282" s="144">
        <f t="shared" si="623"/>
        <v>0</v>
      </c>
      <c r="DI282" s="144">
        <f t="shared" si="623"/>
        <v>0</v>
      </c>
      <c r="DJ282" s="144">
        <f t="shared" si="623"/>
        <v>0</v>
      </c>
      <c r="DK282" s="144">
        <f t="shared" si="623"/>
        <v>0</v>
      </c>
      <c r="DL282" s="144">
        <f t="shared" si="623"/>
        <v>0</v>
      </c>
      <c r="DM282" s="144">
        <f t="shared" si="623"/>
        <v>0</v>
      </c>
      <c r="DN282" s="144">
        <f t="shared" si="623"/>
        <v>0</v>
      </c>
      <c r="DO282" s="9">
        <f t="shared" si="623"/>
        <v>0</v>
      </c>
      <c r="DP282" s="144">
        <f t="shared" si="623"/>
        <v>0</v>
      </c>
      <c r="DQ282" s="144">
        <f t="shared" si="623"/>
        <v>0</v>
      </c>
      <c r="DR282" s="144">
        <f t="shared" si="623"/>
        <v>0</v>
      </c>
      <c r="DS282" s="144">
        <f t="shared" si="623"/>
        <v>0</v>
      </c>
      <c r="DT282" s="144">
        <f t="shared" si="623"/>
        <v>0</v>
      </c>
      <c r="DU282" s="144">
        <f t="shared" si="623"/>
        <v>0</v>
      </c>
      <c r="DV282" s="144">
        <f t="shared" si="623"/>
        <v>0</v>
      </c>
      <c r="DW282" s="144">
        <f t="shared" si="623"/>
        <v>0</v>
      </c>
      <c r="DX282" s="144">
        <f t="shared" si="623"/>
        <v>0</v>
      </c>
      <c r="DY282" s="144">
        <f t="shared" si="623"/>
        <v>0</v>
      </c>
      <c r="DZ282" s="144">
        <f t="shared" si="623"/>
        <v>0</v>
      </c>
      <c r="EA282" s="144">
        <f t="shared" si="623"/>
        <v>0</v>
      </c>
      <c r="EB282" s="117">
        <f t="shared" si="623"/>
        <v>0</v>
      </c>
      <c r="EC282" s="118"/>
      <c r="ED282" s="117">
        <f t="shared" ref="ED282:FB282" si="624">ED70/ED$211</f>
        <v>0</v>
      </c>
      <c r="EE282" s="117">
        <f t="shared" si="624"/>
        <v>0</v>
      </c>
      <c r="EF282" s="117">
        <f t="shared" si="624"/>
        <v>0</v>
      </c>
      <c r="EG282" s="117" t="e">
        <f t="shared" si="624"/>
        <v>#DIV/0!</v>
      </c>
      <c r="EH282" s="117" t="e">
        <f t="shared" si="624"/>
        <v>#DIV/0!</v>
      </c>
      <c r="EI282" s="117" t="e">
        <f t="shared" si="624"/>
        <v>#DIV/0!</v>
      </c>
      <c r="EJ282" s="117" t="e">
        <f t="shared" si="624"/>
        <v>#DIV/0!</v>
      </c>
      <c r="EK282" s="117" t="e">
        <f t="shared" si="624"/>
        <v>#DIV/0!</v>
      </c>
      <c r="EL282" s="117" t="e">
        <f t="shared" si="624"/>
        <v>#DIV/0!</v>
      </c>
      <c r="EM282" s="117" t="e">
        <f t="shared" si="624"/>
        <v>#DIV/0!</v>
      </c>
      <c r="EN282" s="117" t="e">
        <f t="shared" si="624"/>
        <v>#DIV/0!</v>
      </c>
      <c r="EO282" s="116">
        <f t="shared" si="624"/>
        <v>0</v>
      </c>
      <c r="EP282" s="117">
        <f t="shared" si="624"/>
        <v>4.39667253397282e-5</v>
      </c>
      <c r="EQ282" s="117">
        <f t="shared" si="624"/>
        <v>0.00075551071637372</v>
      </c>
      <c r="ER282" s="117">
        <f t="shared" si="624"/>
        <v>0.000876236509778558</v>
      </c>
      <c r="ES282" s="117">
        <f t="shared" si="624"/>
        <v>0.000693906609404332</v>
      </c>
      <c r="ET282" s="117">
        <f t="shared" si="624"/>
        <v>0.000648769133489068</v>
      </c>
      <c r="EU282" s="117">
        <f t="shared" si="624"/>
        <v>0.000224524068226456</v>
      </c>
      <c r="EV282" s="117">
        <f t="shared" si="624"/>
        <v>0.00015087269409011</v>
      </c>
      <c r="EW282" s="117">
        <f t="shared" si="624"/>
        <v>0.000114949687312998</v>
      </c>
      <c r="EX282" s="117">
        <f t="shared" si="624"/>
        <v>0</v>
      </c>
      <c r="EY282" s="117">
        <f t="shared" si="624"/>
        <v>0</v>
      </c>
      <c r="EZ282" s="117">
        <f t="shared" si="624"/>
        <v>0</v>
      </c>
      <c r="FA282" s="117">
        <f t="shared" si="624"/>
        <v>0</v>
      </c>
      <c r="FB282" s="117">
        <f t="shared" si="624"/>
        <v>0.000289170882594734</v>
      </c>
      <c r="FC282" s="118"/>
      <c r="FD282" s="117"/>
      <c r="FE282" s="117"/>
      <c r="FF282" s="117"/>
      <c r="FG282" s="117"/>
      <c r="FH282" s="117"/>
      <c r="FI282" s="117"/>
      <c r="FJ282" s="117"/>
      <c r="FK282" s="117" t="e">
        <f t="shared" si="601"/>
        <v>#DIV/0!</v>
      </c>
      <c r="FL282" s="117" t="e">
        <f t="shared" si="602"/>
        <v>#DIV/0!</v>
      </c>
      <c r="FM282" s="117" t="e">
        <f t="shared" si="603"/>
        <v>#DIV/0!</v>
      </c>
      <c r="FN282" s="117" t="e">
        <f t="shared" si="604"/>
        <v>#DIV/0!</v>
      </c>
      <c r="FO282" s="9" t="e">
        <f t="shared" si="605"/>
        <v>#DIV/0!</v>
      </c>
      <c r="FP282" s="118">
        <f t="shared" ref="FP282:GB282" si="625">FP70/FP$211</f>
        <v>3.43405694741248e-5</v>
      </c>
      <c r="FQ282" s="117">
        <f t="shared" si="625"/>
        <v>5.77525449368503e-5</v>
      </c>
      <c r="FR282" s="117">
        <f t="shared" si="625"/>
        <v>6.09722905065502e-5</v>
      </c>
      <c r="FS282" s="117">
        <f t="shared" si="625"/>
        <v>5.28005310829418e-5</v>
      </c>
      <c r="FT282" s="117">
        <f t="shared" si="625"/>
        <v>3.67767038822557e-5</v>
      </c>
      <c r="FU282" s="117">
        <f t="shared" si="625"/>
        <v>0</v>
      </c>
      <c r="FV282" s="117">
        <f t="shared" si="625"/>
        <v>0</v>
      </c>
      <c r="FW282" s="117">
        <f t="shared" si="625"/>
        <v>0</v>
      </c>
      <c r="FX282" s="117">
        <f t="shared" si="625"/>
        <v>0</v>
      </c>
      <c r="FY282" s="117">
        <f t="shared" si="625"/>
        <v>0</v>
      </c>
      <c r="FZ282" s="117">
        <f t="shared" si="625"/>
        <v>0</v>
      </c>
      <c r="GA282" s="117">
        <f t="shared" si="625"/>
        <v>0</v>
      </c>
      <c r="GB282" s="116">
        <f t="shared" si="625"/>
        <v>2.15712489957759e-5</v>
      </c>
    </row>
    <row r="283" spans="1:184">
      <c r="A283" s="147" t="s">
        <v>167</v>
      </c>
      <c r="B283" s="160">
        <f t="shared" si="607"/>
        <v>-0.965976825171621</v>
      </c>
      <c r="C283" s="117">
        <f t="shared" ref="C283:AH283" si="626">C71/C$211</f>
        <v>1.18100779020369e-6</v>
      </c>
      <c r="D283" s="117">
        <f t="shared" si="626"/>
        <v>8.92809925694885e-7</v>
      </c>
      <c r="E283" s="117">
        <f t="shared" si="626"/>
        <v>5.82313310184436e-7</v>
      </c>
      <c r="F283" s="117">
        <f t="shared" si="626"/>
        <v>1.61724419582905e-5</v>
      </c>
      <c r="G283" s="117">
        <f t="shared" si="626"/>
        <v>0</v>
      </c>
      <c r="H283" s="117">
        <f t="shared" si="626"/>
        <v>0</v>
      </c>
      <c r="I283" s="117">
        <f t="shared" si="626"/>
        <v>0</v>
      </c>
      <c r="J283" s="117">
        <f t="shared" si="626"/>
        <v>0</v>
      </c>
      <c r="K283" s="117">
        <f t="shared" si="626"/>
        <v>0</v>
      </c>
      <c r="L283" s="117">
        <f t="shared" si="626"/>
        <v>0</v>
      </c>
      <c r="M283" s="117">
        <f t="shared" si="626"/>
        <v>0</v>
      </c>
      <c r="N283" s="117">
        <f t="shared" si="626"/>
        <v>0</v>
      </c>
      <c r="O283" s="9">
        <f t="shared" si="626"/>
        <v>1.45477893862926e-6</v>
      </c>
      <c r="P283" s="117">
        <f t="shared" si="626"/>
        <v>0</v>
      </c>
      <c r="Q283" s="117">
        <f t="shared" si="626"/>
        <v>0</v>
      </c>
      <c r="R283" s="117">
        <f t="shared" si="626"/>
        <v>0</v>
      </c>
      <c r="S283" s="117">
        <f t="shared" si="626"/>
        <v>0</v>
      </c>
      <c r="T283" s="117">
        <f t="shared" si="626"/>
        <v>0</v>
      </c>
      <c r="U283" s="117">
        <f t="shared" si="626"/>
        <v>0</v>
      </c>
      <c r="V283" s="117">
        <f t="shared" si="626"/>
        <v>0</v>
      </c>
      <c r="W283" s="117">
        <f t="shared" si="626"/>
        <v>0</v>
      </c>
      <c r="X283" s="117">
        <f t="shared" si="626"/>
        <v>0</v>
      </c>
      <c r="Y283" s="117">
        <f t="shared" si="626"/>
        <v>0</v>
      </c>
      <c r="Z283" s="117">
        <f t="shared" si="626"/>
        <v>0</v>
      </c>
      <c r="AA283" s="117">
        <f t="shared" si="626"/>
        <v>0</v>
      </c>
      <c r="AB283" s="9">
        <f t="shared" si="626"/>
        <v>0</v>
      </c>
      <c r="AC283" s="117">
        <f t="shared" si="626"/>
        <v>0</v>
      </c>
      <c r="AD283" s="117">
        <f t="shared" si="626"/>
        <v>0</v>
      </c>
      <c r="AE283" s="117">
        <f t="shared" si="626"/>
        <v>0</v>
      </c>
      <c r="AF283" s="117">
        <f t="shared" si="626"/>
        <v>0</v>
      </c>
      <c r="AG283" s="117">
        <f t="shared" si="626"/>
        <v>0</v>
      </c>
      <c r="AH283" s="117">
        <f t="shared" si="626"/>
        <v>0</v>
      </c>
      <c r="AI283" s="117">
        <f t="shared" ref="AI283:BN283" si="627">AI71/AI$211</f>
        <v>0</v>
      </c>
      <c r="AJ283" s="117">
        <f t="shared" si="627"/>
        <v>0</v>
      </c>
      <c r="AK283" s="117">
        <f t="shared" si="627"/>
        <v>0</v>
      </c>
      <c r="AL283" s="117">
        <f t="shared" si="627"/>
        <v>0</v>
      </c>
      <c r="AM283" s="117">
        <f t="shared" si="627"/>
        <v>0</v>
      </c>
      <c r="AN283" s="117">
        <f t="shared" si="627"/>
        <v>0</v>
      </c>
      <c r="AO283" s="9">
        <f t="shared" si="627"/>
        <v>0</v>
      </c>
      <c r="AP283" s="144">
        <f t="shared" si="627"/>
        <v>0</v>
      </c>
      <c r="AQ283" s="144">
        <f t="shared" si="627"/>
        <v>0</v>
      </c>
      <c r="AR283" s="144">
        <f t="shared" si="627"/>
        <v>0</v>
      </c>
      <c r="AS283" s="144">
        <f t="shared" si="627"/>
        <v>0</v>
      </c>
      <c r="AT283" s="144">
        <f t="shared" si="627"/>
        <v>0</v>
      </c>
      <c r="AU283" s="144">
        <f t="shared" si="627"/>
        <v>0</v>
      </c>
      <c r="AV283" s="144">
        <f t="shared" si="627"/>
        <v>0</v>
      </c>
      <c r="AW283" s="144">
        <f t="shared" si="627"/>
        <v>0</v>
      </c>
      <c r="AX283" s="144">
        <f t="shared" si="627"/>
        <v>0</v>
      </c>
      <c r="AY283" s="144">
        <f t="shared" si="627"/>
        <v>0</v>
      </c>
      <c r="AZ283" s="144">
        <f t="shared" si="627"/>
        <v>0</v>
      </c>
      <c r="BA283" s="144">
        <f t="shared" si="627"/>
        <v>0</v>
      </c>
      <c r="BB283" s="9">
        <f t="shared" si="627"/>
        <v>0</v>
      </c>
      <c r="BC283" s="144">
        <f t="shared" si="627"/>
        <v>0</v>
      </c>
      <c r="BD283" s="144">
        <f t="shared" si="627"/>
        <v>0</v>
      </c>
      <c r="BE283" s="144">
        <f t="shared" si="627"/>
        <v>0</v>
      </c>
      <c r="BF283" s="144">
        <f t="shared" si="627"/>
        <v>0</v>
      </c>
      <c r="BG283" s="144">
        <f t="shared" si="627"/>
        <v>0</v>
      </c>
      <c r="BH283" s="144">
        <f t="shared" si="627"/>
        <v>0</v>
      </c>
      <c r="BI283" s="144">
        <f t="shared" si="627"/>
        <v>0</v>
      </c>
      <c r="BJ283" s="144">
        <f t="shared" si="627"/>
        <v>0</v>
      </c>
      <c r="BK283" s="144">
        <f t="shared" si="627"/>
        <v>0</v>
      </c>
      <c r="BL283" s="144">
        <f t="shared" si="627"/>
        <v>0</v>
      </c>
      <c r="BM283" s="144">
        <f t="shared" si="627"/>
        <v>0</v>
      </c>
      <c r="BN283" s="144">
        <f t="shared" si="627"/>
        <v>0</v>
      </c>
      <c r="BO283" s="9">
        <f t="shared" ref="BO283:CT283" si="628">BO71/BO$211</f>
        <v>0</v>
      </c>
      <c r="BP283" s="144">
        <f t="shared" si="628"/>
        <v>0</v>
      </c>
      <c r="BQ283" s="144">
        <f t="shared" si="628"/>
        <v>0</v>
      </c>
      <c r="BR283" s="144">
        <f t="shared" si="628"/>
        <v>0</v>
      </c>
      <c r="BS283" s="144">
        <f t="shared" si="628"/>
        <v>0</v>
      </c>
      <c r="BT283" s="144">
        <f t="shared" si="628"/>
        <v>0</v>
      </c>
      <c r="BU283" s="144">
        <f t="shared" si="628"/>
        <v>0</v>
      </c>
      <c r="BV283" s="144">
        <f t="shared" si="628"/>
        <v>0</v>
      </c>
      <c r="BW283" s="144">
        <f t="shared" si="628"/>
        <v>0</v>
      </c>
      <c r="BX283" s="144">
        <f t="shared" si="628"/>
        <v>0</v>
      </c>
      <c r="BY283" s="144">
        <f t="shared" si="628"/>
        <v>0</v>
      </c>
      <c r="BZ283" s="144">
        <f t="shared" si="628"/>
        <v>0</v>
      </c>
      <c r="CA283" s="144">
        <f t="shared" si="628"/>
        <v>0</v>
      </c>
      <c r="CB283" s="9">
        <f t="shared" si="628"/>
        <v>0</v>
      </c>
      <c r="CC283" s="144">
        <f t="shared" si="628"/>
        <v>0</v>
      </c>
      <c r="CD283" s="144">
        <f t="shared" si="628"/>
        <v>0</v>
      </c>
      <c r="CE283" s="144">
        <f t="shared" si="628"/>
        <v>0</v>
      </c>
      <c r="CF283" s="144">
        <f t="shared" si="628"/>
        <v>0</v>
      </c>
      <c r="CG283" s="144">
        <f t="shared" si="628"/>
        <v>0</v>
      </c>
      <c r="CH283" s="144">
        <f t="shared" si="628"/>
        <v>0</v>
      </c>
      <c r="CI283" s="144">
        <f t="shared" si="628"/>
        <v>0</v>
      </c>
      <c r="CJ283" s="144">
        <f t="shared" si="628"/>
        <v>0</v>
      </c>
      <c r="CK283" s="144">
        <f t="shared" si="628"/>
        <v>0</v>
      </c>
      <c r="CL283" s="144">
        <f t="shared" si="628"/>
        <v>0</v>
      </c>
      <c r="CM283" s="144">
        <f t="shared" si="628"/>
        <v>0</v>
      </c>
      <c r="CN283" s="144">
        <f t="shared" si="628"/>
        <v>0</v>
      </c>
      <c r="CO283" s="9">
        <f t="shared" si="628"/>
        <v>0</v>
      </c>
      <c r="CP283" s="144">
        <f t="shared" si="628"/>
        <v>0</v>
      </c>
      <c r="CQ283" s="144">
        <f t="shared" si="628"/>
        <v>0</v>
      </c>
      <c r="CR283" s="144">
        <f t="shared" si="628"/>
        <v>0</v>
      </c>
      <c r="CS283" s="144">
        <f t="shared" si="628"/>
        <v>0</v>
      </c>
      <c r="CT283" s="144">
        <f t="shared" si="628"/>
        <v>0</v>
      </c>
      <c r="CU283" s="144">
        <f t="shared" ref="CU283:EB283" si="629">CU71/CU$211</f>
        <v>0</v>
      </c>
      <c r="CV283" s="144">
        <f t="shared" si="629"/>
        <v>0</v>
      </c>
      <c r="CW283" s="144">
        <f t="shared" si="629"/>
        <v>0</v>
      </c>
      <c r="CX283" s="144">
        <f t="shared" si="629"/>
        <v>0</v>
      </c>
      <c r="CY283" s="144">
        <f t="shared" si="629"/>
        <v>0</v>
      </c>
      <c r="CZ283" s="144">
        <f t="shared" si="629"/>
        <v>0</v>
      </c>
      <c r="DA283" s="144">
        <f t="shared" si="629"/>
        <v>0</v>
      </c>
      <c r="DB283" s="9">
        <f t="shared" si="629"/>
        <v>0</v>
      </c>
      <c r="DC283" s="144">
        <f t="shared" si="629"/>
        <v>0.000107350395786734</v>
      </c>
      <c r="DD283" s="144">
        <f t="shared" si="629"/>
        <v>7.80765572692949e-5</v>
      </c>
      <c r="DE283" s="144">
        <f t="shared" si="629"/>
        <v>6.52161535680605e-5</v>
      </c>
      <c r="DF283" s="144">
        <f t="shared" si="629"/>
        <v>0.000213834486265596</v>
      </c>
      <c r="DG283" s="144">
        <f t="shared" si="629"/>
        <v>0</v>
      </c>
      <c r="DH283" s="144">
        <f t="shared" si="629"/>
        <v>0</v>
      </c>
      <c r="DI283" s="144">
        <f t="shared" si="629"/>
        <v>0</v>
      </c>
      <c r="DJ283" s="144">
        <f t="shared" si="629"/>
        <v>0</v>
      </c>
      <c r="DK283" s="144">
        <f t="shared" si="629"/>
        <v>0</v>
      </c>
      <c r="DL283" s="144">
        <f t="shared" si="629"/>
        <v>0</v>
      </c>
      <c r="DM283" s="144">
        <f t="shared" si="629"/>
        <v>0</v>
      </c>
      <c r="DN283" s="144">
        <f t="shared" si="629"/>
        <v>0</v>
      </c>
      <c r="DO283" s="9">
        <f t="shared" si="629"/>
        <v>4.3000721171507e-5</v>
      </c>
      <c r="DP283" s="144">
        <f t="shared" si="629"/>
        <v>1.7490219909285e-6</v>
      </c>
      <c r="DQ283" s="144">
        <f t="shared" si="629"/>
        <v>0</v>
      </c>
      <c r="DR283" s="144">
        <f t="shared" si="629"/>
        <v>0</v>
      </c>
      <c r="DS283" s="144">
        <f t="shared" si="629"/>
        <v>0</v>
      </c>
      <c r="DT283" s="144">
        <f t="shared" si="629"/>
        <v>0</v>
      </c>
      <c r="DU283" s="144">
        <f t="shared" si="629"/>
        <v>0</v>
      </c>
      <c r="DV283" s="144">
        <f t="shared" si="629"/>
        <v>0</v>
      </c>
      <c r="DW283" s="144">
        <f t="shared" si="629"/>
        <v>0</v>
      </c>
      <c r="DX283" s="144">
        <f t="shared" si="629"/>
        <v>0</v>
      </c>
      <c r="DY283" s="144">
        <f t="shared" si="629"/>
        <v>0</v>
      </c>
      <c r="DZ283" s="144">
        <f t="shared" si="629"/>
        <v>0</v>
      </c>
      <c r="EA283" s="144">
        <f t="shared" si="629"/>
        <v>0</v>
      </c>
      <c r="EB283" s="117">
        <f t="shared" si="629"/>
        <v>2.23776207281733e-7</v>
      </c>
      <c r="EC283" s="118"/>
      <c r="ED283" s="117">
        <f t="shared" ref="ED283:FB283" si="630">ED71/ED$211</f>
        <v>0</v>
      </c>
      <c r="EE283" s="117">
        <f t="shared" si="630"/>
        <v>0</v>
      </c>
      <c r="EF283" s="117">
        <f t="shared" si="630"/>
        <v>0</v>
      </c>
      <c r="EG283" s="117" t="e">
        <f t="shared" si="630"/>
        <v>#DIV/0!</v>
      </c>
      <c r="EH283" s="117" t="e">
        <f t="shared" si="630"/>
        <v>#DIV/0!</v>
      </c>
      <c r="EI283" s="117" t="e">
        <f t="shared" si="630"/>
        <v>#DIV/0!</v>
      </c>
      <c r="EJ283" s="117" t="e">
        <f t="shared" si="630"/>
        <v>#DIV/0!</v>
      </c>
      <c r="EK283" s="117" t="e">
        <f t="shared" si="630"/>
        <v>#DIV/0!</v>
      </c>
      <c r="EL283" s="117" t="e">
        <f t="shared" si="630"/>
        <v>#DIV/0!</v>
      </c>
      <c r="EM283" s="117" t="e">
        <f t="shared" si="630"/>
        <v>#DIV/0!</v>
      </c>
      <c r="EN283" s="117" t="e">
        <f t="shared" si="630"/>
        <v>#DIV/0!</v>
      </c>
      <c r="EO283" s="116">
        <f t="shared" si="630"/>
        <v>0</v>
      </c>
      <c r="EP283" s="117">
        <f t="shared" si="630"/>
        <v>0</v>
      </c>
      <c r="EQ283" s="117">
        <f t="shared" si="630"/>
        <v>0</v>
      </c>
      <c r="ER283" s="117">
        <f t="shared" si="630"/>
        <v>0</v>
      </c>
      <c r="ES283" s="117">
        <f t="shared" si="630"/>
        <v>0</v>
      </c>
      <c r="ET283" s="117">
        <f t="shared" si="630"/>
        <v>0</v>
      </c>
      <c r="EU283" s="117">
        <f t="shared" si="630"/>
        <v>0</v>
      </c>
      <c r="EV283" s="117">
        <f t="shared" si="630"/>
        <v>0</v>
      </c>
      <c r="EW283" s="117">
        <f t="shared" si="630"/>
        <v>0</v>
      </c>
      <c r="EX283" s="117">
        <f t="shared" si="630"/>
        <v>0</v>
      </c>
      <c r="EY283" s="117">
        <f t="shared" si="630"/>
        <v>0</v>
      </c>
      <c r="EZ283" s="117">
        <f t="shared" si="630"/>
        <v>0</v>
      </c>
      <c r="FA283" s="117">
        <f t="shared" si="630"/>
        <v>0</v>
      </c>
      <c r="FB283" s="117">
        <f t="shared" si="630"/>
        <v>0</v>
      </c>
      <c r="FC283" s="118"/>
      <c r="FD283" s="117"/>
      <c r="FE283" s="117"/>
      <c r="FF283" s="117"/>
      <c r="FG283" s="117"/>
      <c r="FH283" s="117"/>
      <c r="FI283" s="117"/>
      <c r="FJ283" s="117"/>
      <c r="FK283" s="117" t="e">
        <f t="shared" si="601"/>
        <v>#DIV/0!</v>
      </c>
      <c r="FL283" s="117" t="e">
        <f t="shared" si="602"/>
        <v>#DIV/0!</v>
      </c>
      <c r="FM283" s="117" t="e">
        <f t="shared" si="603"/>
        <v>#DIV/0!</v>
      </c>
      <c r="FN283" s="117" t="e">
        <f t="shared" si="604"/>
        <v>#DIV/0!</v>
      </c>
      <c r="FO283" s="9" t="e">
        <f t="shared" si="605"/>
        <v>#DIV/0!</v>
      </c>
      <c r="FP283" s="118">
        <f t="shared" ref="FP283:GB283" si="631">FP71/FP$211</f>
        <v>0</v>
      </c>
      <c r="FQ283" s="117">
        <f t="shared" si="631"/>
        <v>0</v>
      </c>
      <c r="FR283" s="117">
        <f t="shared" si="631"/>
        <v>0</v>
      </c>
      <c r="FS283" s="117">
        <f t="shared" si="631"/>
        <v>5.84630998917485e-5</v>
      </c>
      <c r="FT283" s="117">
        <f t="shared" si="631"/>
        <v>0</v>
      </c>
      <c r="FU283" s="117">
        <f t="shared" si="631"/>
        <v>0</v>
      </c>
      <c r="FV283" s="117">
        <f t="shared" si="631"/>
        <v>0</v>
      </c>
      <c r="FW283" s="117">
        <f t="shared" si="631"/>
        <v>0</v>
      </c>
      <c r="FX283" s="117">
        <f t="shared" si="631"/>
        <v>0</v>
      </c>
      <c r="FY283" s="117">
        <f t="shared" si="631"/>
        <v>0</v>
      </c>
      <c r="FZ283" s="117">
        <f t="shared" si="631"/>
        <v>0</v>
      </c>
      <c r="GA283" s="117">
        <f t="shared" si="631"/>
        <v>0</v>
      </c>
      <c r="GB283" s="116">
        <f t="shared" si="631"/>
        <v>4.30095366253148e-6</v>
      </c>
    </row>
    <row r="284" spans="1:184">
      <c r="A284" s="147" t="s">
        <v>169</v>
      </c>
      <c r="B284" s="160">
        <f t="shared" si="607"/>
        <v>-1</v>
      </c>
      <c r="C284" s="117">
        <f t="shared" ref="C284:AH284" si="632">C72/C$211</f>
        <v>0</v>
      </c>
      <c r="D284" s="117">
        <f t="shared" si="632"/>
        <v>0</v>
      </c>
      <c r="E284" s="117">
        <f t="shared" si="632"/>
        <v>0</v>
      </c>
      <c r="F284" s="117">
        <f t="shared" si="632"/>
        <v>0</v>
      </c>
      <c r="G284" s="117">
        <f t="shared" si="632"/>
        <v>0</v>
      </c>
      <c r="H284" s="117">
        <f t="shared" si="632"/>
        <v>0</v>
      </c>
      <c r="I284" s="117">
        <f t="shared" si="632"/>
        <v>0</v>
      </c>
      <c r="J284" s="117">
        <f t="shared" si="632"/>
        <v>0</v>
      </c>
      <c r="K284" s="117">
        <f t="shared" si="632"/>
        <v>0</v>
      </c>
      <c r="L284" s="117">
        <f t="shared" si="632"/>
        <v>0</v>
      </c>
      <c r="M284" s="117">
        <f t="shared" si="632"/>
        <v>0</v>
      </c>
      <c r="N284" s="117">
        <f t="shared" si="632"/>
        <v>0</v>
      </c>
      <c r="O284" s="9">
        <f t="shared" si="632"/>
        <v>0</v>
      </c>
      <c r="P284" s="117">
        <f t="shared" si="632"/>
        <v>0</v>
      </c>
      <c r="Q284" s="117">
        <f t="shared" si="632"/>
        <v>0</v>
      </c>
      <c r="R284" s="117">
        <f t="shared" si="632"/>
        <v>0</v>
      </c>
      <c r="S284" s="117">
        <f t="shared" si="632"/>
        <v>0</v>
      </c>
      <c r="T284" s="117">
        <f t="shared" si="632"/>
        <v>0</v>
      </c>
      <c r="U284" s="117">
        <f t="shared" si="632"/>
        <v>0</v>
      </c>
      <c r="V284" s="117">
        <f t="shared" si="632"/>
        <v>0</v>
      </c>
      <c r="W284" s="117">
        <f t="shared" si="632"/>
        <v>0</v>
      </c>
      <c r="X284" s="117">
        <f t="shared" si="632"/>
        <v>0</v>
      </c>
      <c r="Y284" s="117">
        <f t="shared" si="632"/>
        <v>0</v>
      </c>
      <c r="Z284" s="117">
        <f t="shared" si="632"/>
        <v>0</v>
      </c>
      <c r="AA284" s="117">
        <f t="shared" si="632"/>
        <v>0</v>
      </c>
      <c r="AB284" s="9">
        <f t="shared" si="632"/>
        <v>0</v>
      </c>
      <c r="AC284" s="117">
        <f t="shared" si="632"/>
        <v>0</v>
      </c>
      <c r="AD284" s="117">
        <f t="shared" si="632"/>
        <v>0</v>
      </c>
      <c r="AE284" s="117">
        <f t="shared" si="632"/>
        <v>0</v>
      </c>
      <c r="AF284" s="117">
        <f t="shared" si="632"/>
        <v>0</v>
      </c>
      <c r="AG284" s="117">
        <f t="shared" si="632"/>
        <v>0</v>
      </c>
      <c r="AH284" s="117">
        <f t="shared" si="632"/>
        <v>0</v>
      </c>
      <c r="AI284" s="117">
        <f t="shared" ref="AI284:BN284" si="633">AI72/AI$211</f>
        <v>0</v>
      </c>
      <c r="AJ284" s="117">
        <f t="shared" si="633"/>
        <v>0</v>
      </c>
      <c r="AK284" s="117">
        <f t="shared" si="633"/>
        <v>0</v>
      </c>
      <c r="AL284" s="117">
        <f t="shared" si="633"/>
        <v>0</v>
      </c>
      <c r="AM284" s="117">
        <f t="shared" si="633"/>
        <v>0</v>
      </c>
      <c r="AN284" s="117">
        <f t="shared" si="633"/>
        <v>0</v>
      </c>
      <c r="AO284" s="9">
        <f t="shared" si="633"/>
        <v>0</v>
      </c>
      <c r="AP284" s="144">
        <f t="shared" si="633"/>
        <v>0</v>
      </c>
      <c r="AQ284" s="144">
        <f t="shared" si="633"/>
        <v>0</v>
      </c>
      <c r="AR284" s="144">
        <f t="shared" si="633"/>
        <v>0</v>
      </c>
      <c r="AS284" s="144">
        <f t="shared" si="633"/>
        <v>0</v>
      </c>
      <c r="AT284" s="144">
        <f t="shared" si="633"/>
        <v>0</v>
      </c>
      <c r="AU284" s="144">
        <f t="shared" si="633"/>
        <v>0</v>
      </c>
      <c r="AV284" s="144">
        <f t="shared" si="633"/>
        <v>0</v>
      </c>
      <c r="AW284" s="144">
        <f t="shared" si="633"/>
        <v>0</v>
      </c>
      <c r="AX284" s="144">
        <f t="shared" si="633"/>
        <v>0</v>
      </c>
      <c r="AY284" s="144">
        <f t="shared" si="633"/>
        <v>0</v>
      </c>
      <c r="AZ284" s="144">
        <f t="shared" si="633"/>
        <v>0</v>
      </c>
      <c r="BA284" s="144">
        <f t="shared" si="633"/>
        <v>0</v>
      </c>
      <c r="BB284" s="9">
        <f t="shared" si="633"/>
        <v>0</v>
      </c>
      <c r="BC284" s="144">
        <f t="shared" si="633"/>
        <v>0</v>
      </c>
      <c r="BD284" s="144">
        <f t="shared" si="633"/>
        <v>0</v>
      </c>
      <c r="BE284" s="144">
        <f t="shared" si="633"/>
        <v>0</v>
      </c>
      <c r="BF284" s="144">
        <f t="shared" si="633"/>
        <v>0</v>
      </c>
      <c r="BG284" s="144">
        <f t="shared" si="633"/>
        <v>0</v>
      </c>
      <c r="BH284" s="144">
        <f t="shared" si="633"/>
        <v>0</v>
      </c>
      <c r="BI284" s="144">
        <f t="shared" si="633"/>
        <v>0</v>
      </c>
      <c r="BJ284" s="144">
        <f t="shared" si="633"/>
        <v>0</v>
      </c>
      <c r="BK284" s="144">
        <f t="shared" si="633"/>
        <v>0</v>
      </c>
      <c r="BL284" s="144">
        <f t="shared" si="633"/>
        <v>0</v>
      </c>
      <c r="BM284" s="144">
        <f t="shared" si="633"/>
        <v>0</v>
      </c>
      <c r="BN284" s="144">
        <f t="shared" si="633"/>
        <v>0</v>
      </c>
      <c r="BO284" s="9">
        <f t="shared" ref="BO284:CT284" si="634">BO72/BO$211</f>
        <v>0</v>
      </c>
      <c r="BP284" s="144">
        <f t="shared" si="634"/>
        <v>0</v>
      </c>
      <c r="BQ284" s="144">
        <f t="shared" si="634"/>
        <v>0</v>
      </c>
      <c r="BR284" s="144">
        <f t="shared" si="634"/>
        <v>0</v>
      </c>
      <c r="BS284" s="144">
        <f t="shared" si="634"/>
        <v>0</v>
      </c>
      <c r="BT284" s="144">
        <f t="shared" si="634"/>
        <v>0</v>
      </c>
      <c r="BU284" s="144">
        <f t="shared" si="634"/>
        <v>0</v>
      </c>
      <c r="BV284" s="144">
        <f t="shared" si="634"/>
        <v>0</v>
      </c>
      <c r="BW284" s="144">
        <f t="shared" si="634"/>
        <v>0</v>
      </c>
      <c r="BX284" s="144">
        <f t="shared" si="634"/>
        <v>0</v>
      </c>
      <c r="BY284" s="144">
        <f t="shared" si="634"/>
        <v>0</v>
      </c>
      <c r="BZ284" s="144">
        <f t="shared" si="634"/>
        <v>0</v>
      </c>
      <c r="CA284" s="144">
        <f t="shared" si="634"/>
        <v>0</v>
      </c>
      <c r="CB284" s="9">
        <f t="shared" si="634"/>
        <v>0</v>
      </c>
      <c r="CC284" s="144">
        <f t="shared" si="634"/>
        <v>0</v>
      </c>
      <c r="CD284" s="144">
        <f t="shared" si="634"/>
        <v>0</v>
      </c>
      <c r="CE284" s="144">
        <f t="shared" si="634"/>
        <v>0</v>
      </c>
      <c r="CF284" s="144">
        <f t="shared" si="634"/>
        <v>0</v>
      </c>
      <c r="CG284" s="144">
        <f t="shared" si="634"/>
        <v>0</v>
      </c>
      <c r="CH284" s="144">
        <f t="shared" si="634"/>
        <v>0</v>
      </c>
      <c r="CI284" s="144">
        <f t="shared" si="634"/>
        <v>0</v>
      </c>
      <c r="CJ284" s="144">
        <f t="shared" si="634"/>
        <v>0</v>
      </c>
      <c r="CK284" s="144">
        <f t="shared" si="634"/>
        <v>0</v>
      </c>
      <c r="CL284" s="144">
        <f t="shared" si="634"/>
        <v>0</v>
      </c>
      <c r="CM284" s="144">
        <f t="shared" si="634"/>
        <v>0</v>
      </c>
      <c r="CN284" s="144">
        <f t="shared" si="634"/>
        <v>0</v>
      </c>
      <c r="CO284" s="9">
        <f t="shared" si="634"/>
        <v>0</v>
      </c>
      <c r="CP284" s="144">
        <f t="shared" si="634"/>
        <v>0</v>
      </c>
      <c r="CQ284" s="144">
        <f t="shared" si="634"/>
        <v>0</v>
      </c>
      <c r="CR284" s="144">
        <f t="shared" si="634"/>
        <v>0</v>
      </c>
      <c r="CS284" s="144">
        <f t="shared" si="634"/>
        <v>0</v>
      </c>
      <c r="CT284" s="144">
        <f t="shared" si="634"/>
        <v>0</v>
      </c>
      <c r="CU284" s="144">
        <f t="shared" ref="CU284:EB284" si="635">CU72/CU$211</f>
        <v>0</v>
      </c>
      <c r="CV284" s="144">
        <f t="shared" si="635"/>
        <v>0</v>
      </c>
      <c r="CW284" s="144">
        <f t="shared" si="635"/>
        <v>0</v>
      </c>
      <c r="CX284" s="144">
        <f t="shared" si="635"/>
        <v>0</v>
      </c>
      <c r="CY284" s="144">
        <f t="shared" si="635"/>
        <v>0</v>
      </c>
      <c r="CZ284" s="144">
        <f t="shared" si="635"/>
        <v>0</v>
      </c>
      <c r="DA284" s="144">
        <f t="shared" si="635"/>
        <v>0</v>
      </c>
      <c r="DB284" s="9">
        <f t="shared" si="635"/>
        <v>0</v>
      </c>
      <c r="DC284" s="144">
        <f t="shared" si="635"/>
        <v>0</v>
      </c>
      <c r="DD284" s="144">
        <f t="shared" si="635"/>
        <v>0</v>
      </c>
      <c r="DE284" s="144">
        <f t="shared" si="635"/>
        <v>0</v>
      </c>
      <c r="DF284" s="144">
        <f t="shared" si="635"/>
        <v>0</v>
      </c>
      <c r="DG284" s="144">
        <f t="shared" si="635"/>
        <v>0</v>
      </c>
      <c r="DH284" s="144">
        <f t="shared" si="635"/>
        <v>0</v>
      </c>
      <c r="DI284" s="144">
        <f t="shared" si="635"/>
        <v>0</v>
      </c>
      <c r="DJ284" s="144">
        <f t="shared" si="635"/>
        <v>0</v>
      </c>
      <c r="DK284" s="144">
        <f t="shared" si="635"/>
        <v>0</v>
      </c>
      <c r="DL284" s="144">
        <f t="shared" si="635"/>
        <v>0</v>
      </c>
      <c r="DM284" s="144">
        <f t="shared" si="635"/>
        <v>0</v>
      </c>
      <c r="DN284" s="144">
        <f t="shared" si="635"/>
        <v>0</v>
      </c>
      <c r="DO284" s="9">
        <f t="shared" si="635"/>
        <v>0</v>
      </c>
      <c r="DP284" s="144">
        <f t="shared" si="635"/>
        <v>0</v>
      </c>
      <c r="DQ284" s="144">
        <f t="shared" si="635"/>
        <v>0</v>
      </c>
      <c r="DR284" s="144">
        <f t="shared" si="635"/>
        <v>0</v>
      </c>
      <c r="DS284" s="144">
        <f t="shared" si="635"/>
        <v>0</v>
      </c>
      <c r="DT284" s="144">
        <f t="shared" si="635"/>
        <v>0</v>
      </c>
      <c r="DU284" s="144">
        <f t="shared" si="635"/>
        <v>0</v>
      </c>
      <c r="DV284" s="144">
        <f t="shared" si="635"/>
        <v>0</v>
      </c>
      <c r="DW284" s="144">
        <f t="shared" si="635"/>
        <v>0</v>
      </c>
      <c r="DX284" s="144">
        <f t="shared" si="635"/>
        <v>0</v>
      </c>
      <c r="DY284" s="144">
        <f t="shared" si="635"/>
        <v>0</v>
      </c>
      <c r="DZ284" s="144">
        <f t="shared" si="635"/>
        <v>0</v>
      </c>
      <c r="EA284" s="144">
        <f t="shared" si="635"/>
        <v>0</v>
      </c>
      <c r="EB284" s="117">
        <f t="shared" si="635"/>
        <v>0</v>
      </c>
      <c r="EC284" s="118"/>
      <c r="ED284" s="117">
        <f t="shared" ref="ED284:FB284" si="636">ED72/ED$211</f>
        <v>0</v>
      </c>
      <c r="EE284" s="117">
        <f t="shared" si="636"/>
        <v>0</v>
      </c>
      <c r="EF284" s="117">
        <f t="shared" si="636"/>
        <v>0</v>
      </c>
      <c r="EG284" s="117" t="e">
        <f t="shared" si="636"/>
        <v>#DIV/0!</v>
      </c>
      <c r="EH284" s="117" t="e">
        <f t="shared" si="636"/>
        <v>#DIV/0!</v>
      </c>
      <c r="EI284" s="117" t="e">
        <f t="shared" si="636"/>
        <v>#DIV/0!</v>
      </c>
      <c r="EJ284" s="117" t="e">
        <f t="shared" si="636"/>
        <v>#DIV/0!</v>
      </c>
      <c r="EK284" s="117" t="e">
        <f t="shared" si="636"/>
        <v>#DIV/0!</v>
      </c>
      <c r="EL284" s="117" t="e">
        <f t="shared" si="636"/>
        <v>#DIV/0!</v>
      </c>
      <c r="EM284" s="117" t="e">
        <f t="shared" si="636"/>
        <v>#DIV/0!</v>
      </c>
      <c r="EN284" s="117" t="e">
        <f t="shared" si="636"/>
        <v>#DIV/0!</v>
      </c>
      <c r="EO284" s="116">
        <f t="shared" si="636"/>
        <v>0</v>
      </c>
      <c r="EP284" s="117">
        <f t="shared" si="636"/>
        <v>0</v>
      </c>
      <c r="EQ284" s="117">
        <f t="shared" si="636"/>
        <v>0</v>
      </c>
      <c r="ER284" s="117">
        <f t="shared" si="636"/>
        <v>0</v>
      </c>
      <c r="ES284" s="117">
        <f t="shared" si="636"/>
        <v>0</v>
      </c>
      <c r="ET284" s="117">
        <f t="shared" si="636"/>
        <v>0</v>
      </c>
      <c r="EU284" s="117">
        <f t="shared" si="636"/>
        <v>0</v>
      </c>
      <c r="EV284" s="117">
        <f t="shared" si="636"/>
        <v>0</v>
      </c>
      <c r="EW284" s="117">
        <f t="shared" si="636"/>
        <v>0</v>
      </c>
      <c r="EX284" s="117">
        <f t="shared" si="636"/>
        <v>0</v>
      </c>
      <c r="EY284" s="117">
        <f t="shared" si="636"/>
        <v>0</v>
      </c>
      <c r="EZ284" s="117">
        <f t="shared" si="636"/>
        <v>0</v>
      </c>
      <c r="FA284" s="117">
        <f t="shared" si="636"/>
        <v>0</v>
      </c>
      <c r="FB284" s="117">
        <f t="shared" si="636"/>
        <v>0</v>
      </c>
      <c r="FC284" s="118"/>
      <c r="FD284" s="117"/>
      <c r="FE284" s="117"/>
      <c r="FF284" s="117"/>
      <c r="FG284" s="117"/>
      <c r="FH284" s="117"/>
      <c r="FI284" s="117"/>
      <c r="FJ284" s="117"/>
      <c r="FK284" s="117" t="e">
        <f t="shared" si="601"/>
        <v>#DIV/0!</v>
      </c>
      <c r="FL284" s="117" t="e">
        <f t="shared" si="602"/>
        <v>#DIV/0!</v>
      </c>
      <c r="FM284" s="117" t="e">
        <f t="shared" si="603"/>
        <v>#DIV/0!</v>
      </c>
      <c r="FN284" s="117" t="e">
        <f t="shared" si="604"/>
        <v>#DIV/0!</v>
      </c>
      <c r="FO284" s="9" t="e">
        <f t="shared" si="605"/>
        <v>#DIV/0!</v>
      </c>
      <c r="FP284" s="118">
        <f t="shared" ref="FP284:GB284" si="637">FP72/FP$211</f>
        <v>0</v>
      </c>
      <c r="FQ284" s="117">
        <f t="shared" si="637"/>
        <v>0</v>
      </c>
      <c r="FR284" s="117">
        <f t="shared" si="637"/>
        <v>0</v>
      </c>
      <c r="FS284" s="117">
        <f t="shared" si="637"/>
        <v>0</v>
      </c>
      <c r="FT284" s="117">
        <f t="shared" si="637"/>
        <v>0</v>
      </c>
      <c r="FU284" s="117">
        <f t="shared" si="637"/>
        <v>0</v>
      </c>
      <c r="FV284" s="117">
        <f t="shared" si="637"/>
        <v>0</v>
      </c>
      <c r="FW284" s="117">
        <f t="shared" si="637"/>
        <v>0</v>
      </c>
      <c r="FX284" s="117">
        <f t="shared" si="637"/>
        <v>0</v>
      </c>
      <c r="FY284" s="117">
        <f t="shared" si="637"/>
        <v>0</v>
      </c>
      <c r="FZ284" s="117">
        <f t="shared" si="637"/>
        <v>0</v>
      </c>
      <c r="GA284" s="117">
        <f t="shared" si="637"/>
        <v>0</v>
      </c>
      <c r="GB284" s="116">
        <f t="shared" si="637"/>
        <v>0</v>
      </c>
    </row>
    <row r="285" spans="1:184">
      <c r="A285" s="147" t="s">
        <v>171</v>
      </c>
      <c r="B285" s="160">
        <f t="shared" si="607"/>
        <v>-0.993440603738696</v>
      </c>
      <c r="C285" s="117">
        <f t="shared" ref="C285:AH285" si="638">C73/C$211</f>
        <v>2.30475033131741e-6</v>
      </c>
      <c r="D285" s="117">
        <f t="shared" si="638"/>
        <v>1.45957934216734e-7</v>
      </c>
      <c r="E285" s="117">
        <f t="shared" si="638"/>
        <v>0</v>
      </c>
      <c r="F285" s="117">
        <f t="shared" si="638"/>
        <v>6.82983371067571e-7</v>
      </c>
      <c r="G285" s="117">
        <f t="shared" si="638"/>
        <v>0</v>
      </c>
      <c r="H285" s="117">
        <f t="shared" si="638"/>
        <v>0</v>
      </c>
      <c r="I285" s="117">
        <f t="shared" si="638"/>
        <v>0</v>
      </c>
      <c r="J285" s="117">
        <f t="shared" si="638"/>
        <v>0</v>
      </c>
      <c r="K285" s="117">
        <f t="shared" si="638"/>
        <v>0</v>
      </c>
      <c r="L285" s="117">
        <f t="shared" si="638"/>
        <v>0</v>
      </c>
      <c r="M285" s="117">
        <f t="shared" si="638"/>
        <v>0</v>
      </c>
      <c r="N285" s="117">
        <f t="shared" si="638"/>
        <v>0</v>
      </c>
      <c r="O285" s="9">
        <f t="shared" si="638"/>
        <v>3.34496463038635e-7</v>
      </c>
      <c r="P285" s="117">
        <f t="shared" si="638"/>
        <v>0</v>
      </c>
      <c r="Q285" s="117">
        <f t="shared" si="638"/>
        <v>0</v>
      </c>
      <c r="R285" s="117">
        <f t="shared" si="638"/>
        <v>0</v>
      </c>
      <c r="S285" s="117">
        <f t="shared" si="638"/>
        <v>0</v>
      </c>
      <c r="T285" s="117">
        <f t="shared" si="638"/>
        <v>0</v>
      </c>
      <c r="U285" s="117">
        <f t="shared" si="638"/>
        <v>0</v>
      </c>
      <c r="V285" s="117">
        <f t="shared" si="638"/>
        <v>0</v>
      </c>
      <c r="W285" s="117">
        <f t="shared" si="638"/>
        <v>0</v>
      </c>
      <c r="X285" s="117">
        <f t="shared" si="638"/>
        <v>0</v>
      </c>
      <c r="Y285" s="117">
        <f t="shared" si="638"/>
        <v>0</v>
      </c>
      <c r="Z285" s="117">
        <f t="shared" si="638"/>
        <v>0</v>
      </c>
      <c r="AA285" s="117">
        <f t="shared" si="638"/>
        <v>0</v>
      </c>
      <c r="AB285" s="9">
        <f t="shared" si="638"/>
        <v>0</v>
      </c>
      <c r="AC285" s="117">
        <f t="shared" si="638"/>
        <v>0</v>
      </c>
      <c r="AD285" s="117">
        <f t="shared" si="638"/>
        <v>0</v>
      </c>
      <c r="AE285" s="117">
        <f t="shared" si="638"/>
        <v>0</v>
      </c>
      <c r="AF285" s="117">
        <f t="shared" si="638"/>
        <v>0</v>
      </c>
      <c r="AG285" s="117">
        <f t="shared" si="638"/>
        <v>0</v>
      </c>
      <c r="AH285" s="117">
        <f t="shared" si="638"/>
        <v>0</v>
      </c>
      <c r="AI285" s="117">
        <f t="shared" ref="AI285:BN285" si="639">AI73/AI$211</f>
        <v>0</v>
      </c>
      <c r="AJ285" s="117">
        <f t="shared" si="639"/>
        <v>0</v>
      </c>
      <c r="AK285" s="117">
        <f t="shared" si="639"/>
        <v>0</v>
      </c>
      <c r="AL285" s="117">
        <f t="shared" si="639"/>
        <v>0</v>
      </c>
      <c r="AM285" s="117">
        <f t="shared" si="639"/>
        <v>0</v>
      </c>
      <c r="AN285" s="117">
        <f t="shared" si="639"/>
        <v>0</v>
      </c>
      <c r="AO285" s="9">
        <f t="shared" si="639"/>
        <v>0</v>
      </c>
      <c r="AP285" s="144">
        <f t="shared" si="639"/>
        <v>0</v>
      </c>
      <c r="AQ285" s="144">
        <f t="shared" si="639"/>
        <v>0</v>
      </c>
      <c r="AR285" s="144">
        <f t="shared" si="639"/>
        <v>0</v>
      </c>
      <c r="AS285" s="144">
        <f t="shared" si="639"/>
        <v>0</v>
      </c>
      <c r="AT285" s="144">
        <f t="shared" si="639"/>
        <v>0</v>
      </c>
      <c r="AU285" s="144">
        <f t="shared" si="639"/>
        <v>0</v>
      </c>
      <c r="AV285" s="144">
        <f t="shared" si="639"/>
        <v>0</v>
      </c>
      <c r="AW285" s="144">
        <f t="shared" si="639"/>
        <v>0</v>
      </c>
      <c r="AX285" s="144">
        <f t="shared" si="639"/>
        <v>0</v>
      </c>
      <c r="AY285" s="144">
        <f t="shared" si="639"/>
        <v>0</v>
      </c>
      <c r="AZ285" s="144">
        <f t="shared" si="639"/>
        <v>0</v>
      </c>
      <c r="BA285" s="144">
        <f t="shared" si="639"/>
        <v>0</v>
      </c>
      <c r="BB285" s="9">
        <f t="shared" si="639"/>
        <v>0</v>
      </c>
      <c r="BC285" s="144">
        <f t="shared" si="639"/>
        <v>0</v>
      </c>
      <c r="BD285" s="144">
        <f t="shared" si="639"/>
        <v>0</v>
      </c>
      <c r="BE285" s="144">
        <f t="shared" si="639"/>
        <v>0</v>
      </c>
      <c r="BF285" s="144">
        <f t="shared" si="639"/>
        <v>0</v>
      </c>
      <c r="BG285" s="144">
        <f t="shared" si="639"/>
        <v>0</v>
      </c>
      <c r="BH285" s="144">
        <f t="shared" si="639"/>
        <v>0</v>
      </c>
      <c r="BI285" s="144">
        <f t="shared" si="639"/>
        <v>0</v>
      </c>
      <c r="BJ285" s="144">
        <f t="shared" si="639"/>
        <v>0</v>
      </c>
      <c r="BK285" s="144">
        <f t="shared" si="639"/>
        <v>0</v>
      </c>
      <c r="BL285" s="144">
        <f t="shared" si="639"/>
        <v>0</v>
      </c>
      <c r="BM285" s="144">
        <f t="shared" si="639"/>
        <v>0</v>
      </c>
      <c r="BN285" s="144">
        <f t="shared" si="639"/>
        <v>0</v>
      </c>
      <c r="BO285" s="9">
        <f t="shared" ref="BO285:CT285" si="640">BO73/BO$211</f>
        <v>0</v>
      </c>
      <c r="BP285" s="144">
        <f t="shared" si="640"/>
        <v>1.10418285182466e-5</v>
      </c>
      <c r="BQ285" s="144">
        <f t="shared" si="640"/>
        <v>0</v>
      </c>
      <c r="BR285" s="144">
        <f t="shared" si="640"/>
        <v>0</v>
      </c>
      <c r="BS285" s="144">
        <f t="shared" si="640"/>
        <v>0</v>
      </c>
      <c r="BT285" s="144">
        <f t="shared" si="640"/>
        <v>0</v>
      </c>
      <c r="BU285" s="144">
        <f t="shared" si="640"/>
        <v>0</v>
      </c>
      <c r="BV285" s="144">
        <f t="shared" si="640"/>
        <v>0</v>
      </c>
      <c r="BW285" s="144">
        <f t="shared" si="640"/>
        <v>0</v>
      </c>
      <c r="BX285" s="144">
        <f t="shared" si="640"/>
        <v>0</v>
      </c>
      <c r="BY285" s="144">
        <f t="shared" si="640"/>
        <v>0</v>
      </c>
      <c r="BZ285" s="144">
        <f t="shared" si="640"/>
        <v>0</v>
      </c>
      <c r="CA285" s="144">
        <f t="shared" si="640"/>
        <v>0</v>
      </c>
      <c r="CB285" s="9">
        <f t="shared" si="640"/>
        <v>1.46958810931865e-6</v>
      </c>
      <c r="CC285" s="144">
        <f t="shared" si="640"/>
        <v>0</v>
      </c>
      <c r="CD285" s="144">
        <f t="shared" si="640"/>
        <v>0</v>
      </c>
      <c r="CE285" s="144">
        <f t="shared" si="640"/>
        <v>0</v>
      </c>
      <c r="CF285" s="144">
        <f t="shared" si="640"/>
        <v>0</v>
      </c>
      <c r="CG285" s="144">
        <f t="shared" si="640"/>
        <v>0</v>
      </c>
      <c r="CH285" s="144">
        <f t="shared" si="640"/>
        <v>0</v>
      </c>
      <c r="CI285" s="144">
        <f t="shared" si="640"/>
        <v>0</v>
      </c>
      <c r="CJ285" s="144">
        <f t="shared" si="640"/>
        <v>0</v>
      </c>
      <c r="CK285" s="144">
        <f t="shared" si="640"/>
        <v>0</v>
      </c>
      <c r="CL285" s="144">
        <f t="shared" si="640"/>
        <v>0</v>
      </c>
      <c r="CM285" s="144">
        <f t="shared" si="640"/>
        <v>0</v>
      </c>
      <c r="CN285" s="144">
        <f t="shared" si="640"/>
        <v>0</v>
      </c>
      <c r="CO285" s="9">
        <f t="shared" si="640"/>
        <v>0</v>
      </c>
      <c r="CP285" s="144">
        <f t="shared" si="640"/>
        <v>0</v>
      </c>
      <c r="CQ285" s="144">
        <f t="shared" si="640"/>
        <v>0</v>
      </c>
      <c r="CR285" s="144">
        <f t="shared" si="640"/>
        <v>0</v>
      </c>
      <c r="CS285" s="144">
        <f t="shared" si="640"/>
        <v>0</v>
      </c>
      <c r="CT285" s="144">
        <f t="shared" si="640"/>
        <v>0</v>
      </c>
      <c r="CU285" s="144">
        <f t="shared" ref="CU285:EB285" si="641">CU73/CU$211</f>
        <v>0</v>
      </c>
      <c r="CV285" s="144">
        <f t="shared" si="641"/>
        <v>0</v>
      </c>
      <c r="CW285" s="144">
        <f t="shared" si="641"/>
        <v>0</v>
      </c>
      <c r="CX285" s="144">
        <f t="shared" si="641"/>
        <v>0</v>
      </c>
      <c r="CY285" s="144">
        <f t="shared" si="641"/>
        <v>0</v>
      </c>
      <c r="CZ285" s="144">
        <f t="shared" si="641"/>
        <v>0</v>
      </c>
      <c r="DA285" s="144">
        <f t="shared" si="641"/>
        <v>0</v>
      </c>
      <c r="DB285" s="9">
        <f t="shared" si="641"/>
        <v>0</v>
      </c>
      <c r="DC285" s="144">
        <f t="shared" si="641"/>
        <v>0</v>
      </c>
      <c r="DD285" s="144">
        <f t="shared" si="641"/>
        <v>0</v>
      </c>
      <c r="DE285" s="144">
        <f t="shared" si="641"/>
        <v>0</v>
      </c>
      <c r="DF285" s="144">
        <f t="shared" si="641"/>
        <v>0</v>
      </c>
      <c r="DG285" s="144">
        <f t="shared" si="641"/>
        <v>0</v>
      </c>
      <c r="DH285" s="144">
        <f t="shared" si="641"/>
        <v>0</v>
      </c>
      <c r="DI285" s="144">
        <f t="shared" si="641"/>
        <v>0</v>
      </c>
      <c r="DJ285" s="144">
        <f t="shared" si="641"/>
        <v>0</v>
      </c>
      <c r="DK285" s="144">
        <f t="shared" si="641"/>
        <v>0</v>
      </c>
      <c r="DL285" s="144">
        <f t="shared" si="641"/>
        <v>0</v>
      </c>
      <c r="DM285" s="144">
        <f t="shared" si="641"/>
        <v>0</v>
      </c>
      <c r="DN285" s="144">
        <f t="shared" si="641"/>
        <v>0</v>
      </c>
      <c r="DO285" s="9">
        <f t="shared" si="641"/>
        <v>0</v>
      </c>
      <c r="DP285" s="144">
        <f t="shared" si="641"/>
        <v>0</v>
      </c>
      <c r="DQ285" s="144">
        <f t="shared" si="641"/>
        <v>0</v>
      </c>
      <c r="DR285" s="144">
        <f t="shared" si="641"/>
        <v>0</v>
      </c>
      <c r="DS285" s="144">
        <f t="shared" si="641"/>
        <v>0</v>
      </c>
      <c r="DT285" s="144">
        <f t="shared" si="641"/>
        <v>0</v>
      </c>
      <c r="DU285" s="144">
        <f t="shared" si="641"/>
        <v>0</v>
      </c>
      <c r="DV285" s="144">
        <f t="shared" si="641"/>
        <v>0</v>
      </c>
      <c r="DW285" s="144">
        <f t="shared" si="641"/>
        <v>0</v>
      </c>
      <c r="DX285" s="144">
        <f t="shared" si="641"/>
        <v>0</v>
      </c>
      <c r="DY285" s="144">
        <f t="shared" si="641"/>
        <v>0</v>
      </c>
      <c r="DZ285" s="144">
        <f t="shared" si="641"/>
        <v>0</v>
      </c>
      <c r="EA285" s="144">
        <f t="shared" si="641"/>
        <v>0</v>
      </c>
      <c r="EB285" s="117">
        <f t="shared" si="641"/>
        <v>0</v>
      </c>
      <c r="EC285" s="118"/>
      <c r="ED285" s="117">
        <f t="shared" ref="ED285:FB285" si="642">ED73/ED$211</f>
        <v>0</v>
      </c>
      <c r="EE285" s="117">
        <f t="shared" si="642"/>
        <v>0</v>
      </c>
      <c r="EF285" s="117">
        <f t="shared" si="642"/>
        <v>0</v>
      </c>
      <c r="EG285" s="117" t="e">
        <f t="shared" si="642"/>
        <v>#DIV/0!</v>
      </c>
      <c r="EH285" s="117" t="e">
        <f t="shared" si="642"/>
        <v>#DIV/0!</v>
      </c>
      <c r="EI285" s="117" t="e">
        <f t="shared" si="642"/>
        <v>#DIV/0!</v>
      </c>
      <c r="EJ285" s="117" t="e">
        <f t="shared" si="642"/>
        <v>#DIV/0!</v>
      </c>
      <c r="EK285" s="117" t="e">
        <f t="shared" si="642"/>
        <v>#DIV/0!</v>
      </c>
      <c r="EL285" s="117" t="e">
        <f t="shared" si="642"/>
        <v>#DIV/0!</v>
      </c>
      <c r="EM285" s="117" t="e">
        <f t="shared" si="642"/>
        <v>#DIV/0!</v>
      </c>
      <c r="EN285" s="117" t="e">
        <f t="shared" si="642"/>
        <v>#DIV/0!</v>
      </c>
      <c r="EO285" s="116">
        <f t="shared" si="642"/>
        <v>0</v>
      </c>
      <c r="EP285" s="117">
        <f t="shared" si="642"/>
        <v>0</v>
      </c>
      <c r="EQ285" s="117">
        <f t="shared" si="642"/>
        <v>0</v>
      </c>
      <c r="ER285" s="117">
        <f t="shared" si="642"/>
        <v>0</v>
      </c>
      <c r="ES285" s="117">
        <f t="shared" si="642"/>
        <v>0</v>
      </c>
      <c r="ET285" s="117">
        <f t="shared" si="642"/>
        <v>0</v>
      </c>
      <c r="EU285" s="117">
        <f t="shared" si="642"/>
        <v>0</v>
      </c>
      <c r="EV285" s="117">
        <f t="shared" si="642"/>
        <v>0</v>
      </c>
      <c r="EW285" s="117">
        <f t="shared" si="642"/>
        <v>0</v>
      </c>
      <c r="EX285" s="117">
        <f t="shared" si="642"/>
        <v>0</v>
      </c>
      <c r="EY285" s="117">
        <f t="shared" si="642"/>
        <v>0</v>
      </c>
      <c r="EZ285" s="117">
        <f t="shared" si="642"/>
        <v>0</v>
      </c>
      <c r="FA285" s="117">
        <f t="shared" si="642"/>
        <v>0</v>
      </c>
      <c r="FB285" s="117">
        <f t="shared" si="642"/>
        <v>0</v>
      </c>
      <c r="FC285" s="118"/>
      <c r="FD285" s="117"/>
      <c r="FE285" s="117"/>
      <c r="FF285" s="117"/>
      <c r="FG285" s="117"/>
      <c r="FH285" s="117"/>
      <c r="FI285" s="117"/>
      <c r="FJ285" s="117"/>
      <c r="FK285" s="117" t="e">
        <f t="shared" si="601"/>
        <v>#DIV/0!</v>
      </c>
      <c r="FL285" s="117" t="e">
        <f t="shared" si="602"/>
        <v>#DIV/0!</v>
      </c>
      <c r="FM285" s="117" t="e">
        <f t="shared" si="603"/>
        <v>#DIV/0!</v>
      </c>
      <c r="FN285" s="117" t="e">
        <f t="shared" si="604"/>
        <v>#DIV/0!</v>
      </c>
      <c r="FO285" s="9" t="e">
        <f t="shared" si="605"/>
        <v>#DIV/0!</v>
      </c>
      <c r="FP285" s="118">
        <f t="shared" ref="FP285:GB285" si="643">FP73/FP$211</f>
        <v>0</v>
      </c>
      <c r="FQ285" s="117">
        <f t="shared" si="643"/>
        <v>6.00306153328735e-7</v>
      </c>
      <c r="FR285" s="117">
        <f t="shared" si="643"/>
        <v>0</v>
      </c>
      <c r="FS285" s="117">
        <f t="shared" si="643"/>
        <v>2.80703804327717e-6</v>
      </c>
      <c r="FT285" s="117">
        <f t="shared" si="643"/>
        <v>0</v>
      </c>
      <c r="FU285" s="117">
        <f t="shared" si="643"/>
        <v>0</v>
      </c>
      <c r="FV285" s="117">
        <f t="shared" si="643"/>
        <v>0</v>
      </c>
      <c r="FW285" s="117">
        <f t="shared" si="643"/>
        <v>0</v>
      </c>
      <c r="FX285" s="117">
        <f t="shared" si="643"/>
        <v>0</v>
      </c>
      <c r="FY285" s="117">
        <f t="shared" si="643"/>
        <v>0</v>
      </c>
      <c r="FZ285" s="117">
        <f t="shared" si="643"/>
        <v>0</v>
      </c>
      <c r="GA285" s="117">
        <f t="shared" si="643"/>
        <v>0</v>
      </c>
      <c r="GB285" s="116">
        <f t="shared" si="643"/>
        <v>2.63970936773655e-7</v>
      </c>
    </row>
    <row r="286" spans="1:184">
      <c r="A286" s="147" t="s">
        <v>173</v>
      </c>
      <c r="B286" s="160">
        <f t="shared" si="607"/>
        <v>-0.978522829735917</v>
      </c>
      <c r="C286" s="117">
        <f t="shared" ref="C286:AH286" si="644">C74/C$211</f>
        <v>2.7635246724451e-6</v>
      </c>
      <c r="D286" s="117">
        <f t="shared" si="644"/>
        <v>4.90121424183147e-7</v>
      </c>
      <c r="E286" s="117">
        <f t="shared" si="644"/>
        <v>2.04187639228035e-6</v>
      </c>
      <c r="F286" s="117">
        <f t="shared" si="644"/>
        <v>3.35555173374534e-6</v>
      </c>
      <c r="G286" s="117">
        <f t="shared" si="644"/>
        <v>0</v>
      </c>
      <c r="H286" s="117">
        <f t="shared" si="644"/>
        <v>0</v>
      </c>
      <c r="I286" s="117">
        <f t="shared" si="644"/>
        <v>0</v>
      </c>
      <c r="J286" s="117">
        <f t="shared" si="644"/>
        <v>0</v>
      </c>
      <c r="K286" s="117">
        <f t="shared" si="644"/>
        <v>0</v>
      </c>
      <c r="L286" s="117">
        <f t="shared" si="644"/>
        <v>0</v>
      </c>
      <c r="M286" s="117">
        <f t="shared" si="644"/>
        <v>0</v>
      </c>
      <c r="N286" s="117">
        <f t="shared" si="644"/>
        <v>0</v>
      </c>
      <c r="O286" s="9">
        <f t="shared" si="644"/>
        <v>7.8825411739115e-7</v>
      </c>
      <c r="P286" s="117">
        <f t="shared" si="644"/>
        <v>3.49454621464772e-6</v>
      </c>
      <c r="Q286" s="117">
        <f t="shared" si="644"/>
        <v>0</v>
      </c>
      <c r="R286" s="117">
        <f t="shared" si="644"/>
        <v>0</v>
      </c>
      <c r="S286" s="117">
        <f t="shared" si="644"/>
        <v>0</v>
      </c>
      <c r="T286" s="117">
        <f t="shared" si="644"/>
        <v>0</v>
      </c>
      <c r="U286" s="117">
        <f t="shared" si="644"/>
        <v>0</v>
      </c>
      <c r="V286" s="117">
        <f t="shared" si="644"/>
        <v>0</v>
      </c>
      <c r="W286" s="117">
        <f t="shared" si="644"/>
        <v>0</v>
      </c>
      <c r="X286" s="117">
        <f t="shared" si="644"/>
        <v>0</v>
      </c>
      <c r="Y286" s="117">
        <f t="shared" si="644"/>
        <v>0</v>
      </c>
      <c r="Z286" s="117">
        <f t="shared" si="644"/>
        <v>0</v>
      </c>
      <c r="AA286" s="117">
        <f t="shared" si="644"/>
        <v>0</v>
      </c>
      <c r="AB286" s="9">
        <f t="shared" si="644"/>
        <v>3.96430252980525e-7</v>
      </c>
      <c r="AC286" s="117">
        <f t="shared" si="644"/>
        <v>0</v>
      </c>
      <c r="AD286" s="117">
        <f t="shared" si="644"/>
        <v>0</v>
      </c>
      <c r="AE286" s="117">
        <f t="shared" si="644"/>
        <v>0</v>
      </c>
      <c r="AF286" s="117">
        <f t="shared" si="644"/>
        <v>0</v>
      </c>
      <c r="AG286" s="117">
        <f t="shared" si="644"/>
        <v>0</v>
      </c>
      <c r="AH286" s="117">
        <f t="shared" si="644"/>
        <v>0</v>
      </c>
      <c r="AI286" s="117">
        <f t="shared" ref="AI286:BN286" si="645">AI74/AI$211</f>
        <v>0</v>
      </c>
      <c r="AJ286" s="117">
        <f t="shared" si="645"/>
        <v>0</v>
      </c>
      <c r="AK286" s="117">
        <f t="shared" si="645"/>
        <v>0</v>
      </c>
      <c r="AL286" s="117">
        <f t="shared" si="645"/>
        <v>0</v>
      </c>
      <c r="AM286" s="117">
        <f t="shared" si="645"/>
        <v>0</v>
      </c>
      <c r="AN286" s="117">
        <f t="shared" si="645"/>
        <v>0</v>
      </c>
      <c r="AO286" s="9">
        <f t="shared" si="645"/>
        <v>0</v>
      </c>
      <c r="AP286" s="144">
        <f t="shared" si="645"/>
        <v>0</v>
      </c>
      <c r="AQ286" s="144">
        <f t="shared" si="645"/>
        <v>0</v>
      </c>
      <c r="AR286" s="144">
        <f t="shared" si="645"/>
        <v>0</v>
      </c>
      <c r="AS286" s="144">
        <f t="shared" si="645"/>
        <v>0</v>
      </c>
      <c r="AT286" s="144">
        <f t="shared" si="645"/>
        <v>0</v>
      </c>
      <c r="AU286" s="144">
        <f t="shared" si="645"/>
        <v>0</v>
      </c>
      <c r="AV286" s="144">
        <f t="shared" si="645"/>
        <v>0</v>
      </c>
      <c r="AW286" s="144">
        <f t="shared" si="645"/>
        <v>0</v>
      </c>
      <c r="AX286" s="144">
        <f t="shared" si="645"/>
        <v>0</v>
      </c>
      <c r="AY286" s="144">
        <f t="shared" si="645"/>
        <v>0</v>
      </c>
      <c r="AZ286" s="144">
        <f t="shared" si="645"/>
        <v>0</v>
      </c>
      <c r="BA286" s="144">
        <f t="shared" si="645"/>
        <v>0</v>
      </c>
      <c r="BB286" s="9">
        <f t="shared" si="645"/>
        <v>0</v>
      </c>
      <c r="BC286" s="144">
        <f t="shared" si="645"/>
        <v>0</v>
      </c>
      <c r="BD286" s="144">
        <f t="shared" si="645"/>
        <v>0</v>
      </c>
      <c r="BE286" s="144">
        <f t="shared" si="645"/>
        <v>0</v>
      </c>
      <c r="BF286" s="144">
        <f t="shared" si="645"/>
        <v>0</v>
      </c>
      <c r="BG286" s="144">
        <f t="shared" si="645"/>
        <v>0</v>
      </c>
      <c r="BH286" s="144">
        <f t="shared" si="645"/>
        <v>0</v>
      </c>
      <c r="BI286" s="144">
        <f t="shared" si="645"/>
        <v>0</v>
      </c>
      <c r="BJ286" s="144">
        <f t="shared" si="645"/>
        <v>0</v>
      </c>
      <c r="BK286" s="144">
        <f t="shared" si="645"/>
        <v>0</v>
      </c>
      <c r="BL286" s="144">
        <f t="shared" si="645"/>
        <v>0</v>
      </c>
      <c r="BM286" s="144">
        <f t="shared" si="645"/>
        <v>0</v>
      </c>
      <c r="BN286" s="144">
        <f t="shared" si="645"/>
        <v>0</v>
      </c>
      <c r="BO286" s="9">
        <f t="shared" ref="BO286:CT286" si="646">BO74/BO$211</f>
        <v>0</v>
      </c>
      <c r="BP286" s="144">
        <f t="shared" si="646"/>
        <v>0</v>
      </c>
      <c r="BQ286" s="144">
        <f t="shared" si="646"/>
        <v>0</v>
      </c>
      <c r="BR286" s="144">
        <f t="shared" si="646"/>
        <v>0</v>
      </c>
      <c r="BS286" s="144">
        <f t="shared" si="646"/>
        <v>0</v>
      </c>
      <c r="BT286" s="144">
        <f t="shared" si="646"/>
        <v>0</v>
      </c>
      <c r="BU286" s="144">
        <f t="shared" si="646"/>
        <v>0</v>
      </c>
      <c r="BV286" s="144">
        <f t="shared" si="646"/>
        <v>0</v>
      </c>
      <c r="BW286" s="144">
        <f t="shared" si="646"/>
        <v>0</v>
      </c>
      <c r="BX286" s="144">
        <f t="shared" si="646"/>
        <v>0</v>
      </c>
      <c r="BY286" s="144">
        <f t="shared" si="646"/>
        <v>0</v>
      </c>
      <c r="BZ286" s="144">
        <f t="shared" si="646"/>
        <v>0</v>
      </c>
      <c r="CA286" s="144">
        <f t="shared" si="646"/>
        <v>0</v>
      </c>
      <c r="CB286" s="9">
        <f t="shared" si="646"/>
        <v>0</v>
      </c>
      <c r="CC286" s="144">
        <f t="shared" si="646"/>
        <v>0</v>
      </c>
      <c r="CD286" s="144">
        <f t="shared" si="646"/>
        <v>0</v>
      </c>
      <c r="CE286" s="144">
        <f t="shared" si="646"/>
        <v>0</v>
      </c>
      <c r="CF286" s="144">
        <f t="shared" si="646"/>
        <v>0</v>
      </c>
      <c r="CG286" s="144">
        <f t="shared" si="646"/>
        <v>0</v>
      </c>
      <c r="CH286" s="144">
        <f t="shared" si="646"/>
        <v>0</v>
      </c>
      <c r="CI286" s="144">
        <f t="shared" si="646"/>
        <v>0</v>
      </c>
      <c r="CJ286" s="144">
        <f t="shared" si="646"/>
        <v>0</v>
      </c>
      <c r="CK286" s="144">
        <f t="shared" si="646"/>
        <v>0</v>
      </c>
      <c r="CL286" s="144">
        <f t="shared" si="646"/>
        <v>0</v>
      </c>
      <c r="CM286" s="144">
        <f t="shared" si="646"/>
        <v>0</v>
      </c>
      <c r="CN286" s="144">
        <f t="shared" si="646"/>
        <v>0</v>
      </c>
      <c r="CO286" s="9">
        <f t="shared" si="646"/>
        <v>0</v>
      </c>
      <c r="CP286" s="144">
        <f t="shared" si="646"/>
        <v>0</v>
      </c>
      <c r="CQ286" s="144">
        <f t="shared" si="646"/>
        <v>0</v>
      </c>
      <c r="CR286" s="144">
        <f t="shared" si="646"/>
        <v>0</v>
      </c>
      <c r="CS286" s="144">
        <f t="shared" si="646"/>
        <v>0</v>
      </c>
      <c r="CT286" s="144">
        <f t="shared" si="646"/>
        <v>0</v>
      </c>
      <c r="CU286" s="144">
        <f t="shared" ref="CU286:EB286" si="647">CU74/CU$211</f>
        <v>0</v>
      </c>
      <c r="CV286" s="144">
        <f t="shared" si="647"/>
        <v>0</v>
      </c>
      <c r="CW286" s="144">
        <f t="shared" si="647"/>
        <v>0</v>
      </c>
      <c r="CX286" s="144">
        <f t="shared" si="647"/>
        <v>0</v>
      </c>
      <c r="CY286" s="144">
        <f t="shared" si="647"/>
        <v>0</v>
      </c>
      <c r="CZ286" s="144">
        <f t="shared" si="647"/>
        <v>0</v>
      </c>
      <c r="DA286" s="144">
        <f t="shared" si="647"/>
        <v>0</v>
      </c>
      <c r="DB286" s="9">
        <f t="shared" si="647"/>
        <v>0</v>
      </c>
      <c r="DC286" s="144">
        <f t="shared" si="647"/>
        <v>0</v>
      </c>
      <c r="DD286" s="144">
        <f t="shared" si="647"/>
        <v>0</v>
      </c>
      <c r="DE286" s="144">
        <f t="shared" si="647"/>
        <v>0</v>
      </c>
      <c r="DF286" s="144">
        <f t="shared" si="647"/>
        <v>0</v>
      </c>
      <c r="DG286" s="144">
        <f t="shared" si="647"/>
        <v>0</v>
      </c>
      <c r="DH286" s="144">
        <f t="shared" si="647"/>
        <v>0</v>
      </c>
      <c r="DI286" s="144">
        <f t="shared" si="647"/>
        <v>0</v>
      </c>
      <c r="DJ286" s="144">
        <f t="shared" si="647"/>
        <v>0</v>
      </c>
      <c r="DK286" s="144">
        <f t="shared" si="647"/>
        <v>0</v>
      </c>
      <c r="DL286" s="144">
        <f t="shared" si="647"/>
        <v>0</v>
      </c>
      <c r="DM286" s="144">
        <f t="shared" si="647"/>
        <v>0</v>
      </c>
      <c r="DN286" s="144">
        <f t="shared" si="647"/>
        <v>0</v>
      </c>
      <c r="DO286" s="9">
        <f t="shared" si="647"/>
        <v>0</v>
      </c>
      <c r="DP286" s="144">
        <f t="shared" si="647"/>
        <v>0</v>
      </c>
      <c r="DQ286" s="144">
        <f t="shared" si="647"/>
        <v>2.70939842899986e-6</v>
      </c>
      <c r="DR286" s="144">
        <f t="shared" si="647"/>
        <v>0</v>
      </c>
      <c r="DS286" s="144">
        <f t="shared" si="647"/>
        <v>2.24358367120748e-5</v>
      </c>
      <c r="DT286" s="144">
        <f t="shared" si="647"/>
        <v>0</v>
      </c>
      <c r="DU286" s="144">
        <f t="shared" si="647"/>
        <v>0</v>
      </c>
      <c r="DV286" s="144">
        <f t="shared" si="647"/>
        <v>0</v>
      </c>
      <c r="DW286" s="144">
        <f t="shared" si="647"/>
        <v>0</v>
      </c>
      <c r="DX286" s="144">
        <f t="shared" si="647"/>
        <v>0</v>
      </c>
      <c r="DY286" s="144">
        <f t="shared" si="647"/>
        <v>0</v>
      </c>
      <c r="DZ286" s="144">
        <f t="shared" si="647"/>
        <v>0</v>
      </c>
      <c r="EA286" s="144">
        <f t="shared" si="647"/>
        <v>0</v>
      </c>
      <c r="EB286" s="117">
        <f t="shared" si="647"/>
        <v>2.26782175649854e-6</v>
      </c>
      <c r="EC286" s="118"/>
      <c r="ED286" s="117">
        <f t="shared" ref="ED286:FB286" si="648">ED74/ED$211</f>
        <v>0</v>
      </c>
      <c r="EE286" s="117">
        <f t="shared" si="648"/>
        <v>0</v>
      </c>
      <c r="EF286" s="117">
        <f t="shared" si="648"/>
        <v>0</v>
      </c>
      <c r="EG286" s="117" t="e">
        <f t="shared" si="648"/>
        <v>#DIV/0!</v>
      </c>
      <c r="EH286" s="117" t="e">
        <f t="shared" si="648"/>
        <v>#DIV/0!</v>
      </c>
      <c r="EI286" s="117" t="e">
        <f t="shared" si="648"/>
        <v>#DIV/0!</v>
      </c>
      <c r="EJ286" s="117" t="e">
        <f t="shared" si="648"/>
        <v>#DIV/0!</v>
      </c>
      <c r="EK286" s="117" t="e">
        <f t="shared" si="648"/>
        <v>#DIV/0!</v>
      </c>
      <c r="EL286" s="117" t="e">
        <f t="shared" si="648"/>
        <v>#DIV/0!</v>
      </c>
      <c r="EM286" s="117" t="e">
        <f t="shared" si="648"/>
        <v>#DIV/0!</v>
      </c>
      <c r="EN286" s="117" t="e">
        <f t="shared" si="648"/>
        <v>#DIV/0!</v>
      </c>
      <c r="EO286" s="116">
        <f t="shared" si="648"/>
        <v>0</v>
      </c>
      <c r="EP286" s="117">
        <f t="shared" si="648"/>
        <v>0</v>
      </c>
      <c r="EQ286" s="117">
        <f t="shared" si="648"/>
        <v>0</v>
      </c>
      <c r="ER286" s="117">
        <f t="shared" si="648"/>
        <v>0</v>
      </c>
      <c r="ES286" s="117">
        <f t="shared" si="648"/>
        <v>0</v>
      </c>
      <c r="ET286" s="117">
        <f t="shared" si="648"/>
        <v>0</v>
      </c>
      <c r="EU286" s="117">
        <f t="shared" si="648"/>
        <v>0</v>
      </c>
      <c r="EV286" s="117">
        <f t="shared" si="648"/>
        <v>0</v>
      </c>
      <c r="EW286" s="117">
        <f t="shared" si="648"/>
        <v>0</v>
      </c>
      <c r="EX286" s="117">
        <f t="shared" si="648"/>
        <v>0</v>
      </c>
      <c r="EY286" s="117">
        <f t="shared" si="648"/>
        <v>0</v>
      </c>
      <c r="EZ286" s="117">
        <f t="shared" si="648"/>
        <v>0</v>
      </c>
      <c r="FA286" s="117">
        <f t="shared" si="648"/>
        <v>0</v>
      </c>
      <c r="FB286" s="117">
        <f t="shared" si="648"/>
        <v>0</v>
      </c>
      <c r="FC286" s="118"/>
      <c r="FD286" s="117"/>
      <c r="FE286" s="117"/>
      <c r="FF286" s="117"/>
      <c r="FG286" s="117"/>
      <c r="FH286" s="117"/>
      <c r="FI286" s="117"/>
      <c r="FJ286" s="117"/>
      <c r="FK286" s="117" t="e">
        <f t="shared" si="601"/>
        <v>#DIV/0!</v>
      </c>
      <c r="FL286" s="117" t="e">
        <f t="shared" si="602"/>
        <v>#DIV/0!</v>
      </c>
      <c r="FM286" s="117" t="e">
        <f t="shared" si="603"/>
        <v>#DIV/0!</v>
      </c>
      <c r="FN286" s="117" t="e">
        <f t="shared" si="604"/>
        <v>#DIV/0!</v>
      </c>
      <c r="FO286" s="9" t="e">
        <f t="shared" si="605"/>
        <v>#DIV/0!</v>
      </c>
      <c r="FP286" s="118">
        <f t="shared" ref="FP286:GB286" si="649">FP74/FP$211</f>
        <v>8.82053590801756e-6</v>
      </c>
      <c r="FQ286" s="117">
        <f t="shared" si="649"/>
        <v>1.18212904203217e-6</v>
      </c>
      <c r="FR286" s="117">
        <f t="shared" si="649"/>
        <v>7.64062862854061e-6</v>
      </c>
      <c r="FS286" s="117">
        <f t="shared" si="649"/>
        <v>4.94762767494058e-6</v>
      </c>
      <c r="FT286" s="117">
        <f t="shared" si="649"/>
        <v>0</v>
      </c>
      <c r="FU286" s="117">
        <f t="shared" si="649"/>
        <v>0</v>
      </c>
      <c r="FV286" s="117">
        <f t="shared" si="649"/>
        <v>0</v>
      </c>
      <c r="FW286" s="117">
        <f t="shared" si="649"/>
        <v>0</v>
      </c>
      <c r="FX286" s="117">
        <f t="shared" si="649"/>
        <v>0</v>
      </c>
      <c r="FY286" s="117">
        <f t="shared" si="649"/>
        <v>0</v>
      </c>
      <c r="FZ286" s="117">
        <f t="shared" si="649"/>
        <v>0</v>
      </c>
      <c r="GA286" s="117">
        <f t="shared" si="649"/>
        <v>0</v>
      </c>
      <c r="GB286" s="116">
        <f t="shared" si="649"/>
        <v>2.32262277200759e-6</v>
      </c>
    </row>
    <row r="287" spans="1:184">
      <c r="A287" s="147" t="s">
        <v>175</v>
      </c>
      <c r="B287" s="160">
        <f t="shared" si="607"/>
        <v>-0.973151826806543</v>
      </c>
      <c r="C287" s="117">
        <f t="shared" ref="C287:AH287" si="650">C75/C$211</f>
        <v>3.10136909275651e-6</v>
      </c>
      <c r="D287" s="117">
        <f t="shared" si="650"/>
        <v>1.43498517319744e-6</v>
      </c>
      <c r="E287" s="117">
        <f t="shared" si="650"/>
        <v>2.77569055479168e-6</v>
      </c>
      <c r="F287" s="117">
        <f t="shared" si="650"/>
        <v>2.86385196407913e-6</v>
      </c>
      <c r="G287" s="117">
        <f t="shared" si="650"/>
        <v>3.4026924084941e-6</v>
      </c>
      <c r="H287" s="117">
        <f t="shared" si="650"/>
        <v>0</v>
      </c>
      <c r="I287" s="117">
        <f t="shared" si="650"/>
        <v>0</v>
      </c>
      <c r="J287" s="117">
        <f t="shared" si="650"/>
        <v>0</v>
      </c>
      <c r="K287" s="117">
        <f t="shared" si="650"/>
        <v>0</v>
      </c>
      <c r="L287" s="117">
        <f t="shared" si="650"/>
        <v>0</v>
      </c>
      <c r="M287" s="117">
        <f t="shared" si="650"/>
        <v>0</v>
      </c>
      <c r="N287" s="117">
        <f t="shared" si="650"/>
        <v>0</v>
      </c>
      <c r="O287" s="9">
        <f t="shared" si="650"/>
        <v>1.16436320215587e-6</v>
      </c>
      <c r="P287" s="117">
        <f t="shared" si="650"/>
        <v>0</v>
      </c>
      <c r="Q287" s="117">
        <f t="shared" si="650"/>
        <v>0</v>
      </c>
      <c r="R287" s="117">
        <f t="shared" si="650"/>
        <v>0</v>
      </c>
      <c r="S287" s="117">
        <f t="shared" si="650"/>
        <v>0</v>
      </c>
      <c r="T287" s="117">
        <f t="shared" si="650"/>
        <v>0</v>
      </c>
      <c r="U287" s="117">
        <f t="shared" si="650"/>
        <v>0</v>
      </c>
      <c r="V287" s="117">
        <f t="shared" si="650"/>
        <v>0</v>
      </c>
      <c r="W287" s="117">
        <f t="shared" si="650"/>
        <v>0</v>
      </c>
      <c r="X287" s="117">
        <f t="shared" si="650"/>
        <v>0</v>
      </c>
      <c r="Y287" s="117">
        <f t="shared" si="650"/>
        <v>0</v>
      </c>
      <c r="Z287" s="117">
        <f t="shared" si="650"/>
        <v>0</v>
      </c>
      <c r="AA287" s="117">
        <f t="shared" si="650"/>
        <v>0</v>
      </c>
      <c r="AB287" s="9">
        <f t="shared" si="650"/>
        <v>0</v>
      </c>
      <c r="AC287" s="117">
        <f t="shared" si="650"/>
        <v>0</v>
      </c>
      <c r="AD287" s="117">
        <f t="shared" si="650"/>
        <v>0</v>
      </c>
      <c r="AE287" s="117">
        <f t="shared" si="650"/>
        <v>0</v>
      </c>
      <c r="AF287" s="117">
        <f t="shared" si="650"/>
        <v>0</v>
      </c>
      <c r="AG287" s="117">
        <f t="shared" si="650"/>
        <v>0</v>
      </c>
      <c r="AH287" s="117">
        <f t="shared" si="650"/>
        <v>0</v>
      </c>
      <c r="AI287" s="117">
        <f t="shared" ref="AI287:BN287" si="651">AI75/AI$211</f>
        <v>0</v>
      </c>
      <c r="AJ287" s="117">
        <f t="shared" si="651"/>
        <v>0</v>
      </c>
      <c r="AK287" s="117">
        <f t="shared" si="651"/>
        <v>0</v>
      </c>
      <c r="AL287" s="117">
        <f t="shared" si="651"/>
        <v>0</v>
      </c>
      <c r="AM287" s="117">
        <f t="shared" si="651"/>
        <v>0</v>
      </c>
      <c r="AN287" s="117">
        <f t="shared" si="651"/>
        <v>0</v>
      </c>
      <c r="AO287" s="9">
        <f t="shared" si="651"/>
        <v>0</v>
      </c>
      <c r="AP287" s="144">
        <f t="shared" si="651"/>
        <v>0</v>
      </c>
      <c r="AQ287" s="144">
        <f t="shared" si="651"/>
        <v>0</v>
      </c>
      <c r="AR287" s="144">
        <f t="shared" si="651"/>
        <v>0</v>
      </c>
      <c r="AS287" s="144">
        <f t="shared" si="651"/>
        <v>0</v>
      </c>
      <c r="AT287" s="144">
        <f t="shared" si="651"/>
        <v>0</v>
      </c>
      <c r="AU287" s="144">
        <f t="shared" si="651"/>
        <v>0</v>
      </c>
      <c r="AV287" s="144">
        <f t="shared" si="651"/>
        <v>0</v>
      </c>
      <c r="AW287" s="144">
        <f t="shared" si="651"/>
        <v>0</v>
      </c>
      <c r="AX287" s="144">
        <f t="shared" si="651"/>
        <v>0</v>
      </c>
      <c r="AY287" s="144">
        <f t="shared" si="651"/>
        <v>0</v>
      </c>
      <c r="AZ287" s="144">
        <f t="shared" si="651"/>
        <v>0</v>
      </c>
      <c r="BA287" s="144">
        <f t="shared" si="651"/>
        <v>0</v>
      </c>
      <c r="BB287" s="9">
        <f t="shared" si="651"/>
        <v>0</v>
      </c>
      <c r="BC287" s="144">
        <f t="shared" si="651"/>
        <v>0</v>
      </c>
      <c r="BD287" s="144">
        <f t="shared" si="651"/>
        <v>0</v>
      </c>
      <c r="BE287" s="144">
        <f t="shared" si="651"/>
        <v>0</v>
      </c>
      <c r="BF287" s="144">
        <f t="shared" si="651"/>
        <v>0</v>
      </c>
      <c r="BG287" s="144">
        <f t="shared" si="651"/>
        <v>0</v>
      </c>
      <c r="BH287" s="144">
        <f t="shared" si="651"/>
        <v>0</v>
      </c>
      <c r="BI287" s="144">
        <f t="shared" si="651"/>
        <v>0</v>
      </c>
      <c r="BJ287" s="144">
        <f t="shared" si="651"/>
        <v>0</v>
      </c>
      <c r="BK287" s="144">
        <f t="shared" si="651"/>
        <v>0</v>
      </c>
      <c r="BL287" s="144">
        <f t="shared" si="651"/>
        <v>0</v>
      </c>
      <c r="BM287" s="144">
        <f t="shared" si="651"/>
        <v>0</v>
      </c>
      <c r="BN287" s="144">
        <f t="shared" si="651"/>
        <v>0</v>
      </c>
      <c r="BO287" s="9">
        <f t="shared" ref="BO287:CT287" si="652">BO75/BO$211</f>
        <v>0</v>
      </c>
      <c r="BP287" s="144">
        <f t="shared" si="652"/>
        <v>6.1343334263464e-7</v>
      </c>
      <c r="BQ287" s="144">
        <f t="shared" si="652"/>
        <v>0</v>
      </c>
      <c r="BR287" s="144">
        <f t="shared" si="652"/>
        <v>0</v>
      </c>
      <c r="BS287" s="144">
        <f t="shared" si="652"/>
        <v>0</v>
      </c>
      <c r="BT287" s="144">
        <f t="shared" si="652"/>
        <v>0</v>
      </c>
      <c r="BU287" s="144">
        <f t="shared" si="652"/>
        <v>0</v>
      </c>
      <c r="BV287" s="144">
        <f t="shared" si="652"/>
        <v>0</v>
      </c>
      <c r="BW287" s="144">
        <f t="shared" si="652"/>
        <v>0</v>
      </c>
      <c r="BX287" s="144">
        <f t="shared" si="652"/>
        <v>0</v>
      </c>
      <c r="BY287" s="144">
        <f t="shared" si="652"/>
        <v>0</v>
      </c>
      <c r="BZ287" s="144">
        <f t="shared" si="652"/>
        <v>0</v>
      </c>
      <c r="CA287" s="144">
        <f t="shared" si="652"/>
        <v>0</v>
      </c>
      <c r="CB287" s="9">
        <f t="shared" si="652"/>
        <v>8.16435742237567e-8</v>
      </c>
      <c r="CC287" s="144">
        <f t="shared" si="652"/>
        <v>0.000119702535584628</v>
      </c>
      <c r="CD287" s="144">
        <f t="shared" si="652"/>
        <v>0.0001197801899275</v>
      </c>
      <c r="CE287" s="144">
        <f t="shared" si="652"/>
        <v>0.000165750981265045</v>
      </c>
      <c r="CF287" s="144">
        <f t="shared" si="652"/>
        <v>0.000108512294701837</v>
      </c>
      <c r="CG287" s="144">
        <f t="shared" si="652"/>
        <v>0.000122952690651363</v>
      </c>
      <c r="CH287" s="144">
        <f t="shared" si="652"/>
        <v>0</v>
      </c>
      <c r="CI287" s="144">
        <f t="shared" si="652"/>
        <v>0</v>
      </c>
      <c r="CJ287" s="144">
        <f t="shared" si="652"/>
        <v>0</v>
      </c>
      <c r="CK287" s="144">
        <f t="shared" si="652"/>
        <v>0</v>
      </c>
      <c r="CL287" s="144">
        <f t="shared" si="652"/>
        <v>0</v>
      </c>
      <c r="CM287" s="144">
        <f t="shared" si="652"/>
        <v>0</v>
      </c>
      <c r="CN287" s="144">
        <f t="shared" si="652"/>
        <v>0</v>
      </c>
      <c r="CO287" s="9">
        <f t="shared" si="652"/>
        <v>4.98317870065921e-5</v>
      </c>
      <c r="CP287" s="144">
        <f t="shared" si="652"/>
        <v>0</v>
      </c>
      <c r="CQ287" s="144">
        <f t="shared" si="652"/>
        <v>0</v>
      </c>
      <c r="CR287" s="144">
        <f t="shared" si="652"/>
        <v>0</v>
      </c>
      <c r="CS287" s="144">
        <f t="shared" si="652"/>
        <v>0</v>
      </c>
      <c r="CT287" s="144">
        <f t="shared" si="652"/>
        <v>0</v>
      </c>
      <c r="CU287" s="144">
        <f t="shared" ref="CU287:EB287" si="653">CU75/CU$211</f>
        <v>0</v>
      </c>
      <c r="CV287" s="144">
        <f t="shared" si="653"/>
        <v>0</v>
      </c>
      <c r="CW287" s="144">
        <f t="shared" si="653"/>
        <v>0</v>
      </c>
      <c r="CX287" s="144">
        <f t="shared" si="653"/>
        <v>0</v>
      </c>
      <c r="CY287" s="144">
        <f t="shared" si="653"/>
        <v>0</v>
      </c>
      <c r="CZ287" s="144">
        <f t="shared" si="653"/>
        <v>0</v>
      </c>
      <c r="DA287" s="144">
        <f t="shared" si="653"/>
        <v>0</v>
      </c>
      <c r="DB287" s="9">
        <f t="shared" si="653"/>
        <v>0</v>
      </c>
      <c r="DC287" s="144">
        <f t="shared" si="653"/>
        <v>0</v>
      </c>
      <c r="DD287" s="144">
        <f t="shared" si="653"/>
        <v>1.56152343103482e-5</v>
      </c>
      <c r="DE287" s="144">
        <f t="shared" si="653"/>
        <v>2.17385999956293e-5</v>
      </c>
      <c r="DF287" s="144">
        <f t="shared" si="653"/>
        <v>0</v>
      </c>
      <c r="DG287" s="144">
        <f t="shared" si="653"/>
        <v>0</v>
      </c>
      <c r="DH287" s="144">
        <f t="shared" si="653"/>
        <v>0</v>
      </c>
      <c r="DI287" s="144">
        <f t="shared" si="653"/>
        <v>0</v>
      </c>
      <c r="DJ287" s="144">
        <f t="shared" si="653"/>
        <v>0</v>
      </c>
      <c r="DK287" s="144">
        <f t="shared" si="653"/>
        <v>0</v>
      </c>
      <c r="DL287" s="144">
        <f t="shared" si="653"/>
        <v>0</v>
      </c>
      <c r="DM287" s="144">
        <f t="shared" si="653"/>
        <v>0</v>
      </c>
      <c r="DN287" s="144">
        <f t="shared" si="653"/>
        <v>0</v>
      </c>
      <c r="DO287" s="9">
        <f t="shared" si="653"/>
        <v>3.60391308074681e-6</v>
      </c>
      <c r="DP287" s="144">
        <f t="shared" si="653"/>
        <v>3.8480941113652e-6</v>
      </c>
      <c r="DQ287" s="144">
        <f t="shared" si="653"/>
        <v>0</v>
      </c>
      <c r="DR287" s="144">
        <f t="shared" si="653"/>
        <v>2.86987816718149e-6</v>
      </c>
      <c r="DS287" s="144">
        <f t="shared" si="653"/>
        <v>0</v>
      </c>
      <c r="DT287" s="144">
        <f t="shared" si="653"/>
        <v>0</v>
      </c>
      <c r="DU287" s="144">
        <f t="shared" si="653"/>
        <v>0</v>
      </c>
      <c r="DV287" s="144">
        <f t="shared" si="653"/>
        <v>0</v>
      </c>
      <c r="DW287" s="144">
        <f t="shared" si="653"/>
        <v>0</v>
      </c>
      <c r="DX287" s="144">
        <f t="shared" si="653"/>
        <v>0</v>
      </c>
      <c r="DY287" s="144">
        <f t="shared" si="653"/>
        <v>0</v>
      </c>
      <c r="DZ287" s="144">
        <f t="shared" si="653"/>
        <v>0</v>
      </c>
      <c r="EA287" s="144">
        <f t="shared" si="653"/>
        <v>0</v>
      </c>
      <c r="EB287" s="117">
        <f t="shared" si="653"/>
        <v>7.32744988753311e-7</v>
      </c>
      <c r="EC287" s="118"/>
      <c r="ED287" s="117">
        <f t="shared" ref="ED287:FB287" si="654">ED75/ED$211</f>
        <v>0</v>
      </c>
      <c r="EE287" s="117">
        <f t="shared" si="654"/>
        <v>0</v>
      </c>
      <c r="EF287" s="117">
        <f t="shared" si="654"/>
        <v>0</v>
      </c>
      <c r="EG287" s="117" t="e">
        <f t="shared" si="654"/>
        <v>#DIV/0!</v>
      </c>
      <c r="EH287" s="117" t="e">
        <f t="shared" si="654"/>
        <v>#DIV/0!</v>
      </c>
      <c r="EI287" s="117" t="e">
        <f t="shared" si="654"/>
        <v>#DIV/0!</v>
      </c>
      <c r="EJ287" s="117" t="e">
        <f t="shared" si="654"/>
        <v>#DIV/0!</v>
      </c>
      <c r="EK287" s="117" t="e">
        <f t="shared" si="654"/>
        <v>#DIV/0!</v>
      </c>
      <c r="EL287" s="117" t="e">
        <f t="shared" si="654"/>
        <v>#DIV/0!</v>
      </c>
      <c r="EM287" s="117" t="e">
        <f t="shared" si="654"/>
        <v>#DIV/0!</v>
      </c>
      <c r="EN287" s="117" t="e">
        <f t="shared" si="654"/>
        <v>#DIV/0!</v>
      </c>
      <c r="EO287" s="116">
        <f t="shared" si="654"/>
        <v>0</v>
      </c>
      <c r="EP287" s="117">
        <f t="shared" si="654"/>
        <v>0</v>
      </c>
      <c r="EQ287" s="117">
        <f t="shared" si="654"/>
        <v>0</v>
      </c>
      <c r="ER287" s="117">
        <f t="shared" si="654"/>
        <v>0</v>
      </c>
      <c r="ES287" s="117">
        <f t="shared" si="654"/>
        <v>0</v>
      </c>
      <c r="ET287" s="117">
        <f t="shared" si="654"/>
        <v>0</v>
      </c>
      <c r="EU287" s="117">
        <f t="shared" si="654"/>
        <v>0</v>
      </c>
      <c r="EV287" s="117">
        <f t="shared" si="654"/>
        <v>0</v>
      </c>
      <c r="EW287" s="117">
        <f t="shared" si="654"/>
        <v>0</v>
      </c>
      <c r="EX287" s="117">
        <f t="shared" si="654"/>
        <v>0</v>
      </c>
      <c r="EY287" s="117">
        <f t="shared" si="654"/>
        <v>0</v>
      </c>
      <c r="EZ287" s="117">
        <f t="shared" si="654"/>
        <v>0</v>
      </c>
      <c r="FA287" s="117">
        <f t="shared" si="654"/>
        <v>0</v>
      </c>
      <c r="FB287" s="117">
        <f t="shared" si="654"/>
        <v>0</v>
      </c>
      <c r="FC287" s="118"/>
      <c r="FD287" s="117"/>
      <c r="FE287" s="117"/>
      <c r="FF287" s="117"/>
      <c r="FG287" s="117"/>
      <c r="FH287" s="117"/>
      <c r="FI287" s="117"/>
      <c r="FJ287" s="117"/>
      <c r="FK287" s="117" t="e">
        <f t="shared" si="601"/>
        <v>#DIV/0!</v>
      </c>
      <c r="FL287" s="117" t="e">
        <f t="shared" si="602"/>
        <v>#DIV/0!</v>
      </c>
      <c r="FM287" s="117" t="e">
        <f t="shared" si="603"/>
        <v>#DIV/0!</v>
      </c>
      <c r="FN287" s="117" t="e">
        <f t="shared" si="604"/>
        <v>#DIV/0!</v>
      </c>
      <c r="FO287" s="9" t="e">
        <f t="shared" si="605"/>
        <v>#DIV/0!</v>
      </c>
      <c r="FP287" s="118">
        <f t="shared" ref="FP287:GB287" si="655">FP75/FP$211</f>
        <v>0</v>
      </c>
      <c r="FQ287" s="117">
        <f t="shared" si="655"/>
        <v>0</v>
      </c>
      <c r="FR287" s="117">
        <f t="shared" si="655"/>
        <v>0</v>
      </c>
      <c r="FS287" s="117">
        <f t="shared" si="655"/>
        <v>0</v>
      </c>
      <c r="FT287" s="117">
        <f t="shared" si="655"/>
        <v>0</v>
      </c>
      <c r="FU287" s="117">
        <f t="shared" si="655"/>
        <v>0</v>
      </c>
      <c r="FV287" s="117">
        <f t="shared" si="655"/>
        <v>0</v>
      </c>
      <c r="FW287" s="117">
        <f t="shared" si="655"/>
        <v>0</v>
      </c>
      <c r="FX287" s="117">
        <f t="shared" si="655"/>
        <v>0</v>
      </c>
      <c r="FY287" s="117">
        <f t="shared" si="655"/>
        <v>0</v>
      </c>
      <c r="FZ287" s="117">
        <f t="shared" si="655"/>
        <v>0</v>
      </c>
      <c r="GA287" s="117">
        <f t="shared" si="655"/>
        <v>0</v>
      </c>
      <c r="GB287" s="116">
        <f t="shared" si="655"/>
        <v>0</v>
      </c>
    </row>
    <row r="288" spans="1:184">
      <c r="A288" s="147" t="s">
        <v>177</v>
      </c>
      <c r="B288" s="160">
        <f t="shared" si="607"/>
        <v>-1</v>
      </c>
      <c r="C288" s="117">
        <f t="shared" ref="C288:AH288" si="656">C76/C$211</f>
        <v>0</v>
      </c>
      <c r="D288" s="117">
        <f t="shared" si="656"/>
        <v>0</v>
      </c>
      <c r="E288" s="117">
        <f t="shared" si="656"/>
        <v>0</v>
      </c>
      <c r="F288" s="117">
        <f t="shared" si="656"/>
        <v>0</v>
      </c>
      <c r="G288" s="117">
        <f t="shared" si="656"/>
        <v>0</v>
      </c>
      <c r="H288" s="117">
        <f t="shared" si="656"/>
        <v>0</v>
      </c>
      <c r="I288" s="117">
        <f t="shared" si="656"/>
        <v>0</v>
      </c>
      <c r="J288" s="117">
        <f t="shared" si="656"/>
        <v>0</v>
      </c>
      <c r="K288" s="117">
        <f t="shared" si="656"/>
        <v>0</v>
      </c>
      <c r="L288" s="117">
        <f t="shared" si="656"/>
        <v>0</v>
      </c>
      <c r="M288" s="117">
        <f t="shared" si="656"/>
        <v>0</v>
      </c>
      <c r="N288" s="117">
        <f t="shared" si="656"/>
        <v>0</v>
      </c>
      <c r="O288" s="9">
        <f t="shared" si="656"/>
        <v>0</v>
      </c>
      <c r="P288" s="117">
        <f t="shared" si="656"/>
        <v>0</v>
      </c>
      <c r="Q288" s="117">
        <f t="shared" si="656"/>
        <v>0</v>
      </c>
      <c r="R288" s="117">
        <f t="shared" si="656"/>
        <v>0</v>
      </c>
      <c r="S288" s="117">
        <f t="shared" si="656"/>
        <v>0</v>
      </c>
      <c r="T288" s="117">
        <f t="shared" si="656"/>
        <v>0</v>
      </c>
      <c r="U288" s="117">
        <f t="shared" si="656"/>
        <v>0</v>
      </c>
      <c r="V288" s="117">
        <f t="shared" si="656"/>
        <v>0</v>
      </c>
      <c r="W288" s="117">
        <f t="shared" si="656"/>
        <v>0</v>
      </c>
      <c r="X288" s="117">
        <f t="shared" si="656"/>
        <v>0</v>
      </c>
      <c r="Y288" s="117">
        <f t="shared" si="656"/>
        <v>0</v>
      </c>
      <c r="Z288" s="117">
        <f t="shared" si="656"/>
        <v>0</v>
      </c>
      <c r="AA288" s="117">
        <f t="shared" si="656"/>
        <v>0</v>
      </c>
      <c r="AB288" s="9">
        <f t="shared" si="656"/>
        <v>0</v>
      </c>
      <c r="AC288" s="117">
        <f t="shared" si="656"/>
        <v>0</v>
      </c>
      <c r="AD288" s="117">
        <f t="shared" si="656"/>
        <v>0</v>
      </c>
      <c r="AE288" s="117">
        <f t="shared" si="656"/>
        <v>0</v>
      </c>
      <c r="AF288" s="117">
        <f t="shared" si="656"/>
        <v>0</v>
      </c>
      <c r="AG288" s="117">
        <f t="shared" si="656"/>
        <v>0</v>
      </c>
      <c r="AH288" s="117">
        <f t="shared" si="656"/>
        <v>0</v>
      </c>
      <c r="AI288" s="117">
        <f t="shared" ref="AI288:BN288" si="657">AI76/AI$211</f>
        <v>0</v>
      </c>
      <c r="AJ288" s="117">
        <f t="shared" si="657"/>
        <v>0</v>
      </c>
      <c r="AK288" s="117">
        <f t="shared" si="657"/>
        <v>0</v>
      </c>
      <c r="AL288" s="117">
        <f t="shared" si="657"/>
        <v>0</v>
      </c>
      <c r="AM288" s="117">
        <f t="shared" si="657"/>
        <v>0</v>
      </c>
      <c r="AN288" s="117">
        <f t="shared" si="657"/>
        <v>0</v>
      </c>
      <c r="AO288" s="9">
        <f t="shared" si="657"/>
        <v>0</v>
      </c>
      <c r="AP288" s="144">
        <f t="shared" si="657"/>
        <v>0</v>
      </c>
      <c r="AQ288" s="144">
        <f t="shared" si="657"/>
        <v>0</v>
      </c>
      <c r="AR288" s="144">
        <f t="shared" si="657"/>
        <v>0</v>
      </c>
      <c r="AS288" s="144">
        <f t="shared" si="657"/>
        <v>0</v>
      </c>
      <c r="AT288" s="144">
        <f t="shared" si="657"/>
        <v>0</v>
      </c>
      <c r="AU288" s="144">
        <f t="shared" si="657"/>
        <v>0</v>
      </c>
      <c r="AV288" s="144">
        <f t="shared" si="657"/>
        <v>0</v>
      </c>
      <c r="AW288" s="144">
        <f t="shared" si="657"/>
        <v>0</v>
      </c>
      <c r="AX288" s="144">
        <f t="shared" si="657"/>
        <v>0</v>
      </c>
      <c r="AY288" s="144">
        <f t="shared" si="657"/>
        <v>0</v>
      </c>
      <c r="AZ288" s="144">
        <f t="shared" si="657"/>
        <v>0</v>
      </c>
      <c r="BA288" s="144">
        <f t="shared" si="657"/>
        <v>0</v>
      </c>
      <c r="BB288" s="9">
        <f t="shared" si="657"/>
        <v>0</v>
      </c>
      <c r="BC288" s="144">
        <f t="shared" si="657"/>
        <v>0</v>
      </c>
      <c r="BD288" s="144">
        <f t="shared" si="657"/>
        <v>0</v>
      </c>
      <c r="BE288" s="144">
        <f t="shared" si="657"/>
        <v>0</v>
      </c>
      <c r="BF288" s="144">
        <f t="shared" si="657"/>
        <v>0</v>
      </c>
      <c r="BG288" s="144">
        <f t="shared" si="657"/>
        <v>0</v>
      </c>
      <c r="BH288" s="144">
        <f t="shared" si="657"/>
        <v>0</v>
      </c>
      <c r="BI288" s="144">
        <f t="shared" si="657"/>
        <v>0</v>
      </c>
      <c r="BJ288" s="144">
        <f t="shared" si="657"/>
        <v>0</v>
      </c>
      <c r="BK288" s="144">
        <f t="shared" si="657"/>
        <v>0</v>
      </c>
      <c r="BL288" s="144">
        <f t="shared" si="657"/>
        <v>0</v>
      </c>
      <c r="BM288" s="144">
        <f t="shared" si="657"/>
        <v>0</v>
      </c>
      <c r="BN288" s="144">
        <f t="shared" si="657"/>
        <v>0</v>
      </c>
      <c r="BO288" s="9">
        <f t="shared" ref="BO288:CT288" si="658">BO76/BO$211</f>
        <v>0</v>
      </c>
      <c r="BP288" s="144">
        <f t="shared" si="658"/>
        <v>0</v>
      </c>
      <c r="BQ288" s="144">
        <f t="shared" si="658"/>
        <v>0</v>
      </c>
      <c r="BR288" s="144">
        <f t="shared" si="658"/>
        <v>0</v>
      </c>
      <c r="BS288" s="144">
        <f t="shared" si="658"/>
        <v>0</v>
      </c>
      <c r="BT288" s="144">
        <f t="shared" si="658"/>
        <v>0</v>
      </c>
      <c r="BU288" s="144">
        <f t="shared" si="658"/>
        <v>0</v>
      </c>
      <c r="BV288" s="144">
        <f t="shared" si="658"/>
        <v>0</v>
      </c>
      <c r="BW288" s="144">
        <f t="shared" si="658"/>
        <v>0</v>
      </c>
      <c r="BX288" s="144">
        <f t="shared" si="658"/>
        <v>0</v>
      </c>
      <c r="BY288" s="144">
        <f t="shared" si="658"/>
        <v>0</v>
      </c>
      <c r="BZ288" s="144">
        <f t="shared" si="658"/>
        <v>0</v>
      </c>
      <c r="CA288" s="144">
        <f t="shared" si="658"/>
        <v>0</v>
      </c>
      <c r="CB288" s="9">
        <f t="shared" si="658"/>
        <v>0</v>
      </c>
      <c r="CC288" s="144">
        <f t="shared" si="658"/>
        <v>0</v>
      </c>
      <c r="CD288" s="144">
        <f t="shared" si="658"/>
        <v>0</v>
      </c>
      <c r="CE288" s="144">
        <f t="shared" si="658"/>
        <v>0</v>
      </c>
      <c r="CF288" s="144">
        <f t="shared" si="658"/>
        <v>0</v>
      </c>
      <c r="CG288" s="144">
        <f t="shared" si="658"/>
        <v>0</v>
      </c>
      <c r="CH288" s="144">
        <f t="shared" si="658"/>
        <v>0</v>
      </c>
      <c r="CI288" s="144">
        <f t="shared" si="658"/>
        <v>0</v>
      </c>
      <c r="CJ288" s="144">
        <f t="shared" si="658"/>
        <v>0</v>
      </c>
      <c r="CK288" s="144">
        <f t="shared" si="658"/>
        <v>0</v>
      </c>
      <c r="CL288" s="144">
        <f t="shared" si="658"/>
        <v>0</v>
      </c>
      <c r="CM288" s="144">
        <f t="shared" si="658"/>
        <v>0</v>
      </c>
      <c r="CN288" s="144">
        <f t="shared" si="658"/>
        <v>0</v>
      </c>
      <c r="CO288" s="9">
        <f t="shared" si="658"/>
        <v>0</v>
      </c>
      <c r="CP288" s="144">
        <f t="shared" si="658"/>
        <v>0</v>
      </c>
      <c r="CQ288" s="144">
        <f t="shared" si="658"/>
        <v>0</v>
      </c>
      <c r="CR288" s="144">
        <f t="shared" si="658"/>
        <v>0</v>
      </c>
      <c r="CS288" s="144">
        <f t="shared" si="658"/>
        <v>0</v>
      </c>
      <c r="CT288" s="144">
        <f t="shared" si="658"/>
        <v>0</v>
      </c>
      <c r="CU288" s="144">
        <f t="shared" ref="CU288:EB288" si="659">CU76/CU$211</f>
        <v>0</v>
      </c>
      <c r="CV288" s="144">
        <f t="shared" si="659"/>
        <v>0</v>
      </c>
      <c r="CW288" s="144">
        <f t="shared" si="659"/>
        <v>0</v>
      </c>
      <c r="CX288" s="144">
        <f t="shared" si="659"/>
        <v>0</v>
      </c>
      <c r="CY288" s="144">
        <f t="shared" si="659"/>
        <v>0</v>
      </c>
      <c r="CZ288" s="144">
        <f t="shared" si="659"/>
        <v>0</v>
      </c>
      <c r="DA288" s="144">
        <f t="shared" si="659"/>
        <v>0</v>
      </c>
      <c r="DB288" s="9">
        <f t="shared" si="659"/>
        <v>0</v>
      </c>
      <c r="DC288" s="144">
        <f t="shared" si="659"/>
        <v>0</v>
      </c>
      <c r="DD288" s="144">
        <f t="shared" si="659"/>
        <v>0</v>
      </c>
      <c r="DE288" s="144">
        <f t="shared" si="659"/>
        <v>0</v>
      </c>
      <c r="DF288" s="144">
        <f t="shared" si="659"/>
        <v>0</v>
      </c>
      <c r="DG288" s="144">
        <f t="shared" si="659"/>
        <v>0</v>
      </c>
      <c r="DH288" s="144">
        <f t="shared" si="659"/>
        <v>0</v>
      </c>
      <c r="DI288" s="144">
        <f t="shared" si="659"/>
        <v>0</v>
      </c>
      <c r="DJ288" s="144">
        <f t="shared" si="659"/>
        <v>0</v>
      </c>
      <c r="DK288" s="144">
        <f t="shared" si="659"/>
        <v>0</v>
      </c>
      <c r="DL288" s="144">
        <f t="shared" si="659"/>
        <v>0</v>
      </c>
      <c r="DM288" s="144">
        <f t="shared" si="659"/>
        <v>0</v>
      </c>
      <c r="DN288" s="144">
        <f t="shared" si="659"/>
        <v>0</v>
      </c>
      <c r="DO288" s="9">
        <f t="shared" si="659"/>
        <v>0</v>
      </c>
      <c r="DP288" s="144">
        <f t="shared" si="659"/>
        <v>0</v>
      </c>
      <c r="DQ288" s="144">
        <f t="shared" si="659"/>
        <v>0</v>
      </c>
      <c r="DR288" s="144">
        <f t="shared" si="659"/>
        <v>0</v>
      </c>
      <c r="DS288" s="144">
        <f t="shared" si="659"/>
        <v>0</v>
      </c>
      <c r="DT288" s="144">
        <f t="shared" si="659"/>
        <v>0</v>
      </c>
      <c r="DU288" s="144">
        <f t="shared" si="659"/>
        <v>0</v>
      </c>
      <c r="DV288" s="144">
        <f t="shared" si="659"/>
        <v>0</v>
      </c>
      <c r="DW288" s="144">
        <f t="shared" si="659"/>
        <v>0</v>
      </c>
      <c r="DX288" s="144">
        <f t="shared" si="659"/>
        <v>0</v>
      </c>
      <c r="DY288" s="144">
        <f t="shared" si="659"/>
        <v>0</v>
      </c>
      <c r="DZ288" s="144">
        <f t="shared" si="659"/>
        <v>0</v>
      </c>
      <c r="EA288" s="144">
        <f t="shared" si="659"/>
        <v>0</v>
      </c>
      <c r="EB288" s="117">
        <f t="shared" si="659"/>
        <v>0</v>
      </c>
      <c r="EC288" s="118"/>
      <c r="ED288" s="117">
        <f t="shared" ref="ED288:FB288" si="660">ED76/ED$211</f>
        <v>0</v>
      </c>
      <c r="EE288" s="117">
        <f t="shared" si="660"/>
        <v>0</v>
      </c>
      <c r="EF288" s="117">
        <f t="shared" si="660"/>
        <v>0</v>
      </c>
      <c r="EG288" s="117" t="e">
        <f t="shared" si="660"/>
        <v>#DIV/0!</v>
      </c>
      <c r="EH288" s="117" t="e">
        <f t="shared" si="660"/>
        <v>#DIV/0!</v>
      </c>
      <c r="EI288" s="117" t="e">
        <f t="shared" si="660"/>
        <v>#DIV/0!</v>
      </c>
      <c r="EJ288" s="117" t="e">
        <f t="shared" si="660"/>
        <v>#DIV/0!</v>
      </c>
      <c r="EK288" s="117" t="e">
        <f t="shared" si="660"/>
        <v>#DIV/0!</v>
      </c>
      <c r="EL288" s="117" t="e">
        <f t="shared" si="660"/>
        <v>#DIV/0!</v>
      </c>
      <c r="EM288" s="117" t="e">
        <f t="shared" si="660"/>
        <v>#DIV/0!</v>
      </c>
      <c r="EN288" s="117" t="e">
        <f t="shared" si="660"/>
        <v>#DIV/0!</v>
      </c>
      <c r="EO288" s="116">
        <f t="shared" si="660"/>
        <v>0</v>
      </c>
      <c r="EP288" s="117">
        <f t="shared" si="660"/>
        <v>0</v>
      </c>
      <c r="EQ288" s="117">
        <f t="shared" si="660"/>
        <v>0</v>
      </c>
      <c r="ER288" s="117">
        <f t="shared" si="660"/>
        <v>0</v>
      </c>
      <c r="ES288" s="117">
        <f t="shared" si="660"/>
        <v>0</v>
      </c>
      <c r="ET288" s="117">
        <f t="shared" si="660"/>
        <v>0</v>
      </c>
      <c r="EU288" s="117">
        <f t="shared" si="660"/>
        <v>0</v>
      </c>
      <c r="EV288" s="117">
        <f t="shared" si="660"/>
        <v>0</v>
      </c>
      <c r="EW288" s="117">
        <f t="shared" si="660"/>
        <v>0</v>
      </c>
      <c r="EX288" s="117">
        <f t="shared" si="660"/>
        <v>0</v>
      </c>
      <c r="EY288" s="117">
        <f t="shared" si="660"/>
        <v>0</v>
      </c>
      <c r="EZ288" s="117">
        <f t="shared" si="660"/>
        <v>0</v>
      </c>
      <c r="FA288" s="117">
        <f t="shared" si="660"/>
        <v>0</v>
      </c>
      <c r="FB288" s="117">
        <f t="shared" si="660"/>
        <v>0</v>
      </c>
      <c r="FC288" s="118"/>
      <c r="FD288" s="117"/>
      <c r="FE288" s="117"/>
      <c r="FF288" s="117"/>
      <c r="FG288" s="117"/>
      <c r="FH288" s="117"/>
      <c r="FI288" s="117"/>
      <c r="FJ288" s="117"/>
      <c r="FK288" s="117" t="e">
        <f t="shared" si="601"/>
        <v>#DIV/0!</v>
      </c>
      <c r="FL288" s="117" t="e">
        <f t="shared" si="602"/>
        <v>#DIV/0!</v>
      </c>
      <c r="FM288" s="117" t="e">
        <f t="shared" si="603"/>
        <v>#DIV/0!</v>
      </c>
      <c r="FN288" s="117" t="e">
        <f t="shared" si="604"/>
        <v>#DIV/0!</v>
      </c>
      <c r="FO288" s="9" t="e">
        <f t="shared" si="605"/>
        <v>#DIV/0!</v>
      </c>
      <c r="FP288" s="118">
        <f t="shared" ref="FP288:GB288" si="661">FP76/FP$211</f>
        <v>0</v>
      </c>
      <c r="FQ288" s="117">
        <f t="shared" si="661"/>
        <v>0</v>
      </c>
      <c r="FR288" s="117">
        <f t="shared" si="661"/>
        <v>0</v>
      </c>
      <c r="FS288" s="117">
        <f t="shared" si="661"/>
        <v>0</v>
      </c>
      <c r="FT288" s="117">
        <f t="shared" si="661"/>
        <v>0</v>
      </c>
      <c r="FU288" s="117">
        <f t="shared" si="661"/>
        <v>0</v>
      </c>
      <c r="FV288" s="117">
        <f t="shared" si="661"/>
        <v>0</v>
      </c>
      <c r="FW288" s="117">
        <f t="shared" si="661"/>
        <v>0</v>
      </c>
      <c r="FX288" s="117">
        <f t="shared" si="661"/>
        <v>0</v>
      </c>
      <c r="FY288" s="117">
        <f t="shared" si="661"/>
        <v>0</v>
      </c>
      <c r="FZ288" s="117">
        <f t="shared" si="661"/>
        <v>0</v>
      </c>
      <c r="GA288" s="117">
        <f t="shared" si="661"/>
        <v>0</v>
      </c>
      <c r="GB288" s="116">
        <f t="shared" si="661"/>
        <v>0</v>
      </c>
    </row>
    <row r="289" spans="1:184">
      <c r="A289" s="147" t="s">
        <v>179</v>
      </c>
      <c r="B289" s="160">
        <f t="shared" si="607"/>
        <v>-0.946838856441926</v>
      </c>
      <c r="C289" s="117">
        <f t="shared" ref="C289:AH289" si="662">C77/C$211</f>
        <v>3.17587653038052e-6</v>
      </c>
      <c r="D289" s="117">
        <f t="shared" si="662"/>
        <v>4.60023936417557e-6</v>
      </c>
      <c r="E289" s="117">
        <f t="shared" si="662"/>
        <v>1.10207984594211e-6</v>
      </c>
      <c r="F289" s="117">
        <f t="shared" si="662"/>
        <v>7.20556742812054e-6</v>
      </c>
      <c r="G289" s="117">
        <f t="shared" si="662"/>
        <v>1.63362053955776e-6</v>
      </c>
      <c r="H289" s="117">
        <f t="shared" si="662"/>
        <v>0</v>
      </c>
      <c r="I289" s="117">
        <f t="shared" si="662"/>
        <v>0</v>
      </c>
      <c r="J289" s="117">
        <f t="shared" si="662"/>
        <v>0</v>
      </c>
      <c r="K289" s="117">
        <f t="shared" si="662"/>
        <v>0</v>
      </c>
      <c r="L289" s="117">
        <f t="shared" si="662"/>
        <v>0</v>
      </c>
      <c r="M289" s="117">
        <f t="shared" si="662"/>
        <v>0</v>
      </c>
      <c r="N289" s="117">
        <f t="shared" si="662"/>
        <v>0</v>
      </c>
      <c r="O289" s="9">
        <f t="shared" si="662"/>
        <v>1.53619691011149e-6</v>
      </c>
      <c r="P289" s="117">
        <f t="shared" si="662"/>
        <v>1.17515713412932e-6</v>
      </c>
      <c r="Q289" s="117">
        <f t="shared" si="662"/>
        <v>6.02930936644599e-6</v>
      </c>
      <c r="R289" s="117">
        <f t="shared" si="662"/>
        <v>0</v>
      </c>
      <c r="S289" s="117">
        <f t="shared" si="662"/>
        <v>0</v>
      </c>
      <c r="T289" s="117">
        <f t="shared" si="662"/>
        <v>0</v>
      </c>
      <c r="U289" s="117">
        <f t="shared" si="662"/>
        <v>0</v>
      </c>
      <c r="V289" s="117">
        <f t="shared" si="662"/>
        <v>0</v>
      </c>
      <c r="W289" s="117">
        <f t="shared" si="662"/>
        <v>0</v>
      </c>
      <c r="X289" s="117">
        <f t="shared" si="662"/>
        <v>0</v>
      </c>
      <c r="Y289" s="117">
        <f t="shared" si="662"/>
        <v>0</v>
      </c>
      <c r="Z289" s="117">
        <f t="shared" si="662"/>
        <v>0</v>
      </c>
      <c r="AA289" s="117">
        <f t="shared" si="662"/>
        <v>0</v>
      </c>
      <c r="AB289" s="9">
        <f t="shared" si="662"/>
        <v>6.54485797250829e-7</v>
      </c>
      <c r="AC289" s="117">
        <f t="shared" si="662"/>
        <v>0</v>
      </c>
      <c r="AD289" s="117">
        <f t="shared" si="662"/>
        <v>0</v>
      </c>
      <c r="AE289" s="117">
        <f t="shared" si="662"/>
        <v>0</v>
      </c>
      <c r="AF289" s="117">
        <f t="shared" si="662"/>
        <v>0</v>
      </c>
      <c r="AG289" s="117">
        <f t="shared" si="662"/>
        <v>0</v>
      </c>
      <c r="AH289" s="117">
        <f t="shared" si="662"/>
        <v>0</v>
      </c>
      <c r="AI289" s="117">
        <f t="shared" ref="AI289:BN289" si="663">AI77/AI$211</f>
        <v>0</v>
      </c>
      <c r="AJ289" s="117">
        <f t="shared" si="663"/>
        <v>0</v>
      </c>
      <c r="AK289" s="117">
        <f t="shared" si="663"/>
        <v>0</v>
      </c>
      <c r="AL289" s="117">
        <f t="shared" si="663"/>
        <v>0</v>
      </c>
      <c r="AM289" s="117">
        <f t="shared" si="663"/>
        <v>0</v>
      </c>
      <c r="AN289" s="117">
        <f t="shared" si="663"/>
        <v>0</v>
      </c>
      <c r="AO289" s="9">
        <f t="shared" si="663"/>
        <v>0</v>
      </c>
      <c r="AP289" s="144">
        <f t="shared" si="663"/>
        <v>0</v>
      </c>
      <c r="AQ289" s="144">
        <f t="shared" si="663"/>
        <v>0</v>
      </c>
      <c r="AR289" s="144">
        <f t="shared" si="663"/>
        <v>0</v>
      </c>
      <c r="AS289" s="144">
        <f t="shared" si="663"/>
        <v>0</v>
      </c>
      <c r="AT289" s="144">
        <f t="shared" si="663"/>
        <v>0</v>
      </c>
      <c r="AU289" s="144">
        <f t="shared" si="663"/>
        <v>0</v>
      </c>
      <c r="AV289" s="144">
        <f t="shared" si="663"/>
        <v>0</v>
      </c>
      <c r="AW289" s="144">
        <f t="shared" si="663"/>
        <v>0</v>
      </c>
      <c r="AX289" s="144">
        <f t="shared" si="663"/>
        <v>0</v>
      </c>
      <c r="AY289" s="144">
        <f t="shared" si="663"/>
        <v>0</v>
      </c>
      <c r="AZ289" s="144">
        <f t="shared" si="663"/>
        <v>0</v>
      </c>
      <c r="BA289" s="144">
        <f t="shared" si="663"/>
        <v>0</v>
      </c>
      <c r="BB289" s="9">
        <f t="shared" si="663"/>
        <v>0</v>
      </c>
      <c r="BC289" s="144">
        <f t="shared" si="663"/>
        <v>0</v>
      </c>
      <c r="BD289" s="144">
        <f t="shared" si="663"/>
        <v>0</v>
      </c>
      <c r="BE289" s="144">
        <f t="shared" si="663"/>
        <v>0</v>
      </c>
      <c r="BF289" s="144">
        <f t="shared" si="663"/>
        <v>0</v>
      </c>
      <c r="BG289" s="144">
        <f t="shared" si="663"/>
        <v>0</v>
      </c>
      <c r="BH289" s="144">
        <f t="shared" si="663"/>
        <v>0</v>
      </c>
      <c r="BI289" s="144">
        <f t="shared" si="663"/>
        <v>0</v>
      </c>
      <c r="BJ289" s="144">
        <f t="shared" si="663"/>
        <v>0</v>
      </c>
      <c r="BK289" s="144">
        <f t="shared" si="663"/>
        <v>0</v>
      </c>
      <c r="BL289" s="144">
        <f t="shared" si="663"/>
        <v>0</v>
      </c>
      <c r="BM289" s="144">
        <f t="shared" si="663"/>
        <v>0</v>
      </c>
      <c r="BN289" s="144">
        <f t="shared" si="663"/>
        <v>0</v>
      </c>
      <c r="BO289" s="9">
        <f t="shared" ref="BO289:CT289" si="664">BO77/BO$211</f>
        <v>0</v>
      </c>
      <c r="BP289" s="144">
        <f t="shared" si="664"/>
        <v>7.1029331779517e-6</v>
      </c>
      <c r="BQ289" s="144">
        <f t="shared" si="664"/>
        <v>0</v>
      </c>
      <c r="BR289" s="144">
        <f t="shared" si="664"/>
        <v>0</v>
      </c>
      <c r="BS289" s="144">
        <f t="shared" si="664"/>
        <v>0</v>
      </c>
      <c r="BT289" s="144">
        <f t="shared" si="664"/>
        <v>0</v>
      </c>
      <c r="BU289" s="144">
        <f t="shared" si="664"/>
        <v>0</v>
      </c>
      <c r="BV289" s="144">
        <f t="shared" si="664"/>
        <v>0</v>
      </c>
      <c r="BW289" s="144">
        <f t="shared" si="664"/>
        <v>0</v>
      </c>
      <c r="BX289" s="144">
        <f t="shared" si="664"/>
        <v>0</v>
      </c>
      <c r="BY289" s="144">
        <f t="shared" si="664"/>
        <v>0</v>
      </c>
      <c r="BZ289" s="144">
        <f t="shared" si="664"/>
        <v>0</v>
      </c>
      <c r="CA289" s="144">
        <f t="shared" si="664"/>
        <v>0</v>
      </c>
      <c r="CB289" s="9">
        <f t="shared" si="664"/>
        <v>9.45349415846599e-7</v>
      </c>
      <c r="CC289" s="144">
        <f t="shared" si="664"/>
        <v>0</v>
      </c>
      <c r="CD289" s="144">
        <f t="shared" si="664"/>
        <v>0</v>
      </c>
      <c r="CE289" s="144">
        <f t="shared" si="664"/>
        <v>0</v>
      </c>
      <c r="CF289" s="144">
        <f t="shared" si="664"/>
        <v>0</v>
      </c>
      <c r="CG289" s="144">
        <f t="shared" si="664"/>
        <v>0</v>
      </c>
      <c r="CH289" s="144">
        <f t="shared" si="664"/>
        <v>0</v>
      </c>
      <c r="CI289" s="144">
        <f t="shared" si="664"/>
        <v>0</v>
      </c>
      <c r="CJ289" s="144">
        <f t="shared" si="664"/>
        <v>0</v>
      </c>
      <c r="CK289" s="144">
        <f t="shared" si="664"/>
        <v>0</v>
      </c>
      <c r="CL289" s="144">
        <f t="shared" si="664"/>
        <v>0</v>
      </c>
      <c r="CM289" s="144">
        <f t="shared" si="664"/>
        <v>0</v>
      </c>
      <c r="CN289" s="144">
        <f t="shared" si="664"/>
        <v>0</v>
      </c>
      <c r="CO289" s="9">
        <f t="shared" si="664"/>
        <v>0</v>
      </c>
      <c r="CP289" s="144">
        <f t="shared" si="664"/>
        <v>0</v>
      </c>
      <c r="CQ289" s="144">
        <f t="shared" si="664"/>
        <v>0</v>
      </c>
      <c r="CR289" s="144">
        <f t="shared" si="664"/>
        <v>0</v>
      </c>
      <c r="CS289" s="144">
        <f t="shared" si="664"/>
        <v>0</v>
      </c>
      <c r="CT289" s="144">
        <f t="shared" si="664"/>
        <v>0</v>
      </c>
      <c r="CU289" s="144">
        <f t="shared" ref="CU289:EB289" si="665">CU77/CU$211</f>
        <v>0</v>
      </c>
      <c r="CV289" s="144">
        <f t="shared" si="665"/>
        <v>0</v>
      </c>
      <c r="CW289" s="144">
        <f t="shared" si="665"/>
        <v>0</v>
      </c>
      <c r="CX289" s="144">
        <f t="shared" si="665"/>
        <v>0</v>
      </c>
      <c r="CY289" s="144">
        <f t="shared" si="665"/>
        <v>0</v>
      </c>
      <c r="CZ289" s="144">
        <f t="shared" si="665"/>
        <v>0</v>
      </c>
      <c r="DA289" s="144">
        <f t="shared" si="665"/>
        <v>0</v>
      </c>
      <c r="DB289" s="9">
        <f t="shared" si="665"/>
        <v>0</v>
      </c>
      <c r="DC289" s="144">
        <f t="shared" si="665"/>
        <v>3.86766402921565e-5</v>
      </c>
      <c r="DD289" s="144">
        <f t="shared" si="665"/>
        <v>3.93817866484514e-5</v>
      </c>
      <c r="DE289" s="144">
        <f t="shared" si="665"/>
        <v>0</v>
      </c>
      <c r="DF289" s="144">
        <f t="shared" si="665"/>
        <v>0.000407249096692087</v>
      </c>
      <c r="DG289" s="144">
        <f t="shared" si="665"/>
        <v>0</v>
      </c>
      <c r="DH289" s="144">
        <f t="shared" si="665"/>
        <v>0</v>
      </c>
      <c r="DI289" s="144">
        <f t="shared" si="665"/>
        <v>0</v>
      </c>
      <c r="DJ289" s="144">
        <f t="shared" si="665"/>
        <v>0</v>
      </c>
      <c r="DK289" s="144">
        <f t="shared" si="665"/>
        <v>0</v>
      </c>
      <c r="DL289" s="144">
        <f t="shared" si="665"/>
        <v>0</v>
      </c>
      <c r="DM289" s="144">
        <f t="shared" si="665"/>
        <v>0</v>
      </c>
      <c r="DN289" s="144">
        <f t="shared" si="665"/>
        <v>0</v>
      </c>
      <c r="DO289" s="9">
        <f t="shared" si="665"/>
        <v>3.86841120871601e-5</v>
      </c>
      <c r="DP289" s="144">
        <f t="shared" si="665"/>
        <v>1.04937581662186e-5</v>
      </c>
      <c r="DQ289" s="144">
        <f t="shared" si="665"/>
        <v>1.10833383987639e-5</v>
      </c>
      <c r="DR289" s="144">
        <f t="shared" si="665"/>
        <v>1.17395027607375e-5</v>
      </c>
      <c r="DS289" s="144">
        <f t="shared" si="665"/>
        <v>2.99135948089932e-5</v>
      </c>
      <c r="DT289" s="144">
        <f t="shared" si="665"/>
        <v>4.6166188637292e-6</v>
      </c>
      <c r="DU289" s="144">
        <f t="shared" si="665"/>
        <v>0</v>
      </c>
      <c r="DV289" s="144">
        <f t="shared" si="665"/>
        <v>0</v>
      </c>
      <c r="DW289" s="144">
        <f t="shared" si="665"/>
        <v>0</v>
      </c>
      <c r="DX289" s="144">
        <f t="shared" si="665"/>
        <v>0</v>
      </c>
      <c r="DY289" s="144">
        <f t="shared" si="665"/>
        <v>0</v>
      </c>
      <c r="DZ289" s="144">
        <f t="shared" si="665"/>
        <v>0</v>
      </c>
      <c r="EA289" s="144">
        <f t="shared" si="665"/>
        <v>0</v>
      </c>
      <c r="EB289" s="117">
        <f t="shared" si="665"/>
        <v>6.36985775649358e-6</v>
      </c>
      <c r="EC289" s="118"/>
      <c r="ED289" s="117">
        <f t="shared" ref="ED289:FB289" si="666">ED77/ED$211</f>
        <v>0</v>
      </c>
      <c r="EE289" s="117">
        <f t="shared" si="666"/>
        <v>0</v>
      </c>
      <c r="EF289" s="117">
        <f t="shared" si="666"/>
        <v>0</v>
      </c>
      <c r="EG289" s="117" t="e">
        <f t="shared" si="666"/>
        <v>#DIV/0!</v>
      </c>
      <c r="EH289" s="117" t="e">
        <f t="shared" si="666"/>
        <v>#DIV/0!</v>
      </c>
      <c r="EI289" s="117" t="e">
        <f t="shared" si="666"/>
        <v>#DIV/0!</v>
      </c>
      <c r="EJ289" s="117" t="e">
        <f t="shared" si="666"/>
        <v>#DIV/0!</v>
      </c>
      <c r="EK289" s="117" t="e">
        <f t="shared" si="666"/>
        <v>#DIV/0!</v>
      </c>
      <c r="EL289" s="117" t="e">
        <f t="shared" si="666"/>
        <v>#DIV/0!</v>
      </c>
      <c r="EM289" s="117" t="e">
        <f t="shared" si="666"/>
        <v>#DIV/0!</v>
      </c>
      <c r="EN289" s="117" t="e">
        <f t="shared" si="666"/>
        <v>#DIV/0!</v>
      </c>
      <c r="EO289" s="116">
        <f t="shared" si="666"/>
        <v>0</v>
      </c>
      <c r="EP289" s="117">
        <f t="shared" si="666"/>
        <v>0</v>
      </c>
      <c r="EQ289" s="117">
        <f t="shared" si="666"/>
        <v>0</v>
      </c>
      <c r="ER289" s="117">
        <f t="shared" si="666"/>
        <v>0</v>
      </c>
      <c r="ES289" s="117">
        <f t="shared" si="666"/>
        <v>0</v>
      </c>
      <c r="ET289" s="117">
        <f t="shared" si="666"/>
        <v>0</v>
      </c>
      <c r="EU289" s="117">
        <f t="shared" si="666"/>
        <v>0</v>
      </c>
      <c r="EV289" s="117">
        <f t="shared" si="666"/>
        <v>0</v>
      </c>
      <c r="EW289" s="117">
        <f t="shared" si="666"/>
        <v>0</v>
      </c>
      <c r="EX289" s="117">
        <f t="shared" si="666"/>
        <v>0</v>
      </c>
      <c r="EY289" s="117">
        <f t="shared" si="666"/>
        <v>0</v>
      </c>
      <c r="EZ289" s="117">
        <f t="shared" si="666"/>
        <v>0</v>
      </c>
      <c r="FA289" s="117">
        <f t="shared" si="666"/>
        <v>0</v>
      </c>
      <c r="FB289" s="117">
        <f t="shared" si="666"/>
        <v>0</v>
      </c>
      <c r="FC289" s="118"/>
      <c r="FD289" s="117"/>
      <c r="FE289" s="117"/>
      <c r="FF289" s="117"/>
      <c r="FG289" s="117"/>
      <c r="FH289" s="117"/>
      <c r="FI289" s="117"/>
      <c r="FJ289" s="117"/>
      <c r="FK289" s="117" t="e">
        <f t="shared" si="601"/>
        <v>#DIV/0!</v>
      </c>
      <c r="FL289" s="117" t="e">
        <f t="shared" si="602"/>
        <v>#DIV/0!</v>
      </c>
      <c r="FM289" s="117" t="e">
        <f t="shared" si="603"/>
        <v>#DIV/0!</v>
      </c>
      <c r="FN289" s="117" t="e">
        <f t="shared" si="604"/>
        <v>#DIV/0!</v>
      </c>
      <c r="FO289" s="9" t="e">
        <f t="shared" si="605"/>
        <v>#DIV/0!</v>
      </c>
      <c r="FP289" s="118">
        <f t="shared" ref="FP289:GB289" si="667">FP77/FP$211</f>
        <v>1.08528263160141e-6</v>
      </c>
      <c r="FQ289" s="117">
        <f t="shared" si="667"/>
        <v>1.08062514922286e-5</v>
      </c>
      <c r="FR289" s="117">
        <f t="shared" si="667"/>
        <v>7.18086009986689e-7</v>
      </c>
      <c r="FS289" s="117">
        <f t="shared" si="667"/>
        <v>2.57781844537292e-6</v>
      </c>
      <c r="FT289" s="117">
        <f t="shared" si="667"/>
        <v>5.86036469518082e-6</v>
      </c>
      <c r="FU289" s="117">
        <f t="shared" si="667"/>
        <v>0</v>
      </c>
      <c r="FV289" s="117">
        <f t="shared" si="667"/>
        <v>0</v>
      </c>
      <c r="FW289" s="117">
        <f t="shared" si="667"/>
        <v>0</v>
      </c>
      <c r="FX289" s="117">
        <f t="shared" si="667"/>
        <v>0</v>
      </c>
      <c r="FY289" s="117">
        <f t="shared" si="667"/>
        <v>0</v>
      </c>
      <c r="FZ289" s="117">
        <f t="shared" si="667"/>
        <v>0</v>
      </c>
      <c r="GA289" s="117">
        <f t="shared" si="667"/>
        <v>0</v>
      </c>
      <c r="GB289" s="116">
        <f t="shared" si="667"/>
        <v>1.76031982716646e-6</v>
      </c>
    </row>
    <row r="290" spans="1:184">
      <c r="A290" s="147" t="s">
        <v>181</v>
      </c>
      <c r="B290" s="160">
        <f t="shared" si="607"/>
        <v>-0.99311440945643</v>
      </c>
      <c r="C290" s="117">
        <f t="shared" ref="C290:AH290" si="668">C78/C$211</f>
        <v>5.62473953346944e-7</v>
      </c>
      <c r="D290" s="117">
        <f t="shared" si="668"/>
        <v>3.82289184691342e-7</v>
      </c>
      <c r="E290" s="117">
        <f t="shared" si="668"/>
        <v>1.40617033254626e-6</v>
      </c>
      <c r="F290" s="117">
        <f t="shared" si="668"/>
        <v>3.35745770595413e-7</v>
      </c>
      <c r="G290" s="117">
        <f t="shared" si="668"/>
        <v>0</v>
      </c>
      <c r="H290" s="117">
        <f t="shared" si="668"/>
        <v>0</v>
      </c>
      <c r="I290" s="117">
        <f t="shared" si="668"/>
        <v>0</v>
      </c>
      <c r="J290" s="117">
        <f t="shared" si="668"/>
        <v>0</v>
      </c>
      <c r="K290" s="117">
        <f t="shared" si="668"/>
        <v>0</v>
      </c>
      <c r="L290" s="117">
        <f t="shared" si="668"/>
        <v>0</v>
      </c>
      <c r="M290" s="117">
        <f t="shared" si="668"/>
        <v>0</v>
      </c>
      <c r="N290" s="117">
        <f t="shared" si="668"/>
        <v>0</v>
      </c>
      <c r="O290" s="9">
        <f t="shared" si="668"/>
        <v>2.45279313014356e-7</v>
      </c>
      <c r="P290" s="117">
        <f t="shared" si="668"/>
        <v>0</v>
      </c>
      <c r="Q290" s="117">
        <f t="shared" si="668"/>
        <v>0</v>
      </c>
      <c r="R290" s="117">
        <f t="shared" si="668"/>
        <v>0</v>
      </c>
      <c r="S290" s="117">
        <f t="shared" si="668"/>
        <v>0</v>
      </c>
      <c r="T290" s="117">
        <f t="shared" si="668"/>
        <v>0</v>
      </c>
      <c r="U290" s="117">
        <f t="shared" si="668"/>
        <v>0</v>
      </c>
      <c r="V290" s="117">
        <f t="shared" si="668"/>
        <v>0</v>
      </c>
      <c r="W290" s="117">
        <f t="shared" si="668"/>
        <v>0</v>
      </c>
      <c r="X290" s="117">
        <f t="shared" si="668"/>
        <v>0</v>
      </c>
      <c r="Y290" s="117">
        <f t="shared" si="668"/>
        <v>0</v>
      </c>
      <c r="Z290" s="117">
        <f t="shared" si="668"/>
        <v>0</v>
      </c>
      <c r="AA290" s="117">
        <f t="shared" si="668"/>
        <v>0</v>
      </c>
      <c r="AB290" s="9">
        <f t="shared" si="668"/>
        <v>0</v>
      </c>
      <c r="AC290" s="117">
        <f t="shared" si="668"/>
        <v>0</v>
      </c>
      <c r="AD290" s="117">
        <f t="shared" si="668"/>
        <v>0</v>
      </c>
      <c r="AE290" s="117">
        <f t="shared" si="668"/>
        <v>0</v>
      </c>
      <c r="AF290" s="117">
        <f t="shared" si="668"/>
        <v>0</v>
      </c>
      <c r="AG290" s="117">
        <f t="shared" si="668"/>
        <v>0</v>
      </c>
      <c r="AH290" s="117">
        <f t="shared" si="668"/>
        <v>0</v>
      </c>
      <c r="AI290" s="117">
        <f t="shared" ref="AI290:BN290" si="669">AI78/AI$211</f>
        <v>0</v>
      </c>
      <c r="AJ290" s="117">
        <f t="shared" si="669"/>
        <v>0</v>
      </c>
      <c r="AK290" s="117">
        <f t="shared" si="669"/>
        <v>0</v>
      </c>
      <c r="AL290" s="117">
        <f t="shared" si="669"/>
        <v>0</v>
      </c>
      <c r="AM290" s="117">
        <f t="shared" si="669"/>
        <v>0</v>
      </c>
      <c r="AN290" s="117">
        <f t="shared" si="669"/>
        <v>0</v>
      </c>
      <c r="AO290" s="9">
        <f t="shared" si="669"/>
        <v>0</v>
      </c>
      <c r="AP290" s="144">
        <f t="shared" si="669"/>
        <v>0</v>
      </c>
      <c r="AQ290" s="144">
        <f t="shared" si="669"/>
        <v>0</v>
      </c>
      <c r="AR290" s="144">
        <f t="shared" si="669"/>
        <v>0</v>
      </c>
      <c r="AS290" s="144">
        <f t="shared" si="669"/>
        <v>0</v>
      </c>
      <c r="AT290" s="144">
        <f t="shared" si="669"/>
        <v>0</v>
      </c>
      <c r="AU290" s="144">
        <f t="shared" si="669"/>
        <v>0</v>
      </c>
      <c r="AV290" s="144">
        <f t="shared" si="669"/>
        <v>0</v>
      </c>
      <c r="AW290" s="144">
        <f t="shared" si="669"/>
        <v>0</v>
      </c>
      <c r="AX290" s="144">
        <f t="shared" si="669"/>
        <v>0</v>
      </c>
      <c r="AY290" s="144">
        <f t="shared" si="669"/>
        <v>0</v>
      </c>
      <c r="AZ290" s="144">
        <f t="shared" si="669"/>
        <v>0</v>
      </c>
      <c r="BA290" s="144">
        <f t="shared" si="669"/>
        <v>0</v>
      </c>
      <c r="BB290" s="9">
        <f t="shared" si="669"/>
        <v>0</v>
      </c>
      <c r="BC290" s="144">
        <f t="shared" si="669"/>
        <v>0</v>
      </c>
      <c r="BD290" s="144">
        <f t="shared" si="669"/>
        <v>0</v>
      </c>
      <c r="BE290" s="144">
        <f t="shared" si="669"/>
        <v>0</v>
      </c>
      <c r="BF290" s="144">
        <f t="shared" si="669"/>
        <v>0</v>
      </c>
      <c r="BG290" s="144">
        <f t="shared" si="669"/>
        <v>0</v>
      </c>
      <c r="BH290" s="144">
        <f t="shared" si="669"/>
        <v>0</v>
      </c>
      <c r="BI290" s="144">
        <f t="shared" si="669"/>
        <v>0</v>
      </c>
      <c r="BJ290" s="144">
        <f t="shared" si="669"/>
        <v>0</v>
      </c>
      <c r="BK290" s="144">
        <f t="shared" si="669"/>
        <v>0</v>
      </c>
      <c r="BL290" s="144">
        <f t="shared" si="669"/>
        <v>0</v>
      </c>
      <c r="BM290" s="144">
        <f t="shared" si="669"/>
        <v>0</v>
      </c>
      <c r="BN290" s="144">
        <f t="shared" si="669"/>
        <v>0</v>
      </c>
      <c r="BO290" s="9">
        <f t="shared" ref="BO290:CT290" si="670">BO78/BO$211</f>
        <v>0</v>
      </c>
      <c r="BP290" s="144">
        <f t="shared" si="670"/>
        <v>0</v>
      </c>
      <c r="BQ290" s="144">
        <f t="shared" si="670"/>
        <v>0</v>
      </c>
      <c r="BR290" s="144">
        <f t="shared" si="670"/>
        <v>0</v>
      </c>
      <c r="BS290" s="144">
        <f t="shared" si="670"/>
        <v>0</v>
      </c>
      <c r="BT290" s="144">
        <f t="shared" si="670"/>
        <v>0</v>
      </c>
      <c r="BU290" s="144">
        <f t="shared" si="670"/>
        <v>0</v>
      </c>
      <c r="BV290" s="144">
        <f t="shared" si="670"/>
        <v>0</v>
      </c>
      <c r="BW290" s="144">
        <f t="shared" si="670"/>
        <v>0</v>
      </c>
      <c r="BX290" s="144">
        <f t="shared" si="670"/>
        <v>0</v>
      </c>
      <c r="BY290" s="144">
        <f t="shared" si="670"/>
        <v>0</v>
      </c>
      <c r="BZ290" s="144">
        <f t="shared" si="670"/>
        <v>0</v>
      </c>
      <c r="CA290" s="144">
        <f t="shared" si="670"/>
        <v>0</v>
      </c>
      <c r="CB290" s="9">
        <f t="shared" si="670"/>
        <v>0</v>
      </c>
      <c r="CC290" s="144">
        <f t="shared" si="670"/>
        <v>0</v>
      </c>
      <c r="CD290" s="144">
        <f t="shared" si="670"/>
        <v>0</v>
      </c>
      <c r="CE290" s="144">
        <f t="shared" si="670"/>
        <v>0</v>
      </c>
      <c r="CF290" s="144">
        <f t="shared" si="670"/>
        <v>0</v>
      </c>
      <c r="CG290" s="144">
        <f t="shared" si="670"/>
        <v>0</v>
      </c>
      <c r="CH290" s="144">
        <f t="shared" si="670"/>
        <v>0</v>
      </c>
      <c r="CI290" s="144">
        <f t="shared" si="670"/>
        <v>0</v>
      </c>
      <c r="CJ290" s="144">
        <f t="shared" si="670"/>
        <v>0</v>
      </c>
      <c r="CK290" s="144">
        <f t="shared" si="670"/>
        <v>0</v>
      </c>
      <c r="CL290" s="144">
        <f t="shared" si="670"/>
        <v>0</v>
      </c>
      <c r="CM290" s="144">
        <f t="shared" si="670"/>
        <v>0</v>
      </c>
      <c r="CN290" s="144">
        <f t="shared" si="670"/>
        <v>0</v>
      </c>
      <c r="CO290" s="9">
        <f t="shared" si="670"/>
        <v>0</v>
      </c>
      <c r="CP290" s="144">
        <f t="shared" si="670"/>
        <v>0</v>
      </c>
      <c r="CQ290" s="144">
        <f t="shared" si="670"/>
        <v>0</v>
      </c>
      <c r="CR290" s="144">
        <f t="shared" si="670"/>
        <v>0</v>
      </c>
      <c r="CS290" s="144">
        <f t="shared" si="670"/>
        <v>0</v>
      </c>
      <c r="CT290" s="144">
        <f t="shared" si="670"/>
        <v>0</v>
      </c>
      <c r="CU290" s="144">
        <f t="shared" ref="CU290:EB290" si="671">CU78/CU$211</f>
        <v>0</v>
      </c>
      <c r="CV290" s="144">
        <f t="shared" si="671"/>
        <v>0</v>
      </c>
      <c r="CW290" s="144">
        <f t="shared" si="671"/>
        <v>0</v>
      </c>
      <c r="CX290" s="144">
        <f t="shared" si="671"/>
        <v>0</v>
      </c>
      <c r="CY290" s="144">
        <f t="shared" si="671"/>
        <v>0</v>
      </c>
      <c r="CZ290" s="144">
        <f t="shared" si="671"/>
        <v>0</v>
      </c>
      <c r="DA290" s="144">
        <f t="shared" si="671"/>
        <v>0</v>
      </c>
      <c r="DB290" s="9">
        <f t="shared" si="671"/>
        <v>0</v>
      </c>
      <c r="DC290" s="144">
        <f t="shared" si="671"/>
        <v>0</v>
      </c>
      <c r="DD290" s="144">
        <f t="shared" si="671"/>
        <v>0</v>
      </c>
      <c r="DE290" s="144">
        <f t="shared" si="671"/>
        <v>0</v>
      </c>
      <c r="DF290" s="144">
        <f t="shared" si="671"/>
        <v>0</v>
      </c>
      <c r="DG290" s="144">
        <f t="shared" si="671"/>
        <v>0</v>
      </c>
      <c r="DH290" s="144">
        <f t="shared" si="671"/>
        <v>0</v>
      </c>
      <c r="DI290" s="144">
        <f t="shared" si="671"/>
        <v>0</v>
      </c>
      <c r="DJ290" s="144">
        <f t="shared" si="671"/>
        <v>0</v>
      </c>
      <c r="DK290" s="144">
        <f t="shared" si="671"/>
        <v>0</v>
      </c>
      <c r="DL290" s="144">
        <f t="shared" si="671"/>
        <v>0</v>
      </c>
      <c r="DM290" s="144">
        <f t="shared" si="671"/>
        <v>0</v>
      </c>
      <c r="DN290" s="144">
        <f t="shared" si="671"/>
        <v>0</v>
      </c>
      <c r="DO290" s="9">
        <f t="shared" si="671"/>
        <v>0</v>
      </c>
      <c r="DP290" s="144">
        <f t="shared" si="671"/>
        <v>0</v>
      </c>
      <c r="DQ290" s="144">
        <f t="shared" si="671"/>
        <v>0</v>
      </c>
      <c r="DR290" s="144">
        <f t="shared" si="671"/>
        <v>0</v>
      </c>
      <c r="DS290" s="144">
        <f t="shared" si="671"/>
        <v>0</v>
      </c>
      <c r="DT290" s="144">
        <f t="shared" si="671"/>
        <v>0</v>
      </c>
      <c r="DU290" s="144">
        <f t="shared" si="671"/>
        <v>0</v>
      </c>
      <c r="DV290" s="144">
        <f t="shared" si="671"/>
        <v>0</v>
      </c>
      <c r="DW290" s="144">
        <f t="shared" si="671"/>
        <v>0</v>
      </c>
      <c r="DX290" s="144">
        <f t="shared" si="671"/>
        <v>0</v>
      </c>
      <c r="DY290" s="144">
        <f t="shared" si="671"/>
        <v>0</v>
      </c>
      <c r="DZ290" s="144">
        <f t="shared" si="671"/>
        <v>0</v>
      </c>
      <c r="EA290" s="144">
        <f t="shared" si="671"/>
        <v>0</v>
      </c>
      <c r="EB290" s="117">
        <f t="shared" si="671"/>
        <v>0</v>
      </c>
      <c r="EC290" s="118"/>
      <c r="ED290" s="117">
        <f t="shared" ref="ED290:FB290" si="672">ED78/ED$211</f>
        <v>0</v>
      </c>
      <c r="EE290" s="117">
        <f t="shared" si="672"/>
        <v>0</v>
      </c>
      <c r="EF290" s="117">
        <f t="shared" si="672"/>
        <v>0</v>
      </c>
      <c r="EG290" s="117" t="e">
        <f t="shared" si="672"/>
        <v>#DIV/0!</v>
      </c>
      <c r="EH290" s="117" t="e">
        <f t="shared" si="672"/>
        <v>#DIV/0!</v>
      </c>
      <c r="EI290" s="117" t="e">
        <f t="shared" si="672"/>
        <v>#DIV/0!</v>
      </c>
      <c r="EJ290" s="117" t="e">
        <f t="shared" si="672"/>
        <v>#DIV/0!</v>
      </c>
      <c r="EK290" s="117" t="e">
        <f t="shared" si="672"/>
        <v>#DIV/0!</v>
      </c>
      <c r="EL290" s="117" t="e">
        <f t="shared" si="672"/>
        <v>#DIV/0!</v>
      </c>
      <c r="EM290" s="117" t="e">
        <f t="shared" si="672"/>
        <v>#DIV/0!</v>
      </c>
      <c r="EN290" s="117" t="e">
        <f t="shared" si="672"/>
        <v>#DIV/0!</v>
      </c>
      <c r="EO290" s="116">
        <f t="shared" si="672"/>
        <v>0</v>
      </c>
      <c r="EP290" s="117">
        <f t="shared" si="672"/>
        <v>0</v>
      </c>
      <c r="EQ290" s="117">
        <f t="shared" si="672"/>
        <v>0</v>
      </c>
      <c r="ER290" s="117">
        <f t="shared" si="672"/>
        <v>0</v>
      </c>
      <c r="ES290" s="117">
        <f t="shared" si="672"/>
        <v>0</v>
      </c>
      <c r="ET290" s="117">
        <f t="shared" si="672"/>
        <v>0</v>
      </c>
      <c r="EU290" s="117">
        <f t="shared" si="672"/>
        <v>0</v>
      </c>
      <c r="EV290" s="117">
        <f t="shared" si="672"/>
        <v>0</v>
      </c>
      <c r="EW290" s="117">
        <f t="shared" si="672"/>
        <v>0</v>
      </c>
      <c r="EX290" s="117">
        <f t="shared" si="672"/>
        <v>0</v>
      </c>
      <c r="EY290" s="117">
        <f t="shared" si="672"/>
        <v>0</v>
      </c>
      <c r="EZ290" s="117">
        <f t="shared" si="672"/>
        <v>0</v>
      </c>
      <c r="FA290" s="117">
        <f t="shared" si="672"/>
        <v>0</v>
      </c>
      <c r="FB290" s="117">
        <f t="shared" si="672"/>
        <v>0</v>
      </c>
      <c r="FC290" s="118"/>
      <c r="FD290" s="117"/>
      <c r="FE290" s="117"/>
      <c r="FF290" s="117"/>
      <c r="FG290" s="117"/>
      <c r="FH290" s="117"/>
      <c r="FI290" s="117"/>
      <c r="FJ290" s="117"/>
      <c r="FK290" s="117" t="e">
        <f t="shared" si="601"/>
        <v>#DIV/0!</v>
      </c>
      <c r="FL290" s="117" t="e">
        <f t="shared" si="602"/>
        <v>#DIV/0!</v>
      </c>
      <c r="FM290" s="117" t="e">
        <f t="shared" si="603"/>
        <v>#DIV/0!</v>
      </c>
      <c r="FN290" s="117" t="e">
        <f t="shared" si="604"/>
        <v>#DIV/0!</v>
      </c>
      <c r="FO290" s="9" t="e">
        <f t="shared" si="605"/>
        <v>#DIV/0!</v>
      </c>
      <c r="FP290" s="118">
        <f t="shared" ref="FP290:GB290" si="673">FP78/FP$211</f>
        <v>2.12372063555409e-6</v>
      </c>
      <c r="FQ290" s="117">
        <f t="shared" si="673"/>
        <v>1.57230609732024e-6</v>
      </c>
      <c r="FR290" s="117">
        <f t="shared" si="673"/>
        <v>5.26183922791654e-6</v>
      </c>
      <c r="FS290" s="117">
        <f t="shared" si="673"/>
        <v>1.3799035098872e-6</v>
      </c>
      <c r="FT290" s="117">
        <f t="shared" si="673"/>
        <v>0</v>
      </c>
      <c r="FU290" s="117">
        <f t="shared" si="673"/>
        <v>0</v>
      </c>
      <c r="FV290" s="117">
        <f t="shared" si="673"/>
        <v>0</v>
      </c>
      <c r="FW290" s="117">
        <f t="shared" si="673"/>
        <v>0</v>
      </c>
      <c r="FX290" s="117">
        <f t="shared" si="673"/>
        <v>0</v>
      </c>
      <c r="FY290" s="117">
        <f t="shared" si="673"/>
        <v>0</v>
      </c>
      <c r="FZ290" s="117">
        <f t="shared" si="673"/>
        <v>0</v>
      </c>
      <c r="GA290" s="117">
        <f t="shared" si="673"/>
        <v>0</v>
      </c>
      <c r="GB290" s="116">
        <f t="shared" si="673"/>
        <v>1.01460988071537e-6</v>
      </c>
    </row>
    <row r="291" spans="1:184">
      <c r="A291" s="147" t="s">
        <v>183</v>
      </c>
      <c r="B291" s="160">
        <f t="shared" si="607"/>
        <v>-0.877577642263487</v>
      </c>
      <c r="C291" s="117">
        <f t="shared" ref="C291:AH291" si="674">C79/C$211</f>
        <v>6.68028306529278e-6</v>
      </c>
      <c r="D291" s="117">
        <f t="shared" si="674"/>
        <v>5.8073700735462e-6</v>
      </c>
      <c r="E291" s="117">
        <f t="shared" si="674"/>
        <v>4.23090758264271e-6</v>
      </c>
      <c r="F291" s="117">
        <f t="shared" si="674"/>
        <v>1.62434883788063e-6</v>
      </c>
      <c r="G291" s="117">
        <f t="shared" si="674"/>
        <v>2.41108092999873e-6</v>
      </c>
      <c r="H291" s="117">
        <f t="shared" si="674"/>
        <v>0</v>
      </c>
      <c r="I291" s="117">
        <f t="shared" si="674"/>
        <v>0</v>
      </c>
      <c r="J291" s="117">
        <f t="shared" si="674"/>
        <v>0</v>
      </c>
      <c r="K291" s="117">
        <f t="shared" si="674"/>
        <v>0</v>
      </c>
      <c r="L291" s="117">
        <f t="shared" si="674"/>
        <v>0</v>
      </c>
      <c r="M291" s="117">
        <f t="shared" si="674"/>
        <v>0</v>
      </c>
      <c r="N291" s="117">
        <f t="shared" si="674"/>
        <v>0</v>
      </c>
      <c r="O291" s="9">
        <f t="shared" si="674"/>
        <v>1.96834923353671e-6</v>
      </c>
      <c r="P291" s="117">
        <f t="shared" si="674"/>
        <v>0</v>
      </c>
      <c r="Q291" s="117">
        <f t="shared" si="674"/>
        <v>0</v>
      </c>
      <c r="R291" s="117">
        <f t="shared" si="674"/>
        <v>0</v>
      </c>
      <c r="S291" s="117">
        <f t="shared" si="674"/>
        <v>0</v>
      </c>
      <c r="T291" s="117">
        <f t="shared" si="674"/>
        <v>0</v>
      </c>
      <c r="U291" s="117">
        <f t="shared" si="674"/>
        <v>0</v>
      </c>
      <c r="V291" s="117">
        <f t="shared" si="674"/>
        <v>0</v>
      </c>
      <c r="W291" s="117">
        <f t="shared" si="674"/>
        <v>0</v>
      </c>
      <c r="X291" s="117">
        <f t="shared" si="674"/>
        <v>0</v>
      </c>
      <c r="Y291" s="117">
        <f t="shared" si="674"/>
        <v>0</v>
      </c>
      <c r="Z291" s="117">
        <f t="shared" si="674"/>
        <v>0</v>
      </c>
      <c r="AA291" s="117">
        <f t="shared" si="674"/>
        <v>0</v>
      </c>
      <c r="AB291" s="9">
        <f t="shared" si="674"/>
        <v>0</v>
      </c>
      <c r="AC291" s="117">
        <f t="shared" si="674"/>
        <v>0</v>
      </c>
      <c r="AD291" s="117">
        <f t="shared" si="674"/>
        <v>0</v>
      </c>
      <c r="AE291" s="117">
        <f t="shared" si="674"/>
        <v>0</v>
      </c>
      <c r="AF291" s="117">
        <f t="shared" si="674"/>
        <v>0</v>
      </c>
      <c r="AG291" s="117">
        <f t="shared" si="674"/>
        <v>0</v>
      </c>
      <c r="AH291" s="117">
        <f t="shared" si="674"/>
        <v>0</v>
      </c>
      <c r="AI291" s="117">
        <f t="shared" ref="AI291:BN291" si="675">AI79/AI$211</f>
        <v>0</v>
      </c>
      <c r="AJ291" s="117">
        <f t="shared" si="675"/>
        <v>0</v>
      </c>
      <c r="AK291" s="117">
        <f t="shared" si="675"/>
        <v>0</v>
      </c>
      <c r="AL291" s="117">
        <f t="shared" si="675"/>
        <v>0</v>
      </c>
      <c r="AM291" s="117">
        <f t="shared" si="675"/>
        <v>0</v>
      </c>
      <c r="AN291" s="117">
        <f t="shared" si="675"/>
        <v>0</v>
      </c>
      <c r="AO291" s="9">
        <f t="shared" si="675"/>
        <v>0</v>
      </c>
      <c r="AP291" s="144">
        <f t="shared" si="675"/>
        <v>5.10598378948649e-6</v>
      </c>
      <c r="AQ291" s="144">
        <f t="shared" si="675"/>
        <v>6.29317174857164e-6</v>
      </c>
      <c r="AR291" s="144">
        <f t="shared" si="675"/>
        <v>0</v>
      </c>
      <c r="AS291" s="144">
        <f t="shared" si="675"/>
        <v>0</v>
      </c>
      <c r="AT291" s="144">
        <f t="shared" si="675"/>
        <v>0</v>
      </c>
      <c r="AU291" s="144">
        <f t="shared" si="675"/>
        <v>0</v>
      </c>
      <c r="AV291" s="144">
        <f t="shared" si="675"/>
        <v>0</v>
      </c>
      <c r="AW291" s="144">
        <f t="shared" si="675"/>
        <v>0</v>
      </c>
      <c r="AX291" s="144">
        <f t="shared" si="675"/>
        <v>0</v>
      </c>
      <c r="AY291" s="144">
        <f t="shared" si="675"/>
        <v>0</v>
      </c>
      <c r="AZ291" s="144">
        <f t="shared" si="675"/>
        <v>0</v>
      </c>
      <c r="BA291" s="144">
        <f t="shared" si="675"/>
        <v>0</v>
      </c>
      <c r="BB291" s="9">
        <f t="shared" si="675"/>
        <v>9.8309307626358e-7</v>
      </c>
      <c r="BC291" s="144">
        <f t="shared" si="675"/>
        <v>0</v>
      </c>
      <c r="BD291" s="144">
        <f t="shared" si="675"/>
        <v>0</v>
      </c>
      <c r="BE291" s="144">
        <f t="shared" si="675"/>
        <v>0</v>
      </c>
      <c r="BF291" s="144">
        <f t="shared" si="675"/>
        <v>0</v>
      </c>
      <c r="BG291" s="144">
        <f t="shared" si="675"/>
        <v>0</v>
      </c>
      <c r="BH291" s="144">
        <f t="shared" si="675"/>
        <v>0</v>
      </c>
      <c r="BI291" s="144">
        <f t="shared" si="675"/>
        <v>0</v>
      </c>
      <c r="BJ291" s="144">
        <f t="shared" si="675"/>
        <v>0</v>
      </c>
      <c r="BK291" s="144">
        <f t="shared" si="675"/>
        <v>0</v>
      </c>
      <c r="BL291" s="144">
        <f t="shared" si="675"/>
        <v>0</v>
      </c>
      <c r="BM291" s="144">
        <f t="shared" si="675"/>
        <v>0</v>
      </c>
      <c r="BN291" s="144">
        <f t="shared" si="675"/>
        <v>0</v>
      </c>
      <c r="BO291" s="9">
        <f t="shared" ref="BO291:CT291" si="676">BO79/BO$211</f>
        <v>0</v>
      </c>
      <c r="BP291" s="144">
        <f t="shared" si="676"/>
        <v>3.05103071935181e-5</v>
      </c>
      <c r="BQ291" s="144">
        <f t="shared" si="676"/>
        <v>1.6212965096795e-5</v>
      </c>
      <c r="BR291" s="144">
        <f t="shared" si="676"/>
        <v>2.14926918513155e-5</v>
      </c>
      <c r="BS291" s="144">
        <f t="shared" si="676"/>
        <v>8.69002768745263e-6</v>
      </c>
      <c r="BT291" s="144">
        <f t="shared" si="676"/>
        <v>1.23965769978266e-5</v>
      </c>
      <c r="BU291" s="144">
        <f t="shared" si="676"/>
        <v>0</v>
      </c>
      <c r="BV291" s="144">
        <f t="shared" si="676"/>
        <v>0</v>
      </c>
      <c r="BW291" s="144">
        <f t="shared" si="676"/>
        <v>0</v>
      </c>
      <c r="BX291" s="144">
        <f t="shared" si="676"/>
        <v>0</v>
      </c>
      <c r="BY291" s="144">
        <f t="shared" si="676"/>
        <v>0</v>
      </c>
      <c r="BZ291" s="144">
        <f t="shared" si="676"/>
        <v>0</v>
      </c>
      <c r="CA291" s="144">
        <f t="shared" si="676"/>
        <v>0</v>
      </c>
      <c r="CB291" s="9">
        <f t="shared" si="676"/>
        <v>9.30705381080123e-6</v>
      </c>
      <c r="CC291" s="144">
        <f t="shared" si="676"/>
        <v>0</v>
      </c>
      <c r="CD291" s="144">
        <f t="shared" si="676"/>
        <v>0</v>
      </c>
      <c r="CE291" s="144">
        <f t="shared" si="676"/>
        <v>0</v>
      </c>
      <c r="CF291" s="144">
        <f t="shared" si="676"/>
        <v>0</v>
      </c>
      <c r="CG291" s="144">
        <f t="shared" si="676"/>
        <v>0</v>
      </c>
      <c r="CH291" s="144">
        <f t="shared" si="676"/>
        <v>0</v>
      </c>
      <c r="CI291" s="144">
        <f t="shared" si="676"/>
        <v>0</v>
      </c>
      <c r="CJ291" s="144">
        <f t="shared" si="676"/>
        <v>0</v>
      </c>
      <c r="CK291" s="144">
        <f t="shared" si="676"/>
        <v>0</v>
      </c>
      <c r="CL291" s="144">
        <f t="shared" si="676"/>
        <v>0</v>
      </c>
      <c r="CM291" s="144">
        <f t="shared" si="676"/>
        <v>0</v>
      </c>
      <c r="CN291" s="144">
        <f t="shared" si="676"/>
        <v>0</v>
      </c>
      <c r="CO291" s="9">
        <f t="shared" si="676"/>
        <v>0</v>
      </c>
      <c r="CP291" s="144">
        <f t="shared" si="676"/>
        <v>0</v>
      </c>
      <c r="CQ291" s="144">
        <f t="shared" si="676"/>
        <v>0</v>
      </c>
      <c r="CR291" s="144">
        <f t="shared" si="676"/>
        <v>0</v>
      </c>
      <c r="CS291" s="144">
        <f t="shared" si="676"/>
        <v>0</v>
      </c>
      <c r="CT291" s="144">
        <f t="shared" si="676"/>
        <v>0</v>
      </c>
      <c r="CU291" s="144">
        <f t="shared" ref="CU291:EB291" si="677">CU79/CU$211</f>
        <v>0</v>
      </c>
      <c r="CV291" s="144">
        <f t="shared" si="677"/>
        <v>0</v>
      </c>
      <c r="CW291" s="144">
        <f t="shared" si="677"/>
        <v>0</v>
      </c>
      <c r="CX291" s="144">
        <f t="shared" si="677"/>
        <v>0</v>
      </c>
      <c r="CY291" s="144">
        <f t="shared" si="677"/>
        <v>0</v>
      </c>
      <c r="CZ291" s="144">
        <f t="shared" si="677"/>
        <v>0</v>
      </c>
      <c r="DA291" s="144">
        <f t="shared" si="677"/>
        <v>0</v>
      </c>
      <c r="DB291" s="9">
        <f t="shared" si="677"/>
        <v>0</v>
      </c>
      <c r="DC291" s="144">
        <f t="shared" si="677"/>
        <v>0</v>
      </c>
      <c r="DD291" s="144">
        <f t="shared" si="677"/>
        <v>0</v>
      </c>
      <c r="DE291" s="144">
        <f t="shared" si="677"/>
        <v>0</v>
      </c>
      <c r="DF291" s="144">
        <f t="shared" si="677"/>
        <v>0</v>
      </c>
      <c r="DG291" s="144">
        <f t="shared" si="677"/>
        <v>0</v>
      </c>
      <c r="DH291" s="144">
        <f t="shared" si="677"/>
        <v>0</v>
      </c>
      <c r="DI291" s="144">
        <f t="shared" si="677"/>
        <v>0</v>
      </c>
      <c r="DJ291" s="144">
        <f t="shared" si="677"/>
        <v>0</v>
      </c>
      <c r="DK291" s="144">
        <f t="shared" si="677"/>
        <v>0</v>
      </c>
      <c r="DL291" s="144">
        <f t="shared" si="677"/>
        <v>0</v>
      </c>
      <c r="DM291" s="144">
        <f t="shared" si="677"/>
        <v>0</v>
      </c>
      <c r="DN291" s="144">
        <f t="shared" si="677"/>
        <v>0</v>
      </c>
      <c r="DO291" s="9">
        <f t="shared" si="677"/>
        <v>0</v>
      </c>
      <c r="DP291" s="144">
        <f t="shared" si="677"/>
        <v>0</v>
      </c>
      <c r="DQ291" s="144">
        <f t="shared" si="677"/>
        <v>0</v>
      </c>
      <c r="DR291" s="144">
        <f t="shared" si="677"/>
        <v>0</v>
      </c>
      <c r="DS291" s="144">
        <f t="shared" si="677"/>
        <v>0</v>
      </c>
      <c r="DT291" s="144">
        <f t="shared" si="677"/>
        <v>0</v>
      </c>
      <c r="DU291" s="144">
        <f t="shared" si="677"/>
        <v>0</v>
      </c>
      <c r="DV291" s="144">
        <f t="shared" si="677"/>
        <v>0</v>
      </c>
      <c r="DW291" s="144">
        <f t="shared" si="677"/>
        <v>0</v>
      </c>
      <c r="DX291" s="144">
        <f t="shared" si="677"/>
        <v>0</v>
      </c>
      <c r="DY291" s="144">
        <f t="shared" si="677"/>
        <v>0</v>
      </c>
      <c r="DZ291" s="144">
        <f t="shared" si="677"/>
        <v>0</v>
      </c>
      <c r="EA291" s="144">
        <f t="shared" si="677"/>
        <v>0</v>
      </c>
      <c r="EB291" s="117">
        <f t="shared" si="677"/>
        <v>0</v>
      </c>
      <c r="EC291" s="118"/>
      <c r="ED291" s="117">
        <f t="shared" ref="ED291:FB291" si="678">ED79/ED$211</f>
        <v>0</v>
      </c>
      <c r="EE291" s="117">
        <f t="shared" si="678"/>
        <v>0</v>
      </c>
      <c r="EF291" s="117">
        <f t="shared" si="678"/>
        <v>0</v>
      </c>
      <c r="EG291" s="117" t="e">
        <f t="shared" si="678"/>
        <v>#DIV/0!</v>
      </c>
      <c r="EH291" s="117" t="e">
        <f t="shared" si="678"/>
        <v>#DIV/0!</v>
      </c>
      <c r="EI291" s="117" t="e">
        <f t="shared" si="678"/>
        <v>#DIV/0!</v>
      </c>
      <c r="EJ291" s="117" t="e">
        <f t="shared" si="678"/>
        <v>#DIV/0!</v>
      </c>
      <c r="EK291" s="117" t="e">
        <f t="shared" si="678"/>
        <v>#DIV/0!</v>
      </c>
      <c r="EL291" s="117" t="e">
        <f t="shared" si="678"/>
        <v>#DIV/0!</v>
      </c>
      <c r="EM291" s="117" t="e">
        <f t="shared" si="678"/>
        <v>#DIV/0!</v>
      </c>
      <c r="EN291" s="117" t="e">
        <f t="shared" si="678"/>
        <v>#DIV/0!</v>
      </c>
      <c r="EO291" s="116">
        <f t="shared" si="678"/>
        <v>0</v>
      </c>
      <c r="EP291" s="117">
        <f t="shared" si="678"/>
        <v>0</v>
      </c>
      <c r="EQ291" s="117">
        <f t="shared" si="678"/>
        <v>0</v>
      </c>
      <c r="ER291" s="117">
        <f t="shared" si="678"/>
        <v>0</v>
      </c>
      <c r="ES291" s="117">
        <f t="shared" si="678"/>
        <v>0</v>
      </c>
      <c r="ET291" s="117">
        <f t="shared" si="678"/>
        <v>0</v>
      </c>
      <c r="EU291" s="117">
        <f t="shared" si="678"/>
        <v>0</v>
      </c>
      <c r="EV291" s="117">
        <f t="shared" si="678"/>
        <v>0</v>
      </c>
      <c r="EW291" s="117">
        <f t="shared" si="678"/>
        <v>0</v>
      </c>
      <c r="EX291" s="117">
        <f t="shared" si="678"/>
        <v>0</v>
      </c>
      <c r="EY291" s="117">
        <f t="shared" si="678"/>
        <v>0</v>
      </c>
      <c r="EZ291" s="117">
        <f t="shared" si="678"/>
        <v>0</v>
      </c>
      <c r="FA291" s="117">
        <f t="shared" si="678"/>
        <v>0</v>
      </c>
      <c r="FB291" s="117">
        <f t="shared" si="678"/>
        <v>0</v>
      </c>
      <c r="FC291" s="118"/>
      <c r="FD291" s="117"/>
      <c r="FE291" s="117"/>
      <c r="FF291" s="117"/>
      <c r="FG291" s="117"/>
      <c r="FH291" s="117"/>
      <c r="FI291" s="117"/>
      <c r="FJ291" s="117"/>
      <c r="FK291" s="117" t="e">
        <f t="shared" si="601"/>
        <v>#DIV/0!</v>
      </c>
      <c r="FL291" s="117" t="e">
        <f t="shared" si="602"/>
        <v>#DIV/0!</v>
      </c>
      <c r="FM291" s="117" t="e">
        <f t="shared" si="603"/>
        <v>#DIV/0!</v>
      </c>
      <c r="FN291" s="117" t="e">
        <f t="shared" si="604"/>
        <v>#DIV/0!</v>
      </c>
      <c r="FO291" s="9" t="e">
        <f t="shared" si="605"/>
        <v>#DIV/0!</v>
      </c>
      <c r="FP291" s="118">
        <f t="shared" ref="FP291:GB291" si="679">FP79/FP$211</f>
        <v>0</v>
      </c>
      <c r="FQ291" s="117">
        <f t="shared" si="679"/>
        <v>7.83812088950796e-6</v>
      </c>
      <c r="FR291" s="117">
        <f t="shared" si="679"/>
        <v>0</v>
      </c>
      <c r="FS291" s="117">
        <f t="shared" si="679"/>
        <v>0</v>
      </c>
      <c r="FT291" s="117">
        <f t="shared" si="679"/>
        <v>0</v>
      </c>
      <c r="FU291" s="117">
        <f t="shared" si="679"/>
        <v>0</v>
      </c>
      <c r="FV291" s="117">
        <f t="shared" si="679"/>
        <v>0</v>
      </c>
      <c r="FW291" s="117">
        <f t="shared" si="679"/>
        <v>0</v>
      </c>
      <c r="FX291" s="117">
        <f t="shared" si="679"/>
        <v>0</v>
      </c>
      <c r="FY291" s="117">
        <f t="shared" si="679"/>
        <v>0</v>
      </c>
      <c r="FZ291" s="117">
        <f t="shared" si="679"/>
        <v>0</v>
      </c>
      <c r="GA291" s="117">
        <f t="shared" si="679"/>
        <v>0</v>
      </c>
      <c r="GB291" s="116">
        <f t="shared" si="679"/>
        <v>7.50321363474448e-7</v>
      </c>
    </row>
    <row r="292" spans="1:184">
      <c r="A292" s="147" t="s">
        <v>185</v>
      </c>
      <c r="B292" s="160">
        <f t="shared" si="607"/>
        <v>-0.267306723951896</v>
      </c>
      <c r="C292" s="117">
        <f t="shared" ref="C292:AH292" si="680">C80/C$211</f>
        <v>3.68116101004903e-5</v>
      </c>
      <c r="D292" s="117">
        <f t="shared" si="680"/>
        <v>9.70830263507963e-6</v>
      </c>
      <c r="E292" s="117">
        <f t="shared" si="680"/>
        <v>7.8277386806432e-5</v>
      </c>
      <c r="F292" s="117">
        <f t="shared" si="680"/>
        <v>3.91040605855693e-5</v>
      </c>
      <c r="G292" s="117">
        <f t="shared" si="680"/>
        <v>1.07403655230006e-5</v>
      </c>
      <c r="H292" s="117">
        <f t="shared" si="680"/>
        <v>8.77414734269865e-6</v>
      </c>
      <c r="I292" s="117">
        <f t="shared" si="680"/>
        <v>8.33173472589302e-6</v>
      </c>
      <c r="J292" s="117">
        <f t="shared" si="680"/>
        <v>7.30910534024323e-6</v>
      </c>
      <c r="K292" s="117">
        <f t="shared" si="680"/>
        <v>7.4791830748089e-6</v>
      </c>
      <c r="L292" s="117">
        <f t="shared" si="680"/>
        <v>7.5034414118439e-6</v>
      </c>
      <c r="M292" s="117">
        <f t="shared" si="680"/>
        <v>7.31908655280885e-6</v>
      </c>
      <c r="N292" s="117">
        <f t="shared" si="680"/>
        <v>7.58356592301261e-6</v>
      </c>
      <c r="O292" s="9">
        <f t="shared" si="680"/>
        <v>1.97460077227768e-5</v>
      </c>
      <c r="P292" s="117">
        <f t="shared" si="680"/>
        <v>0</v>
      </c>
      <c r="Q292" s="117">
        <f t="shared" si="680"/>
        <v>0</v>
      </c>
      <c r="R292" s="117">
        <f t="shared" si="680"/>
        <v>0</v>
      </c>
      <c r="S292" s="117">
        <f t="shared" si="680"/>
        <v>0</v>
      </c>
      <c r="T292" s="117">
        <f t="shared" si="680"/>
        <v>0</v>
      </c>
      <c r="U292" s="117">
        <f t="shared" si="680"/>
        <v>0</v>
      </c>
      <c r="V292" s="117">
        <f t="shared" si="680"/>
        <v>0</v>
      </c>
      <c r="W292" s="117">
        <f t="shared" si="680"/>
        <v>0</v>
      </c>
      <c r="X292" s="117">
        <f t="shared" si="680"/>
        <v>0</v>
      </c>
      <c r="Y292" s="117">
        <f t="shared" si="680"/>
        <v>0</v>
      </c>
      <c r="Z292" s="117">
        <f t="shared" si="680"/>
        <v>0</v>
      </c>
      <c r="AA292" s="117">
        <f t="shared" si="680"/>
        <v>0</v>
      </c>
      <c r="AB292" s="9">
        <f t="shared" si="680"/>
        <v>0</v>
      </c>
      <c r="AC292" s="117">
        <f t="shared" si="680"/>
        <v>0</v>
      </c>
      <c r="AD292" s="117">
        <f t="shared" si="680"/>
        <v>0</v>
      </c>
      <c r="AE292" s="117">
        <f t="shared" si="680"/>
        <v>0</v>
      </c>
      <c r="AF292" s="117">
        <f t="shared" si="680"/>
        <v>0</v>
      </c>
      <c r="AG292" s="117">
        <f t="shared" si="680"/>
        <v>0</v>
      </c>
      <c r="AH292" s="117">
        <f t="shared" si="680"/>
        <v>0</v>
      </c>
      <c r="AI292" s="117">
        <f t="shared" ref="AI292:BN292" si="681">AI80/AI$211</f>
        <v>0</v>
      </c>
      <c r="AJ292" s="117">
        <f t="shared" si="681"/>
        <v>0</v>
      </c>
      <c r="AK292" s="117">
        <f t="shared" si="681"/>
        <v>0</v>
      </c>
      <c r="AL292" s="117">
        <f t="shared" si="681"/>
        <v>0</v>
      </c>
      <c r="AM292" s="117">
        <f t="shared" si="681"/>
        <v>0</v>
      </c>
      <c r="AN292" s="117">
        <f t="shared" si="681"/>
        <v>0</v>
      </c>
      <c r="AO292" s="9">
        <f t="shared" si="681"/>
        <v>0</v>
      </c>
      <c r="AP292" s="144">
        <f t="shared" si="681"/>
        <v>0</v>
      </c>
      <c r="AQ292" s="144">
        <f t="shared" si="681"/>
        <v>0</v>
      </c>
      <c r="AR292" s="144">
        <f t="shared" si="681"/>
        <v>0</v>
      </c>
      <c r="AS292" s="144">
        <f t="shared" si="681"/>
        <v>0</v>
      </c>
      <c r="AT292" s="144">
        <f t="shared" si="681"/>
        <v>0</v>
      </c>
      <c r="AU292" s="144">
        <f t="shared" si="681"/>
        <v>0</v>
      </c>
      <c r="AV292" s="144">
        <f t="shared" si="681"/>
        <v>0</v>
      </c>
      <c r="AW292" s="144">
        <f t="shared" si="681"/>
        <v>0</v>
      </c>
      <c r="AX292" s="144">
        <f t="shared" si="681"/>
        <v>0</v>
      </c>
      <c r="AY292" s="144">
        <f t="shared" si="681"/>
        <v>0</v>
      </c>
      <c r="AZ292" s="144">
        <f t="shared" si="681"/>
        <v>0</v>
      </c>
      <c r="BA292" s="144">
        <f t="shared" si="681"/>
        <v>0</v>
      </c>
      <c r="BB292" s="9">
        <f t="shared" si="681"/>
        <v>0</v>
      </c>
      <c r="BC292" s="144">
        <f t="shared" si="681"/>
        <v>0</v>
      </c>
      <c r="BD292" s="144">
        <f t="shared" si="681"/>
        <v>0</v>
      </c>
      <c r="BE292" s="144">
        <f t="shared" si="681"/>
        <v>0</v>
      </c>
      <c r="BF292" s="144">
        <f t="shared" si="681"/>
        <v>0</v>
      </c>
      <c r="BG292" s="144">
        <f t="shared" si="681"/>
        <v>0</v>
      </c>
      <c r="BH292" s="144">
        <f t="shared" si="681"/>
        <v>0</v>
      </c>
      <c r="BI292" s="144">
        <f t="shared" si="681"/>
        <v>0</v>
      </c>
      <c r="BJ292" s="144">
        <f t="shared" si="681"/>
        <v>0</v>
      </c>
      <c r="BK292" s="144">
        <f t="shared" si="681"/>
        <v>0</v>
      </c>
      <c r="BL292" s="144">
        <f t="shared" si="681"/>
        <v>0</v>
      </c>
      <c r="BM292" s="144">
        <f t="shared" si="681"/>
        <v>0</v>
      </c>
      <c r="BN292" s="144">
        <f t="shared" si="681"/>
        <v>0</v>
      </c>
      <c r="BO292" s="9">
        <f t="shared" ref="BO292:CT292" si="682">BO80/BO$211</f>
        <v>0</v>
      </c>
      <c r="BP292" s="144">
        <f t="shared" si="682"/>
        <v>0</v>
      </c>
      <c r="BQ292" s="144">
        <f t="shared" si="682"/>
        <v>0</v>
      </c>
      <c r="BR292" s="144">
        <f t="shared" si="682"/>
        <v>0</v>
      </c>
      <c r="BS292" s="144">
        <f t="shared" si="682"/>
        <v>0</v>
      </c>
      <c r="BT292" s="144">
        <f t="shared" si="682"/>
        <v>0</v>
      </c>
      <c r="BU292" s="144">
        <f t="shared" si="682"/>
        <v>0</v>
      </c>
      <c r="BV292" s="144">
        <f t="shared" si="682"/>
        <v>0</v>
      </c>
      <c r="BW292" s="144">
        <f t="shared" si="682"/>
        <v>0</v>
      </c>
      <c r="BX292" s="144">
        <f t="shared" si="682"/>
        <v>0</v>
      </c>
      <c r="BY292" s="144">
        <f t="shared" si="682"/>
        <v>0</v>
      </c>
      <c r="BZ292" s="144">
        <f t="shared" si="682"/>
        <v>0</v>
      </c>
      <c r="CA292" s="144">
        <f t="shared" si="682"/>
        <v>0</v>
      </c>
      <c r="CB292" s="9">
        <f t="shared" si="682"/>
        <v>0</v>
      </c>
      <c r="CC292" s="144">
        <f t="shared" si="682"/>
        <v>0</v>
      </c>
      <c r="CD292" s="144">
        <f t="shared" si="682"/>
        <v>0</v>
      </c>
      <c r="CE292" s="144">
        <f t="shared" si="682"/>
        <v>0</v>
      </c>
      <c r="CF292" s="144">
        <f t="shared" si="682"/>
        <v>0</v>
      </c>
      <c r="CG292" s="144">
        <f t="shared" si="682"/>
        <v>0</v>
      </c>
      <c r="CH292" s="144">
        <f t="shared" si="682"/>
        <v>0</v>
      </c>
      <c r="CI292" s="144">
        <f t="shared" si="682"/>
        <v>0</v>
      </c>
      <c r="CJ292" s="144">
        <f t="shared" si="682"/>
        <v>0</v>
      </c>
      <c r="CK292" s="144">
        <f t="shared" si="682"/>
        <v>0</v>
      </c>
      <c r="CL292" s="144">
        <f t="shared" si="682"/>
        <v>0</v>
      </c>
      <c r="CM292" s="144">
        <f t="shared" si="682"/>
        <v>0</v>
      </c>
      <c r="CN292" s="144">
        <f t="shared" si="682"/>
        <v>0</v>
      </c>
      <c r="CO292" s="9">
        <f t="shared" si="682"/>
        <v>0</v>
      </c>
      <c r="CP292" s="144">
        <f t="shared" si="682"/>
        <v>0</v>
      </c>
      <c r="CQ292" s="144">
        <f t="shared" si="682"/>
        <v>0</v>
      </c>
      <c r="CR292" s="144">
        <f t="shared" si="682"/>
        <v>0</v>
      </c>
      <c r="CS292" s="144">
        <f t="shared" si="682"/>
        <v>0</v>
      </c>
      <c r="CT292" s="144">
        <f t="shared" si="682"/>
        <v>0</v>
      </c>
      <c r="CU292" s="144">
        <f t="shared" ref="CU292:EB292" si="683">CU80/CU$211</f>
        <v>0</v>
      </c>
      <c r="CV292" s="144">
        <f t="shared" si="683"/>
        <v>0</v>
      </c>
      <c r="CW292" s="144">
        <f t="shared" si="683"/>
        <v>0</v>
      </c>
      <c r="CX292" s="144">
        <f t="shared" si="683"/>
        <v>0</v>
      </c>
      <c r="CY292" s="144">
        <f t="shared" si="683"/>
        <v>0</v>
      </c>
      <c r="CZ292" s="144">
        <f t="shared" si="683"/>
        <v>0</v>
      </c>
      <c r="DA292" s="144">
        <f t="shared" si="683"/>
        <v>0</v>
      </c>
      <c r="DB292" s="9">
        <f t="shared" si="683"/>
        <v>0</v>
      </c>
      <c r="DC292" s="144">
        <f t="shared" si="683"/>
        <v>0</v>
      </c>
      <c r="DD292" s="144">
        <f t="shared" si="683"/>
        <v>0</v>
      </c>
      <c r="DE292" s="144">
        <f t="shared" si="683"/>
        <v>0</v>
      </c>
      <c r="DF292" s="144">
        <f t="shared" si="683"/>
        <v>0</v>
      </c>
      <c r="DG292" s="144">
        <f t="shared" si="683"/>
        <v>0</v>
      </c>
      <c r="DH292" s="144">
        <f t="shared" si="683"/>
        <v>0</v>
      </c>
      <c r="DI292" s="144">
        <f t="shared" si="683"/>
        <v>0</v>
      </c>
      <c r="DJ292" s="144">
        <f t="shared" si="683"/>
        <v>0</v>
      </c>
      <c r="DK292" s="144">
        <f t="shared" si="683"/>
        <v>0</v>
      </c>
      <c r="DL292" s="144">
        <f t="shared" si="683"/>
        <v>0</v>
      </c>
      <c r="DM292" s="144">
        <f t="shared" si="683"/>
        <v>0</v>
      </c>
      <c r="DN292" s="144">
        <f t="shared" si="683"/>
        <v>0</v>
      </c>
      <c r="DO292" s="9">
        <f t="shared" si="683"/>
        <v>0</v>
      </c>
      <c r="DP292" s="144">
        <f t="shared" si="683"/>
        <v>0</v>
      </c>
      <c r="DQ292" s="144">
        <f t="shared" si="683"/>
        <v>0</v>
      </c>
      <c r="DR292" s="144">
        <f t="shared" si="683"/>
        <v>0</v>
      </c>
      <c r="DS292" s="144">
        <f t="shared" si="683"/>
        <v>0</v>
      </c>
      <c r="DT292" s="144">
        <f t="shared" si="683"/>
        <v>0</v>
      </c>
      <c r="DU292" s="144">
        <f t="shared" si="683"/>
        <v>0</v>
      </c>
      <c r="DV292" s="144">
        <f t="shared" si="683"/>
        <v>0</v>
      </c>
      <c r="DW292" s="144">
        <f t="shared" si="683"/>
        <v>0</v>
      </c>
      <c r="DX292" s="144">
        <f t="shared" si="683"/>
        <v>0</v>
      </c>
      <c r="DY292" s="144">
        <f t="shared" si="683"/>
        <v>0</v>
      </c>
      <c r="DZ292" s="144">
        <f t="shared" si="683"/>
        <v>0</v>
      </c>
      <c r="EA292" s="144">
        <f t="shared" si="683"/>
        <v>0</v>
      </c>
      <c r="EB292" s="117">
        <f t="shared" si="683"/>
        <v>0</v>
      </c>
      <c r="EC292" s="118"/>
      <c r="ED292" s="117">
        <f t="shared" ref="ED292:FB292" si="684">ED80/ED$211</f>
        <v>0</v>
      </c>
      <c r="EE292" s="117">
        <f t="shared" si="684"/>
        <v>0</v>
      </c>
      <c r="EF292" s="117">
        <f t="shared" si="684"/>
        <v>0</v>
      </c>
      <c r="EG292" s="117" t="e">
        <f t="shared" si="684"/>
        <v>#DIV/0!</v>
      </c>
      <c r="EH292" s="117" t="e">
        <f t="shared" si="684"/>
        <v>#DIV/0!</v>
      </c>
      <c r="EI292" s="117" t="e">
        <f t="shared" si="684"/>
        <v>#DIV/0!</v>
      </c>
      <c r="EJ292" s="117" t="e">
        <f t="shared" si="684"/>
        <v>#DIV/0!</v>
      </c>
      <c r="EK292" s="117" t="e">
        <f t="shared" si="684"/>
        <v>#DIV/0!</v>
      </c>
      <c r="EL292" s="117" t="e">
        <f t="shared" si="684"/>
        <v>#DIV/0!</v>
      </c>
      <c r="EM292" s="117" t="e">
        <f t="shared" si="684"/>
        <v>#DIV/0!</v>
      </c>
      <c r="EN292" s="117" t="e">
        <f t="shared" si="684"/>
        <v>#DIV/0!</v>
      </c>
      <c r="EO292" s="116">
        <f t="shared" si="684"/>
        <v>0</v>
      </c>
      <c r="EP292" s="117">
        <f t="shared" si="684"/>
        <v>0</v>
      </c>
      <c r="EQ292" s="117">
        <f t="shared" si="684"/>
        <v>0</v>
      </c>
      <c r="ER292" s="117">
        <f t="shared" si="684"/>
        <v>0</v>
      </c>
      <c r="ES292" s="117">
        <f t="shared" si="684"/>
        <v>0</v>
      </c>
      <c r="ET292" s="117">
        <f t="shared" si="684"/>
        <v>0</v>
      </c>
      <c r="EU292" s="117">
        <f t="shared" si="684"/>
        <v>0</v>
      </c>
      <c r="EV292" s="117">
        <f t="shared" si="684"/>
        <v>0</v>
      </c>
      <c r="EW292" s="117">
        <f t="shared" si="684"/>
        <v>0</v>
      </c>
      <c r="EX292" s="117">
        <f t="shared" si="684"/>
        <v>0</v>
      </c>
      <c r="EY292" s="117">
        <f t="shared" si="684"/>
        <v>0</v>
      </c>
      <c r="EZ292" s="117">
        <f t="shared" si="684"/>
        <v>0</v>
      </c>
      <c r="FA292" s="117">
        <f t="shared" si="684"/>
        <v>0</v>
      </c>
      <c r="FB292" s="117">
        <f t="shared" si="684"/>
        <v>0</v>
      </c>
      <c r="FC292" s="118"/>
      <c r="FD292" s="117"/>
      <c r="FE292" s="117"/>
      <c r="FF292" s="117"/>
      <c r="FG292" s="117"/>
      <c r="FH292" s="117"/>
      <c r="FI292" s="117"/>
      <c r="FJ292" s="117"/>
      <c r="FK292" s="117" t="e">
        <f t="shared" si="601"/>
        <v>#DIV/0!</v>
      </c>
      <c r="FL292" s="117" t="e">
        <f t="shared" si="602"/>
        <v>#DIV/0!</v>
      </c>
      <c r="FM292" s="117" t="e">
        <f t="shared" si="603"/>
        <v>#DIV/0!</v>
      </c>
      <c r="FN292" s="117" t="e">
        <f t="shared" si="604"/>
        <v>#DIV/0!</v>
      </c>
      <c r="FO292" s="9" t="e">
        <f t="shared" si="605"/>
        <v>#DIV/0!</v>
      </c>
      <c r="FP292" s="118">
        <f t="shared" ref="FP292:GB292" si="685">FP80/FP$211</f>
        <v>0.000138988793228904</v>
      </c>
      <c r="FQ292" s="117">
        <f t="shared" si="685"/>
        <v>3.99289962651971e-5</v>
      </c>
      <c r="FR292" s="117">
        <f t="shared" si="685"/>
        <v>0.000292911189365696</v>
      </c>
      <c r="FS292" s="117">
        <f t="shared" si="685"/>
        <v>0.000160716337117743</v>
      </c>
      <c r="FT292" s="117">
        <f t="shared" si="685"/>
        <v>5.12062879978842e-5</v>
      </c>
      <c r="FU292" s="117">
        <f t="shared" si="685"/>
        <v>4.49662217665317e-5</v>
      </c>
      <c r="FV292" s="117">
        <f t="shared" si="685"/>
        <v>3.60133401629773e-5</v>
      </c>
      <c r="FW292" s="117">
        <f t="shared" si="685"/>
        <v>3.03138620988437e-5</v>
      </c>
      <c r="FX292" s="117">
        <f t="shared" si="685"/>
        <v>3.42206471537781e-5</v>
      </c>
      <c r="FY292" s="117">
        <f t="shared" si="685"/>
        <v>3.18878752111448e-5</v>
      </c>
      <c r="FZ292" s="117">
        <f t="shared" si="685"/>
        <v>2.92443208369218e-5</v>
      </c>
      <c r="GA292" s="117">
        <f t="shared" si="685"/>
        <v>2.77833920145222e-5</v>
      </c>
      <c r="GB292" s="116">
        <f t="shared" si="685"/>
        <v>8.16803271910615e-5</v>
      </c>
    </row>
    <row r="293" spans="1:184">
      <c r="A293" s="147" t="s">
        <v>187</v>
      </c>
      <c r="B293" s="160">
        <f t="shared" si="607"/>
        <v>-0.928630117794476</v>
      </c>
      <c r="C293" s="117">
        <f t="shared" ref="C293:AH293" si="686">C81/C$211</f>
        <v>5.90083211895907e-7</v>
      </c>
      <c r="D293" s="117">
        <f t="shared" si="686"/>
        <v>3.13766063914991e-6</v>
      </c>
      <c r="E293" s="117">
        <f t="shared" si="686"/>
        <v>1.81605233706475e-7</v>
      </c>
      <c r="F293" s="117">
        <f t="shared" si="686"/>
        <v>1.43779714383067e-5</v>
      </c>
      <c r="G293" s="117">
        <f t="shared" si="686"/>
        <v>2.24317601663579e-7</v>
      </c>
      <c r="H293" s="117">
        <f t="shared" si="686"/>
        <v>0</v>
      </c>
      <c r="I293" s="117">
        <f t="shared" si="686"/>
        <v>0</v>
      </c>
      <c r="J293" s="117">
        <f t="shared" si="686"/>
        <v>0</v>
      </c>
      <c r="K293" s="117">
        <f t="shared" si="686"/>
        <v>0</v>
      </c>
      <c r="L293" s="117">
        <f t="shared" si="686"/>
        <v>0</v>
      </c>
      <c r="M293" s="117">
        <f t="shared" si="686"/>
        <v>0</v>
      </c>
      <c r="N293" s="117">
        <f t="shared" si="686"/>
        <v>0</v>
      </c>
      <c r="O293" s="9">
        <f t="shared" si="686"/>
        <v>1.44871625714815e-6</v>
      </c>
      <c r="P293" s="117">
        <f t="shared" si="686"/>
        <v>0</v>
      </c>
      <c r="Q293" s="117">
        <f t="shared" si="686"/>
        <v>2.53873086555065e-6</v>
      </c>
      <c r="R293" s="117">
        <f t="shared" si="686"/>
        <v>0</v>
      </c>
      <c r="S293" s="117">
        <f t="shared" si="686"/>
        <v>0</v>
      </c>
      <c r="T293" s="117">
        <f t="shared" si="686"/>
        <v>0</v>
      </c>
      <c r="U293" s="117">
        <f t="shared" si="686"/>
        <v>0</v>
      </c>
      <c r="V293" s="117">
        <f t="shared" si="686"/>
        <v>0</v>
      </c>
      <c r="W293" s="117">
        <f t="shared" si="686"/>
        <v>0</v>
      </c>
      <c r="X293" s="117">
        <f t="shared" si="686"/>
        <v>0</v>
      </c>
      <c r="Y293" s="117">
        <f t="shared" si="686"/>
        <v>0</v>
      </c>
      <c r="Z293" s="117">
        <f t="shared" si="686"/>
        <v>0</v>
      </c>
      <c r="AA293" s="117">
        <f t="shared" si="686"/>
        <v>0</v>
      </c>
      <c r="AB293" s="9">
        <f t="shared" si="686"/>
        <v>2.19447671666079e-7</v>
      </c>
      <c r="AC293" s="117">
        <f t="shared" si="686"/>
        <v>0</v>
      </c>
      <c r="AD293" s="117">
        <f t="shared" si="686"/>
        <v>0</v>
      </c>
      <c r="AE293" s="117">
        <f t="shared" si="686"/>
        <v>0</v>
      </c>
      <c r="AF293" s="117">
        <f t="shared" si="686"/>
        <v>0</v>
      </c>
      <c r="AG293" s="117">
        <f t="shared" si="686"/>
        <v>0</v>
      </c>
      <c r="AH293" s="117">
        <f t="shared" si="686"/>
        <v>0</v>
      </c>
      <c r="AI293" s="117">
        <f t="shared" ref="AI293:BN293" si="687">AI81/AI$211</f>
        <v>0</v>
      </c>
      <c r="AJ293" s="117">
        <f t="shared" si="687"/>
        <v>0</v>
      </c>
      <c r="AK293" s="117">
        <f t="shared" si="687"/>
        <v>0</v>
      </c>
      <c r="AL293" s="117">
        <f t="shared" si="687"/>
        <v>0</v>
      </c>
      <c r="AM293" s="117">
        <f t="shared" si="687"/>
        <v>0</v>
      </c>
      <c r="AN293" s="117">
        <f t="shared" si="687"/>
        <v>0</v>
      </c>
      <c r="AO293" s="9">
        <f t="shared" si="687"/>
        <v>0</v>
      </c>
      <c r="AP293" s="144">
        <f t="shared" si="687"/>
        <v>0</v>
      </c>
      <c r="AQ293" s="144">
        <f t="shared" si="687"/>
        <v>0</v>
      </c>
      <c r="AR293" s="144">
        <f t="shared" si="687"/>
        <v>0</v>
      </c>
      <c r="AS293" s="144">
        <f t="shared" si="687"/>
        <v>0</v>
      </c>
      <c r="AT293" s="144">
        <f t="shared" si="687"/>
        <v>0</v>
      </c>
      <c r="AU293" s="144">
        <f t="shared" si="687"/>
        <v>0</v>
      </c>
      <c r="AV293" s="144">
        <f t="shared" si="687"/>
        <v>0</v>
      </c>
      <c r="AW293" s="144">
        <f t="shared" si="687"/>
        <v>0</v>
      </c>
      <c r="AX293" s="144">
        <f t="shared" si="687"/>
        <v>0</v>
      </c>
      <c r="AY293" s="144">
        <f t="shared" si="687"/>
        <v>0</v>
      </c>
      <c r="AZ293" s="144">
        <f t="shared" si="687"/>
        <v>0</v>
      </c>
      <c r="BA293" s="144">
        <f t="shared" si="687"/>
        <v>0</v>
      </c>
      <c r="BB293" s="9">
        <f t="shared" si="687"/>
        <v>0</v>
      </c>
      <c r="BC293" s="144">
        <f t="shared" si="687"/>
        <v>0</v>
      </c>
      <c r="BD293" s="144">
        <f t="shared" si="687"/>
        <v>0</v>
      </c>
      <c r="BE293" s="144">
        <f t="shared" si="687"/>
        <v>0</v>
      </c>
      <c r="BF293" s="144">
        <f t="shared" si="687"/>
        <v>0</v>
      </c>
      <c r="BG293" s="144">
        <f t="shared" si="687"/>
        <v>0</v>
      </c>
      <c r="BH293" s="144">
        <f t="shared" si="687"/>
        <v>0</v>
      </c>
      <c r="BI293" s="144">
        <f t="shared" si="687"/>
        <v>0</v>
      </c>
      <c r="BJ293" s="144">
        <f t="shared" si="687"/>
        <v>0</v>
      </c>
      <c r="BK293" s="144">
        <f t="shared" si="687"/>
        <v>0</v>
      </c>
      <c r="BL293" s="144">
        <f t="shared" si="687"/>
        <v>0</v>
      </c>
      <c r="BM293" s="144">
        <f t="shared" si="687"/>
        <v>0</v>
      </c>
      <c r="BN293" s="144">
        <f t="shared" si="687"/>
        <v>0</v>
      </c>
      <c r="BO293" s="9">
        <f t="shared" ref="BO293:CT293" si="688">BO81/BO$211</f>
        <v>0</v>
      </c>
      <c r="BP293" s="144">
        <f t="shared" si="688"/>
        <v>0</v>
      </c>
      <c r="BQ293" s="144">
        <f t="shared" si="688"/>
        <v>0</v>
      </c>
      <c r="BR293" s="144">
        <f t="shared" si="688"/>
        <v>0</v>
      </c>
      <c r="BS293" s="144">
        <f t="shared" si="688"/>
        <v>0</v>
      </c>
      <c r="BT293" s="144">
        <f t="shared" si="688"/>
        <v>0</v>
      </c>
      <c r="BU293" s="144">
        <f t="shared" si="688"/>
        <v>0</v>
      </c>
      <c r="BV293" s="144">
        <f t="shared" si="688"/>
        <v>0</v>
      </c>
      <c r="BW293" s="144">
        <f t="shared" si="688"/>
        <v>0</v>
      </c>
      <c r="BX293" s="144">
        <f t="shared" si="688"/>
        <v>0</v>
      </c>
      <c r="BY293" s="144">
        <f t="shared" si="688"/>
        <v>0</v>
      </c>
      <c r="BZ293" s="144">
        <f t="shared" si="688"/>
        <v>0</v>
      </c>
      <c r="CA293" s="144">
        <f t="shared" si="688"/>
        <v>0</v>
      </c>
      <c r="CB293" s="9">
        <f t="shared" si="688"/>
        <v>0</v>
      </c>
      <c r="CC293" s="144">
        <f t="shared" si="688"/>
        <v>0</v>
      </c>
      <c r="CD293" s="144">
        <f t="shared" si="688"/>
        <v>0</v>
      </c>
      <c r="CE293" s="144">
        <f t="shared" si="688"/>
        <v>0</v>
      </c>
      <c r="CF293" s="144">
        <f t="shared" si="688"/>
        <v>0</v>
      </c>
      <c r="CG293" s="144">
        <f t="shared" si="688"/>
        <v>0</v>
      </c>
      <c r="CH293" s="144">
        <f t="shared" si="688"/>
        <v>0</v>
      </c>
      <c r="CI293" s="144">
        <f t="shared" si="688"/>
        <v>0</v>
      </c>
      <c r="CJ293" s="144">
        <f t="shared" si="688"/>
        <v>0</v>
      </c>
      <c r="CK293" s="144">
        <f t="shared" si="688"/>
        <v>0</v>
      </c>
      <c r="CL293" s="144">
        <f t="shared" si="688"/>
        <v>0</v>
      </c>
      <c r="CM293" s="144">
        <f t="shared" si="688"/>
        <v>0</v>
      </c>
      <c r="CN293" s="144">
        <f t="shared" si="688"/>
        <v>0</v>
      </c>
      <c r="CO293" s="9">
        <f t="shared" si="688"/>
        <v>0</v>
      </c>
      <c r="CP293" s="144">
        <f t="shared" si="688"/>
        <v>0</v>
      </c>
      <c r="CQ293" s="144">
        <f t="shared" si="688"/>
        <v>0</v>
      </c>
      <c r="CR293" s="144">
        <f t="shared" si="688"/>
        <v>0</v>
      </c>
      <c r="CS293" s="144">
        <f t="shared" si="688"/>
        <v>0</v>
      </c>
      <c r="CT293" s="144">
        <f t="shared" si="688"/>
        <v>0</v>
      </c>
      <c r="CU293" s="144">
        <f t="shared" ref="CU293:EB293" si="689">CU81/CU$211</f>
        <v>0</v>
      </c>
      <c r="CV293" s="144">
        <f t="shared" si="689"/>
        <v>0</v>
      </c>
      <c r="CW293" s="144">
        <f t="shared" si="689"/>
        <v>0</v>
      </c>
      <c r="CX293" s="144">
        <f t="shared" si="689"/>
        <v>0</v>
      </c>
      <c r="CY293" s="144">
        <f t="shared" si="689"/>
        <v>0</v>
      </c>
      <c r="CZ293" s="144">
        <f t="shared" si="689"/>
        <v>0</v>
      </c>
      <c r="DA293" s="144">
        <f t="shared" si="689"/>
        <v>0</v>
      </c>
      <c r="DB293" s="9">
        <f t="shared" si="689"/>
        <v>0</v>
      </c>
      <c r="DC293" s="144">
        <f t="shared" si="689"/>
        <v>6.13424543374837e-5</v>
      </c>
      <c r="DD293" s="144">
        <f t="shared" si="689"/>
        <v>1.35775271374381e-5</v>
      </c>
      <c r="DE293" s="144">
        <f t="shared" si="689"/>
        <v>0</v>
      </c>
      <c r="DF293" s="144">
        <f t="shared" si="689"/>
        <v>2.47150405313075e-5</v>
      </c>
      <c r="DG293" s="144">
        <f t="shared" si="689"/>
        <v>2.01574782771263e-5</v>
      </c>
      <c r="DH293" s="144">
        <f t="shared" si="689"/>
        <v>0</v>
      </c>
      <c r="DI293" s="144">
        <f t="shared" si="689"/>
        <v>0</v>
      </c>
      <c r="DJ293" s="144">
        <f t="shared" si="689"/>
        <v>0</v>
      </c>
      <c r="DK293" s="144">
        <f t="shared" si="689"/>
        <v>0</v>
      </c>
      <c r="DL293" s="144">
        <f t="shared" si="689"/>
        <v>0</v>
      </c>
      <c r="DM293" s="144">
        <f t="shared" si="689"/>
        <v>0</v>
      </c>
      <c r="DN293" s="144">
        <f t="shared" si="689"/>
        <v>0</v>
      </c>
      <c r="DO293" s="9">
        <f t="shared" si="689"/>
        <v>1.24461457706674e-5</v>
      </c>
      <c r="DP293" s="144">
        <f t="shared" si="689"/>
        <v>0</v>
      </c>
      <c r="DQ293" s="144">
        <f t="shared" si="689"/>
        <v>0</v>
      </c>
      <c r="DR293" s="144">
        <f t="shared" si="689"/>
        <v>0</v>
      </c>
      <c r="DS293" s="144">
        <f t="shared" si="689"/>
        <v>0</v>
      </c>
      <c r="DT293" s="144">
        <f t="shared" si="689"/>
        <v>0</v>
      </c>
      <c r="DU293" s="144">
        <f t="shared" si="689"/>
        <v>0</v>
      </c>
      <c r="DV293" s="144">
        <f t="shared" si="689"/>
        <v>0</v>
      </c>
      <c r="DW293" s="144">
        <f t="shared" si="689"/>
        <v>0</v>
      </c>
      <c r="DX293" s="144">
        <f t="shared" si="689"/>
        <v>0</v>
      </c>
      <c r="DY293" s="144">
        <f t="shared" si="689"/>
        <v>0</v>
      </c>
      <c r="DZ293" s="144">
        <f t="shared" si="689"/>
        <v>0</v>
      </c>
      <c r="EA293" s="144">
        <f t="shared" si="689"/>
        <v>0</v>
      </c>
      <c r="EB293" s="117">
        <f t="shared" si="689"/>
        <v>0</v>
      </c>
      <c r="EC293" s="118"/>
      <c r="ED293" s="117">
        <f t="shared" ref="ED293:FB293" si="690">ED81/ED$211</f>
        <v>0</v>
      </c>
      <c r="EE293" s="117">
        <f t="shared" si="690"/>
        <v>0</v>
      </c>
      <c r="EF293" s="117">
        <f t="shared" si="690"/>
        <v>0</v>
      </c>
      <c r="EG293" s="117" t="e">
        <f t="shared" si="690"/>
        <v>#DIV/0!</v>
      </c>
      <c r="EH293" s="117" t="e">
        <f t="shared" si="690"/>
        <v>#DIV/0!</v>
      </c>
      <c r="EI293" s="117" t="e">
        <f t="shared" si="690"/>
        <v>#DIV/0!</v>
      </c>
      <c r="EJ293" s="117" t="e">
        <f t="shared" si="690"/>
        <v>#DIV/0!</v>
      </c>
      <c r="EK293" s="117" t="e">
        <f t="shared" si="690"/>
        <v>#DIV/0!</v>
      </c>
      <c r="EL293" s="117" t="e">
        <f t="shared" si="690"/>
        <v>#DIV/0!</v>
      </c>
      <c r="EM293" s="117" t="e">
        <f t="shared" si="690"/>
        <v>#DIV/0!</v>
      </c>
      <c r="EN293" s="117" t="e">
        <f t="shared" si="690"/>
        <v>#DIV/0!</v>
      </c>
      <c r="EO293" s="116">
        <f t="shared" si="690"/>
        <v>0</v>
      </c>
      <c r="EP293" s="117">
        <f t="shared" si="690"/>
        <v>0</v>
      </c>
      <c r="EQ293" s="117">
        <f t="shared" si="690"/>
        <v>0</v>
      </c>
      <c r="ER293" s="117">
        <f t="shared" si="690"/>
        <v>0</v>
      </c>
      <c r="ES293" s="117">
        <f t="shared" si="690"/>
        <v>0</v>
      </c>
      <c r="ET293" s="117">
        <f t="shared" si="690"/>
        <v>0</v>
      </c>
      <c r="EU293" s="117">
        <f t="shared" si="690"/>
        <v>0</v>
      </c>
      <c r="EV293" s="117">
        <f t="shared" si="690"/>
        <v>0</v>
      </c>
      <c r="EW293" s="117">
        <f t="shared" si="690"/>
        <v>0</v>
      </c>
      <c r="EX293" s="117">
        <f t="shared" si="690"/>
        <v>0</v>
      </c>
      <c r="EY293" s="117">
        <f t="shared" si="690"/>
        <v>0</v>
      </c>
      <c r="EZ293" s="117">
        <f t="shared" si="690"/>
        <v>0</v>
      </c>
      <c r="FA293" s="117">
        <f t="shared" si="690"/>
        <v>0</v>
      </c>
      <c r="FB293" s="117">
        <f t="shared" si="690"/>
        <v>0</v>
      </c>
      <c r="FC293" s="118"/>
      <c r="FD293" s="117"/>
      <c r="FE293" s="117"/>
      <c r="FF293" s="117"/>
      <c r="FG293" s="117"/>
      <c r="FH293" s="117"/>
      <c r="FI293" s="117"/>
      <c r="FJ293" s="117"/>
      <c r="FK293" s="117" t="e">
        <f t="shared" si="601"/>
        <v>#DIV/0!</v>
      </c>
      <c r="FL293" s="117" t="e">
        <f t="shared" si="602"/>
        <v>#DIV/0!</v>
      </c>
      <c r="FM293" s="117" t="e">
        <f t="shared" si="603"/>
        <v>#DIV/0!</v>
      </c>
      <c r="FN293" s="117" t="e">
        <f t="shared" si="604"/>
        <v>#DIV/0!</v>
      </c>
      <c r="FO293" s="9" t="e">
        <f t="shared" si="605"/>
        <v>#DIV/0!</v>
      </c>
      <c r="FP293" s="118">
        <f t="shared" ref="FP293:GB293" si="691">FP81/FP$211</f>
        <v>0</v>
      </c>
      <c r="FQ293" s="117">
        <f t="shared" si="691"/>
        <v>1.10655824322465e-5</v>
      </c>
      <c r="FR293" s="117">
        <f t="shared" si="691"/>
        <v>6.79560306880707e-7</v>
      </c>
      <c r="FS293" s="117">
        <f t="shared" si="691"/>
        <v>5.81677367960716e-5</v>
      </c>
      <c r="FT293" s="117">
        <f t="shared" si="691"/>
        <v>0</v>
      </c>
      <c r="FU293" s="117">
        <f t="shared" si="691"/>
        <v>0</v>
      </c>
      <c r="FV293" s="117">
        <f t="shared" si="691"/>
        <v>0</v>
      </c>
      <c r="FW293" s="117">
        <f t="shared" si="691"/>
        <v>0</v>
      </c>
      <c r="FX293" s="117">
        <f t="shared" si="691"/>
        <v>0</v>
      </c>
      <c r="FY293" s="117">
        <f t="shared" si="691"/>
        <v>0</v>
      </c>
      <c r="FZ293" s="117">
        <f t="shared" si="691"/>
        <v>0</v>
      </c>
      <c r="GA293" s="117">
        <f t="shared" si="691"/>
        <v>0</v>
      </c>
      <c r="GB293" s="116">
        <f t="shared" si="691"/>
        <v>5.40169725596479e-6</v>
      </c>
    </row>
    <row r="294" spans="1:184">
      <c r="A294" s="147" t="s">
        <v>189</v>
      </c>
      <c r="B294" s="160">
        <f t="shared" si="607"/>
        <v>-0.973629658385564</v>
      </c>
      <c r="C294" s="117">
        <f t="shared" ref="C294:AH294" si="692">C82/C$211</f>
        <v>2.7369804737761e-6</v>
      </c>
      <c r="D294" s="117">
        <f t="shared" si="692"/>
        <v>7.44191298028502e-7</v>
      </c>
      <c r="E294" s="117">
        <f t="shared" si="692"/>
        <v>2.51000320801651e-6</v>
      </c>
      <c r="F294" s="117">
        <f t="shared" si="692"/>
        <v>7.39187836459086e-7</v>
      </c>
      <c r="G294" s="117">
        <f t="shared" si="692"/>
        <v>2.68569787511571e-6</v>
      </c>
      <c r="H294" s="117">
        <f t="shared" si="692"/>
        <v>0</v>
      </c>
      <c r="I294" s="117">
        <f t="shared" si="692"/>
        <v>0</v>
      </c>
      <c r="J294" s="117">
        <f t="shared" si="692"/>
        <v>0</v>
      </c>
      <c r="K294" s="117">
        <f t="shared" si="692"/>
        <v>0</v>
      </c>
      <c r="L294" s="117">
        <f t="shared" si="692"/>
        <v>0</v>
      </c>
      <c r="M294" s="117">
        <f t="shared" si="692"/>
        <v>0</v>
      </c>
      <c r="N294" s="117">
        <f t="shared" si="692"/>
        <v>0</v>
      </c>
      <c r="O294" s="9">
        <f t="shared" si="692"/>
        <v>8.31660604449825e-7</v>
      </c>
      <c r="P294" s="117">
        <f t="shared" si="692"/>
        <v>3.33992027594649e-6</v>
      </c>
      <c r="Q294" s="117">
        <f t="shared" si="692"/>
        <v>1.07099574272396e-6</v>
      </c>
      <c r="R294" s="117">
        <f t="shared" si="692"/>
        <v>0</v>
      </c>
      <c r="S294" s="117">
        <f t="shared" si="692"/>
        <v>0</v>
      </c>
      <c r="T294" s="117">
        <f t="shared" si="692"/>
        <v>0</v>
      </c>
      <c r="U294" s="117">
        <f t="shared" si="692"/>
        <v>0</v>
      </c>
      <c r="V294" s="117">
        <f t="shared" si="692"/>
        <v>0</v>
      </c>
      <c r="W294" s="117">
        <f t="shared" si="692"/>
        <v>0</v>
      </c>
      <c r="X294" s="117">
        <f t="shared" si="692"/>
        <v>0</v>
      </c>
      <c r="Y294" s="117">
        <f t="shared" si="692"/>
        <v>0</v>
      </c>
      <c r="Z294" s="117">
        <f t="shared" si="692"/>
        <v>0</v>
      </c>
      <c r="AA294" s="117">
        <f t="shared" si="692"/>
        <v>0</v>
      </c>
      <c r="AB294" s="9">
        <f t="shared" si="692"/>
        <v>4.71465868699497e-7</v>
      </c>
      <c r="AC294" s="117">
        <f t="shared" si="692"/>
        <v>0</v>
      </c>
      <c r="AD294" s="117">
        <f t="shared" si="692"/>
        <v>0</v>
      </c>
      <c r="AE294" s="117">
        <f t="shared" si="692"/>
        <v>0</v>
      </c>
      <c r="AF294" s="117">
        <f t="shared" si="692"/>
        <v>0</v>
      </c>
      <c r="AG294" s="117">
        <f t="shared" si="692"/>
        <v>0</v>
      </c>
      <c r="AH294" s="117">
        <f t="shared" si="692"/>
        <v>0</v>
      </c>
      <c r="AI294" s="117">
        <f t="shared" ref="AI294:BN294" si="693">AI82/AI$211</f>
        <v>0</v>
      </c>
      <c r="AJ294" s="117">
        <f t="shared" si="693"/>
        <v>0</v>
      </c>
      <c r="AK294" s="117">
        <f t="shared" si="693"/>
        <v>0</v>
      </c>
      <c r="AL294" s="117">
        <f t="shared" si="693"/>
        <v>0</v>
      </c>
      <c r="AM294" s="117">
        <f t="shared" si="693"/>
        <v>0</v>
      </c>
      <c r="AN294" s="117">
        <f t="shared" si="693"/>
        <v>0</v>
      </c>
      <c r="AO294" s="9">
        <f t="shared" si="693"/>
        <v>0</v>
      </c>
      <c r="AP294" s="144">
        <f t="shared" si="693"/>
        <v>0</v>
      </c>
      <c r="AQ294" s="144">
        <f t="shared" si="693"/>
        <v>0</v>
      </c>
      <c r="AR294" s="144">
        <f t="shared" si="693"/>
        <v>0</v>
      </c>
      <c r="AS294" s="144">
        <f t="shared" si="693"/>
        <v>0</v>
      </c>
      <c r="AT294" s="144">
        <f t="shared" si="693"/>
        <v>0</v>
      </c>
      <c r="AU294" s="144">
        <f t="shared" si="693"/>
        <v>0</v>
      </c>
      <c r="AV294" s="144">
        <f t="shared" si="693"/>
        <v>0</v>
      </c>
      <c r="AW294" s="144">
        <f t="shared" si="693"/>
        <v>0</v>
      </c>
      <c r="AX294" s="144">
        <f t="shared" si="693"/>
        <v>0</v>
      </c>
      <c r="AY294" s="144">
        <f t="shared" si="693"/>
        <v>0</v>
      </c>
      <c r="AZ294" s="144">
        <f t="shared" si="693"/>
        <v>0</v>
      </c>
      <c r="BA294" s="144">
        <f t="shared" si="693"/>
        <v>0</v>
      </c>
      <c r="BB294" s="9">
        <f t="shared" si="693"/>
        <v>0</v>
      </c>
      <c r="BC294" s="144">
        <f t="shared" si="693"/>
        <v>0</v>
      </c>
      <c r="BD294" s="144">
        <f t="shared" si="693"/>
        <v>0</v>
      </c>
      <c r="BE294" s="144">
        <f t="shared" si="693"/>
        <v>0</v>
      </c>
      <c r="BF294" s="144">
        <f t="shared" si="693"/>
        <v>0</v>
      </c>
      <c r="BG294" s="144">
        <f t="shared" si="693"/>
        <v>0</v>
      </c>
      <c r="BH294" s="144">
        <f t="shared" si="693"/>
        <v>0</v>
      </c>
      <c r="BI294" s="144">
        <f t="shared" si="693"/>
        <v>0</v>
      </c>
      <c r="BJ294" s="144">
        <f t="shared" si="693"/>
        <v>0</v>
      </c>
      <c r="BK294" s="144">
        <f t="shared" si="693"/>
        <v>0</v>
      </c>
      <c r="BL294" s="144">
        <f t="shared" si="693"/>
        <v>0</v>
      </c>
      <c r="BM294" s="144">
        <f t="shared" si="693"/>
        <v>0</v>
      </c>
      <c r="BN294" s="144">
        <f t="shared" si="693"/>
        <v>0</v>
      </c>
      <c r="BO294" s="9">
        <f t="shared" ref="BO294:CT294" si="694">BO82/BO$211</f>
        <v>0</v>
      </c>
      <c r="BP294" s="144">
        <f t="shared" si="694"/>
        <v>0</v>
      </c>
      <c r="BQ294" s="144">
        <f t="shared" si="694"/>
        <v>0</v>
      </c>
      <c r="BR294" s="144">
        <f t="shared" si="694"/>
        <v>0</v>
      </c>
      <c r="BS294" s="144">
        <f t="shared" si="694"/>
        <v>0</v>
      </c>
      <c r="BT294" s="144">
        <f t="shared" si="694"/>
        <v>0</v>
      </c>
      <c r="BU294" s="144">
        <f t="shared" si="694"/>
        <v>0</v>
      </c>
      <c r="BV294" s="144">
        <f t="shared" si="694"/>
        <v>0</v>
      </c>
      <c r="BW294" s="144">
        <f t="shared" si="694"/>
        <v>0</v>
      </c>
      <c r="BX294" s="144">
        <f t="shared" si="694"/>
        <v>0</v>
      </c>
      <c r="BY294" s="144">
        <f t="shared" si="694"/>
        <v>0</v>
      </c>
      <c r="BZ294" s="144">
        <f t="shared" si="694"/>
        <v>0</v>
      </c>
      <c r="CA294" s="144">
        <f t="shared" si="694"/>
        <v>0</v>
      </c>
      <c r="CB294" s="9">
        <f t="shared" si="694"/>
        <v>0</v>
      </c>
      <c r="CC294" s="144">
        <f t="shared" si="694"/>
        <v>0</v>
      </c>
      <c r="CD294" s="144">
        <f t="shared" si="694"/>
        <v>0</v>
      </c>
      <c r="CE294" s="144">
        <f t="shared" si="694"/>
        <v>0</v>
      </c>
      <c r="CF294" s="144">
        <f t="shared" si="694"/>
        <v>0</v>
      </c>
      <c r="CG294" s="144">
        <f t="shared" si="694"/>
        <v>0</v>
      </c>
      <c r="CH294" s="144">
        <f t="shared" si="694"/>
        <v>0</v>
      </c>
      <c r="CI294" s="144">
        <f t="shared" si="694"/>
        <v>0</v>
      </c>
      <c r="CJ294" s="144">
        <f t="shared" si="694"/>
        <v>0</v>
      </c>
      <c r="CK294" s="144">
        <f t="shared" si="694"/>
        <v>0</v>
      </c>
      <c r="CL294" s="144">
        <f t="shared" si="694"/>
        <v>0</v>
      </c>
      <c r="CM294" s="144">
        <f t="shared" si="694"/>
        <v>0</v>
      </c>
      <c r="CN294" s="144">
        <f t="shared" si="694"/>
        <v>0</v>
      </c>
      <c r="CO294" s="9">
        <f t="shared" si="694"/>
        <v>0</v>
      </c>
      <c r="CP294" s="144">
        <f t="shared" si="694"/>
        <v>0</v>
      </c>
      <c r="CQ294" s="144">
        <f t="shared" si="694"/>
        <v>0</v>
      </c>
      <c r="CR294" s="144">
        <f t="shared" si="694"/>
        <v>0</v>
      </c>
      <c r="CS294" s="144">
        <f t="shared" si="694"/>
        <v>0</v>
      </c>
      <c r="CT294" s="144">
        <f t="shared" si="694"/>
        <v>0</v>
      </c>
      <c r="CU294" s="144">
        <f t="shared" ref="CU294:EB294" si="695">CU82/CU$211</f>
        <v>0</v>
      </c>
      <c r="CV294" s="144">
        <f t="shared" si="695"/>
        <v>0</v>
      </c>
      <c r="CW294" s="144">
        <f t="shared" si="695"/>
        <v>0</v>
      </c>
      <c r="CX294" s="144">
        <f t="shared" si="695"/>
        <v>0</v>
      </c>
      <c r="CY294" s="144">
        <f t="shared" si="695"/>
        <v>0</v>
      </c>
      <c r="CZ294" s="144">
        <f t="shared" si="695"/>
        <v>0</v>
      </c>
      <c r="DA294" s="144">
        <f t="shared" si="695"/>
        <v>0</v>
      </c>
      <c r="DB294" s="9">
        <f t="shared" si="695"/>
        <v>0</v>
      </c>
      <c r="DC294" s="144">
        <f t="shared" si="695"/>
        <v>4.0003152369055e-5</v>
      </c>
      <c r="DD294" s="144">
        <f t="shared" si="695"/>
        <v>5.4310115039426e-5</v>
      </c>
      <c r="DE294" s="144">
        <f t="shared" si="695"/>
        <v>1.89018650235925e-5</v>
      </c>
      <c r="DF294" s="144">
        <f t="shared" si="695"/>
        <v>2.14896669740802e-5</v>
      </c>
      <c r="DG294" s="144">
        <f t="shared" si="695"/>
        <v>0</v>
      </c>
      <c r="DH294" s="144">
        <f t="shared" si="695"/>
        <v>0</v>
      </c>
      <c r="DI294" s="144">
        <f t="shared" si="695"/>
        <v>0</v>
      </c>
      <c r="DJ294" s="144">
        <f t="shared" si="695"/>
        <v>0</v>
      </c>
      <c r="DK294" s="144">
        <f t="shared" si="695"/>
        <v>0</v>
      </c>
      <c r="DL294" s="144">
        <f t="shared" si="695"/>
        <v>0</v>
      </c>
      <c r="DM294" s="144">
        <f t="shared" si="695"/>
        <v>0</v>
      </c>
      <c r="DN294" s="144">
        <f t="shared" si="695"/>
        <v>0</v>
      </c>
      <c r="DO294" s="9">
        <f t="shared" si="695"/>
        <v>1.43630390309871e-5</v>
      </c>
      <c r="DP294" s="144">
        <f t="shared" si="695"/>
        <v>0</v>
      </c>
      <c r="DQ294" s="144">
        <f t="shared" si="695"/>
        <v>0</v>
      </c>
      <c r="DR294" s="144">
        <f t="shared" si="695"/>
        <v>0</v>
      </c>
      <c r="DS294" s="144">
        <f t="shared" si="695"/>
        <v>0</v>
      </c>
      <c r="DT294" s="144">
        <f t="shared" si="695"/>
        <v>0</v>
      </c>
      <c r="DU294" s="144">
        <f t="shared" si="695"/>
        <v>0</v>
      </c>
      <c r="DV294" s="144">
        <f t="shared" si="695"/>
        <v>0</v>
      </c>
      <c r="DW294" s="144">
        <f t="shared" si="695"/>
        <v>0</v>
      </c>
      <c r="DX294" s="144">
        <f t="shared" si="695"/>
        <v>0</v>
      </c>
      <c r="DY294" s="144">
        <f t="shared" si="695"/>
        <v>0</v>
      </c>
      <c r="DZ294" s="144">
        <f t="shared" si="695"/>
        <v>0</v>
      </c>
      <c r="EA294" s="144">
        <f t="shared" si="695"/>
        <v>0</v>
      </c>
      <c r="EB294" s="117">
        <f t="shared" si="695"/>
        <v>0</v>
      </c>
      <c r="EC294" s="118"/>
      <c r="ED294" s="117">
        <f t="shared" ref="ED294:FB294" si="696">ED82/ED$211</f>
        <v>0</v>
      </c>
      <c r="EE294" s="117">
        <f t="shared" si="696"/>
        <v>0</v>
      </c>
      <c r="EF294" s="117">
        <f t="shared" si="696"/>
        <v>0</v>
      </c>
      <c r="EG294" s="117" t="e">
        <f t="shared" si="696"/>
        <v>#DIV/0!</v>
      </c>
      <c r="EH294" s="117" t="e">
        <f t="shared" si="696"/>
        <v>#DIV/0!</v>
      </c>
      <c r="EI294" s="117" t="e">
        <f t="shared" si="696"/>
        <v>#DIV/0!</v>
      </c>
      <c r="EJ294" s="117" t="e">
        <f t="shared" si="696"/>
        <v>#DIV/0!</v>
      </c>
      <c r="EK294" s="117" t="e">
        <f t="shared" si="696"/>
        <v>#DIV/0!</v>
      </c>
      <c r="EL294" s="117" t="e">
        <f t="shared" si="696"/>
        <v>#DIV/0!</v>
      </c>
      <c r="EM294" s="117" t="e">
        <f t="shared" si="696"/>
        <v>#DIV/0!</v>
      </c>
      <c r="EN294" s="117" t="e">
        <f t="shared" si="696"/>
        <v>#DIV/0!</v>
      </c>
      <c r="EO294" s="116">
        <f t="shared" si="696"/>
        <v>0</v>
      </c>
      <c r="EP294" s="117">
        <f t="shared" si="696"/>
        <v>0</v>
      </c>
      <c r="EQ294" s="117">
        <f t="shared" si="696"/>
        <v>0</v>
      </c>
      <c r="ER294" s="117">
        <f t="shared" si="696"/>
        <v>0</v>
      </c>
      <c r="ES294" s="117">
        <f t="shared" si="696"/>
        <v>0</v>
      </c>
      <c r="ET294" s="117">
        <f t="shared" si="696"/>
        <v>0</v>
      </c>
      <c r="EU294" s="117">
        <f t="shared" si="696"/>
        <v>0</v>
      </c>
      <c r="EV294" s="117">
        <f t="shared" si="696"/>
        <v>0</v>
      </c>
      <c r="EW294" s="117">
        <f t="shared" si="696"/>
        <v>0</v>
      </c>
      <c r="EX294" s="117">
        <f t="shared" si="696"/>
        <v>0</v>
      </c>
      <c r="EY294" s="117">
        <f t="shared" si="696"/>
        <v>0</v>
      </c>
      <c r="EZ294" s="117">
        <f t="shared" si="696"/>
        <v>0</v>
      </c>
      <c r="FA294" s="117">
        <f t="shared" si="696"/>
        <v>0</v>
      </c>
      <c r="FB294" s="117">
        <f t="shared" si="696"/>
        <v>0</v>
      </c>
      <c r="FC294" s="118"/>
      <c r="FD294" s="117"/>
      <c r="FE294" s="117"/>
      <c r="FF294" s="117"/>
      <c r="FG294" s="117"/>
      <c r="FH294" s="117"/>
      <c r="FI294" s="117"/>
      <c r="FJ294" s="117"/>
      <c r="FK294" s="117" t="e">
        <f t="shared" si="601"/>
        <v>#DIV/0!</v>
      </c>
      <c r="FL294" s="117" t="e">
        <f t="shared" si="602"/>
        <v>#DIV/0!</v>
      </c>
      <c r="FM294" s="117" t="e">
        <f t="shared" si="603"/>
        <v>#DIV/0!</v>
      </c>
      <c r="FN294" s="117" t="e">
        <f t="shared" si="604"/>
        <v>#DIV/0!</v>
      </c>
      <c r="FO294" s="9" t="e">
        <f t="shared" si="605"/>
        <v>#DIV/0!</v>
      </c>
      <c r="FP294" s="118">
        <f t="shared" ref="FP294:GB294" si="697">FP82/FP$211</f>
        <v>7.33879508167936e-6</v>
      </c>
      <c r="FQ294" s="117">
        <f t="shared" si="697"/>
        <v>0</v>
      </c>
      <c r="FR294" s="117">
        <f t="shared" si="697"/>
        <v>8.76079524139531e-6</v>
      </c>
      <c r="FS294" s="117">
        <f t="shared" si="697"/>
        <v>2.23355233298706e-6</v>
      </c>
      <c r="FT294" s="117">
        <f t="shared" si="697"/>
        <v>1.28044635514472e-5</v>
      </c>
      <c r="FU294" s="117">
        <f t="shared" si="697"/>
        <v>0</v>
      </c>
      <c r="FV294" s="117">
        <f t="shared" si="697"/>
        <v>0</v>
      </c>
      <c r="FW294" s="117">
        <f t="shared" si="697"/>
        <v>0</v>
      </c>
      <c r="FX294" s="117">
        <f t="shared" si="697"/>
        <v>0</v>
      </c>
      <c r="FY294" s="117">
        <f t="shared" si="697"/>
        <v>0</v>
      </c>
      <c r="FZ294" s="117">
        <f t="shared" si="697"/>
        <v>0</v>
      </c>
      <c r="GA294" s="117">
        <f t="shared" si="697"/>
        <v>0</v>
      </c>
      <c r="GB294" s="116">
        <f t="shared" si="697"/>
        <v>2.64390365417472e-6</v>
      </c>
    </row>
    <row r="295" spans="1:184">
      <c r="A295" s="147" t="s">
        <v>191</v>
      </c>
      <c r="B295" s="160">
        <f t="shared" si="607"/>
        <v>-0.985386273953919</v>
      </c>
      <c r="C295" s="117">
        <f t="shared" ref="C295:AH295" si="698">C83/C$211</f>
        <v>9.20537812951242e-7</v>
      </c>
      <c r="D295" s="117">
        <f t="shared" si="698"/>
        <v>1.00615847763468e-6</v>
      </c>
      <c r="E295" s="117">
        <f t="shared" si="698"/>
        <v>1.11157917357895e-6</v>
      </c>
      <c r="F295" s="117">
        <f t="shared" si="698"/>
        <v>0</v>
      </c>
      <c r="G295" s="117">
        <f t="shared" si="698"/>
        <v>4.00059394152108e-7</v>
      </c>
      <c r="H295" s="117">
        <f t="shared" si="698"/>
        <v>0</v>
      </c>
      <c r="I295" s="117">
        <f t="shared" si="698"/>
        <v>0</v>
      </c>
      <c r="J295" s="117">
        <f t="shared" si="698"/>
        <v>0</v>
      </c>
      <c r="K295" s="117">
        <f t="shared" si="698"/>
        <v>0</v>
      </c>
      <c r="L295" s="117">
        <f t="shared" si="698"/>
        <v>0</v>
      </c>
      <c r="M295" s="117">
        <f t="shared" si="698"/>
        <v>0</v>
      </c>
      <c r="N295" s="117">
        <f t="shared" si="698"/>
        <v>0</v>
      </c>
      <c r="O295" s="9">
        <f t="shared" si="698"/>
        <v>3.23337502204677e-7</v>
      </c>
      <c r="P295" s="117">
        <f t="shared" si="698"/>
        <v>0</v>
      </c>
      <c r="Q295" s="117">
        <f t="shared" si="698"/>
        <v>2.53865657534568e-6</v>
      </c>
      <c r="R295" s="117">
        <f t="shared" si="698"/>
        <v>2.66818323239526e-6</v>
      </c>
      <c r="S295" s="117">
        <f t="shared" si="698"/>
        <v>0</v>
      </c>
      <c r="T295" s="117">
        <f t="shared" si="698"/>
        <v>0</v>
      </c>
      <c r="U295" s="117">
        <f t="shared" si="698"/>
        <v>0</v>
      </c>
      <c r="V295" s="117">
        <f t="shared" si="698"/>
        <v>0</v>
      </c>
      <c r="W295" s="117">
        <f t="shared" si="698"/>
        <v>0</v>
      </c>
      <c r="X295" s="117">
        <f t="shared" si="698"/>
        <v>0</v>
      </c>
      <c r="Y295" s="117">
        <f t="shared" si="698"/>
        <v>0</v>
      </c>
      <c r="Z295" s="117">
        <f t="shared" si="698"/>
        <v>0</v>
      </c>
      <c r="AA295" s="117">
        <f t="shared" si="698"/>
        <v>0</v>
      </c>
      <c r="AB295" s="9">
        <f t="shared" si="698"/>
        <v>4.35586052022121e-7</v>
      </c>
      <c r="AC295" s="117">
        <f t="shared" si="698"/>
        <v>0</v>
      </c>
      <c r="AD295" s="117">
        <f t="shared" si="698"/>
        <v>0</v>
      </c>
      <c r="AE295" s="117">
        <f t="shared" si="698"/>
        <v>0</v>
      </c>
      <c r="AF295" s="117">
        <f t="shared" si="698"/>
        <v>0</v>
      </c>
      <c r="AG295" s="117">
        <f t="shared" si="698"/>
        <v>0</v>
      </c>
      <c r="AH295" s="117">
        <f t="shared" si="698"/>
        <v>0</v>
      </c>
      <c r="AI295" s="117">
        <f t="shared" ref="AI295:BN295" si="699">AI83/AI$211</f>
        <v>0</v>
      </c>
      <c r="AJ295" s="117">
        <f t="shared" si="699"/>
        <v>0</v>
      </c>
      <c r="AK295" s="117">
        <f t="shared" si="699"/>
        <v>0</v>
      </c>
      <c r="AL295" s="117">
        <f t="shared" si="699"/>
        <v>0</v>
      </c>
      <c r="AM295" s="117">
        <f t="shared" si="699"/>
        <v>0</v>
      </c>
      <c r="AN295" s="117">
        <f t="shared" si="699"/>
        <v>0</v>
      </c>
      <c r="AO295" s="9">
        <f t="shared" si="699"/>
        <v>0</v>
      </c>
      <c r="AP295" s="144">
        <f t="shared" si="699"/>
        <v>0</v>
      </c>
      <c r="AQ295" s="144">
        <f t="shared" si="699"/>
        <v>0</v>
      </c>
      <c r="AR295" s="144">
        <f t="shared" si="699"/>
        <v>0</v>
      </c>
      <c r="AS295" s="144">
        <f t="shared" si="699"/>
        <v>0</v>
      </c>
      <c r="AT295" s="144">
        <f t="shared" si="699"/>
        <v>0</v>
      </c>
      <c r="AU295" s="144">
        <f t="shared" si="699"/>
        <v>0</v>
      </c>
      <c r="AV295" s="144">
        <f t="shared" si="699"/>
        <v>0</v>
      </c>
      <c r="AW295" s="144">
        <f t="shared" si="699"/>
        <v>0</v>
      </c>
      <c r="AX295" s="144">
        <f t="shared" si="699"/>
        <v>0</v>
      </c>
      <c r="AY295" s="144">
        <f t="shared" si="699"/>
        <v>0</v>
      </c>
      <c r="AZ295" s="144">
        <f t="shared" si="699"/>
        <v>0</v>
      </c>
      <c r="BA295" s="144">
        <f t="shared" si="699"/>
        <v>0</v>
      </c>
      <c r="BB295" s="9">
        <f t="shared" si="699"/>
        <v>0</v>
      </c>
      <c r="BC295" s="144">
        <f t="shared" si="699"/>
        <v>0</v>
      </c>
      <c r="BD295" s="144">
        <f t="shared" si="699"/>
        <v>0</v>
      </c>
      <c r="BE295" s="144">
        <f t="shared" si="699"/>
        <v>0</v>
      </c>
      <c r="BF295" s="144">
        <f t="shared" si="699"/>
        <v>0</v>
      </c>
      <c r="BG295" s="144">
        <f t="shared" si="699"/>
        <v>0</v>
      </c>
      <c r="BH295" s="144">
        <f t="shared" si="699"/>
        <v>0</v>
      </c>
      <c r="BI295" s="144">
        <f t="shared" si="699"/>
        <v>0</v>
      </c>
      <c r="BJ295" s="144">
        <f t="shared" si="699"/>
        <v>0</v>
      </c>
      <c r="BK295" s="144">
        <f t="shared" si="699"/>
        <v>0</v>
      </c>
      <c r="BL295" s="144">
        <f t="shared" si="699"/>
        <v>0</v>
      </c>
      <c r="BM295" s="144">
        <f t="shared" si="699"/>
        <v>0</v>
      </c>
      <c r="BN295" s="144">
        <f t="shared" si="699"/>
        <v>0</v>
      </c>
      <c r="BO295" s="9">
        <f t="shared" ref="BO295:CT295" si="700">BO83/BO$211</f>
        <v>0</v>
      </c>
      <c r="BP295" s="144">
        <f t="shared" si="700"/>
        <v>0</v>
      </c>
      <c r="BQ295" s="144">
        <f t="shared" si="700"/>
        <v>0</v>
      </c>
      <c r="BR295" s="144">
        <f t="shared" si="700"/>
        <v>0</v>
      </c>
      <c r="BS295" s="144">
        <f t="shared" si="700"/>
        <v>0</v>
      </c>
      <c r="BT295" s="144">
        <f t="shared" si="700"/>
        <v>0</v>
      </c>
      <c r="BU295" s="144">
        <f t="shared" si="700"/>
        <v>0</v>
      </c>
      <c r="BV295" s="144">
        <f t="shared" si="700"/>
        <v>0</v>
      </c>
      <c r="BW295" s="144">
        <f t="shared" si="700"/>
        <v>0</v>
      </c>
      <c r="BX295" s="144">
        <f t="shared" si="700"/>
        <v>0</v>
      </c>
      <c r="BY295" s="144">
        <f t="shared" si="700"/>
        <v>0</v>
      </c>
      <c r="BZ295" s="144">
        <f t="shared" si="700"/>
        <v>0</v>
      </c>
      <c r="CA295" s="144">
        <f t="shared" si="700"/>
        <v>0</v>
      </c>
      <c r="CB295" s="9">
        <f t="shared" si="700"/>
        <v>0</v>
      </c>
      <c r="CC295" s="144">
        <f t="shared" si="700"/>
        <v>4.16295739418695e-5</v>
      </c>
      <c r="CD295" s="144">
        <f t="shared" si="700"/>
        <v>0</v>
      </c>
      <c r="CE295" s="144">
        <f t="shared" si="700"/>
        <v>5.5243350284525e-5</v>
      </c>
      <c r="CF295" s="144">
        <f t="shared" si="700"/>
        <v>0</v>
      </c>
      <c r="CG295" s="144">
        <f t="shared" si="700"/>
        <v>1.44557230058666e-5</v>
      </c>
      <c r="CH295" s="144">
        <f t="shared" si="700"/>
        <v>0</v>
      </c>
      <c r="CI295" s="144">
        <f t="shared" si="700"/>
        <v>0</v>
      </c>
      <c r="CJ295" s="144">
        <f t="shared" si="700"/>
        <v>0</v>
      </c>
      <c r="CK295" s="144">
        <f t="shared" si="700"/>
        <v>0</v>
      </c>
      <c r="CL295" s="144">
        <f t="shared" si="700"/>
        <v>0</v>
      </c>
      <c r="CM295" s="144">
        <f t="shared" si="700"/>
        <v>0</v>
      </c>
      <c r="CN295" s="144">
        <f t="shared" si="700"/>
        <v>0</v>
      </c>
      <c r="CO295" s="9">
        <f t="shared" si="700"/>
        <v>9.42120132048709e-6</v>
      </c>
      <c r="CP295" s="144">
        <f t="shared" si="700"/>
        <v>0</v>
      </c>
      <c r="CQ295" s="144">
        <f t="shared" si="700"/>
        <v>0</v>
      </c>
      <c r="CR295" s="144">
        <f t="shared" si="700"/>
        <v>0</v>
      </c>
      <c r="CS295" s="144">
        <f t="shared" si="700"/>
        <v>0</v>
      </c>
      <c r="CT295" s="144">
        <f t="shared" si="700"/>
        <v>0</v>
      </c>
      <c r="CU295" s="144">
        <f t="shared" ref="CU295:EB295" si="701">CU83/CU$211</f>
        <v>0</v>
      </c>
      <c r="CV295" s="144">
        <f t="shared" si="701"/>
        <v>0</v>
      </c>
      <c r="CW295" s="144">
        <f t="shared" si="701"/>
        <v>0</v>
      </c>
      <c r="CX295" s="144">
        <f t="shared" si="701"/>
        <v>0</v>
      </c>
      <c r="CY295" s="144">
        <f t="shared" si="701"/>
        <v>0</v>
      </c>
      <c r="CZ295" s="144">
        <f t="shared" si="701"/>
        <v>0</v>
      </c>
      <c r="DA295" s="144">
        <f t="shared" si="701"/>
        <v>0</v>
      </c>
      <c r="DB295" s="9">
        <f t="shared" si="701"/>
        <v>0</v>
      </c>
      <c r="DC295" s="144">
        <f t="shared" si="701"/>
        <v>0</v>
      </c>
      <c r="DD295" s="144">
        <f t="shared" si="701"/>
        <v>6.24607795865019e-5</v>
      </c>
      <c r="DE295" s="144">
        <f t="shared" si="701"/>
        <v>0</v>
      </c>
      <c r="DF295" s="144">
        <f t="shared" si="701"/>
        <v>0</v>
      </c>
      <c r="DG295" s="144">
        <f t="shared" si="701"/>
        <v>0</v>
      </c>
      <c r="DH295" s="144">
        <f t="shared" si="701"/>
        <v>0</v>
      </c>
      <c r="DI295" s="144">
        <f t="shared" si="701"/>
        <v>0</v>
      </c>
      <c r="DJ295" s="144">
        <f t="shared" si="701"/>
        <v>0</v>
      </c>
      <c r="DK295" s="144">
        <f t="shared" si="701"/>
        <v>0</v>
      </c>
      <c r="DL295" s="144">
        <f t="shared" si="701"/>
        <v>0</v>
      </c>
      <c r="DM295" s="144">
        <f t="shared" si="701"/>
        <v>0</v>
      </c>
      <c r="DN295" s="144">
        <f t="shared" si="701"/>
        <v>0</v>
      </c>
      <c r="DO295" s="9">
        <f t="shared" si="701"/>
        <v>7.35199206386951e-6</v>
      </c>
      <c r="DP295" s="144">
        <f t="shared" si="701"/>
        <v>0</v>
      </c>
      <c r="DQ295" s="144">
        <f t="shared" si="701"/>
        <v>0</v>
      </c>
      <c r="DR295" s="144">
        <f t="shared" si="701"/>
        <v>0</v>
      </c>
      <c r="DS295" s="144">
        <f t="shared" si="701"/>
        <v>0</v>
      </c>
      <c r="DT295" s="144">
        <f t="shared" si="701"/>
        <v>0</v>
      </c>
      <c r="DU295" s="144">
        <f t="shared" si="701"/>
        <v>0</v>
      </c>
      <c r="DV295" s="144">
        <f t="shared" si="701"/>
        <v>0</v>
      </c>
      <c r="DW295" s="144">
        <f t="shared" si="701"/>
        <v>0</v>
      </c>
      <c r="DX295" s="144">
        <f t="shared" si="701"/>
        <v>0</v>
      </c>
      <c r="DY295" s="144">
        <f t="shared" si="701"/>
        <v>0</v>
      </c>
      <c r="DZ295" s="144">
        <f t="shared" si="701"/>
        <v>0</v>
      </c>
      <c r="EA295" s="144">
        <f t="shared" si="701"/>
        <v>0</v>
      </c>
      <c r="EB295" s="117">
        <f t="shared" si="701"/>
        <v>0</v>
      </c>
      <c r="EC295" s="118"/>
      <c r="ED295" s="117">
        <f t="shared" ref="ED295:FB295" si="702">ED83/ED$211</f>
        <v>0</v>
      </c>
      <c r="EE295" s="117">
        <f t="shared" si="702"/>
        <v>0</v>
      </c>
      <c r="EF295" s="117">
        <f t="shared" si="702"/>
        <v>0</v>
      </c>
      <c r="EG295" s="117" t="e">
        <f t="shared" si="702"/>
        <v>#DIV/0!</v>
      </c>
      <c r="EH295" s="117" t="e">
        <f t="shared" si="702"/>
        <v>#DIV/0!</v>
      </c>
      <c r="EI295" s="117" t="e">
        <f t="shared" si="702"/>
        <v>#DIV/0!</v>
      </c>
      <c r="EJ295" s="117" t="e">
        <f t="shared" si="702"/>
        <v>#DIV/0!</v>
      </c>
      <c r="EK295" s="117" t="e">
        <f t="shared" si="702"/>
        <v>#DIV/0!</v>
      </c>
      <c r="EL295" s="117" t="e">
        <f t="shared" si="702"/>
        <v>#DIV/0!</v>
      </c>
      <c r="EM295" s="117" t="e">
        <f t="shared" si="702"/>
        <v>#DIV/0!</v>
      </c>
      <c r="EN295" s="117" t="e">
        <f t="shared" si="702"/>
        <v>#DIV/0!</v>
      </c>
      <c r="EO295" s="116">
        <f t="shared" si="702"/>
        <v>0</v>
      </c>
      <c r="EP295" s="117">
        <f t="shared" si="702"/>
        <v>0</v>
      </c>
      <c r="EQ295" s="117">
        <f t="shared" si="702"/>
        <v>0</v>
      </c>
      <c r="ER295" s="117">
        <f t="shared" si="702"/>
        <v>0</v>
      </c>
      <c r="ES295" s="117">
        <f t="shared" si="702"/>
        <v>0</v>
      </c>
      <c r="ET295" s="117">
        <f t="shared" si="702"/>
        <v>0</v>
      </c>
      <c r="EU295" s="117">
        <f t="shared" si="702"/>
        <v>0</v>
      </c>
      <c r="EV295" s="117">
        <f t="shared" si="702"/>
        <v>0</v>
      </c>
      <c r="EW295" s="117">
        <f t="shared" si="702"/>
        <v>0</v>
      </c>
      <c r="EX295" s="117">
        <f t="shared" si="702"/>
        <v>0</v>
      </c>
      <c r="EY295" s="117">
        <f t="shared" si="702"/>
        <v>0</v>
      </c>
      <c r="EZ295" s="117">
        <f t="shared" si="702"/>
        <v>0</v>
      </c>
      <c r="FA295" s="117">
        <f t="shared" si="702"/>
        <v>0</v>
      </c>
      <c r="FB295" s="117">
        <f t="shared" si="702"/>
        <v>0</v>
      </c>
      <c r="FC295" s="118"/>
      <c r="FD295" s="117"/>
      <c r="FE295" s="117"/>
      <c r="FF295" s="117"/>
      <c r="FG295" s="117"/>
      <c r="FH295" s="117"/>
      <c r="FI295" s="117"/>
      <c r="FJ295" s="117"/>
      <c r="FK295" s="117" t="e">
        <f t="shared" si="601"/>
        <v>#DIV/0!</v>
      </c>
      <c r="FL295" s="117" t="e">
        <f t="shared" si="602"/>
        <v>#DIV/0!</v>
      </c>
      <c r="FM295" s="117" t="e">
        <f t="shared" si="603"/>
        <v>#DIV/0!</v>
      </c>
      <c r="FN295" s="117" t="e">
        <f t="shared" si="604"/>
        <v>#DIV/0!</v>
      </c>
      <c r="FO295" s="9" t="e">
        <f t="shared" si="605"/>
        <v>#DIV/0!</v>
      </c>
      <c r="FP295" s="118">
        <f t="shared" ref="FP295:GB295" si="703">FP83/FP$211</f>
        <v>0</v>
      </c>
      <c r="FQ295" s="117">
        <f t="shared" si="703"/>
        <v>0</v>
      </c>
      <c r="FR295" s="117">
        <f t="shared" si="703"/>
        <v>0</v>
      </c>
      <c r="FS295" s="117">
        <f t="shared" si="703"/>
        <v>0</v>
      </c>
      <c r="FT295" s="117">
        <f t="shared" si="703"/>
        <v>0</v>
      </c>
      <c r="FU295" s="117">
        <f t="shared" si="703"/>
        <v>0</v>
      </c>
      <c r="FV295" s="117">
        <f t="shared" si="703"/>
        <v>0</v>
      </c>
      <c r="FW295" s="117">
        <f t="shared" si="703"/>
        <v>0</v>
      </c>
      <c r="FX295" s="117">
        <f t="shared" si="703"/>
        <v>0</v>
      </c>
      <c r="FY295" s="117">
        <f t="shared" si="703"/>
        <v>0</v>
      </c>
      <c r="FZ295" s="117">
        <f t="shared" si="703"/>
        <v>0</v>
      </c>
      <c r="GA295" s="117">
        <f t="shared" si="703"/>
        <v>0</v>
      </c>
      <c r="GB295" s="116">
        <f t="shared" si="703"/>
        <v>0</v>
      </c>
    </row>
    <row r="296" spans="1:184">
      <c r="A296" s="147" t="s">
        <v>193</v>
      </c>
      <c r="B296" s="160">
        <f t="shared" si="607"/>
        <v>-0.918093016029519</v>
      </c>
      <c r="C296" s="117">
        <f t="shared" ref="C296:AH296" si="704">C84/C$211</f>
        <v>1.60571570426528e-6</v>
      </c>
      <c r="D296" s="117">
        <f t="shared" si="704"/>
        <v>5.76680224670145e-6</v>
      </c>
      <c r="E296" s="117">
        <f t="shared" si="704"/>
        <v>3.20866290215483e-6</v>
      </c>
      <c r="F296" s="117">
        <f t="shared" si="704"/>
        <v>2.25113386399707e-7</v>
      </c>
      <c r="G296" s="117">
        <f t="shared" si="704"/>
        <v>7.73948483903887e-7</v>
      </c>
      <c r="H296" s="117">
        <f t="shared" si="704"/>
        <v>0</v>
      </c>
      <c r="I296" s="117">
        <f t="shared" si="704"/>
        <v>0</v>
      </c>
      <c r="J296" s="117">
        <f t="shared" si="704"/>
        <v>0</v>
      </c>
      <c r="K296" s="117">
        <f t="shared" si="704"/>
        <v>0</v>
      </c>
      <c r="L296" s="117">
        <f t="shared" si="704"/>
        <v>0</v>
      </c>
      <c r="M296" s="117">
        <f t="shared" si="704"/>
        <v>0</v>
      </c>
      <c r="N296" s="117">
        <f t="shared" si="704"/>
        <v>0</v>
      </c>
      <c r="O296" s="9">
        <f t="shared" si="704"/>
        <v>1.07404349933774e-6</v>
      </c>
      <c r="P296" s="117">
        <f t="shared" si="704"/>
        <v>4.94803003843924e-6</v>
      </c>
      <c r="Q296" s="117">
        <f t="shared" si="704"/>
        <v>0</v>
      </c>
      <c r="R296" s="117">
        <f t="shared" si="704"/>
        <v>0</v>
      </c>
      <c r="S296" s="117">
        <f t="shared" si="704"/>
        <v>0</v>
      </c>
      <c r="T296" s="117">
        <f t="shared" si="704"/>
        <v>0</v>
      </c>
      <c r="U296" s="117">
        <f t="shared" si="704"/>
        <v>0</v>
      </c>
      <c r="V296" s="117">
        <f t="shared" si="704"/>
        <v>0</v>
      </c>
      <c r="W296" s="117">
        <f t="shared" si="704"/>
        <v>0</v>
      </c>
      <c r="X296" s="117">
        <f t="shared" si="704"/>
        <v>0</v>
      </c>
      <c r="Y296" s="117">
        <f t="shared" si="704"/>
        <v>0</v>
      </c>
      <c r="Z296" s="117">
        <f t="shared" si="704"/>
        <v>0</v>
      </c>
      <c r="AA296" s="117">
        <f t="shared" si="704"/>
        <v>0</v>
      </c>
      <c r="AB296" s="9">
        <f t="shared" si="704"/>
        <v>5.61317172361805e-7</v>
      </c>
      <c r="AC296" s="117">
        <f t="shared" si="704"/>
        <v>0</v>
      </c>
      <c r="AD296" s="117">
        <f t="shared" si="704"/>
        <v>0</v>
      </c>
      <c r="AE296" s="117">
        <f t="shared" si="704"/>
        <v>0</v>
      </c>
      <c r="AF296" s="117">
        <f t="shared" si="704"/>
        <v>0</v>
      </c>
      <c r="AG296" s="117">
        <f t="shared" si="704"/>
        <v>0</v>
      </c>
      <c r="AH296" s="117">
        <f t="shared" si="704"/>
        <v>0</v>
      </c>
      <c r="AI296" s="117">
        <f t="shared" ref="AI296:BN296" si="705">AI84/AI$211</f>
        <v>0</v>
      </c>
      <c r="AJ296" s="117">
        <f t="shared" si="705"/>
        <v>0</v>
      </c>
      <c r="AK296" s="117">
        <f t="shared" si="705"/>
        <v>0</v>
      </c>
      <c r="AL296" s="117">
        <f t="shared" si="705"/>
        <v>0</v>
      </c>
      <c r="AM296" s="117">
        <f t="shared" si="705"/>
        <v>0</v>
      </c>
      <c r="AN296" s="117">
        <f t="shared" si="705"/>
        <v>0</v>
      </c>
      <c r="AO296" s="9">
        <f t="shared" si="705"/>
        <v>0</v>
      </c>
      <c r="AP296" s="144">
        <f t="shared" si="705"/>
        <v>0</v>
      </c>
      <c r="AQ296" s="144">
        <f t="shared" si="705"/>
        <v>0</v>
      </c>
      <c r="AR296" s="144">
        <f t="shared" si="705"/>
        <v>0</v>
      </c>
      <c r="AS296" s="144">
        <f t="shared" si="705"/>
        <v>0</v>
      </c>
      <c r="AT296" s="144">
        <f t="shared" si="705"/>
        <v>0</v>
      </c>
      <c r="AU296" s="144">
        <f t="shared" si="705"/>
        <v>0</v>
      </c>
      <c r="AV296" s="144">
        <f t="shared" si="705"/>
        <v>0</v>
      </c>
      <c r="AW296" s="144">
        <f t="shared" si="705"/>
        <v>0</v>
      </c>
      <c r="AX296" s="144">
        <f t="shared" si="705"/>
        <v>0</v>
      </c>
      <c r="AY296" s="144">
        <f t="shared" si="705"/>
        <v>0</v>
      </c>
      <c r="AZ296" s="144">
        <f t="shared" si="705"/>
        <v>0</v>
      </c>
      <c r="BA296" s="144">
        <f t="shared" si="705"/>
        <v>0</v>
      </c>
      <c r="BB296" s="9">
        <f t="shared" si="705"/>
        <v>0</v>
      </c>
      <c r="BC296" s="144">
        <f t="shared" si="705"/>
        <v>0</v>
      </c>
      <c r="BD296" s="144">
        <f t="shared" si="705"/>
        <v>0</v>
      </c>
      <c r="BE296" s="144">
        <f t="shared" si="705"/>
        <v>0</v>
      </c>
      <c r="BF296" s="144">
        <f t="shared" si="705"/>
        <v>0</v>
      </c>
      <c r="BG296" s="144">
        <f t="shared" si="705"/>
        <v>0</v>
      </c>
      <c r="BH296" s="144">
        <f t="shared" si="705"/>
        <v>0</v>
      </c>
      <c r="BI296" s="144">
        <f t="shared" si="705"/>
        <v>0</v>
      </c>
      <c r="BJ296" s="144">
        <f t="shared" si="705"/>
        <v>0</v>
      </c>
      <c r="BK296" s="144">
        <f t="shared" si="705"/>
        <v>0</v>
      </c>
      <c r="BL296" s="144">
        <f t="shared" si="705"/>
        <v>0</v>
      </c>
      <c r="BM296" s="144">
        <f t="shared" si="705"/>
        <v>0</v>
      </c>
      <c r="BN296" s="144">
        <f t="shared" si="705"/>
        <v>0</v>
      </c>
      <c r="BO296" s="9">
        <f t="shared" ref="BO296:CT296" si="706">BO84/BO$211</f>
        <v>0</v>
      </c>
      <c r="BP296" s="144">
        <f t="shared" si="706"/>
        <v>0</v>
      </c>
      <c r="BQ296" s="144">
        <f t="shared" si="706"/>
        <v>0</v>
      </c>
      <c r="BR296" s="144">
        <f t="shared" si="706"/>
        <v>0</v>
      </c>
      <c r="BS296" s="144">
        <f t="shared" si="706"/>
        <v>0</v>
      </c>
      <c r="BT296" s="144">
        <f t="shared" si="706"/>
        <v>0</v>
      </c>
      <c r="BU296" s="144">
        <f t="shared" si="706"/>
        <v>0</v>
      </c>
      <c r="BV296" s="144">
        <f t="shared" si="706"/>
        <v>0</v>
      </c>
      <c r="BW296" s="144">
        <f t="shared" si="706"/>
        <v>0</v>
      </c>
      <c r="BX296" s="144">
        <f t="shared" si="706"/>
        <v>0</v>
      </c>
      <c r="BY296" s="144">
        <f t="shared" si="706"/>
        <v>0</v>
      </c>
      <c r="BZ296" s="144">
        <f t="shared" si="706"/>
        <v>0</v>
      </c>
      <c r="CA296" s="144">
        <f t="shared" si="706"/>
        <v>0</v>
      </c>
      <c r="CB296" s="9">
        <f t="shared" si="706"/>
        <v>0</v>
      </c>
      <c r="CC296" s="144">
        <f t="shared" si="706"/>
        <v>0</v>
      </c>
      <c r="CD296" s="144">
        <f t="shared" si="706"/>
        <v>0</v>
      </c>
      <c r="CE296" s="144">
        <f t="shared" si="706"/>
        <v>0</v>
      </c>
      <c r="CF296" s="144">
        <f t="shared" si="706"/>
        <v>0</v>
      </c>
      <c r="CG296" s="144">
        <f t="shared" si="706"/>
        <v>0</v>
      </c>
      <c r="CH296" s="144">
        <f t="shared" si="706"/>
        <v>0</v>
      </c>
      <c r="CI296" s="144">
        <f t="shared" si="706"/>
        <v>0</v>
      </c>
      <c r="CJ296" s="144">
        <f t="shared" si="706"/>
        <v>0</v>
      </c>
      <c r="CK296" s="144">
        <f t="shared" si="706"/>
        <v>0</v>
      </c>
      <c r="CL296" s="144">
        <f t="shared" si="706"/>
        <v>0</v>
      </c>
      <c r="CM296" s="144">
        <f t="shared" si="706"/>
        <v>0</v>
      </c>
      <c r="CN296" s="144">
        <f t="shared" si="706"/>
        <v>0</v>
      </c>
      <c r="CO296" s="9">
        <f t="shared" si="706"/>
        <v>0</v>
      </c>
      <c r="CP296" s="144">
        <f t="shared" si="706"/>
        <v>0</v>
      </c>
      <c r="CQ296" s="144">
        <f t="shared" si="706"/>
        <v>0</v>
      </c>
      <c r="CR296" s="144">
        <f t="shared" si="706"/>
        <v>0</v>
      </c>
      <c r="CS296" s="144">
        <f t="shared" si="706"/>
        <v>0</v>
      </c>
      <c r="CT296" s="144">
        <f t="shared" si="706"/>
        <v>0</v>
      </c>
      <c r="CU296" s="144">
        <f t="shared" ref="CU296:EB296" si="707">CU84/CU$211</f>
        <v>0</v>
      </c>
      <c r="CV296" s="144">
        <f t="shared" si="707"/>
        <v>0</v>
      </c>
      <c r="CW296" s="144">
        <f t="shared" si="707"/>
        <v>0</v>
      </c>
      <c r="CX296" s="144">
        <f t="shared" si="707"/>
        <v>0</v>
      </c>
      <c r="CY296" s="144">
        <f t="shared" si="707"/>
        <v>0</v>
      </c>
      <c r="CZ296" s="144">
        <f t="shared" si="707"/>
        <v>0</v>
      </c>
      <c r="DA296" s="144">
        <f t="shared" si="707"/>
        <v>0</v>
      </c>
      <c r="DB296" s="9">
        <f t="shared" si="707"/>
        <v>0</v>
      </c>
      <c r="DC296" s="144">
        <f t="shared" si="707"/>
        <v>9.20139364378199e-5</v>
      </c>
      <c r="DD296" s="144">
        <f t="shared" si="707"/>
        <v>7.80765177606703e-5</v>
      </c>
      <c r="DE296" s="144">
        <f t="shared" si="707"/>
        <v>0</v>
      </c>
      <c r="DF296" s="144">
        <f t="shared" si="707"/>
        <v>2.4714492642742e-5</v>
      </c>
      <c r="DG296" s="144">
        <f t="shared" si="707"/>
        <v>6.95480409749784e-5</v>
      </c>
      <c r="DH296" s="144">
        <f t="shared" si="707"/>
        <v>0</v>
      </c>
      <c r="DI296" s="144">
        <f t="shared" si="707"/>
        <v>0</v>
      </c>
      <c r="DJ296" s="144">
        <f t="shared" si="707"/>
        <v>0</v>
      </c>
      <c r="DK296" s="144">
        <f t="shared" si="707"/>
        <v>0</v>
      </c>
      <c r="DL296" s="144">
        <f t="shared" si="707"/>
        <v>0</v>
      </c>
      <c r="DM296" s="144">
        <f t="shared" si="707"/>
        <v>0</v>
      </c>
      <c r="DN296" s="144">
        <f t="shared" si="707"/>
        <v>0</v>
      </c>
      <c r="DO296" s="9">
        <f t="shared" si="707"/>
        <v>2.76410259921486e-5</v>
      </c>
      <c r="DP296" s="144">
        <f t="shared" si="707"/>
        <v>0</v>
      </c>
      <c r="DQ296" s="144">
        <f t="shared" si="707"/>
        <v>0</v>
      </c>
      <c r="DR296" s="144">
        <f t="shared" si="707"/>
        <v>0</v>
      </c>
      <c r="DS296" s="144">
        <f t="shared" si="707"/>
        <v>0</v>
      </c>
      <c r="DT296" s="144">
        <f t="shared" si="707"/>
        <v>0</v>
      </c>
      <c r="DU296" s="144">
        <f t="shared" si="707"/>
        <v>0</v>
      </c>
      <c r="DV296" s="144">
        <f t="shared" si="707"/>
        <v>0</v>
      </c>
      <c r="DW296" s="144">
        <f t="shared" si="707"/>
        <v>0</v>
      </c>
      <c r="DX296" s="144">
        <f t="shared" si="707"/>
        <v>0</v>
      </c>
      <c r="DY296" s="144">
        <f t="shared" si="707"/>
        <v>0</v>
      </c>
      <c r="DZ296" s="144">
        <f t="shared" si="707"/>
        <v>0</v>
      </c>
      <c r="EA296" s="144">
        <f t="shared" si="707"/>
        <v>0</v>
      </c>
      <c r="EB296" s="117">
        <f t="shared" si="707"/>
        <v>0</v>
      </c>
      <c r="EC296" s="118"/>
      <c r="ED296" s="117">
        <f t="shared" ref="ED296:FB296" si="708">ED84/ED$211</f>
        <v>0</v>
      </c>
      <c r="EE296" s="117">
        <f t="shared" si="708"/>
        <v>0</v>
      </c>
      <c r="EF296" s="117">
        <f t="shared" si="708"/>
        <v>0</v>
      </c>
      <c r="EG296" s="117" t="e">
        <f t="shared" si="708"/>
        <v>#DIV/0!</v>
      </c>
      <c r="EH296" s="117" t="e">
        <f t="shared" si="708"/>
        <v>#DIV/0!</v>
      </c>
      <c r="EI296" s="117" t="e">
        <f t="shared" si="708"/>
        <v>#DIV/0!</v>
      </c>
      <c r="EJ296" s="117" t="e">
        <f t="shared" si="708"/>
        <v>#DIV/0!</v>
      </c>
      <c r="EK296" s="117" t="e">
        <f t="shared" si="708"/>
        <v>#DIV/0!</v>
      </c>
      <c r="EL296" s="117" t="e">
        <f t="shared" si="708"/>
        <v>#DIV/0!</v>
      </c>
      <c r="EM296" s="117" t="e">
        <f t="shared" si="708"/>
        <v>#DIV/0!</v>
      </c>
      <c r="EN296" s="117" t="e">
        <f t="shared" si="708"/>
        <v>#DIV/0!</v>
      </c>
      <c r="EO296" s="116">
        <f t="shared" si="708"/>
        <v>0</v>
      </c>
      <c r="EP296" s="117">
        <f t="shared" si="708"/>
        <v>0</v>
      </c>
      <c r="EQ296" s="117">
        <f t="shared" si="708"/>
        <v>0</v>
      </c>
      <c r="ER296" s="117">
        <f t="shared" si="708"/>
        <v>0</v>
      </c>
      <c r="ES296" s="117">
        <f t="shared" si="708"/>
        <v>0</v>
      </c>
      <c r="ET296" s="117">
        <f t="shared" si="708"/>
        <v>0</v>
      </c>
      <c r="EU296" s="117">
        <f t="shared" si="708"/>
        <v>0</v>
      </c>
      <c r="EV296" s="117">
        <f t="shared" si="708"/>
        <v>0</v>
      </c>
      <c r="EW296" s="117">
        <f t="shared" si="708"/>
        <v>0</v>
      </c>
      <c r="EX296" s="117">
        <f t="shared" si="708"/>
        <v>0</v>
      </c>
      <c r="EY296" s="117">
        <f t="shared" si="708"/>
        <v>0</v>
      </c>
      <c r="EZ296" s="117">
        <f t="shared" si="708"/>
        <v>0</v>
      </c>
      <c r="FA296" s="117">
        <f t="shared" si="708"/>
        <v>0</v>
      </c>
      <c r="FB296" s="117">
        <f t="shared" si="708"/>
        <v>0</v>
      </c>
      <c r="FC296" s="118"/>
      <c r="FD296" s="117"/>
      <c r="FE296" s="117"/>
      <c r="FF296" s="117"/>
      <c r="FG296" s="117"/>
      <c r="FH296" s="117"/>
      <c r="FI296" s="117"/>
      <c r="FJ296" s="117"/>
      <c r="FK296" s="117" t="e">
        <f t="shared" si="601"/>
        <v>#DIV/0!</v>
      </c>
      <c r="FL296" s="117" t="e">
        <f t="shared" si="602"/>
        <v>#DIV/0!</v>
      </c>
      <c r="FM296" s="117" t="e">
        <f t="shared" si="603"/>
        <v>#DIV/0!</v>
      </c>
      <c r="FN296" s="117" t="e">
        <f t="shared" si="604"/>
        <v>#DIV/0!</v>
      </c>
      <c r="FO296" s="9" t="e">
        <f t="shared" si="605"/>
        <v>#DIV/0!</v>
      </c>
      <c r="FP296" s="118">
        <f t="shared" ref="FP296:GB296" si="709">FP84/FP$211</f>
        <v>4.35904491163296e-7</v>
      </c>
      <c r="FQ296" s="117">
        <f t="shared" si="709"/>
        <v>2.00461034782865e-5</v>
      </c>
      <c r="FR296" s="117">
        <f t="shared" si="709"/>
        <v>1.20067021305638e-5</v>
      </c>
      <c r="FS296" s="117">
        <f t="shared" si="709"/>
        <v>0</v>
      </c>
      <c r="FT296" s="117">
        <f t="shared" si="709"/>
        <v>0</v>
      </c>
      <c r="FU296" s="117">
        <f t="shared" si="709"/>
        <v>0</v>
      </c>
      <c r="FV296" s="117">
        <f t="shared" si="709"/>
        <v>0</v>
      </c>
      <c r="FW296" s="117">
        <f t="shared" si="709"/>
        <v>0</v>
      </c>
      <c r="FX296" s="117">
        <f t="shared" si="709"/>
        <v>0</v>
      </c>
      <c r="FY296" s="117">
        <f t="shared" si="709"/>
        <v>0</v>
      </c>
      <c r="FZ296" s="117">
        <f t="shared" si="709"/>
        <v>0</v>
      </c>
      <c r="GA296" s="117">
        <f t="shared" si="709"/>
        <v>0</v>
      </c>
      <c r="GB296" s="116">
        <f t="shared" si="709"/>
        <v>3.09160220150672e-6</v>
      </c>
    </row>
    <row r="297" spans="1:184">
      <c r="A297" s="147" t="s">
        <v>195</v>
      </c>
      <c r="B297" s="160">
        <f t="shared" si="607"/>
        <v>-1</v>
      </c>
      <c r="C297" s="117">
        <f t="shared" ref="C297:AH297" si="710">C85/C$211</f>
        <v>0</v>
      </c>
      <c r="D297" s="117">
        <f t="shared" si="710"/>
        <v>0</v>
      </c>
      <c r="E297" s="117">
        <f t="shared" si="710"/>
        <v>0</v>
      </c>
      <c r="F297" s="117">
        <f t="shared" si="710"/>
        <v>0</v>
      </c>
      <c r="G297" s="117">
        <f t="shared" si="710"/>
        <v>0</v>
      </c>
      <c r="H297" s="117">
        <f t="shared" si="710"/>
        <v>0</v>
      </c>
      <c r="I297" s="117">
        <f t="shared" si="710"/>
        <v>0</v>
      </c>
      <c r="J297" s="117">
        <f t="shared" si="710"/>
        <v>0</v>
      </c>
      <c r="K297" s="117">
        <f t="shared" si="710"/>
        <v>0</v>
      </c>
      <c r="L297" s="117">
        <f t="shared" si="710"/>
        <v>0</v>
      </c>
      <c r="M297" s="117">
        <f t="shared" si="710"/>
        <v>0</v>
      </c>
      <c r="N297" s="117">
        <f t="shared" si="710"/>
        <v>0</v>
      </c>
      <c r="O297" s="9">
        <f t="shared" si="710"/>
        <v>0</v>
      </c>
      <c r="P297" s="117">
        <f t="shared" si="710"/>
        <v>0</v>
      </c>
      <c r="Q297" s="117">
        <f t="shared" si="710"/>
        <v>0</v>
      </c>
      <c r="R297" s="117">
        <f t="shared" si="710"/>
        <v>0</v>
      </c>
      <c r="S297" s="117">
        <f t="shared" si="710"/>
        <v>0</v>
      </c>
      <c r="T297" s="117">
        <f t="shared" si="710"/>
        <v>0</v>
      </c>
      <c r="U297" s="117">
        <f t="shared" si="710"/>
        <v>0</v>
      </c>
      <c r="V297" s="117">
        <f t="shared" si="710"/>
        <v>0</v>
      </c>
      <c r="W297" s="117">
        <f t="shared" si="710"/>
        <v>0</v>
      </c>
      <c r="X297" s="117">
        <f t="shared" si="710"/>
        <v>0</v>
      </c>
      <c r="Y297" s="117">
        <f t="shared" si="710"/>
        <v>0</v>
      </c>
      <c r="Z297" s="117">
        <f t="shared" si="710"/>
        <v>0</v>
      </c>
      <c r="AA297" s="117">
        <f t="shared" si="710"/>
        <v>0</v>
      </c>
      <c r="AB297" s="9">
        <f t="shared" si="710"/>
        <v>0</v>
      </c>
      <c r="AC297" s="117">
        <f t="shared" si="710"/>
        <v>0</v>
      </c>
      <c r="AD297" s="117">
        <f t="shared" si="710"/>
        <v>0</v>
      </c>
      <c r="AE297" s="117">
        <f t="shared" si="710"/>
        <v>0</v>
      </c>
      <c r="AF297" s="117">
        <f t="shared" si="710"/>
        <v>0</v>
      </c>
      <c r="AG297" s="117">
        <f t="shared" si="710"/>
        <v>0</v>
      </c>
      <c r="AH297" s="117">
        <f t="shared" si="710"/>
        <v>0</v>
      </c>
      <c r="AI297" s="117">
        <f t="shared" ref="AI297:BN297" si="711">AI85/AI$211</f>
        <v>0</v>
      </c>
      <c r="AJ297" s="117">
        <f t="shared" si="711"/>
        <v>0</v>
      </c>
      <c r="AK297" s="117">
        <f t="shared" si="711"/>
        <v>0</v>
      </c>
      <c r="AL297" s="117">
        <f t="shared" si="711"/>
        <v>0</v>
      </c>
      <c r="AM297" s="117">
        <f t="shared" si="711"/>
        <v>0</v>
      </c>
      <c r="AN297" s="117">
        <f t="shared" si="711"/>
        <v>0</v>
      </c>
      <c r="AO297" s="9">
        <f t="shared" si="711"/>
        <v>0</v>
      </c>
      <c r="AP297" s="144">
        <f t="shared" si="711"/>
        <v>0</v>
      </c>
      <c r="AQ297" s="144">
        <f t="shared" si="711"/>
        <v>0</v>
      </c>
      <c r="AR297" s="144">
        <f t="shared" si="711"/>
        <v>0</v>
      </c>
      <c r="AS297" s="144">
        <f t="shared" si="711"/>
        <v>0</v>
      </c>
      <c r="AT297" s="144">
        <f t="shared" si="711"/>
        <v>0</v>
      </c>
      <c r="AU297" s="144">
        <f t="shared" si="711"/>
        <v>0</v>
      </c>
      <c r="AV297" s="144">
        <f t="shared" si="711"/>
        <v>0</v>
      </c>
      <c r="AW297" s="144">
        <f t="shared" si="711"/>
        <v>0</v>
      </c>
      <c r="AX297" s="144">
        <f t="shared" si="711"/>
        <v>0</v>
      </c>
      <c r="AY297" s="144">
        <f t="shared" si="711"/>
        <v>0</v>
      </c>
      <c r="AZ297" s="144">
        <f t="shared" si="711"/>
        <v>0</v>
      </c>
      <c r="BA297" s="144">
        <f t="shared" si="711"/>
        <v>0</v>
      </c>
      <c r="BB297" s="9">
        <f t="shared" si="711"/>
        <v>0</v>
      </c>
      <c r="BC297" s="144">
        <f t="shared" si="711"/>
        <v>0</v>
      </c>
      <c r="BD297" s="144">
        <f t="shared" si="711"/>
        <v>0</v>
      </c>
      <c r="BE297" s="144">
        <f t="shared" si="711"/>
        <v>0</v>
      </c>
      <c r="BF297" s="144">
        <f t="shared" si="711"/>
        <v>0</v>
      </c>
      <c r="BG297" s="144">
        <f t="shared" si="711"/>
        <v>0</v>
      </c>
      <c r="BH297" s="144">
        <f t="shared" si="711"/>
        <v>0</v>
      </c>
      <c r="BI297" s="144">
        <f t="shared" si="711"/>
        <v>0</v>
      </c>
      <c r="BJ297" s="144">
        <f t="shared" si="711"/>
        <v>0</v>
      </c>
      <c r="BK297" s="144">
        <f t="shared" si="711"/>
        <v>0</v>
      </c>
      <c r="BL297" s="144">
        <f t="shared" si="711"/>
        <v>0</v>
      </c>
      <c r="BM297" s="144">
        <f t="shared" si="711"/>
        <v>0</v>
      </c>
      <c r="BN297" s="144">
        <f t="shared" si="711"/>
        <v>0</v>
      </c>
      <c r="BO297" s="9">
        <f t="shared" ref="BO297:CT297" si="712">BO85/BO$211</f>
        <v>0</v>
      </c>
      <c r="BP297" s="144">
        <f t="shared" si="712"/>
        <v>0</v>
      </c>
      <c r="BQ297" s="144">
        <f t="shared" si="712"/>
        <v>0</v>
      </c>
      <c r="BR297" s="144">
        <f t="shared" si="712"/>
        <v>0</v>
      </c>
      <c r="BS297" s="144">
        <f t="shared" si="712"/>
        <v>0</v>
      </c>
      <c r="BT297" s="144">
        <f t="shared" si="712"/>
        <v>0</v>
      </c>
      <c r="BU297" s="144">
        <f t="shared" si="712"/>
        <v>0</v>
      </c>
      <c r="BV297" s="144">
        <f t="shared" si="712"/>
        <v>0</v>
      </c>
      <c r="BW297" s="144">
        <f t="shared" si="712"/>
        <v>0</v>
      </c>
      <c r="BX297" s="144">
        <f t="shared" si="712"/>
        <v>0</v>
      </c>
      <c r="BY297" s="144">
        <f t="shared" si="712"/>
        <v>0</v>
      </c>
      <c r="BZ297" s="144">
        <f t="shared" si="712"/>
        <v>0</v>
      </c>
      <c r="CA297" s="144">
        <f t="shared" si="712"/>
        <v>0</v>
      </c>
      <c r="CB297" s="9">
        <f t="shared" si="712"/>
        <v>0</v>
      </c>
      <c r="CC297" s="144">
        <f t="shared" si="712"/>
        <v>0</v>
      </c>
      <c r="CD297" s="144">
        <f t="shared" si="712"/>
        <v>0</v>
      </c>
      <c r="CE297" s="144">
        <f t="shared" si="712"/>
        <v>0</v>
      </c>
      <c r="CF297" s="144">
        <f t="shared" si="712"/>
        <v>0</v>
      </c>
      <c r="CG297" s="144">
        <f t="shared" si="712"/>
        <v>0</v>
      </c>
      <c r="CH297" s="144">
        <f t="shared" si="712"/>
        <v>0</v>
      </c>
      <c r="CI297" s="144">
        <f t="shared" si="712"/>
        <v>0</v>
      </c>
      <c r="CJ297" s="144">
        <f t="shared" si="712"/>
        <v>0</v>
      </c>
      <c r="CK297" s="144">
        <f t="shared" si="712"/>
        <v>0</v>
      </c>
      <c r="CL297" s="144">
        <f t="shared" si="712"/>
        <v>0</v>
      </c>
      <c r="CM297" s="144">
        <f t="shared" si="712"/>
        <v>0</v>
      </c>
      <c r="CN297" s="144">
        <f t="shared" si="712"/>
        <v>0</v>
      </c>
      <c r="CO297" s="9">
        <f t="shared" si="712"/>
        <v>0</v>
      </c>
      <c r="CP297" s="144">
        <f t="shared" si="712"/>
        <v>0</v>
      </c>
      <c r="CQ297" s="144">
        <f t="shared" si="712"/>
        <v>0</v>
      </c>
      <c r="CR297" s="144">
        <f t="shared" si="712"/>
        <v>0</v>
      </c>
      <c r="CS297" s="144">
        <f t="shared" si="712"/>
        <v>0</v>
      </c>
      <c r="CT297" s="144">
        <f t="shared" si="712"/>
        <v>0</v>
      </c>
      <c r="CU297" s="144">
        <f t="shared" ref="CU297:EB297" si="713">CU85/CU$211</f>
        <v>0</v>
      </c>
      <c r="CV297" s="144">
        <f t="shared" si="713"/>
        <v>0</v>
      </c>
      <c r="CW297" s="144">
        <f t="shared" si="713"/>
        <v>0</v>
      </c>
      <c r="CX297" s="144">
        <f t="shared" si="713"/>
        <v>0</v>
      </c>
      <c r="CY297" s="144">
        <f t="shared" si="713"/>
        <v>0</v>
      </c>
      <c r="CZ297" s="144">
        <f t="shared" si="713"/>
        <v>0</v>
      </c>
      <c r="DA297" s="144">
        <f t="shared" si="713"/>
        <v>0</v>
      </c>
      <c r="DB297" s="9">
        <f t="shared" si="713"/>
        <v>0</v>
      </c>
      <c r="DC297" s="144">
        <f t="shared" si="713"/>
        <v>0</v>
      </c>
      <c r="DD297" s="144">
        <f t="shared" si="713"/>
        <v>0</v>
      </c>
      <c r="DE297" s="144">
        <f t="shared" si="713"/>
        <v>0</v>
      </c>
      <c r="DF297" s="144">
        <f t="shared" si="713"/>
        <v>0</v>
      </c>
      <c r="DG297" s="144">
        <f t="shared" si="713"/>
        <v>0</v>
      </c>
      <c r="DH297" s="144">
        <f t="shared" si="713"/>
        <v>0</v>
      </c>
      <c r="DI297" s="144">
        <f t="shared" si="713"/>
        <v>0</v>
      </c>
      <c r="DJ297" s="144">
        <f t="shared" si="713"/>
        <v>0</v>
      </c>
      <c r="DK297" s="144">
        <f t="shared" si="713"/>
        <v>0</v>
      </c>
      <c r="DL297" s="144">
        <f t="shared" si="713"/>
        <v>0</v>
      </c>
      <c r="DM297" s="144">
        <f t="shared" si="713"/>
        <v>0</v>
      </c>
      <c r="DN297" s="144">
        <f t="shared" si="713"/>
        <v>0</v>
      </c>
      <c r="DO297" s="9">
        <f t="shared" si="713"/>
        <v>0</v>
      </c>
      <c r="DP297" s="144">
        <f t="shared" si="713"/>
        <v>0</v>
      </c>
      <c r="DQ297" s="144">
        <f t="shared" si="713"/>
        <v>0</v>
      </c>
      <c r="DR297" s="144">
        <f t="shared" si="713"/>
        <v>0</v>
      </c>
      <c r="DS297" s="144">
        <f t="shared" si="713"/>
        <v>0</v>
      </c>
      <c r="DT297" s="144">
        <f t="shared" si="713"/>
        <v>0</v>
      </c>
      <c r="DU297" s="144">
        <f t="shared" si="713"/>
        <v>0</v>
      </c>
      <c r="DV297" s="144">
        <f t="shared" si="713"/>
        <v>0</v>
      </c>
      <c r="DW297" s="144">
        <f t="shared" si="713"/>
        <v>0</v>
      </c>
      <c r="DX297" s="144">
        <f t="shared" si="713"/>
        <v>0</v>
      </c>
      <c r="DY297" s="144">
        <f t="shared" si="713"/>
        <v>0</v>
      </c>
      <c r="DZ297" s="144">
        <f t="shared" si="713"/>
        <v>0</v>
      </c>
      <c r="EA297" s="144">
        <f t="shared" si="713"/>
        <v>0</v>
      </c>
      <c r="EB297" s="117">
        <f t="shared" si="713"/>
        <v>0</v>
      </c>
      <c r="EC297" s="118"/>
      <c r="ED297" s="117">
        <f t="shared" ref="ED297:FB297" si="714">ED85/ED$211</f>
        <v>0</v>
      </c>
      <c r="EE297" s="117">
        <f t="shared" si="714"/>
        <v>0</v>
      </c>
      <c r="EF297" s="117">
        <f t="shared" si="714"/>
        <v>0</v>
      </c>
      <c r="EG297" s="117" t="e">
        <f t="shared" si="714"/>
        <v>#DIV/0!</v>
      </c>
      <c r="EH297" s="117" t="e">
        <f t="shared" si="714"/>
        <v>#DIV/0!</v>
      </c>
      <c r="EI297" s="117" t="e">
        <f t="shared" si="714"/>
        <v>#DIV/0!</v>
      </c>
      <c r="EJ297" s="117" t="e">
        <f t="shared" si="714"/>
        <v>#DIV/0!</v>
      </c>
      <c r="EK297" s="117" t="e">
        <f t="shared" si="714"/>
        <v>#DIV/0!</v>
      </c>
      <c r="EL297" s="117" t="e">
        <f t="shared" si="714"/>
        <v>#DIV/0!</v>
      </c>
      <c r="EM297" s="117" t="e">
        <f t="shared" si="714"/>
        <v>#DIV/0!</v>
      </c>
      <c r="EN297" s="117" t="e">
        <f t="shared" si="714"/>
        <v>#DIV/0!</v>
      </c>
      <c r="EO297" s="116">
        <f t="shared" si="714"/>
        <v>0</v>
      </c>
      <c r="EP297" s="117">
        <f t="shared" si="714"/>
        <v>0</v>
      </c>
      <c r="EQ297" s="117">
        <f t="shared" si="714"/>
        <v>0</v>
      </c>
      <c r="ER297" s="117">
        <f t="shared" si="714"/>
        <v>0</v>
      </c>
      <c r="ES297" s="117">
        <f t="shared" si="714"/>
        <v>0</v>
      </c>
      <c r="ET297" s="117">
        <f t="shared" si="714"/>
        <v>0</v>
      </c>
      <c r="EU297" s="117">
        <f t="shared" si="714"/>
        <v>0</v>
      </c>
      <c r="EV297" s="117">
        <f t="shared" si="714"/>
        <v>0</v>
      </c>
      <c r="EW297" s="117">
        <f t="shared" si="714"/>
        <v>0</v>
      </c>
      <c r="EX297" s="117">
        <f t="shared" si="714"/>
        <v>0</v>
      </c>
      <c r="EY297" s="117">
        <f t="shared" si="714"/>
        <v>0</v>
      </c>
      <c r="EZ297" s="117">
        <f t="shared" si="714"/>
        <v>0</v>
      </c>
      <c r="FA297" s="117">
        <f t="shared" si="714"/>
        <v>0</v>
      </c>
      <c r="FB297" s="117">
        <f t="shared" si="714"/>
        <v>0</v>
      </c>
      <c r="FC297" s="118"/>
      <c r="FD297" s="117"/>
      <c r="FE297" s="117"/>
      <c r="FF297" s="117"/>
      <c r="FG297" s="117"/>
      <c r="FH297" s="117"/>
      <c r="FI297" s="117"/>
      <c r="FJ297" s="117"/>
      <c r="FK297" s="117" t="e">
        <f t="shared" si="601"/>
        <v>#DIV/0!</v>
      </c>
      <c r="FL297" s="117" t="e">
        <f t="shared" si="602"/>
        <v>#DIV/0!</v>
      </c>
      <c r="FM297" s="117" t="e">
        <f t="shared" si="603"/>
        <v>#DIV/0!</v>
      </c>
      <c r="FN297" s="117" t="e">
        <f t="shared" si="604"/>
        <v>#DIV/0!</v>
      </c>
      <c r="FO297" s="9" t="e">
        <f t="shared" si="605"/>
        <v>#DIV/0!</v>
      </c>
      <c r="FP297" s="118">
        <f t="shared" ref="FP297:GB297" si="715">FP85/FP$211</f>
        <v>0</v>
      </c>
      <c r="FQ297" s="117">
        <f t="shared" si="715"/>
        <v>0</v>
      </c>
      <c r="FR297" s="117">
        <f t="shared" si="715"/>
        <v>0</v>
      </c>
      <c r="FS297" s="117">
        <f t="shared" si="715"/>
        <v>0</v>
      </c>
      <c r="FT297" s="117">
        <f t="shared" si="715"/>
        <v>0</v>
      </c>
      <c r="FU297" s="117">
        <f t="shared" si="715"/>
        <v>0</v>
      </c>
      <c r="FV297" s="117">
        <f t="shared" si="715"/>
        <v>0</v>
      </c>
      <c r="FW297" s="117">
        <f t="shared" si="715"/>
        <v>0</v>
      </c>
      <c r="FX297" s="117">
        <f t="shared" si="715"/>
        <v>0</v>
      </c>
      <c r="FY297" s="117">
        <f t="shared" si="715"/>
        <v>0</v>
      </c>
      <c r="FZ297" s="117">
        <f t="shared" si="715"/>
        <v>0</v>
      </c>
      <c r="GA297" s="117">
        <f t="shared" si="715"/>
        <v>0</v>
      </c>
      <c r="GB297" s="116">
        <f t="shared" si="715"/>
        <v>0</v>
      </c>
    </row>
    <row r="298" spans="1:184">
      <c r="A298" s="147" t="s">
        <v>307</v>
      </c>
      <c r="B298" s="160">
        <f t="shared" si="607"/>
        <v>-0.786063436849748</v>
      </c>
      <c r="C298" s="117">
        <f t="shared" ref="C298:AH298" si="716">C86/C$211</f>
        <v>0.000554823559995669</v>
      </c>
      <c r="D298" s="117">
        <f t="shared" si="716"/>
        <v>0.000636761820644036</v>
      </c>
      <c r="E298" s="117">
        <f t="shared" si="716"/>
        <v>0.000661206847806049</v>
      </c>
      <c r="F298" s="117">
        <f t="shared" si="716"/>
        <v>0.00141191272887476</v>
      </c>
      <c r="G298" s="117">
        <f t="shared" si="716"/>
        <v>0.000467669158102637</v>
      </c>
      <c r="H298" s="117">
        <f t="shared" si="716"/>
        <v>0.000318393611865412</v>
      </c>
      <c r="I298" s="117">
        <f t="shared" si="716"/>
        <v>0.000226755784887371</v>
      </c>
      <c r="J298" s="117">
        <f t="shared" si="716"/>
        <v>0.000108258442968982</v>
      </c>
      <c r="K298" s="117">
        <f t="shared" si="716"/>
        <v>7.39396993159749e-5</v>
      </c>
      <c r="L298" s="117">
        <f t="shared" si="716"/>
        <v>7.41795188428313e-5</v>
      </c>
      <c r="M298" s="117">
        <f t="shared" si="716"/>
        <v>1.88105538288993e-5</v>
      </c>
      <c r="N298" s="117">
        <f t="shared" si="716"/>
        <v>1.9490283928271e-5</v>
      </c>
      <c r="O298" s="9">
        <f t="shared" si="716"/>
        <v>0.000377844276570618</v>
      </c>
      <c r="P298" s="117">
        <f t="shared" si="716"/>
        <v>0.00109889467993034</v>
      </c>
      <c r="Q298" s="117">
        <f t="shared" si="716"/>
        <v>0.00121546929160206</v>
      </c>
      <c r="R298" s="117">
        <f t="shared" si="716"/>
        <v>0.00136893261893997</v>
      </c>
      <c r="S298" s="117">
        <f t="shared" si="716"/>
        <v>0.00127394862688262</v>
      </c>
      <c r="T298" s="117">
        <f t="shared" si="716"/>
        <v>0.000654867430466926</v>
      </c>
      <c r="U298" s="117">
        <f t="shared" si="716"/>
        <v>0.000529672504021436</v>
      </c>
      <c r="V298" s="117">
        <f t="shared" si="716"/>
        <v>0.000474959231834738</v>
      </c>
      <c r="W298" s="117">
        <f t="shared" si="716"/>
        <v>0.000393542984244546</v>
      </c>
      <c r="X298" s="117">
        <f t="shared" si="716"/>
        <v>0.000402972651243552</v>
      </c>
      <c r="Y298" s="117">
        <f t="shared" si="716"/>
        <v>0.000407714279267921</v>
      </c>
      <c r="Z298" s="117">
        <f t="shared" si="716"/>
        <v>0</v>
      </c>
      <c r="AA298" s="117">
        <f t="shared" si="716"/>
        <v>0</v>
      </c>
      <c r="AB298" s="9">
        <f t="shared" si="716"/>
        <v>0.00064667680903185</v>
      </c>
      <c r="AC298" s="117">
        <f t="shared" si="716"/>
        <v>0.00187527991125873</v>
      </c>
      <c r="AD298" s="117">
        <f t="shared" si="716"/>
        <v>0.00156556596051501</v>
      </c>
      <c r="AE298" s="117">
        <f t="shared" si="716"/>
        <v>0.00110053559967895</v>
      </c>
      <c r="AF298" s="117">
        <f t="shared" si="716"/>
        <v>0.00105655293839849</v>
      </c>
      <c r="AG298" s="117">
        <f t="shared" si="716"/>
        <v>0.00102282371890236</v>
      </c>
      <c r="AH298" s="117">
        <f t="shared" si="716"/>
        <v>0.000756502287916913</v>
      </c>
      <c r="AI298" s="117">
        <f t="shared" ref="AI298:BN298" si="717">AI86/AI$211</f>
        <v>0.000679364473679605</v>
      </c>
      <c r="AJ298" s="117">
        <f t="shared" si="717"/>
        <v>0</v>
      </c>
      <c r="AK298" s="117">
        <f t="shared" si="717"/>
        <v>0</v>
      </c>
      <c r="AL298" s="117">
        <f t="shared" si="717"/>
        <v>0</v>
      </c>
      <c r="AM298" s="117">
        <f t="shared" si="717"/>
        <v>0</v>
      </c>
      <c r="AN298" s="117">
        <f t="shared" si="717"/>
        <v>0</v>
      </c>
      <c r="AO298" s="9">
        <f t="shared" si="717"/>
        <v>0.000606891007731508</v>
      </c>
      <c r="AP298" s="144">
        <f t="shared" si="717"/>
        <v>0.000903775017521992</v>
      </c>
      <c r="AQ298" s="144">
        <f t="shared" si="717"/>
        <v>0.00096187098332365</v>
      </c>
      <c r="AR298" s="144">
        <f t="shared" si="717"/>
        <v>0.000874512070557993</v>
      </c>
      <c r="AS298" s="144">
        <f t="shared" si="717"/>
        <v>0.000904679806964322</v>
      </c>
      <c r="AT298" s="144">
        <f t="shared" si="717"/>
        <v>0.000542270934056726</v>
      </c>
      <c r="AU298" s="144">
        <f t="shared" si="717"/>
        <v>0.000565437760309226</v>
      </c>
      <c r="AV298" s="144">
        <f t="shared" si="717"/>
        <v>0.000233029421315336</v>
      </c>
      <c r="AW298" s="144">
        <f t="shared" si="717"/>
        <v>0.000205310713713104</v>
      </c>
      <c r="AX298" s="144">
        <f t="shared" si="717"/>
        <v>0.000204307727766585</v>
      </c>
      <c r="AY298" s="144">
        <f t="shared" si="717"/>
        <v>0.000218663794670894</v>
      </c>
      <c r="AZ298" s="144">
        <f t="shared" si="717"/>
        <v>0.000210307320258334</v>
      </c>
      <c r="BA298" s="144">
        <f t="shared" si="717"/>
        <v>0.000197268326374042</v>
      </c>
      <c r="BB298" s="9">
        <f t="shared" si="717"/>
        <v>0.000482154995849734</v>
      </c>
      <c r="BC298" s="144">
        <f t="shared" si="717"/>
        <v>0.000192686959940341</v>
      </c>
      <c r="BD298" s="144">
        <f t="shared" si="717"/>
        <v>0.000234739200929855</v>
      </c>
      <c r="BE298" s="144">
        <f t="shared" si="717"/>
        <v>0.000205166086757011</v>
      </c>
      <c r="BF298" s="144">
        <f t="shared" si="717"/>
        <v>0.000117888885955898</v>
      </c>
      <c r="BG298" s="144">
        <f t="shared" si="717"/>
        <v>0.00020762545576313</v>
      </c>
      <c r="BH298" s="144">
        <f t="shared" si="717"/>
        <v>0.000160756969778842</v>
      </c>
      <c r="BI298" s="144">
        <f t="shared" si="717"/>
        <v>0.000132384523328607</v>
      </c>
      <c r="BJ298" s="144">
        <f t="shared" si="717"/>
        <v>0.000117617542886643</v>
      </c>
      <c r="BK298" s="144">
        <f t="shared" si="717"/>
        <v>0</v>
      </c>
      <c r="BL298" s="144">
        <f t="shared" si="717"/>
        <v>0</v>
      </c>
      <c r="BM298" s="144">
        <f t="shared" si="717"/>
        <v>0</v>
      </c>
      <c r="BN298" s="144">
        <f t="shared" si="717"/>
        <v>0</v>
      </c>
      <c r="BO298" s="9">
        <f t="shared" ref="BO298:CT298" si="718">BO86/BO$211</f>
        <v>0.000113514016979071</v>
      </c>
      <c r="BP298" s="144">
        <f t="shared" si="718"/>
        <v>0</v>
      </c>
      <c r="BQ298" s="144">
        <f t="shared" si="718"/>
        <v>2.86042848277529e-5</v>
      </c>
      <c r="BR298" s="144">
        <f t="shared" si="718"/>
        <v>0.000163344403081796</v>
      </c>
      <c r="BS298" s="144">
        <f t="shared" si="718"/>
        <v>2.20147438130976e-5</v>
      </c>
      <c r="BT298" s="144">
        <f t="shared" si="718"/>
        <v>7.73900030636811e-5</v>
      </c>
      <c r="BU298" s="144">
        <f t="shared" si="718"/>
        <v>0</v>
      </c>
      <c r="BV298" s="144">
        <f t="shared" si="718"/>
        <v>0</v>
      </c>
      <c r="BW298" s="144">
        <f t="shared" si="718"/>
        <v>0</v>
      </c>
      <c r="BX298" s="144">
        <f t="shared" si="718"/>
        <v>0</v>
      </c>
      <c r="BY298" s="144">
        <f t="shared" si="718"/>
        <v>0</v>
      </c>
      <c r="BZ298" s="144">
        <f t="shared" si="718"/>
        <v>0</v>
      </c>
      <c r="CA298" s="144">
        <f t="shared" si="718"/>
        <v>0</v>
      </c>
      <c r="CB298" s="9">
        <f t="shared" si="718"/>
        <v>2.483111909298e-5</v>
      </c>
      <c r="CC298" s="144">
        <f t="shared" si="718"/>
        <v>0</v>
      </c>
      <c r="CD298" s="144">
        <f t="shared" si="718"/>
        <v>0</v>
      </c>
      <c r="CE298" s="144">
        <f t="shared" si="718"/>
        <v>0</v>
      </c>
      <c r="CF298" s="144">
        <f t="shared" si="718"/>
        <v>0.000995439427701557</v>
      </c>
      <c r="CG298" s="144">
        <f t="shared" si="718"/>
        <v>0.00145252814672961</v>
      </c>
      <c r="CH298" s="144">
        <f t="shared" si="718"/>
        <v>0</v>
      </c>
      <c r="CI298" s="144">
        <f t="shared" si="718"/>
        <v>0</v>
      </c>
      <c r="CJ298" s="144">
        <f t="shared" si="718"/>
        <v>0</v>
      </c>
      <c r="CK298" s="144">
        <f t="shared" si="718"/>
        <v>0</v>
      </c>
      <c r="CL298" s="144">
        <f t="shared" si="718"/>
        <v>0</v>
      </c>
      <c r="CM298" s="144">
        <f t="shared" si="718"/>
        <v>0</v>
      </c>
      <c r="CN298" s="144">
        <f t="shared" si="718"/>
        <v>0</v>
      </c>
      <c r="CO298" s="9">
        <f t="shared" si="718"/>
        <v>0.000213062873223608</v>
      </c>
      <c r="CP298" s="144">
        <f t="shared" si="718"/>
        <v>0.000653002558860157</v>
      </c>
      <c r="CQ298" s="144">
        <f t="shared" si="718"/>
        <v>0.00044029467914972</v>
      </c>
      <c r="CR298" s="144">
        <f t="shared" si="718"/>
        <v>0.000660644389272719</v>
      </c>
      <c r="CS298" s="144">
        <f t="shared" si="718"/>
        <v>0.000477652703439151</v>
      </c>
      <c r="CT298" s="144">
        <f t="shared" si="718"/>
        <v>0.000371371056451192</v>
      </c>
      <c r="CU298" s="144">
        <f t="shared" ref="CU298:EB298" si="719">CU86/CU$211</f>
        <v>0.000530406293883137</v>
      </c>
      <c r="CV298" s="144">
        <f t="shared" si="719"/>
        <v>0.000404768602885901</v>
      </c>
      <c r="CW298" s="144">
        <f t="shared" si="719"/>
        <v>0</v>
      </c>
      <c r="CX298" s="144">
        <f t="shared" si="719"/>
        <v>0</v>
      </c>
      <c r="CY298" s="144">
        <f t="shared" si="719"/>
        <v>0</v>
      </c>
      <c r="CZ298" s="144">
        <f t="shared" si="719"/>
        <v>0</v>
      </c>
      <c r="DA298" s="144">
        <f t="shared" si="719"/>
        <v>0</v>
      </c>
      <c r="DB298" s="9">
        <f t="shared" si="719"/>
        <v>0.000307496795039087</v>
      </c>
      <c r="DC298" s="144">
        <f t="shared" si="719"/>
        <v>0.000598092002474866</v>
      </c>
      <c r="DD298" s="144">
        <f t="shared" si="719"/>
        <v>0.00693867302813457</v>
      </c>
      <c r="DE298" s="144">
        <f t="shared" si="719"/>
        <v>0.000565202998674995</v>
      </c>
      <c r="DF298" s="144">
        <f t="shared" si="719"/>
        <v>0.000568438638489517</v>
      </c>
      <c r="DG298" s="144">
        <f t="shared" si="719"/>
        <v>0.000897060095371689</v>
      </c>
      <c r="DH298" s="144">
        <f t="shared" si="719"/>
        <v>0.000607781363133216</v>
      </c>
      <c r="DI298" s="144">
        <f t="shared" si="719"/>
        <v>0.000586124355342846</v>
      </c>
      <c r="DJ298" s="144">
        <f t="shared" si="719"/>
        <v>0.000572488010075236</v>
      </c>
      <c r="DK298" s="144">
        <f t="shared" si="719"/>
        <v>0.000286526407145719</v>
      </c>
      <c r="DL298" s="144">
        <f t="shared" si="719"/>
        <v>0.000283096183295889</v>
      </c>
      <c r="DM298" s="144">
        <f t="shared" si="719"/>
        <v>0.000314806034998979</v>
      </c>
      <c r="DN298" s="144">
        <f t="shared" si="719"/>
        <v>0.000285303755465738</v>
      </c>
      <c r="DO298" s="9">
        <f t="shared" si="719"/>
        <v>0.00126792335893018</v>
      </c>
      <c r="DP298" s="144">
        <f t="shared" si="719"/>
        <v>0.00184900494031445</v>
      </c>
      <c r="DQ298" s="144">
        <f t="shared" si="719"/>
        <v>0.00205924201830169</v>
      </c>
      <c r="DR298" s="144">
        <f t="shared" si="719"/>
        <v>0.0016444537264388</v>
      </c>
      <c r="DS298" s="144">
        <f t="shared" si="719"/>
        <v>0.0101959974685966</v>
      </c>
      <c r="DT298" s="144">
        <f t="shared" si="719"/>
        <v>0.000985267101882273</v>
      </c>
      <c r="DU298" s="144">
        <f t="shared" si="719"/>
        <v>0.000483442745259212</v>
      </c>
      <c r="DV298" s="144">
        <f t="shared" si="719"/>
        <v>0.000271890110386118</v>
      </c>
      <c r="DW298" s="144">
        <f t="shared" si="719"/>
        <v>0.000189473241961769</v>
      </c>
      <c r="DX298" s="144">
        <f t="shared" si="719"/>
        <v>0</v>
      </c>
      <c r="DY298" s="144">
        <f t="shared" si="719"/>
        <v>0</v>
      </c>
      <c r="DZ298" s="144">
        <f t="shared" si="719"/>
        <v>0</v>
      </c>
      <c r="EA298" s="144">
        <f t="shared" si="719"/>
        <v>0</v>
      </c>
      <c r="EB298" s="117">
        <f t="shared" si="719"/>
        <v>0.00162448753978382</v>
      </c>
      <c r="EC298" s="118"/>
      <c r="ED298" s="117">
        <f t="shared" ref="ED298:FB298" si="720">ED86/ED$211</f>
        <v>0</v>
      </c>
      <c r="EE298" s="117">
        <f t="shared" si="720"/>
        <v>0</v>
      </c>
      <c r="EF298" s="117">
        <f t="shared" si="720"/>
        <v>0</v>
      </c>
      <c r="EG298" s="117" t="e">
        <f t="shared" si="720"/>
        <v>#DIV/0!</v>
      </c>
      <c r="EH298" s="117" t="e">
        <f t="shared" si="720"/>
        <v>#DIV/0!</v>
      </c>
      <c r="EI298" s="117" t="e">
        <f t="shared" si="720"/>
        <v>#DIV/0!</v>
      </c>
      <c r="EJ298" s="117" t="e">
        <f t="shared" si="720"/>
        <v>#DIV/0!</v>
      </c>
      <c r="EK298" s="117" t="e">
        <f t="shared" si="720"/>
        <v>#DIV/0!</v>
      </c>
      <c r="EL298" s="117" t="e">
        <f t="shared" si="720"/>
        <v>#DIV/0!</v>
      </c>
      <c r="EM298" s="117" t="e">
        <f t="shared" si="720"/>
        <v>#DIV/0!</v>
      </c>
      <c r="EN298" s="117" t="e">
        <f t="shared" si="720"/>
        <v>#DIV/0!</v>
      </c>
      <c r="EO298" s="116">
        <f t="shared" si="720"/>
        <v>0</v>
      </c>
      <c r="EP298" s="117">
        <f t="shared" si="720"/>
        <v>0</v>
      </c>
      <c r="EQ298" s="117">
        <f t="shared" si="720"/>
        <v>0.000346971646456956</v>
      </c>
      <c r="ER298" s="117">
        <f t="shared" si="720"/>
        <v>0.00154692401284747</v>
      </c>
      <c r="ES298" s="117">
        <f t="shared" si="720"/>
        <v>0.000912070323982977</v>
      </c>
      <c r="ET298" s="117">
        <f t="shared" si="720"/>
        <v>0.000973146676824547</v>
      </c>
      <c r="EU298" s="117">
        <f t="shared" si="720"/>
        <v>0.000823454531801775</v>
      </c>
      <c r="EV298" s="117">
        <f t="shared" si="720"/>
        <v>0.00055333401294127</v>
      </c>
      <c r="EW298" s="117">
        <f t="shared" si="720"/>
        <v>0.00042158438378025</v>
      </c>
      <c r="EX298" s="117">
        <f t="shared" si="720"/>
        <v>0</v>
      </c>
      <c r="EY298" s="117">
        <f t="shared" si="720"/>
        <v>0</v>
      </c>
      <c r="EZ298" s="117">
        <f t="shared" si="720"/>
        <v>0</v>
      </c>
      <c r="FA298" s="117">
        <f t="shared" si="720"/>
        <v>0</v>
      </c>
      <c r="FB298" s="117">
        <f t="shared" si="720"/>
        <v>0.000452219823553601</v>
      </c>
      <c r="FC298" s="118"/>
      <c r="FD298" s="117"/>
      <c r="FE298" s="117"/>
      <c r="FF298" s="117"/>
      <c r="FG298" s="117"/>
      <c r="FH298" s="117"/>
      <c r="FI298" s="117"/>
      <c r="FJ298" s="117"/>
      <c r="FK298" s="117" t="e">
        <f t="shared" si="601"/>
        <v>#DIV/0!</v>
      </c>
      <c r="FL298" s="117" t="e">
        <f t="shared" si="602"/>
        <v>#DIV/0!</v>
      </c>
      <c r="FM298" s="117" t="e">
        <f t="shared" si="603"/>
        <v>#DIV/0!</v>
      </c>
      <c r="FN298" s="117" t="e">
        <f t="shared" si="604"/>
        <v>#DIV/0!</v>
      </c>
      <c r="FO298" s="9" t="e">
        <f t="shared" si="605"/>
        <v>#DIV/0!</v>
      </c>
      <c r="FP298" s="118">
        <f t="shared" ref="FP298:GB298" si="721">FP86/FP$211</f>
        <v>0.000106856879489625</v>
      </c>
      <c r="FQ298" s="117">
        <f t="shared" si="721"/>
        <v>0.000108908466152137</v>
      </c>
      <c r="FR298" s="117">
        <f t="shared" si="721"/>
        <v>0.000294982270954747</v>
      </c>
      <c r="FS298" s="117">
        <f t="shared" si="721"/>
        <v>0.000132768297064799</v>
      </c>
      <c r="FT298" s="117">
        <f t="shared" si="721"/>
        <v>0.000147733328854053</v>
      </c>
      <c r="FU298" s="117">
        <f t="shared" si="721"/>
        <v>0</v>
      </c>
      <c r="FV298" s="117">
        <f t="shared" si="721"/>
        <v>0</v>
      </c>
      <c r="FW298" s="117">
        <f t="shared" si="721"/>
        <v>0</v>
      </c>
      <c r="FX298" s="117">
        <f t="shared" si="721"/>
        <v>0</v>
      </c>
      <c r="FY298" s="117">
        <f t="shared" si="721"/>
        <v>0</v>
      </c>
      <c r="FZ298" s="117">
        <f t="shared" si="721"/>
        <v>0</v>
      </c>
      <c r="GA298" s="117">
        <f t="shared" si="721"/>
        <v>0</v>
      </c>
      <c r="GB298" s="116">
        <f t="shared" si="721"/>
        <v>6.96878909228154e-5</v>
      </c>
    </row>
    <row r="299" spans="1:184">
      <c r="A299" s="147" t="s">
        <v>199</v>
      </c>
      <c r="B299" s="160">
        <f t="shared" si="607"/>
        <v>-0.954544876062599</v>
      </c>
      <c r="C299" s="117">
        <f t="shared" ref="C299:AH299" si="722">C87/C$211</f>
        <v>1.48575112693193e-6</v>
      </c>
      <c r="D299" s="117">
        <f t="shared" si="722"/>
        <v>2.04949737074767e-6</v>
      </c>
      <c r="E299" s="117">
        <f t="shared" si="722"/>
        <v>3.55981009336966e-6</v>
      </c>
      <c r="F299" s="117">
        <f t="shared" si="722"/>
        <v>1.8786169650153e-6</v>
      </c>
      <c r="G299" s="117">
        <f t="shared" si="722"/>
        <v>0</v>
      </c>
      <c r="H299" s="117">
        <f t="shared" si="722"/>
        <v>0</v>
      </c>
      <c r="I299" s="117">
        <f t="shared" si="722"/>
        <v>0</v>
      </c>
      <c r="J299" s="117">
        <f t="shared" si="722"/>
        <v>0</v>
      </c>
      <c r="K299" s="117">
        <f t="shared" si="722"/>
        <v>0</v>
      </c>
      <c r="L299" s="117">
        <f t="shared" si="722"/>
        <v>0</v>
      </c>
      <c r="M299" s="117">
        <f t="shared" si="722"/>
        <v>0</v>
      </c>
      <c r="N299" s="117">
        <f t="shared" si="722"/>
        <v>0</v>
      </c>
      <c r="O299" s="9">
        <f t="shared" si="722"/>
        <v>8.06344698432757e-7</v>
      </c>
      <c r="P299" s="117">
        <f t="shared" si="722"/>
        <v>0</v>
      </c>
      <c r="Q299" s="117">
        <f t="shared" si="722"/>
        <v>0</v>
      </c>
      <c r="R299" s="117">
        <f t="shared" si="722"/>
        <v>0</v>
      </c>
      <c r="S299" s="117">
        <f t="shared" si="722"/>
        <v>0</v>
      </c>
      <c r="T299" s="117">
        <f t="shared" si="722"/>
        <v>0</v>
      </c>
      <c r="U299" s="117">
        <f t="shared" si="722"/>
        <v>0</v>
      </c>
      <c r="V299" s="117">
        <f t="shared" si="722"/>
        <v>0</v>
      </c>
      <c r="W299" s="117">
        <f t="shared" si="722"/>
        <v>0</v>
      </c>
      <c r="X299" s="117">
        <f t="shared" si="722"/>
        <v>0</v>
      </c>
      <c r="Y299" s="117">
        <f t="shared" si="722"/>
        <v>0</v>
      </c>
      <c r="Z299" s="117">
        <f t="shared" si="722"/>
        <v>0</v>
      </c>
      <c r="AA299" s="117">
        <f t="shared" si="722"/>
        <v>0</v>
      </c>
      <c r="AB299" s="9">
        <f t="shared" si="722"/>
        <v>0</v>
      </c>
      <c r="AC299" s="117">
        <f t="shared" si="722"/>
        <v>0</v>
      </c>
      <c r="AD299" s="117">
        <f t="shared" si="722"/>
        <v>0</v>
      </c>
      <c r="AE299" s="117">
        <f t="shared" si="722"/>
        <v>0</v>
      </c>
      <c r="AF299" s="117">
        <f t="shared" si="722"/>
        <v>0</v>
      </c>
      <c r="AG299" s="117">
        <f t="shared" si="722"/>
        <v>0</v>
      </c>
      <c r="AH299" s="117">
        <f t="shared" si="722"/>
        <v>0</v>
      </c>
      <c r="AI299" s="117">
        <f t="shared" ref="AI299:BN299" si="723">AI87/AI$211</f>
        <v>0</v>
      </c>
      <c r="AJ299" s="117">
        <f t="shared" si="723"/>
        <v>0</v>
      </c>
      <c r="AK299" s="117">
        <f t="shared" si="723"/>
        <v>0</v>
      </c>
      <c r="AL299" s="117">
        <f t="shared" si="723"/>
        <v>0</v>
      </c>
      <c r="AM299" s="117">
        <f t="shared" si="723"/>
        <v>0</v>
      </c>
      <c r="AN299" s="117">
        <f t="shared" si="723"/>
        <v>0</v>
      </c>
      <c r="AO299" s="9">
        <f t="shared" si="723"/>
        <v>0</v>
      </c>
      <c r="AP299" s="144">
        <f t="shared" si="723"/>
        <v>0</v>
      </c>
      <c r="AQ299" s="144">
        <f t="shared" si="723"/>
        <v>9.32464618917502e-6</v>
      </c>
      <c r="AR299" s="144">
        <f t="shared" si="723"/>
        <v>0</v>
      </c>
      <c r="AS299" s="144">
        <f t="shared" si="723"/>
        <v>0</v>
      </c>
      <c r="AT299" s="144">
        <f t="shared" si="723"/>
        <v>0</v>
      </c>
      <c r="AU299" s="144">
        <f t="shared" si="723"/>
        <v>0</v>
      </c>
      <c r="AV299" s="144">
        <f t="shared" si="723"/>
        <v>0</v>
      </c>
      <c r="AW299" s="144">
        <f t="shared" si="723"/>
        <v>0</v>
      </c>
      <c r="AX299" s="144">
        <f t="shared" si="723"/>
        <v>0</v>
      </c>
      <c r="AY299" s="144">
        <f t="shared" si="723"/>
        <v>0</v>
      </c>
      <c r="AZ299" s="144">
        <f t="shared" si="723"/>
        <v>0</v>
      </c>
      <c r="BA299" s="144">
        <f t="shared" si="723"/>
        <v>0</v>
      </c>
      <c r="BB299" s="9">
        <f t="shared" si="723"/>
        <v>7.22732015024584e-7</v>
      </c>
      <c r="BC299" s="144">
        <f t="shared" si="723"/>
        <v>0</v>
      </c>
      <c r="BD299" s="144">
        <f t="shared" si="723"/>
        <v>0</v>
      </c>
      <c r="BE299" s="144">
        <f t="shared" si="723"/>
        <v>0</v>
      </c>
      <c r="BF299" s="144">
        <f t="shared" si="723"/>
        <v>0</v>
      </c>
      <c r="BG299" s="144">
        <f t="shared" si="723"/>
        <v>0</v>
      </c>
      <c r="BH299" s="144">
        <f t="shared" si="723"/>
        <v>0</v>
      </c>
      <c r="BI299" s="144">
        <f t="shared" si="723"/>
        <v>0</v>
      </c>
      <c r="BJ299" s="144">
        <f t="shared" si="723"/>
        <v>0</v>
      </c>
      <c r="BK299" s="144">
        <f t="shared" si="723"/>
        <v>0</v>
      </c>
      <c r="BL299" s="144">
        <f t="shared" si="723"/>
        <v>0</v>
      </c>
      <c r="BM299" s="144">
        <f t="shared" si="723"/>
        <v>0</v>
      </c>
      <c r="BN299" s="144">
        <f t="shared" si="723"/>
        <v>0</v>
      </c>
      <c r="BO299" s="9">
        <f t="shared" ref="BO299:CT299" si="724">BO87/BO$211</f>
        <v>0</v>
      </c>
      <c r="BP299" s="144">
        <f t="shared" si="724"/>
        <v>3.390036121053e-6</v>
      </c>
      <c r="BQ299" s="144">
        <f t="shared" si="724"/>
        <v>4.05324363803835e-6</v>
      </c>
      <c r="BR299" s="144">
        <f t="shared" si="724"/>
        <v>9.55231648588665e-6</v>
      </c>
      <c r="BS299" s="144">
        <f t="shared" si="724"/>
        <v>5.79335320105612e-6</v>
      </c>
      <c r="BT299" s="144">
        <f t="shared" si="724"/>
        <v>0</v>
      </c>
      <c r="BU299" s="144">
        <f t="shared" si="724"/>
        <v>0</v>
      </c>
      <c r="BV299" s="144">
        <f t="shared" si="724"/>
        <v>0</v>
      </c>
      <c r="BW299" s="144">
        <f t="shared" si="724"/>
        <v>0</v>
      </c>
      <c r="BX299" s="144">
        <f t="shared" si="724"/>
        <v>0</v>
      </c>
      <c r="BY299" s="144">
        <f t="shared" si="724"/>
        <v>0</v>
      </c>
      <c r="BZ299" s="144">
        <f t="shared" si="724"/>
        <v>0</v>
      </c>
      <c r="CA299" s="144">
        <f t="shared" si="724"/>
        <v>0</v>
      </c>
      <c r="CB299" s="9">
        <f t="shared" si="724"/>
        <v>2.19483538159098e-6</v>
      </c>
      <c r="CC299" s="144">
        <f t="shared" si="724"/>
        <v>2.08170636656268e-5</v>
      </c>
      <c r="CD299" s="144">
        <f t="shared" si="724"/>
        <v>0</v>
      </c>
      <c r="CE299" s="144">
        <f t="shared" si="724"/>
        <v>0</v>
      </c>
      <c r="CF299" s="144">
        <f t="shared" si="724"/>
        <v>0</v>
      </c>
      <c r="CG299" s="144">
        <f t="shared" si="724"/>
        <v>0</v>
      </c>
      <c r="CH299" s="144">
        <f t="shared" si="724"/>
        <v>0</v>
      </c>
      <c r="CI299" s="144">
        <f t="shared" si="724"/>
        <v>0</v>
      </c>
      <c r="CJ299" s="144">
        <f t="shared" si="724"/>
        <v>0</v>
      </c>
      <c r="CK299" s="144">
        <f t="shared" si="724"/>
        <v>0</v>
      </c>
      <c r="CL299" s="144">
        <f t="shared" si="724"/>
        <v>0</v>
      </c>
      <c r="CM299" s="144">
        <f t="shared" si="724"/>
        <v>0</v>
      </c>
      <c r="CN299" s="144">
        <f t="shared" si="724"/>
        <v>0</v>
      </c>
      <c r="CO299" s="9">
        <f t="shared" si="724"/>
        <v>2.54405192971799e-6</v>
      </c>
      <c r="CP299" s="144">
        <f t="shared" si="724"/>
        <v>0</v>
      </c>
      <c r="CQ299" s="144">
        <f t="shared" si="724"/>
        <v>0</v>
      </c>
      <c r="CR299" s="144">
        <f t="shared" si="724"/>
        <v>0</v>
      </c>
      <c r="CS299" s="144">
        <f t="shared" si="724"/>
        <v>0</v>
      </c>
      <c r="CT299" s="144">
        <f t="shared" si="724"/>
        <v>0</v>
      </c>
      <c r="CU299" s="144">
        <f t="shared" ref="CU299:EB299" si="725">CU87/CU$211</f>
        <v>0</v>
      </c>
      <c r="CV299" s="144">
        <f t="shared" si="725"/>
        <v>0</v>
      </c>
      <c r="CW299" s="144">
        <f t="shared" si="725"/>
        <v>0</v>
      </c>
      <c r="CX299" s="144">
        <f t="shared" si="725"/>
        <v>0</v>
      </c>
      <c r="CY299" s="144">
        <f t="shared" si="725"/>
        <v>0</v>
      </c>
      <c r="CZ299" s="144">
        <f t="shared" si="725"/>
        <v>0</v>
      </c>
      <c r="DA299" s="144">
        <f t="shared" si="725"/>
        <v>0</v>
      </c>
      <c r="DB299" s="9">
        <f t="shared" si="725"/>
        <v>0</v>
      </c>
      <c r="DC299" s="144">
        <f t="shared" si="725"/>
        <v>0</v>
      </c>
      <c r="DD299" s="144">
        <f t="shared" si="725"/>
        <v>0</v>
      </c>
      <c r="DE299" s="144">
        <f t="shared" si="725"/>
        <v>0.000188084883788058</v>
      </c>
      <c r="DF299" s="144">
        <f t="shared" si="725"/>
        <v>0</v>
      </c>
      <c r="DG299" s="144">
        <f t="shared" si="725"/>
        <v>0</v>
      </c>
      <c r="DH299" s="144">
        <f t="shared" si="725"/>
        <v>0</v>
      </c>
      <c r="DI299" s="144">
        <f t="shared" si="725"/>
        <v>0</v>
      </c>
      <c r="DJ299" s="144">
        <f t="shared" si="725"/>
        <v>0</v>
      </c>
      <c r="DK299" s="144">
        <f t="shared" si="725"/>
        <v>0</v>
      </c>
      <c r="DL299" s="144">
        <f t="shared" si="725"/>
        <v>0</v>
      </c>
      <c r="DM299" s="144">
        <f t="shared" si="725"/>
        <v>0</v>
      </c>
      <c r="DN299" s="144">
        <f t="shared" si="725"/>
        <v>0</v>
      </c>
      <c r="DO299" s="9">
        <f t="shared" si="725"/>
        <v>1.52788614371674e-5</v>
      </c>
      <c r="DP299" s="144">
        <f t="shared" si="725"/>
        <v>0</v>
      </c>
      <c r="DQ299" s="144">
        <f t="shared" si="725"/>
        <v>0</v>
      </c>
      <c r="DR299" s="144">
        <f t="shared" si="725"/>
        <v>0</v>
      </c>
      <c r="DS299" s="144">
        <f t="shared" si="725"/>
        <v>0</v>
      </c>
      <c r="DT299" s="144">
        <f t="shared" si="725"/>
        <v>0</v>
      </c>
      <c r="DU299" s="144">
        <f t="shared" si="725"/>
        <v>0</v>
      </c>
      <c r="DV299" s="144">
        <f t="shared" si="725"/>
        <v>0</v>
      </c>
      <c r="DW299" s="144">
        <f t="shared" si="725"/>
        <v>0</v>
      </c>
      <c r="DX299" s="144">
        <f t="shared" si="725"/>
        <v>0</v>
      </c>
      <c r="DY299" s="144">
        <f t="shared" si="725"/>
        <v>0</v>
      </c>
      <c r="DZ299" s="144">
        <f t="shared" si="725"/>
        <v>0</v>
      </c>
      <c r="EA299" s="144">
        <f t="shared" si="725"/>
        <v>0</v>
      </c>
      <c r="EB299" s="117">
        <f t="shared" si="725"/>
        <v>0</v>
      </c>
      <c r="EC299" s="118"/>
      <c r="ED299" s="117">
        <f t="shared" ref="ED299:FB299" si="726">ED87/ED$211</f>
        <v>0</v>
      </c>
      <c r="EE299" s="117">
        <f t="shared" si="726"/>
        <v>0</v>
      </c>
      <c r="EF299" s="117">
        <f t="shared" si="726"/>
        <v>0</v>
      </c>
      <c r="EG299" s="117" t="e">
        <f t="shared" si="726"/>
        <v>#DIV/0!</v>
      </c>
      <c r="EH299" s="117" t="e">
        <f t="shared" si="726"/>
        <v>#DIV/0!</v>
      </c>
      <c r="EI299" s="117" t="e">
        <f t="shared" si="726"/>
        <v>#DIV/0!</v>
      </c>
      <c r="EJ299" s="117" t="e">
        <f t="shared" si="726"/>
        <v>#DIV/0!</v>
      </c>
      <c r="EK299" s="117" t="e">
        <f t="shared" si="726"/>
        <v>#DIV/0!</v>
      </c>
      <c r="EL299" s="117" t="e">
        <f t="shared" si="726"/>
        <v>#DIV/0!</v>
      </c>
      <c r="EM299" s="117" t="e">
        <f t="shared" si="726"/>
        <v>#DIV/0!</v>
      </c>
      <c r="EN299" s="117" t="e">
        <f t="shared" si="726"/>
        <v>#DIV/0!</v>
      </c>
      <c r="EO299" s="116">
        <f t="shared" si="726"/>
        <v>0</v>
      </c>
      <c r="EP299" s="117">
        <f t="shared" si="726"/>
        <v>0</v>
      </c>
      <c r="EQ299" s="117">
        <f t="shared" si="726"/>
        <v>0</v>
      </c>
      <c r="ER299" s="117">
        <f t="shared" si="726"/>
        <v>0</v>
      </c>
      <c r="ES299" s="117">
        <f t="shared" si="726"/>
        <v>0</v>
      </c>
      <c r="ET299" s="117">
        <f t="shared" si="726"/>
        <v>0</v>
      </c>
      <c r="EU299" s="117">
        <f t="shared" si="726"/>
        <v>0</v>
      </c>
      <c r="EV299" s="117">
        <f t="shared" si="726"/>
        <v>0</v>
      </c>
      <c r="EW299" s="117">
        <f t="shared" si="726"/>
        <v>0</v>
      </c>
      <c r="EX299" s="117">
        <f t="shared" si="726"/>
        <v>0</v>
      </c>
      <c r="EY299" s="117">
        <f t="shared" si="726"/>
        <v>0</v>
      </c>
      <c r="EZ299" s="117">
        <f t="shared" si="726"/>
        <v>0</v>
      </c>
      <c r="FA299" s="117">
        <f t="shared" si="726"/>
        <v>0</v>
      </c>
      <c r="FB299" s="117">
        <f t="shared" si="726"/>
        <v>0</v>
      </c>
      <c r="FC299" s="118"/>
      <c r="FD299" s="117"/>
      <c r="FE299" s="117"/>
      <c r="FF299" s="117"/>
      <c r="FG299" s="117"/>
      <c r="FH299" s="117"/>
      <c r="FI299" s="117"/>
      <c r="FJ299" s="117"/>
      <c r="FK299" s="117" t="e">
        <f t="shared" si="601"/>
        <v>#DIV/0!</v>
      </c>
      <c r="FL299" s="117" t="e">
        <f t="shared" si="602"/>
        <v>#DIV/0!</v>
      </c>
      <c r="FM299" s="117" t="e">
        <f t="shared" si="603"/>
        <v>#DIV/0!</v>
      </c>
      <c r="FN299" s="117" t="e">
        <f t="shared" si="604"/>
        <v>#DIV/0!</v>
      </c>
      <c r="FO299" s="9" t="e">
        <f t="shared" si="605"/>
        <v>#DIV/0!</v>
      </c>
      <c r="FP299" s="118">
        <f t="shared" ref="FP299:GB299" si="727">FP87/FP$211</f>
        <v>1.20003464071561e-6</v>
      </c>
      <c r="FQ299" s="117">
        <f t="shared" si="727"/>
        <v>2.49769316035531e-6</v>
      </c>
      <c r="FR299" s="117">
        <f t="shared" si="727"/>
        <v>0</v>
      </c>
      <c r="FS299" s="117">
        <f t="shared" si="727"/>
        <v>3.27037131843266e-6</v>
      </c>
      <c r="FT299" s="117">
        <f t="shared" si="727"/>
        <v>0</v>
      </c>
      <c r="FU299" s="117">
        <f t="shared" si="727"/>
        <v>0</v>
      </c>
      <c r="FV299" s="117">
        <f t="shared" si="727"/>
        <v>0</v>
      </c>
      <c r="FW299" s="117">
        <f t="shared" si="727"/>
        <v>0</v>
      </c>
      <c r="FX299" s="117">
        <f t="shared" si="727"/>
        <v>0</v>
      </c>
      <c r="FY299" s="117">
        <f t="shared" si="727"/>
        <v>0</v>
      </c>
      <c r="FZ299" s="117">
        <f t="shared" si="727"/>
        <v>0</v>
      </c>
      <c r="GA299" s="117">
        <f t="shared" si="727"/>
        <v>0</v>
      </c>
      <c r="GB299" s="116">
        <f t="shared" si="727"/>
        <v>6.34097559068842e-7</v>
      </c>
    </row>
    <row r="300" spans="1:184">
      <c r="A300" s="147" t="s">
        <v>201</v>
      </c>
      <c r="B300" s="160">
        <f t="shared" si="607"/>
        <v>-1</v>
      </c>
      <c r="C300" s="117">
        <f t="shared" ref="C300:AH300" si="728">C88/C$211</f>
        <v>0</v>
      </c>
      <c r="D300" s="117">
        <f t="shared" si="728"/>
        <v>0</v>
      </c>
      <c r="E300" s="117">
        <f t="shared" si="728"/>
        <v>0</v>
      </c>
      <c r="F300" s="117">
        <f t="shared" si="728"/>
        <v>0</v>
      </c>
      <c r="G300" s="117">
        <f t="shared" si="728"/>
        <v>0</v>
      </c>
      <c r="H300" s="117">
        <f t="shared" si="728"/>
        <v>0</v>
      </c>
      <c r="I300" s="117">
        <f t="shared" si="728"/>
        <v>0</v>
      </c>
      <c r="J300" s="117">
        <f t="shared" si="728"/>
        <v>0</v>
      </c>
      <c r="K300" s="117">
        <f t="shared" si="728"/>
        <v>0</v>
      </c>
      <c r="L300" s="117">
        <f t="shared" si="728"/>
        <v>0</v>
      </c>
      <c r="M300" s="117">
        <f t="shared" si="728"/>
        <v>0</v>
      </c>
      <c r="N300" s="117">
        <f t="shared" si="728"/>
        <v>0</v>
      </c>
      <c r="O300" s="9">
        <f t="shared" si="728"/>
        <v>0</v>
      </c>
      <c r="P300" s="117">
        <f t="shared" si="728"/>
        <v>0</v>
      </c>
      <c r="Q300" s="117">
        <f t="shared" si="728"/>
        <v>0</v>
      </c>
      <c r="R300" s="117">
        <f t="shared" si="728"/>
        <v>0</v>
      </c>
      <c r="S300" s="117">
        <f t="shared" si="728"/>
        <v>0</v>
      </c>
      <c r="T300" s="117">
        <f t="shared" si="728"/>
        <v>0</v>
      </c>
      <c r="U300" s="117">
        <f t="shared" si="728"/>
        <v>0</v>
      </c>
      <c r="V300" s="117">
        <f t="shared" si="728"/>
        <v>0</v>
      </c>
      <c r="W300" s="117">
        <f t="shared" si="728"/>
        <v>0</v>
      </c>
      <c r="X300" s="117">
        <f t="shared" si="728"/>
        <v>0</v>
      </c>
      <c r="Y300" s="117">
        <f t="shared" si="728"/>
        <v>0</v>
      </c>
      <c r="Z300" s="117">
        <f t="shared" si="728"/>
        <v>0</v>
      </c>
      <c r="AA300" s="117">
        <f t="shared" si="728"/>
        <v>0</v>
      </c>
      <c r="AB300" s="9">
        <f t="shared" si="728"/>
        <v>0</v>
      </c>
      <c r="AC300" s="117">
        <f t="shared" si="728"/>
        <v>0</v>
      </c>
      <c r="AD300" s="117">
        <f t="shared" si="728"/>
        <v>0</v>
      </c>
      <c r="AE300" s="117">
        <f t="shared" si="728"/>
        <v>0</v>
      </c>
      <c r="AF300" s="117">
        <f t="shared" si="728"/>
        <v>0</v>
      </c>
      <c r="AG300" s="117">
        <f t="shared" si="728"/>
        <v>0</v>
      </c>
      <c r="AH300" s="117">
        <f t="shared" si="728"/>
        <v>0</v>
      </c>
      <c r="AI300" s="117">
        <f t="shared" ref="AI300:BN300" si="729">AI88/AI$211</f>
        <v>0</v>
      </c>
      <c r="AJ300" s="117">
        <f t="shared" si="729"/>
        <v>0</v>
      </c>
      <c r="AK300" s="117">
        <f t="shared" si="729"/>
        <v>0</v>
      </c>
      <c r="AL300" s="117">
        <f t="shared" si="729"/>
        <v>0</v>
      </c>
      <c r="AM300" s="117">
        <f t="shared" si="729"/>
        <v>0</v>
      </c>
      <c r="AN300" s="117">
        <f t="shared" si="729"/>
        <v>0</v>
      </c>
      <c r="AO300" s="9">
        <f t="shared" si="729"/>
        <v>0</v>
      </c>
      <c r="AP300" s="144">
        <f t="shared" si="729"/>
        <v>0</v>
      </c>
      <c r="AQ300" s="144">
        <f t="shared" si="729"/>
        <v>0</v>
      </c>
      <c r="AR300" s="144">
        <f t="shared" si="729"/>
        <v>0</v>
      </c>
      <c r="AS300" s="144">
        <f t="shared" si="729"/>
        <v>0</v>
      </c>
      <c r="AT300" s="144">
        <f t="shared" si="729"/>
        <v>0</v>
      </c>
      <c r="AU300" s="144">
        <f t="shared" si="729"/>
        <v>0</v>
      </c>
      <c r="AV300" s="144">
        <f t="shared" si="729"/>
        <v>0</v>
      </c>
      <c r="AW300" s="144">
        <f t="shared" si="729"/>
        <v>0</v>
      </c>
      <c r="AX300" s="144">
        <f t="shared" si="729"/>
        <v>0</v>
      </c>
      <c r="AY300" s="144">
        <f t="shared" si="729"/>
        <v>0</v>
      </c>
      <c r="AZ300" s="144">
        <f t="shared" si="729"/>
        <v>0</v>
      </c>
      <c r="BA300" s="144">
        <f t="shared" si="729"/>
        <v>0</v>
      </c>
      <c r="BB300" s="9">
        <f t="shared" si="729"/>
        <v>0</v>
      </c>
      <c r="BC300" s="144">
        <f t="shared" si="729"/>
        <v>0</v>
      </c>
      <c r="BD300" s="144">
        <f t="shared" si="729"/>
        <v>0</v>
      </c>
      <c r="BE300" s="144">
        <f t="shared" si="729"/>
        <v>0</v>
      </c>
      <c r="BF300" s="144">
        <f t="shared" si="729"/>
        <v>0</v>
      </c>
      <c r="BG300" s="144">
        <f t="shared" si="729"/>
        <v>0</v>
      </c>
      <c r="BH300" s="144">
        <f t="shared" si="729"/>
        <v>0</v>
      </c>
      <c r="BI300" s="144">
        <f t="shared" si="729"/>
        <v>0</v>
      </c>
      <c r="BJ300" s="144">
        <f t="shared" si="729"/>
        <v>0</v>
      </c>
      <c r="BK300" s="144">
        <f t="shared" si="729"/>
        <v>0</v>
      </c>
      <c r="BL300" s="144">
        <f t="shared" si="729"/>
        <v>0</v>
      </c>
      <c r="BM300" s="144">
        <f t="shared" si="729"/>
        <v>0</v>
      </c>
      <c r="BN300" s="144">
        <f t="shared" si="729"/>
        <v>0</v>
      </c>
      <c r="BO300" s="9">
        <f t="shared" ref="BO300:CT300" si="730">BO88/BO$211</f>
        <v>0</v>
      </c>
      <c r="BP300" s="144">
        <f t="shared" si="730"/>
        <v>0</v>
      </c>
      <c r="BQ300" s="144">
        <f t="shared" si="730"/>
        <v>0</v>
      </c>
      <c r="BR300" s="144">
        <f t="shared" si="730"/>
        <v>0</v>
      </c>
      <c r="BS300" s="144">
        <f t="shared" si="730"/>
        <v>0</v>
      </c>
      <c r="BT300" s="144">
        <f t="shared" si="730"/>
        <v>0</v>
      </c>
      <c r="BU300" s="144">
        <f t="shared" si="730"/>
        <v>0</v>
      </c>
      <c r="BV300" s="144">
        <f t="shared" si="730"/>
        <v>0</v>
      </c>
      <c r="BW300" s="144">
        <f t="shared" si="730"/>
        <v>0</v>
      </c>
      <c r="BX300" s="144">
        <f t="shared" si="730"/>
        <v>0</v>
      </c>
      <c r="BY300" s="144">
        <f t="shared" si="730"/>
        <v>0</v>
      </c>
      <c r="BZ300" s="144">
        <f t="shared" si="730"/>
        <v>0</v>
      </c>
      <c r="CA300" s="144">
        <f t="shared" si="730"/>
        <v>0</v>
      </c>
      <c r="CB300" s="9">
        <f t="shared" si="730"/>
        <v>0</v>
      </c>
      <c r="CC300" s="144">
        <f t="shared" si="730"/>
        <v>0</v>
      </c>
      <c r="CD300" s="144">
        <f t="shared" si="730"/>
        <v>0</v>
      </c>
      <c r="CE300" s="144">
        <f t="shared" si="730"/>
        <v>0</v>
      </c>
      <c r="CF300" s="144">
        <f t="shared" si="730"/>
        <v>0</v>
      </c>
      <c r="CG300" s="144">
        <f t="shared" si="730"/>
        <v>0</v>
      </c>
      <c r="CH300" s="144">
        <f t="shared" si="730"/>
        <v>0</v>
      </c>
      <c r="CI300" s="144">
        <f t="shared" si="730"/>
        <v>0</v>
      </c>
      <c r="CJ300" s="144">
        <f t="shared" si="730"/>
        <v>0</v>
      </c>
      <c r="CK300" s="144">
        <f t="shared" si="730"/>
        <v>0</v>
      </c>
      <c r="CL300" s="144">
        <f t="shared" si="730"/>
        <v>0</v>
      </c>
      <c r="CM300" s="144">
        <f t="shared" si="730"/>
        <v>0</v>
      </c>
      <c r="CN300" s="144">
        <f t="shared" si="730"/>
        <v>0</v>
      </c>
      <c r="CO300" s="9">
        <f t="shared" si="730"/>
        <v>0</v>
      </c>
      <c r="CP300" s="144">
        <f t="shared" si="730"/>
        <v>0</v>
      </c>
      <c r="CQ300" s="144">
        <f t="shared" si="730"/>
        <v>0</v>
      </c>
      <c r="CR300" s="144">
        <f t="shared" si="730"/>
        <v>0</v>
      </c>
      <c r="CS300" s="144">
        <f t="shared" si="730"/>
        <v>0</v>
      </c>
      <c r="CT300" s="144">
        <f t="shared" si="730"/>
        <v>0</v>
      </c>
      <c r="CU300" s="144">
        <f t="shared" ref="CU300:EB300" si="731">CU88/CU$211</f>
        <v>0</v>
      </c>
      <c r="CV300" s="144">
        <f t="shared" si="731"/>
        <v>0</v>
      </c>
      <c r="CW300" s="144">
        <f t="shared" si="731"/>
        <v>0</v>
      </c>
      <c r="CX300" s="144">
        <f t="shared" si="731"/>
        <v>0</v>
      </c>
      <c r="CY300" s="144">
        <f t="shared" si="731"/>
        <v>0</v>
      </c>
      <c r="CZ300" s="144">
        <f t="shared" si="731"/>
        <v>0</v>
      </c>
      <c r="DA300" s="144">
        <f t="shared" si="731"/>
        <v>0</v>
      </c>
      <c r="DB300" s="9">
        <f t="shared" si="731"/>
        <v>0</v>
      </c>
      <c r="DC300" s="144">
        <f t="shared" si="731"/>
        <v>0</v>
      </c>
      <c r="DD300" s="144">
        <f t="shared" si="731"/>
        <v>0</v>
      </c>
      <c r="DE300" s="144">
        <f t="shared" si="731"/>
        <v>0</v>
      </c>
      <c r="DF300" s="144">
        <f t="shared" si="731"/>
        <v>0</v>
      </c>
      <c r="DG300" s="144">
        <f t="shared" si="731"/>
        <v>0</v>
      </c>
      <c r="DH300" s="144">
        <f t="shared" si="731"/>
        <v>0</v>
      </c>
      <c r="DI300" s="144">
        <f t="shared" si="731"/>
        <v>0</v>
      </c>
      <c r="DJ300" s="144">
        <f t="shared" si="731"/>
        <v>0</v>
      </c>
      <c r="DK300" s="144">
        <f t="shared" si="731"/>
        <v>0</v>
      </c>
      <c r="DL300" s="144">
        <f t="shared" si="731"/>
        <v>0</v>
      </c>
      <c r="DM300" s="144">
        <f t="shared" si="731"/>
        <v>0</v>
      </c>
      <c r="DN300" s="144">
        <f t="shared" si="731"/>
        <v>0</v>
      </c>
      <c r="DO300" s="9">
        <f t="shared" si="731"/>
        <v>0</v>
      </c>
      <c r="DP300" s="144">
        <f t="shared" si="731"/>
        <v>0</v>
      </c>
      <c r="DQ300" s="144">
        <f t="shared" si="731"/>
        <v>0</v>
      </c>
      <c r="DR300" s="144">
        <f t="shared" si="731"/>
        <v>0</v>
      </c>
      <c r="DS300" s="144">
        <f t="shared" si="731"/>
        <v>0</v>
      </c>
      <c r="DT300" s="144">
        <f t="shared" si="731"/>
        <v>0</v>
      </c>
      <c r="DU300" s="144">
        <f t="shared" si="731"/>
        <v>0</v>
      </c>
      <c r="DV300" s="144">
        <f t="shared" si="731"/>
        <v>0</v>
      </c>
      <c r="DW300" s="144">
        <f t="shared" si="731"/>
        <v>0</v>
      </c>
      <c r="DX300" s="144">
        <f t="shared" si="731"/>
        <v>0</v>
      </c>
      <c r="DY300" s="144">
        <f t="shared" si="731"/>
        <v>0</v>
      </c>
      <c r="DZ300" s="144">
        <f t="shared" si="731"/>
        <v>0</v>
      </c>
      <c r="EA300" s="144">
        <f t="shared" si="731"/>
        <v>0</v>
      </c>
      <c r="EB300" s="117">
        <f t="shared" si="731"/>
        <v>0</v>
      </c>
      <c r="EC300" s="118"/>
      <c r="ED300" s="117">
        <f t="shared" ref="ED300:FB300" si="732">ED88/ED$211</f>
        <v>0</v>
      </c>
      <c r="EE300" s="117">
        <f t="shared" si="732"/>
        <v>0</v>
      </c>
      <c r="EF300" s="117">
        <f t="shared" si="732"/>
        <v>0</v>
      </c>
      <c r="EG300" s="117" t="e">
        <f t="shared" si="732"/>
        <v>#DIV/0!</v>
      </c>
      <c r="EH300" s="117" t="e">
        <f t="shared" si="732"/>
        <v>#DIV/0!</v>
      </c>
      <c r="EI300" s="117" t="e">
        <f t="shared" si="732"/>
        <v>#DIV/0!</v>
      </c>
      <c r="EJ300" s="117" t="e">
        <f t="shared" si="732"/>
        <v>#DIV/0!</v>
      </c>
      <c r="EK300" s="117" t="e">
        <f t="shared" si="732"/>
        <v>#DIV/0!</v>
      </c>
      <c r="EL300" s="117" t="e">
        <f t="shared" si="732"/>
        <v>#DIV/0!</v>
      </c>
      <c r="EM300" s="117" t="e">
        <f t="shared" si="732"/>
        <v>#DIV/0!</v>
      </c>
      <c r="EN300" s="117" t="e">
        <f t="shared" si="732"/>
        <v>#DIV/0!</v>
      </c>
      <c r="EO300" s="116">
        <f t="shared" si="732"/>
        <v>0</v>
      </c>
      <c r="EP300" s="117">
        <f t="shared" si="732"/>
        <v>0</v>
      </c>
      <c r="EQ300" s="117">
        <f t="shared" si="732"/>
        <v>0</v>
      </c>
      <c r="ER300" s="117">
        <f t="shared" si="732"/>
        <v>0</v>
      </c>
      <c r="ES300" s="117">
        <f t="shared" si="732"/>
        <v>0</v>
      </c>
      <c r="ET300" s="117">
        <f t="shared" si="732"/>
        <v>0</v>
      </c>
      <c r="EU300" s="117">
        <f t="shared" si="732"/>
        <v>0</v>
      </c>
      <c r="EV300" s="117">
        <f t="shared" si="732"/>
        <v>0</v>
      </c>
      <c r="EW300" s="117">
        <f t="shared" si="732"/>
        <v>0</v>
      </c>
      <c r="EX300" s="117">
        <f t="shared" si="732"/>
        <v>0</v>
      </c>
      <c r="EY300" s="117">
        <f t="shared" si="732"/>
        <v>0</v>
      </c>
      <c r="EZ300" s="117">
        <f t="shared" si="732"/>
        <v>0</v>
      </c>
      <c r="FA300" s="117">
        <f t="shared" si="732"/>
        <v>0</v>
      </c>
      <c r="FB300" s="117">
        <f t="shared" si="732"/>
        <v>0</v>
      </c>
      <c r="FC300" s="118"/>
      <c r="FD300" s="117"/>
      <c r="FE300" s="117"/>
      <c r="FF300" s="117"/>
      <c r="FG300" s="117"/>
      <c r="FH300" s="117"/>
      <c r="FI300" s="117"/>
      <c r="FJ300" s="117"/>
      <c r="FK300" s="117" t="e">
        <f t="shared" si="601"/>
        <v>#DIV/0!</v>
      </c>
      <c r="FL300" s="117" t="e">
        <f t="shared" si="602"/>
        <v>#DIV/0!</v>
      </c>
      <c r="FM300" s="117" t="e">
        <f t="shared" si="603"/>
        <v>#DIV/0!</v>
      </c>
      <c r="FN300" s="117" t="e">
        <f t="shared" si="604"/>
        <v>#DIV/0!</v>
      </c>
      <c r="FO300" s="9" t="e">
        <f t="shared" si="605"/>
        <v>#DIV/0!</v>
      </c>
      <c r="FP300" s="118">
        <f t="shared" ref="FP300:GB300" si="733">FP88/FP$211</f>
        <v>0</v>
      </c>
      <c r="FQ300" s="117">
        <f t="shared" si="733"/>
        <v>0</v>
      </c>
      <c r="FR300" s="117">
        <f t="shared" si="733"/>
        <v>0</v>
      </c>
      <c r="FS300" s="117">
        <f t="shared" si="733"/>
        <v>0</v>
      </c>
      <c r="FT300" s="117">
        <f t="shared" si="733"/>
        <v>0</v>
      </c>
      <c r="FU300" s="117">
        <f t="shared" si="733"/>
        <v>0</v>
      </c>
      <c r="FV300" s="117">
        <f t="shared" si="733"/>
        <v>0</v>
      </c>
      <c r="FW300" s="117">
        <f t="shared" si="733"/>
        <v>0</v>
      </c>
      <c r="FX300" s="117">
        <f t="shared" si="733"/>
        <v>0</v>
      </c>
      <c r="FY300" s="117">
        <f t="shared" si="733"/>
        <v>0</v>
      </c>
      <c r="FZ300" s="117">
        <f t="shared" si="733"/>
        <v>0</v>
      </c>
      <c r="GA300" s="117">
        <f t="shared" si="733"/>
        <v>0</v>
      </c>
      <c r="GB300" s="116">
        <f t="shared" si="733"/>
        <v>0</v>
      </c>
    </row>
    <row r="301" spans="1:184">
      <c r="A301" s="147" t="s">
        <v>203</v>
      </c>
      <c r="B301" s="160">
        <f t="shared" si="607"/>
        <v>-1</v>
      </c>
      <c r="C301" s="117">
        <f t="shared" ref="C301:AH301" si="734">C89/C$211</f>
        <v>0</v>
      </c>
      <c r="D301" s="117">
        <f t="shared" si="734"/>
        <v>0</v>
      </c>
      <c r="E301" s="117">
        <f t="shared" si="734"/>
        <v>0</v>
      </c>
      <c r="F301" s="117">
        <f t="shared" si="734"/>
        <v>0</v>
      </c>
      <c r="G301" s="117">
        <f t="shared" si="734"/>
        <v>0</v>
      </c>
      <c r="H301" s="117">
        <f t="shared" si="734"/>
        <v>0</v>
      </c>
      <c r="I301" s="117">
        <f t="shared" si="734"/>
        <v>0</v>
      </c>
      <c r="J301" s="117">
        <f t="shared" si="734"/>
        <v>0</v>
      </c>
      <c r="K301" s="117">
        <f t="shared" si="734"/>
        <v>0</v>
      </c>
      <c r="L301" s="117">
        <f t="shared" si="734"/>
        <v>0</v>
      </c>
      <c r="M301" s="117">
        <f t="shared" si="734"/>
        <v>0</v>
      </c>
      <c r="N301" s="117">
        <f t="shared" si="734"/>
        <v>0</v>
      </c>
      <c r="O301" s="9">
        <f t="shared" si="734"/>
        <v>0</v>
      </c>
      <c r="P301" s="117">
        <f t="shared" si="734"/>
        <v>0</v>
      </c>
      <c r="Q301" s="117">
        <f t="shared" si="734"/>
        <v>0</v>
      </c>
      <c r="R301" s="117">
        <f t="shared" si="734"/>
        <v>0</v>
      </c>
      <c r="S301" s="117">
        <f t="shared" si="734"/>
        <v>0</v>
      </c>
      <c r="T301" s="117">
        <f t="shared" si="734"/>
        <v>0</v>
      </c>
      <c r="U301" s="117">
        <f t="shared" si="734"/>
        <v>0</v>
      </c>
      <c r="V301" s="117">
        <f t="shared" si="734"/>
        <v>0</v>
      </c>
      <c r="W301" s="117">
        <f t="shared" si="734"/>
        <v>0</v>
      </c>
      <c r="X301" s="117">
        <f t="shared" si="734"/>
        <v>0</v>
      </c>
      <c r="Y301" s="117">
        <f t="shared" si="734"/>
        <v>0</v>
      </c>
      <c r="Z301" s="117">
        <f t="shared" si="734"/>
        <v>0</v>
      </c>
      <c r="AA301" s="117">
        <f t="shared" si="734"/>
        <v>0</v>
      </c>
      <c r="AB301" s="9">
        <f t="shared" si="734"/>
        <v>0</v>
      </c>
      <c r="AC301" s="117">
        <f t="shared" si="734"/>
        <v>0</v>
      </c>
      <c r="AD301" s="117">
        <f t="shared" si="734"/>
        <v>0</v>
      </c>
      <c r="AE301" s="117">
        <f t="shared" si="734"/>
        <v>0</v>
      </c>
      <c r="AF301" s="117">
        <f t="shared" si="734"/>
        <v>0</v>
      </c>
      <c r="AG301" s="117">
        <f t="shared" si="734"/>
        <v>0</v>
      </c>
      <c r="AH301" s="117">
        <f t="shared" si="734"/>
        <v>0</v>
      </c>
      <c r="AI301" s="117">
        <f t="shared" ref="AI301:BN301" si="735">AI89/AI$211</f>
        <v>0</v>
      </c>
      <c r="AJ301" s="117">
        <f t="shared" si="735"/>
        <v>0</v>
      </c>
      <c r="AK301" s="117">
        <f t="shared" si="735"/>
        <v>0</v>
      </c>
      <c r="AL301" s="117">
        <f t="shared" si="735"/>
        <v>0</v>
      </c>
      <c r="AM301" s="117">
        <f t="shared" si="735"/>
        <v>0</v>
      </c>
      <c r="AN301" s="117">
        <f t="shared" si="735"/>
        <v>0</v>
      </c>
      <c r="AO301" s="9">
        <f t="shared" si="735"/>
        <v>0</v>
      </c>
      <c r="AP301" s="144">
        <f t="shared" si="735"/>
        <v>0</v>
      </c>
      <c r="AQ301" s="144">
        <f t="shared" si="735"/>
        <v>0</v>
      </c>
      <c r="AR301" s="144">
        <f t="shared" si="735"/>
        <v>0</v>
      </c>
      <c r="AS301" s="144">
        <f t="shared" si="735"/>
        <v>0</v>
      </c>
      <c r="AT301" s="144">
        <f t="shared" si="735"/>
        <v>0</v>
      </c>
      <c r="AU301" s="144">
        <f t="shared" si="735"/>
        <v>0</v>
      </c>
      <c r="AV301" s="144">
        <f t="shared" si="735"/>
        <v>0</v>
      </c>
      <c r="AW301" s="144">
        <f t="shared" si="735"/>
        <v>0</v>
      </c>
      <c r="AX301" s="144">
        <f t="shared" si="735"/>
        <v>0</v>
      </c>
      <c r="AY301" s="144">
        <f t="shared" si="735"/>
        <v>0</v>
      </c>
      <c r="AZ301" s="144">
        <f t="shared" si="735"/>
        <v>0</v>
      </c>
      <c r="BA301" s="144">
        <f t="shared" si="735"/>
        <v>0</v>
      </c>
      <c r="BB301" s="9">
        <f t="shared" si="735"/>
        <v>0</v>
      </c>
      <c r="BC301" s="144">
        <f t="shared" si="735"/>
        <v>0</v>
      </c>
      <c r="BD301" s="144">
        <f t="shared" si="735"/>
        <v>0</v>
      </c>
      <c r="BE301" s="144">
        <f t="shared" si="735"/>
        <v>0</v>
      </c>
      <c r="BF301" s="144">
        <f t="shared" si="735"/>
        <v>0</v>
      </c>
      <c r="BG301" s="144">
        <f t="shared" si="735"/>
        <v>0</v>
      </c>
      <c r="BH301" s="144">
        <f t="shared" si="735"/>
        <v>0</v>
      </c>
      <c r="BI301" s="144">
        <f t="shared" si="735"/>
        <v>0</v>
      </c>
      <c r="BJ301" s="144">
        <f t="shared" si="735"/>
        <v>0</v>
      </c>
      <c r="BK301" s="144">
        <f t="shared" si="735"/>
        <v>0</v>
      </c>
      <c r="BL301" s="144">
        <f t="shared" si="735"/>
        <v>0</v>
      </c>
      <c r="BM301" s="144">
        <f t="shared" si="735"/>
        <v>0</v>
      </c>
      <c r="BN301" s="144">
        <f t="shared" si="735"/>
        <v>0</v>
      </c>
      <c r="BO301" s="9">
        <f t="shared" ref="BO301:CT301" si="736">BO89/BO$211</f>
        <v>0</v>
      </c>
      <c r="BP301" s="144">
        <f t="shared" si="736"/>
        <v>0</v>
      </c>
      <c r="BQ301" s="144">
        <f t="shared" si="736"/>
        <v>0</v>
      </c>
      <c r="BR301" s="144">
        <f t="shared" si="736"/>
        <v>0</v>
      </c>
      <c r="BS301" s="144">
        <f t="shared" si="736"/>
        <v>0</v>
      </c>
      <c r="BT301" s="144">
        <f t="shared" si="736"/>
        <v>0</v>
      </c>
      <c r="BU301" s="144">
        <f t="shared" si="736"/>
        <v>0</v>
      </c>
      <c r="BV301" s="144">
        <f t="shared" si="736"/>
        <v>0</v>
      </c>
      <c r="BW301" s="144">
        <f t="shared" si="736"/>
        <v>0</v>
      </c>
      <c r="BX301" s="144">
        <f t="shared" si="736"/>
        <v>0</v>
      </c>
      <c r="BY301" s="144">
        <f t="shared" si="736"/>
        <v>0</v>
      </c>
      <c r="BZ301" s="144">
        <f t="shared" si="736"/>
        <v>0</v>
      </c>
      <c r="CA301" s="144">
        <f t="shared" si="736"/>
        <v>0</v>
      </c>
      <c r="CB301" s="9">
        <f t="shared" si="736"/>
        <v>0</v>
      </c>
      <c r="CC301" s="144">
        <f t="shared" si="736"/>
        <v>0</v>
      </c>
      <c r="CD301" s="144">
        <f t="shared" si="736"/>
        <v>0</v>
      </c>
      <c r="CE301" s="144">
        <f t="shared" si="736"/>
        <v>0</v>
      </c>
      <c r="CF301" s="144">
        <f t="shared" si="736"/>
        <v>0</v>
      </c>
      <c r="CG301" s="144">
        <f t="shared" si="736"/>
        <v>0</v>
      </c>
      <c r="CH301" s="144">
        <f t="shared" si="736"/>
        <v>0</v>
      </c>
      <c r="CI301" s="144">
        <f t="shared" si="736"/>
        <v>0</v>
      </c>
      <c r="CJ301" s="144">
        <f t="shared" si="736"/>
        <v>0</v>
      </c>
      <c r="CK301" s="144">
        <f t="shared" si="736"/>
        <v>0</v>
      </c>
      <c r="CL301" s="144">
        <f t="shared" si="736"/>
        <v>0</v>
      </c>
      <c r="CM301" s="144">
        <f t="shared" si="736"/>
        <v>0</v>
      </c>
      <c r="CN301" s="144">
        <f t="shared" si="736"/>
        <v>0</v>
      </c>
      <c r="CO301" s="9">
        <f t="shared" si="736"/>
        <v>0</v>
      </c>
      <c r="CP301" s="144">
        <f t="shared" si="736"/>
        <v>0</v>
      </c>
      <c r="CQ301" s="144">
        <f t="shared" si="736"/>
        <v>0</v>
      </c>
      <c r="CR301" s="144">
        <f t="shared" si="736"/>
        <v>0</v>
      </c>
      <c r="CS301" s="144">
        <f t="shared" si="736"/>
        <v>0</v>
      </c>
      <c r="CT301" s="144">
        <f t="shared" si="736"/>
        <v>0</v>
      </c>
      <c r="CU301" s="144">
        <f t="shared" ref="CU301:EB301" si="737">CU89/CU$211</f>
        <v>0</v>
      </c>
      <c r="CV301" s="144">
        <f t="shared" si="737"/>
        <v>0</v>
      </c>
      <c r="CW301" s="144">
        <f t="shared" si="737"/>
        <v>0</v>
      </c>
      <c r="CX301" s="144">
        <f t="shared" si="737"/>
        <v>0</v>
      </c>
      <c r="CY301" s="144">
        <f t="shared" si="737"/>
        <v>0</v>
      </c>
      <c r="CZ301" s="144">
        <f t="shared" si="737"/>
        <v>0</v>
      </c>
      <c r="DA301" s="144">
        <f t="shared" si="737"/>
        <v>0</v>
      </c>
      <c r="DB301" s="9">
        <f t="shared" si="737"/>
        <v>0</v>
      </c>
      <c r="DC301" s="144">
        <f t="shared" si="737"/>
        <v>0</v>
      </c>
      <c r="DD301" s="144">
        <f t="shared" si="737"/>
        <v>0</v>
      </c>
      <c r="DE301" s="144">
        <f t="shared" si="737"/>
        <v>0</v>
      </c>
      <c r="DF301" s="144">
        <f t="shared" si="737"/>
        <v>0</v>
      </c>
      <c r="DG301" s="144">
        <f t="shared" si="737"/>
        <v>0</v>
      </c>
      <c r="DH301" s="144">
        <f t="shared" si="737"/>
        <v>0</v>
      </c>
      <c r="DI301" s="144">
        <f t="shared" si="737"/>
        <v>0</v>
      </c>
      <c r="DJ301" s="144">
        <f t="shared" si="737"/>
        <v>0</v>
      </c>
      <c r="DK301" s="144">
        <f t="shared" si="737"/>
        <v>0</v>
      </c>
      <c r="DL301" s="144">
        <f t="shared" si="737"/>
        <v>0</v>
      </c>
      <c r="DM301" s="144">
        <f t="shared" si="737"/>
        <v>0</v>
      </c>
      <c r="DN301" s="144">
        <f t="shared" si="737"/>
        <v>0</v>
      </c>
      <c r="DO301" s="9">
        <f t="shared" si="737"/>
        <v>0</v>
      </c>
      <c r="DP301" s="144">
        <f t="shared" si="737"/>
        <v>0</v>
      </c>
      <c r="DQ301" s="144">
        <f t="shared" si="737"/>
        <v>0</v>
      </c>
      <c r="DR301" s="144">
        <f t="shared" si="737"/>
        <v>0</v>
      </c>
      <c r="DS301" s="144">
        <f t="shared" si="737"/>
        <v>0</v>
      </c>
      <c r="DT301" s="144">
        <f t="shared" si="737"/>
        <v>0</v>
      </c>
      <c r="DU301" s="144">
        <f t="shared" si="737"/>
        <v>0</v>
      </c>
      <c r="DV301" s="144">
        <f t="shared" si="737"/>
        <v>0</v>
      </c>
      <c r="DW301" s="144">
        <f t="shared" si="737"/>
        <v>0</v>
      </c>
      <c r="DX301" s="144">
        <f t="shared" si="737"/>
        <v>0</v>
      </c>
      <c r="DY301" s="144">
        <f t="shared" si="737"/>
        <v>0</v>
      </c>
      <c r="DZ301" s="144">
        <f t="shared" si="737"/>
        <v>0</v>
      </c>
      <c r="EA301" s="144">
        <f t="shared" si="737"/>
        <v>0</v>
      </c>
      <c r="EB301" s="117">
        <f t="shared" si="737"/>
        <v>0</v>
      </c>
      <c r="EC301" s="118"/>
      <c r="ED301" s="117">
        <f t="shared" ref="ED301:FB301" si="738">ED89/ED$211</f>
        <v>0</v>
      </c>
      <c r="EE301" s="117">
        <f t="shared" si="738"/>
        <v>0</v>
      </c>
      <c r="EF301" s="117">
        <f t="shared" si="738"/>
        <v>0</v>
      </c>
      <c r="EG301" s="117" t="e">
        <f t="shared" si="738"/>
        <v>#DIV/0!</v>
      </c>
      <c r="EH301" s="117" t="e">
        <f t="shared" si="738"/>
        <v>#DIV/0!</v>
      </c>
      <c r="EI301" s="117" t="e">
        <f t="shared" si="738"/>
        <v>#DIV/0!</v>
      </c>
      <c r="EJ301" s="117" t="e">
        <f t="shared" si="738"/>
        <v>#DIV/0!</v>
      </c>
      <c r="EK301" s="117" t="e">
        <f t="shared" si="738"/>
        <v>#DIV/0!</v>
      </c>
      <c r="EL301" s="117" t="e">
        <f t="shared" si="738"/>
        <v>#DIV/0!</v>
      </c>
      <c r="EM301" s="117" t="e">
        <f t="shared" si="738"/>
        <v>#DIV/0!</v>
      </c>
      <c r="EN301" s="117" t="e">
        <f t="shared" si="738"/>
        <v>#DIV/0!</v>
      </c>
      <c r="EO301" s="116">
        <f t="shared" si="738"/>
        <v>0</v>
      </c>
      <c r="EP301" s="117">
        <f t="shared" si="738"/>
        <v>0</v>
      </c>
      <c r="EQ301" s="117">
        <f t="shared" si="738"/>
        <v>0</v>
      </c>
      <c r="ER301" s="117">
        <f t="shared" si="738"/>
        <v>0</v>
      </c>
      <c r="ES301" s="117">
        <f t="shared" si="738"/>
        <v>0</v>
      </c>
      <c r="ET301" s="117">
        <f t="shared" si="738"/>
        <v>0</v>
      </c>
      <c r="EU301" s="117">
        <f t="shared" si="738"/>
        <v>0</v>
      </c>
      <c r="EV301" s="117">
        <f t="shared" si="738"/>
        <v>0</v>
      </c>
      <c r="EW301" s="117">
        <f t="shared" si="738"/>
        <v>0</v>
      </c>
      <c r="EX301" s="117">
        <f t="shared" si="738"/>
        <v>0</v>
      </c>
      <c r="EY301" s="117">
        <f t="shared" si="738"/>
        <v>0</v>
      </c>
      <c r="EZ301" s="117">
        <f t="shared" si="738"/>
        <v>0</v>
      </c>
      <c r="FA301" s="117">
        <f t="shared" si="738"/>
        <v>0</v>
      </c>
      <c r="FB301" s="117">
        <f t="shared" si="738"/>
        <v>0</v>
      </c>
      <c r="FC301" s="118"/>
      <c r="FD301" s="117"/>
      <c r="FE301" s="117"/>
      <c r="FF301" s="117"/>
      <c r="FG301" s="117"/>
      <c r="FH301" s="117"/>
      <c r="FI301" s="117"/>
      <c r="FJ301" s="117"/>
      <c r="FK301" s="117" t="e">
        <f t="shared" si="601"/>
        <v>#DIV/0!</v>
      </c>
      <c r="FL301" s="117" t="e">
        <f t="shared" si="602"/>
        <v>#DIV/0!</v>
      </c>
      <c r="FM301" s="117" t="e">
        <f t="shared" si="603"/>
        <v>#DIV/0!</v>
      </c>
      <c r="FN301" s="117" t="e">
        <f t="shared" si="604"/>
        <v>#DIV/0!</v>
      </c>
      <c r="FO301" s="9" t="e">
        <f t="shared" si="605"/>
        <v>#DIV/0!</v>
      </c>
      <c r="FP301" s="118">
        <f t="shared" ref="FP301:GB301" si="739">FP89/FP$211</f>
        <v>0</v>
      </c>
      <c r="FQ301" s="117">
        <f t="shared" si="739"/>
        <v>0</v>
      </c>
      <c r="FR301" s="117">
        <f t="shared" si="739"/>
        <v>0</v>
      </c>
      <c r="FS301" s="117">
        <f t="shared" si="739"/>
        <v>0</v>
      </c>
      <c r="FT301" s="117">
        <f t="shared" si="739"/>
        <v>0</v>
      </c>
      <c r="FU301" s="117">
        <f t="shared" si="739"/>
        <v>0</v>
      </c>
      <c r="FV301" s="117">
        <f t="shared" si="739"/>
        <v>0</v>
      </c>
      <c r="FW301" s="117">
        <f t="shared" si="739"/>
        <v>0</v>
      </c>
      <c r="FX301" s="117">
        <f t="shared" si="739"/>
        <v>0</v>
      </c>
      <c r="FY301" s="117">
        <f t="shared" si="739"/>
        <v>0</v>
      </c>
      <c r="FZ301" s="117">
        <f t="shared" si="739"/>
        <v>0</v>
      </c>
      <c r="GA301" s="117">
        <f t="shared" si="739"/>
        <v>0</v>
      </c>
      <c r="GB301" s="116">
        <f t="shared" si="739"/>
        <v>0</v>
      </c>
    </row>
    <row r="302" spans="1:184">
      <c r="A302" s="147" t="s">
        <v>205</v>
      </c>
      <c r="B302" s="160">
        <f t="shared" si="607"/>
        <v>-0.97502269912195</v>
      </c>
      <c r="C302" s="117">
        <f t="shared" ref="C302:AH302" si="740">C90/C$211</f>
        <v>0</v>
      </c>
      <c r="D302" s="117">
        <f t="shared" si="740"/>
        <v>7.1423734731786e-7</v>
      </c>
      <c r="E302" s="117">
        <f t="shared" si="740"/>
        <v>7.76411991875587e-7</v>
      </c>
      <c r="F302" s="117">
        <f t="shared" si="740"/>
        <v>2.25115574706845e-7</v>
      </c>
      <c r="G302" s="117">
        <f t="shared" si="740"/>
        <v>5.15966948636591e-7</v>
      </c>
      <c r="H302" s="117">
        <f t="shared" si="740"/>
        <v>0</v>
      </c>
      <c r="I302" s="117">
        <f t="shared" si="740"/>
        <v>0</v>
      </c>
      <c r="J302" s="117">
        <f t="shared" si="740"/>
        <v>0</v>
      </c>
      <c r="K302" s="117">
        <f t="shared" si="740"/>
        <v>0</v>
      </c>
      <c r="L302" s="117">
        <f t="shared" si="740"/>
        <v>0</v>
      </c>
      <c r="M302" s="117">
        <f t="shared" si="740"/>
        <v>0</v>
      </c>
      <c r="N302" s="117">
        <f t="shared" si="740"/>
        <v>0</v>
      </c>
      <c r="O302" s="9">
        <f t="shared" si="740"/>
        <v>1.83217028674238e-7</v>
      </c>
      <c r="P302" s="117">
        <f t="shared" si="740"/>
        <v>0</v>
      </c>
      <c r="Q302" s="117">
        <f t="shared" si="740"/>
        <v>0</v>
      </c>
      <c r="R302" s="117">
        <f t="shared" si="740"/>
        <v>0</v>
      </c>
      <c r="S302" s="117">
        <f t="shared" si="740"/>
        <v>0</v>
      </c>
      <c r="T302" s="117">
        <f t="shared" si="740"/>
        <v>0</v>
      </c>
      <c r="U302" s="117">
        <f t="shared" si="740"/>
        <v>0</v>
      </c>
      <c r="V302" s="117">
        <f t="shared" si="740"/>
        <v>0</v>
      </c>
      <c r="W302" s="117">
        <f t="shared" si="740"/>
        <v>0</v>
      </c>
      <c r="X302" s="117">
        <f t="shared" si="740"/>
        <v>0</v>
      </c>
      <c r="Y302" s="117">
        <f t="shared" si="740"/>
        <v>0</v>
      </c>
      <c r="Z302" s="117">
        <f t="shared" si="740"/>
        <v>0</v>
      </c>
      <c r="AA302" s="117">
        <f t="shared" si="740"/>
        <v>0</v>
      </c>
      <c r="AB302" s="9">
        <f t="shared" si="740"/>
        <v>0</v>
      </c>
      <c r="AC302" s="117">
        <f t="shared" si="740"/>
        <v>0</v>
      </c>
      <c r="AD302" s="117">
        <f t="shared" si="740"/>
        <v>0</v>
      </c>
      <c r="AE302" s="117">
        <f t="shared" si="740"/>
        <v>0</v>
      </c>
      <c r="AF302" s="117">
        <f t="shared" si="740"/>
        <v>0</v>
      </c>
      <c r="AG302" s="117">
        <f t="shared" si="740"/>
        <v>0</v>
      </c>
      <c r="AH302" s="117">
        <f t="shared" si="740"/>
        <v>0</v>
      </c>
      <c r="AI302" s="117">
        <f t="shared" ref="AI302:BN302" si="741">AI90/AI$211</f>
        <v>0</v>
      </c>
      <c r="AJ302" s="117">
        <f t="shared" si="741"/>
        <v>0</v>
      </c>
      <c r="AK302" s="117">
        <f t="shared" si="741"/>
        <v>0</v>
      </c>
      <c r="AL302" s="117">
        <f t="shared" si="741"/>
        <v>0</v>
      </c>
      <c r="AM302" s="117">
        <f t="shared" si="741"/>
        <v>0</v>
      </c>
      <c r="AN302" s="117">
        <f t="shared" si="741"/>
        <v>0</v>
      </c>
      <c r="AO302" s="9">
        <f t="shared" si="741"/>
        <v>0</v>
      </c>
      <c r="AP302" s="144">
        <f t="shared" si="741"/>
        <v>0</v>
      </c>
      <c r="AQ302" s="144">
        <f t="shared" si="741"/>
        <v>0</v>
      </c>
      <c r="AR302" s="144">
        <f t="shared" si="741"/>
        <v>0</v>
      </c>
      <c r="AS302" s="144">
        <f t="shared" si="741"/>
        <v>0</v>
      </c>
      <c r="AT302" s="144">
        <f t="shared" si="741"/>
        <v>0</v>
      </c>
      <c r="AU302" s="144">
        <f t="shared" si="741"/>
        <v>0</v>
      </c>
      <c r="AV302" s="144">
        <f t="shared" si="741"/>
        <v>0</v>
      </c>
      <c r="AW302" s="144">
        <f t="shared" si="741"/>
        <v>0</v>
      </c>
      <c r="AX302" s="144">
        <f t="shared" si="741"/>
        <v>0</v>
      </c>
      <c r="AY302" s="144">
        <f t="shared" si="741"/>
        <v>0</v>
      </c>
      <c r="AZ302" s="144">
        <f t="shared" si="741"/>
        <v>0</v>
      </c>
      <c r="BA302" s="144">
        <f t="shared" si="741"/>
        <v>0</v>
      </c>
      <c r="BB302" s="9">
        <f t="shared" si="741"/>
        <v>0</v>
      </c>
      <c r="BC302" s="144">
        <f t="shared" si="741"/>
        <v>0</v>
      </c>
      <c r="BD302" s="144">
        <f t="shared" si="741"/>
        <v>0</v>
      </c>
      <c r="BE302" s="144">
        <f t="shared" si="741"/>
        <v>0</v>
      </c>
      <c r="BF302" s="144">
        <f t="shared" si="741"/>
        <v>0</v>
      </c>
      <c r="BG302" s="144">
        <f t="shared" si="741"/>
        <v>0</v>
      </c>
      <c r="BH302" s="144">
        <f t="shared" si="741"/>
        <v>0</v>
      </c>
      <c r="BI302" s="144">
        <f t="shared" si="741"/>
        <v>0</v>
      </c>
      <c r="BJ302" s="144">
        <f t="shared" si="741"/>
        <v>0</v>
      </c>
      <c r="BK302" s="144">
        <f t="shared" si="741"/>
        <v>0</v>
      </c>
      <c r="BL302" s="144">
        <f t="shared" si="741"/>
        <v>0</v>
      </c>
      <c r="BM302" s="144">
        <f t="shared" si="741"/>
        <v>0</v>
      </c>
      <c r="BN302" s="144">
        <f t="shared" si="741"/>
        <v>0</v>
      </c>
      <c r="BO302" s="9">
        <f t="shared" ref="BO302:CT302" si="742">BO90/BO$211</f>
        <v>0</v>
      </c>
      <c r="BP302" s="144">
        <f t="shared" si="742"/>
        <v>0</v>
      </c>
      <c r="BQ302" s="144">
        <f t="shared" si="742"/>
        <v>0</v>
      </c>
      <c r="BR302" s="144">
        <f t="shared" si="742"/>
        <v>0</v>
      </c>
      <c r="BS302" s="144">
        <f t="shared" si="742"/>
        <v>0</v>
      </c>
      <c r="BT302" s="144">
        <f t="shared" si="742"/>
        <v>0</v>
      </c>
      <c r="BU302" s="144">
        <f t="shared" si="742"/>
        <v>0</v>
      </c>
      <c r="BV302" s="144">
        <f t="shared" si="742"/>
        <v>0</v>
      </c>
      <c r="BW302" s="144">
        <f t="shared" si="742"/>
        <v>0</v>
      </c>
      <c r="BX302" s="144">
        <f t="shared" si="742"/>
        <v>0</v>
      </c>
      <c r="BY302" s="144">
        <f t="shared" si="742"/>
        <v>0</v>
      </c>
      <c r="BZ302" s="144">
        <f t="shared" si="742"/>
        <v>0</v>
      </c>
      <c r="CA302" s="144">
        <f t="shared" si="742"/>
        <v>0</v>
      </c>
      <c r="CB302" s="9">
        <f t="shared" si="742"/>
        <v>0</v>
      </c>
      <c r="CC302" s="144">
        <f t="shared" si="742"/>
        <v>0</v>
      </c>
      <c r="CD302" s="144">
        <f t="shared" si="742"/>
        <v>0</v>
      </c>
      <c r="CE302" s="144">
        <f t="shared" si="742"/>
        <v>0</v>
      </c>
      <c r="CF302" s="144">
        <f t="shared" si="742"/>
        <v>0</v>
      </c>
      <c r="CG302" s="144">
        <f t="shared" si="742"/>
        <v>0</v>
      </c>
      <c r="CH302" s="144">
        <f t="shared" si="742"/>
        <v>0</v>
      </c>
      <c r="CI302" s="144">
        <f t="shared" si="742"/>
        <v>0</v>
      </c>
      <c r="CJ302" s="144">
        <f t="shared" si="742"/>
        <v>0</v>
      </c>
      <c r="CK302" s="144">
        <f t="shared" si="742"/>
        <v>0</v>
      </c>
      <c r="CL302" s="144">
        <f t="shared" si="742"/>
        <v>0</v>
      </c>
      <c r="CM302" s="144">
        <f t="shared" si="742"/>
        <v>0</v>
      </c>
      <c r="CN302" s="144">
        <f t="shared" si="742"/>
        <v>0</v>
      </c>
      <c r="CO302" s="9">
        <f t="shared" si="742"/>
        <v>0</v>
      </c>
      <c r="CP302" s="144">
        <f t="shared" si="742"/>
        <v>0</v>
      </c>
      <c r="CQ302" s="144">
        <f t="shared" si="742"/>
        <v>0</v>
      </c>
      <c r="CR302" s="144">
        <f t="shared" si="742"/>
        <v>0</v>
      </c>
      <c r="CS302" s="144">
        <f t="shared" si="742"/>
        <v>0</v>
      </c>
      <c r="CT302" s="144">
        <f t="shared" si="742"/>
        <v>0</v>
      </c>
      <c r="CU302" s="144">
        <f t="shared" ref="CU302:EB302" si="743">CU90/CU$211</f>
        <v>0</v>
      </c>
      <c r="CV302" s="144">
        <f t="shared" si="743"/>
        <v>0</v>
      </c>
      <c r="CW302" s="144">
        <f t="shared" si="743"/>
        <v>0</v>
      </c>
      <c r="CX302" s="144">
        <f t="shared" si="743"/>
        <v>0</v>
      </c>
      <c r="CY302" s="144">
        <f t="shared" si="743"/>
        <v>0</v>
      </c>
      <c r="CZ302" s="144">
        <f t="shared" si="743"/>
        <v>0</v>
      </c>
      <c r="DA302" s="144">
        <f t="shared" si="743"/>
        <v>0</v>
      </c>
      <c r="DB302" s="9">
        <f t="shared" si="743"/>
        <v>0</v>
      </c>
      <c r="DC302" s="144">
        <f t="shared" si="743"/>
        <v>0</v>
      </c>
      <c r="DD302" s="144">
        <f t="shared" si="743"/>
        <v>6.24603194328618e-5</v>
      </c>
      <c r="DE302" s="144">
        <f t="shared" si="743"/>
        <v>8.69542268889655e-5</v>
      </c>
      <c r="DF302" s="144">
        <f t="shared" si="743"/>
        <v>2.47147328901192e-5</v>
      </c>
      <c r="DG302" s="144">
        <f t="shared" si="743"/>
        <v>4.63654768137882e-5</v>
      </c>
      <c r="DH302" s="144">
        <f t="shared" si="743"/>
        <v>0</v>
      </c>
      <c r="DI302" s="144">
        <f t="shared" si="743"/>
        <v>0</v>
      </c>
      <c r="DJ302" s="144">
        <f t="shared" si="743"/>
        <v>0</v>
      </c>
      <c r="DK302" s="144">
        <f t="shared" si="743"/>
        <v>0</v>
      </c>
      <c r="DL302" s="144">
        <f t="shared" si="743"/>
        <v>0</v>
      </c>
      <c r="DM302" s="144">
        <f t="shared" si="743"/>
        <v>0</v>
      </c>
      <c r="DN302" s="144">
        <f t="shared" si="743"/>
        <v>0</v>
      </c>
      <c r="DO302" s="9">
        <f t="shared" si="743"/>
        <v>1.98144870871213e-5</v>
      </c>
      <c r="DP302" s="144">
        <f t="shared" si="743"/>
        <v>0</v>
      </c>
      <c r="DQ302" s="144">
        <f t="shared" si="743"/>
        <v>0</v>
      </c>
      <c r="DR302" s="144">
        <f t="shared" si="743"/>
        <v>0</v>
      </c>
      <c r="DS302" s="144">
        <f t="shared" si="743"/>
        <v>0</v>
      </c>
      <c r="DT302" s="144">
        <f t="shared" si="743"/>
        <v>0</v>
      </c>
      <c r="DU302" s="144">
        <f t="shared" si="743"/>
        <v>0</v>
      </c>
      <c r="DV302" s="144">
        <f t="shared" si="743"/>
        <v>0</v>
      </c>
      <c r="DW302" s="144">
        <f t="shared" si="743"/>
        <v>0</v>
      </c>
      <c r="DX302" s="144">
        <f t="shared" si="743"/>
        <v>0</v>
      </c>
      <c r="DY302" s="144">
        <f t="shared" si="743"/>
        <v>0</v>
      </c>
      <c r="DZ302" s="144">
        <f t="shared" si="743"/>
        <v>0</v>
      </c>
      <c r="EA302" s="144">
        <f t="shared" si="743"/>
        <v>0</v>
      </c>
      <c r="EB302" s="117">
        <f t="shared" si="743"/>
        <v>0</v>
      </c>
      <c r="EC302" s="118"/>
      <c r="ED302" s="117">
        <f t="shared" ref="ED302:FB302" si="744">ED90/ED$211</f>
        <v>0</v>
      </c>
      <c r="EE302" s="117">
        <f t="shared" si="744"/>
        <v>0</v>
      </c>
      <c r="EF302" s="117">
        <f t="shared" si="744"/>
        <v>0</v>
      </c>
      <c r="EG302" s="117" t="e">
        <f t="shared" si="744"/>
        <v>#DIV/0!</v>
      </c>
      <c r="EH302" s="117" t="e">
        <f t="shared" si="744"/>
        <v>#DIV/0!</v>
      </c>
      <c r="EI302" s="117" t="e">
        <f t="shared" si="744"/>
        <v>#DIV/0!</v>
      </c>
      <c r="EJ302" s="117" t="e">
        <f t="shared" si="744"/>
        <v>#DIV/0!</v>
      </c>
      <c r="EK302" s="117" t="e">
        <f t="shared" si="744"/>
        <v>#DIV/0!</v>
      </c>
      <c r="EL302" s="117" t="e">
        <f t="shared" si="744"/>
        <v>#DIV/0!</v>
      </c>
      <c r="EM302" s="117" t="e">
        <f t="shared" si="744"/>
        <v>#DIV/0!</v>
      </c>
      <c r="EN302" s="117" t="e">
        <f t="shared" si="744"/>
        <v>#DIV/0!</v>
      </c>
      <c r="EO302" s="116">
        <f t="shared" si="744"/>
        <v>0</v>
      </c>
      <c r="EP302" s="117">
        <f t="shared" si="744"/>
        <v>0</v>
      </c>
      <c r="EQ302" s="117">
        <f t="shared" si="744"/>
        <v>0</v>
      </c>
      <c r="ER302" s="117">
        <f t="shared" si="744"/>
        <v>0</v>
      </c>
      <c r="ES302" s="117">
        <f t="shared" si="744"/>
        <v>0</v>
      </c>
      <c r="ET302" s="117">
        <f t="shared" si="744"/>
        <v>0</v>
      </c>
      <c r="EU302" s="117">
        <f t="shared" si="744"/>
        <v>0</v>
      </c>
      <c r="EV302" s="117">
        <f t="shared" si="744"/>
        <v>0</v>
      </c>
      <c r="EW302" s="117">
        <f t="shared" si="744"/>
        <v>0</v>
      </c>
      <c r="EX302" s="117">
        <f t="shared" si="744"/>
        <v>0</v>
      </c>
      <c r="EY302" s="117">
        <f t="shared" si="744"/>
        <v>0</v>
      </c>
      <c r="EZ302" s="117">
        <f t="shared" si="744"/>
        <v>0</v>
      </c>
      <c r="FA302" s="117">
        <f t="shared" si="744"/>
        <v>0</v>
      </c>
      <c r="FB302" s="117">
        <f t="shared" si="744"/>
        <v>0</v>
      </c>
      <c r="FC302" s="118"/>
      <c r="FD302" s="117"/>
      <c r="FE302" s="117"/>
      <c r="FF302" s="117"/>
      <c r="FG302" s="117"/>
      <c r="FH302" s="117"/>
      <c r="FI302" s="117"/>
      <c r="FJ302" s="117"/>
      <c r="FK302" s="117" t="e">
        <f t="shared" si="601"/>
        <v>#DIV/0!</v>
      </c>
      <c r="FL302" s="117" t="e">
        <f t="shared" si="602"/>
        <v>#DIV/0!</v>
      </c>
      <c r="FM302" s="117" t="e">
        <f t="shared" si="603"/>
        <v>#DIV/0!</v>
      </c>
      <c r="FN302" s="117" t="e">
        <f t="shared" si="604"/>
        <v>#DIV/0!</v>
      </c>
      <c r="FO302" s="9" t="e">
        <f t="shared" si="605"/>
        <v>#DIV/0!</v>
      </c>
      <c r="FP302" s="118">
        <f t="shared" ref="FP302:GB302" si="745">FP90/FP$211</f>
        <v>0</v>
      </c>
      <c r="FQ302" s="117">
        <f t="shared" si="745"/>
        <v>0</v>
      </c>
      <c r="FR302" s="117">
        <f t="shared" si="745"/>
        <v>0</v>
      </c>
      <c r="FS302" s="117">
        <f t="shared" si="745"/>
        <v>0</v>
      </c>
      <c r="FT302" s="117">
        <f t="shared" si="745"/>
        <v>0</v>
      </c>
      <c r="FU302" s="117">
        <f t="shared" si="745"/>
        <v>0</v>
      </c>
      <c r="FV302" s="117">
        <f t="shared" si="745"/>
        <v>0</v>
      </c>
      <c r="FW302" s="117">
        <f t="shared" si="745"/>
        <v>0</v>
      </c>
      <c r="FX302" s="117">
        <f t="shared" si="745"/>
        <v>0</v>
      </c>
      <c r="FY302" s="117">
        <f t="shared" si="745"/>
        <v>0</v>
      </c>
      <c r="FZ302" s="117">
        <f t="shared" si="745"/>
        <v>0</v>
      </c>
      <c r="GA302" s="117">
        <f t="shared" si="745"/>
        <v>0</v>
      </c>
      <c r="GB302" s="116">
        <f t="shared" si="745"/>
        <v>0</v>
      </c>
    </row>
    <row r="303" spans="1:184">
      <c r="A303" s="147" t="s">
        <v>207</v>
      </c>
      <c r="B303" s="160">
        <f t="shared" si="607"/>
        <v>-1</v>
      </c>
      <c r="C303" s="117">
        <f t="shared" ref="C303:AH303" si="746">C91/C$211</f>
        <v>0</v>
      </c>
      <c r="D303" s="117">
        <f t="shared" si="746"/>
        <v>0</v>
      </c>
      <c r="E303" s="117">
        <f t="shared" si="746"/>
        <v>0</v>
      </c>
      <c r="F303" s="117">
        <f t="shared" si="746"/>
        <v>0</v>
      </c>
      <c r="G303" s="117">
        <f t="shared" si="746"/>
        <v>0</v>
      </c>
      <c r="H303" s="117">
        <f t="shared" si="746"/>
        <v>0</v>
      </c>
      <c r="I303" s="117">
        <f t="shared" si="746"/>
        <v>0</v>
      </c>
      <c r="J303" s="117">
        <f t="shared" si="746"/>
        <v>0</v>
      </c>
      <c r="K303" s="117">
        <f t="shared" si="746"/>
        <v>0</v>
      </c>
      <c r="L303" s="117">
        <f t="shared" si="746"/>
        <v>0</v>
      </c>
      <c r="M303" s="117">
        <f t="shared" si="746"/>
        <v>0</v>
      </c>
      <c r="N303" s="117">
        <f t="shared" si="746"/>
        <v>0</v>
      </c>
      <c r="O303" s="9">
        <f t="shared" si="746"/>
        <v>0</v>
      </c>
      <c r="P303" s="117">
        <f t="shared" si="746"/>
        <v>0</v>
      </c>
      <c r="Q303" s="117">
        <f t="shared" si="746"/>
        <v>0</v>
      </c>
      <c r="R303" s="117">
        <f t="shared" si="746"/>
        <v>0</v>
      </c>
      <c r="S303" s="117">
        <f t="shared" si="746"/>
        <v>0</v>
      </c>
      <c r="T303" s="117">
        <f t="shared" si="746"/>
        <v>0</v>
      </c>
      <c r="U303" s="117">
        <f t="shared" si="746"/>
        <v>0</v>
      </c>
      <c r="V303" s="117">
        <f t="shared" si="746"/>
        <v>0</v>
      </c>
      <c r="W303" s="117">
        <f t="shared" si="746"/>
        <v>0</v>
      </c>
      <c r="X303" s="117">
        <f t="shared" si="746"/>
        <v>0</v>
      </c>
      <c r="Y303" s="117">
        <f t="shared" si="746"/>
        <v>0</v>
      </c>
      <c r="Z303" s="117">
        <f t="shared" si="746"/>
        <v>0</v>
      </c>
      <c r="AA303" s="117">
        <f t="shared" si="746"/>
        <v>0</v>
      </c>
      <c r="AB303" s="9">
        <f t="shared" si="746"/>
        <v>0</v>
      </c>
      <c r="AC303" s="117">
        <f t="shared" si="746"/>
        <v>0</v>
      </c>
      <c r="AD303" s="117">
        <f t="shared" si="746"/>
        <v>0</v>
      </c>
      <c r="AE303" s="117">
        <f t="shared" si="746"/>
        <v>0</v>
      </c>
      <c r="AF303" s="117">
        <f t="shared" si="746"/>
        <v>0</v>
      </c>
      <c r="AG303" s="117">
        <f t="shared" si="746"/>
        <v>0</v>
      </c>
      <c r="AH303" s="117">
        <f t="shared" si="746"/>
        <v>0</v>
      </c>
      <c r="AI303" s="117">
        <f t="shared" ref="AI303:BN303" si="747">AI91/AI$211</f>
        <v>0</v>
      </c>
      <c r="AJ303" s="117">
        <f t="shared" si="747"/>
        <v>0</v>
      </c>
      <c r="AK303" s="117">
        <f t="shared" si="747"/>
        <v>0</v>
      </c>
      <c r="AL303" s="117">
        <f t="shared" si="747"/>
        <v>0</v>
      </c>
      <c r="AM303" s="117">
        <f t="shared" si="747"/>
        <v>0</v>
      </c>
      <c r="AN303" s="117">
        <f t="shared" si="747"/>
        <v>0</v>
      </c>
      <c r="AO303" s="9">
        <f t="shared" si="747"/>
        <v>0</v>
      </c>
      <c r="AP303" s="144">
        <f t="shared" si="747"/>
        <v>0</v>
      </c>
      <c r="AQ303" s="144">
        <f t="shared" si="747"/>
        <v>0</v>
      </c>
      <c r="AR303" s="144">
        <f t="shared" si="747"/>
        <v>0</v>
      </c>
      <c r="AS303" s="144">
        <f t="shared" si="747"/>
        <v>0</v>
      </c>
      <c r="AT303" s="144">
        <f t="shared" si="747"/>
        <v>0</v>
      </c>
      <c r="AU303" s="144">
        <f t="shared" si="747"/>
        <v>0</v>
      </c>
      <c r="AV303" s="144">
        <f t="shared" si="747"/>
        <v>0</v>
      </c>
      <c r="AW303" s="144">
        <f t="shared" si="747"/>
        <v>0</v>
      </c>
      <c r="AX303" s="144">
        <f t="shared" si="747"/>
        <v>0</v>
      </c>
      <c r="AY303" s="144">
        <f t="shared" si="747"/>
        <v>0</v>
      </c>
      <c r="AZ303" s="144">
        <f t="shared" si="747"/>
        <v>0</v>
      </c>
      <c r="BA303" s="144">
        <f t="shared" si="747"/>
        <v>0</v>
      </c>
      <c r="BB303" s="9">
        <f t="shared" si="747"/>
        <v>0</v>
      </c>
      <c r="BC303" s="144">
        <f t="shared" si="747"/>
        <v>0</v>
      </c>
      <c r="BD303" s="144">
        <f t="shared" si="747"/>
        <v>0</v>
      </c>
      <c r="BE303" s="144">
        <f t="shared" si="747"/>
        <v>0</v>
      </c>
      <c r="BF303" s="144">
        <f t="shared" si="747"/>
        <v>0</v>
      </c>
      <c r="BG303" s="144">
        <f t="shared" si="747"/>
        <v>0</v>
      </c>
      <c r="BH303" s="144">
        <f t="shared" si="747"/>
        <v>0</v>
      </c>
      <c r="BI303" s="144">
        <f t="shared" si="747"/>
        <v>0</v>
      </c>
      <c r="BJ303" s="144">
        <f t="shared" si="747"/>
        <v>0</v>
      </c>
      <c r="BK303" s="144">
        <f t="shared" si="747"/>
        <v>0</v>
      </c>
      <c r="BL303" s="144">
        <f t="shared" si="747"/>
        <v>0</v>
      </c>
      <c r="BM303" s="144">
        <f t="shared" si="747"/>
        <v>0</v>
      </c>
      <c r="BN303" s="144">
        <f t="shared" si="747"/>
        <v>0</v>
      </c>
      <c r="BO303" s="9">
        <f t="shared" ref="BO303:CT303" si="748">BO91/BO$211</f>
        <v>0</v>
      </c>
      <c r="BP303" s="144">
        <f t="shared" si="748"/>
        <v>0</v>
      </c>
      <c r="BQ303" s="144">
        <f t="shared" si="748"/>
        <v>0</v>
      </c>
      <c r="BR303" s="144">
        <f t="shared" si="748"/>
        <v>0</v>
      </c>
      <c r="BS303" s="144">
        <f t="shared" si="748"/>
        <v>0</v>
      </c>
      <c r="BT303" s="144">
        <f t="shared" si="748"/>
        <v>0</v>
      </c>
      <c r="BU303" s="144">
        <f t="shared" si="748"/>
        <v>0</v>
      </c>
      <c r="BV303" s="144">
        <f t="shared" si="748"/>
        <v>0</v>
      </c>
      <c r="BW303" s="144">
        <f t="shared" si="748"/>
        <v>0</v>
      </c>
      <c r="BX303" s="144">
        <f t="shared" si="748"/>
        <v>0</v>
      </c>
      <c r="BY303" s="144">
        <f t="shared" si="748"/>
        <v>0</v>
      </c>
      <c r="BZ303" s="144">
        <f t="shared" si="748"/>
        <v>0</v>
      </c>
      <c r="CA303" s="144">
        <f t="shared" si="748"/>
        <v>0</v>
      </c>
      <c r="CB303" s="9">
        <f t="shared" si="748"/>
        <v>0</v>
      </c>
      <c r="CC303" s="144">
        <f t="shared" si="748"/>
        <v>0</v>
      </c>
      <c r="CD303" s="144">
        <f t="shared" si="748"/>
        <v>0</v>
      </c>
      <c r="CE303" s="144">
        <f t="shared" si="748"/>
        <v>0</v>
      </c>
      <c r="CF303" s="144">
        <f t="shared" si="748"/>
        <v>0</v>
      </c>
      <c r="CG303" s="144">
        <f t="shared" si="748"/>
        <v>0</v>
      </c>
      <c r="CH303" s="144">
        <f t="shared" si="748"/>
        <v>0</v>
      </c>
      <c r="CI303" s="144">
        <f t="shared" si="748"/>
        <v>0</v>
      </c>
      <c r="CJ303" s="144">
        <f t="shared" si="748"/>
        <v>0</v>
      </c>
      <c r="CK303" s="144">
        <f t="shared" si="748"/>
        <v>0</v>
      </c>
      <c r="CL303" s="144">
        <f t="shared" si="748"/>
        <v>0</v>
      </c>
      <c r="CM303" s="144">
        <f t="shared" si="748"/>
        <v>0</v>
      </c>
      <c r="CN303" s="144">
        <f t="shared" si="748"/>
        <v>0</v>
      </c>
      <c r="CO303" s="9">
        <f t="shared" si="748"/>
        <v>0</v>
      </c>
      <c r="CP303" s="144">
        <f t="shared" si="748"/>
        <v>0</v>
      </c>
      <c r="CQ303" s="144">
        <f t="shared" si="748"/>
        <v>0</v>
      </c>
      <c r="CR303" s="144">
        <f t="shared" si="748"/>
        <v>0</v>
      </c>
      <c r="CS303" s="144">
        <f t="shared" si="748"/>
        <v>0</v>
      </c>
      <c r="CT303" s="144">
        <f t="shared" si="748"/>
        <v>0</v>
      </c>
      <c r="CU303" s="144">
        <f t="shared" ref="CU303:EB303" si="749">CU91/CU$211</f>
        <v>0</v>
      </c>
      <c r="CV303" s="144">
        <f t="shared" si="749"/>
        <v>0</v>
      </c>
      <c r="CW303" s="144">
        <f t="shared" si="749"/>
        <v>0</v>
      </c>
      <c r="CX303" s="144">
        <f t="shared" si="749"/>
        <v>0</v>
      </c>
      <c r="CY303" s="144">
        <f t="shared" si="749"/>
        <v>0</v>
      </c>
      <c r="CZ303" s="144">
        <f t="shared" si="749"/>
        <v>0</v>
      </c>
      <c r="DA303" s="144">
        <f t="shared" si="749"/>
        <v>0</v>
      </c>
      <c r="DB303" s="9">
        <f t="shared" si="749"/>
        <v>0</v>
      </c>
      <c r="DC303" s="144">
        <f t="shared" si="749"/>
        <v>0</v>
      </c>
      <c r="DD303" s="144">
        <f t="shared" si="749"/>
        <v>0</v>
      </c>
      <c r="DE303" s="144">
        <f t="shared" si="749"/>
        <v>0</v>
      </c>
      <c r="DF303" s="144">
        <f t="shared" si="749"/>
        <v>0</v>
      </c>
      <c r="DG303" s="144">
        <f t="shared" si="749"/>
        <v>0</v>
      </c>
      <c r="DH303" s="144">
        <f t="shared" si="749"/>
        <v>0</v>
      </c>
      <c r="DI303" s="144">
        <f t="shared" si="749"/>
        <v>0</v>
      </c>
      <c r="DJ303" s="144">
        <f t="shared" si="749"/>
        <v>0</v>
      </c>
      <c r="DK303" s="144">
        <f t="shared" si="749"/>
        <v>0</v>
      </c>
      <c r="DL303" s="144">
        <f t="shared" si="749"/>
        <v>0</v>
      </c>
      <c r="DM303" s="144">
        <f t="shared" si="749"/>
        <v>0</v>
      </c>
      <c r="DN303" s="144">
        <f t="shared" si="749"/>
        <v>0</v>
      </c>
      <c r="DO303" s="9">
        <f t="shared" si="749"/>
        <v>0</v>
      </c>
      <c r="DP303" s="144">
        <f t="shared" si="749"/>
        <v>0</v>
      </c>
      <c r="DQ303" s="144">
        <f t="shared" si="749"/>
        <v>0</v>
      </c>
      <c r="DR303" s="144">
        <f t="shared" si="749"/>
        <v>0</v>
      </c>
      <c r="DS303" s="144">
        <f t="shared" si="749"/>
        <v>0</v>
      </c>
      <c r="DT303" s="144">
        <f t="shared" si="749"/>
        <v>0</v>
      </c>
      <c r="DU303" s="144">
        <f t="shared" si="749"/>
        <v>0</v>
      </c>
      <c r="DV303" s="144">
        <f t="shared" si="749"/>
        <v>0</v>
      </c>
      <c r="DW303" s="144">
        <f t="shared" si="749"/>
        <v>0</v>
      </c>
      <c r="DX303" s="144">
        <f t="shared" si="749"/>
        <v>0</v>
      </c>
      <c r="DY303" s="144">
        <f t="shared" si="749"/>
        <v>0</v>
      </c>
      <c r="DZ303" s="144">
        <f t="shared" si="749"/>
        <v>0</v>
      </c>
      <c r="EA303" s="144">
        <f t="shared" si="749"/>
        <v>0</v>
      </c>
      <c r="EB303" s="117">
        <f t="shared" si="749"/>
        <v>0</v>
      </c>
      <c r="EC303" s="118"/>
      <c r="ED303" s="117">
        <f t="shared" ref="ED303:FB303" si="750">ED91/ED$211</f>
        <v>0</v>
      </c>
      <c r="EE303" s="117">
        <f t="shared" si="750"/>
        <v>0</v>
      </c>
      <c r="EF303" s="117">
        <f t="shared" si="750"/>
        <v>0</v>
      </c>
      <c r="EG303" s="117" t="e">
        <f t="shared" si="750"/>
        <v>#DIV/0!</v>
      </c>
      <c r="EH303" s="117" t="e">
        <f t="shared" si="750"/>
        <v>#DIV/0!</v>
      </c>
      <c r="EI303" s="117" t="e">
        <f t="shared" si="750"/>
        <v>#DIV/0!</v>
      </c>
      <c r="EJ303" s="117" t="e">
        <f t="shared" si="750"/>
        <v>#DIV/0!</v>
      </c>
      <c r="EK303" s="117" t="e">
        <f t="shared" si="750"/>
        <v>#DIV/0!</v>
      </c>
      <c r="EL303" s="117" t="e">
        <f t="shared" si="750"/>
        <v>#DIV/0!</v>
      </c>
      <c r="EM303" s="117" t="e">
        <f t="shared" si="750"/>
        <v>#DIV/0!</v>
      </c>
      <c r="EN303" s="117" t="e">
        <f t="shared" si="750"/>
        <v>#DIV/0!</v>
      </c>
      <c r="EO303" s="116">
        <f t="shared" si="750"/>
        <v>0</v>
      </c>
      <c r="EP303" s="117">
        <f t="shared" si="750"/>
        <v>0</v>
      </c>
      <c r="EQ303" s="117">
        <f t="shared" si="750"/>
        <v>0</v>
      </c>
      <c r="ER303" s="117">
        <f t="shared" si="750"/>
        <v>0</v>
      </c>
      <c r="ES303" s="117">
        <f t="shared" si="750"/>
        <v>0</v>
      </c>
      <c r="ET303" s="117">
        <f t="shared" si="750"/>
        <v>0</v>
      </c>
      <c r="EU303" s="117">
        <f t="shared" si="750"/>
        <v>0</v>
      </c>
      <c r="EV303" s="117">
        <f t="shared" si="750"/>
        <v>0</v>
      </c>
      <c r="EW303" s="117">
        <f t="shared" si="750"/>
        <v>0</v>
      </c>
      <c r="EX303" s="117">
        <f t="shared" si="750"/>
        <v>0</v>
      </c>
      <c r="EY303" s="117">
        <f t="shared" si="750"/>
        <v>0</v>
      </c>
      <c r="EZ303" s="117">
        <f t="shared" si="750"/>
        <v>0</v>
      </c>
      <c r="FA303" s="117">
        <f t="shared" si="750"/>
        <v>0</v>
      </c>
      <c r="FB303" s="117">
        <f t="shared" si="750"/>
        <v>0</v>
      </c>
      <c r="FC303" s="118"/>
      <c r="FD303" s="117"/>
      <c r="FE303" s="117"/>
      <c r="FF303" s="117"/>
      <c r="FG303" s="117"/>
      <c r="FH303" s="117"/>
      <c r="FI303" s="117"/>
      <c r="FJ303" s="117"/>
      <c r="FK303" s="117" t="e">
        <f t="shared" si="601"/>
        <v>#DIV/0!</v>
      </c>
      <c r="FL303" s="117" t="e">
        <f t="shared" si="602"/>
        <v>#DIV/0!</v>
      </c>
      <c r="FM303" s="117" t="e">
        <f t="shared" si="603"/>
        <v>#DIV/0!</v>
      </c>
      <c r="FN303" s="117" t="e">
        <f t="shared" si="604"/>
        <v>#DIV/0!</v>
      </c>
      <c r="FO303" s="9" t="e">
        <f t="shared" si="605"/>
        <v>#DIV/0!</v>
      </c>
      <c r="FP303" s="118">
        <f t="shared" ref="FP303:GB303" si="751">FP91/FP$211</f>
        <v>0</v>
      </c>
      <c r="FQ303" s="117">
        <f t="shared" si="751"/>
        <v>0</v>
      </c>
      <c r="FR303" s="117">
        <f t="shared" si="751"/>
        <v>0</v>
      </c>
      <c r="FS303" s="117">
        <f t="shared" si="751"/>
        <v>0</v>
      </c>
      <c r="FT303" s="117">
        <f t="shared" si="751"/>
        <v>0</v>
      </c>
      <c r="FU303" s="117">
        <f t="shared" si="751"/>
        <v>0</v>
      </c>
      <c r="FV303" s="117">
        <f t="shared" si="751"/>
        <v>0</v>
      </c>
      <c r="FW303" s="117">
        <f t="shared" si="751"/>
        <v>0</v>
      </c>
      <c r="FX303" s="117">
        <f t="shared" si="751"/>
        <v>0</v>
      </c>
      <c r="FY303" s="117">
        <f t="shared" si="751"/>
        <v>0</v>
      </c>
      <c r="FZ303" s="117">
        <f t="shared" si="751"/>
        <v>0</v>
      </c>
      <c r="GA303" s="117">
        <f t="shared" si="751"/>
        <v>0</v>
      </c>
      <c r="GB303" s="116">
        <f t="shared" si="751"/>
        <v>0</v>
      </c>
    </row>
    <row r="304" spans="1:184">
      <c r="A304" s="147" t="s">
        <v>209</v>
      </c>
      <c r="B304" s="160">
        <f t="shared" si="607"/>
        <v>8.5175381887889</v>
      </c>
      <c r="C304" s="117">
        <f t="shared" ref="C304:AH304" si="752">C92/C$211</f>
        <v>0</v>
      </c>
      <c r="D304" s="117">
        <f t="shared" si="752"/>
        <v>0</v>
      </c>
      <c r="E304" s="117">
        <f t="shared" si="752"/>
        <v>0</v>
      </c>
      <c r="F304" s="117">
        <f t="shared" si="752"/>
        <v>0</v>
      </c>
      <c r="G304" s="117">
        <f t="shared" si="752"/>
        <v>0</v>
      </c>
      <c r="H304" s="117">
        <f t="shared" si="752"/>
        <v>0</v>
      </c>
      <c r="I304" s="117">
        <f t="shared" si="752"/>
        <v>0</v>
      </c>
      <c r="J304" s="117">
        <f t="shared" si="752"/>
        <v>0</v>
      </c>
      <c r="K304" s="117">
        <f t="shared" si="752"/>
        <v>0</v>
      </c>
      <c r="L304" s="117">
        <f t="shared" si="752"/>
        <v>0</v>
      </c>
      <c r="M304" s="117">
        <f t="shared" si="752"/>
        <v>0</v>
      </c>
      <c r="N304" s="117">
        <f t="shared" si="752"/>
        <v>0.00069785093344705</v>
      </c>
      <c r="O304" s="9">
        <f t="shared" si="752"/>
        <v>5.81296837437755e-5</v>
      </c>
      <c r="P304" s="117">
        <f t="shared" si="752"/>
        <v>0</v>
      </c>
      <c r="Q304" s="117">
        <f t="shared" si="752"/>
        <v>0</v>
      </c>
      <c r="R304" s="117">
        <f t="shared" si="752"/>
        <v>0</v>
      </c>
      <c r="S304" s="117">
        <f t="shared" si="752"/>
        <v>0</v>
      </c>
      <c r="T304" s="117">
        <f t="shared" si="752"/>
        <v>0</v>
      </c>
      <c r="U304" s="117">
        <f t="shared" si="752"/>
        <v>0</v>
      </c>
      <c r="V304" s="117">
        <f t="shared" si="752"/>
        <v>0</v>
      </c>
      <c r="W304" s="117">
        <f t="shared" si="752"/>
        <v>0</v>
      </c>
      <c r="X304" s="117">
        <f t="shared" si="752"/>
        <v>0</v>
      </c>
      <c r="Y304" s="117">
        <f t="shared" si="752"/>
        <v>0</v>
      </c>
      <c r="Z304" s="117">
        <f t="shared" si="752"/>
        <v>0</v>
      </c>
      <c r="AA304" s="117">
        <f t="shared" si="752"/>
        <v>0</v>
      </c>
      <c r="AB304" s="9">
        <f t="shared" si="752"/>
        <v>0</v>
      </c>
      <c r="AC304" s="117">
        <f t="shared" si="752"/>
        <v>0</v>
      </c>
      <c r="AD304" s="117">
        <f t="shared" si="752"/>
        <v>0</v>
      </c>
      <c r="AE304" s="117">
        <f t="shared" si="752"/>
        <v>0</v>
      </c>
      <c r="AF304" s="117">
        <f t="shared" si="752"/>
        <v>0</v>
      </c>
      <c r="AG304" s="117">
        <f t="shared" si="752"/>
        <v>0</v>
      </c>
      <c r="AH304" s="117">
        <f t="shared" si="752"/>
        <v>0</v>
      </c>
      <c r="AI304" s="117">
        <f t="shared" ref="AI304:BN304" si="753">AI92/AI$211</f>
        <v>0</v>
      </c>
      <c r="AJ304" s="117">
        <f t="shared" si="753"/>
        <v>0</v>
      </c>
      <c r="AK304" s="117">
        <f t="shared" si="753"/>
        <v>0</v>
      </c>
      <c r="AL304" s="117">
        <f t="shared" si="753"/>
        <v>0</v>
      </c>
      <c r="AM304" s="117">
        <f t="shared" si="753"/>
        <v>0</v>
      </c>
      <c r="AN304" s="117">
        <f t="shared" si="753"/>
        <v>0</v>
      </c>
      <c r="AO304" s="9">
        <f t="shared" si="753"/>
        <v>0</v>
      </c>
      <c r="AP304" s="144">
        <f t="shared" si="753"/>
        <v>0</v>
      </c>
      <c r="AQ304" s="144">
        <f t="shared" si="753"/>
        <v>0</v>
      </c>
      <c r="AR304" s="144">
        <f t="shared" si="753"/>
        <v>0</v>
      </c>
      <c r="AS304" s="144">
        <f t="shared" si="753"/>
        <v>0</v>
      </c>
      <c r="AT304" s="144">
        <f t="shared" si="753"/>
        <v>0</v>
      </c>
      <c r="AU304" s="144">
        <f t="shared" si="753"/>
        <v>0</v>
      </c>
      <c r="AV304" s="144">
        <f t="shared" si="753"/>
        <v>0</v>
      </c>
      <c r="AW304" s="144">
        <f t="shared" si="753"/>
        <v>0</v>
      </c>
      <c r="AX304" s="144">
        <f t="shared" si="753"/>
        <v>0</v>
      </c>
      <c r="AY304" s="144">
        <f t="shared" si="753"/>
        <v>0</v>
      </c>
      <c r="AZ304" s="144">
        <f t="shared" si="753"/>
        <v>0</v>
      </c>
      <c r="BA304" s="144">
        <f t="shared" si="753"/>
        <v>0</v>
      </c>
      <c r="BB304" s="9">
        <f t="shared" si="753"/>
        <v>0</v>
      </c>
      <c r="BC304" s="144">
        <f t="shared" si="753"/>
        <v>0</v>
      </c>
      <c r="BD304" s="144">
        <f t="shared" si="753"/>
        <v>0</v>
      </c>
      <c r="BE304" s="144">
        <f t="shared" si="753"/>
        <v>0</v>
      </c>
      <c r="BF304" s="144">
        <f t="shared" si="753"/>
        <v>0</v>
      </c>
      <c r="BG304" s="144">
        <f t="shared" si="753"/>
        <v>0</v>
      </c>
      <c r="BH304" s="144">
        <f t="shared" si="753"/>
        <v>0</v>
      </c>
      <c r="BI304" s="144">
        <f t="shared" si="753"/>
        <v>0</v>
      </c>
      <c r="BJ304" s="144">
        <f t="shared" si="753"/>
        <v>0</v>
      </c>
      <c r="BK304" s="144">
        <f t="shared" si="753"/>
        <v>0</v>
      </c>
      <c r="BL304" s="144">
        <f t="shared" si="753"/>
        <v>0</v>
      </c>
      <c r="BM304" s="144">
        <f t="shared" si="753"/>
        <v>0</v>
      </c>
      <c r="BN304" s="144">
        <f t="shared" si="753"/>
        <v>0</v>
      </c>
      <c r="BO304" s="9">
        <f t="shared" ref="BO304:CT304" si="754">BO92/BO$211</f>
        <v>0</v>
      </c>
      <c r="BP304" s="144">
        <f t="shared" si="754"/>
        <v>0</v>
      </c>
      <c r="BQ304" s="144">
        <f t="shared" si="754"/>
        <v>0</v>
      </c>
      <c r="BR304" s="144">
        <f t="shared" si="754"/>
        <v>0</v>
      </c>
      <c r="BS304" s="144">
        <f t="shared" si="754"/>
        <v>0</v>
      </c>
      <c r="BT304" s="144">
        <f t="shared" si="754"/>
        <v>0</v>
      </c>
      <c r="BU304" s="144">
        <f t="shared" si="754"/>
        <v>0</v>
      </c>
      <c r="BV304" s="144">
        <f t="shared" si="754"/>
        <v>0</v>
      </c>
      <c r="BW304" s="144">
        <f t="shared" si="754"/>
        <v>0</v>
      </c>
      <c r="BX304" s="144">
        <f t="shared" si="754"/>
        <v>0</v>
      </c>
      <c r="BY304" s="144">
        <f t="shared" si="754"/>
        <v>0</v>
      </c>
      <c r="BZ304" s="144">
        <f t="shared" si="754"/>
        <v>0</v>
      </c>
      <c r="CA304" s="144">
        <f t="shared" si="754"/>
        <v>0</v>
      </c>
      <c r="CB304" s="9">
        <f t="shared" si="754"/>
        <v>0</v>
      </c>
      <c r="CC304" s="144">
        <f t="shared" si="754"/>
        <v>0</v>
      </c>
      <c r="CD304" s="144">
        <f t="shared" si="754"/>
        <v>0</v>
      </c>
      <c r="CE304" s="144">
        <f t="shared" si="754"/>
        <v>0</v>
      </c>
      <c r="CF304" s="144">
        <f t="shared" si="754"/>
        <v>0</v>
      </c>
      <c r="CG304" s="144">
        <f t="shared" si="754"/>
        <v>0</v>
      </c>
      <c r="CH304" s="144">
        <f t="shared" si="754"/>
        <v>0</v>
      </c>
      <c r="CI304" s="144">
        <f t="shared" si="754"/>
        <v>0</v>
      </c>
      <c r="CJ304" s="144">
        <f t="shared" si="754"/>
        <v>0</v>
      </c>
      <c r="CK304" s="144">
        <f t="shared" si="754"/>
        <v>0</v>
      </c>
      <c r="CL304" s="144">
        <f t="shared" si="754"/>
        <v>0</v>
      </c>
      <c r="CM304" s="144">
        <f t="shared" si="754"/>
        <v>0</v>
      </c>
      <c r="CN304" s="144">
        <f t="shared" si="754"/>
        <v>0</v>
      </c>
      <c r="CO304" s="9">
        <f t="shared" si="754"/>
        <v>0</v>
      </c>
      <c r="CP304" s="144">
        <f t="shared" si="754"/>
        <v>0</v>
      </c>
      <c r="CQ304" s="144">
        <f t="shared" si="754"/>
        <v>0</v>
      </c>
      <c r="CR304" s="144">
        <f t="shared" si="754"/>
        <v>0</v>
      </c>
      <c r="CS304" s="144">
        <f t="shared" si="754"/>
        <v>0</v>
      </c>
      <c r="CT304" s="144">
        <f t="shared" si="754"/>
        <v>0</v>
      </c>
      <c r="CU304" s="144">
        <f t="shared" ref="CU304:EB304" si="755">CU92/CU$211</f>
        <v>0</v>
      </c>
      <c r="CV304" s="144">
        <f t="shared" si="755"/>
        <v>0</v>
      </c>
      <c r="CW304" s="144">
        <f t="shared" si="755"/>
        <v>0</v>
      </c>
      <c r="CX304" s="144">
        <f t="shared" si="755"/>
        <v>0</v>
      </c>
      <c r="CY304" s="144">
        <f t="shared" si="755"/>
        <v>0</v>
      </c>
      <c r="CZ304" s="144">
        <f t="shared" si="755"/>
        <v>0</v>
      </c>
      <c r="DA304" s="144">
        <f t="shared" si="755"/>
        <v>0</v>
      </c>
      <c r="DB304" s="9">
        <f t="shared" si="755"/>
        <v>0</v>
      </c>
      <c r="DC304" s="144">
        <f t="shared" si="755"/>
        <v>0</v>
      </c>
      <c r="DD304" s="144">
        <f t="shared" si="755"/>
        <v>0</v>
      </c>
      <c r="DE304" s="144">
        <f t="shared" si="755"/>
        <v>0</v>
      </c>
      <c r="DF304" s="144">
        <f t="shared" si="755"/>
        <v>0</v>
      </c>
      <c r="DG304" s="144">
        <f t="shared" si="755"/>
        <v>0</v>
      </c>
      <c r="DH304" s="144">
        <f t="shared" si="755"/>
        <v>0</v>
      </c>
      <c r="DI304" s="144">
        <f t="shared" si="755"/>
        <v>0</v>
      </c>
      <c r="DJ304" s="144">
        <f t="shared" si="755"/>
        <v>0</v>
      </c>
      <c r="DK304" s="144">
        <f t="shared" si="755"/>
        <v>0</v>
      </c>
      <c r="DL304" s="144">
        <f t="shared" si="755"/>
        <v>0</v>
      </c>
      <c r="DM304" s="144">
        <f t="shared" si="755"/>
        <v>0</v>
      </c>
      <c r="DN304" s="144">
        <f t="shared" si="755"/>
        <v>0</v>
      </c>
      <c r="DO304" s="9">
        <f t="shared" si="755"/>
        <v>0</v>
      </c>
      <c r="DP304" s="144">
        <f t="shared" si="755"/>
        <v>0</v>
      </c>
      <c r="DQ304" s="144">
        <f t="shared" si="755"/>
        <v>0</v>
      </c>
      <c r="DR304" s="144">
        <f t="shared" si="755"/>
        <v>0</v>
      </c>
      <c r="DS304" s="144">
        <f t="shared" si="755"/>
        <v>0</v>
      </c>
      <c r="DT304" s="144">
        <f t="shared" si="755"/>
        <v>0</v>
      </c>
      <c r="DU304" s="144">
        <f t="shared" si="755"/>
        <v>0</v>
      </c>
      <c r="DV304" s="144">
        <f t="shared" si="755"/>
        <v>0</v>
      </c>
      <c r="DW304" s="144">
        <f t="shared" si="755"/>
        <v>0</v>
      </c>
      <c r="DX304" s="144">
        <f t="shared" si="755"/>
        <v>0</v>
      </c>
      <c r="DY304" s="144">
        <f t="shared" si="755"/>
        <v>0</v>
      </c>
      <c r="DZ304" s="144">
        <f t="shared" si="755"/>
        <v>0</v>
      </c>
      <c r="EA304" s="144">
        <f t="shared" si="755"/>
        <v>0</v>
      </c>
      <c r="EB304" s="117">
        <f t="shared" si="755"/>
        <v>0</v>
      </c>
      <c r="EC304" s="118"/>
      <c r="ED304" s="117">
        <f t="shared" ref="ED304:FB304" si="756">ED92/ED$211</f>
        <v>0</v>
      </c>
      <c r="EE304" s="117">
        <f t="shared" si="756"/>
        <v>0</v>
      </c>
      <c r="EF304" s="117">
        <f t="shared" si="756"/>
        <v>0</v>
      </c>
      <c r="EG304" s="117" t="e">
        <f t="shared" si="756"/>
        <v>#DIV/0!</v>
      </c>
      <c r="EH304" s="117" t="e">
        <f t="shared" si="756"/>
        <v>#DIV/0!</v>
      </c>
      <c r="EI304" s="117" t="e">
        <f t="shared" si="756"/>
        <v>#DIV/0!</v>
      </c>
      <c r="EJ304" s="117" t="e">
        <f t="shared" si="756"/>
        <v>#DIV/0!</v>
      </c>
      <c r="EK304" s="117" t="e">
        <f t="shared" si="756"/>
        <v>#DIV/0!</v>
      </c>
      <c r="EL304" s="117" t="e">
        <f t="shared" si="756"/>
        <v>#DIV/0!</v>
      </c>
      <c r="EM304" s="117" t="e">
        <f t="shared" si="756"/>
        <v>#DIV/0!</v>
      </c>
      <c r="EN304" s="117" t="e">
        <f t="shared" si="756"/>
        <v>#DIV/0!</v>
      </c>
      <c r="EO304" s="116">
        <f t="shared" si="756"/>
        <v>0</v>
      </c>
      <c r="EP304" s="117">
        <f t="shared" si="756"/>
        <v>0</v>
      </c>
      <c r="EQ304" s="117">
        <f t="shared" si="756"/>
        <v>0</v>
      </c>
      <c r="ER304" s="117">
        <f t="shared" si="756"/>
        <v>0</v>
      </c>
      <c r="ES304" s="117">
        <f t="shared" si="756"/>
        <v>0</v>
      </c>
      <c r="ET304" s="117">
        <f t="shared" si="756"/>
        <v>0</v>
      </c>
      <c r="EU304" s="117">
        <f t="shared" si="756"/>
        <v>0</v>
      </c>
      <c r="EV304" s="117">
        <f t="shared" si="756"/>
        <v>0</v>
      </c>
      <c r="EW304" s="117">
        <f t="shared" si="756"/>
        <v>0</v>
      </c>
      <c r="EX304" s="117">
        <f t="shared" si="756"/>
        <v>0</v>
      </c>
      <c r="EY304" s="117">
        <f t="shared" si="756"/>
        <v>0</v>
      </c>
      <c r="EZ304" s="117">
        <f t="shared" si="756"/>
        <v>0</v>
      </c>
      <c r="FA304" s="117">
        <f t="shared" si="756"/>
        <v>0</v>
      </c>
      <c r="FB304" s="117">
        <f t="shared" si="756"/>
        <v>0</v>
      </c>
      <c r="FC304" s="118"/>
      <c r="FD304" s="117"/>
      <c r="FE304" s="117"/>
      <c r="FF304" s="117"/>
      <c r="FG304" s="117"/>
      <c r="FH304" s="117"/>
      <c r="FI304" s="117"/>
      <c r="FJ304" s="117"/>
      <c r="FK304" s="117" t="e">
        <f t="shared" si="601"/>
        <v>#DIV/0!</v>
      </c>
      <c r="FL304" s="117" t="e">
        <f t="shared" si="602"/>
        <v>#DIV/0!</v>
      </c>
      <c r="FM304" s="117" t="e">
        <f t="shared" si="603"/>
        <v>#DIV/0!</v>
      </c>
      <c r="FN304" s="117" t="e">
        <f t="shared" si="604"/>
        <v>#DIV/0!</v>
      </c>
      <c r="FO304" s="9" t="e">
        <f t="shared" si="605"/>
        <v>#DIV/0!</v>
      </c>
      <c r="FP304" s="118">
        <f t="shared" ref="FP304:GB304" si="757">FP92/FP$211</f>
        <v>0</v>
      </c>
      <c r="FQ304" s="117">
        <f t="shared" si="757"/>
        <v>0</v>
      </c>
      <c r="FR304" s="117">
        <f t="shared" si="757"/>
        <v>0</v>
      </c>
      <c r="FS304" s="117">
        <f t="shared" si="757"/>
        <v>0</v>
      </c>
      <c r="FT304" s="117">
        <f t="shared" si="757"/>
        <v>0</v>
      </c>
      <c r="FU304" s="117">
        <f t="shared" si="757"/>
        <v>0</v>
      </c>
      <c r="FV304" s="117">
        <f t="shared" si="757"/>
        <v>0</v>
      </c>
      <c r="FW304" s="117">
        <f t="shared" si="757"/>
        <v>0</v>
      </c>
      <c r="FX304" s="117">
        <f t="shared" si="757"/>
        <v>0</v>
      </c>
      <c r="FY304" s="117">
        <f t="shared" si="757"/>
        <v>0</v>
      </c>
      <c r="FZ304" s="117">
        <f t="shared" si="757"/>
        <v>0</v>
      </c>
      <c r="GA304" s="117">
        <f t="shared" si="757"/>
        <v>0.00255666875563434</v>
      </c>
      <c r="GB304" s="116">
        <f t="shared" si="757"/>
        <v>0.000240456281308332</v>
      </c>
    </row>
    <row r="305" spans="1:184">
      <c r="A305" s="147" t="s">
        <v>211</v>
      </c>
      <c r="B305" s="160">
        <f t="shared" si="607"/>
        <v>-0.869775845795948</v>
      </c>
      <c r="C305" s="117">
        <f t="shared" ref="C305:AH305" si="758">C93/C$211</f>
        <v>5.90820087822751e-6</v>
      </c>
      <c r="D305" s="117">
        <f t="shared" si="758"/>
        <v>1.10374082189953e-5</v>
      </c>
      <c r="E305" s="117">
        <f t="shared" si="758"/>
        <v>8.82659844503349e-6</v>
      </c>
      <c r="F305" s="117">
        <f t="shared" si="758"/>
        <v>1.112946979009e-5</v>
      </c>
      <c r="G305" s="117">
        <f t="shared" si="758"/>
        <v>1.24860855096165e-5</v>
      </c>
      <c r="H305" s="117">
        <f t="shared" si="758"/>
        <v>0</v>
      </c>
      <c r="I305" s="117">
        <f t="shared" si="758"/>
        <v>0</v>
      </c>
      <c r="J305" s="117">
        <f t="shared" si="758"/>
        <v>0</v>
      </c>
      <c r="K305" s="117">
        <f t="shared" si="758"/>
        <v>0</v>
      </c>
      <c r="L305" s="117">
        <f t="shared" si="758"/>
        <v>0</v>
      </c>
      <c r="M305" s="117">
        <f t="shared" si="758"/>
        <v>0</v>
      </c>
      <c r="N305" s="117">
        <f t="shared" si="758"/>
        <v>0</v>
      </c>
      <c r="O305" s="9">
        <f t="shared" si="758"/>
        <v>4.11033319780357e-6</v>
      </c>
      <c r="P305" s="117">
        <f t="shared" si="758"/>
        <v>0</v>
      </c>
      <c r="Q305" s="117">
        <f t="shared" si="758"/>
        <v>0</v>
      </c>
      <c r="R305" s="117">
        <f t="shared" si="758"/>
        <v>0</v>
      </c>
      <c r="S305" s="117">
        <f t="shared" si="758"/>
        <v>0</v>
      </c>
      <c r="T305" s="117">
        <f t="shared" si="758"/>
        <v>0</v>
      </c>
      <c r="U305" s="117">
        <f t="shared" si="758"/>
        <v>0</v>
      </c>
      <c r="V305" s="117">
        <f t="shared" si="758"/>
        <v>0</v>
      </c>
      <c r="W305" s="117">
        <f t="shared" si="758"/>
        <v>0</v>
      </c>
      <c r="X305" s="117">
        <f t="shared" si="758"/>
        <v>0</v>
      </c>
      <c r="Y305" s="117">
        <f t="shared" si="758"/>
        <v>0</v>
      </c>
      <c r="Z305" s="117">
        <f t="shared" si="758"/>
        <v>0</v>
      </c>
      <c r="AA305" s="117">
        <f t="shared" si="758"/>
        <v>0</v>
      </c>
      <c r="AB305" s="9">
        <f t="shared" si="758"/>
        <v>0</v>
      </c>
      <c r="AC305" s="117">
        <f t="shared" si="758"/>
        <v>0</v>
      </c>
      <c r="AD305" s="117">
        <f t="shared" si="758"/>
        <v>0</v>
      </c>
      <c r="AE305" s="117">
        <f t="shared" si="758"/>
        <v>0</v>
      </c>
      <c r="AF305" s="117">
        <f t="shared" si="758"/>
        <v>0</v>
      </c>
      <c r="AG305" s="117">
        <f t="shared" si="758"/>
        <v>0</v>
      </c>
      <c r="AH305" s="117">
        <f t="shared" si="758"/>
        <v>0</v>
      </c>
      <c r="AI305" s="117">
        <f t="shared" ref="AI305:BN305" si="759">AI93/AI$211</f>
        <v>0</v>
      </c>
      <c r="AJ305" s="117">
        <f t="shared" si="759"/>
        <v>0</v>
      </c>
      <c r="AK305" s="117">
        <f t="shared" si="759"/>
        <v>0</v>
      </c>
      <c r="AL305" s="117">
        <f t="shared" si="759"/>
        <v>0</v>
      </c>
      <c r="AM305" s="117">
        <f t="shared" si="759"/>
        <v>0</v>
      </c>
      <c r="AN305" s="117">
        <f t="shared" si="759"/>
        <v>0</v>
      </c>
      <c r="AO305" s="9">
        <f t="shared" si="759"/>
        <v>0</v>
      </c>
      <c r="AP305" s="144">
        <f t="shared" si="759"/>
        <v>0</v>
      </c>
      <c r="AQ305" s="144">
        <f t="shared" si="759"/>
        <v>0</v>
      </c>
      <c r="AR305" s="144">
        <f t="shared" si="759"/>
        <v>0</v>
      </c>
      <c r="AS305" s="144">
        <f t="shared" si="759"/>
        <v>0</v>
      </c>
      <c r="AT305" s="144">
        <f t="shared" si="759"/>
        <v>0</v>
      </c>
      <c r="AU305" s="144">
        <f t="shared" si="759"/>
        <v>0</v>
      </c>
      <c r="AV305" s="144">
        <f t="shared" si="759"/>
        <v>0</v>
      </c>
      <c r="AW305" s="144">
        <f t="shared" si="759"/>
        <v>0</v>
      </c>
      <c r="AX305" s="144">
        <f t="shared" si="759"/>
        <v>0</v>
      </c>
      <c r="AY305" s="144">
        <f t="shared" si="759"/>
        <v>0</v>
      </c>
      <c r="AZ305" s="144">
        <f t="shared" si="759"/>
        <v>0</v>
      </c>
      <c r="BA305" s="144">
        <f t="shared" si="759"/>
        <v>0</v>
      </c>
      <c r="BB305" s="9">
        <f t="shared" si="759"/>
        <v>0</v>
      </c>
      <c r="BC305" s="144">
        <f t="shared" si="759"/>
        <v>0</v>
      </c>
      <c r="BD305" s="144">
        <f t="shared" si="759"/>
        <v>0</v>
      </c>
      <c r="BE305" s="144">
        <f t="shared" si="759"/>
        <v>0</v>
      </c>
      <c r="BF305" s="144">
        <f t="shared" si="759"/>
        <v>0</v>
      </c>
      <c r="BG305" s="144">
        <f t="shared" si="759"/>
        <v>0</v>
      </c>
      <c r="BH305" s="144">
        <f t="shared" si="759"/>
        <v>0</v>
      </c>
      <c r="BI305" s="144">
        <f t="shared" si="759"/>
        <v>0</v>
      </c>
      <c r="BJ305" s="144">
        <f t="shared" si="759"/>
        <v>0</v>
      </c>
      <c r="BK305" s="144">
        <f t="shared" si="759"/>
        <v>0</v>
      </c>
      <c r="BL305" s="144">
        <f t="shared" si="759"/>
        <v>0</v>
      </c>
      <c r="BM305" s="144">
        <f t="shared" si="759"/>
        <v>0</v>
      </c>
      <c r="BN305" s="144">
        <f t="shared" si="759"/>
        <v>0</v>
      </c>
      <c r="BO305" s="9">
        <f t="shared" ref="BO305:CT305" si="760">BO93/BO$211</f>
        <v>0</v>
      </c>
      <c r="BP305" s="144">
        <f t="shared" si="760"/>
        <v>0</v>
      </c>
      <c r="BQ305" s="144">
        <f t="shared" si="760"/>
        <v>0</v>
      </c>
      <c r="BR305" s="144">
        <f t="shared" si="760"/>
        <v>0</v>
      </c>
      <c r="BS305" s="144">
        <f t="shared" si="760"/>
        <v>0</v>
      </c>
      <c r="BT305" s="144">
        <f t="shared" si="760"/>
        <v>0</v>
      </c>
      <c r="BU305" s="144">
        <f t="shared" si="760"/>
        <v>0</v>
      </c>
      <c r="BV305" s="144">
        <f t="shared" si="760"/>
        <v>0</v>
      </c>
      <c r="BW305" s="144">
        <f t="shared" si="760"/>
        <v>0</v>
      </c>
      <c r="BX305" s="144">
        <f t="shared" si="760"/>
        <v>0</v>
      </c>
      <c r="BY305" s="144">
        <f t="shared" si="760"/>
        <v>0</v>
      </c>
      <c r="BZ305" s="144">
        <f t="shared" si="760"/>
        <v>0</v>
      </c>
      <c r="CA305" s="144">
        <f t="shared" si="760"/>
        <v>0</v>
      </c>
      <c r="CB305" s="9">
        <f t="shared" si="760"/>
        <v>0</v>
      </c>
      <c r="CC305" s="144">
        <f t="shared" si="760"/>
        <v>0</v>
      </c>
      <c r="CD305" s="144">
        <f t="shared" si="760"/>
        <v>0</v>
      </c>
      <c r="CE305" s="144">
        <f t="shared" si="760"/>
        <v>0</v>
      </c>
      <c r="CF305" s="144">
        <f t="shared" si="760"/>
        <v>0</v>
      </c>
      <c r="CG305" s="144">
        <f t="shared" si="760"/>
        <v>0</v>
      </c>
      <c r="CH305" s="144">
        <f t="shared" si="760"/>
        <v>0</v>
      </c>
      <c r="CI305" s="144">
        <f t="shared" si="760"/>
        <v>0</v>
      </c>
      <c r="CJ305" s="144">
        <f t="shared" si="760"/>
        <v>0</v>
      </c>
      <c r="CK305" s="144">
        <f t="shared" si="760"/>
        <v>0</v>
      </c>
      <c r="CL305" s="144">
        <f t="shared" si="760"/>
        <v>0</v>
      </c>
      <c r="CM305" s="144">
        <f t="shared" si="760"/>
        <v>0</v>
      </c>
      <c r="CN305" s="144">
        <f t="shared" si="760"/>
        <v>0</v>
      </c>
      <c r="CO305" s="9">
        <f t="shared" si="760"/>
        <v>0</v>
      </c>
      <c r="CP305" s="144">
        <f t="shared" si="760"/>
        <v>0</v>
      </c>
      <c r="CQ305" s="144">
        <f t="shared" si="760"/>
        <v>0</v>
      </c>
      <c r="CR305" s="144">
        <f t="shared" si="760"/>
        <v>0</v>
      </c>
      <c r="CS305" s="144">
        <f t="shared" si="760"/>
        <v>0</v>
      </c>
      <c r="CT305" s="144">
        <f t="shared" si="760"/>
        <v>0</v>
      </c>
      <c r="CU305" s="144">
        <f t="shared" ref="CU305:EB305" si="761">CU93/CU$211</f>
        <v>0</v>
      </c>
      <c r="CV305" s="144">
        <f t="shared" si="761"/>
        <v>0</v>
      </c>
      <c r="CW305" s="144">
        <f t="shared" si="761"/>
        <v>0</v>
      </c>
      <c r="CX305" s="144">
        <f t="shared" si="761"/>
        <v>0</v>
      </c>
      <c r="CY305" s="144">
        <f t="shared" si="761"/>
        <v>0</v>
      </c>
      <c r="CZ305" s="144">
        <f t="shared" si="761"/>
        <v>0</v>
      </c>
      <c r="DA305" s="144">
        <f t="shared" si="761"/>
        <v>0</v>
      </c>
      <c r="DB305" s="9">
        <f t="shared" si="761"/>
        <v>0</v>
      </c>
      <c r="DC305" s="144">
        <f t="shared" si="761"/>
        <v>0</v>
      </c>
      <c r="DD305" s="144">
        <f t="shared" si="761"/>
        <v>0</v>
      </c>
      <c r="DE305" s="144">
        <f t="shared" si="761"/>
        <v>0</v>
      </c>
      <c r="DF305" s="144">
        <f t="shared" si="761"/>
        <v>0</v>
      </c>
      <c r="DG305" s="144">
        <f t="shared" si="761"/>
        <v>0</v>
      </c>
      <c r="DH305" s="144">
        <f t="shared" si="761"/>
        <v>0</v>
      </c>
      <c r="DI305" s="144">
        <f t="shared" si="761"/>
        <v>0</v>
      </c>
      <c r="DJ305" s="144">
        <f t="shared" si="761"/>
        <v>0</v>
      </c>
      <c r="DK305" s="144">
        <f t="shared" si="761"/>
        <v>0</v>
      </c>
      <c r="DL305" s="144">
        <f t="shared" si="761"/>
        <v>0</v>
      </c>
      <c r="DM305" s="144">
        <f t="shared" si="761"/>
        <v>0</v>
      </c>
      <c r="DN305" s="144">
        <f t="shared" si="761"/>
        <v>0</v>
      </c>
      <c r="DO305" s="9">
        <f t="shared" si="761"/>
        <v>0</v>
      </c>
      <c r="DP305" s="144">
        <f t="shared" si="761"/>
        <v>0</v>
      </c>
      <c r="DQ305" s="144">
        <f t="shared" si="761"/>
        <v>0</v>
      </c>
      <c r="DR305" s="144">
        <f t="shared" si="761"/>
        <v>0</v>
      </c>
      <c r="DS305" s="144">
        <f t="shared" si="761"/>
        <v>0</v>
      </c>
      <c r="DT305" s="144">
        <f t="shared" si="761"/>
        <v>0</v>
      </c>
      <c r="DU305" s="144">
        <f t="shared" si="761"/>
        <v>0</v>
      </c>
      <c r="DV305" s="144">
        <f t="shared" si="761"/>
        <v>0</v>
      </c>
      <c r="DW305" s="144">
        <f t="shared" si="761"/>
        <v>0</v>
      </c>
      <c r="DX305" s="144">
        <f t="shared" si="761"/>
        <v>0</v>
      </c>
      <c r="DY305" s="144">
        <f t="shared" si="761"/>
        <v>0</v>
      </c>
      <c r="DZ305" s="144">
        <f t="shared" si="761"/>
        <v>0</v>
      </c>
      <c r="EA305" s="144">
        <f t="shared" si="761"/>
        <v>0</v>
      </c>
      <c r="EB305" s="117">
        <f t="shared" si="761"/>
        <v>0</v>
      </c>
      <c r="EC305" s="118"/>
      <c r="ED305" s="117">
        <f t="shared" ref="ED305:FB305" si="762">ED93/ED$211</f>
        <v>0</v>
      </c>
      <c r="EE305" s="117">
        <f t="shared" si="762"/>
        <v>0</v>
      </c>
      <c r="EF305" s="117">
        <f t="shared" si="762"/>
        <v>0</v>
      </c>
      <c r="EG305" s="117" t="e">
        <f t="shared" si="762"/>
        <v>#DIV/0!</v>
      </c>
      <c r="EH305" s="117" t="e">
        <f t="shared" si="762"/>
        <v>#DIV/0!</v>
      </c>
      <c r="EI305" s="117" t="e">
        <f t="shared" si="762"/>
        <v>#DIV/0!</v>
      </c>
      <c r="EJ305" s="117" t="e">
        <f t="shared" si="762"/>
        <v>#DIV/0!</v>
      </c>
      <c r="EK305" s="117" t="e">
        <f t="shared" si="762"/>
        <v>#DIV/0!</v>
      </c>
      <c r="EL305" s="117" t="e">
        <f t="shared" si="762"/>
        <v>#DIV/0!</v>
      </c>
      <c r="EM305" s="117" t="e">
        <f t="shared" si="762"/>
        <v>#DIV/0!</v>
      </c>
      <c r="EN305" s="117" t="e">
        <f t="shared" si="762"/>
        <v>#DIV/0!</v>
      </c>
      <c r="EO305" s="116">
        <f t="shared" si="762"/>
        <v>0</v>
      </c>
      <c r="EP305" s="117">
        <f t="shared" si="762"/>
        <v>0</v>
      </c>
      <c r="EQ305" s="117">
        <f t="shared" si="762"/>
        <v>0</v>
      </c>
      <c r="ER305" s="117">
        <f t="shared" si="762"/>
        <v>0</v>
      </c>
      <c r="ES305" s="117">
        <f t="shared" si="762"/>
        <v>0</v>
      </c>
      <c r="ET305" s="117">
        <f t="shared" si="762"/>
        <v>0</v>
      </c>
      <c r="EU305" s="117">
        <f t="shared" si="762"/>
        <v>0</v>
      </c>
      <c r="EV305" s="117">
        <f t="shared" si="762"/>
        <v>0</v>
      </c>
      <c r="EW305" s="117">
        <f t="shared" si="762"/>
        <v>0</v>
      </c>
      <c r="EX305" s="117">
        <f t="shared" si="762"/>
        <v>0</v>
      </c>
      <c r="EY305" s="117">
        <f t="shared" si="762"/>
        <v>0</v>
      </c>
      <c r="EZ305" s="117">
        <f t="shared" si="762"/>
        <v>0</v>
      </c>
      <c r="FA305" s="117">
        <f t="shared" si="762"/>
        <v>0</v>
      </c>
      <c r="FB305" s="117">
        <f t="shared" si="762"/>
        <v>0</v>
      </c>
      <c r="FC305" s="118"/>
      <c r="FD305" s="117"/>
      <c r="FE305" s="117"/>
      <c r="FF305" s="117"/>
      <c r="FG305" s="117"/>
      <c r="FH305" s="117"/>
      <c r="FI305" s="117"/>
      <c r="FJ305" s="117"/>
      <c r="FK305" s="117" t="e">
        <f t="shared" si="601"/>
        <v>#DIV/0!</v>
      </c>
      <c r="FL305" s="117" t="e">
        <f t="shared" si="602"/>
        <v>#DIV/0!</v>
      </c>
      <c r="FM305" s="117" t="e">
        <f t="shared" si="603"/>
        <v>#DIV/0!</v>
      </c>
      <c r="FN305" s="117" t="e">
        <f t="shared" si="604"/>
        <v>#DIV/0!</v>
      </c>
      <c r="FO305" s="9" t="e">
        <f t="shared" si="605"/>
        <v>#DIV/0!</v>
      </c>
      <c r="FP305" s="118">
        <f t="shared" ref="FP305:GB305" si="763">FP93/FP$211</f>
        <v>2.23074651713715e-5</v>
      </c>
      <c r="FQ305" s="117">
        <f t="shared" si="763"/>
        <v>4.53954360632789e-5</v>
      </c>
      <c r="FR305" s="117">
        <f t="shared" si="763"/>
        <v>3.30288165467439e-5</v>
      </c>
      <c r="FS305" s="117">
        <f t="shared" si="763"/>
        <v>4.57417360739749e-5</v>
      </c>
      <c r="FT305" s="117">
        <f t="shared" si="763"/>
        <v>5.95292673421985e-5</v>
      </c>
      <c r="FU305" s="117">
        <f t="shared" si="763"/>
        <v>0</v>
      </c>
      <c r="FV305" s="117">
        <f t="shared" si="763"/>
        <v>0</v>
      </c>
      <c r="FW305" s="117">
        <f t="shared" si="763"/>
        <v>0</v>
      </c>
      <c r="FX305" s="117">
        <f t="shared" si="763"/>
        <v>0</v>
      </c>
      <c r="FY305" s="117">
        <f t="shared" si="763"/>
        <v>0</v>
      </c>
      <c r="FZ305" s="117">
        <f t="shared" si="763"/>
        <v>0</v>
      </c>
      <c r="GA305" s="117">
        <f t="shared" si="763"/>
        <v>0</v>
      </c>
      <c r="GB305" s="116">
        <f t="shared" si="763"/>
        <v>1.70025944066462e-5</v>
      </c>
    </row>
    <row r="306" spans="1:184">
      <c r="A306" s="147" t="s">
        <v>213</v>
      </c>
      <c r="B306" s="160">
        <f t="shared" si="607"/>
        <v>-0.888933812957142</v>
      </c>
      <c r="C306" s="117">
        <f t="shared" ref="C306:AH306" si="764">C94/C$211</f>
        <v>6.23325827873146e-7</v>
      </c>
      <c r="D306" s="117">
        <f t="shared" si="764"/>
        <v>0</v>
      </c>
      <c r="E306" s="117">
        <f t="shared" si="764"/>
        <v>2.00771780083867e-6</v>
      </c>
      <c r="F306" s="117">
        <f t="shared" si="764"/>
        <v>5.73694128637852e-7</v>
      </c>
      <c r="G306" s="117">
        <f t="shared" si="764"/>
        <v>4.43505306345958e-6</v>
      </c>
      <c r="H306" s="117">
        <f t="shared" si="764"/>
        <v>0</v>
      </c>
      <c r="I306" s="117">
        <f t="shared" si="764"/>
        <v>0</v>
      </c>
      <c r="J306" s="117">
        <f t="shared" si="764"/>
        <v>0</v>
      </c>
      <c r="K306" s="117">
        <f t="shared" si="764"/>
        <v>0</v>
      </c>
      <c r="L306" s="117">
        <f t="shared" si="764"/>
        <v>0</v>
      </c>
      <c r="M306" s="117">
        <f t="shared" si="764"/>
        <v>0</v>
      </c>
      <c r="N306" s="117">
        <f t="shared" si="764"/>
        <v>0</v>
      </c>
      <c r="O306" s="9">
        <f t="shared" si="764"/>
        <v>5.71707718409972e-7</v>
      </c>
      <c r="P306" s="117">
        <f t="shared" si="764"/>
        <v>3.33992027594649e-6</v>
      </c>
      <c r="Q306" s="117">
        <f t="shared" si="764"/>
        <v>0</v>
      </c>
      <c r="R306" s="117">
        <f t="shared" si="764"/>
        <v>0</v>
      </c>
      <c r="S306" s="117">
        <f t="shared" si="764"/>
        <v>0</v>
      </c>
      <c r="T306" s="117">
        <f t="shared" si="764"/>
        <v>0</v>
      </c>
      <c r="U306" s="117">
        <f t="shared" si="764"/>
        <v>0</v>
      </c>
      <c r="V306" s="117">
        <f t="shared" si="764"/>
        <v>0</v>
      </c>
      <c r="W306" s="117">
        <f t="shared" si="764"/>
        <v>0</v>
      </c>
      <c r="X306" s="117">
        <f t="shared" si="764"/>
        <v>0</v>
      </c>
      <c r="Y306" s="117">
        <f t="shared" si="764"/>
        <v>0</v>
      </c>
      <c r="Z306" s="117">
        <f t="shared" si="764"/>
        <v>0</v>
      </c>
      <c r="AA306" s="117">
        <f t="shared" si="764"/>
        <v>0</v>
      </c>
      <c r="AB306" s="9">
        <f t="shared" si="764"/>
        <v>3.78889091344219e-7</v>
      </c>
      <c r="AC306" s="117">
        <f t="shared" si="764"/>
        <v>0</v>
      </c>
      <c r="AD306" s="117">
        <f t="shared" si="764"/>
        <v>0</v>
      </c>
      <c r="AE306" s="117">
        <f t="shared" si="764"/>
        <v>0</v>
      </c>
      <c r="AF306" s="117">
        <f t="shared" si="764"/>
        <v>0</v>
      </c>
      <c r="AG306" s="117">
        <f t="shared" si="764"/>
        <v>0</v>
      </c>
      <c r="AH306" s="117">
        <f t="shared" si="764"/>
        <v>0</v>
      </c>
      <c r="AI306" s="117">
        <f t="shared" ref="AI306:BN306" si="765">AI94/AI$211</f>
        <v>0</v>
      </c>
      <c r="AJ306" s="117">
        <f t="shared" si="765"/>
        <v>0</v>
      </c>
      <c r="AK306" s="117">
        <f t="shared" si="765"/>
        <v>0</v>
      </c>
      <c r="AL306" s="117">
        <f t="shared" si="765"/>
        <v>0</v>
      </c>
      <c r="AM306" s="117">
        <f t="shared" si="765"/>
        <v>0</v>
      </c>
      <c r="AN306" s="117">
        <f t="shared" si="765"/>
        <v>0</v>
      </c>
      <c r="AO306" s="9">
        <f t="shared" si="765"/>
        <v>0</v>
      </c>
      <c r="AP306" s="144">
        <f t="shared" si="765"/>
        <v>0</v>
      </c>
      <c r="AQ306" s="144">
        <f t="shared" si="765"/>
        <v>0</v>
      </c>
      <c r="AR306" s="144">
        <f t="shared" si="765"/>
        <v>0</v>
      </c>
      <c r="AS306" s="144">
        <f t="shared" si="765"/>
        <v>0</v>
      </c>
      <c r="AT306" s="144">
        <f t="shared" si="765"/>
        <v>0</v>
      </c>
      <c r="AU306" s="144">
        <f t="shared" si="765"/>
        <v>0</v>
      </c>
      <c r="AV306" s="144">
        <f t="shared" si="765"/>
        <v>0</v>
      </c>
      <c r="AW306" s="144">
        <f t="shared" si="765"/>
        <v>0</v>
      </c>
      <c r="AX306" s="144">
        <f t="shared" si="765"/>
        <v>0</v>
      </c>
      <c r="AY306" s="144">
        <f t="shared" si="765"/>
        <v>0</v>
      </c>
      <c r="AZ306" s="144">
        <f t="shared" si="765"/>
        <v>0</v>
      </c>
      <c r="BA306" s="144">
        <f t="shared" si="765"/>
        <v>0</v>
      </c>
      <c r="BB306" s="9">
        <f t="shared" si="765"/>
        <v>0</v>
      </c>
      <c r="BC306" s="144">
        <f t="shared" si="765"/>
        <v>1.61924732762519e-6</v>
      </c>
      <c r="BD306" s="144">
        <f t="shared" si="765"/>
        <v>0</v>
      </c>
      <c r="BE306" s="144">
        <f t="shared" si="765"/>
        <v>0</v>
      </c>
      <c r="BF306" s="144">
        <f t="shared" si="765"/>
        <v>0</v>
      </c>
      <c r="BG306" s="144">
        <f t="shared" si="765"/>
        <v>0</v>
      </c>
      <c r="BH306" s="144">
        <f t="shared" si="765"/>
        <v>0</v>
      </c>
      <c r="BI306" s="144">
        <f t="shared" si="765"/>
        <v>0</v>
      </c>
      <c r="BJ306" s="144">
        <f t="shared" si="765"/>
        <v>0</v>
      </c>
      <c r="BK306" s="144">
        <f t="shared" si="765"/>
        <v>0</v>
      </c>
      <c r="BL306" s="144">
        <f t="shared" si="765"/>
        <v>0</v>
      </c>
      <c r="BM306" s="144">
        <f t="shared" si="765"/>
        <v>0</v>
      </c>
      <c r="BN306" s="144">
        <f t="shared" si="765"/>
        <v>0</v>
      </c>
      <c r="BO306" s="9">
        <f t="shared" ref="BO306:CT306" si="766">BO94/BO$211</f>
        <v>1.86715375614963e-7</v>
      </c>
      <c r="BP306" s="144">
        <f t="shared" si="766"/>
        <v>0</v>
      </c>
      <c r="BQ306" s="144">
        <f t="shared" si="766"/>
        <v>0</v>
      </c>
      <c r="BR306" s="144">
        <f t="shared" si="766"/>
        <v>0</v>
      </c>
      <c r="BS306" s="144">
        <f t="shared" si="766"/>
        <v>0</v>
      </c>
      <c r="BT306" s="144">
        <f t="shared" si="766"/>
        <v>0</v>
      </c>
      <c r="BU306" s="144">
        <f t="shared" si="766"/>
        <v>0</v>
      </c>
      <c r="BV306" s="144">
        <f t="shared" si="766"/>
        <v>0</v>
      </c>
      <c r="BW306" s="144">
        <f t="shared" si="766"/>
        <v>0</v>
      </c>
      <c r="BX306" s="144">
        <f t="shared" si="766"/>
        <v>0</v>
      </c>
      <c r="BY306" s="144">
        <f t="shared" si="766"/>
        <v>0</v>
      </c>
      <c r="BZ306" s="144">
        <f t="shared" si="766"/>
        <v>0</v>
      </c>
      <c r="CA306" s="144">
        <f t="shared" si="766"/>
        <v>0</v>
      </c>
      <c r="CB306" s="9">
        <f t="shared" si="766"/>
        <v>0</v>
      </c>
      <c r="CC306" s="144">
        <f t="shared" si="766"/>
        <v>4.46212475016086e-6</v>
      </c>
      <c r="CD306" s="144">
        <f t="shared" si="766"/>
        <v>0</v>
      </c>
      <c r="CE306" s="144">
        <f t="shared" si="766"/>
        <v>9.46954583414588e-6</v>
      </c>
      <c r="CF306" s="144">
        <f t="shared" si="766"/>
        <v>5.81579856789755e-6</v>
      </c>
      <c r="CG306" s="144">
        <f t="shared" si="766"/>
        <v>0</v>
      </c>
      <c r="CH306" s="144">
        <f t="shared" si="766"/>
        <v>0</v>
      </c>
      <c r="CI306" s="144">
        <f t="shared" si="766"/>
        <v>0</v>
      </c>
      <c r="CJ306" s="144">
        <f t="shared" si="766"/>
        <v>0</v>
      </c>
      <c r="CK306" s="144">
        <f t="shared" si="766"/>
        <v>0</v>
      </c>
      <c r="CL306" s="144">
        <f t="shared" si="766"/>
        <v>0</v>
      </c>
      <c r="CM306" s="144">
        <f t="shared" si="766"/>
        <v>0</v>
      </c>
      <c r="CN306" s="144">
        <f t="shared" si="766"/>
        <v>0</v>
      </c>
      <c r="CO306" s="9">
        <f t="shared" si="766"/>
        <v>1.60680698469805e-6</v>
      </c>
      <c r="CP306" s="144">
        <f t="shared" si="766"/>
        <v>0</v>
      </c>
      <c r="CQ306" s="144">
        <f t="shared" si="766"/>
        <v>0</v>
      </c>
      <c r="CR306" s="144">
        <f t="shared" si="766"/>
        <v>0</v>
      </c>
      <c r="CS306" s="144">
        <f t="shared" si="766"/>
        <v>0</v>
      </c>
      <c r="CT306" s="144">
        <f t="shared" si="766"/>
        <v>0</v>
      </c>
      <c r="CU306" s="144">
        <f t="shared" ref="CU306:EB306" si="767">CU94/CU$211</f>
        <v>0</v>
      </c>
      <c r="CV306" s="144">
        <f t="shared" si="767"/>
        <v>0</v>
      </c>
      <c r="CW306" s="144">
        <f t="shared" si="767"/>
        <v>0</v>
      </c>
      <c r="CX306" s="144">
        <f t="shared" si="767"/>
        <v>0</v>
      </c>
      <c r="CY306" s="144">
        <f t="shared" si="767"/>
        <v>0</v>
      </c>
      <c r="CZ306" s="144">
        <f t="shared" si="767"/>
        <v>0</v>
      </c>
      <c r="DA306" s="144">
        <f t="shared" si="767"/>
        <v>0</v>
      </c>
      <c r="DB306" s="9">
        <f t="shared" si="767"/>
        <v>0</v>
      </c>
      <c r="DC306" s="144">
        <f t="shared" si="767"/>
        <v>0</v>
      </c>
      <c r="DD306" s="144">
        <f t="shared" si="767"/>
        <v>0</v>
      </c>
      <c r="DE306" s="144">
        <f t="shared" si="767"/>
        <v>0</v>
      </c>
      <c r="DF306" s="144">
        <f t="shared" si="767"/>
        <v>0</v>
      </c>
      <c r="DG306" s="144">
        <f t="shared" si="767"/>
        <v>0</v>
      </c>
      <c r="DH306" s="144">
        <f t="shared" si="767"/>
        <v>0</v>
      </c>
      <c r="DI306" s="144">
        <f t="shared" si="767"/>
        <v>0</v>
      </c>
      <c r="DJ306" s="144">
        <f t="shared" si="767"/>
        <v>0</v>
      </c>
      <c r="DK306" s="144">
        <f t="shared" si="767"/>
        <v>0</v>
      </c>
      <c r="DL306" s="144">
        <f t="shared" si="767"/>
        <v>0</v>
      </c>
      <c r="DM306" s="144">
        <f t="shared" si="767"/>
        <v>0</v>
      </c>
      <c r="DN306" s="144">
        <f t="shared" si="767"/>
        <v>0</v>
      </c>
      <c r="DO306" s="9">
        <f t="shared" si="767"/>
        <v>0</v>
      </c>
      <c r="DP306" s="144">
        <f t="shared" si="767"/>
        <v>0</v>
      </c>
      <c r="DQ306" s="144">
        <f t="shared" si="767"/>
        <v>0</v>
      </c>
      <c r="DR306" s="144">
        <f t="shared" si="767"/>
        <v>0</v>
      </c>
      <c r="DS306" s="144">
        <f t="shared" si="767"/>
        <v>2.49258249823183e-6</v>
      </c>
      <c r="DT306" s="144">
        <f t="shared" si="767"/>
        <v>0</v>
      </c>
      <c r="DU306" s="144">
        <f t="shared" si="767"/>
        <v>0</v>
      </c>
      <c r="DV306" s="144">
        <f t="shared" si="767"/>
        <v>0</v>
      </c>
      <c r="DW306" s="144">
        <f t="shared" si="767"/>
        <v>0</v>
      </c>
      <c r="DX306" s="144">
        <f t="shared" si="767"/>
        <v>0</v>
      </c>
      <c r="DY306" s="144">
        <f t="shared" si="767"/>
        <v>0</v>
      </c>
      <c r="DZ306" s="144">
        <f t="shared" si="767"/>
        <v>0</v>
      </c>
      <c r="EA306" s="144">
        <f t="shared" si="767"/>
        <v>0</v>
      </c>
      <c r="EB306" s="117">
        <f t="shared" si="767"/>
        <v>2.2442219332423e-7</v>
      </c>
      <c r="EC306" s="118"/>
      <c r="ED306" s="117">
        <f t="shared" ref="ED306:FB306" si="768">ED94/ED$211</f>
        <v>0</v>
      </c>
      <c r="EE306" s="117">
        <f t="shared" si="768"/>
        <v>0</v>
      </c>
      <c r="EF306" s="117">
        <f t="shared" si="768"/>
        <v>0</v>
      </c>
      <c r="EG306" s="117" t="e">
        <f t="shared" si="768"/>
        <v>#DIV/0!</v>
      </c>
      <c r="EH306" s="117" t="e">
        <f t="shared" si="768"/>
        <v>#DIV/0!</v>
      </c>
      <c r="EI306" s="117" t="e">
        <f t="shared" si="768"/>
        <v>#DIV/0!</v>
      </c>
      <c r="EJ306" s="117" t="e">
        <f t="shared" si="768"/>
        <v>#DIV/0!</v>
      </c>
      <c r="EK306" s="117" t="e">
        <f t="shared" si="768"/>
        <v>#DIV/0!</v>
      </c>
      <c r="EL306" s="117" t="e">
        <f t="shared" si="768"/>
        <v>#DIV/0!</v>
      </c>
      <c r="EM306" s="117" t="e">
        <f t="shared" si="768"/>
        <v>#DIV/0!</v>
      </c>
      <c r="EN306" s="117" t="e">
        <f t="shared" si="768"/>
        <v>#DIV/0!</v>
      </c>
      <c r="EO306" s="116">
        <f t="shared" si="768"/>
        <v>0</v>
      </c>
      <c r="EP306" s="117">
        <f t="shared" si="768"/>
        <v>0</v>
      </c>
      <c r="EQ306" s="117">
        <f t="shared" si="768"/>
        <v>0</v>
      </c>
      <c r="ER306" s="117">
        <f t="shared" si="768"/>
        <v>0</v>
      </c>
      <c r="ES306" s="117">
        <f t="shared" si="768"/>
        <v>0</v>
      </c>
      <c r="ET306" s="117">
        <f t="shared" si="768"/>
        <v>0</v>
      </c>
      <c r="EU306" s="117">
        <f t="shared" si="768"/>
        <v>0</v>
      </c>
      <c r="EV306" s="117">
        <f t="shared" si="768"/>
        <v>0</v>
      </c>
      <c r="EW306" s="117">
        <f t="shared" si="768"/>
        <v>0</v>
      </c>
      <c r="EX306" s="117">
        <f t="shared" si="768"/>
        <v>0</v>
      </c>
      <c r="EY306" s="117">
        <f t="shared" si="768"/>
        <v>0</v>
      </c>
      <c r="EZ306" s="117">
        <f t="shared" si="768"/>
        <v>0</v>
      </c>
      <c r="FA306" s="117">
        <f t="shared" si="768"/>
        <v>0</v>
      </c>
      <c r="FB306" s="117">
        <f t="shared" si="768"/>
        <v>0</v>
      </c>
      <c r="FC306" s="118"/>
      <c r="FD306" s="117"/>
      <c r="FE306" s="117"/>
      <c r="FF306" s="117"/>
      <c r="FG306" s="117"/>
      <c r="FH306" s="117"/>
      <c r="FI306" s="117"/>
      <c r="FJ306" s="117"/>
      <c r="FK306" s="117" t="e">
        <f t="shared" si="601"/>
        <v>#DIV/0!</v>
      </c>
      <c r="FL306" s="117" t="e">
        <f t="shared" si="602"/>
        <v>#DIV/0!</v>
      </c>
      <c r="FM306" s="117" t="e">
        <f t="shared" si="603"/>
        <v>#DIV/0!</v>
      </c>
      <c r="FN306" s="117" t="e">
        <f t="shared" si="604"/>
        <v>#DIV/0!</v>
      </c>
      <c r="FO306" s="9" t="e">
        <f t="shared" si="605"/>
        <v>#DIV/0!</v>
      </c>
      <c r="FP306" s="118">
        <f t="shared" ref="FP306:GB306" si="769">FP94/FP$211</f>
        <v>0</v>
      </c>
      <c r="FQ306" s="117">
        <f t="shared" si="769"/>
        <v>0</v>
      </c>
      <c r="FR306" s="117">
        <f t="shared" si="769"/>
        <v>7.00847738180585e-6</v>
      </c>
      <c r="FS306" s="117">
        <f t="shared" si="769"/>
        <v>7.4451744432902e-7</v>
      </c>
      <c r="FT306" s="117">
        <f t="shared" si="769"/>
        <v>2.11447742599698e-5</v>
      </c>
      <c r="FU306" s="117">
        <f t="shared" si="769"/>
        <v>0</v>
      </c>
      <c r="FV306" s="117">
        <f t="shared" si="769"/>
        <v>0</v>
      </c>
      <c r="FW306" s="117">
        <f t="shared" si="769"/>
        <v>0</v>
      </c>
      <c r="FX306" s="117">
        <f t="shared" si="769"/>
        <v>0</v>
      </c>
      <c r="FY306" s="117">
        <f t="shared" si="769"/>
        <v>0</v>
      </c>
      <c r="FZ306" s="117">
        <f t="shared" si="769"/>
        <v>0</v>
      </c>
      <c r="GA306" s="117">
        <f t="shared" si="769"/>
        <v>0</v>
      </c>
      <c r="GB306" s="116">
        <f t="shared" si="769"/>
        <v>1.89648486160931e-6</v>
      </c>
    </row>
    <row r="307" spans="1:184">
      <c r="A307" s="147" t="s">
        <v>215</v>
      </c>
      <c r="B307" s="160">
        <f t="shared" si="607"/>
        <v>-0.991714113689656</v>
      </c>
      <c r="C307" s="117">
        <f t="shared" ref="C307:AH307" si="770">C95/C$211</f>
        <v>1.47522434195328e-7</v>
      </c>
      <c r="D307" s="117">
        <f t="shared" si="770"/>
        <v>0</v>
      </c>
      <c r="E307" s="117">
        <f t="shared" si="770"/>
        <v>0</v>
      </c>
      <c r="F307" s="117">
        <f t="shared" si="770"/>
        <v>2.25114845340784e-7</v>
      </c>
      <c r="G307" s="117">
        <f t="shared" si="770"/>
        <v>0</v>
      </c>
      <c r="H307" s="117">
        <f t="shared" si="770"/>
        <v>0</v>
      </c>
      <c r="I307" s="117">
        <f t="shared" si="770"/>
        <v>0</v>
      </c>
      <c r="J307" s="117">
        <f t="shared" si="770"/>
        <v>0</v>
      </c>
      <c r="K307" s="117">
        <f t="shared" si="770"/>
        <v>0</v>
      </c>
      <c r="L307" s="117">
        <f t="shared" si="770"/>
        <v>0</v>
      </c>
      <c r="M307" s="117">
        <f t="shared" si="770"/>
        <v>0</v>
      </c>
      <c r="N307" s="117">
        <f t="shared" si="770"/>
        <v>0</v>
      </c>
      <c r="O307" s="9">
        <f t="shared" si="770"/>
        <v>3.37804114347339e-8</v>
      </c>
      <c r="P307" s="117">
        <f t="shared" si="770"/>
        <v>0</v>
      </c>
      <c r="Q307" s="117">
        <f t="shared" si="770"/>
        <v>0</v>
      </c>
      <c r="R307" s="117">
        <f t="shared" si="770"/>
        <v>0</v>
      </c>
      <c r="S307" s="117">
        <f t="shared" si="770"/>
        <v>0</v>
      </c>
      <c r="T307" s="117">
        <f t="shared" si="770"/>
        <v>0</v>
      </c>
      <c r="U307" s="117">
        <f t="shared" si="770"/>
        <v>0</v>
      </c>
      <c r="V307" s="117">
        <f t="shared" si="770"/>
        <v>0</v>
      </c>
      <c r="W307" s="117">
        <f t="shared" si="770"/>
        <v>0</v>
      </c>
      <c r="X307" s="117">
        <f t="shared" si="770"/>
        <v>0</v>
      </c>
      <c r="Y307" s="117">
        <f t="shared" si="770"/>
        <v>0</v>
      </c>
      <c r="Z307" s="117">
        <f t="shared" si="770"/>
        <v>0</v>
      </c>
      <c r="AA307" s="117">
        <f t="shared" si="770"/>
        <v>0</v>
      </c>
      <c r="AB307" s="9">
        <f t="shared" si="770"/>
        <v>0</v>
      </c>
      <c r="AC307" s="117">
        <f t="shared" si="770"/>
        <v>0</v>
      </c>
      <c r="AD307" s="117">
        <f t="shared" si="770"/>
        <v>0</v>
      </c>
      <c r="AE307" s="117">
        <f t="shared" si="770"/>
        <v>0</v>
      </c>
      <c r="AF307" s="117">
        <f t="shared" si="770"/>
        <v>0</v>
      </c>
      <c r="AG307" s="117">
        <f t="shared" si="770"/>
        <v>0</v>
      </c>
      <c r="AH307" s="117">
        <f t="shared" si="770"/>
        <v>0</v>
      </c>
      <c r="AI307" s="117">
        <f t="shared" ref="AI307:BN307" si="771">AI95/AI$211</f>
        <v>0</v>
      </c>
      <c r="AJ307" s="117">
        <f t="shared" si="771"/>
        <v>0</v>
      </c>
      <c r="AK307" s="117">
        <f t="shared" si="771"/>
        <v>0</v>
      </c>
      <c r="AL307" s="117">
        <f t="shared" si="771"/>
        <v>0</v>
      </c>
      <c r="AM307" s="117">
        <f t="shared" si="771"/>
        <v>0</v>
      </c>
      <c r="AN307" s="117">
        <f t="shared" si="771"/>
        <v>0</v>
      </c>
      <c r="AO307" s="9">
        <f t="shared" si="771"/>
        <v>0</v>
      </c>
      <c r="AP307" s="144">
        <f t="shared" si="771"/>
        <v>0</v>
      </c>
      <c r="AQ307" s="144">
        <f t="shared" si="771"/>
        <v>0</v>
      </c>
      <c r="AR307" s="144">
        <f t="shared" si="771"/>
        <v>0</v>
      </c>
      <c r="AS307" s="144">
        <f t="shared" si="771"/>
        <v>0</v>
      </c>
      <c r="AT307" s="144">
        <f t="shared" si="771"/>
        <v>0</v>
      </c>
      <c r="AU307" s="144">
        <f t="shared" si="771"/>
        <v>0</v>
      </c>
      <c r="AV307" s="144">
        <f t="shared" si="771"/>
        <v>0</v>
      </c>
      <c r="AW307" s="144">
        <f t="shared" si="771"/>
        <v>0</v>
      </c>
      <c r="AX307" s="144">
        <f t="shared" si="771"/>
        <v>0</v>
      </c>
      <c r="AY307" s="144">
        <f t="shared" si="771"/>
        <v>0</v>
      </c>
      <c r="AZ307" s="144">
        <f t="shared" si="771"/>
        <v>0</v>
      </c>
      <c r="BA307" s="144">
        <f t="shared" si="771"/>
        <v>0</v>
      </c>
      <c r="BB307" s="9">
        <f t="shared" si="771"/>
        <v>0</v>
      </c>
      <c r="BC307" s="144">
        <f t="shared" si="771"/>
        <v>0</v>
      </c>
      <c r="BD307" s="144">
        <f t="shared" si="771"/>
        <v>0</v>
      </c>
      <c r="BE307" s="144">
        <f t="shared" si="771"/>
        <v>0</v>
      </c>
      <c r="BF307" s="144">
        <f t="shared" si="771"/>
        <v>0</v>
      </c>
      <c r="BG307" s="144">
        <f t="shared" si="771"/>
        <v>0</v>
      </c>
      <c r="BH307" s="144">
        <f t="shared" si="771"/>
        <v>0</v>
      </c>
      <c r="BI307" s="144">
        <f t="shared" si="771"/>
        <v>0</v>
      </c>
      <c r="BJ307" s="144">
        <f t="shared" si="771"/>
        <v>0</v>
      </c>
      <c r="BK307" s="144">
        <f t="shared" si="771"/>
        <v>0</v>
      </c>
      <c r="BL307" s="144">
        <f t="shared" si="771"/>
        <v>0</v>
      </c>
      <c r="BM307" s="144">
        <f t="shared" si="771"/>
        <v>0</v>
      </c>
      <c r="BN307" s="144">
        <f t="shared" si="771"/>
        <v>0</v>
      </c>
      <c r="BO307" s="9">
        <f t="shared" ref="BO307:CT307" si="772">BO95/BO$211</f>
        <v>0</v>
      </c>
      <c r="BP307" s="144">
        <f t="shared" si="772"/>
        <v>0</v>
      </c>
      <c r="BQ307" s="144">
        <f t="shared" si="772"/>
        <v>0</v>
      </c>
      <c r="BR307" s="144">
        <f t="shared" si="772"/>
        <v>0</v>
      </c>
      <c r="BS307" s="144">
        <f t="shared" si="772"/>
        <v>0</v>
      </c>
      <c r="BT307" s="144">
        <f t="shared" si="772"/>
        <v>0</v>
      </c>
      <c r="BU307" s="144">
        <f t="shared" si="772"/>
        <v>0</v>
      </c>
      <c r="BV307" s="144">
        <f t="shared" si="772"/>
        <v>0</v>
      </c>
      <c r="BW307" s="144">
        <f t="shared" si="772"/>
        <v>0</v>
      </c>
      <c r="BX307" s="144">
        <f t="shared" si="772"/>
        <v>0</v>
      </c>
      <c r="BY307" s="144">
        <f t="shared" si="772"/>
        <v>0</v>
      </c>
      <c r="BZ307" s="144">
        <f t="shared" si="772"/>
        <v>0</v>
      </c>
      <c r="CA307" s="144">
        <f t="shared" si="772"/>
        <v>0</v>
      </c>
      <c r="CB307" s="9">
        <f t="shared" si="772"/>
        <v>0</v>
      </c>
      <c r="CC307" s="144">
        <f t="shared" si="772"/>
        <v>0</v>
      </c>
      <c r="CD307" s="144">
        <f t="shared" si="772"/>
        <v>0</v>
      </c>
      <c r="CE307" s="144">
        <f t="shared" si="772"/>
        <v>0</v>
      </c>
      <c r="CF307" s="144">
        <f t="shared" si="772"/>
        <v>0</v>
      </c>
      <c r="CG307" s="144">
        <f t="shared" si="772"/>
        <v>0</v>
      </c>
      <c r="CH307" s="144">
        <f t="shared" si="772"/>
        <v>0</v>
      </c>
      <c r="CI307" s="144">
        <f t="shared" si="772"/>
        <v>0</v>
      </c>
      <c r="CJ307" s="144">
        <f t="shared" si="772"/>
        <v>0</v>
      </c>
      <c r="CK307" s="144">
        <f t="shared" si="772"/>
        <v>0</v>
      </c>
      <c r="CL307" s="144">
        <f t="shared" si="772"/>
        <v>0</v>
      </c>
      <c r="CM307" s="144">
        <f t="shared" si="772"/>
        <v>0</v>
      </c>
      <c r="CN307" s="144">
        <f t="shared" si="772"/>
        <v>0</v>
      </c>
      <c r="CO307" s="9">
        <f t="shared" si="772"/>
        <v>0</v>
      </c>
      <c r="CP307" s="144">
        <f t="shared" si="772"/>
        <v>0</v>
      </c>
      <c r="CQ307" s="144">
        <f t="shared" si="772"/>
        <v>0</v>
      </c>
      <c r="CR307" s="144">
        <f t="shared" si="772"/>
        <v>0</v>
      </c>
      <c r="CS307" s="144">
        <f t="shared" si="772"/>
        <v>0</v>
      </c>
      <c r="CT307" s="144">
        <f t="shared" si="772"/>
        <v>0</v>
      </c>
      <c r="CU307" s="144">
        <f t="shared" ref="CU307:EB307" si="773">CU95/CU$211</f>
        <v>0</v>
      </c>
      <c r="CV307" s="144">
        <f t="shared" si="773"/>
        <v>0</v>
      </c>
      <c r="CW307" s="144">
        <f t="shared" si="773"/>
        <v>0</v>
      </c>
      <c r="CX307" s="144">
        <f t="shared" si="773"/>
        <v>0</v>
      </c>
      <c r="CY307" s="144">
        <f t="shared" si="773"/>
        <v>0</v>
      </c>
      <c r="CZ307" s="144">
        <f t="shared" si="773"/>
        <v>0</v>
      </c>
      <c r="DA307" s="144">
        <f t="shared" si="773"/>
        <v>0</v>
      </c>
      <c r="DB307" s="9">
        <f t="shared" si="773"/>
        <v>0</v>
      </c>
      <c r="DC307" s="144">
        <f t="shared" si="773"/>
        <v>1.53357831589652e-5</v>
      </c>
      <c r="DD307" s="144">
        <f t="shared" si="773"/>
        <v>0</v>
      </c>
      <c r="DE307" s="144">
        <f t="shared" si="773"/>
        <v>0</v>
      </c>
      <c r="DF307" s="144">
        <f t="shared" si="773"/>
        <v>2.47146528153069e-5</v>
      </c>
      <c r="DG307" s="144">
        <f t="shared" si="773"/>
        <v>0</v>
      </c>
      <c r="DH307" s="144">
        <f t="shared" si="773"/>
        <v>0</v>
      </c>
      <c r="DI307" s="144">
        <f t="shared" si="773"/>
        <v>0</v>
      </c>
      <c r="DJ307" s="144">
        <f t="shared" si="773"/>
        <v>0</v>
      </c>
      <c r="DK307" s="144">
        <f t="shared" si="773"/>
        <v>0</v>
      </c>
      <c r="DL307" s="144">
        <f t="shared" si="773"/>
        <v>0</v>
      </c>
      <c r="DM307" s="144">
        <f t="shared" si="773"/>
        <v>0</v>
      </c>
      <c r="DN307" s="144">
        <f t="shared" si="773"/>
        <v>0</v>
      </c>
      <c r="DO307" s="9">
        <f t="shared" si="773"/>
        <v>3.65327137447075e-6</v>
      </c>
      <c r="DP307" s="144">
        <f t="shared" si="773"/>
        <v>0</v>
      </c>
      <c r="DQ307" s="144">
        <f t="shared" si="773"/>
        <v>0</v>
      </c>
      <c r="DR307" s="144">
        <f t="shared" si="773"/>
        <v>0</v>
      </c>
      <c r="DS307" s="144">
        <f t="shared" si="773"/>
        <v>0</v>
      </c>
      <c r="DT307" s="144">
        <f t="shared" si="773"/>
        <v>0</v>
      </c>
      <c r="DU307" s="144">
        <f t="shared" si="773"/>
        <v>0</v>
      </c>
      <c r="DV307" s="144">
        <f t="shared" si="773"/>
        <v>0</v>
      </c>
      <c r="DW307" s="144">
        <f t="shared" si="773"/>
        <v>0</v>
      </c>
      <c r="DX307" s="144">
        <f t="shared" si="773"/>
        <v>0</v>
      </c>
      <c r="DY307" s="144">
        <f t="shared" si="773"/>
        <v>0</v>
      </c>
      <c r="DZ307" s="144">
        <f t="shared" si="773"/>
        <v>0</v>
      </c>
      <c r="EA307" s="144">
        <f t="shared" si="773"/>
        <v>0</v>
      </c>
      <c r="EB307" s="117">
        <f t="shared" si="773"/>
        <v>0</v>
      </c>
      <c r="EC307" s="118"/>
      <c r="ED307" s="117">
        <f t="shared" ref="ED307:FB307" si="774">ED95/ED$211</f>
        <v>0</v>
      </c>
      <c r="EE307" s="117">
        <f t="shared" si="774"/>
        <v>0</v>
      </c>
      <c r="EF307" s="117">
        <f t="shared" si="774"/>
        <v>0</v>
      </c>
      <c r="EG307" s="117" t="e">
        <f t="shared" si="774"/>
        <v>#DIV/0!</v>
      </c>
      <c r="EH307" s="117" t="e">
        <f t="shared" si="774"/>
        <v>#DIV/0!</v>
      </c>
      <c r="EI307" s="117" t="e">
        <f t="shared" si="774"/>
        <v>#DIV/0!</v>
      </c>
      <c r="EJ307" s="117" t="e">
        <f t="shared" si="774"/>
        <v>#DIV/0!</v>
      </c>
      <c r="EK307" s="117" t="e">
        <f t="shared" si="774"/>
        <v>#DIV/0!</v>
      </c>
      <c r="EL307" s="117" t="e">
        <f t="shared" si="774"/>
        <v>#DIV/0!</v>
      </c>
      <c r="EM307" s="117" t="e">
        <f t="shared" si="774"/>
        <v>#DIV/0!</v>
      </c>
      <c r="EN307" s="117" t="e">
        <f t="shared" si="774"/>
        <v>#DIV/0!</v>
      </c>
      <c r="EO307" s="116">
        <f t="shared" si="774"/>
        <v>0</v>
      </c>
      <c r="EP307" s="117">
        <f t="shared" si="774"/>
        <v>0</v>
      </c>
      <c r="EQ307" s="117">
        <f t="shared" si="774"/>
        <v>0</v>
      </c>
      <c r="ER307" s="117">
        <f t="shared" si="774"/>
        <v>0</v>
      </c>
      <c r="ES307" s="117">
        <f t="shared" si="774"/>
        <v>0</v>
      </c>
      <c r="ET307" s="117">
        <f t="shared" si="774"/>
        <v>0</v>
      </c>
      <c r="EU307" s="117">
        <f t="shared" si="774"/>
        <v>0</v>
      </c>
      <c r="EV307" s="117">
        <f t="shared" si="774"/>
        <v>0</v>
      </c>
      <c r="EW307" s="117">
        <f t="shared" si="774"/>
        <v>0</v>
      </c>
      <c r="EX307" s="117">
        <f t="shared" si="774"/>
        <v>0</v>
      </c>
      <c r="EY307" s="117">
        <f t="shared" si="774"/>
        <v>0</v>
      </c>
      <c r="EZ307" s="117">
        <f t="shared" si="774"/>
        <v>0</v>
      </c>
      <c r="FA307" s="117">
        <f t="shared" si="774"/>
        <v>0</v>
      </c>
      <c r="FB307" s="117">
        <f t="shared" si="774"/>
        <v>0</v>
      </c>
      <c r="FC307" s="118"/>
      <c r="FD307" s="117"/>
      <c r="FE307" s="117"/>
      <c r="FF307" s="117"/>
      <c r="FG307" s="117"/>
      <c r="FH307" s="117"/>
      <c r="FI307" s="117"/>
      <c r="FJ307" s="117"/>
      <c r="FK307" s="117" t="e">
        <f t="shared" si="601"/>
        <v>#DIV/0!</v>
      </c>
      <c r="FL307" s="117" t="e">
        <f t="shared" si="602"/>
        <v>#DIV/0!</v>
      </c>
      <c r="FM307" s="117" t="e">
        <f t="shared" si="603"/>
        <v>#DIV/0!</v>
      </c>
      <c r="FN307" s="117" t="e">
        <f t="shared" si="604"/>
        <v>#DIV/0!</v>
      </c>
      <c r="FO307" s="9" t="e">
        <f t="shared" si="605"/>
        <v>#DIV/0!</v>
      </c>
      <c r="FP307" s="118">
        <f t="shared" ref="FP307:GB307" si="775">FP95/FP$211</f>
        <v>0</v>
      </c>
      <c r="FQ307" s="117">
        <f t="shared" si="775"/>
        <v>0</v>
      </c>
      <c r="FR307" s="117">
        <f t="shared" si="775"/>
        <v>0</v>
      </c>
      <c r="FS307" s="117">
        <f t="shared" si="775"/>
        <v>0</v>
      </c>
      <c r="FT307" s="117">
        <f t="shared" si="775"/>
        <v>0</v>
      </c>
      <c r="FU307" s="117">
        <f t="shared" si="775"/>
        <v>0</v>
      </c>
      <c r="FV307" s="117">
        <f t="shared" si="775"/>
        <v>0</v>
      </c>
      <c r="FW307" s="117">
        <f t="shared" si="775"/>
        <v>0</v>
      </c>
      <c r="FX307" s="117">
        <f t="shared" si="775"/>
        <v>0</v>
      </c>
      <c r="FY307" s="117">
        <f t="shared" si="775"/>
        <v>0</v>
      </c>
      <c r="FZ307" s="117">
        <f t="shared" si="775"/>
        <v>0</v>
      </c>
      <c r="GA307" s="117">
        <f t="shared" si="775"/>
        <v>0</v>
      </c>
      <c r="GB307" s="116">
        <f t="shared" si="775"/>
        <v>0</v>
      </c>
    </row>
    <row r="308" spans="1:184">
      <c r="A308" s="147" t="s">
        <v>217</v>
      </c>
      <c r="B308" s="160">
        <f t="shared" si="607"/>
        <v>-0.974008114530274</v>
      </c>
      <c r="C308" s="117">
        <f t="shared" ref="C308:AH308" si="776">C96/C$211</f>
        <v>4.58531503426067e-7</v>
      </c>
      <c r="D308" s="117">
        <f t="shared" si="776"/>
        <v>3.72566201083083e-7</v>
      </c>
      <c r="E308" s="117">
        <f t="shared" si="776"/>
        <v>1.34997150669373e-7</v>
      </c>
      <c r="F308" s="117">
        <f t="shared" si="776"/>
        <v>0</v>
      </c>
      <c r="G308" s="117">
        <f t="shared" si="776"/>
        <v>0</v>
      </c>
      <c r="H308" s="117">
        <f t="shared" si="776"/>
        <v>0</v>
      </c>
      <c r="I308" s="117">
        <f t="shared" si="776"/>
        <v>0</v>
      </c>
      <c r="J308" s="117">
        <f t="shared" si="776"/>
        <v>0</v>
      </c>
      <c r="K308" s="117">
        <f t="shared" si="776"/>
        <v>0</v>
      </c>
      <c r="L308" s="117">
        <f t="shared" si="776"/>
        <v>0</v>
      </c>
      <c r="M308" s="117">
        <f t="shared" si="776"/>
        <v>0</v>
      </c>
      <c r="N308" s="117">
        <f t="shared" si="776"/>
        <v>0</v>
      </c>
      <c r="O308" s="9">
        <f t="shared" si="776"/>
        <v>1.00669421849013e-7</v>
      </c>
      <c r="P308" s="117">
        <f t="shared" si="776"/>
        <v>0</v>
      </c>
      <c r="Q308" s="117">
        <f t="shared" si="776"/>
        <v>0</v>
      </c>
      <c r="R308" s="117">
        <f t="shared" si="776"/>
        <v>0</v>
      </c>
      <c r="S308" s="117">
        <f t="shared" si="776"/>
        <v>0</v>
      </c>
      <c r="T308" s="117">
        <f t="shared" si="776"/>
        <v>0</v>
      </c>
      <c r="U308" s="117">
        <f t="shared" si="776"/>
        <v>0</v>
      </c>
      <c r="V308" s="117">
        <f t="shared" si="776"/>
        <v>0</v>
      </c>
      <c r="W308" s="117">
        <f t="shared" si="776"/>
        <v>0</v>
      </c>
      <c r="X308" s="117">
        <f t="shared" si="776"/>
        <v>0</v>
      </c>
      <c r="Y308" s="117">
        <f t="shared" si="776"/>
        <v>0</v>
      </c>
      <c r="Z308" s="117">
        <f t="shared" si="776"/>
        <v>0</v>
      </c>
      <c r="AA308" s="117">
        <f t="shared" si="776"/>
        <v>0</v>
      </c>
      <c r="AB308" s="9">
        <f t="shared" si="776"/>
        <v>0</v>
      </c>
      <c r="AC308" s="117">
        <f t="shared" si="776"/>
        <v>0</v>
      </c>
      <c r="AD308" s="117">
        <f t="shared" si="776"/>
        <v>0</v>
      </c>
      <c r="AE308" s="117">
        <f t="shared" si="776"/>
        <v>0</v>
      </c>
      <c r="AF308" s="117">
        <f t="shared" si="776"/>
        <v>0</v>
      </c>
      <c r="AG308" s="117">
        <f t="shared" si="776"/>
        <v>0</v>
      </c>
      <c r="AH308" s="117">
        <f t="shared" si="776"/>
        <v>0</v>
      </c>
      <c r="AI308" s="117">
        <f t="shared" ref="AI308:BN308" si="777">AI96/AI$211</f>
        <v>0</v>
      </c>
      <c r="AJ308" s="117">
        <f t="shared" si="777"/>
        <v>0</v>
      </c>
      <c r="AK308" s="117">
        <f t="shared" si="777"/>
        <v>0</v>
      </c>
      <c r="AL308" s="117">
        <f t="shared" si="777"/>
        <v>0</v>
      </c>
      <c r="AM308" s="117">
        <f t="shared" si="777"/>
        <v>0</v>
      </c>
      <c r="AN308" s="117">
        <f t="shared" si="777"/>
        <v>0</v>
      </c>
      <c r="AO308" s="9">
        <f t="shared" si="777"/>
        <v>0</v>
      </c>
      <c r="AP308" s="144">
        <f t="shared" si="777"/>
        <v>0</v>
      </c>
      <c r="AQ308" s="144">
        <f t="shared" si="777"/>
        <v>0</v>
      </c>
      <c r="AR308" s="144">
        <f t="shared" si="777"/>
        <v>0</v>
      </c>
      <c r="AS308" s="144">
        <f t="shared" si="777"/>
        <v>0</v>
      </c>
      <c r="AT308" s="144">
        <f t="shared" si="777"/>
        <v>0</v>
      </c>
      <c r="AU308" s="144">
        <f t="shared" si="777"/>
        <v>0</v>
      </c>
      <c r="AV308" s="144">
        <f t="shared" si="777"/>
        <v>0</v>
      </c>
      <c r="AW308" s="144">
        <f t="shared" si="777"/>
        <v>0</v>
      </c>
      <c r="AX308" s="144">
        <f t="shared" si="777"/>
        <v>0</v>
      </c>
      <c r="AY308" s="144">
        <f t="shared" si="777"/>
        <v>0</v>
      </c>
      <c r="AZ308" s="144">
        <f t="shared" si="777"/>
        <v>0</v>
      </c>
      <c r="BA308" s="144">
        <f t="shared" si="777"/>
        <v>0</v>
      </c>
      <c r="BB308" s="9">
        <f t="shared" si="777"/>
        <v>0</v>
      </c>
      <c r="BC308" s="144">
        <f t="shared" si="777"/>
        <v>0</v>
      </c>
      <c r="BD308" s="144">
        <f t="shared" si="777"/>
        <v>0</v>
      </c>
      <c r="BE308" s="144">
        <f t="shared" si="777"/>
        <v>0</v>
      </c>
      <c r="BF308" s="144">
        <f t="shared" si="777"/>
        <v>0</v>
      </c>
      <c r="BG308" s="144">
        <f t="shared" si="777"/>
        <v>0</v>
      </c>
      <c r="BH308" s="144">
        <f t="shared" si="777"/>
        <v>0</v>
      </c>
      <c r="BI308" s="144">
        <f t="shared" si="777"/>
        <v>0</v>
      </c>
      <c r="BJ308" s="144">
        <f t="shared" si="777"/>
        <v>0</v>
      </c>
      <c r="BK308" s="144">
        <f t="shared" si="777"/>
        <v>0</v>
      </c>
      <c r="BL308" s="144">
        <f t="shared" si="777"/>
        <v>0</v>
      </c>
      <c r="BM308" s="144">
        <f t="shared" si="777"/>
        <v>0</v>
      </c>
      <c r="BN308" s="144">
        <f t="shared" si="777"/>
        <v>0</v>
      </c>
      <c r="BO308" s="9">
        <f t="shared" ref="BO308:CT308" si="778">BO96/BO$211</f>
        <v>0</v>
      </c>
      <c r="BP308" s="144">
        <f t="shared" si="778"/>
        <v>0</v>
      </c>
      <c r="BQ308" s="144">
        <f t="shared" si="778"/>
        <v>0</v>
      </c>
      <c r="BR308" s="144">
        <f t="shared" si="778"/>
        <v>0</v>
      </c>
      <c r="BS308" s="144">
        <f t="shared" si="778"/>
        <v>0</v>
      </c>
      <c r="BT308" s="144">
        <f t="shared" si="778"/>
        <v>0</v>
      </c>
      <c r="BU308" s="144">
        <f t="shared" si="778"/>
        <v>0</v>
      </c>
      <c r="BV308" s="144">
        <f t="shared" si="778"/>
        <v>0</v>
      </c>
      <c r="BW308" s="144">
        <f t="shared" si="778"/>
        <v>0</v>
      </c>
      <c r="BX308" s="144">
        <f t="shared" si="778"/>
        <v>0</v>
      </c>
      <c r="BY308" s="144">
        <f t="shared" si="778"/>
        <v>0</v>
      </c>
      <c r="BZ308" s="144">
        <f t="shared" si="778"/>
        <v>0</v>
      </c>
      <c r="CA308" s="144">
        <f t="shared" si="778"/>
        <v>0</v>
      </c>
      <c r="CB308" s="9">
        <f t="shared" si="778"/>
        <v>0</v>
      </c>
      <c r="CC308" s="144">
        <f t="shared" si="778"/>
        <v>0</v>
      </c>
      <c r="CD308" s="144">
        <f t="shared" si="778"/>
        <v>0</v>
      </c>
      <c r="CE308" s="144">
        <f t="shared" si="778"/>
        <v>0</v>
      </c>
      <c r="CF308" s="144">
        <f t="shared" si="778"/>
        <v>0</v>
      </c>
      <c r="CG308" s="144">
        <f t="shared" si="778"/>
        <v>0</v>
      </c>
      <c r="CH308" s="144">
        <f t="shared" si="778"/>
        <v>0</v>
      </c>
      <c r="CI308" s="144">
        <f t="shared" si="778"/>
        <v>0</v>
      </c>
      <c r="CJ308" s="144">
        <f t="shared" si="778"/>
        <v>0</v>
      </c>
      <c r="CK308" s="144">
        <f t="shared" si="778"/>
        <v>0</v>
      </c>
      <c r="CL308" s="144">
        <f t="shared" si="778"/>
        <v>0</v>
      </c>
      <c r="CM308" s="144">
        <f t="shared" si="778"/>
        <v>0</v>
      </c>
      <c r="CN308" s="144">
        <f t="shared" si="778"/>
        <v>0</v>
      </c>
      <c r="CO308" s="9">
        <f t="shared" si="778"/>
        <v>0</v>
      </c>
      <c r="CP308" s="144">
        <f t="shared" si="778"/>
        <v>0</v>
      </c>
      <c r="CQ308" s="144">
        <f t="shared" si="778"/>
        <v>0</v>
      </c>
      <c r="CR308" s="144">
        <f t="shared" si="778"/>
        <v>0</v>
      </c>
      <c r="CS308" s="144">
        <f t="shared" si="778"/>
        <v>0</v>
      </c>
      <c r="CT308" s="144">
        <f t="shared" si="778"/>
        <v>0</v>
      </c>
      <c r="CU308" s="144">
        <f t="shared" ref="CU308:EB308" si="779">CU96/CU$211</f>
        <v>0</v>
      </c>
      <c r="CV308" s="144">
        <f t="shared" si="779"/>
        <v>0</v>
      </c>
      <c r="CW308" s="144">
        <f t="shared" si="779"/>
        <v>0</v>
      </c>
      <c r="CX308" s="144">
        <f t="shared" si="779"/>
        <v>0</v>
      </c>
      <c r="CY308" s="144">
        <f t="shared" si="779"/>
        <v>0</v>
      </c>
      <c r="CZ308" s="144">
        <f t="shared" si="779"/>
        <v>0</v>
      </c>
      <c r="DA308" s="144">
        <f t="shared" si="779"/>
        <v>0</v>
      </c>
      <c r="DB308" s="9">
        <f t="shared" si="779"/>
        <v>0</v>
      </c>
      <c r="DC308" s="144">
        <f t="shared" si="779"/>
        <v>1.06659763822023e-5</v>
      </c>
      <c r="DD308" s="144">
        <f t="shared" si="779"/>
        <v>3.25810516867035e-5</v>
      </c>
      <c r="DE308" s="144">
        <f t="shared" si="779"/>
        <v>1.51189999529909e-5</v>
      </c>
      <c r="DF308" s="144">
        <f t="shared" si="779"/>
        <v>0</v>
      </c>
      <c r="DG308" s="144">
        <f t="shared" si="779"/>
        <v>0</v>
      </c>
      <c r="DH308" s="144">
        <f t="shared" si="779"/>
        <v>0</v>
      </c>
      <c r="DI308" s="144">
        <f t="shared" si="779"/>
        <v>0</v>
      </c>
      <c r="DJ308" s="144">
        <f t="shared" si="779"/>
        <v>0</v>
      </c>
      <c r="DK308" s="144">
        <f t="shared" si="779"/>
        <v>0</v>
      </c>
      <c r="DL308" s="144">
        <f t="shared" si="779"/>
        <v>0</v>
      </c>
      <c r="DM308" s="144">
        <f t="shared" si="779"/>
        <v>0</v>
      </c>
      <c r="DN308" s="144">
        <f t="shared" si="779"/>
        <v>0</v>
      </c>
      <c r="DO308" s="9">
        <f t="shared" si="779"/>
        <v>6.36633470123633e-6</v>
      </c>
      <c r="DP308" s="144">
        <f t="shared" si="779"/>
        <v>4.19631394307921e-6</v>
      </c>
      <c r="DQ308" s="144">
        <f t="shared" si="779"/>
        <v>0</v>
      </c>
      <c r="DR308" s="144">
        <f t="shared" si="779"/>
        <v>0</v>
      </c>
      <c r="DS308" s="144">
        <f t="shared" si="779"/>
        <v>0</v>
      </c>
      <c r="DT308" s="144">
        <f t="shared" si="779"/>
        <v>0</v>
      </c>
      <c r="DU308" s="144">
        <f t="shared" si="779"/>
        <v>0</v>
      </c>
      <c r="DV308" s="144">
        <f t="shared" si="779"/>
        <v>0</v>
      </c>
      <c r="DW308" s="144">
        <f t="shared" si="779"/>
        <v>0</v>
      </c>
      <c r="DX308" s="144">
        <f t="shared" si="779"/>
        <v>0</v>
      </c>
      <c r="DY308" s="144">
        <f t="shared" si="779"/>
        <v>0</v>
      </c>
      <c r="DZ308" s="144">
        <f t="shared" si="779"/>
        <v>0</v>
      </c>
      <c r="EA308" s="144">
        <f t="shared" si="779"/>
        <v>0</v>
      </c>
      <c r="EB308" s="117">
        <f t="shared" si="779"/>
        <v>5.36891602058824e-7</v>
      </c>
      <c r="EC308" s="118"/>
      <c r="ED308" s="117">
        <f t="shared" ref="ED308:FB308" si="780">ED96/ED$211</f>
        <v>0</v>
      </c>
      <c r="EE308" s="117">
        <f t="shared" si="780"/>
        <v>0</v>
      </c>
      <c r="EF308" s="117">
        <f t="shared" si="780"/>
        <v>0</v>
      </c>
      <c r="EG308" s="117" t="e">
        <f t="shared" si="780"/>
        <v>#DIV/0!</v>
      </c>
      <c r="EH308" s="117" t="e">
        <f t="shared" si="780"/>
        <v>#DIV/0!</v>
      </c>
      <c r="EI308" s="117" t="e">
        <f t="shared" si="780"/>
        <v>#DIV/0!</v>
      </c>
      <c r="EJ308" s="117" t="e">
        <f t="shared" si="780"/>
        <v>#DIV/0!</v>
      </c>
      <c r="EK308" s="117" t="e">
        <f t="shared" si="780"/>
        <v>#DIV/0!</v>
      </c>
      <c r="EL308" s="117" t="e">
        <f t="shared" si="780"/>
        <v>#DIV/0!</v>
      </c>
      <c r="EM308" s="117" t="e">
        <f t="shared" si="780"/>
        <v>#DIV/0!</v>
      </c>
      <c r="EN308" s="117" t="e">
        <f t="shared" si="780"/>
        <v>#DIV/0!</v>
      </c>
      <c r="EO308" s="116">
        <f t="shared" si="780"/>
        <v>0</v>
      </c>
      <c r="EP308" s="117">
        <f t="shared" si="780"/>
        <v>0</v>
      </c>
      <c r="EQ308" s="117">
        <f t="shared" si="780"/>
        <v>0</v>
      </c>
      <c r="ER308" s="117">
        <f t="shared" si="780"/>
        <v>0</v>
      </c>
      <c r="ES308" s="117">
        <f t="shared" si="780"/>
        <v>0</v>
      </c>
      <c r="ET308" s="117">
        <f t="shared" si="780"/>
        <v>0</v>
      </c>
      <c r="EU308" s="117">
        <f t="shared" si="780"/>
        <v>0</v>
      </c>
      <c r="EV308" s="117">
        <f t="shared" si="780"/>
        <v>0</v>
      </c>
      <c r="EW308" s="117">
        <f t="shared" si="780"/>
        <v>0</v>
      </c>
      <c r="EX308" s="117">
        <f t="shared" si="780"/>
        <v>0</v>
      </c>
      <c r="EY308" s="117">
        <f t="shared" si="780"/>
        <v>0</v>
      </c>
      <c r="EZ308" s="117">
        <f t="shared" si="780"/>
        <v>0</v>
      </c>
      <c r="FA308" s="117">
        <f t="shared" si="780"/>
        <v>0</v>
      </c>
      <c r="FB308" s="117">
        <f t="shared" si="780"/>
        <v>0</v>
      </c>
      <c r="FC308" s="118"/>
      <c r="FD308" s="117"/>
      <c r="FE308" s="117"/>
      <c r="FF308" s="117"/>
      <c r="FG308" s="117"/>
      <c r="FH308" s="117"/>
      <c r="FI308" s="117"/>
      <c r="FJ308" s="117"/>
      <c r="FK308" s="117" t="e">
        <f t="shared" si="601"/>
        <v>#DIV/0!</v>
      </c>
      <c r="FL308" s="117" t="e">
        <f t="shared" si="602"/>
        <v>#DIV/0!</v>
      </c>
      <c r="FM308" s="117" t="e">
        <f t="shared" si="603"/>
        <v>#DIV/0!</v>
      </c>
      <c r="FN308" s="117" t="e">
        <f t="shared" si="604"/>
        <v>#DIV/0!</v>
      </c>
      <c r="FO308" s="9" t="e">
        <f t="shared" si="605"/>
        <v>#DIV/0!</v>
      </c>
      <c r="FP308" s="118">
        <f t="shared" ref="FP308:GB308" si="781">FP96/FP$211</f>
        <v>0</v>
      </c>
      <c r="FQ308" s="117">
        <f t="shared" si="781"/>
        <v>0</v>
      </c>
      <c r="FR308" s="117">
        <f t="shared" si="781"/>
        <v>0</v>
      </c>
      <c r="FS308" s="117">
        <f t="shared" si="781"/>
        <v>0</v>
      </c>
      <c r="FT308" s="117">
        <f t="shared" si="781"/>
        <v>0</v>
      </c>
      <c r="FU308" s="117">
        <f t="shared" si="781"/>
        <v>0</v>
      </c>
      <c r="FV308" s="117">
        <f t="shared" si="781"/>
        <v>0</v>
      </c>
      <c r="FW308" s="117">
        <f t="shared" si="781"/>
        <v>0</v>
      </c>
      <c r="FX308" s="117">
        <f t="shared" si="781"/>
        <v>0</v>
      </c>
      <c r="FY308" s="117">
        <f t="shared" si="781"/>
        <v>0</v>
      </c>
      <c r="FZ308" s="117">
        <f t="shared" si="781"/>
        <v>0</v>
      </c>
      <c r="GA308" s="117">
        <f t="shared" si="781"/>
        <v>0</v>
      </c>
      <c r="GB308" s="116">
        <f t="shared" si="781"/>
        <v>0</v>
      </c>
    </row>
    <row r="309" spans="1:184">
      <c r="A309" s="147" t="s">
        <v>219</v>
      </c>
      <c r="B309" s="160">
        <f t="shared" si="607"/>
        <v>-1</v>
      </c>
      <c r="C309" s="117">
        <f t="shared" ref="C309:AH309" si="782">C97/C$211</f>
        <v>0</v>
      </c>
      <c r="D309" s="117">
        <f t="shared" si="782"/>
        <v>0</v>
      </c>
      <c r="E309" s="117">
        <f t="shared" si="782"/>
        <v>0</v>
      </c>
      <c r="F309" s="117">
        <f t="shared" si="782"/>
        <v>0</v>
      </c>
      <c r="G309" s="117">
        <f t="shared" si="782"/>
        <v>0</v>
      </c>
      <c r="H309" s="117">
        <f t="shared" si="782"/>
        <v>0</v>
      </c>
      <c r="I309" s="117">
        <f t="shared" si="782"/>
        <v>0</v>
      </c>
      <c r="J309" s="117">
        <f t="shared" si="782"/>
        <v>0</v>
      </c>
      <c r="K309" s="117">
        <f t="shared" si="782"/>
        <v>0</v>
      </c>
      <c r="L309" s="117">
        <f t="shared" si="782"/>
        <v>0</v>
      </c>
      <c r="M309" s="117">
        <f t="shared" si="782"/>
        <v>0</v>
      </c>
      <c r="N309" s="117">
        <f t="shared" si="782"/>
        <v>0</v>
      </c>
      <c r="O309" s="9">
        <f t="shared" si="782"/>
        <v>0</v>
      </c>
      <c r="P309" s="117">
        <f t="shared" si="782"/>
        <v>0</v>
      </c>
      <c r="Q309" s="117">
        <f t="shared" si="782"/>
        <v>0</v>
      </c>
      <c r="R309" s="117">
        <f t="shared" si="782"/>
        <v>0</v>
      </c>
      <c r="S309" s="117">
        <f t="shared" si="782"/>
        <v>0</v>
      </c>
      <c r="T309" s="117">
        <f t="shared" si="782"/>
        <v>0</v>
      </c>
      <c r="U309" s="117">
        <f t="shared" si="782"/>
        <v>0</v>
      </c>
      <c r="V309" s="117">
        <f t="shared" si="782"/>
        <v>0</v>
      </c>
      <c r="W309" s="117">
        <f t="shared" si="782"/>
        <v>0</v>
      </c>
      <c r="X309" s="117">
        <f t="shared" si="782"/>
        <v>0</v>
      </c>
      <c r="Y309" s="117">
        <f t="shared" si="782"/>
        <v>0</v>
      </c>
      <c r="Z309" s="117">
        <f t="shared" si="782"/>
        <v>0</v>
      </c>
      <c r="AA309" s="117">
        <f t="shared" si="782"/>
        <v>0</v>
      </c>
      <c r="AB309" s="9">
        <f t="shared" si="782"/>
        <v>0</v>
      </c>
      <c r="AC309" s="117">
        <f t="shared" si="782"/>
        <v>0</v>
      </c>
      <c r="AD309" s="117">
        <f t="shared" si="782"/>
        <v>0</v>
      </c>
      <c r="AE309" s="117">
        <f t="shared" si="782"/>
        <v>0</v>
      </c>
      <c r="AF309" s="117">
        <f t="shared" si="782"/>
        <v>0</v>
      </c>
      <c r="AG309" s="117">
        <f t="shared" si="782"/>
        <v>0</v>
      </c>
      <c r="AH309" s="117">
        <f t="shared" si="782"/>
        <v>0</v>
      </c>
      <c r="AI309" s="117">
        <f t="shared" ref="AI309:BN309" si="783">AI97/AI$211</f>
        <v>0</v>
      </c>
      <c r="AJ309" s="117">
        <f t="shared" si="783"/>
        <v>0</v>
      </c>
      <c r="AK309" s="117">
        <f t="shared" si="783"/>
        <v>0</v>
      </c>
      <c r="AL309" s="117">
        <f t="shared" si="783"/>
        <v>0</v>
      </c>
      <c r="AM309" s="117">
        <f t="shared" si="783"/>
        <v>0</v>
      </c>
      <c r="AN309" s="117">
        <f t="shared" si="783"/>
        <v>0</v>
      </c>
      <c r="AO309" s="9">
        <f t="shared" si="783"/>
        <v>0</v>
      </c>
      <c r="AP309" s="144">
        <f t="shared" si="783"/>
        <v>0</v>
      </c>
      <c r="AQ309" s="144">
        <f t="shared" si="783"/>
        <v>0</v>
      </c>
      <c r="AR309" s="144">
        <f t="shared" si="783"/>
        <v>0</v>
      </c>
      <c r="AS309" s="144">
        <f t="shared" si="783"/>
        <v>0</v>
      </c>
      <c r="AT309" s="144">
        <f t="shared" si="783"/>
        <v>0</v>
      </c>
      <c r="AU309" s="144">
        <f t="shared" si="783"/>
        <v>0</v>
      </c>
      <c r="AV309" s="144">
        <f t="shared" si="783"/>
        <v>0</v>
      </c>
      <c r="AW309" s="144">
        <f t="shared" si="783"/>
        <v>0</v>
      </c>
      <c r="AX309" s="144">
        <f t="shared" si="783"/>
        <v>0</v>
      </c>
      <c r="AY309" s="144">
        <f t="shared" si="783"/>
        <v>0</v>
      </c>
      <c r="AZ309" s="144">
        <f t="shared" si="783"/>
        <v>0</v>
      </c>
      <c r="BA309" s="144">
        <f t="shared" si="783"/>
        <v>0</v>
      </c>
      <c r="BB309" s="9">
        <f t="shared" si="783"/>
        <v>0</v>
      </c>
      <c r="BC309" s="144">
        <f t="shared" si="783"/>
        <v>0</v>
      </c>
      <c r="BD309" s="144">
        <f t="shared" si="783"/>
        <v>0</v>
      </c>
      <c r="BE309" s="144">
        <f t="shared" si="783"/>
        <v>0</v>
      </c>
      <c r="BF309" s="144">
        <f t="shared" si="783"/>
        <v>0</v>
      </c>
      <c r="BG309" s="144">
        <f t="shared" si="783"/>
        <v>0</v>
      </c>
      <c r="BH309" s="144">
        <f t="shared" si="783"/>
        <v>0</v>
      </c>
      <c r="BI309" s="144">
        <f t="shared" si="783"/>
        <v>0</v>
      </c>
      <c r="BJ309" s="144">
        <f t="shared" si="783"/>
        <v>0</v>
      </c>
      <c r="BK309" s="144">
        <f t="shared" si="783"/>
        <v>0</v>
      </c>
      <c r="BL309" s="144">
        <f t="shared" si="783"/>
        <v>0</v>
      </c>
      <c r="BM309" s="144">
        <f t="shared" si="783"/>
        <v>0</v>
      </c>
      <c r="BN309" s="144">
        <f t="shared" si="783"/>
        <v>0</v>
      </c>
      <c r="BO309" s="9">
        <f t="shared" ref="BO309:CT309" si="784">BO97/BO$211</f>
        <v>0</v>
      </c>
      <c r="BP309" s="144">
        <f t="shared" si="784"/>
        <v>0</v>
      </c>
      <c r="BQ309" s="144">
        <f t="shared" si="784"/>
        <v>0</v>
      </c>
      <c r="BR309" s="144">
        <f t="shared" si="784"/>
        <v>0</v>
      </c>
      <c r="BS309" s="144">
        <f t="shared" si="784"/>
        <v>0</v>
      </c>
      <c r="BT309" s="144">
        <f t="shared" si="784"/>
        <v>0</v>
      </c>
      <c r="BU309" s="144">
        <f t="shared" si="784"/>
        <v>0</v>
      </c>
      <c r="BV309" s="144">
        <f t="shared" si="784"/>
        <v>0</v>
      </c>
      <c r="BW309" s="144">
        <f t="shared" si="784"/>
        <v>0</v>
      </c>
      <c r="BX309" s="144">
        <f t="shared" si="784"/>
        <v>0</v>
      </c>
      <c r="BY309" s="144">
        <f t="shared" si="784"/>
        <v>0</v>
      </c>
      <c r="BZ309" s="144">
        <f t="shared" si="784"/>
        <v>0</v>
      </c>
      <c r="CA309" s="144">
        <f t="shared" si="784"/>
        <v>0</v>
      </c>
      <c r="CB309" s="9">
        <f t="shared" si="784"/>
        <v>0</v>
      </c>
      <c r="CC309" s="144">
        <f t="shared" si="784"/>
        <v>0</v>
      </c>
      <c r="CD309" s="144">
        <f t="shared" si="784"/>
        <v>0</v>
      </c>
      <c r="CE309" s="144">
        <f t="shared" si="784"/>
        <v>0</v>
      </c>
      <c r="CF309" s="144">
        <f t="shared" si="784"/>
        <v>0</v>
      </c>
      <c r="CG309" s="144">
        <f t="shared" si="784"/>
        <v>0</v>
      </c>
      <c r="CH309" s="144">
        <f t="shared" si="784"/>
        <v>0</v>
      </c>
      <c r="CI309" s="144">
        <f t="shared" si="784"/>
        <v>0</v>
      </c>
      <c r="CJ309" s="144">
        <f t="shared" si="784"/>
        <v>0</v>
      </c>
      <c r="CK309" s="144">
        <f t="shared" si="784"/>
        <v>0</v>
      </c>
      <c r="CL309" s="144">
        <f t="shared" si="784"/>
        <v>0</v>
      </c>
      <c r="CM309" s="144">
        <f t="shared" si="784"/>
        <v>0</v>
      </c>
      <c r="CN309" s="144">
        <f t="shared" si="784"/>
        <v>0</v>
      </c>
      <c r="CO309" s="9">
        <f t="shared" si="784"/>
        <v>0</v>
      </c>
      <c r="CP309" s="144">
        <f t="shared" si="784"/>
        <v>0</v>
      </c>
      <c r="CQ309" s="144">
        <f t="shared" si="784"/>
        <v>0</v>
      </c>
      <c r="CR309" s="144">
        <f t="shared" si="784"/>
        <v>0</v>
      </c>
      <c r="CS309" s="144">
        <f t="shared" si="784"/>
        <v>0</v>
      </c>
      <c r="CT309" s="144">
        <f t="shared" si="784"/>
        <v>0</v>
      </c>
      <c r="CU309" s="144">
        <f t="shared" ref="CU309:EB309" si="785">CU97/CU$211</f>
        <v>0</v>
      </c>
      <c r="CV309" s="144">
        <f t="shared" si="785"/>
        <v>0</v>
      </c>
      <c r="CW309" s="144">
        <f t="shared" si="785"/>
        <v>0</v>
      </c>
      <c r="CX309" s="144">
        <f t="shared" si="785"/>
        <v>0</v>
      </c>
      <c r="CY309" s="144">
        <f t="shared" si="785"/>
        <v>0</v>
      </c>
      <c r="CZ309" s="144">
        <f t="shared" si="785"/>
        <v>0</v>
      </c>
      <c r="DA309" s="144">
        <f t="shared" si="785"/>
        <v>0</v>
      </c>
      <c r="DB309" s="9">
        <f t="shared" si="785"/>
        <v>0</v>
      </c>
      <c r="DC309" s="144">
        <f t="shared" si="785"/>
        <v>0</v>
      </c>
      <c r="DD309" s="144">
        <f t="shared" si="785"/>
        <v>0</v>
      </c>
      <c r="DE309" s="144">
        <f t="shared" si="785"/>
        <v>0</v>
      </c>
      <c r="DF309" s="144">
        <f t="shared" si="785"/>
        <v>0</v>
      </c>
      <c r="DG309" s="144">
        <f t="shared" si="785"/>
        <v>0</v>
      </c>
      <c r="DH309" s="144">
        <f t="shared" si="785"/>
        <v>0</v>
      </c>
      <c r="DI309" s="144">
        <f t="shared" si="785"/>
        <v>0</v>
      </c>
      <c r="DJ309" s="144">
        <f t="shared" si="785"/>
        <v>0</v>
      </c>
      <c r="DK309" s="144">
        <f t="shared" si="785"/>
        <v>0</v>
      </c>
      <c r="DL309" s="144">
        <f t="shared" si="785"/>
        <v>0</v>
      </c>
      <c r="DM309" s="144">
        <f t="shared" si="785"/>
        <v>0</v>
      </c>
      <c r="DN309" s="144">
        <f t="shared" si="785"/>
        <v>0</v>
      </c>
      <c r="DO309" s="9">
        <f t="shared" si="785"/>
        <v>0</v>
      </c>
      <c r="DP309" s="144">
        <f t="shared" si="785"/>
        <v>0</v>
      </c>
      <c r="DQ309" s="144">
        <f t="shared" si="785"/>
        <v>0</v>
      </c>
      <c r="DR309" s="144">
        <f t="shared" si="785"/>
        <v>0</v>
      </c>
      <c r="DS309" s="144">
        <f t="shared" si="785"/>
        <v>0</v>
      </c>
      <c r="DT309" s="144">
        <f t="shared" si="785"/>
        <v>0</v>
      </c>
      <c r="DU309" s="144">
        <f t="shared" si="785"/>
        <v>0</v>
      </c>
      <c r="DV309" s="144">
        <f t="shared" si="785"/>
        <v>0</v>
      </c>
      <c r="DW309" s="144">
        <f t="shared" si="785"/>
        <v>0</v>
      </c>
      <c r="DX309" s="144">
        <f t="shared" si="785"/>
        <v>0</v>
      </c>
      <c r="DY309" s="144">
        <f t="shared" si="785"/>
        <v>0</v>
      </c>
      <c r="DZ309" s="144">
        <f t="shared" si="785"/>
        <v>0</v>
      </c>
      <c r="EA309" s="144">
        <f t="shared" si="785"/>
        <v>0</v>
      </c>
      <c r="EB309" s="117">
        <f t="shared" si="785"/>
        <v>0</v>
      </c>
      <c r="EC309" s="118"/>
      <c r="ED309" s="117">
        <f t="shared" ref="ED309:FB309" si="786">ED97/ED$211</f>
        <v>0</v>
      </c>
      <c r="EE309" s="117">
        <f t="shared" si="786"/>
        <v>0</v>
      </c>
      <c r="EF309" s="117">
        <f t="shared" si="786"/>
        <v>0</v>
      </c>
      <c r="EG309" s="117" t="e">
        <f t="shared" si="786"/>
        <v>#DIV/0!</v>
      </c>
      <c r="EH309" s="117" t="e">
        <f t="shared" si="786"/>
        <v>#DIV/0!</v>
      </c>
      <c r="EI309" s="117" t="e">
        <f t="shared" si="786"/>
        <v>#DIV/0!</v>
      </c>
      <c r="EJ309" s="117" t="e">
        <f t="shared" si="786"/>
        <v>#DIV/0!</v>
      </c>
      <c r="EK309" s="117" t="e">
        <f t="shared" si="786"/>
        <v>#DIV/0!</v>
      </c>
      <c r="EL309" s="117" t="e">
        <f t="shared" si="786"/>
        <v>#DIV/0!</v>
      </c>
      <c r="EM309" s="117" t="e">
        <f t="shared" si="786"/>
        <v>#DIV/0!</v>
      </c>
      <c r="EN309" s="117" t="e">
        <f t="shared" si="786"/>
        <v>#DIV/0!</v>
      </c>
      <c r="EO309" s="116">
        <f t="shared" si="786"/>
        <v>0</v>
      </c>
      <c r="EP309" s="117">
        <f t="shared" si="786"/>
        <v>0</v>
      </c>
      <c r="EQ309" s="117">
        <f t="shared" si="786"/>
        <v>0</v>
      </c>
      <c r="ER309" s="117">
        <f t="shared" si="786"/>
        <v>0</v>
      </c>
      <c r="ES309" s="117">
        <f t="shared" si="786"/>
        <v>0</v>
      </c>
      <c r="ET309" s="117">
        <f t="shared" si="786"/>
        <v>0</v>
      </c>
      <c r="EU309" s="117">
        <f t="shared" si="786"/>
        <v>0</v>
      </c>
      <c r="EV309" s="117">
        <f t="shared" si="786"/>
        <v>0</v>
      </c>
      <c r="EW309" s="117">
        <f t="shared" si="786"/>
        <v>0</v>
      </c>
      <c r="EX309" s="117">
        <f t="shared" si="786"/>
        <v>0</v>
      </c>
      <c r="EY309" s="117">
        <f t="shared" si="786"/>
        <v>0</v>
      </c>
      <c r="EZ309" s="117">
        <f t="shared" si="786"/>
        <v>0</v>
      </c>
      <c r="FA309" s="117">
        <f t="shared" si="786"/>
        <v>0</v>
      </c>
      <c r="FB309" s="117">
        <f t="shared" si="786"/>
        <v>0</v>
      </c>
      <c r="FC309" s="118"/>
      <c r="FD309" s="117"/>
      <c r="FE309" s="117"/>
      <c r="FF309" s="117"/>
      <c r="FG309" s="117"/>
      <c r="FH309" s="117"/>
      <c r="FI309" s="117"/>
      <c r="FJ309" s="117"/>
      <c r="FK309" s="117" t="e">
        <f t="shared" si="601"/>
        <v>#DIV/0!</v>
      </c>
      <c r="FL309" s="117" t="e">
        <f t="shared" si="602"/>
        <v>#DIV/0!</v>
      </c>
      <c r="FM309" s="117" t="e">
        <f t="shared" si="603"/>
        <v>#DIV/0!</v>
      </c>
      <c r="FN309" s="117" t="e">
        <f t="shared" si="604"/>
        <v>#DIV/0!</v>
      </c>
      <c r="FO309" s="9" t="e">
        <f t="shared" si="605"/>
        <v>#DIV/0!</v>
      </c>
      <c r="FP309" s="118">
        <f t="shared" ref="FP309:GB309" si="787">FP97/FP$211</f>
        <v>0</v>
      </c>
      <c r="FQ309" s="117">
        <f t="shared" si="787"/>
        <v>0</v>
      </c>
      <c r="FR309" s="117">
        <f t="shared" si="787"/>
        <v>0</v>
      </c>
      <c r="FS309" s="117">
        <f t="shared" si="787"/>
        <v>0</v>
      </c>
      <c r="FT309" s="117">
        <f t="shared" si="787"/>
        <v>0</v>
      </c>
      <c r="FU309" s="117">
        <f t="shared" si="787"/>
        <v>0</v>
      </c>
      <c r="FV309" s="117">
        <f t="shared" si="787"/>
        <v>0</v>
      </c>
      <c r="FW309" s="117">
        <f t="shared" si="787"/>
        <v>0</v>
      </c>
      <c r="FX309" s="117">
        <f t="shared" si="787"/>
        <v>0</v>
      </c>
      <c r="FY309" s="117">
        <f t="shared" si="787"/>
        <v>0</v>
      </c>
      <c r="FZ309" s="117">
        <f t="shared" si="787"/>
        <v>0</v>
      </c>
      <c r="GA309" s="117">
        <f t="shared" si="787"/>
        <v>0</v>
      </c>
      <c r="GB309" s="116">
        <f t="shared" si="787"/>
        <v>0</v>
      </c>
    </row>
    <row r="310" spans="1:184">
      <c r="A310" s="147" t="s">
        <v>221</v>
      </c>
      <c r="B310" s="160">
        <f t="shared" si="607"/>
        <v>-0.987028706527536</v>
      </c>
      <c r="C310" s="117">
        <f t="shared" ref="C310:AH310" si="788">C98/C$211</f>
        <v>0</v>
      </c>
      <c r="D310" s="117">
        <f t="shared" si="788"/>
        <v>4.96977092347108e-7</v>
      </c>
      <c r="E310" s="117">
        <f t="shared" si="788"/>
        <v>0</v>
      </c>
      <c r="F310" s="117">
        <f t="shared" si="788"/>
        <v>0</v>
      </c>
      <c r="G310" s="117">
        <f t="shared" si="788"/>
        <v>0</v>
      </c>
      <c r="H310" s="117">
        <f t="shared" si="788"/>
        <v>0</v>
      </c>
      <c r="I310" s="117">
        <f t="shared" si="788"/>
        <v>0</v>
      </c>
      <c r="J310" s="117">
        <f t="shared" si="788"/>
        <v>0</v>
      </c>
      <c r="K310" s="117">
        <f t="shared" si="788"/>
        <v>0</v>
      </c>
      <c r="L310" s="117">
        <f t="shared" si="788"/>
        <v>0</v>
      </c>
      <c r="M310" s="117">
        <f t="shared" si="788"/>
        <v>0</v>
      </c>
      <c r="N310" s="117">
        <f t="shared" si="788"/>
        <v>0</v>
      </c>
      <c r="O310" s="9">
        <f t="shared" si="788"/>
        <v>4.73019065988435e-8</v>
      </c>
      <c r="P310" s="117">
        <f t="shared" si="788"/>
        <v>0</v>
      </c>
      <c r="Q310" s="117">
        <f t="shared" si="788"/>
        <v>0</v>
      </c>
      <c r="R310" s="117">
        <f t="shared" si="788"/>
        <v>0</v>
      </c>
      <c r="S310" s="117">
        <f t="shared" si="788"/>
        <v>0</v>
      </c>
      <c r="T310" s="117">
        <f t="shared" si="788"/>
        <v>0</v>
      </c>
      <c r="U310" s="117">
        <f t="shared" si="788"/>
        <v>0</v>
      </c>
      <c r="V310" s="117">
        <f t="shared" si="788"/>
        <v>0</v>
      </c>
      <c r="W310" s="117">
        <f t="shared" si="788"/>
        <v>0</v>
      </c>
      <c r="X310" s="117">
        <f t="shared" si="788"/>
        <v>0</v>
      </c>
      <c r="Y310" s="117">
        <f t="shared" si="788"/>
        <v>0</v>
      </c>
      <c r="Z310" s="117">
        <f t="shared" si="788"/>
        <v>0</v>
      </c>
      <c r="AA310" s="117">
        <f t="shared" si="788"/>
        <v>0</v>
      </c>
      <c r="AB310" s="9">
        <f t="shared" si="788"/>
        <v>0</v>
      </c>
      <c r="AC310" s="117">
        <f t="shared" si="788"/>
        <v>0</v>
      </c>
      <c r="AD310" s="117">
        <f t="shared" si="788"/>
        <v>0</v>
      </c>
      <c r="AE310" s="117">
        <f t="shared" si="788"/>
        <v>0</v>
      </c>
      <c r="AF310" s="117">
        <f t="shared" si="788"/>
        <v>0</v>
      </c>
      <c r="AG310" s="117">
        <f t="shared" si="788"/>
        <v>0</v>
      </c>
      <c r="AH310" s="117">
        <f t="shared" si="788"/>
        <v>0</v>
      </c>
      <c r="AI310" s="117">
        <f t="shared" ref="AI310:BN310" si="789">AI98/AI$211</f>
        <v>0</v>
      </c>
      <c r="AJ310" s="117">
        <f t="shared" si="789"/>
        <v>0</v>
      </c>
      <c r="AK310" s="117">
        <f t="shared" si="789"/>
        <v>0</v>
      </c>
      <c r="AL310" s="117">
        <f t="shared" si="789"/>
        <v>0</v>
      </c>
      <c r="AM310" s="117">
        <f t="shared" si="789"/>
        <v>0</v>
      </c>
      <c r="AN310" s="117">
        <f t="shared" si="789"/>
        <v>0</v>
      </c>
      <c r="AO310" s="9">
        <f t="shared" si="789"/>
        <v>0</v>
      </c>
      <c r="AP310" s="144">
        <f t="shared" si="789"/>
        <v>0</v>
      </c>
      <c r="AQ310" s="144">
        <f t="shared" si="789"/>
        <v>0</v>
      </c>
      <c r="AR310" s="144">
        <f t="shared" si="789"/>
        <v>0</v>
      </c>
      <c r="AS310" s="144">
        <f t="shared" si="789"/>
        <v>0</v>
      </c>
      <c r="AT310" s="144">
        <f t="shared" si="789"/>
        <v>0</v>
      </c>
      <c r="AU310" s="144">
        <f t="shared" si="789"/>
        <v>0</v>
      </c>
      <c r="AV310" s="144">
        <f t="shared" si="789"/>
        <v>0</v>
      </c>
      <c r="AW310" s="144">
        <f t="shared" si="789"/>
        <v>0</v>
      </c>
      <c r="AX310" s="144">
        <f t="shared" si="789"/>
        <v>0</v>
      </c>
      <c r="AY310" s="144">
        <f t="shared" si="789"/>
        <v>0</v>
      </c>
      <c r="AZ310" s="144">
        <f t="shared" si="789"/>
        <v>0</v>
      </c>
      <c r="BA310" s="144">
        <f t="shared" si="789"/>
        <v>0</v>
      </c>
      <c r="BB310" s="9">
        <f t="shared" si="789"/>
        <v>0</v>
      </c>
      <c r="BC310" s="144">
        <f t="shared" si="789"/>
        <v>0</v>
      </c>
      <c r="BD310" s="144">
        <f t="shared" si="789"/>
        <v>0</v>
      </c>
      <c r="BE310" s="144">
        <f t="shared" si="789"/>
        <v>0</v>
      </c>
      <c r="BF310" s="144">
        <f t="shared" si="789"/>
        <v>0</v>
      </c>
      <c r="BG310" s="144">
        <f t="shared" si="789"/>
        <v>0</v>
      </c>
      <c r="BH310" s="144">
        <f t="shared" si="789"/>
        <v>0</v>
      </c>
      <c r="BI310" s="144">
        <f t="shared" si="789"/>
        <v>0</v>
      </c>
      <c r="BJ310" s="144">
        <f t="shared" si="789"/>
        <v>0</v>
      </c>
      <c r="BK310" s="144">
        <f t="shared" si="789"/>
        <v>0</v>
      </c>
      <c r="BL310" s="144">
        <f t="shared" si="789"/>
        <v>0</v>
      </c>
      <c r="BM310" s="144">
        <f t="shared" si="789"/>
        <v>0</v>
      </c>
      <c r="BN310" s="144">
        <f t="shared" si="789"/>
        <v>0</v>
      </c>
      <c r="BO310" s="9">
        <f t="shared" ref="BO310:CT310" si="790">BO98/BO$211</f>
        <v>0</v>
      </c>
      <c r="BP310" s="144">
        <f t="shared" si="790"/>
        <v>0</v>
      </c>
      <c r="BQ310" s="144">
        <f t="shared" si="790"/>
        <v>0</v>
      </c>
      <c r="BR310" s="144">
        <f t="shared" si="790"/>
        <v>0</v>
      </c>
      <c r="BS310" s="144">
        <f t="shared" si="790"/>
        <v>0</v>
      </c>
      <c r="BT310" s="144">
        <f t="shared" si="790"/>
        <v>0</v>
      </c>
      <c r="BU310" s="144">
        <f t="shared" si="790"/>
        <v>0</v>
      </c>
      <c r="BV310" s="144">
        <f t="shared" si="790"/>
        <v>0</v>
      </c>
      <c r="BW310" s="144">
        <f t="shared" si="790"/>
        <v>0</v>
      </c>
      <c r="BX310" s="144">
        <f t="shared" si="790"/>
        <v>0</v>
      </c>
      <c r="BY310" s="144">
        <f t="shared" si="790"/>
        <v>0</v>
      </c>
      <c r="BZ310" s="144">
        <f t="shared" si="790"/>
        <v>0</v>
      </c>
      <c r="CA310" s="144">
        <f t="shared" si="790"/>
        <v>0</v>
      </c>
      <c r="CB310" s="9">
        <f t="shared" si="790"/>
        <v>0</v>
      </c>
      <c r="CC310" s="144">
        <f t="shared" si="790"/>
        <v>0</v>
      </c>
      <c r="CD310" s="144">
        <f t="shared" si="790"/>
        <v>0</v>
      </c>
      <c r="CE310" s="144">
        <f t="shared" si="790"/>
        <v>0</v>
      </c>
      <c r="CF310" s="144">
        <f t="shared" si="790"/>
        <v>0</v>
      </c>
      <c r="CG310" s="144">
        <f t="shared" si="790"/>
        <v>0</v>
      </c>
      <c r="CH310" s="144">
        <f t="shared" si="790"/>
        <v>0</v>
      </c>
      <c r="CI310" s="144">
        <f t="shared" si="790"/>
        <v>0</v>
      </c>
      <c r="CJ310" s="144">
        <f t="shared" si="790"/>
        <v>0</v>
      </c>
      <c r="CK310" s="144">
        <f t="shared" si="790"/>
        <v>0</v>
      </c>
      <c r="CL310" s="144">
        <f t="shared" si="790"/>
        <v>0</v>
      </c>
      <c r="CM310" s="144">
        <f t="shared" si="790"/>
        <v>0</v>
      </c>
      <c r="CN310" s="144">
        <f t="shared" si="790"/>
        <v>0</v>
      </c>
      <c r="CO310" s="9">
        <f t="shared" si="790"/>
        <v>0</v>
      </c>
      <c r="CP310" s="144">
        <f t="shared" si="790"/>
        <v>0</v>
      </c>
      <c r="CQ310" s="144">
        <f t="shared" si="790"/>
        <v>0</v>
      </c>
      <c r="CR310" s="144">
        <f t="shared" si="790"/>
        <v>0</v>
      </c>
      <c r="CS310" s="144">
        <f t="shared" si="790"/>
        <v>0</v>
      </c>
      <c r="CT310" s="144">
        <f t="shared" si="790"/>
        <v>0</v>
      </c>
      <c r="CU310" s="144">
        <f t="shared" ref="CU310:EB310" si="791">CU98/CU$211</f>
        <v>0</v>
      </c>
      <c r="CV310" s="144">
        <f t="shared" si="791"/>
        <v>0</v>
      </c>
      <c r="CW310" s="144">
        <f t="shared" si="791"/>
        <v>0</v>
      </c>
      <c r="CX310" s="144">
        <f t="shared" si="791"/>
        <v>0</v>
      </c>
      <c r="CY310" s="144">
        <f t="shared" si="791"/>
        <v>0</v>
      </c>
      <c r="CZ310" s="144">
        <f t="shared" si="791"/>
        <v>0</v>
      </c>
      <c r="DA310" s="144">
        <f t="shared" si="791"/>
        <v>0</v>
      </c>
      <c r="DB310" s="9">
        <f t="shared" si="791"/>
        <v>0</v>
      </c>
      <c r="DC310" s="144">
        <f t="shared" si="791"/>
        <v>0</v>
      </c>
      <c r="DD310" s="144">
        <f t="shared" si="791"/>
        <v>0</v>
      </c>
      <c r="DE310" s="144">
        <f t="shared" si="791"/>
        <v>0</v>
      </c>
      <c r="DF310" s="144">
        <f t="shared" si="791"/>
        <v>0</v>
      </c>
      <c r="DG310" s="144">
        <f t="shared" si="791"/>
        <v>0</v>
      </c>
      <c r="DH310" s="144">
        <f t="shared" si="791"/>
        <v>0</v>
      </c>
      <c r="DI310" s="144">
        <f t="shared" si="791"/>
        <v>0</v>
      </c>
      <c r="DJ310" s="144">
        <f t="shared" si="791"/>
        <v>0</v>
      </c>
      <c r="DK310" s="144">
        <f t="shared" si="791"/>
        <v>0</v>
      </c>
      <c r="DL310" s="144">
        <f t="shared" si="791"/>
        <v>0</v>
      </c>
      <c r="DM310" s="144">
        <f t="shared" si="791"/>
        <v>0</v>
      </c>
      <c r="DN310" s="144">
        <f t="shared" si="791"/>
        <v>0</v>
      </c>
      <c r="DO310" s="9">
        <f t="shared" si="791"/>
        <v>0</v>
      </c>
      <c r="DP310" s="144">
        <f t="shared" si="791"/>
        <v>0</v>
      </c>
      <c r="DQ310" s="144">
        <f t="shared" si="791"/>
        <v>0</v>
      </c>
      <c r="DR310" s="144">
        <f t="shared" si="791"/>
        <v>0</v>
      </c>
      <c r="DS310" s="144">
        <f t="shared" si="791"/>
        <v>0</v>
      </c>
      <c r="DT310" s="144">
        <f t="shared" si="791"/>
        <v>0</v>
      </c>
      <c r="DU310" s="144">
        <f t="shared" si="791"/>
        <v>0</v>
      </c>
      <c r="DV310" s="144">
        <f t="shared" si="791"/>
        <v>0</v>
      </c>
      <c r="DW310" s="144">
        <f t="shared" si="791"/>
        <v>0</v>
      </c>
      <c r="DX310" s="144">
        <f t="shared" si="791"/>
        <v>0</v>
      </c>
      <c r="DY310" s="144">
        <f t="shared" si="791"/>
        <v>0</v>
      </c>
      <c r="DZ310" s="144">
        <f t="shared" si="791"/>
        <v>0</v>
      </c>
      <c r="EA310" s="144">
        <f t="shared" si="791"/>
        <v>0</v>
      </c>
      <c r="EB310" s="117">
        <f t="shared" si="791"/>
        <v>0</v>
      </c>
      <c r="EC310" s="118"/>
      <c r="ED310" s="117">
        <f t="shared" ref="ED310:FB310" si="792">ED98/ED$211</f>
        <v>0</v>
      </c>
      <c r="EE310" s="117">
        <f t="shared" si="792"/>
        <v>0</v>
      </c>
      <c r="EF310" s="117">
        <f t="shared" si="792"/>
        <v>0</v>
      </c>
      <c r="EG310" s="117" t="e">
        <f t="shared" si="792"/>
        <v>#DIV/0!</v>
      </c>
      <c r="EH310" s="117" t="e">
        <f t="shared" si="792"/>
        <v>#DIV/0!</v>
      </c>
      <c r="EI310" s="117" t="e">
        <f t="shared" si="792"/>
        <v>#DIV/0!</v>
      </c>
      <c r="EJ310" s="117" t="e">
        <f t="shared" si="792"/>
        <v>#DIV/0!</v>
      </c>
      <c r="EK310" s="117" t="e">
        <f t="shared" si="792"/>
        <v>#DIV/0!</v>
      </c>
      <c r="EL310" s="117" t="e">
        <f t="shared" si="792"/>
        <v>#DIV/0!</v>
      </c>
      <c r="EM310" s="117" t="e">
        <f t="shared" si="792"/>
        <v>#DIV/0!</v>
      </c>
      <c r="EN310" s="117" t="e">
        <f t="shared" si="792"/>
        <v>#DIV/0!</v>
      </c>
      <c r="EO310" s="116">
        <f t="shared" si="792"/>
        <v>0</v>
      </c>
      <c r="EP310" s="117">
        <f t="shared" si="792"/>
        <v>0</v>
      </c>
      <c r="EQ310" s="117">
        <f t="shared" si="792"/>
        <v>0</v>
      </c>
      <c r="ER310" s="117">
        <f t="shared" si="792"/>
        <v>0</v>
      </c>
      <c r="ES310" s="117">
        <f t="shared" si="792"/>
        <v>0</v>
      </c>
      <c r="ET310" s="117">
        <f t="shared" si="792"/>
        <v>0</v>
      </c>
      <c r="EU310" s="117">
        <f t="shared" si="792"/>
        <v>0</v>
      </c>
      <c r="EV310" s="117">
        <f t="shared" si="792"/>
        <v>0</v>
      </c>
      <c r="EW310" s="117">
        <f t="shared" si="792"/>
        <v>0</v>
      </c>
      <c r="EX310" s="117">
        <f t="shared" si="792"/>
        <v>0</v>
      </c>
      <c r="EY310" s="117">
        <f t="shared" si="792"/>
        <v>0</v>
      </c>
      <c r="EZ310" s="117">
        <f t="shared" si="792"/>
        <v>0</v>
      </c>
      <c r="FA310" s="117">
        <f t="shared" si="792"/>
        <v>0</v>
      </c>
      <c r="FB310" s="117">
        <f t="shared" si="792"/>
        <v>0</v>
      </c>
      <c r="FC310" s="118"/>
      <c r="FD310" s="117"/>
      <c r="FE310" s="117"/>
      <c r="FF310" s="117"/>
      <c r="FG310" s="117"/>
      <c r="FH310" s="117"/>
      <c r="FI310" s="117"/>
      <c r="FJ310" s="117"/>
      <c r="FK310" s="117" t="e">
        <f t="shared" si="601"/>
        <v>#DIV/0!</v>
      </c>
      <c r="FL310" s="117" t="e">
        <f t="shared" si="602"/>
        <v>#DIV/0!</v>
      </c>
      <c r="FM310" s="117" t="e">
        <f t="shared" si="603"/>
        <v>#DIV/0!</v>
      </c>
      <c r="FN310" s="117" t="e">
        <f t="shared" si="604"/>
        <v>#DIV/0!</v>
      </c>
      <c r="FO310" s="9" t="e">
        <f t="shared" si="605"/>
        <v>#DIV/0!</v>
      </c>
      <c r="FP310" s="118">
        <f t="shared" ref="FP310:GB310" si="793">FP98/FP$211</f>
        <v>0</v>
      </c>
      <c r="FQ310" s="117">
        <f t="shared" si="793"/>
        <v>2.04400266556518e-6</v>
      </c>
      <c r="FR310" s="117">
        <f t="shared" si="793"/>
        <v>0</v>
      </c>
      <c r="FS310" s="117">
        <f t="shared" si="793"/>
        <v>0</v>
      </c>
      <c r="FT310" s="117">
        <f t="shared" si="793"/>
        <v>0</v>
      </c>
      <c r="FU310" s="117">
        <f t="shared" si="793"/>
        <v>0</v>
      </c>
      <c r="FV310" s="117">
        <f t="shared" si="793"/>
        <v>0</v>
      </c>
      <c r="FW310" s="117">
        <f t="shared" si="793"/>
        <v>0</v>
      </c>
      <c r="FX310" s="117">
        <f t="shared" si="793"/>
        <v>0</v>
      </c>
      <c r="FY310" s="117">
        <f t="shared" si="793"/>
        <v>0</v>
      </c>
      <c r="FZ310" s="117">
        <f t="shared" si="793"/>
        <v>0</v>
      </c>
      <c r="GA310" s="117">
        <f t="shared" si="793"/>
        <v>0</v>
      </c>
      <c r="GB310" s="116">
        <f t="shared" si="793"/>
        <v>1.95666651304806e-7</v>
      </c>
    </row>
    <row r="311" spans="1:184">
      <c r="A311" s="147" t="s">
        <v>223</v>
      </c>
      <c r="B311" s="160">
        <f t="shared" si="607"/>
        <v>-1</v>
      </c>
      <c r="C311" s="117">
        <f t="shared" ref="C311:AH311" si="794">C99/C$211</f>
        <v>0</v>
      </c>
      <c r="D311" s="117">
        <f t="shared" si="794"/>
        <v>0</v>
      </c>
      <c r="E311" s="117">
        <f t="shared" si="794"/>
        <v>0</v>
      </c>
      <c r="F311" s="117">
        <f t="shared" si="794"/>
        <v>0</v>
      </c>
      <c r="G311" s="117">
        <f t="shared" si="794"/>
        <v>0</v>
      </c>
      <c r="H311" s="117">
        <f t="shared" si="794"/>
        <v>0</v>
      </c>
      <c r="I311" s="117">
        <f t="shared" si="794"/>
        <v>0</v>
      </c>
      <c r="J311" s="117">
        <f t="shared" si="794"/>
        <v>0</v>
      </c>
      <c r="K311" s="117">
        <f t="shared" si="794"/>
        <v>0</v>
      </c>
      <c r="L311" s="117">
        <f t="shared" si="794"/>
        <v>0</v>
      </c>
      <c r="M311" s="117">
        <f t="shared" si="794"/>
        <v>0</v>
      </c>
      <c r="N311" s="117">
        <f t="shared" si="794"/>
        <v>0</v>
      </c>
      <c r="O311" s="9">
        <f t="shared" si="794"/>
        <v>0</v>
      </c>
      <c r="P311" s="117">
        <f t="shared" si="794"/>
        <v>0</v>
      </c>
      <c r="Q311" s="117">
        <f t="shared" si="794"/>
        <v>0</v>
      </c>
      <c r="R311" s="117">
        <f t="shared" si="794"/>
        <v>0</v>
      </c>
      <c r="S311" s="117">
        <f t="shared" si="794"/>
        <v>0</v>
      </c>
      <c r="T311" s="117">
        <f t="shared" si="794"/>
        <v>0</v>
      </c>
      <c r="U311" s="117">
        <f t="shared" si="794"/>
        <v>0</v>
      </c>
      <c r="V311" s="117">
        <f t="shared" si="794"/>
        <v>0</v>
      </c>
      <c r="W311" s="117">
        <f t="shared" si="794"/>
        <v>0</v>
      </c>
      <c r="X311" s="117">
        <f t="shared" si="794"/>
        <v>0</v>
      </c>
      <c r="Y311" s="117">
        <f t="shared" si="794"/>
        <v>0</v>
      </c>
      <c r="Z311" s="117">
        <f t="shared" si="794"/>
        <v>0</v>
      </c>
      <c r="AA311" s="117">
        <f t="shared" si="794"/>
        <v>0</v>
      </c>
      <c r="AB311" s="9">
        <f t="shared" si="794"/>
        <v>0</v>
      </c>
      <c r="AC311" s="117">
        <f t="shared" si="794"/>
        <v>0</v>
      </c>
      <c r="AD311" s="117">
        <f t="shared" si="794"/>
        <v>0</v>
      </c>
      <c r="AE311" s="117">
        <f t="shared" si="794"/>
        <v>0</v>
      </c>
      <c r="AF311" s="117">
        <f t="shared" si="794"/>
        <v>0</v>
      </c>
      <c r="AG311" s="117">
        <f t="shared" si="794"/>
        <v>0</v>
      </c>
      <c r="AH311" s="117">
        <f t="shared" si="794"/>
        <v>0</v>
      </c>
      <c r="AI311" s="117">
        <f t="shared" ref="AI311:BN311" si="795">AI99/AI$211</f>
        <v>0</v>
      </c>
      <c r="AJ311" s="117">
        <f t="shared" si="795"/>
        <v>0</v>
      </c>
      <c r="AK311" s="117">
        <f t="shared" si="795"/>
        <v>0</v>
      </c>
      <c r="AL311" s="117">
        <f t="shared" si="795"/>
        <v>0</v>
      </c>
      <c r="AM311" s="117">
        <f t="shared" si="795"/>
        <v>0</v>
      </c>
      <c r="AN311" s="117">
        <f t="shared" si="795"/>
        <v>0</v>
      </c>
      <c r="AO311" s="9">
        <f t="shared" si="795"/>
        <v>0</v>
      </c>
      <c r="AP311" s="144">
        <f t="shared" si="795"/>
        <v>0</v>
      </c>
      <c r="AQ311" s="144">
        <f t="shared" si="795"/>
        <v>0</v>
      </c>
      <c r="AR311" s="144">
        <f t="shared" si="795"/>
        <v>0</v>
      </c>
      <c r="AS311" s="144">
        <f t="shared" si="795"/>
        <v>0</v>
      </c>
      <c r="AT311" s="144">
        <f t="shared" si="795"/>
        <v>0</v>
      </c>
      <c r="AU311" s="144">
        <f t="shared" si="795"/>
        <v>0</v>
      </c>
      <c r="AV311" s="144">
        <f t="shared" si="795"/>
        <v>0</v>
      </c>
      <c r="AW311" s="144">
        <f t="shared" si="795"/>
        <v>0</v>
      </c>
      <c r="AX311" s="144">
        <f t="shared" si="795"/>
        <v>0</v>
      </c>
      <c r="AY311" s="144">
        <f t="shared" si="795"/>
        <v>0</v>
      </c>
      <c r="AZ311" s="144">
        <f t="shared" si="795"/>
        <v>0</v>
      </c>
      <c r="BA311" s="144">
        <f t="shared" si="795"/>
        <v>0</v>
      </c>
      <c r="BB311" s="9">
        <f t="shared" si="795"/>
        <v>0</v>
      </c>
      <c r="BC311" s="144">
        <f t="shared" si="795"/>
        <v>0</v>
      </c>
      <c r="BD311" s="144">
        <f t="shared" si="795"/>
        <v>0</v>
      </c>
      <c r="BE311" s="144">
        <f t="shared" si="795"/>
        <v>0</v>
      </c>
      <c r="BF311" s="144">
        <f t="shared" si="795"/>
        <v>0</v>
      </c>
      <c r="BG311" s="144">
        <f t="shared" si="795"/>
        <v>0</v>
      </c>
      <c r="BH311" s="144">
        <f t="shared" si="795"/>
        <v>0</v>
      </c>
      <c r="BI311" s="144">
        <f t="shared" si="795"/>
        <v>0</v>
      </c>
      <c r="BJ311" s="144">
        <f t="shared" si="795"/>
        <v>0</v>
      </c>
      <c r="BK311" s="144">
        <f t="shared" si="795"/>
        <v>0</v>
      </c>
      <c r="BL311" s="144">
        <f t="shared" si="795"/>
        <v>0</v>
      </c>
      <c r="BM311" s="144">
        <f t="shared" si="795"/>
        <v>0</v>
      </c>
      <c r="BN311" s="144">
        <f t="shared" si="795"/>
        <v>0</v>
      </c>
      <c r="BO311" s="9">
        <f t="shared" ref="BO311:CT311" si="796">BO99/BO$211</f>
        <v>0</v>
      </c>
      <c r="BP311" s="144">
        <f t="shared" si="796"/>
        <v>0</v>
      </c>
      <c r="BQ311" s="144">
        <f t="shared" si="796"/>
        <v>0</v>
      </c>
      <c r="BR311" s="144">
        <f t="shared" si="796"/>
        <v>0</v>
      </c>
      <c r="BS311" s="144">
        <f t="shared" si="796"/>
        <v>0</v>
      </c>
      <c r="BT311" s="144">
        <f t="shared" si="796"/>
        <v>0</v>
      </c>
      <c r="BU311" s="144">
        <f t="shared" si="796"/>
        <v>0</v>
      </c>
      <c r="BV311" s="144">
        <f t="shared" si="796"/>
        <v>0</v>
      </c>
      <c r="BW311" s="144">
        <f t="shared" si="796"/>
        <v>0</v>
      </c>
      <c r="BX311" s="144">
        <f t="shared" si="796"/>
        <v>0</v>
      </c>
      <c r="BY311" s="144">
        <f t="shared" si="796"/>
        <v>0</v>
      </c>
      <c r="BZ311" s="144">
        <f t="shared" si="796"/>
        <v>0</v>
      </c>
      <c r="CA311" s="144">
        <f t="shared" si="796"/>
        <v>0</v>
      </c>
      <c r="CB311" s="9">
        <f t="shared" si="796"/>
        <v>0</v>
      </c>
      <c r="CC311" s="144">
        <f t="shared" si="796"/>
        <v>0</v>
      </c>
      <c r="CD311" s="144">
        <f t="shared" si="796"/>
        <v>0</v>
      </c>
      <c r="CE311" s="144">
        <f t="shared" si="796"/>
        <v>0</v>
      </c>
      <c r="CF311" s="144">
        <f t="shared" si="796"/>
        <v>0</v>
      </c>
      <c r="CG311" s="144">
        <f t="shared" si="796"/>
        <v>0</v>
      </c>
      <c r="CH311" s="144">
        <f t="shared" si="796"/>
        <v>0</v>
      </c>
      <c r="CI311" s="144">
        <f t="shared" si="796"/>
        <v>0</v>
      </c>
      <c r="CJ311" s="144">
        <f t="shared" si="796"/>
        <v>0</v>
      </c>
      <c r="CK311" s="144">
        <f t="shared" si="796"/>
        <v>0</v>
      </c>
      <c r="CL311" s="144">
        <f t="shared" si="796"/>
        <v>0</v>
      </c>
      <c r="CM311" s="144">
        <f t="shared" si="796"/>
        <v>0</v>
      </c>
      <c r="CN311" s="144">
        <f t="shared" si="796"/>
        <v>0</v>
      </c>
      <c r="CO311" s="9">
        <f t="shared" si="796"/>
        <v>0</v>
      </c>
      <c r="CP311" s="144">
        <f t="shared" si="796"/>
        <v>0</v>
      </c>
      <c r="CQ311" s="144">
        <f t="shared" si="796"/>
        <v>0</v>
      </c>
      <c r="CR311" s="144">
        <f t="shared" si="796"/>
        <v>0</v>
      </c>
      <c r="CS311" s="144">
        <f t="shared" si="796"/>
        <v>0</v>
      </c>
      <c r="CT311" s="144">
        <f t="shared" si="796"/>
        <v>0</v>
      </c>
      <c r="CU311" s="144">
        <f t="shared" ref="CU311:EB311" si="797">CU99/CU$211</f>
        <v>0</v>
      </c>
      <c r="CV311" s="144">
        <f t="shared" si="797"/>
        <v>0</v>
      </c>
      <c r="CW311" s="144">
        <f t="shared" si="797"/>
        <v>0</v>
      </c>
      <c r="CX311" s="144">
        <f t="shared" si="797"/>
        <v>0</v>
      </c>
      <c r="CY311" s="144">
        <f t="shared" si="797"/>
        <v>0</v>
      </c>
      <c r="CZ311" s="144">
        <f t="shared" si="797"/>
        <v>0</v>
      </c>
      <c r="DA311" s="144">
        <f t="shared" si="797"/>
        <v>0</v>
      </c>
      <c r="DB311" s="9">
        <f t="shared" si="797"/>
        <v>0</v>
      </c>
      <c r="DC311" s="144">
        <f t="shared" si="797"/>
        <v>0</v>
      </c>
      <c r="DD311" s="144">
        <f t="shared" si="797"/>
        <v>0</v>
      </c>
      <c r="DE311" s="144">
        <f t="shared" si="797"/>
        <v>0</v>
      </c>
      <c r="DF311" s="144">
        <f t="shared" si="797"/>
        <v>0</v>
      </c>
      <c r="DG311" s="144">
        <f t="shared" si="797"/>
        <v>0</v>
      </c>
      <c r="DH311" s="144">
        <f t="shared" si="797"/>
        <v>0</v>
      </c>
      <c r="DI311" s="144">
        <f t="shared" si="797"/>
        <v>0</v>
      </c>
      <c r="DJ311" s="144">
        <f t="shared" si="797"/>
        <v>0</v>
      </c>
      <c r="DK311" s="144">
        <f t="shared" si="797"/>
        <v>0</v>
      </c>
      <c r="DL311" s="144">
        <f t="shared" si="797"/>
        <v>0</v>
      </c>
      <c r="DM311" s="144">
        <f t="shared" si="797"/>
        <v>0</v>
      </c>
      <c r="DN311" s="144">
        <f t="shared" si="797"/>
        <v>0</v>
      </c>
      <c r="DO311" s="9">
        <f t="shared" si="797"/>
        <v>0</v>
      </c>
      <c r="DP311" s="144">
        <f t="shared" si="797"/>
        <v>0</v>
      </c>
      <c r="DQ311" s="144">
        <f t="shared" si="797"/>
        <v>0</v>
      </c>
      <c r="DR311" s="144">
        <f t="shared" si="797"/>
        <v>0</v>
      </c>
      <c r="DS311" s="144">
        <f t="shared" si="797"/>
        <v>0</v>
      </c>
      <c r="DT311" s="144">
        <f t="shared" si="797"/>
        <v>0</v>
      </c>
      <c r="DU311" s="144">
        <f t="shared" si="797"/>
        <v>0</v>
      </c>
      <c r="DV311" s="144">
        <f t="shared" si="797"/>
        <v>0</v>
      </c>
      <c r="DW311" s="144">
        <f t="shared" si="797"/>
        <v>0</v>
      </c>
      <c r="DX311" s="144">
        <f t="shared" si="797"/>
        <v>0</v>
      </c>
      <c r="DY311" s="144">
        <f t="shared" si="797"/>
        <v>0</v>
      </c>
      <c r="DZ311" s="144">
        <f t="shared" si="797"/>
        <v>0</v>
      </c>
      <c r="EA311" s="144">
        <f t="shared" si="797"/>
        <v>0</v>
      </c>
      <c r="EB311" s="117">
        <f t="shared" si="797"/>
        <v>0</v>
      </c>
      <c r="EC311" s="118"/>
      <c r="ED311" s="117">
        <f t="shared" ref="ED311:FB311" si="798">ED99/ED$211</f>
        <v>0</v>
      </c>
      <c r="EE311" s="117">
        <f t="shared" si="798"/>
        <v>0</v>
      </c>
      <c r="EF311" s="117">
        <f t="shared" si="798"/>
        <v>0</v>
      </c>
      <c r="EG311" s="117" t="e">
        <f t="shared" si="798"/>
        <v>#DIV/0!</v>
      </c>
      <c r="EH311" s="117" t="e">
        <f t="shared" si="798"/>
        <v>#DIV/0!</v>
      </c>
      <c r="EI311" s="117" t="e">
        <f t="shared" si="798"/>
        <v>#DIV/0!</v>
      </c>
      <c r="EJ311" s="117" t="e">
        <f t="shared" si="798"/>
        <v>#DIV/0!</v>
      </c>
      <c r="EK311" s="117" t="e">
        <f t="shared" si="798"/>
        <v>#DIV/0!</v>
      </c>
      <c r="EL311" s="117" t="e">
        <f t="shared" si="798"/>
        <v>#DIV/0!</v>
      </c>
      <c r="EM311" s="117" t="e">
        <f t="shared" si="798"/>
        <v>#DIV/0!</v>
      </c>
      <c r="EN311" s="117" t="e">
        <f t="shared" si="798"/>
        <v>#DIV/0!</v>
      </c>
      <c r="EO311" s="116">
        <f t="shared" si="798"/>
        <v>0</v>
      </c>
      <c r="EP311" s="117">
        <f t="shared" si="798"/>
        <v>0</v>
      </c>
      <c r="EQ311" s="117">
        <f t="shared" si="798"/>
        <v>0</v>
      </c>
      <c r="ER311" s="117">
        <f t="shared" si="798"/>
        <v>0</v>
      </c>
      <c r="ES311" s="117">
        <f t="shared" si="798"/>
        <v>0</v>
      </c>
      <c r="ET311" s="117">
        <f t="shared" si="798"/>
        <v>0</v>
      </c>
      <c r="EU311" s="117">
        <f t="shared" si="798"/>
        <v>0</v>
      </c>
      <c r="EV311" s="117">
        <f t="shared" si="798"/>
        <v>0</v>
      </c>
      <c r="EW311" s="117">
        <f t="shared" si="798"/>
        <v>0</v>
      </c>
      <c r="EX311" s="117">
        <f t="shared" si="798"/>
        <v>0</v>
      </c>
      <c r="EY311" s="117">
        <f t="shared" si="798"/>
        <v>0</v>
      </c>
      <c r="EZ311" s="117">
        <f t="shared" si="798"/>
        <v>0</v>
      </c>
      <c r="FA311" s="117">
        <f t="shared" si="798"/>
        <v>0</v>
      </c>
      <c r="FB311" s="117">
        <f t="shared" si="798"/>
        <v>0</v>
      </c>
      <c r="FC311" s="118"/>
      <c r="FD311" s="117"/>
      <c r="FE311" s="117"/>
      <c r="FF311" s="117"/>
      <c r="FG311" s="117"/>
      <c r="FH311" s="117"/>
      <c r="FI311" s="117"/>
      <c r="FJ311" s="117"/>
      <c r="FK311" s="117" t="e">
        <f t="shared" si="601"/>
        <v>#DIV/0!</v>
      </c>
      <c r="FL311" s="117" t="e">
        <f t="shared" si="602"/>
        <v>#DIV/0!</v>
      </c>
      <c r="FM311" s="117" t="e">
        <f t="shared" si="603"/>
        <v>#DIV/0!</v>
      </c>
      <c r="FN311" s="117" t="e">
        <f t="shared" si="604"/>
        <v>#DIV/0!</v>
      </c>
      <c r="FO311" s="9" t="e">
        <f t="shared" si="605"/>
        <v>#DIV/0!</v>
      </c>
      <c r="FP311" s="118">
        <f t="shared" ref="FP311:GB311" si="799">FP99/FP$211</f>
        <v>0</v>
      </c>
      <c r="FQ311" s="117">
        <f t="shared" si="799"/>
        <v>0</v>
      </c>
      <c r="FR311" s="117">
        <f t="shared" si="799"/>
        <v>0</v>
      </c>
      <c r="FS311" s="117">
        <f t="shared" si="799"/>
        <v>0</v>
      </c>
      <c r="FT311" s="117">
        <f t="shared" si="799"/>
        <v>0</v>
      </c>
      <c r="FU311" s="117">
        <f t="shared" si="799"/>
        <v>0</v>
      </c>
      <c r="FV311" s="117">
        <f t="shared" si="799"/>
        <v>0</v>
      </c>
      <c r="FW311" s="117">
        <f t="shared" si="799"/>
        <v>0</v>
      </c>
      <c r="FX311" s="117">
        <f t="shared" si="799"/>
        <v>0</v>
      </c>
      <c r="FY311" s="117">
        <f t="shared" si="799"/>
        <v>0</v>
      </c>
      <c r="FZ311" s="117">
        <f t="shared" si="799"/>
        <v>0</v>
      </c>
      <c r="GA311" s="117">
        <f t="shared" si="799"/>
        <v>0</v>
      </c>
      <c r="GB311" s="116">
        <f t="shared" si="799"/>
        <v>0</v>
      </c>
    </row>
    <row r="312" spans="1:184">
      <c r="A312" s="147" t="s">
        <v>225</v>
      </c>
      <c r="B312" s="160">
        <f t="shared" si="607"/>
        <v>-0.923997911902148</v>
      </c>
      <c r="C312" s="117">
        <f t="shared" ref="C312:AH312" si="800">C100/C$211</f>
        <v>5.76901544505204e-7</v>
      </c>
      <c r="D312" s="117">
        <f t="shared" si="800"/>
        <v>2.00081056665483e-6</v>
      </c>
      <c r="E312" s="117">
        <f t="shared" si="800"/>
        <v>7.63913492167564e-7</v>
      </c>
      <c r="F312" s="117">
        <f t="shared" si="800"/>
        <v>0</v>
      </c>
      <c r="G312" s="117">
        <f t="shared" si="800"/>
        <v>5.15970851277535e-7</v>
      </c>
      <c r="H312" s="117">
        <f t="shared" si="800"/>
        <v>0</v>
      </c>
      <c r="I312" s="117">
        <f t="shared" si="800"/>
        <v>0</v>
      </c>
      <c r="J312" s="117">
        <f t="shared" si="800"/>
        <v>0</v>
      </c>
      <c r="K312" s="117">
        <f t="shared" si="800"/>
        <v>0</v>
      </c>
      <c r="L312" s="117">
        <f t="shared" si="800"/>
        <v>0</v>
      </c>
      <c r="M312" s="117">
        <f t="shared" si="800"/>
        <v>0</v>
      </c>
      <c r="N312" s="117">
        <f t="shared" si="800"/>
        <v>0</v>
      </c>
      <c r="O312" s="9">
        <f t="shared" si="800"/>
        <v>3.55920685863063e-7</v>
      </c>
      <c r="P312" s="117">
        <f t="shared" si="800"/>
        <v>0</v>
      </c>
      <c r="Q312" s="117">
        <f t="shared" si="800"/>
        <v>0</v>
      </c>
      <c r="R312" s="117">
        <f t="shared" si="800"/>
        <v>0</v>
      </c>
      <c r="S312" s="117">
        <f t="shared" si="800"/>
        <v>0</v>
      </c>
      <c r="T312" s="117">
        <f t="shared" si="800"/>
        <v>0</v>
      </c>
      <c r="U312" s="117">
        <f t="shared" si="800"/>
        <v>0</v>
      </c>
      <c r="V312" s="117">
        <f t="shared" si="800"/>
        <v>0</v>
      </c>
      <c r="W312" s="117">
        <f t="shared" si="800"/>
        <v>0</v>
      </c>
      <c r="X312" s="117">
        <f t="shared" si="800"/>
        <v>0</v>
      </c>
      <c r="Y312" s="117">
        <f t="shared" si="800"/>
        <v>0</v>
      </c>
      <c r="Z312" s="117">
        <f t="shared" si="800"/>
        <v>0</v>
      </c>
      <c r="AA312" s="117">
        <f t="shared" si="800"/>
        <v>0</v>
      </c>
      <c r="AB312" s="9">
        <f t="shared" si="800"/>
        <v>0</v>
      </c>
      <c r="AC312" s="117">
        <f t="shared" si="800"/>
        <v>0</v>
      </c>
      <c r="AD312" s="117">
        <f t="shared" si="800"/>
        <v>0</v>
      </c>
      <c r="AE312" s="117">
        <f t="shared" si="800"/>
        <v>0</v>
      </c>
      <c r="AF312" s="117">
        <f t="shared" si="800"/>
        <v>0</v>
      </c>
      <c r="AG312" s="117">
        <f t="shared" si="800"/>
        <v>0</v>
      </c>
      <c r="AH312" s="117">
        <f t="shared" si="800"/>
        <v>0</v>
      </c>
      <c r="AI312" s="117">
        <f t="shared" ref="AI312:BN312" si="801">AI100/AI$211</f>
        <v>0</v>
      </c>
      <c r="AJ312" s="117">
        <f t="shared" si="801"/>
        <v>0</v>
      </c>
      <c r="AK312" s="117">
        <f t="shared" si="801"/>
        <v>0</v>
      </c>
      <c r="AL312" s="117">
        <f t="shared" si="801"/>
        <v>0</v>
      </c>
      <c r="AM312" s="117">
        <f t="shared" si="801"/>
        <v>0</v>
      </c>
      <c r="AN312" s="117">
        <f t="shared" si="801"/>
        <v>0</v>
      </c>
      <c r="AO312" s="9">
        <f t="shared" si="801"/>
        <v>0</v>
      </c>
      <c r="AP312" s="144">
        <f t="shared" si="801"/>
        <v>0</v>
      </c>
      <c r="AQ312" s="144">
        <f t="shared" si="801"/>
        <v>0</v>
      </c>
      <c r="AR312" s="144">
        <f t="shared" si="801"/>
        <v>0</v>
      </c>
      <c r="AS312" s="144">
        <f t="shared" si="801"/>
        <v>0</v>
      </c>
      <c r="AT312" s="144">
        <f t="shared" si="801"/>
        <v>0</v>
      </c>
      <c r="AU312" s="144">
        <f t="shared" si="801"/>
        <v>0</v>
      </c>
      <c r="AV312" s="144">
        <f t="shared" si="801"/>
        <v>0</v>
      </c>
      <c r="AW312" s="144">
        <f t="shared" si="801"/>
        <v>0</v>
      </c>
      <c r="AX312" s="144">
        <f t="shared" si="801"/>
        <v>0</v>
      </c>
      <c r="AY312" s="144">
        <f t="shared" si="801"/>
        <v>0</v>
      </c>
      <c r="AZ312" s="144">
        <f t="shared" si="801"/>
        <v>0</v>
      </c>
      <c r="BA312" s="144">
        <f t="shared" si="801"/>
        <v>0</v>
      </c>
      <c r="BB312" s="9">
        <f t="shared" si="801"/>
        <v>0</v>
      </c>
      <c r="BC312" s="144">
        <f t="shared" si="801"/>
        <v>0</v>
      </c>
      <c r="BD312" s="144">
        <f t="shared" si="801"/>
        <v>0</v>
      </c>
      <c r="BE312" s="144">
        <f t="shared" si="801"/>
        <v>0</v>
      </c>
      <c r="BF312" s="144">
        <f t="shared" si="801"/>
        <v>0</v>
      </c>
      <c r="BG312" s="144">
        <f t="shared" si="801"/>
        <v>0</v>
      </c>
      <c r="BH312" s="144">
        <f t="shared" si="801"/>
        <v>0</v>
      </c>
      <c r="BI312" s="144">
        <f t="shared" si="801"/>
        <v>0</v>
      </c>
      <c r="BJ312" s="144">
        <f t="shared" si="801"/>
        <v>0</v>
      </c>
      <c r="BK312" s="144">
        <f t="shared" si="801"/>
        <v>0</v>
      </c>
      <c r="BL312" s="144">
        <f t="shared" si="801"/>
        <v>0</v>
      </c>
      <c r="BM312" s="144">
        <f t="shared" si="801"/>
        <v>0</v>
      </c>
      <c r="BN312" s="144">
        <f t="shared" si="801"/>
        <v>0</v>
      </c>
      <c r="BO312" s="9">
        <f t="shared" ref="BO312:CT312" si="802">BO100/BO$211</f>
        <v>0</v>
      </c>
      <c r="BP312" s="144">
        <f t="shared" si="802"/>
        <v>0</v>
      </c>
      <c r="BQ312" s="144">
        <f t="shared" si="802"/>
        <v>0</v>
      </c>
      <c r="BR312" s="144">
        <f t="shared" si="802"/>
        <v>0</v>
      </c>
      <c r="BS312" s="144">
        <f t="shared" si="802"/>
        <v>0</v>
      </c>
      <c r="BT312" s="144">
        <f t="shared" si="802"/>
        <v>0</v>
      </c>
      <c r="BU312" s="144">
        <f t="shared" si="802"/>
        <v>0</v>
      </c>
      <c r="BV312" s="144">
        <f t="shared" si="802"/>
        <v>0</v>
      </c>
      <c r="BW312" s="144">
        <f t="shared" si="802"/>
        <v>0</v>
      </c>
      <c r="BX312" s="144">
        <f t="shared" si="802"/>
        <v>0</v>
      </c>
      <c r="BY312" s="144">
        <f t="shared" si="802"/>
        <v>0</v>
      </c>
      <c r="BZ312" s="144">
        <f t="shared" si="802"/>
        <v>0</v>
      </c>
      <c r="CA312" s="144">
        <f t="shared" si="802"/>
        <v>0</v>
      </c>
      <c r="CB312" s="9">
        <f t="shared" si="802"/>
        <v>0</v>
      </c>
      <c r="CC312" s="144">
        <f t="shared" si="802"/>
        <v>0</v>
      </c>
      <c r="CD312" s="144">
        <f t="shared" si="802"/>
        <v>0</v>
      </c>
      <c r="CE312" s="144">
        <f t="shared" si="802"/>
        <v>0</v>
      </c>
      <c r="CF312" s="144">
        <f t="shared" si="802"/>
        <v>0</v>
      </c>
      <c r="CG312" s="144">
        <f t="shared" si="802"/>
        <v>0</v>
      </c>
      <c r="CH312" s="144">
        <f t="shared" si="802"/>
        <v>0</v>
      </c>
      <c r="CI312" s="144">
        <f t="shared" si="802"/>
        <v>0</v>
      </c>
      <c r="CJ312" s="144">
        <f t="shared" si="802"/>
        <v>0</v>
      </c>
      <c r="CK312" s="144">
        <f t="shared" si="802"/>
        <v>0</v>
      </c>
      <c r="CL312" s="144">
        <f t="shared" si="802"/>
        <v>0</v>
      </c>
      <c r="CM312" s="144">
        <f t="shared" si="802"/>
        <v>0</v>
      </c>
      <c r="CN312" s="144">
        <f t="shared" si="802"/>
        <v>0</v>
      </c>
      <c r="CO312" s="9">
        <f t="shared" si="802"/>
        <v>0</v>
      </c>
      <c r="CP312" s="144">
        <f t="shared" si="802"/>
        <v>1.8446399967801e-6</v>
      </c>
      <c r="CQ312" s="144">
        <f t="shared" si="802"/>
        <v>2.00133945068055e-5</v>
      </c>
      <c r="CR312" s="144">
        <f t="shared" si="802"/>
        <v>2.39363909156782e-6</v>
      </c>
      <c r="CS312" s="144">
        <f t="shared" si="802"/>
        <v>0</v>
      </c>
      <c r="CT312" s="144">
        <f t="shared" si="802"/>
        <v>0</v>
      </c>
      <c r="CU312" s="144">
        <f t="shared" ref="CU312:EB312" si="803">CU100/CU$211</f>
        <v>0</v>
      </c>
      <c r="CV312" s="144">
        <f t="shared" si="803"/>
        <v>0</v>
      </c>
      <c r="CW312" s="144">
        <f t="shared" si="803"/>
        <v>0</v>
      </c>
      <c r="CX312" s="144">
        <f t="shared" si="803"/>
        <v>0</v>
      </c>
      <c r="CY312" s="144">
        <f t="shared" si="803"/>
        <v>0</v>
      </c>
      <c r="CZ312" s="144">
        <f t="shared" si="803"/>
        <v>0</v>
      </c>
      <c r="DA312" s="144">
        <f t="shared" si="803"/>
        <v>0</v>
      </c>
      <c r="DB312" s="9">
        <f t="shared" si="803"/>
        <v>2.58274314749767e-6</v>
      </c>
      <c r="DC312" s="144">
        <f t="shared" si="803"/>
        <v>4.60075032485815e-5</v>
      </c>
      <c r="DD312" s="144">
        <f t="shared" si="803"/>
        <v>1.56152452460411e-5</v>
      </c>
      <c r="DE312" s="144">
        <f t="shared" si="803"/>
        <v>6.52155878005264e-5</v>
      </c>
      <c r="DF312" s="144">
        <f t="shared" si="803"/>
        <v>0</v>
      </c>
      <c r="DG312" s="144">
        <f t="shared" si="803"/>
        <v>4.63658275102983e-5</v>
      </c>
      <c r="DH312" s="144">
        <f t="shared" si="803"/>
        <v>0</v>
      </c>
      <c r="DI312" s="144">
        <f t="shared" si="803"/>
        <v>0</v>
      </c>
      <c r="DJ312" s="144">
        <f t="shared" si="803"/>
        <v>0</v>
      </c>
      <c r="DK312" s="144">
        <f t="shared" si="803"/>
        <v>0</v>
      </c>
      <c r="DL312" s="144">
        <f t="shared" si="803"/>
        <v>0</v>
      </c>
      <c r="DM312" s="144">
        <f t="shared" si="803"/>
        <v>0</v>
      </c>
      <c r="DN312" s="144">
        <f t="shared" si="803"/>
        <v>0</v>
      </c>
      <c r="DO312" s="9">
        <f t="shared" si="803"/>
        <v>1.6376394572139e-5</v>
      </c>
      <c r="DP312" s="144">
        <f t="shared" si="803"/>
        <v>0</v>
      </c>
      <c r="DQ312" s="144">
        <f t="shared" si="803"/>
        <v>0</v>
      </c>
      <c r="DR312" s="144">
        <f t="shared" si="803"/>
        <v>0</v>
      </c>
      <c r="DS312" s="144">
        <f t="shared" si="803"/>
        <v>0</v>
      </c>
      <c r="DT312" s="144">
        <f t="shared" si="803"/>
        <v>0</v>
      </c>
      <c r="DU312" s="144">
        <f t="shared" si="803"/>
        <v>0</v>
      </c>
      <c r="DV312" s="144">
        <f t="shared" si="803"/>
        <v>0</v>
      </c>
      <c r="DW312" s="144">
        <f t="shared" si="803"/>
        <v>0</v>
      </c>
      <c r="DX312" s="144">
        <f t="shared" si="803"/>
        <v>0</v>
      </c>
      <c r="DY312" s="144">
        <f t="shared" si="803"/>
        <v>0</v>
      </c>
      <c r="DZ312" s="144">
        <f t="shared" si="803"/>
        <v>0</v>
      </c>
      <c r="EA312" s="144">
        <f t="shared" si="803"/>
        <v>0</v>
      </c>
      <c r="EB312" s="117">
        <f t="shared" si="803"/>
        <v>0</v>
      </c>
      <c r="EC312" s="118"/>
      <c r="ED312" s="117">
        <f t="shared" ref="ED312:FB312" si="804">ED100/ED$211</f>
        <v>0</v>
      </c>
      <c r="EE312" s="117">
        <f t="shared" si="804"/>
        <v>0</v>
      </c>
      <c r="EF312" s="117">
        <f t="shared" si="804"/>
        <v>0</v>
      </c>
      <c r="EG312" s="117" t="e">
        <f t="shared" si="804"/>
        <v>#DIV/0!</v>
      </c>
      <c r="EH312" s="117" t="e">
        <f t="shared" si="804"/>
        <v>#DIV/0!</v>
      </c>
      <c r="EI312" s="117" t="e">
        <f t="shared" si="804"/>
        <v>#DIV/0!</v>
      </c>
      <c r="EJ312" s="117" t="e">
        <f t="shared" si="804"/>
        <v>#DIV/0!</v>
      </c>
      <c r="EK312" s="117" t="e">
        <f t="shared" si="804"/>
        <v>#DIV/0!</v>
      </c>
      <c r="EL312" s="117" t="e">
        <f t="shared" si="804"/>
        <v>#DIV/0!</v>
      </c>
      <c r="EM312" s="117" t="e">
        <f t="shared" si="804"/>
        <v>#DIV/0!</v>
      </c>
      <c r="EN312" s="117" t="e">
        <f t="shared" si="804"/>
        <v>#DIV/0!</v>
      </c>
      <c r="EO312" s="116">
        <f t="shared" si="804"/>
        <v>0</v>
      </c>
      <c r="EP312" s="117">
        <f t="shared" si="804"/>
        <v>0</v>
      </c>
      <c r="EQ312" s="117">
        <f t="shared" si="804"/>
        <v>0</v>
      </c>
      <c r="ER312" s="117">
        <f t="shared" si="804"/>
        <v>0</v>
      </c>
      <c r="ES312" s="117">
        <f t="shared" si="804"/>
        <v>0</v>
      </c>
      <c r="ET312" s="117">
        <f t="shared" si="804"/>
        <v>0</v>
      </c>
      <c r="EU312" s="117">
        <f t="shared" si="804"/>
        <v>0</v>
      </c>
      <c r="EV312" s="117">
        <f t="shared" si="804"/>
        <v>0</v>
      </c>
      <c r="EW312" s="117">
        <f t="shared" si="804"/>
        <v>0</v>
      </c>
      <c r="EX312" s="117">
        <f t="shared" si="804"/>
        <v>0</v>
      </c>
      <c r="EY312" s="117">
        <f t="shared" si="804"/>
        <v>0</v>
      </c>
      <c r="EZ312" s="117">
        <f t="shared" si="804"/>
        <v>0</v>
      </c>
      <c r="FA312" s="117">
        <f t="shared" si="804"/>
        <v>0</v>
      </c>
      <c r="FB312" s="117">
        <f t="shared" si="804"/>
        <v>0</v>
      </c>
      <c r="FC312" s="118"/>
      <c r="FD312" s="117"/>
      <c r="FE312" s="117"/>
      <c r="FF312" s="117"/>
      <c r="FG312" s="117"/>
      <c r="FH312" s="117"/>
      <c r="FI312" s="117"/>
      <c r="FJ312" s="117"/>
      <c r="FK312" s="117" t="e">
        <f t="shared" si="601"/>
        <v>#DIV/0!</v>
      </c>
      <c r="FL312" s="117" t="e">
        <f t="shared" si="602"/>
        <v>#DIV/0!</v>
      </c>
      <c r="FM312" s="117" t="e">
        <f t="shared" si="603"/>
        <v>#DIV/0!</v>
      </c>
      <c r="FN312" s="117" t="e">
        <f t="shared" si="604"/>
        <v>#DIV/0!</v>
      </c>
      <c r="FO312" s="9" t="e">
        <f t="shared" si="605"/>
        <v>#DIV/0!</v>
      </c>
      <c r="FP312" s="118">
        <f t="shared" ref="FP312:GB312" si="805">FP100/FP$211</f>
        <v>0</v>
      </c>
      <c r="FQ312" s="117">
        <f t="shared" si="805"/>
        <v>0</v>
      </c>
      <c r="FR312" s="117">
        <f t="shared" si="805"/>
        <v>0</v>
      </c>
      <c r="FS312" s="117">
        <f t="shared" si="805"/>
        <v>0</v>
      </c>
      <c r="FT312" s="117">
        <f t="shared" si="805"/>
        <v>0</v>
      </c>
      <c r="FU312" s="117">
        <f t="shared" si="805"/>
        <v>0</v>
      </c>
      <c r="FV312" s="117">
        <f t="shared" si="805"/>
        <v>0</v>
      </c>
      <c r="FW312" s="117">
        <f t="shared" si="805"/>
        <v>0</v>
      </c>
      <c r="FX312" s="117">
        <f t="shared" si="805"/>
        <v>0</v>
      </c>
      <c r="FY312" s="117">
        <f t="shared" si="805"/>
        <v>0</v>
      </c>
      <c r="FZ312" s="117">
        <f t="shared" si="805"/>
        <v>0</v>
      </c>
      <c r="GA312" s="117">
        <f t="shared" si="805"/>
        <v>0</v>
      </c>
      <c r="GB312" s="116">
        <f t="shared" si="805"/>
        <v>0</v>
      </c>
    </row>
    <row r="313" spans="1:184">
      <c r="A313" s="147" t="s">
        <v>227</v>
      </c>
      <c r="B313" s="160">
        <f t="shared" si="607"/>
        <v>-0.906706773876865</v>
      </c>
      <c r="C313" s="117">
        <f t="shared" ref="C313:AH313" si="806">C101/C$211</f>
        <v>6.93946577704712e-7</v>
      </c>
      <c r="D313" s="117">
        <f t="shared" si="806"/>
        <v>1.60351014397844e-6</v>
      </c>
      <c r="E313" s="117">
        <f t="shared" si="806"/>
        <v>8.08637036065081e-7</v>
      </c>
      <c r="F313" s="117">
        <f t="shared" si="806"/>
        <v>9.20705706645764e-7</v>
      </c>
      <c r="G313" s="117">
        <f t="shared" si="806"/>
        <v>0</v>
      </c>
      <c r="H313" s="117">
        <f t="shared" si="806"/>
        <v>0</v>
      </c>
      <c r="I313" s="117">
        <f t="shared" si="806"/>
        <v>0</v>
      </c>
      <c r="J313" s="117">
        <f t="shared" si="806"/>
        <v>0</v>
      </c>
      <c r="K313" s="117">
        <f t="shared" si="806"/>
        <v>0</v>
      </c>
      <c r="L313" s="117">
        <f t="shared" si="806"/>
        <v>0</v>
      </c>
      <c r="M313" s="117">
        <f t="shared" si="806"/>
        <v>0</v>
      </c>
      <c r="N313" s="117">
        <f t="shared" si="806"/>
        <v>0</v>
      </c>
      <c r="O313" s="9">
        <f t="shared" si="806"/>
        <v>3.69445498333578e-7</v>
      </c>
      <c r="P313" s="117">
        <f t="shared" si="806"/>
        <v>8.34980068986622e-7</v>
      </c>
      <c r="Q313" s="117">
        <f t="shared" si="806"/>
        <v>0</v>
      </c>
      <c r="R313" s="117">
        <f t="shared" si="806"/>
        <v>0</v>
      </c>
      <c r="S313" s="117">
        <f t="shared" si="806"/>
        <v>0</v>
      </c>
      <c r="T313" s="117">
        <f t="shared" si="806"/>
        <v>0</v>
      </c>
      <c r="U313" s="117">
        <f t="shared" si="806"/>
        <v>0</v>
      </c>
      <c r="V313" s="117">
        <f t="shared" si="806"/>
        <v>0</v>
      </c>
      <c r="W313" s="117">
        <f t="shared" si="806"/>
        <v>0</v>
      </c>
      <c r="X313" s="117">
        <f t="shared" si="806"/>
        <v>0</v>
      </c>
      <c r="Y313" s="117">
        <f t="shared" si="806"/>
        <v>0</v>
      </c>
      <c r="Z313" s="117">
        <f t="shared" si="806"/>
        <v>0</v>
      </c>
      <c r="AA313" s="117">
        <f t="shared" si="806"/>
        <v>0</v>
      </c>
      <c r="AB313" s="9">
        <f t="shared" si="806"/>
        <v>9.47222728360546e-8</v>
      </c>
      <c r="AC313" s="117">
        <f t="shared" si="806"/>
        <v>0</v>
      </c>
      <c r="AD313" s="117">
        <f t="shared" si="806"/>
        <v>0</v>
      </c>
      <c r="AE313" s="117">
        <f t="shared" si="806"/>
        <v>0</v>
      </c>
      <c r="AF313" s="117">
        <f t="shared" si="806"/>
        <v>0</v>
      </c>
      <c r="AG313" s="117">
        <f t="shared" si="806"/>
        <v>0</v>
      </c>
      <c r="AH313" s="117">
        <f t="shared" si="806"/>
        <v>0</v>
      </c>
      <c r="AI313" s="117">
        <f t="shared" ref="AI313:BN313" si="807">AI101/AI$211</f>
        <v>0</v>
      </c>
      <c r="AJ313" s="117">
        <f t="shared" si="807"/>
        <v>0</v>
      </c>
      <c r="AK313" s="117">
        <f t="shared" si="807"/>
        <v>0</v>
      </c>
      <c r="AL313" s="117">
        <f t="shared" si="807"/>
        <v>0</v>
      </c>
      <c r="AM313" s="117">
        <f t="shared" si="807"/>
        <v>0</v>
      </c>
      <c r="AN313" s="117">
        <f t="shared" si="807"/>
        <v>0</v>
      </c>
      <c r="AO313" s="9">
        <f t="shared" si="807"/>
        <v>0</v>
      </c>
      <c r="AP313" s="144">
        <f t="shared" si="807"/>
        <v>0</v>
      </c>
      <c r="AQ313" s="144">
        <f t="shared" si="807"/>
        <v>0</v>
      </c>
      <c r="AR313" s="144">
        <f t="shared" si="807"/>
        <v>0</v>
      </c>
      <c r="AS313" s="144">
        <f t="shared" si="807"/>
        <v>0</v>
      </c>
      <c r="AT313" s="144">
        <f t="shared" si="807"/>
        <v>0</v>
      </c>
      <c r="AU313" s="144">
        <f t="shared" si="807"/>
        <v>0</v>
      </c>
      <c r="AV313" s="144">
        <f t="shared" si="807"/>
        <v>0</v>
      </c>
      <c r="AW313" s="144">
        <f t="shared" si="807"/>
        <v>0</v>
      </c>
      <c r="AX313" s="144">
        <f t="shared" si="807"/>
        <v>0</v>
      </c>
      <c r="AY313" s="144">
        <f t="shared" si="807"/>
        <v>0</v>
      </c>
      <c r="AZ313" s="144">
        <f t="shared" si="807"/>
        <v>0</v>
      </c>
      <c r="BA313" s="144">
        <f t="shared" si="807"/>
        <v>0</v>
      </c>
      <c r="BB313" s="9">
        <f t="shared" si="807"/>
        <v>0</v>
      </c>
      <c r="BC313" s="144">
        <f t="shared" si="807"/>
        <v>0</v>
      </c>
      <c r="BD313" s="144">
        <f t="shared" si="807"/>
        <v>1.37488360015274e-5</v>
      </c>
      <c r="BE313" s="144">
        <f t="shared" si="807"/>
        <v>0</v>
      </c>
      <c r="BF313" s="144">
        <f t="shared" si="807"/>
        <v>0</v>
      </c>
      <c r="BG313" s="144">
        <f t="shared" si="807"/>
        <v>0</v>
      </c>
      <c r="BH313" s="144">
        <f t="shared" si="807"/>
        <v>0</v>
      </c>
      <c r="BI313" s="144">
        <f t="shared" si="807"/>
        <v>0</v>
      </c>
      <c r="BJ313" s="144">
        <f t="shared" si="807"/>
        <v>0</v>
      </c>
      <c r="BK313" s="144">
        <f t="shared" si="807"/>
        <v>0</v>
      </c>
      <c r="BL313" s="144">
        <f t="shared" si="807"/>
        <v>0</v>
      </c>
      <c r="BM313" s="144">
        <f t="shared" si="807"/>
        <v>0</v>
      </c>
      <c r="BN313" s="144">
        <f t="shared" si="807"/>
        <v>0</v>
      </c>
      <c r="BO313" s="9">
        <f t="shared" ref="BO313:CT313" si="808">BO101/BO$211</f>
        <v>1.46500482174765e-6</v>
      </c>
      <c r="BP313" s="144">
        <f t="shared" si="808"/>
        <v>0</v>
      </c>
      <c r="BQ313" s="144">
        <f t="shared" si="808"/>
        <v>0</v>
      </c>
      <c r="BR313" s="144">
        <f t="shared" si="808"/>
        <v>0</v>
      </c>
      <c r="BS313" s="144">
        <f t="shared" si="808"/>
        <v>0</v>
      </c>
      <c r="BT313" s="144">
        <f t="shared" si="808"/>
        <v>0</v>
      </c>
      <c r="BU313" s="144">
        <f t="shared" si="808"/>
        <v>0</v>
      </c>
      <c r="BV313" s="144">
        <f t="shared" si="808"/>
        <v>0</v>
      </c>
      <c r="BW313" s="144">
        <f t="shared" si="808"/>
        <v>0</v>
      </c>
      <c r="BX313" s="144">
        <f t="shared" si="808"/>
        <v>0</v>
      </c>
      <c r="BY313" s="144">
        <f t="shared" si="808"/>
        <v>0</v>
      </c>
      <c r="BZ313" s="144">
        <f t="shared" si="808"/>
        <v>0</v>
      </c>
      <c r="CA313" s="144">
        <f t="shared" si="808"/>
        <v>0</v>
      </c>
      <c r="CB313" s="9">
        <f t="shared" si="808"/>
        <v>0</v>
      </c>
      <c r="CC313" s="144">
        <f t="shared" si="808"/>
        <v>2.67643683477e-5</v>
      </c>
      <c r="CD313" s="144">
        <f t="shared" si="808"/>
        <v>4.56273387456433e-5</v>
      </c>
      <c r="CE313" s="144">
        <f t="shared" si="808"/>
        <v>5.68154884268606e-5</v>
      </c>
      <c r="CF313" s="144">
        <f t="shared" si="808"/>
        <v>3.48858426435227e-5</v>
      </c>
      <c r="CG313" s="144">
        <f t="shared" si="808"/>
        <v>0</v>
      </c>
      <c r="CH313" s="144">
        <f t="shared" si="808"/>
        <v>0</v>
      </c>
      <c r="CI313" s="144">
        <f t="shared" si="808"/>
        <v>0</v>
      </c>
      <c r="CJ313" s="144">
        <f t="shared" si="808"/>
        <v>0</v>
      </c>
      <c r="CK313" s="144">
        <f t="shared" si="808"/>
        <v>0</v>
      </c>
      <c r="CL313" s="144">
        <f t="shared" si="808"/>
        <v>0</v>
      </c>
      <c r="CM313" s="144">
        <f t="shared" si="808"/>
        <v>0</v>
      </c>
      <c r="CN313" s="144">
        <f t="shared" si="808"/>
        <v>0</v>
      </c>
      <c r="CO313" s="9">
        <f t="shared" si="808"/>
        <v>1.17825342880147e-5</v>
      </c>
      <c r="CP313" s="144">
        <f t="shared" si="808"/>
        <v>0</v>
      </c>
      <c r="CQ313" s="144">
        <f t="shared" si="808"/>
        <v>0</v>
      </c>
      <c r="CR313" s="144">
        <f t="shared" si="808"/>
        <v>0</v>
      </c>
      <c r="CS313" s="144">
        <f t="shared" si="808"/>
        <v>0</v>
      </c>
      <c r="CT313" s="144">
        <f t="shared" si="808"/>
        <v>0</v>
      </c>
      <c r="CU313" s="144">
        <f t="shared" ref="CU313:EB313" si="809">CU101/CU$211</f>
        <v>0</v>
      </c>
      <c r="CV313" s="144">
        <f t="shared" si="809"/>
        <v>0</v>
      </c>
      <c r="CW313" s="144">
        <f t="shared" si="809"/>
        <v>0</v>
      </c>
      <c r="CX313" s="144">
        <f t="shared" si="809"/>
        <v>0</v>
      </c>
      <c r="CY313" s="144">
        <f t="shared" si="809"/>
        <v>0</v>
      </c>
      <c r="CZ313" s="144">
        <f t="shared" si="809"/>
        <v>0</v>
      </c>
      <c r="DA313" s="144">
        <f t="shared" si="809"/>
        <v>0</v>
      </c>
      <c r="DB313" s="9">
        <f t="shared" si="809"/>
        <v>0</v>
      </c>
      <c r="DC313" s="144">
        <f t="shared" si="809"/>
        <v>0</v>
      </c>
      <c r="DD313" s="144">
        <f t="shared" si="809"/>
        <v>0</v>
      </c>
      <c r="DE313" s="144">
        <f t="shared" si="809"/>
        <v>0</v>
      </c>
      <c r="DF313" s="144">
        <f t="shared" si="809"/>
        <v>0</v>
      </c>
      <c r="DG313" s="144">
        <f t="shared" si="809"/>
        <v>0</v>
      </c>
      <c r="DH313" s="144">
        <f t="shared" si="809"/>
        <v>0</v>
      </c>
      <c r="DI313" s="144">
        <f t="shared" si="809"/>
        <v>0</v>
      </c>
      <c r="DJ313" s="144">
        <f t="shared" si="809"/>
        <v>0</v>
      </c>
      <c r="DK313" s="144">
        <f t="shared" si="809"/>
        <v>0</v>
      </c>
      <c r="DL313" s="144">
        <f t="shared" si="809"/>
        <v>0</v>
      </c>
      <c r="DM313" s="144">
        <f t="shared" si="809"/>
        <v>0</v>
      </c>
      <c r="DN313" s="144">
        <f t="shared" si="809"/>
        <v>0</v>
      </c>
      <c r="DO313" s="9">
        <f t="shared" si="809"/>
        <v>0</v>
      </c>
      <c r="DP313" s="144">
        <f t="shared" si="809"/>
        <v>0</v>
      </c>
      <c r="DQ313" s="144">
        <f t="shared" si="809"/>
        <v>0</v>
      </c>
      <c r="DR313" s="144">
        <f t="shared" si="809"/>
        <v>0</v>
      </c>
      <c r="DS313" s="144">
        <f t="shared" si="809"/>
        <v>0</v>
      </c>
      <c r="DT313" s="144">
        <f t="shared" si="809"/>
        <v>0</v>
      </c>
      <c r="DU313" s="144">
        <f t="shared" si="809"/>
        <v>0</v>
      </c>
      <c r="DV313" s="144">
        <f t="shared" si="809"/>
        <v>0</v>
      </c>
      <c r="DW313" s="144">
        <f t="shared" si="809"/>
        <v>0</v>
      </c>
      <c r="DX313" s="144">
        <f t="shared" si="809"/>
        <v>0</v>
      </c>
      <c r="DY313" s="144">
        <f t="shared" si="809"/>
        <v>0</v>
      </c>
      <c r="DZ313" s="144">
        <f t="shared" si="809"/>
        <v>0</v>
      </c>
      <c r="EA313" s="144">
        <f t="shared" si="809"/>
        <v>0</v>
      </c>
      <c r="EB313" s="117">
        <f t="shared" si="809"/>
        <v>0</v>
      </c>
      <c r="EC313" s="118"/>
      <c r="ED313" s="117">
        <f t="shared" ref="ED313:FB313" si="810">ED101/ED$211</f>
        <v>0</v>
      </c>
      <c r="EE313" s="117">
        <f t="shared" si="810"/>
        <v>0</v>
      </c>
      <c r="EF313" s="117">
        <f t="shared" si="810"/>
        <v>0</v>
      </c>
      <c r="EG313" s="117" t="e">
        <f t="shared" si="810"/>
        <v>#DIV/0!</v>
      </c>
      <c r="EH313" s="117" t="e">
        <f t="shared" si="810"/>
        <v>#DIV/0!</v>
      </c>
      <c r="EI313" s="117" t="e">
        <f t="shared" si="810"/>
        <v>#DIV/0!</v>
      </c>
      <c r="EJ313" s="117" t="e">
        <f t="shared" si="810"/>
        <v>#DIV/0!</v>
      </c>
      <c r="EK313" s="117" t="e">
        <f t="shared" si="810"/>
        <v>#DIV/0!</v>
      </c>
      <c r="EL313" s="117" t="e">
        <f t="shared" si="810"/>
        <v>#DIV/0!</v>
      </c>
      <c r="EM313" s="117" t="e">
        <f t="shared" si="810"/>
        <v>#DIV/0!</v>
      </c>
      <c r="EN313" s="117" t="e">
        <f t="shared" si="810"/>
        <v>#DIV/0!</v>
      </c>
      <c r="EO313" s="116">
        <f t="shared" si="810"/>
        <v>0</v>
      </c>
      <c r="EP313" s="117">
        <f t="shared" si="810"/>
        <v>0</v>
      </c>
      <c r="EQ313" s="117">
        <f t="shared" si="810"/>
        <v>0</v>
      </c>
      <c r="ER313" s="117">
        <f t="shared" si="810"/>
        <v>0</v>
      </c>
      <c r="ES313" s="117">
        <f t="shared" si="810"/>
        <v>0</v>
      </c>
      <c r="ET313" s="117">
        <f t="shared" si="810"/>
        <v>0</v>
      </c>
      <c r="EU313" s="117">
        <f t="shared" si="810"/>
        <v>0</v>
      </c>
      <c r="EV313" s="117">
        <f t="shared" si="810"/>
        <v>0</v>
      </c>
      <c r="EW313" s="117">
        <f t="shared" si="810"/>
        <v>0</v>
      </c>
      <c r="EX313" s="117">
        <f t="shared" si="810"/>
        <v>0</v>
      </c>
      <c r="EY313" s="117">
        <f t="shared" si="810"/>
        <v>0</v>
      </c>
      <c r="EZ313" s="117">
        <f t="shared" si="810"/>
        <v>0</v>
      </c>
      <c r="FA313" s="117">
        <f t="shared" si="810"/>
        <v>0</v>
      </c>
      <c r="FB313" s="117">
        <f t="shared" si="810"/>
        <v>0</v>
      </c>
      <c r="FC313" s="118"/>
      <c r="FD313" s="117"/>
      <c r="FE313" s="117"/>
      <c r="FF313" s="117"/>
      <c r="FG313" s="117"/>
      <c r="FH313" s="117"/>
      <c r="FI313" s="117"/>
      <c r="FJ313" s="117"/>
      <c r="FK313" s="117" t="e">
        <f t="shared" si="601"/>
        <v>#DIV/0!</v>
      </c>
      <c r="FL313" s="117" t="e">
        <f t="shared" si="602"/>
        <v>#DIV/0!</v>
      </c>
      <c r="FM313" s="117" t="e">
        <f t="shared" si="603"/>
        <v>#DIV/0!</v>
      </c>
      <c r="FN313" s="117" t="e">
        <f t="shared" si="604"/>
        <v>#DIV/0!</v>
      </c>
      <c r="FO313" s="9" t="e">
        <f t="shared" si="605"/>
        <v>#DIV/0!</v>
      </c>
      <c r="FP313" s="118">
        <f t="shared" ref="FP313:GB313" si="811">FP101/FP$211</f>
        <v>0</v>
      </c>
      <c r="FQ313" s="117">
        <f t="shared" si="811"/>
        <v>0</v>
      </c>
      <c r="FR313" s="117">
        <f t="shared" si="811"/>
        <v>0</v>
      </c>
      <c r="FS313" s="117">
        <f t="shared" si="811"/>
        <v>0</v>
      </c>
      <c r="FT313" s="117">
        <f t="shared" si="811"/>
        <v>0</v>
      </c>
      <c r="FU313" s="117">
        <f t="shared" si="811"/>
        <v>0</v>
      </c>
      <c r="FV313" s="117">
        <f t="shared" si="811"/>
        <v>0</v>
      </c>
      <c r="FW313" s="117">
        <f t="shared" si="811"/>
        <v>0</v>
      </c>
      <c r="FX313" s="117">
        <f t="shared" si="811"/>
        <v>0</v>
      </c>
      <c r="FY313" s="117">
        <f t="shared" si="811"/>
        <v>0</v>
      </c>
      <c r="FZ313" s="117">
        <f t="shared" si="811"/>
        <v>0</v>
      </c>
      <c r="GA313" s="117">
        <f t="shared" si="811"/>
        <v>0</v>
      </c>
      <c r="GB313" s="116">
        <f t="shared" si="811"/>
        <v>0</v>
      </c>
    </row>
    <row r="314" spans="1:184">
      <c r="A314" s="147" t="s">
        <v>229</v>
      </c>
      <c r="B314" s="160">
        <f t="shared" si="607"/>
        <v>-1</v>
      </c>
      <c r="C314" s="117">
        <f t="shared" ref="C314:AH314" si="812">C102/C$211</f>
        <v>0</v>
      </c>
      <c r="D314" s="117">
        <f t="shared" si="812"/>
        <v>0</v>
      </c>
      <c r="E314" s="117">
        <f t="shared" si="812"/>
        <v>0</v>
      </c>
      <c r="F314" s="117">
        <f t="shared" si="812"/>
        <v>0</v>
      </c>
      <c r="G314" s="117">
        <f t="shared" si="812"/>
        <v>0</v>
      </c>
      <c r="H314" s="117">
        <f t="shared" si="812"/>
        <v>0</v>
      </c>
      <c r="I314" s="117">
        <f t="shared" si="812"/>
        <v>0</v>
      </c>
      <c r="J314" s="117">
        <f t="shared" si="812"/>
        <v>0</v>
      </c>
      <c r="K314" s="117">
        <f t="shared" si="812"/>
        <v>0</v>
      </c>
      <c r="L314" s="117">
        <f t="shared" si="812"/>
        <v>0</v>
      </c>
      <c r="M314" s="117">
        <f t="shared" si="812"/>
        <v>0</v>
      </c>
      <c r="N314" s="117">
        <f t="shared" si="812"/>
        <v>0</v>
      </c>
      <c r="O314" s="9">
        <f t="shared" si="812"/>
        <v>0</v>
      </c>
      <c r="P314" s="117">
        <f t="shared" si="812"/>
        <v>0</v>
      </c>
      <c r="Q314" s="117">
        <f t="shared" si="812"/>
        <v>0</v>
      </c>
      <c r="R314" s="117">
        <f t="shared" si="812"/>
        <v>0</v>
      </c>
      <c r="S314" s="117">
        <f t="shared" si="812"/>
        <v>0</v>
      </c>
      <c r="T314" s="117">
        <f t="shared" si="812"/>
        <v>0</v>
      </c>
      <c r="U314" s="117">
        <f t="shared" si="812"/>
        <v>0</v>
      </c>
      <c r="V314" s="117">
        <f t="shared" si="812"/>
        <v>0</v>
      </c>
      <c r="W314" s="117">
        <f t="shared" si="812"/>
        <v>0</v>
      </c>
      <c r="X314" s="117">
        <f t="shared" si="812"/>
        <v>0</v>
      </c>
      <c r="Y314" s="117">
        <f t="shared" si="812"/>
        <v>0</v>
      </c>
      <c r="Z314" s="117">
        <f t="shared" si="812"/>
        <v>0</v>
      </c>
      <c r="AA314" s="117">
        <f t="shared" si="812"/>
        <v>0</v>
      </c>
      <c r="AB314" s="9">
        <f t="shared" si="812"/>
        <v>0</v>
      </c>
      <c r="AC314" s="117">
        <f t="shared" si="812"/>
        <v>0</v>
      </c>
      <c r="AD314" s="117">
        <f t="shared" si="812"/>
        <v>0</v>
      </c>
      <c r="AE314" s="117">
        <f t="shared" si="812"/>
        <v>0</v>
      </c>
      <c r="AF314" s="117">
        <f t="shared" si="812"/>
        <v>0</v>
      </c>
      <c r="AG314" s="117">
        <f t="shared" si="812"/>
        <v>0</v>
      </c>
      <c r="AH314" s="117">
        <f t="shared" si="812"/>
        <v>0</v>
      </c>
      <c r="AI314" s="117">
        <f t="shared" ref="AI314:BN314" si="813">AI102/AI$211</f>
        <v>0</v>
      </c>
      <c r="AJ314" s="117">
        <f t="shared" si="813"/>
        <v>0</v>
      </c>
      <c r="AK314" s="117">
        <f t="shared" si="813"/>
        <v>0</v>
      </c>
      <c r="AL314" s="117">
        <f t="shared" si="813"/>
        <v>0</v>
      </c>
      <c r="AM314" s="117">
        <f t="shared" si="813"/>
        <v>0</v>
      </c>
      <c r="AN314" s="117">
        <f t="shared" si="813"/>
        <v>0</v>
      </c>
      <c r="AO314" s="9">
        <f t="shared" si="813"/>
        <v>0</v>
      </c>
      <c r="AP314" s="144">
        <f t="shared" si="813"/>
        <v>0</v>
      </c>
      <c r="AQ314" s="144">
        <f t="shared" si="813"/>
        <v>0</v>
      </c>
      <c r="AR314" s="144">
        <f t="shared" si="813"/>
        <v>0</v>
      </c>
      <c r="AS314" s="144">
        <f t="shared" si="813"/>
        <v>0</v>
      </c>
      <c r="AT314" s="144">
        <f t="shared" si="813"/>
        <v>0</v>
      </c>
      <c r="AU314" s="144">
        <f t="shared" si="813"/>
        <v>0</v>
      </c>
      <c r="AV314" s="144">
        <f t="shared" si="813"/>
        <v>0</v>
      </c>
      <c r="AW314" s="144">
        <f t="shared" si="813"/>
        <v>0</v>
      </c>
      <c r="AX314" s="144">
        <f t="shared" si="813"/>
        <v>0</v>
      </c>
      <c r="AY314" s="144">
        <f t="shared" si="813"/>
        <v>0</v>
      </c>
      <c r="AZ314" s="144">
        <f t="shared" si="813"/>
        <v>0</v>
      </c>
      <c r="BA314" s="144">
        <f t="shared" si="813"/>
        <v>0</v>
      </c>
      <c r="BB314" s="9">
        <f t="shared" si="813"/>
        <v>0</v>
      </c>
      <c r="BC314" s="144">
        <f t="shared" si="813"/>
        <v>0</v>
      </c>
      <c r="BD314" s="144">
        <f t="shared" si="813"/>
        <v>0</v>
      </c>
      <c r="BE314" s="144">
        <f t="shared" si="813"/>
        <v>0</v>
      </c>
      <c r="BF314" s="144">
        <f t="shared" si="813"/>
        <v>0</v>
      </c>
      <c r="BG314" s="144">
        <f t="shared" si="813"/>
        <v>0</v>
      </c>
      <c r="BH314" s="144">
        <f t="shared" si="813"/>
        <v>0</v>
      </c>
      <c r="BI314" s="144">
        <f t="shared" si="813"/>
        <v>0</v>
      </c>
      <c r="BJ314" s="144">
        <f t="shared" si="813"/>
        <v>0</v>
      </c>
      <c r="BK314" s="144">
        <f t="shared" si="813"/>
        <v>0</v>
      </c>
      <c r="BL314" s="144">
        <f t="shared" si="813"/>
        <v>0</v>
      </c>
      <c r="BM314" s="144">
        <f t="shared" si="813"/>
        <v>0</v>
      </c>
      <c r="BN314" s="144">
        <f t="shared" si="813"/>
        <v>0</v>
      </c>
      <c r="BO314" s="9">
        <f t="shared" ref="BO314:CT314" si="814">BO102/BO$211</f>
        <v>0</v>
      </c>
      <c r="BP314" s="144">
        <f t="shared" si="814"/>
        <v>0</v>
      </c>
      <c r="BQ314" s="144">
        <f t="shared" si="814"/>
        <v>0</v>
      </c>
      <c r="BR314" s="144">
        <f t="shared" si="814"/>
        <v>0</v>
      </c>
      <c r="BS314" s="144">
        <f t="shared" si="814"/>
        <v>0</v>
      </c>
      <c r="BT314" s="144">
        <f t="shared" si="814"/>
        <v>0</v>
      </c>
      <c r="BU314" s="144">
        <f t="shared" si="814"/>
        <v>0</v>
      </c>
      <c r="BV314" s="144">
        <f t="shared" si="814"/>
        <v>0</v>
      </c>
      <c r="BW314" s="144">
        <f t="shared" si="814"/>
        <v>0</v>
      </c>
      <c r="BX314" s="144">
        <f t="shared" si="814"/>
        <v>0</v>
      </c>
      <c r="BY314" s="144">
        <f t="shared" si="814"/>
        <v>0</v>
      </c>
      <c r="BZ314" s="144">
        <f t="shared" si="814"/>
        <v>0</v>
      </c>
      <c r="CA314" s="144">
        <f t="shared" si="814"/>
        <v>0</v>
      </c>
      <c r="CB314" s="9">
        <f t="shared" si="814"/>
        <v>0</v>
      </c>
      <c r="CC314" s="144">
        <f t="shared" si="814"/>
        <v>0</v>
      </c>
      <c r="CD314" s="144">
        <f t="shared" si="814"/>
        <v>0</v>
      </c>
      <c r="CE314" s="144">
        <f t="shared" si="814"/>
        <v>0</v>
      </c>
      <c r="CF314" s="144">
        <f t="shared" si="814"/>
        <v>0</v>
      </c>
      <c r="CG314" s="144">
        <f t="shared" si="814"/>
        <v>0</v>
      </c>
      <c r="CH314" s="144">
        <f t="shared" si="814"/>
        <v>0</v>
      </c>
      <c r="CI314" s="144">
        <f t="shared" si="814"/>
        <v>0</v>
      </c>
      <c r="CJ314" s="144">
        <f t="shared" si="814"/>
        <v>0</v>
      </c>
      <c r="CK314" s="144">
        <f t="shared" si="814"/>
        <v>0</v>
      </c>
      <c r="CL314" s="144">
        <f t="shared" si="814"/>
        <v>0</v>
      </c>
      <c r="CM314" s="144">
        <f t="shared" si="814"/>
        <v>0</v>
      </c>
      <c r="CN314" s="144">
        <f t="shared" si="814"/>
        <v>0</v>
      </c>
      <c r="CO314" s="9">
        <f t="shared" si="814"/>
        <v>0</v>
      </c>
      <c r="CP314" s="144">
        <f t="shared" si="814"/>
        <v>0</v>
      </c>
      <c r="CQ314" s="144">
        <f t="shared" si="814"/>
        <v>0</v>
      </c>
      <c r="CR314" s="144">
        <f t="shared" si="814"/>
        <v>0</v>
      </c>
      <c r="CS314" s="144">
        <f t="shared" si="814"/>
        <v>0</v>
      </c>
      <c r="CT314" s="144">
        <f t="shared" si="814"/>
        <v>0</v>
      </c>
      <c r="CU314" s="144">
        <f t="shared" ref="CU314:EB314" si="815">CU102/CU$211</f>
        <v>0</v>
      </c>
      <c r="CV314" s="144">
        <f t="shared" si="815"/>
        <v>0</v>
      </c>
      <c r="CW314" s="144">
        <f t="shared" si="815"/>
        <v>0</v>
      </c>
      <c r="CX314" s="144">
        <f t="shared" si="815"/>
        <v>0</v>
      </c>
      <c r="CY314" s="144">
        <f t="shared" si="815"/>
        <v>0</v>
      </c>
      <c r="CZ314" s="144">
        <f t="shared" si="815"/>
        <v>0</v>
      </c>
      <c r="DA314" s="144">
        <f t="shared" si="815"/>
        <v>0</v>
      </c>
      <c r="DB314" s="9">
        <f t="shared" si="815"/>
        <v>0</v>
      </c>
      <c r="DC314" s="144">
        <f t="shared" si="815"/>
        <v>0</v>
      </c>
      <c r="DD314" s="144">
        <f t="shared" si="815"/>
        <v>0</v>
      </c>
      <c r="DE314" s="144">
        <f t="shared" si="815"/>
        <v>0</v>
      </c>
      <c r="DF314" s="144">
        <f t="shared" si="815"/>
        <v>0</v>
      </c>
      <c r="DG314" s="144">
        <f t="shared" si="815"/>
        <v>0</v>
      </c>
      <c r="DH314" s="144">
        <f t="shared" si="815"/>
        <v>0</v>
      </c>
      <c r="DI314" s="144">
        <f t="shared" si="815"/>
        <v>0</v>
      </c>
      <c r="DJ314" s="144">
        <f t="shared" si="815"/>
        <v>0</v>
      </c>
      <c r="DK314" s="144">
        <f t="shared" si="815"/>
        <v>0</v>
      </c>
      <c r="DL314" s="144">
        <f t="shared" si="815"/>
        <v>0</v>
      </c>
      <c r="DM314" s="144">
        <f t="shared" si="815"/>
        <v>0</v>
      </c>
      <c r="DN314" s="144">
        <f t="shared" si="815"/>
        <v>0</v>
      </c>
      <c r="DO314" s="9">
        <f t="shared" si="815"/>
        <v>0</v>
      </c>
      <c r="DP314" s="144">
        <f t="shared" si="815"/>
        <v>0</v>
      </c>
      <c r="DQ314" s="144">
        <f t="shared" si="815"/>
        <v>0</v>
      </c>
      <c r="DR314" s="144">
        <f t="shared" si="815"/>
        <v>0</v>
      </c>
      <c r="DS314" s="144">
        <f t="shared" si="815"/>
        <v>0</v>
      </c>
      <c r="DT314" s="144">
        <f t="shared" si="815"/>
        <v>0</v>
      </c>
      <c r="DU314" s="144">
        <f t="shared" si="815"/>
        <v>0</v>
      </c>
      <c r="DV314" s="144">
        <f t="shared" si="815"/>
        <v>0</v>
      </c>
      <c r="DW314" s="144">
        <f t="shared" si="815"/>
        <v>0</v>
      </c>
      <c r="DX314" s="144">
        <f t="shared" si="815"/>
        <v>0</v>
      </c>
      <c r="DY314" s="144">
        <f t="shared" si="815"/>
        <v>0</v>
      </c>
      <c r="DZ314" s="144">
        <f t="shared" si="815"/>
        <v>0</v>
      </c>
      <c r="EA314" s="144">
        <f t="shared" si="815"/>
        <v>0</v>
      </c>
      <c r="EB314" s="117">
        <f t="shared" si="815"/>
        <v>0</v>
      </c>
      <c r="EC314" s="118"/>
      <c r="ED314" s="117">
        <f t="shared" ref="ED314:FB314" si="816">ED102/ED$211</f>
        <v>0</v>
      </c>
      <c r="EE314" s="117">
        <f t="shared" si="816"/>
        <v>0</v>
      </c>
      <c r="EF314" s="117">
        <f t="shared" si="816"/>
        <v>0</v>
      </c>
      <c r="EG314" s="117" t="e">
        <f t="shared" si="816"/>
        <v>#DIV/0!</v>
      </c>
      <c r="EH314" s="117" t="e">
        <f t="shared" si="816"/>
        <v>#DIV/0!</v>
      </c>
      <c r="EI314" s="117" t="e">
        <f t="shared" si="816"/>
        <v>#DIV/0!</v>
      </c>
      <c r="EJ314" s="117" t="e">
        <f t="shared" si="816"/>
        <v>#DIV/0!</v>
      </c>
      <c r="EK314" s="117" t="e">
        <f t="shared" si="816"/>
        <v>#DIV/0!</v>
      </c>
      <c r="EL314" s="117" t="e">
        <f t="shared" si="816"/>
        <v>#DIV/0!</v>
      </c>
      <c r="EM314" s="117" t="e">
        <f t="shared" si="816"/>
        <v>#DIV/0!</v>
      </c>
      <c r="EN314" s="117" t="e">
        <f t="shared" si="816"/>
        <v>#DIV/0!</v>
      </c>
      <c r="EO314" s="116">
        <f t="shared" si="816"/>
        <v>0</v>
      </c>
      <c r="EP314" s="117">
        <f t="shared" si="816"/>
        <v>0</v>
      </c>
      <c r="EQ314" s="117">
        <f t="shared" si="816"/>
        <v>0</v>
      </c>
      <c r="ER314" s="117">
        <f t="shared" si="816"/>
        <v>0</v>
      </c>
      <c r="ES314" s="117">
        <f t="shared" si="816"/>
        <v>0</v>
      </c>
      <c r="ET314" s="117">
        <f t="shared" si="816"/>
        <v>0</v>
      </c>
      <c r="EU314" s="117">
        <f t="shared" si="816"/>
        <v>0</v>
      </c>
      <c r="EV314" s="117">
        <f t="shared" si="816"/>
        <v>0</v>
      </c>
      <c r="EW314" s="117">
        <f t="shared" si="816"/>
        <v>0</v>
      </c>
      <c r="EX314" s="117">
        <f t="shared" si="816"/>
        <v>0</v>
      </c>
      <c r="EY314" s="117">
        <f t="shared" si="816"/>
        <v>0</v>
      </c>
      <c r="EZ314" s="117">
        <f t="shared" si="816"/>
        <v>0</v>
      </c>
      <c r="FA314" s="117">
        <f t="shared" si="816"/>
        <v>0</v>
      </c>
      <c r="FB314" s="117">
        <f t="shared" si="816"/>
        <v>0</v>
      </c>
      <c r="FC314" s="118"/>
      <c r="FD314" s="117"/>
      <c r="FE314" s="117"/>
      <c r="FF314" s="117"/>
      <c r="FG314" s="117"/>
      <c r="FH314" s="117"/>
      <c r="FI314" s="117"/>
      <c r="FJ314" s="117"/>
      <c r="FK314" s="117" t="e">
        <f t="shared" si="601"/>
        <v>#DIV/0!</v>
      </c>
      <c r="FL314" s="117" t="e">
        <f t="shared" si="602"/>
        <v>#DIV/0!</v>
      </c>
      <c r="FM314" s="117" t="e">
        <f t="shared" si="603"/>
        <v>#DIV/0!</v>
      </c>
      <c r="FN314" s="117" t="e">
        <f t="shared" si="604"/>
        <v>#DIV/0!</v>
      </c>
      <c r="FO314" s="9" t="e">
        <f t="shared" si="605"/>
        <v>#DIV/0!</v>
      </c>
      <c r="FP314" s="118">
        <f t="shared" ref="FP314:GB314" si="817">FP102/FP$211</f>
        <v>0</v>
      </c>
      <c r="FQ314" s="117">
        <f t="shared" si="817"/>
        <v>0</v>
      </c>
      <c r="FR314" s="117">
        <f t="shared" si="817"/>
        <v>0</v>
      </c>
      <c r="FS314" s="117">
        <f t="shared" si="817"/>
        <v>0</v>
      </c>
      <c r="FT314" s="117">
        <f t="shared" si="817"/>
        <v>0</v>
      </c>
      <c r="FU314" s="117">
        <f t="shared" si="817"/>
        <v>0</v>
      </c>
      <c r="FV314" s="117">
        <f t="shared" si="817"/>
        <v>0</v>
      </c>
      <c r="FW314" s="117">
        <f t="shared" si="817"/>
        <v>0</v>
      </c>
      <c r="FX314" s="117">
        <f t="shared" si="817"/>
        <v>0</v>
      </c>
      <c r="FY314" s="117">
        <f t="shared" si="817"/>
        <v>0</v>
      </c>
      <c r="FZ314" s="117">
        <f t="shared" si="817"/>
        <v>0</v>
      </c>
      <c r="GA314" s="117">
        <f t="shared" si="817"/>
        <v>0</v>
      </c>
      <c r="GB314" s="116">
        <f t="shared" si="817"/>
        <v>0</v>
      </c>
    </row>
    <row r="315" spans="1:184">
      <c r="A315" s="147" t="s">
        <v>231</v>
      </c>
      <c r="B315" s="160">
        <f t="shared" si="607"/>
        <v>-0.953333633551036</v>
      </c>
      <c r="C315" s="117">
        <f t="shared" ref="C315:AH315" si="818">C103/C$211</f>
        <v>0</v>
      </c>
      <c r="D315" s="117">
        <f t="shared" si="818"/>
        <v>0</v>
      </c>
      <c r="E315" s="117">
        <f t="shared" si="818"/>
        <v>0</v>
      </c>
      <c r="F315" s="117">
        <f t="shared" si="818"/>
        <v>0</v>
      </c>
      <c r="G315" s="117">
        <f t="shared" si="818"/>
        <v>8.08028719644446e-7</v>
      </c>
      <c r="H315" s="117">
        <f t="shared" si="818"/>
        <v>0</v>
      </c>
      <c r="I315" s="117">
        <f t="shared" si="818"/>
        <v>0</v>
      </c>
      <c r="J315" s="117">
        <f t="shared" si="818"/>
        <v>0</v>
      </c>
      <c r="K315" s="117">
        <f t="shared" si="818"/>
        <v>0</v>
      </c>
      <c r="L315" s="117">
        <f t="shared" si="818"/>
        <v>0</v>
      </c>
      <c r="M315" s="117">
        <f t="shared" si="818"/>
        <v>0</v>
      </c>
      <c r="N315" s="117">
        <f t="shared" si="818"/>
        <v>0</v>
      </c>
      <c r="O315" s="9">
        <f t="shared" si="818"/>
        <v>5.2411115900524e-8</v>
      </c>
      <c r="P315" s="117">
        <f t="shared" si="818"/>
        <v>0</v>
      </c>
      <c r="Q315" s="117">
        <f t="shared" si="818"/>
        <v>0</v>
      </c>
      <c r="R315" s="117">
        <f t="shared" si="818"/>
        <v>0</v>
      </c>
      <c r="S315" s="117">
        <f t="shared" si="818"/>
        <v>0</v>
      </c>
      <c r="T315" s="117">
        <f t="shared" si="818"/>
        <v>0</v>
      </c>
      <c r="U315" s="117">
        <f t="shared" si="818"/>
        <v>0</v>
      </c>
      <c r="V315" s="117">
        <f t="shared" si="818"/>
        <v>0</v>
      </c>
      <c r="W315" s="117">
        <f t="shared" si="818"/>
        <v>0</v>
      </c>
      <c r="X315" s="117">
        <f t="shared" si="818"/>
        <v>0</v>
      </c>
      <c r="Y315" s="117">
        <f t="shared" si="818"/>
        <v>0</v>
      </c>
      <c r="Z315" s="117">
        <f t="shared" si="818"/>
        <v>0</v>
      </c>
      <c r="AA315" s="117">
        <f t="shared" si="818"/>
        <v>0</v>
      </c>
      <c r="AB315" s="9">
        <f t="shared" si="818"/>
        <v>0</v>
      </c>
      <c r="AC315" s="117">
        <f t="shared" si="818"/>
        <v>0</v>
      </c>
      <c r="AD315" s="117">
        <f t="shared" si="818"/>
        <v>0</v>
      </c>
      <c r="AE315" s="117">
        <f t="shared" si="818"/>
        <v>0</v>
      </c>
      <c r="AF315" s="117">
        <f t="shared" si="818"/>
        <v>0</v>
      </c>
      <c r="AG315" s="117">
        <f t="shared" si="818"/>
        <v>0</v>
      </c>
      <c r="AH315" s="117">
        <f t="shared" si="818"/>
        <v>0</v>
      </c>
      <c r="AI315" s="117">
        <f t="shared" ref="AI315:BN315" si="819">AI103/AI$211</f>
        <v>0</v>
      </c>
      <c r="AJ315" s="117">
        <f t="shared" si="819"/>
        <v>0</v>
      </c>
      <c r="AK315" s="117">
        <f t="shared" si="819"/>
        <v>0</v>
      </c>
      <c r="AL315" s="117">
        <f t="shared" si="819"/>
        <v>0</v>
      </c>
      <c r="AM315" s="117">
        <f t="shared" si="819"/>
        <v>0</v>
      </c>
      <c r="AN315" s="117">
        <f t="shared" si="819"/>
        <v>0</v>
      </c>
      <c r="AO315" s="9">
        <f t="shared" si="819"/>
        <v>0</v>
      </c>
      <c r="AP315" s="144">
        <f t="shared" si="819"/>
        <v>0</v>
      </c>
      <c r="AQ315" s="144">
        <f t="shared" si="819"/>
        <v>0</v>
      </c>
      <c r="AR315" s="144">
        <f t="shared" si="819"/>
        <v>0</v>
      </c>
      <c r="AS315" s="144">
        <f t="shared" si="819"/>
        <v>0</v>
      </c>
      <c r="AT315" s="144">
        <f t="shared" si="819"/>
        <v>0</v>
      </c>
      <c r="AU315" s="144">
        <f t="shared" si="819"/>
        <v>0</v>
      </c>
      <c r="AV315" s="144">
        <f t="shared" si="819"/>
        <v>0</v>
      </c>
      <c r="AW315" s="144">
        <f t="shared" si="819"/>
        <v>0</v>
      </c>
      <c r="AX315" s="144">
        <f t="shared" si="819"/>
        <v>0</v>
      </c>
      <c r="AY315" s="144">
        <f t="shared" si="819"/>
        <v>0</v>
      </c>
      <c r="AZ315" s="144">
        <f t="shared" si="819"/>
        <v>0</v>
      </c>
      <c r="BA315" s="144">
        <f t="shared" si="819"/>
        <v>0</v>
      </c>
      <c r="BB315" s="9">
        <f t="shared" si="819"/>
        <v>0</v>
      </c>
      <c r="BC315" s="144">
        <f t="shared" si="819"/>
        <v>0</v>
      </c>
      <c r="BD315" s="144">
        <f t="shared" si="819"/>
        <v>0</v>
      </c>
      <c r="BE315" s="144">
        <f t="shared" si="819"/>
        <v>0</v>
      </c>
      <c r="BF315" s="144">
        <f t="shared" si="819"/>
        <v>0</v>
      </c>
      <c r="BG315" s="144">
        <f t="shared" si="819"/>
        <v>0</v>
      </c>
      <c r="BH315" s="144">
        <f t="shared" si="819"/>
        <v>0</v>
      </c>
      <c r="BI315" s="144">
        <f t="shared" si="819"/>
        <v>0</v>
      </c>
      <c r="BJ315" s="144">
        <f t="shared" si="819"/>
        <v>0</v>
      </c>
      <c r="BK315" s="144">
        <f t="shared" si="819"/>
        <v>0</v>
      </c>
      <c r="BL315" s="144">
        <f t="shared" si="819"/>
        <v>0</v>
      </c>
      <c r="BM315" s="144">
        <f t="shared" si="819"/>
        <v>0</v>
      </c>
      <c r="BN315" s="144">
        <f t="shared" si="819"/>
        <v>0</v>
      </c>
      <c r="BO315" s="9">
        <f t="shared" ref="BO315:CT315" si="820">BO103/BO$211</f>
        <v>0</v>
      </c>
      <c r="BP315" s="144">
        <f t="shared" si="820"/>
        <v>0</v>
      </c>
      <c r="BQ315" s="144">
        <f t="shared" si="820"/>
        <v>0</v>
      </c>
      <c r="BR315" s="144">
        <f t="shared" si="820"/>
        <v>0</v>
      </c>
      <c r="BS315" s="144">
        <f t="shared" si="820"/>
        <v>0</v>
      </c>
      <c r="BT315" s="144">
        <f t="shared" si="820"/>
        <v>0</v>
      </c>
      <c r="BU315" s="144">
        <f t="shared" si="820"/>
        <v>0</v>
      </c>
      <c r="BV315" s="144">
        <f t="shared" si="820"/>
        <v>0</v>
      </c>
      <c r="BW315" s="144">
        <f t="shared" si="820"/>
        <v>0</v>
      </c>
      <c r="BX315" s="144">
        <f t="shared" si="820"/>
        <v>0</v>
      </c>
      <c r="BY315" s="144">
        <f t="shared" si="820"/>
        <v>0</v>
      </c>
      <c r="BZ315" s="144">
        <f t="shared" si="820"/>
        <v>0</v>
      </c>
      <c r="CA315" s="144">
        <f t="shared" si="820"/>
        <v>0</v>
      </c>
      <c r="CB315" s="9">
        <f t="shared" si="820"/>
        <v>0</v>
      </c>
      <c r="CC315" s="144">
        <f t="shared" si="820"/>
        <v>0</v>
      </c>
      <c r="CD315" s="144">
        <f t="shared" si="820"/>
        <v>0</v>
      </c>
      <c r="CE315" s="144">
        <f t="shared" si="820"/>
        <v>0</v>
      </c>
      <c r="CF315" s="144">
        <f t="shared" si="820"/>
        <v>0</v>
      </c>
      <c r="CG315" s="144">
        <f t="shared" si="820"/>
        <v>0</v>
      </c>
      <c r="CH315" s="144">
        <f t="shared" si="820"/>
        <v>0</v>
      </c>
      <c r="CI315" s="144">
        <f t="shared" si="820"/>
        <v>0</v>
      </c>
      <c r="CJ315" s="144">
        <f t="shared" si="820"/>
        <v>0</v>
      </c>
      <c r="CK315" s="144">
        <f t="shared" si="820"/>
        <v>0</v>
      </c>
      <c r="CL315" s="144">
        <f t="shared" si="820"/>
        <v>0</v>
      </c>
      <c r="CM315" s="144">
        <f t="shared" si="820"/>
        <v>0</v>
      </c>
      <c r="CN315" s="144">
        <f t="shared" si="820"/>
        <v>0</v>
      </c>
      <c r="CO315" s="9">
        <f t="shared" si="820"/>
        <v>0</v>
      </c>
      <c r="CP315" s="144">
        <f t="shared" si="820"/>
        <v>0</v>
      </c>
      <c r="CQ315" s="144">
        <f t="shared" si="820"/>
        <v>0</v>
      </c>
      <c r="CR315" s="144">
        <f t="shared" si="820"/>
        <v>0</v>
      </c>
      <c r="CS315" s="144">
        <f t="shared" si="820"/>
        <v>0</v>
      </c>
      <c r="CT315" s="144">
        <f t="shared" si="820"/>
        <v>0</v>
      </c>
      <c r="CU315" s="144">
        <f t="shared" ref="CU315:EB315" si="821">CU103/CU$211</f>
        <v>0</v>
      </c>
      <c r="CV315" s="144">
        <f t="shared" si="821"/>
        <v>0</v>
      </c>
      <c r="CW315" s="144">
        <f t="shared" si="821"/>
        <v>0</v>
      </c>
      <c r="CX315" s="144">
        <f t="shared" si="821"/>
        <v>0</v>
      </c>
      <c r="CY315" s="144">
        <f t="shared" si="821"/>
        <v>0</v>
      </c>
      <c r="CZ315" s="144">
        <f t="shared" si="821"/>
        <v>0</v>
      </c>
      <c r="DA315" s="144">
        <f t="shared" si="821"/>
        <v>0</v>
      </c>
      <c r="DB315" s="9">
        <f t="shared" si="821"/>
        <v>0</v>
      </c>
      <c r="DC315" s="144">
        <f t="shared" si="821"/>
        <v>0</v>
      </c>
      <c r="DD315" s="144">
        <f t="shared" si="821"/>
        <v>0</v>
      </c>
      <c r="DE315" s="144">
        <f t="shared" si="821"/>
        <v>0</v>
      </c>
      <c r="DF315" s="144">
        <f t="shared" si="821"/>
        <v>0</v>
      </c>
      <c r="DG315" s="144">
        <f t="shared" si="821"/>
        <v>0</v>
      </c>
      <c r="DH315" s="144">
        <f t="shared" si="821"/>
        <v>0</v>
      </c>
      <c r="DI315" s="144">
        <f t="shared" si="821"/>
        <v>0</v>
      </c>
      <c r="DJ315" s="144">
        <f t="shared" si="821"/>
        <v>0</v>
      </c>
      <c r="DK315" s="144">
        <f t="shared" si="821"/>
        <v>0</v>
      </c>
      <c r="DL315" s="144">
        <f t="shared" si="821"/>
        <v>0</v>
      </c>
      <c r="DM315" s="144">
        <f t="shared" si="821"/>
        <v>0</v>
      </c>
      <c r="DN315" s="144">
        <f t="shared" si="821"/>
        <v>0</v>
      </c>
      <c r="DO315" s="9">
        <f t="shared" si="821"/>
        <v>0</v>
      </c>
      <c r="DP315" s="144">
        <f t="shared" si="821"/>
        <v>0</v>
      </c>
      <c r="DQ315" s="144">
        <f t="shared" si="821"/>
        <v>0</v>
      </c>
      <c r="DR315" s="144">
        <f t="shared" si="821"/>
        <v>0</v>
      </c>
      <c r="DS315" s="144">
        <f t="shared" si="821"/>
        <v>0</v>
      </c>
      <c r="DT315" s="144">
        <f t="shared" si="821"/>
        <v>0</v>
      </c>
      <c r="DU315" s="144">
        <f t="shared" si="821"/>
        <v>0</v>
      </c>
      <c r="DV315" s="144">
        <f t="shared" si="821"/>
        <v>0</v>
      </c>
      <c r="DW315" s="144">
        <f t="shared" si="821"/>
        <v>0</v>
      </c>
      <c r="DX315" s="144">
        <f t="shared" si="821"/>
        <v>0</v>
      </c>
      <c r="DY315" s="144">
        <f t="shared" si="821"/>
        <v>0</v>
      </c>
      <c r="DZ315" s="144">
        <f t="shared" si="821"/>
        <v>0</v>
      </c>
      <c r="EA315" s="144">
        <f t="shared" si="821"/>
        <v>0</v>
      </c>
      <c r="EB315" s="117">
        <f t="shared" si="821"/>
        <v>0</v>
      </c>
      <c r="EC315" s="118"/>
      <c r="ED315" s="117">
        <f t="shared" ref="ED315:FB315" si="822">ED103/ED$211</f>
        <v>0</v>
      </c>
      <c r="EE315" s="117">
        <f t="shared" si="822"/>
        <v>0</v>
      </c>
      <c r="EF315" s="117">
        <f t="shared" si="822"/>
        <v>0</v>
      </c>
      <c r="EG315" s="117" t="e">
        <f t="shared" si="822"/>
        <v>#DIV/0!</v>
      </c>
      <c r="EH315" s="117" t="e">
        <f t="shared" si="822"/>
        <v>#DIV/0!</v>
      </c>
      <c r="EI315" s="117" t="e">
        <f t="shared" si="822"/>
        <v>#DIV/0!</v>
      </c>
      <c r="EJ315" s="117" t="e">
        <f t="shared" si="822"/>
        <v>#DIV/0!</v>
      </c>
      <c r="EK315" s="117" t="e">
        <f t="shared" si="822"/>
        <v>#DIV/0!</v>
      </c>
      <c r="EL315" s="117" t="e">
        <f t="shared" si="822"/>
        <v>#DIV/0!</v>
      </c>
      <c r="EM315" s="117" t="e">
        <f t="shared" si="822"/>
        <v>#DIV/0!</v>
      </c>
      <c r="EN315" s="117" t="e">
        <f t="shared" si="822"/>
        <v>#DIV/0!</v>
      </c>
      <c r="EO315" s="116">
        <f t="shared" si="822"/>
        <v>0</v>
      </c>
      <c r="EP315" s="117">
        <f t="shared" si="822"/>
        <v>0</v>
      </c>
      <c r="EQ315" s="117">
        <f t="shared" si="822"/>
        <v>0</v>
      </c>
      <c r="ER315" s="117">
        <f t="shared" si="822"/>
        <v>0</v>
      </c>
      <c r="ES315" s="117">
        <f t="shared" si="822"/>
        <v>0</v>
      </c>
      <c r="ET315" s="117">
        <f t="shared" si="822"/>
        <v>0</v>
      </c>
      <c r="EU315" s="117">
        <f t="shared" si="822"/>
        <v>0</v>
      </c>
      <c r="EV315" s="117">
        <f t="shared" si="822"/>
        <v>0</v>
      </c>
      <c r="EW315" s="117">
        <f t="shared" si="822"/>
        <v>0</v>
      </c>
      <c r="EX315" s="117">
        <f t="shared" si="822"/>
        <v>0</v>
      </c>
      <c r="EY315" s="117">
        <f t="shared" si="822"/>
        <v>0</v>
      </c>
      <c r="EZ315" s="117">
        <f t="shared" si="822"/>
        <v>0</v>
      </c>
      <c r="FA315" s="117">
        <f t="shared" si="822"/>
        <v>0</v>
      </c>
      <c r="FB315" s="117">
        <f t="shared" si="822"/>
        <v>0</v>
      </c>
      <c r="FC315" s="118"/>
      <c r="FD315" s="117"/>
      <c r="FE315" s="117"/>
      <c r="FF315" s="117"/>
      <c r="FG315" s="117"/>
      <c r="FH315" s="117"/>
      <c r="FI315" s="117"/>
      <c r="FJ315" s="117"/>
      <c r="FK315" s="117" t="e">
        <f t="shared" si="601"/>
        <v>#DIV/0!</v>
      </c>
      <c r="FL315" s="117" t="e">
        <f t="shared" si="602"/>
        <v>#DIV/0!</v>
      </c>
      <c r="FM315" s="117" t="e">
        <f t="shared" si="603"/>
        <v>#DIV/0!</v>
      </c>
      <c r="FN315" s="117" t="e">
        <f t="shared" si="604"/>
        <v>#DIV/0!</v>
      </c>
      <c r="FO315" s="9" t="e">
        <f t="shared" si="605"/>
        <v>#DIV/0!</v>
      </c>
      <c r="FP315" s="118">
        <f t="shared" ref="FP315:GB315" si="823">FP103/FP$211</f>
        <v>0</v>
      </c>
      <c r="FQ315" s="117">
        <f t="shared" si="823"/>
        <v>0</v>
      </c>
      <c r="FR315" s="117">
        <f t="shared" si="823"/>
        <v>0</v>
      </c>
      <c r="FS315" s="117">
        <f t="shared" si="823"/>
        <v>0</v>
      </c>
      <c r="FT315" s="117">
        <f t="shared" si="823"/>
        <v>3.85239694497062e-6</v>
      </c>
      <c r="FU315" s="117">
        <f t="shared" si="823"/>
        <v>0</v>
      </c>
      <c r="FV315" s="117">
        <f t="shared" si="823"/>
        <v>0</v>
      </c>
      <c r="FW315" s="117">
        <f t="shared" si="823"/>
        <v>0</v>
      </c>
      <c r="FX315" s="117">
        <f t="shared" si="823"/>
        <v>0</v>
      </c>
      <c r="FY315" s="117">
        <f t="shared" si="823"/>
        <v>0</v>
      </c>
      <c r="FZ315" s="117">
        <f t="shared" si="823"/>
        <v>0</v>
      </c>
      <c r="GA315" s="117">
        <f t="shared" si="823"/>
        <v>0</v>
      </c>
      <c r="GB315" s="116">
        <f t="shared" si="823"/>
        <v>2.16801145593872e-7</v>
      </c>
    </row>
    <row r="316" spans="1:184">
      <c r="A316" s="147" t="s">
        <v>233</v>
      </c>
      <c r="B316" s="160">
        <f t="shared" si="607"/>
        <v>0.177794438425822</v>
      </c>
      <c r="C316" s="117">
        <f t="shared" ref="C316:AH316" si="824">C104/C$211</f>
        <v>0.00049485611177294</v>
      </c>
      <c r="D316" s="117">
        <f t="shared" si="824"/>
        <v>0.00083563381199157</v>
      </c>
      <c r="E316" s="117">
        <f t="shared" si="824"/>
        <v>0.000720643575898461</v>
      </c>
      <c r="F316" s="117">
        <f t="shared" si="824"/>
        <v>0.000456988050580215</v>
      </c>
      <c r="G316" s="117">
        <f t="shared" si="824"/>
        <v>0.000751302674903336</v>
      </c>
      <c r="H316" s="117">
        <f t="shared" si="824"/>
        <v>0.000297381879437665</v>
      </c>
      <c r="I316" s="117">
        <f t="shared" si="824"/>
        <v>0.000205110612802645</v>
      </c>
      <c r="J316" s="117">
        <f t="shared" si="824"/>
        <v>0.000148752103254447</v>
      </c>
      <c r="K316" s="117">
        <f t="shared" si="824"/>
        <v>7.66057248945501e-6</v>
      </c>
      <c r="L316" s="117">
        <f t="shared" si="824"/>
        <v>2.63575927968554e-6</v>
      </c>
      <c r="M316" s="117">
        <f t="shared" si="824"/>
        <v>1.16231376302109e-6</v>
      </c>
      <c r="N316" s="117">
        <f t="shared" si="824"/>
        <v>1.20431463427804e-6</v>
      </c>
      <c r="O316" s="9">
        <f t="shared" si="824"/>
        <v>0.000329157436212588</v>
      </c>
      <c r="P316" s="117">
        <f t="shared" si="824"/>
        <v>0</v>
      </c>
      <c r="Q316" s="117">
        <f t="shared" si="824"/>
        <v>0</v>
      </c>
      <c r="R316" s="117">
        <f t="shared" si="824"/>
        <v>0</v>
      </c>
      <c r="S316" s="117">
        <f t="shared" si="824"/>
        <v>0</v>
      </c>
      <c r="T316" s="117">
        <f t="shared" si="824"/>
        <v>0</v>
      </c>
      <c r="U316" s="117">
        <f t="shared" si="824"/>
        <v>0</v>
      </c>
      <c r="V316" s="117">
        <f t="shared" si="824"/>
        <v>0</v>
      </c>
      <c r="W316" s="117">
        <f t="shared" si="824"/>
        <v>0</v>
      </c>
      <c r="X316" s="117">
        <f t="shared" si="824"/>
        <v>0</v>
      </c>
      <c r="Y316" s="117">
        <f t="shared" si="824"/>
        <v>0</v>
      </c>
      <c r="Z316" s="117">
        <f t="shared" si="824"/>
        <v>0</v>
      </c>
      <c r="AA316" s="117">
        <f t="shared" si="824"/>
        <v>0</v>
      </c>
      <c r="AB316" s="9">
        <f t="shared" si="824"/>
        <v>0</v>
      </c>
      <c r="AC316" s="117">
        <f t="shared" si="824"/>
        <v>0.00212454150476727</v>
      </c>
      <c r="AD316" s="117">
        <f t="shared" si="824"/>
        <v>0.00429944792575648</v>
      </c>
      <c r="AE316" s="117">
        <f t="shared" si="824"/>
        <v>0.00265204269665446</v>
      </c>
      <c r="AF316" s="117">
        <f t="shared" si="824"/>
        <v>0.00301288029891299</v>
      </c>
      <c r="AG316" s="117">
        <f t="shared" si="824"/>
        <v>0.00326805488604046</v>
      </c>
      <c r="AH316" s="117">
        <f t="shared" si="824"/>
        <v>0.00283688357968842</v>
      </c>
      <c r="AI316" s="117">
        <f t="shared" ref="AI316:BN316" si="825">AI104/AI$211</f>
        <v>0.00203809342103881</v>
      </c>
      <c r="AJ316" s="117">
        <f t="shared" si="825"/>
        <v>0.00133826890929791</v>
      </c>
      <c r="AK316" s="117">
        <f t="shared" si="825"/>
        <v>0</v>
      </c>
      <c r="AL316" s="117">
        <f t="shared" si="825"/>
        <v>0</v>
      </c>
      <c r="AM316" s="117">
        <f t="shared" si="825"/>
        <v>0</v>
      </c>
      <c r="AN316" s="117">
        <f t="shared" si="825"/>
        <v>0</v>
      </c>
      <c r="AO316" s="9">
        <f t="shared" si="825"/>
        <v>0.00162707922730973</v>
      </c>
      <c r="AP316" s="144">
        <f t="shared" si="825"/>
        <v>0.000191388449474684</v>
      </c>
      <c r="AQ316" s="144">
        <f t="shared" si="825"/>
        <v>0</v>
      </c>
      <c r="AR316" s="144">
        <f t="shared" si="825"/>
        <v>8.86377017482821e-7</v>
      </c>
      <c r="AS316" s="144">
        <f t="shared" si="825"/>
        <v>8.88782541126244e-5</v>
      </c>
      <c r="AT316" s="144">
        <f t="shared" si="825"/>
        <v>0.000176254173558194</v>
      </c>
      <c r="AU316" s="144">
        <f t="shared" si="825"/>
        <v>6.93139283470851e-5</v>
      </c>
      <c r="AV316" s="144">
        <f t="shared" si="825"/>
        <v>5.71316093321416e-5</v>
      </c>
      <c r="AW316" s="144">
        <f t="shared" si="825"/>
        <v>5.03358392315944e-5</v>
      </c>
      <c r="AX316" s="144">
        <f t="shared" si="825"/>
        <v>0</v>
      </c>
      <c r="AY316" s="144">
        <f t="shared" si="825"/>
        <v>0</v>
      </c>
      <c r="AZ316" s="144">
        <f t="shared" si="825"/>
        <v>0</v>
      </c>
      <c r="BA316" s="144">
        <f t="shared" si="825"/>
        <v>0</v>
      </c>
      <c r="BB316" s="9">
        <f t="shared" si="825"/>
        <v>4.9699149113109e-5</v>
      </c>
      <c r="BC316" s="144">
        <f t="shared" si="825"/>
        <v>1.1531277811384e-5</v>
      </c>
      <c r="BD316" s="144">
        <f t="shared" si="825"/>
        <v>0</v>
      </c>
      <c r="BE316" s="144">
        <f t="shared" si="825"/>
        <v>1.79843579213414e-6</v>
      </c>
      <c r="BF316" s="144">
        <f t="shared" si="825"/>
        <v>0</v>
      </c>
      <c r="BG316" s="144">
        <f t="shared" si="825"/>
        <v>0</v>
      </c>
      <c r="BH316" s="144">
        <f t="shared" si="825"/>
        <v>0</v>
      </c>
      <c r="BI316" s="144">
        <f t="shared" si="825"/>
        <v>0</v>
      </c>
      <c r="BJ316" s="144">
        <f t="shared" si="825"/>
        <v>0</v>
      </c>
      <c r="BK316" s="144">
        <f t="shared" si="825"/>
        <v>0</v>
      </c>
      <c r="BL316" s="144">
        <f t="shared" si="825"/>
        <v>0</v>
      </c>
      <c r="BM316" s="144">
        <f t="shared" si="825"/>
        <v>0</v>
      </c>
      <c r="BN316" s="144">
        <f t="shared" si="825"/>
        <v>0</v>
      </c>
      <c r="BO316" s="9">
        <f t="shared" ref="BO316:CT316" si="826">BO104/BO$211</f>
        <v>1.459943452193e-6</v>
      </c>
      <c r="BP316" s="144">
        <f t="shared" si="826"/>
        <v>0.00112933277077098</v>
      </c>
      <c r="BQ316" s="144">
        <f t="shared" si="826"/>
        <v>0.00198543077285084</v>
      </c>
      <c r="BR316" s="144">
        <f t="shared" si="826"/>
        <v>0.0022201632315604</v>
      </c>
      <c r="BS316" s="144">
        <f t="shared" si="826"/>
        <v>0.000577873654824198</v>
      </c>
      <c r="BT316" s="144">
        <f t="shared" si="826"/>
        <v>0.00193061830291698</v>
      </c>
      <c r="BU316" s="144">
        <f t="shared" si="826"/>
        <v>0</v>
      </c>
      <c r="BV316" s="144">
        <f t="shared" si="826"/>
        <v>0</v>
      </c>
      <c r="BW316" s="144">
        <f t="shared" si="826"/>
        <v>0</v>
      </c>
      <c r="BX316" s="144">
        <f t="shared" si="826"/>
        <v>0</v>
      </c>
      <c r="BY316" s="144">
        <f t="shared" si="826"/>
        <v>0</v>
      </c>
      <c r="BZ316" s="144">
        <f t="shared" si="826"/>
        <v>0</v>
      </c>
      <c r="CA316" s="144">
        <f t="shared" si="826"/>
        <v>0</v>
      </c>
      <c r="CB316" s="9">
        <f t="shared" si="826"/>
        <v>0.000747928306707501</v>
      </c>
      <c r="CC316" s="144">
        <f t="shared" si="826"/>
        <v>0.000677414179245913</v>
      </c>
      <c r="CD316" s="144">
        <f t="shared" si="826"/>
        <v>0.00128029461226744</v>
      </c>
      <c r="CE316" s="144">
        <f t="shared" si="826"/>
        <v>0.00133029166435426</v>
      </c>
      <c r="CF316" s="144">
        <f t="shared" si="826"/>
        <v>0.00118513513234748</v>
      </c>
      <c r="CG316" s="144">
        <f t="shared" si="826"/>
        <v>0.00108116692582533</v>
      </c>
      <c r="CH316" s="144">
        <f t="shared" si="826"/>
        <v>0.000176120152096971</v>
      </c>
      <c r="CI316" s="144">
        <f t="shared" si="826"/>
        <v>0.000172229016735334</v>
      </c>
      <c r="CJ316" s="144">
        <f t="shared" si="826"/>
        <v>7.66092762957547e-5</v>
      </c>
      <c r="CK316" s="144">
        <f t="shared" si="826"/>
        <v>7.42049363400322e-5</v>
      </c>
      <c r="CL316" s="144">
        <f t="shared" si="826"/>
        <v>6.36481308378022e-5</v>
      </c>
      <c r="CM316" s="144">
        <f t="shared" si="826"/>
        <v>0</v>
      </c>
      <c r="CN316" s="144">
        <f t="shared" si="826"/>
        <v>0</v>
      </c>
      <c r="CO316" s="9">
        <f t="shared" si="826"/>
        <v>0.000466866714364573</v>
      </c>
      <c r="CP316" s="144">
        <f t="shared" si="826"/>
        <v>8.31421473247514e-5</v>
      </c>
      <c r="CQ316" s="144">
        <f t="shared" si="826"/>
        <v>0</v>
      </c>
      <c r="CR316" s="144">
        <f t="shared" si="826"/>
        <v>0</v>
      </c>
      <c r="CS316" s="144">
        <f t="shared" si="826"/>
        <v>0</v>
      </c>
      <c r="CT316" s="144">
        <f t="shared" si="826"/>
        <v>0</v>
      </c>
      <c r="CU316" s="144">
        <f t="shared" ref="CU316:EB316" si="827">CU104/CU$211</f>
        <v>0</v>
      </c>
      <c r="CV316" s="144">
        <f t="shared" si="827"/>
        <v>0</v>
      </c>
      <c r="CW316" s="144">
        <f t="shared" si="827"/>
        <v>0</v>
      </c>
      <c r="CX316" s="144">
        <f t="shared" si="827"/>
        <v>0</v>
      </c>
      <c r="CY316" s="144">
        <f t="shared" si="827"/>
        <v>0</v>
      </c>
      <c r="CZ316" s="144">
        <f t="shared" si="827"/>
        <v>0</v>
      </c>
      <c r="DA316" s="144">
        <f t="shared" si="827"/>
        <v>0</v>
      </c>
      <c r="DB316" s="9">
        <f t="shared" si="827"/>
        <v>8.98105065261421e-6</v>
      </c>
      <c r="DC316" s="144">
        <f t="shared" si="827"/>
        <v>0.000233945717717917</v>
      </c>
      <c r="DD316" s="144">
        <f t="shared" si="827"/>
        <v>0</v>
      </c>
      <c r="DE316" s="144">
        <f t="shared" si="827"/>
        <v>0</v>
      </c>
      <c r="DF316" s="144">
        <f t="shared" si="827"/>
        <v>0.000699379375033861</v>
      </c>
      <c r="DG316" s="144">
        <f t="shared" si="827"/>
        <v>0.00063284232736939</v>
      </c>
      <c r="DH316" s="144">
        <f t="shared" si="827"/>
        <v>0.000298018397864838</v>
      </c>
      <c r="DI316" s="144">
        <f t="shared" si="827"/>
        <v>0.000287399140421733</v>
      </c>
      <c r="DJ316" s="144">
        <f t="shared" si="827"/>
        <v>0.000280712719916118</v>
      </c>
      <c r="DK316" s="144">
        <f t="shared" si="827"/>
        <v>0.000140494832489326</v>
      </c>
      <c r="DL316" s="144">
        <f t="shared" si="827"/>
        <v>0.00013881286282383</v>
      </c>
      <c r="DM316" s="144">
        <f t="shared" si="827"/>
        <v>0.000154361413296601</v>
      </c>
      <c r="DN316" s="144">
        <f t="shared" si="827"/>
        <v>0.000139895319709045</v>
      </c>
      <c r="DO316" s="9">
        <f t="shared" si="827"/>
        <v>0.000236832791329049</v>
      </c>
      <c r="DP316" s="144">
        <f t="shared" si="827"/>
        <v>0.000519531816540036</v>
      </c>
      <c r="DQ316" s="144">
        <f t="shared" si="827"/>
        <v>0.000334034830479689</v>
      </c>
      <c r="DR316" s="144">
        <f t="shared" si="827"/>
        <v>0.000389814931383757</v>
      </c>
      <c r="DS316" s="144">
        <f t="shared" si="827"/>
        <v>0.000225867213779957</v>
      </c>
      <c r="DT316" s="144">
        <f t="shared" si="827"/>
        <v>0.000132981804310572</v>
      </c>
      <c r="DU316" s="144">
        <f t="shared" si="827"/>
        <v>7.9016809410322e-5</v>
      </c>
      <c r="DV316" s="144">
        <f t="shared" si="827"/>
        <v>5.71363275449089e-5</v>
      </c>
      <c r="DW316" s="144">
        <f t="shared" si="827"/>
        <v>3.71623846553036e-5</v>
      </c>
      <c r="DX316" s="144">
        <f t="shared" si="827"/>
        <v>0</v>
      </c>
      <c r="DY316" s="144">
        <f t="shared" si="827"/>
        <v>0</v>
      </c>
      <c r="DZ316" s="144">
        <f t="shared" si="827"/>
        <v>0</v>
      </c>
      <c r="EA316" s="144">
        <f t="shared" si="827"/>
        <v>0</v>
      </c>
      <c r="EB316" s="117">
        <f t="shared" si="827"/>
        <v>0.000172940919923436</v>
      </c>
      <c r="EC316" s="118"/>
      <c r="ED316" s="117">
        <f t="shared" ref="ED316:FB316" si="828">ED104/ED$211</f>
        <v>0</v>
      </c>
      <c r="EE316" s="117">
        <f t="shared" si="828"/>
        <v>0</v>
      </c>
      <c r="EF316" s="117">
        <f t="shared" si="828"/>
        <v>0</v>
      </c>
      <c r="EG316" s="117" t="e">
        <f t="shared" si="828"/>
        <v>#DIV/0!</v>
      </c>
      <c r="EH316" s="117" t="e">
        <f t="shared" si="828"/>
        <v>#DIV/0!</v>
      </c>
      <c r="EI316" s="117" t="e">
        <f t="shared" si="828"/>
        <v>#DIV/0!</v>
      </c>
      <c r="EJ316" s="117" t="e">
        <f t="shared" si="828"/>
        <v>#DIV/0!</v>
      </c>
      <c r="EK316" s="117" t="e">
        <f t="shared" si="828"/>
        <v>#DIV/0!</v>
      </c>
      <c r="EL316" s="117" t="e">
        <f t="shared" si="828"/>
        <v>#DIV/0!</v>
      </c>
      <c r="EM316" s="117" t="e">
        <f t="shared" si="828"/>
        <v>#DIV/0!</v>
      </c>
      <c r="EN316" s="117" t="e">
        <f t="shared" si="828"/>
        <v>#DIV/0!</v>
      </c>
      <c r="EO316" s="116">
        <f t="shared" si="828"/>
        <v>0</v>
      </c>
      <c r="EP316" s="117">
        <f t="shared" si="828"/>
        <v>0.000771413460424485</v>
      </c>
      <c r="EQ316" s="117">
        <f t="shared" si="828"/>
        <v>0.000965374987891164</v>
      </c>
      <c r="ER316" s="117">
        <f t="shared" si="828"/>
        <v>0.000889762279441265</v>
      </c>
      <c r="ES316" s="117">
        <f t="shared" si="828"/>
        <v>0.00113447065330347</v>
      </c>
      <c r="ET316" s="117">
        <f t="shared" si="828"/>
        <v>0.000765436203175526</v>
      </c>
      <c r="EU316" s="117">
        <f t="shared" si="828"/>
        <v>0.000435403027334179</v>
      </c>
      <c r="EV316" s="117">
        <f t="shared" si="828"/>
        <v>0.000292576329423364</v>
      </c>
      <c r="EW316" s="117">
        <f t="shared" si="828"/>
        <v>0.000222913482026864</v>
      </c>
      <c r="EX316" s="117">
        <f t="shared" si="828"/>
        <v>0.000155837325408851</v>
      </c>
      <c r="EY316" s="117">
        <f t="shared" si="828"/>
        <v>0</v>
      </c>
      <c r="EZ316" s="117">
        <f t="shared" si="828"/>
        <v>0</v>
      </c>
      <c r="FA316" s="117">
        <f t="shared" si="828"/>
        <v>0</v>
      </c>
      <c r="FB316" s="117">
        <f t="shared" si="828"/>
        <v>0.000449499735495752</v>
      </c>
      <c r="FC316" s="118"/>
      <c r="FD316" s="117"/>
      <c r="FE316" s="117"/>
      <c r="FF316" s="117"/>
      <c r="FG316" s="117"/>
      <c r="FH316" s="117"/>
      <c r="FI316" s="117"/>
      <c r="FJ316" s="117"/>
      <c r="FK316" s="117" t="e">
        <f t="shared" si="601"/>
        <v>#DIV/0!</v>
      </c>
      <c r="FL316" s="117" t="e">
        <f t="shared" si="602"/>
        <v>#DIV/0!</v>
      </c>
      <c r="FM316" s="117" t="e">
        <f t="shared" si="603"/>
        <v>#DIV/0!</v>
      </c>
      <c r="FN316" s="117" t="e">
        <f t="shared" si="604"/>
        <v>#DIV/0!</v>
      </c>
      <c r="FO316" s="9" t="e">
        <f t="shared" si="605"/>
        <v>#DIV/0!</v>
      </c>
      <c r="FP316" s="118">
        <f t="shared" ref="FP316:GB316" si="829">FP104/FP$211</f>
        <v>0.000154204730378935</v>
      </c>
      <c r="FQ316" s="117">
        <f t="shared" si="829"/>
        <v>0.000219411547385013</v>
      </c>
      <c r="FR316" s="117">
        <f t="shared" si="829"/>
        <v>4.03571542436648e-5</v>
      </c>
      <c r="FS316" s="117">
        <f t="shared" si="829"/>
        <v>4.21670815941489e-5</v>
      </c>
      <c r="FT316" s="117">
        <f t="shared" si="829"/>
        <v>1.64937198847874e-5</v>
      </c>
      <c r="FU316" s="117">
        <f t="shared" si="829"/>
        <v>0</v>
      </c>
      <c r="FV316" s="117">
        <f t="shared" si="829"/>
        <v>0</v>
      </c>
      <c r="FW316" s="117">
        <f t="shared" si="829"/>
        <v>0</v>
      </c>
      <c r="FX316" s="117">
        <f t="shared" si="829"/>
        <v>0</v>
      </c>
      <c r="FY316" s="117">
        <f t="shared" si="829"/>
        <v>0</v>
      </c>
      <c r="FZ316" s="117">
        <f t="shared" si="829"/>
        <v>0</v>
      </c>
      <c r="GA316" s="117">
        <f t="shared" si="829"/>
        <v>0</v>
      </c>
      <c r="GB316" s="116">
        <f t="shared" si="829"/>
        <v>4.86285644703617e-5</v>
      </c>
    </row>
    <row r="317" spans="1:184">
      <c r="A317" s="147" t="s">
        <v>235</v>
      </c>
      <c r="B317" s="160">
        <f t="shared" si="607"/>
        <v>-1</v>
      </c>
      <c r="C317" s="117">
        <f t="shared" ref="C317:AH317" si="830">C105/C$211</f>
        <v>0</v>
      </c>
      <c r="D317" s="117">
        <f t="shared" si="830"/>
        <v>0</v>
      </c>
      <c r="E317" s="117">
        <f t="shared" si="830"/>
        <v>0</v>
      </c>
      <c r="F317" s="117">
        <f t="shared" si="830"/>
        <v>0</v>
      </c>
      <c r="G317" s="117">
        <f t="shared" si="830"/>
        <v>0</v>
      </c>
      <c r="H317" s="117">
        <f t="shared" si="830"/>
        <v>0</v>
      </c>
      <c r="I317" s="117">
        <f t="shared" si="830"/>
        <v>0</v>
      </c>
      <c r="J317" s="117">
        <f t="shared" si="830"/>
        <v>0</v>
      </c>
      <c r="K317" s="117">
        <f t="shared" si="830"/>
        <v>0</v>
      </c>
      <c r="L317" s="117">
        <f t="shared" si="830"/>
        <v>0</v>
      </c>
      <c r="M317" s="117">
        <f t="shared" si="830"/>
        <v>0</v>
      </c>
      <c r="N317" s="117">
        <f t="shared" si="830"/>
        <v>0</v>
      </c>
      <c r="O317" s="9">
        <f t="shared" si="830"/>
        <v>0</v>
      </c>
      <c r="P317" s="117">
        <f t="shared" si="830"/>
        <v>0</v>
      </c>
      <c r="Q317" s="117">
        <f t="shared" si="830"/>
        <v>0</v>
      </c>
      <c r="R317" s="117">
        <f t="shared" si="830"/>
        <v>0</v>
      </c>
      <c r="S317" s="117">
        <f t="shared" si="830"/>
        <v>0</v>
      </c>
      <c r="T317" s="117">
        <f t="shared" si="830"/>
        <v>0</v>
      </c>
      <c r="U317" s="117">
        <f t="shared" si="830"/>
        <v>0</v>
      </c>
      <c r="V317" s="117">
        <f t="shared" si="830"/>
        <v>0</v>
      </c>
      <c r="W317" s="117">
        <f t="shared" si="830"/>
        <v>0</v>
      </c>
      <c r="X317" s="117">
        <f t="shared" si="830"/>
        <v>0</v>
      </c>
      <c r="Y317" s="117">
        <f t="shared" si="830"/>
        <v>0</v>
      </c>
      <c r="Z317" s="117">
        <f t="shared" si="830"/>
        <v>0</v>
      </c>
      <c r="AA317" s="117">
        <f t="shared" si="830"/>
        <v>0</v>
      </c>
      <c r="AB317" s="9">
        <f t="shared" si="830"/>
        <v>0</v>
      </c>
      <c r="AC317" s="117">
        <f t="shared" si="830"/>
        <v>0</v>
      </c>
      <c r="AD317" s="117">
        <f t="shared" si="830"/>
        <v>0</v>
      </c>
      <c r="AE317" s="117">
        <f t="shared" si="830"/>
        <v>0</v>
      </c>
      <c r="AF317" s="117">
        <f t="shared" si="830"/>
        <v>0</v>
      </c>
      <c r="AG317" s="117">
        <f t="shared" si="830"/>
        <v>0</v>
      </c>
      <c r="AH317" s="117">
        <f t="shared" si="830"/>
        <v>0</v>
      </c>
      <c r="AI317" s="117">
        <f t="shared" ref="AI317:BN317" si="831">AI105/AI$211</f>
        <v>0</v>
      </c>
      <c r="AJ317" s="117">
        <f t="shared" si="831"/>
        <v>0</v>
      </c>
      <c r="AK317" s="117">
        <f t="shared" si="831"/>
        <v>0</v>
      </c>
      <c r="AL317" s="117">
        <f t="shared" si="831"/>
        <v>0</v>
      </c>
      <c r="AM317" s="117">
        <f t="shared" si="831"/>
        <v>0</v>
      </c>
      <c r="AN317" s="117">
        <f t="shared" si="831"/>
        <v>0</v>
      </c>
      <c r="AO317" s="9">
        <f t="shared" si="831"/>
        <v>0</v>
      </c>
      <c r="AP317" s="144">
        <f t="shared" si="831"/>
        <v>0</v>
      </c>
      <c r="AQ317" s="144">
        <f t="shared" si="831"/>
        <v>0</v>
      </c>
      <c r="AR317" s="144">
        <f t="shared" si="831"/>
        <v>0</v>
      </c>
      <c r="AS317" s="144">
        <f t="shared" si="831"/>
        <v>0</v>
      </c>
      <c r="AT317" s="144">
        <f t="shared" si="831"/>
        <v>0</v>
      </c>
      <c r="AU317" s="144">
        <f t="shared" si="831"/>
        <v>0</v>
      </c>
      <c r="AV317" s="144">
        <f t="shared" si="831"/>
        <v>0</v>
      </c>
      <c r="AW317" s="144">
        <f t="shared" si="831"/>
        <v>0</v>
      </c>
      <c r="AX317" s="144">
        <f t="shared" si="831"/>
        <v>0</v>
      </c>
      <c r="AY317" s="144">
        <f t="shared" si="831"/>
        <v>0</v>
      </c>
      <c r="AZ317" s="144">
        <f t="shared" si="831"/>
        <v>0</v>
      </c>
      <c r="BA317" s="144">
        <f t="shared" si="831"/>
        <v>0</v>
      </c>
      <c r="BB317" s="9">
        <f t="shared" si="831"/>
        <v>0</v>
      </c>
      <c r="BC317" s="144">
        <f t="shared" si="831"/>
        <v>0</v>
      </c>
      <c r="BD317" s="144">
        <f t="shared" si="831"/>
        <v>0</v>
      </c>
      <c r="BE317" s="144">
        <f t="shared" si="831"/>
        <v>0</v>
      </c>
      <c r="BF317" s="144">
        <f t="shared" si="831"/>
        <v>0</v>
      </c>
      <c r="BG317" s="144">
        <f t="shared" si="831"/>
        <v>0</v>
      </c>
      <c r="BH317" s="144">
        <f t="shared" si="831"/>
        <v>0</v>
      </c>
      <c r="BI317" s="144">
        <f t="shared" si="831"/>
        <v>0</v>
      </c>
      <c r="BJ317" s="144">
        <f t="shared" si="831"/>
        <v>0</v>
      </c>
      <c r="BK317" s="144">
        <f t="shared" si="831"/>
        <v>0</v>
      </c>
      <c r="BL317" s="144">
        <f t="shared" si="831"/>
        <v>0</v>
      </c>
      <c r="BM317" s="144">
        <f t="shared" si="831"/>
        <v>0</v>
      </c>
      <c r="BN317" s="144">
        <f t="shared" si="831"/>
        <v>0</v>
      </c>
      <c r="BO317" s="9">
        <f t="shared" ref="BO317:CT317" si="832">BO105/BO$211</f>
        <v>0</v>
      </c>
      <c r="BP317" s="144">
        <f t="shared" si="832"/>
        <v>0</v>
      </c>
      <c r="BQ317" s="144">
        <f t="shared" si="832"/>
        <v>0</v>
      </c>
      <c r="BR317" s="144">
        <f t="shared" si="832"/>
        <v>0</v>
      </c>
      <c r="BS317" s="144">
        <f t="shared" si="832"/>
        <v>0</v>
      </c>
      <c r="BT317" s="144">
        <f t="shared" si="832"/>
        <v>0</v>
      </c>
      <c r="BU317" s="144">
        <f t="shared" si="832"/>
        <v>0</v>
      </c>
      <c r="BV317" s="144">
        <f t="shared" si="832"/>
        <v>0</v>
      </c>
      <c r="BW317" s="144">
        <f t="shared" si="832"/>
        <v>0</v>
      </c>
      <c r="BX317" s="144">
        <f t="shared" si="832"/>
        <v>0</v>
      </c>
      <c r="BY317" s="144">
        <f t="shared" si="832"/>
        <v>0</v>
      </c>
      <c r="BZ317" s="144">
        <f t="shared" si="832"/>
        <v>0</v>
      </c>
      <c r="CA317" s="144">
        <f t="shared" si="832"/>
        <v>0</v>
      </c>
      <c r="CB317" s="9">
        <f t="shared" si="832"/>
        <v>0</v>
      </c>
      <c r="CC317" s="144">
        <f t="shared" si="832"/>
        <v>0</v>
      </c>
      <c r="CD317" s="144">
        <f t="shared" si="832"/>
        <v>0</v>
      </c>
      <c r="CE317" s="144">
        <f t="shared" si="832"/>
        <v>0</v>
      </c>
      <c r="CF317" s="144">
        <f t="shared" si="832"/>
        <v>0</v>
      </c>
      <c r="CG317" s="144">
        <f t="shared" si="832"/>
        <v>0</v>
      </c>
      <c r="CH317" s="144">
        <f t="shared" si="832"/>
        <v>0</v>
      </c>
      <c r="CI317" s="144">
        <f t="shared" si="832"/>
        <v>0</v>
      </c>
      <c r="CJ317" s="144">
        <f t="shared" si="832"/>
        <v>0</v>
      </c>
      <c r="CK317" s="144">
        <f t="shared" si="832"/>
        <v>0</v>
      </c>
      <c r="CL317" s="144">
        <f t="shared" si="832"/>
        <v>0</v>
      </c>
      <c r="CM317" s="144">
        <f t="shared" si="832"/>
        <v>0</v>
      </c>
      <c r="CN317" s="144">
        <f t="shared" si="832"/>
        <v>0</v>
      </c>
      <c r="CO317" s="9">
        <f t="shared" si="832"/>
        <v>0</v>
      </c>
      <c r="CP317" s="144">
        <f t="shared" si="832"/>
        <v>0</v>
      </c>
      <c r="CQ317" s="144">
        <f t="shared" si="832"/>
        <v>0</v>
      </c>
      <c r="CR317" s="144">
        <f t="shared" si="832"/>
        <v>0</v>
      </c>
      <c r="CS317" s="144">
        <f t="shared" si="832"/>
        <v>0</v>
      </c>
      <c r="CT317" s="144">
        <f t="shared" si="832"/>
        <v>0</v>
      </c>
      <c r="CU317" s="144">
        <f t="shared" ref="CU317:EB317" si="833">CU105/CU$211</f>
        <v>0</v>
      </c>
      <c r="CV317" s="144">
        <f t="shared" si="833"/>
        <v>0</v>
      </c>
      <c r="CW317" s="144">
        <f t="shared" si="833"/>
        <v>0</v>
      </c>
      <c r="CX317" s="144">
        <f t="shared" si="833"/>
        <v>0</v>
      </c>
      <c r="CY317" s="144">
        <f t="shared" si="833"/>
        <v>0</v>
      </c>
      <c r="CZ317" s="144">
        <f t="shared" si="833"/>
        <v>0</v>
      </c>
      <c r="DA317" s="144">
        <f t="shared" si="833"/>
        <v>0</v>
      </c>
      <c r="DB317" s="9">
        <f t="shared" si="833"/>
        <v>0</v>
      </c>
      <c r="DC317" s="144">
        <f t="shared" si="833"/>
        <v>0</v>
      </c>
      <c r="DD317" s="144">
        <f t="shared" si="833"/>
        <v>0</v>
      </c>
      <c r="DE317" s="144">
        <f t="shared" si="833"/>
        <v>0</v>
      </c>
      <c r="DF317" s="144">
        <f t="shared" si="833"/>
        <v>0</v>
      </c>
      <c r="DG317" s="144">
        <f t="shared" si="833"/>
        <v>0</v>
      </c>
      <c r="DH317" s="144">
        <f t="shared" si="833"/>
        <v>0</v>
      </c>
      <c r="DI317" s="144">
        <f t="shared" si="833"/>
        <v>0</v>
      </c>
      <c r="DJ317" s="144">
        <f t="shared" si="833"/>
        <v>0</v>
      </c>
      <c r="DK317" s="144">
        <f t="shared" si="833"/>
        <v>0</v>
      </c>
      <c r="DL317" s="144">
        <f t="shared" si="833"/>
        <v>0</v>
      </c>
      <c r="DM317" s="144">
        <f t="shared" si="833"/>
        <v>0</v>
      </c>
      <c r="DN317" s="144">
        <f t="shared" si="833"/>
        <v>0</v>
      </c>
      <c r="DO317" s="9">
        <f t="shared" si="833"/>
        <v>0</v>
      </c>
      <c r="DP317" s="144">
        <f t="shared" si="833"/>
        <v>0</v>
      </c>
      <c r="DQ317" s="144">
        <f t="shared" si="833"/>
        <v>0</v>
      </c>
      <c r="DR317" s="144">
        <f t="shared" si="833"/>
        <v>0</v>
      </c>
      <c r="DS317" s="144">
        <f t="shared" si="833"/>
        <v>0</v>
      </c>
      <c r="DT317" s="144">
        <f t="shared" si="833"/>
        <v>0</v>
      </c>
      <c r="DU317" s="144">
        <f t="shared" si="833"/>
        <v>0</v>
      </c>
      <c r="DV317" s="144">
        <f t="shared" si="833"/>
        <v>0</v>
      </c>
      <c r="DW317" s="144">
        <f t="shared" si="833"/>
        <v>0</v>
      </c>
      <c r="DX317" s="144">
        <f t="shared" si="833"/>
        <v>0</v>
      </c>
      <c r="DY317" s="144">
        <f t="shared" si="833"/>
        <v>0</v>
      </c>
      <c r="DZ317" s="144">
        <f t="shared" si="833"/>
        <v>0</v>
      </c>
      <c r="EA317" s="144">
        <f t="shared" si="833"/>
        <v>0</v>
      </c>
      <c r="EB317" s="117">
        <f t="shared" si="833"/>
        <v>0</v>
      </c>
      <c r="EC317" s="118"/>
      <c r="ED317" s="117">
        <f t="shared" ref="ED317:FB317" si="834">ED105/ED$211</f>
        <v>0</v>
      </c>
      <c r="EE317" s="117">
        <f t="shared" si="834"/>
        <v>0</v>
      </c>
      <c r="EF317" s="117">
        <f t="shared" si="834"/>
        <v>0</v>
      </c>
      <c r="EG317" s="117" t="e">
        <f t="shared" si="834"/>
        <v>#DIV/0!</v>
      </c>
      <c r="EH317" s="117" t="e">
        <f t="shared" si="834"/>
        <v>#DIV/0!</v>
      </c>
      <c r="EI317" s="117" t="e">
        <f t="shared" si="834"/>
        <v>#DIV/0!</v>
      </c>
      <c r="EJ317" s="117" t="e">
        <f t="shared" si="834"/>
        <v>#DIV/0!</v>
      </c>
      <c r="EK317" s="117" t="e">
        <f t="shared" si="834"/>
        <v>#DIV/0!</v>
      </c>
      <c r="EL317" s="117" t="e">
        <f t="shared" si="834"/>
        <v>#DIV/0!</v>
      </c>
      <c r="EM317" s="117" t="e">
        <f t="shared" si="834"/>
        <v>#DIV/0!</v>
      </c>
      <c r="EN317" s="117" t="e">
        <f t="shared" si="834"/>
        <v>#DIV/0!</v>
      </c>
      <c r="EO317" s="116">
        <f t="shared" si="834"/>
        <v>0</v>
      </c>
      <c r="EP317" s="117">
        <f t="shared" si="834"/>
        <v>0</v>
      </c>
      <c r="EQ317" s="117">
        <f t="shared" si="834"/>
        <v>0</v>
      </c>
      <c r="ER317" s="117">
        <f t="shared" si="834"/>
        <v>0</v>
      </c>
      <c r="ES317" s="117">
        <f t="shared" si="834"/>
        <v>0</v>
      </c>
      <c r="ET317" s="117">
        <f t="shared" si="834"/>
        <v>0</v>
      </c>
      <c r="EU317" s="117">
        <f t="shared" si="834"/>
        <v>0</v>
      </c>
      <c r="EV317" s="117">
        <f t="shared" si="834"/>
        <v>0</v>
      </c>
      <c r="EW317" s="117">
        <f t="shared" si="834"/>
        <v>0</v>
      </c>
      <c r="EX317" s="117">
        <f t="shared" si="834"/>
        <v>0</v>
      </c>
      <c r="EY317" s="117">
        <f t="shared" si="834"/>
        <v>0</v>
      </c>
      <c r="EZ317" s="117">
        <f t="shared" si="834"/>
        <v>0</v>
      </c>
      <c r="FA317" s="117">
        <f t="shared" si="834"/>
        <v>0</v>
      </c>
      <c r="FB317" s="117">
        <f t="shared" si="834"/>
        <v>0</v>
      </c>
      <c r="FC317" s="118"/>
      <c r="FD317" s="117"/>
      <c r="FE317" s="117"/>
      <c r="FF317" s="117"/>
      <c r="FG317" s="117"/>
      <c r="FH317" s="117"/>
      <c r="FI317" s="117"/>
      <c r="FJ317" s="117"/>
      <c r="FK317" s="117" t="e">
        <f t="shared" si="601"/>
        <v>#DIV/0!</v>
      </c>
      <c r="FL317" s="117" t="e">
        <f t="shared" si="602"/>
        <v>#DIV/0!</v>
      </c>
      <c r="FM317" s="117" t="e">
        <f t="shared" si="603"/>
        <v>#DIV/0!</v>
      </c>
      <c r="FN317" s="117" t="e">
        <f t="shared" si="604"/>
        <v>#DIV/0!</v>
      </c>
      <c r="FO317" s="9" t="e">
        <f t="shared" si="605"/>
        <v>#DIV/0!</v>
      </c>
      <c r="FP317" s="118">
        <f t="shared" ref="FP317:GB317" si="835">FP105/FP$211</f>
        <v>0</v>
      </c>
      <c r="FQ317" s="117">
        <f t="shared" si="835"/>
        <v>0</v>
      </c>
      <c r="FR317" s="117">
        <f t="shared" si="835"/>
        <v>0</v>
      </c>
      <c r="FS317" s="117">
        <f t="shared" si="835"/>
        <v>0</v>
      </c>
      <c r="FT317" s="117">
        <f t="shared" si="835"/>
        <v>0</v>
      </c>
      <c r="FU317" s="117">
        <f t="shared" si="835"/>
        <v>0</v>
      </c>
      <c r="FV317" s="117">
        <f t="shared" si="835"/>
        <v>0</v>
      </c>
      <c r="FW317" s="117">
        <f t="shared" si="835"/>
        <v>0</v>
      </c>
      <c r="FX317" s="117">
        <f t="shared" si="835"/>
        <v>0</v>
      </c>
      <c r="FY317" s="117">
        <f t="shared" si="835"/>
        <v>0</v>
      </c>
      <c r="FZ317" s="117">
        <f t="shared" si="835"/>
        <v>0</v>
      </c>
      <c r="GA317" s="117">
        <f t="shared" si="835"/>
        <v>0</v>
      </c>
      <c r="GB317" s="116">
        <f t="shared" si="835"/>
        <v>0</v>
      </c>
    </row>
    <row r="318" spans="1:184">
      <c r="A318" s="147" t="s">
        <v>237</v>
      </c>
      <c r="B318" s="160">
        <f t="shared" si="607"/>
        <v>-0.966950924925231</v>
      </c>
      <c r="C318" s="117">
        <f t="shared" ref="C318:AH318" si="836">C106/C$211</f>
        <v>2.1657180471339e-7</v>
      </c>
      <c r="D318" s="117">
        <f t="shared" si="836"/>
        <v>3.22272793830423e-7</v>
      </c>
      <c r="E318" s="117">
        <f t="shared" si="836"/>
        <v>3.39953722681003e-7</v>
      </c>
      <c r="F318" s="117">
        <f t="shared" si="836"/>
        <v>0</v>
      </c>
      <c r="G318" s="117">
        <f t="shared" si="836"/>
        <v>2.57982224399717e-7</v>
      </c>
      <c r="H318" s="117">
        <f t="shared" si="836"/>
        <v>0</v>
      </c>
      <c r="I318" s="117">
        <f t="shared" si="836"/>
        <v>0</v>
      </c>
      <c r="J318" s="117">
        <f t="shared" si="836"/>
        <v>0</v>
      </c>
      <c r="K318" s="117">
        <f t="shared" si="836"/>
        <v>0</v>
      </c>
      <c r="L318" s="117">
        <f t="shared" si="836"/>
        <v>0</v>
      </c>
      <c r="M318" s="117">
        <f t="shared" si="836"/>
        <v>0</v>
      </c>
      <c r="N318" s="117">
        <f t="shared" si="836"/>
        <v>0</v>
      </c>
      <c r="O318" s="9">
        <f t="shared" si="836"/>
        <v>1.01440693281644e-7</v>
      </c>
      <c r="P318" s="117">
        <f t="shared" si="836"/>
        <v>0</v>
      </c>
      <c r="Q318" s="117">
        <f t="shared" si="836"/>
        <v>0</v>
      </c>
      <c r="R318" s="117">
        <f t="shared" si="836"/>
        <v>0</v>
      </c>
      <c r="S318" s="117">
        <f t="shared" si="836"/>
        <v>0</v>
      </c>
      <c r="T318" s="117">
        <f t="shared" si="836"/>
        <v>0</v>
      </c>
      <c r="U318" s="117">
        <f t="shared" si="836"/>
        <v>0</v>
      </c>
      <c r="V318" s="117">
        <f t="shared" si="836"/>
        <v>0</v>
      </c>
      <c r="W318" s="117">
        <f t="shared" si="836"/>
        <v>0</v>
      </c>
      <c r="X318" s="117">
        <f t="shared" si="836"/>
        <v>0</v>
      </c>
      <c r="Y318" s="117">
        <f t="shared" si="836"/>
        <v>0</v>
      </c>
      <c r="Z318" s="117">
        <f t="shared" si="836"/>
        <v>0</v>
      </c>
      <c r="AA318" s="117">
        <f t="shared" si="836"/>
        <v>0</v>
      </c>
      <c r="AB318" s="9">
        <f t="shared" si="836"/>
        <v>0</v>
      </c>
      <c r="AC318" s="117">
        <f t="shared" si="836"/>
        <v>0</v>
      </c>
      <c r="AD318" s="117">
        <f t="shared" si="836"/>
        <v>0</v>
      </c>
      <c r="AE318" s="117">
        <f t="shared" si="836"/>
        <v>0</v>
      </c>
      <c r="AF318" s="117">
        <f t="shared" si="836"/>
        <v>0</v>
      </c>
      <c r="AG318" s="117">
        <f t="shared" si="836"/>
        <v>0</v>
      </c>
      <c r="AH318" s="117">
        <f t="shared" si="836"/>
        <v>0</v>
      </c>
      <c r="AI318" s="117">
        <f t="shared" ref="AI318:BN318" si="837">AI106/AI$211</f>
        <v>0</v>
      </c>
      <c r="AJ318" s="117">
        <f t="shared" si="837"/>
        <v>0</v>
      </c>
      <c r="AK318" s="117">
        <f t="shared" si="837"/>
        <v>0</v>
      </c>
      <c r="AL318" s="117">
        <f t="shared" si="837"/>
        <v>0</v>
      </c>
      <c r="AM318" s="117">
        <f t="shared" si="837"/>
        <v>0</v>
      </c>
      <c r="AN318" s="117">
        <f t="shared" si="837"/>
        <v>0</v>
      </c>
      <c r="AO318" s="9">
        <f t="shared" si="837"/>
        <v>0</v>
      </c>
      <c r="AP318" s="144">
        <f t="shared" si="837"/>
        <v>0</v>
      </c>
      <c r="AQ318" s="144">
        <f t="shared" si="837"/>
        <v>0</v>
      </c>
      <c r="AR318" s="144">
        <f t="shared" si="837"/>
        <v>0</v>
      </c>
      <c r="AS318" s="144">
        <f t="shared" si="837"/>
        <v>0</v>
      </c>
      <c r="AT318" s="144">
        <f t="shared" si="837"/>
        <v>0</v>
      </c>
      <c r="AU318" s="144">
        <f t="shared" si="837"/>
        <v>0</v>
      </c>
      <c r="AV318" s="144">
        <f t="shared" si="837"/>
        <v>0</v>
      </c>
      <c r="AW318" s="144">
        <f t="shared" si="837"/>
        <v>0</v>
      </c>
      <c r="AX318" s="144">
        <f t="shared" si="837"/>
        <v>0</v>
      </c>
      <c r="AY318" s="144">
        <f t="shared" si="837"/>
        <v>0</v>
      </c>
      <c r="AZ318" s="144">
        <f t="shared" si="837"/>
        <v>0</v>
      </c>
      <c r="BA318" s="144">
        <f t="shared" si="837"/>
        <v>0</v>
      </c>
      <c r="BB318" s="9">
        <f t="shared" si="837"/>
        <v>0</v>
      </c>
      <c r="BC318" s="144">
        <f t="shared" si="837"/>
        <v>0</v>
      </c>
      <c r="BD318" s="144">
        <f t="shared" si="837"/>
        <v>0</v>
      </c>
      <c r="BE318" s="144">
        <f t="shared" si="837"/>
        <v>0</v>
      </c>
      <c r="BF318" s="144">
        <f t="shared" si="837"/>
        <v>0</v>
      </c>
      <c r="BG318" s="144">
        <f t="shared" si="837"/>
        <v>0</v>
      </c>
      <c r="BH318" s="144">
        <f t="shared" si="837"/>
        <v>0</v>
      </c>
      <c r="BI318" s="144">
        <f t="shared" si="837"/>
        <v>0</v>
      </c>
      <c r="BJ318" s="144">
        <f t="shared" si="837"/>
        <v>0</v>
      </c>
      <c r="BK318" s="144">
        <f t="shared" si="837"/>
        <v>0</v>
      </c>
      <c r="BL318" s="144">
        <f t="shared" si="837"/>
        <v>0</v>
      </c>
      <c r="BM318" s="144">
        <f t="shared" si="837"/>
        <v>0</v>
      </c>
      <c r="BN318" s="144">
        <f t="shared" si="837"/>
        <v>0</v>
      </c>
      <c r="BO318" s="9">
        <f t="shared" ref="BO318:CT318" si="838">BO106/BO$211</f>
        <v>0</v>
      </c>
      <c r="BP318" s="144">
        <f t="shared" si="838"/>
        <v>0</v>
      </c>
      <c r="BQ318" s="144">
        <f t="shared" si="838"/>
        <v>0</v>
      </c>
      <c r="BR318" s="144">
        <f t="shared" si="838"/>
        <v>0</v>
      </c>
      <c r="BS318" s="144">
        <f t="shared" si="838"/>
        <v>0</v>
      </c>
      <c r="BT318" s="144">
        <f t="shared" si="838"/>
        <v>0</v>
      </c>
      <c r="BU318" s="144">
        <f t="shared" si="838"/>
        <v>0</v>
      </c>
      <c r="BV318" s="144">
        <f t="shared" si="838"/>
        <v>0</v>
      </c>
      <c r="BW318" s="144">
        <f t="shared" si="838"/>
        <v>0</v>
      </c>
      <c r="BX318" s="144">
        <f t="shared" si="838"/>
        <v>0</v>
      </c>
      <c r="BY318" s="144">
        <f t="shared" si="838"/>
        <v>0</v>
      </c>
      <c r="BZ318" s="144">
        <f t="shared" si="838"/>
        <v>0</v>
      </c>
      <c r="CA318" s="144">
        <f t="shared" si="838"/>
        <v>0</v>
      </c>
      <c r="CB318" s="9">
        <f t="shared" si="838"/>
        <v>0</v>
      </c>
      <c r="CC318" s="144">
        <f t="shared" si="838"/>
        <v>0</v>
      </c>
      <c r="CD318" s="144">
        <f t="shared" si="838"/>
        <v>0</v>
      </c>
      <c r="CE318" s="144">
        <f t="shared" si="838"/>
        <v>0</v>
      </c>
      <c r="CF318" s="144">
        <f t="shared" si="838"/>
        <v>0</v>
      </c>
      <c r="CG318" s="144">
        <f t="shared" si="838"/>
        <v>0</v>
      </c>
      <c r="CH318" s="144">
        <f t="shared" si="838"/>
        <v>0</v>
      </c>
      <c r="CI318" s="144">
        <f t="shared" si="838"/>
        <v>0</v>
      </c>
      <c r="CJ318" s="144">
        <f t="shared" si="838"/>
        <v>0</v>
      </c>
      <c r="CK318" s="144">
        <f t="shared" si="838"/>
        <v>0</v>
      </c>
      <c r="CL318" s="144">
        <f t="shared" si="838"/>
        <v>0</v>
      </c>
      <c r="CM318" s="144">
        <f t="shared" si="838"/>
        <v>0</v>
      </c>
      <c r="CN318" s="144">
        <f t="shared" si="838"/>
        <v>0</v>
      </c>
      <c r="CO318" s="9">
        <f t="shared" si="838"/>
        <v>0</v>
      </c>
      <c r="CP318" s="144">
        <f t="shared" si="838"/>
        <v>0</v>
      </c>
      <c r="CQ318" s="144">
        <f t="shared" si="838"/>
        <v>0</v>
      </c>
      <c r="CR318" s="144">
        <f t="shared" si="838"/>
        <v>0</v>
      </c>
      <c r="CS318" s="144">
        <f t="shared" si="838"/>
        <v>0</v>
      </c>
      <c r="CT318" s="144">
        <f t="shared" si="838"/>
        <v>0</v>
      </c>
      <c r="CU318" s="144">
        <f t="shared" ref="CU318:EB318" si="839">CU106/CU$211</f>
        <v>0</v>
      </c>
      <c r="CV318" s="144">
        <f t="shared" si="839"/>
        <v>0</v>
      </c>
      <c r="CW318" s="144">
        <f t="shared" si="839"/>
        <v>0</v>
      </c>
      <c r="CX318" s="144">
        <f t="shared" si="839"/>
        <v>0</v>
      </c>
      <c r="CY318" s="144">
        <f t="shared" si="839"/>
        <v>0</v>
      </c>
      <c r="CZ318" s="144">
        <f t="shared" si="839"/>
        <v>0</v>
      </c>
      <c r="DA318" s="144">
        <f t="shared" si="839"/>
        <v>0</v>
      </c>
      <c r="DB318" s="9">
        <f t="shared" si="839"/>
        <v>0</v>
      </c>
      <c r="DC318" s="144">
        <f t="shared" si="839"/>
        <v>0</v>
      </c>
      <c r="DD318" s="144">
        <f t="shared" si="839"/>
        <v>1.56153007147509e-5</v>
      </c>
      <c r="DE318" s="144">
        <f t="shared" si="839"/>
        <v>2.17388267395936e-5</v>
      </c>
      <c r="DF318" s="144">
        <f t="shared" si="839"/>
        <v>0</v>
      </c>
      <c r="DG318" s="144">
        <f t="shared" si="839"/>
        <v>2.31826260875469e-5</v>
      </c>
      <c r="DH318" s="144">
        <f t="shared" si="839"/>
        <v>0</v>
      </c>
      <c r="DI318" s="144">
        <f t="shared" si="839"/>
        <v>0</v>
      </c>
      <c r="DJ318" s="144">
        <f t="shared" si="839"/>
        <v>0</v>
      </c>
      <c r="DK318" s="144">
        <f t="shared" si="839"/>
        <v>0</v>
      </c>
      <c r="DL318" s="144">
        <f t="shared" si="839"/>
        <v>0</v>
      </c>
      <c r="DM318" s="144">
        <f t="shared" si="839"/>
        <v>0</v>
      </c>
      <c r="DN318" s="144">
        <f t="shared" si="839"/>
        <v>0</v>
      </c>
      <c r="DO318" s="9">
        <f t="shared" si="839"/>
        <v>5.41362600329127e-6</v>
      </c>
      <c r="DP318" s="144">
        <f t="shared" si="839"/>
        <v>0</v>
      </c>
      <c r="DQ318" s="144">
        <f t="shared" si="839"/>
        <v>0</v>
      </c>
      <c r="DR318" s="144">
        <f t="shared" si="839"/>
        <v>0</v>
      </c>
      <c r="DS318" s="144">
        <f t="shared" si="839"/>
        <v>0</v>
      </c>
      <c r="DT318" s="144">
        <f t="shared" si="839"/>
        <v>0</v>
      </c>
      <c r="DU318" s="144">
        <f t="shared" si="839"/>
        <v>0</v>
      </c>
      <c r="DV318" s="144">
        <f t="shared" si="839"/>
        <v>0</v>
      </c>
      <c r="DW318" s="144">
        <f t="shared" si="839"/>
        <v>0</v>
      </c>
      <c r="DX318" s="144">
        <f t="shared" si="839"/>
        <v>0</v>
      </c>
      <c r="DY318" s="144">
        <f t="shared" si="839"/>
        <v>0</v>
      </c>
      <c r="DZ318" s="144">
        <f t="shared" si="839"/>
        <v>0</v>
      </c>
      <c r="EA318" s="144">
        <f t="shared" si="839"/>
        <v>0</v>
      </c>
      <c r="EB318" s="117">
        <f t="shared" si="839"/>
        <v>0</v>
      </c>
      <c r="EC318" s="118"/>
      <c r="ED318" s="117">
        <f t="shared" ref="ED318:FB318" si="840">ED106/ED$211</f>
        <v>0</v>
      </c>
      <c r="EE318" s="117">
        <f t="shared" si="840"/>
        <v>0</v>
      </c>
      <c r="EF318" s="117">
        <f t="shared" si="840"/>
        <v>0</v>
      </c>
      <c r="EG318" s="117" t="e">
        <f t="shared" si="840"/>
        <v>#DIV/0!</v>
      </c>
      <c r="EH318" s="117" t="e">
        <f t="shared" si="840"/>
        <v>#DIV/0!</v>
      </c>
      <c r="EI318" s="117" t="e">
        <f t="shared" si="840"/>
        <v>#DIV/0!</v>
      </c>
      <c r="EJ318" s="117" t="e">
        <f t="shared" si="840"/>
        <v>#DIV/0!</v>
      </c>
      <c r="EK318" s="117" t="e">
        <f t="shared" si="840"/>
        <v>#DIV/0!</v>
      </c>
      <c r="EL318" s="117" t="e">
        <f t="shared" si="840"/>
        <v>#DIV/0!</v>
      </c>
      <c r="EM318" s="117" t="e">
        <f t="shared" si="840"/>
        <v>#DIV/0!</v>
      </c>
      <c r="EN318" s="117" t="e">
        <f t="shared" si="840"/>
        <v>#DIV/0!</v>
      </c>
      <c r="EO318" s="116">
        <f t="shared" si="840"/>
        <v>0</v>
      </c>
      <c r="EP318" s="117">
        <f t="shared" si="840"/>
        <v>0</v>
      </c>
      <c r="EQ318" s="117">
        <f t="shared" si="840"/>
        <v>0</v>
      </c>
      <c r="ER318" s="117">
        <f t="shared" si="840"/>
        <v>0</v>
      </c>
      <c r="ES318" s="117">
        <f t="shared" si="840"/>
        <v>0</v>
      </c>
      <c r="ET318" s="117">
        <f t="shared" si="840"/>
        <v>0</v>
      </c>
      <c r="EU318" s="117">
        <f t="shared" si="840"/>
        <v>0</v>
      </c>
      <c r="EV318" s="117">
        <f t="shared" si="840"/>
        <v>0</v>
      </c>
      <c r="EW318" s="117">
        <f t="shared" si="840"/>
        <v>0</v>
      </c>
      <c r="EX318" s="117">
        <f t="shared" si="840"/>
        <v>0</v>
      </c>
      <c r="EY318" s="117">
        <f t="shared" si="840"/>
        <v>0</v>
      </c>
      <c r="EZ318" s="117">
        <f t="shared" si="840"/>
        <v>0</v>
      </c>
      <c r="FA318" s="117">
        <f t="shared" si="840"/>
        <v>0</v>
      </c>
      <c r="FB318" s="117">
        <f t="shared" si="840"/>
        <v>0</v>
      </c>
      <c r="FC318" s="118"/>
      <c r="FD318" s="117"/>
      <c r="FE318" s="117"/>
      <c r="FF318" s="117"/>
      <c r="FG318" s="117"/>
      <c r="FH318" s="117"/>
      <c r="FI318" s="117"/>
      <c r="FJ318" s="117"/>
      <c r="FK318" s="117" t="e">
        <f t="shared" si="601"/>
        <v>#DIV/0!</v>
      </c>
      <c r="FL318" s="117" t="e">
        <f t="shared" si="602"/>
        <v>#DIV/0!</v>
      </c>
      <c r="FM318" s="117" t="e">
        <f t="shared" si="603"/>
        <v>#DIV/0!</v>
      </c>
      <c r="FN318" s="117" t="e">
        <f t="shared" si="604"/>
        <v>#DIV/0!</v>
      </c>
      <c r="FO318" s="9" t="e">
        <f t="shared" si="605"/>
        <v>#DIV/0!</v>
      </c>
      <c r="FP318" s="118">
        <f t="shared" ref="FP318:GB318" si="841">FP106/FP$211</f>
        <v>8.17705438646896e-7</v>
      </c>
      <c r="FQ318" s="117">
        <f t="shared" si="841"/>
        <v>5.91064521016086e-7</v>
      </c>
      <c r="FR318" s="117">
        <f t="shared" si="841"/>
        <v>5.45759187752901e-7</v>
      </c>
      <c r="FS318" s="117">
        <f t="shared" si="841"/>
        <v>0</v>
      </c>
      <c r="FT318" s="117">
        <f t="shared" si="841"/>
        <v>0</v>
      </c>
      <c r="FU318" s="117">
        <f t="shared" si="841"/>
        <v>0</v>
      </c>
      <c r="FV318" s="117">
        <f t="shared" si="841"/>
        <v>0</v>
      </c>
      <c r="FW318" s="117">
        <f t="shared" si="841"/>
        <v>0</v>
      </c>
      <c r="FX318" s="117">
        <f t="shared" si="841"/>
        <v>0</v>
      </c>
      <c r="FY318" s="117">
        <f t="shared" si="841"/>
        <v>0</v>
      </c>
      <c r="FZ318" s="117">
        <f t="shared" si="841"/>
        <v>0</v>
      </c>
      <c r="GA318" s="117">
        <f t="shared" si="841"/>
        <v>0</v>
      </c>
      <c r="GB318" s="116">
        <f t="shared" si="841"/>
        <v>2.12548094797865e-7</v>
      </c>
    </row>
    <row r="319" spans="1:184">
      <c r="A319" s="147" t="s">
        <v>239</v>
      </c>
      <c r="B319" s="160">
        <f t="shared" si="607"/>
        <v>-0.907624704624095</v>
      </c>
      <c r="C319" s="117">
        <f t="shared" ref="C319:AH319" si="842">C107/C$211</f>
        <v>1.75427383470291e-7</v>
      </c>
      <c r="D319" s="117">
        <f t="shared" si="842"/>
        <v>1.91935932703397e-6</v>
      </c>
      <c r="E319" s="117">
        <f t="shared" si="842"/>
        <v>5.25183058118024e-7</v>
      </c>
      <c r="F319" s="117">
        <f t="shared" si="842"/>
        <v>3.16261452265348e-7</v>
      </c>
      <c r="G319" s="117">
        <f t="shared" si="842"/>
        <v>7.40675814418856e-7</v>
      </c>
      <c r="H319" s="117">
        <f t="shared" si="842"/>
        <v>0</v>
      </c>
      <c r="I319" s="117">
        <f t="shared" si="842"/>
        <v>0</v>
      </c>
      <c r="J319" s="117">
        <f t="shared" si="842"/>
        <v>0</v>
      </c>
      <c r="K319" s="117">
        <f t="shared" si="842"/>
        <v>0</v>
      </c>
      <c r="L319" s="117">
        <f t="shared" si="842"/>
        <v>0</v>
      </c>
      <c r="M319" s="117">
        <f t="shared" si="842"/>
        <v>0</v>
      </c>
      <c r="N319" s="117">
        <f t="shared" si="842"/>
        <v>0</v>
      </c>
      <c r="O319" s="9">
        <f t="shared" si="842"/>
        <v>3.186259567834e-7</v>
      </c>
      <c r="P319" s="117">
        <f t="shared" si="842"/>
        <v>0</v>
      </c>
      <c r="Q319" s="117">
        <f t="shared" si="842"/>
        <v>0</v>
      </c>
      <c r="R319" s="117">
        <f t="shared" si="842"/>
        <v>0</v>
      </c>
      <c r="S319" s="117">
        <f t="shared" si="842"/>
        <v>0</v>
      </c>
      <c r="T319" s="117">
        <f t="shared" si="842"/>
        <v>0</v>
      </c>
      <c r="U319" s="117">
        <f t="shared" si="842"/>
        <v>0</v>
      </c>
      <c r="V319" s="117">
        <f t="shared" si="842"/>
        <v>0</v>
      </c>
      <c r="W319" s="117">
        <f t="shared" si="842"/>
        <v>0</v>
      </c>
      <c r="X319" s="117">
        <f t="shared" si="842"/>
        <v>0</v>
      </c>
      <c r="Y319" s="117">
        <f t="shared" si="842"/>
        <v>0</v>
      </c>
      <c r="Z319" s="117">
        <f t="shared" si="842"/>
        <v>0</v>
      </c>
      <c r="AA319" s="117">
        <f t="shared" si="842"/>
        <v>0</v>
      </c>
      <c r="AB319" s="9">
        <f t="shared" si="842"/>
        <v>0</v>
      </c>
      <c r="AC319" s="117">
        <f t="shared" si="842"/>
        <v>0</v>
      </c>
      <c r="AD319" s="117">
        <f t="shared" si="842"/>
        <v>0</v>
      </c>
      <c r="AE319" s="117">
        <f t="shared" si="842"/>
        <v>0</v>
      </c>
      <c r="AF319" s="117">
        <f t="shared" si="842"/>
        <v>0</v>
      </c>
      <c r="AG319" s="117">
        <f t="shared" si="842"/>
        <v>0</v>
      </c>
      <c r="AH319" s="117">
        <f t="shared" si="842"/>
        <v>0</v>
      </c>
      <c r="AI319" s="117">
        <f t="shared" ref="AI319:BN319" si="843">AI107/AI$211</f>
        <v>0</v>
      </c>
      <c r="AJ319" s="117">
        <f t="shared" si="843"/>
        <v>0</v>
      </c>
      <c r="AK319" s="117">
        <f t="shared" si="843"/>
        <v>0</v>
      </c>
      <c r="AL319" s="117">
        <f t="shared" si="843"/>
        <v>0</v>
      </c>
      <c r="AM319" s="117">
        <f t="shared" si="843"/>
        <v>0</v>
      </c>
      <c r="AN319" s="117">
        <f t="shared" si="843"/>
        <v>0</v>
      </c>
      <c r="AO319" s="9">
        <f t="shared" si="843"/>
        <v>0</v>
      </c>
      <c r="AP319" s="144">
        <f t="shared" si="843"/>
        <v>0</v>
      </c>
      <c r="AQ319" s="144">
        <f t="shared" si="843"/>
        <v>0</v>
      </c>
      <c r="AR319" s="144">
        <f t="shared" si="843"/>
        <v>0</v>
      </c>
      <c r="AS319" s="144">
        <f t="shared" si="843"/>
        <v>0</v>
      </c>
      <c r="AT319" s="144">
        <f t="shared" si="843"/>
        <v>0</v>
      </c>
      <c r="AU319" s="144">
        <f t="shared" si="843"/>
        <v>0</v>
      </c>
      <c r="AV319" s="144">
        <f t="shared" si="843"/>
        <v>0</v>
      </c>
      <c r="AW319" s="144">
        <f t="shared" si="843"/>
        <v>0</v>
      </c>
      <c r="AX319" s="144">
        <f t="shared" si="843"/>
        <v>0</v>
      </c>
      <c r="AY319" s="144">
        <f t="shared" si="843"/>
        <v>0</v>
      </c>
      <c r="AZ319" s="144">
        <f t="shared" si="843"/>
        <v>0</v>
      </c>
      <c r="BA319" s="144">
        <f t="shared" si="843"/>
        <v>0</v>
      </c>
      <c r="BB319" s="9">
        <f t="shared" si="843"/>
        <v>0</v>
      </c>
      <c r="BC319" s="144">
        <f t="shared" si="843"/>
        <v>1.38679329750971e-6</v>
      </c>
      <c r="BD319" s="144">
        <f t="shared" si="843"/>
        <v>0</v>
      </c>
      <c r="BE319" s="144">
        <f t="shared" si="843"/>
        <v>0</v>
      </c>
      <c r="BF319" s="144">
        <f t="shared" si="843"/>
        <v>0</v>
      </c>
      <c r="BG319" s="144">
        <f t="shared" si="843"/>
        <v>0</v>
      </c>
      <c r="BH319" s="144">
        <f t="shared" si="843"/>
        <v>0</v>
      </c>
      <c r="BI319" s="144">
        <f t="shared" si="843"/>
        <v>0</v>
      </c>
      <c r="BJ319" s="144">
        <f t="shared" si="843"/>
        <v>0</v>
      </c>
      <c r="BK319" s="144">
        <f t="shared" si="843"/>
        <v>0</v>
      </c>
      <c r="BL319" s="144">
        <f t="shared" si="843"/>
        <v>0</v>
      </c>
      <c r="BM319" s="144">
        <f t="shared" si="843"/>
        <v>0</v>
      </c>
      <c r="BN319" s="144">
        <f t="shared" si="843"/>
        <v>0</v>
      </c>
      <c r="BO319" s="9">
        <f t="shared" ref="BO319:CT319" si="844">BO107/BO$211</f>
        <v>1.59911106245021e-7</v>
      </c>
      <c r="BP319" s="144">
        <f t="shared" si="844"/>
        <v>0</v>
      </c>
      <c r="BQ319" s="144">
        <f t="shared" si="844"/>
        <v>0</v>
      </c>
      <c r="BR319" s="144">
        <f t="shared" si="844"/>
        <v>0</v>
      </c>
      <c r="BS319" s="144">
        <f t="shared" si="844"/>
        <v>0</v>
      </c>
      <c r="BT319" s="144">
        <f t="shared" si="844"/>
        <v>0</v>
      </c>
      <c r="BU319" s="144">
        <f t="shared" si="844"/>
        <v>0</v>
      </c>
      <c r="BV319" s="144">
        <f t="shared" si="844"/>
        <v>0</v>
      </c>
      <c r="BW319" s="144">
        <f t="shared" si="844"/>
        <v>0</v>
      </c>
      <c r="BX319" s="144">
        <f t="shared" si="844"/>
        <v>0</v>
      </c>
      <c r="BY319" s="144">
        <f t="shared" si="844"/>
        <v>0</v>
      </c>
      <c r="BZ319" s="144">
        <f t="shared" si="844"/>
        <v>0</v>
      </c>
      <c r="CA319" s="144">
        <f t="shared" si="844"/>
        <v>0</v>
      </c>
      <c r="CB319" s="9">
        <f t="shared" si="844"/>
        <v>0</v>
      </c>
      <c r="CC319" s="144">
        <f t="shared" si="844"/>
        <v>3.43326487365739e-6</v>
      </c>
      <c r="CD319" s="144">
        <f t="shared" si="844"/>
        <v>8.77812786656029e-6</v>
      </c>
      <c r="CE319" s="144">
        <f t="shared" si="844"/>
        <v>0</v>
      </c>
      <c r="CF319" s="144">
        <f t="shared" si="844"/>
        <v>0</v>
      </c>
      <c r="CG319" s="144">
        <f t="shared" si="844"/>
        <v>4.77071652804841e-6</v>
      </c>
      <c r="CH319" s="144">
        <f t="shared" si="844"/>
        <v>0</v>
      </c>
      <c r="CI319" s="144">
        <f t="shared" si="844"/>
        <v>0</v>
      </c>
      <c r="CJ319" s="144">
        <f t="shared" si="844"/>
        <v>0</v>
      </c>
      <c r="CK319" s="144">
        <f t="shared" si="844"/>
        <v>0</v>
      </c>
      <c r="CL319" s="144">
        <f t="shared" si="844"/>
        <v>0</v>
      </c>
      <c r="CM319" s="144">
        <f t="shared" si="844"/>
        <v>0</v>
      </c>
      <c r="CN319" s="144">
        <f t="shared" si="844"/>
        <v>0</v>
      </c>
      <c r="CO319" s="9">
        <f t="shared" si="844"/>
        <v>1.23497806488423e-6</v>
      </c>
      <c r="CP319" s="144">
        <f t="shared" si="844"/>
        <v>0</v>
      </c>
      <c r="CQ319" s="144">
        <f t="shared" si="844"/>
        <v>0</v>
      </c>
      <c r="CR319" s="144">
        <f t="shared" si="844"/>
        <v>0</v>
      </c>
      <c r="CS319" s="144">
        <f t="shared" si="844"/>
        <v>0</v>
      </c>
      <c r="CT319" s="144">
        <f t="shared" si="844"/>
        <v>0</v>
      </c>
      <c r="CU319" s="144">
        <f t="shared" ref="CU319:EB319" si="845">CU107/CU$211</f>
        <v>0</v>
      </c>
      <c r="CV319" s="144">
        <f t="shared" si="845"/>
        <v>0</v>
      </c>
      <c r="CW319" s="144">
        <f t="shared" si="845"/>
        <v>0</v>
      </c>
      <c r="CX319" s="144">
        <f t="shared" si="845"/>
        <v>0</v>
      </c>
      <c r="CY319" s="144">
        <f t="shared" si="845"/>
        <v>0</v>
      </c>
      <c r="CZ319" s="144">
        <f t="shared" si="845"/>
        <v>0</v>
      </c>
      <c r="DA319" s="144">
        <f t="shared" si="845"/>
        <v>0</v>
      </c>
      <c r="DB319" s="9">
        <f t="shared" si="845"/>
        <v>0</v>
      </c>
      <c r="DC319" s="144">
        <f t="shared" si="845"/>
        <v>0</v>
      </c>
      <c r="DD319" s="144">
        <f t="shared" si="845"/>
        <v>0</v>
      </c>
      <c r="DE319" s="144">
        <f t="shared" si="845"/>
        <v>0</v>
      </c>
      <c r="DF319" s="144">
        <f t="shared" si="845"/>
        <v>0</v>
      </c>
      <c r="DG319" s="144">
        <f t="shared" si="845"/>
        <v>0</v>
      </c>
      <c r="DH319" s="144">
        <f t="shared" si="845"/>
        <v>0</v>
      </c>
      <c r="DI319" s="144">
        <f t="shared" si="845"/>
        <v>0</v>
      </c>
      <c r="DJ319" s="144">
        <f t="shared" si="845"/>
        <v>0</v>
      </c>
      <c r="DK319" s="144">
        <f t="shared" si="845"/>
        <v>0</v>
      </c>
      <c r="DL319" s="144">
        <f t="shared" si="845"/>
        <v>0</v>
      </c>
      <c r="DM319" s="144">
        <f t="shared" si="845"/>
        <v>0</v>
      </c>
      <c r="DN319" s="144">
        <f t="shared" si="845"/>
        <v>0</v>
      </c>
      <c r="DO319" s="9">
        <f t="shared" si="845"/>
        <v>0</v>
      </c>
      <c r="DP319" s="144">
        <f t="shared" si="845"/>
        <v>0</v>
      </c>
      <c r="DQ319" s="144">
        <f t="shared" si="845"/>
        <v>0</v>
      </c>
      <c r="DR319" s="144">
        <f t="shared" si="845"/>
        <v>0</v>
      </c>
      <c r="DS319" s="144">
        <f t="shared" si="845"/>
        <v>0</v>
      </c>
      <c r="DT319" s="144">
        <f t="shared" si="845"/>
        <v>0</v>
      </c>
      <c r="DU319" s="144">
        <f t="shared" si="845"/>
        <v>0</v>
      </c>
      <c r="DV319" s="144">
        <f t="shared" si="845"/>
        <v>0</v>
      </c>
      <c r="DW319" s="144">
        <f t="shared" si="845"/>
        <v>0</v>
      </c>
      <c r="DX319" s="144">
        <f t="shared" si="845"/>
        <v>0</v>
      </c>
      <c r="DY319" s="144">
        <f t="shared" si="845"/>
        <v>0</v>
      </c>
      <c r="DZ319" s="144">
        <f t="shared" si="845"/>
        <v>0</v>
      </c>
      <c r="EA319" s="144">
        <f t="shared" si="845"/>
        <v>0</v>
      </c>
      <c r="EB319" s="117">
        <f t="shared" si="845"/>
        <v>0</v>
      </c>
      <c r="EC319" s="118"/>
      <c r="ED319" s="117">
        <f t="shared" ref="ED319:FB319" si="846">ED107/ED$211</f>
        <v>0</v>
      </c>
      <c r="EE319" s="117">
        <f t="shared" si="846"/>
        <v>0</v>
      </c>
      <c r="EF319" s="117">
        <f t="shared" si="846"/>
        <v>0</v>
      </c>
      <c r="EG319" s="117" t="e">
        <f t="shared" si="846"/>
        <v>#DIV/0!</v>
      </c>
      <c r="EH319" s="117" t="e">
        <f t="shared" si="846"/>
        <v>#DIV/0!</v>
      </c>
      <c r="EI319" s="117" t="e">
        <f t="shared" si="846"/>
        <v>#DIV/0!</v>
      </c>
      <c r="EJ319" s="117" t="e">
        <f t="shared" si="846"/>
        <v>#DIV/0!</v>
      </c>
      <c r="EK319" s="117" t="e">
        <f t="shared" si="846"/>
        <v>#DIV/0!</v>
      </c>
      <c r="EL319" s="117" t="e">
        <f t="shared" si="846"/>
        <v>#DIV/0!</v>
      </c>
      <c r="EM319" s="117" t="e">
        <f t="shared" si="846"/>
        <v>#DIV/0!</v>
      </c>
      <c r="EN319" s="117" t="e">
        <f t="shared" si="846"/>
        <v>#DIV/0!</v>
      </c>
      <c r="EO319" s="116">
        <f t="shared" si="846"/>
        <v>0</v>
      </c>
      <c r="EP319" s="117">
        <f t="shared" si="846"/>
        <v>0</v>
      </c>
      <c r="EQ319" s="117">
        <f t="shared" si="846"/>
        <v>0</v>
      </c>
      <c r="ER319" s="117">
        <f t="shared" si="846"/>
        <v>0</v>
      </c>
      <c r="ES319" s="117">
        <f t="shared" si="846"/>
        <v>0</v>
      </c>
      <c r="ET319" s="117">
        <f t="shared" si="846"/>
        <v>0</v>
      </c>
      <c r="EU319" s="117">
        <f t="shared" si="846"/>
        <v>0</v>
      </c>
      <c r="EV319" s="117">
        <f t="shared" si="846"/>
        <v>0</v>
      </c>
      <c r="EW319" s="117">
        <f t="shared" si="846"/>
        <v>0</v>
      </c>
      <c r="EX319" s="117">
        <f t="shared" si="846"/>
        <v>0</v>
      </c>
      <c r="EY319" s="117">
        <f t="shared" si="846"/>
        <v>0</v>
      </c>
      <c r="EZ319" s="117">
        <f t="shared" si="846"/>
        <v>0</v>
      </c>
      <c r="FA319" s="117">
        <f t="shared" si="846"/>
        <v>0</v>
      </c>
      <c r="FB319" s="117">
        <f t="shared" si="846"/>
        <v>0</v>
      </c>
      <c r="FC319" s="118"/>
      <c r="FD319" s="117"/>
      <c r="FE319" s="117"/>
      <c r="FF319" s="117"/>
      <c r="FG319" s="117"/>
      <c r="FH319" s="117"/>
      <c r="FI319" s="117"/>
      <c r="FJ319" s="117"/>
      <c r="FK319" s="117" t="e">
        <f t="shared" si="601"/>
        <v>#DIV/0!</v>
      </c>
      <c r="FL319" s="117" t="e">
        <f t="shared" si="602"/>
        <v>#DIV/0!</v>
      </c>
      <c r="FM319" s="117" t="e">
        <f t="shared" si="603"/>
        <v>#DIV/0!</v>
      </c>
      <c r="FN319" s="117" t="e">
        <f t="shared" si="604"/>
        <v>#DIV/0!</v>
      </c>
      <c r="FO319" s="9" t="e">
        <f t="shared" si="605"/>
        <v>#DIV/0!</v>
      </c>
      <c r="FP319" s="118">
        <f t="shared" ref="FP319:GB319" si="847">FP107/FP$211</f>
        <v>0</v>
      </c>
      <c r="FQ319" s="117">
        <f t="shared" si="847"/>
        <v>7.5153747352341e-6</v>
      </c>
      <c r="FR319" s="117">
        <f t="shared" si="847"/>
        <v>1.96521627080457e-6</v>
      </c>
      <c r="FS319" s="117">
        <f t="shared" si="847"/>
        <v>1.2998236351542e-6</v>
      </c>
      <c r="FT319" s="117">
        <f t="shared" si="847"/>
        <v>2.90181564218253e-6</v>
      </c>
      <c r="FU319" s="117">
        <f t="shared" si="847"/>
        <v>0</v>
      </c>
      <c r="FV319" s="117">
        <f t="shared" si="847"/>
        <v>0</v>
      </c>
      <c r="FW319" s="117">
        <f t="shared" si="847"/>
        <v>0</v>
      </c>
      <c r="FX319" s="117">
        <f t="shared" si="847"/>
        <v>0</v>
      </c>
      <c r="FY319" s="117">
        <f t="shared" si="847"/>
        <v>0</v>
      </c>
      <c r="FZ319" s="117">
        <f t="shared" si="847"/>
        <v>0</v>
      </c>
      <c r="GA319" s="117">
        <f t="shared" si="847"/>
        <v>0</v>
      </c>
      <c r="GB319" s="116">
        <f t="shared" si="847"/>
        <v>1.16110943666454e-6</v>
      </c>
    </row>
    <row r="320" spans="1:184">
      <c r="A320" s="147" t="s">
        <v>241</v>
      </c>
      <c r="B320" s="160">
        <f t="shared" si="607"/>
        <v>-0.973171116715806</v>
      </c>
      <c r="C320" s="117">
        <f t="shared" ref="C320:AH320" si="848">C108/C$211</f>
        <v>0</v>
      </c>
      <c r="D320" s="117">
        <f t="shared" si="848"/>
        <v>0</v>
      </c>
      <c r="E320" s="117">
        <f t="shared" si="848"/>
        <v>0</v>
      </c>
      <c r="F320" s="117">
        <f t="shared" si="848"/>
        <v>9.61575886985263e-7</v>
      </c>
      <c r="G320" s="117">
        <f t="shared" si="848"/>
        <v>0</v>
      </c>
      <c r="H320" s="117">
        <f t="shared" si="848"/>
        <v>0</v>
      </c>
      <c r="I320" s="117">
        <f t="shared" si="848"/>
        <v>0</v>
      </c>
      <c r="J320" s="117">
        <f t="shared" si="848"/>
        <v>0</v>
      </c>
      <c r="K320" s="117">
        <f t="shared" si="848"/>
        <v>0</v>
      </c>
      <c r="L320" s="117">
        <f t="shared" si="848"/>
        <v>0</v>
      </c>
      <c r="M320" s="117">
        <f t="shared" si="848"/>
        <v>0</v>
      </c>
      <c r="N320" s="117">
        <f t="shared" si="848"/>
        <v>0</v>
      </c>
      <c r="O320" s="9">
        <f t="shared" si="848"/>
        <v>7.02856217639673e-8</v>
      </c>
      <c r="P320" s="117">
        <f t="shared" si="848"/>
        <v>0</v>
      </c>
      <c r="Q320" s="117">
        <f t="shared" si="848"/>
        <v>0</v>
      </c>
      <c r="R320" s="117">
        <f t="shared" si="848"/>
        <v>0</v>
      </c>
      <c r="S320" s="117">
        <f t="shared" si="848"/>
        <v>0</v>
      </c>
      <c r="T320" s="117">
        <f t="shared" si="848"/>
        <v>0</v>
      </c>
      <c r="U320" s="117">
        <f t="shared" si="848"/>
        <v>0</v>
      </c>
      <c r="V320" s="117">
        <f t="shared" si="848"/>
        <v>0</v>
      </c>
      <c r="W320" s="117">
        <f t="shared" si="848"/>
        <v>0</v>
      </c>
      <c r="X320" s="117">
        <f t="shared" si="848"/>
        <v>0</v>
      </c>
      <c r="Y320" s="117">
        <f t="shared" si="848"/>
        <v>0</v>
      </c>
      <c r="Z320" s="117">
        <f t="shared" si="848"/>
        <v>0</v>
      </c>
      <c r="AA320" s="117">
        <f t="shared" si="848"/>
        <v>0</v>
      </c>
      <c r="AB320" s="9">
        <f t="shared" si="848"/>
        <v>0</v>
      </c>
      <c r="AC320" s="117">
        <f t="shared" si="848"/>
        <v>0</v>
      </c>
      <c r="AD320" s="117">
        <f t="shared" si="848"/>
        <v>0</v>
      </c>
      <c r="AE320" s="117">
        <f t="shared" si="848"/>
        <v>0</v>
      </c>
      <c r="AF320" s="117">
        <f t="shared" si="848"/>
        <v>0</v>
      </c>
      <c r="AG320" s="117">
        <f t="shared" si="848"/>
        <v>0</v>
      </c>
      <c r="AH320" s="117">
        <f t="shared" si="848"/>
        <v>0</v>
      </c>
      <c r="AI320" s="117">
        <f t="shared" ref="AI320:BN320" si="849">AI108/AI$211</f>
        <v>0</v>
      </c>
      <c r="AJ320" s="117">
        <f t="shared" si="849"/>
        <v>0</v>
      </c>
      <c r="AK320" s="117">
        <f t="shared" si="849"/>
        <v>0</v>
      </c>
      <c r="AL320" s="117">
        <f t="shared" si="849"/>
        <v>0</v>
      </c>
      <c r="AM320" s="117">
        <f t="shared" si="849"/>
        <v>0</v>
      </c>
      <c r="AN320" s="117">
        <f t="shared" si="849"/>
        <v>0</v>
      </c>
      <c r="AO320" s="9">
        <f t="shared" si="849"/>
        <v>0</v>
      </c>
      <c r="AP320" s="144">
        <f t="shared" si="849"/>
        <v>0</v>
      </c>
      <c r="AQ320" s="144">
        <f t="shared" si="849"/>
        <v>0</v>
      </c>
      <c r="AR320" s="144">
        <f t="shared" si="849"/>
        <v>0</v>
      </c>
      <c r="AS320" s="144">
        <f t="shared" si="849"/>
        <v>0</v>
      </c>
      <c r="AT320" s="144">
        <f t="shared" si="849"/>
        <v>0</v>
      </c>
      <c r="AU320" s="144">
        <f t="shared" si="849"/>
        <v>0</v>
      </c>
      <c r="AV320" s="144">
        <f t="shared" si="849"/>
        <v>0</v>
      </c>
      <c r="AW320" s="144">
        <f t="shared" si="849"/>
        <v>0</v>
      </c>
      <c r="AX320" s="144">
        <f t="shared" si="849"/>
        <v>0</v>
      </c>
      <c r="AY320" s="144">
        <f t="shared" si="849"/>
        <v>0</v>
      </c>
      <c r="AZ320" s="144">
        <f t="shared" si="849"/>
        <v>0</v>
      </c>
      <c r="BA320" s="144">
        <f t="shared" si="849"/>
        <v>0</v>
      </c>
      <c r="BB320" s="9">
        <f t="shared" si="849"/>
        <v>0</v>
      </c>
      <c r="BC320" s="144">
        <f t="shared" si="849"/>
        <v>0</v>
      </c>
      <c r="BD320" s="144">
        <f t="shared" si="849"/>
        <v>0</v>
      </c>
      <c r="BE320" s="144">
        <f t="shared" si="849"/>
        <v>0</v>
      </c>
      <c r="BF320" s="144">
        <f t="shared" si="849"/>
        <v>0</v>
      </c>
      <c r="BG320" s="144">
        <f t="shared" si="849"/>
        <v>0</v>
      </c>
      <c r="BH320" s="144">
        <f t="shared" si="849"/>
        <v>0</v>
      </c>
      <c r="BI320" s="144">
        <f t="shared" si="849"/>
        <v>0</v>
      </c>
      <c r="BJ320" s="144">
        <f t="shared" si="849"/>
        <v>0</v>
      </c>
      <c r="BK320" s="144">
        <f t="shared" si="849"/>
        <v>0</v>
      </c>
      <c r="BL320" s="144">
        <f t="shared" si="849"/>
        <v>0</v>
      </c>
      <c r="BM320" s="144">
        <f t="shared" si="849"/>
        <v>0</v>
      </c>
      <c r="BN320" s="144">
        <f t="shared" si="849"/>
        <v>0</v>
      </c>
      <c r="BO320" s="9">
        <f t="shared" ref="BO320:CT320" si="850">BO108/BO$211</f>
        <v>0</v>
      </c>
      <c r="BP320" s="144">
        <f t="shared" si="850"/>
        <v>0</v>
      </c>
      <c r="BQ320" s="144">
        <f t="shared" si="850"/>
        <v>0</v>
      </c>
      <c r="BR320" s="144">
        <f t="shared" si="850"/>
        <v>0</v>
      </c>
      <c r="BS320" s="144">
        <f t="shared" si="850"/>
        <v>0</v>
      </c>
      <c r="BT320" s="144">
        <f t="shared" si="850"/>
        <v>0</v>
      </c>
      <c r="BU320" s="144">
        <f t="shared" si="850"/>
        <v>0</v>
      </c>
      <c r="BV320" s="144">
        <f t="shared" si="850"/>
        <v>0</v>
      </c>
      <c r="BW320" s="144">
        <f t="shared" si="850"/>
        <v>0</v>
      </c>
      <c r="BX320" s="144">
        <f t="shared" si="850"/>
        <v>0</v>
      </c>
      <c r="BY320" s="144">
        <f t="shared" si="850"/>
        <v>0</v>
      </c>
      <c r="BZ320" s="144">
        <f t="shared" si="850"/>
        <v>0</v>
      </c>
      <c r="CA320" s="144">
        <f t="shared" si="850"/>
        <v>0</v>
      </c>
      <c r="CB320" s="9">
        <f t="shared" si="850"/>
        <v>0</v>
      </c>
      <c r="CC320" s="144">
        <f t="shared" si="850"/>
        <v>0</v>
      </c>
      <c r="CD320" s="144">
        <f t="shared" si="850"/>
        <v>0</v>
      </c>
      <c r="CE320" s="144">
        <f t="shared" si="850"/>
        <v>0</v>
      </c>
      <c r="CF320" s="144">
        <f t="shared" si="850"/>
        <v>0</v>
      </c>
      <c r="CG320" s="144">
        <f t="shared" si="850"/>
        <v>0</v>
      </c>
      <c r="CH320" s="144">
        <f t="shared" si="850"/>
        <v>0</v>
      </c>
      <c r="CI320" s="144">
        <f t="shared" si="850"/>
        <v>0</v>
      </c>
      <c r="CJ320" s="144">
        <f t="shared" si="850"/>
        <v>0</v>
      </c>
      <c r="CK320" s="144">
        <f t="shared" si="850"/>
        <v>0</v>
      </c>
      <c r="CL320" s="144">
        <f t="shared" si="850"/>
        <v>0</v>
      </c>
      <c r="CM320" s="144">
        <f t="shared" si="850"/>
        <v>0</v>
      </c>
      <c r="CN320" s="144">
        <f t="shared" si="850"/>
        <v>0</v>
      </c>
      <c r="CO320" s="9">
        <f t="shared" si="850"/>
        <v>0</v>
      </c>
      <c r="CP320" s="144">
        <f t="shared" si="850"/>
        <v>0</v>
      </c>
      <c r="CQ320" s="144">
        <f t="shared" si="850"/>
        <v>0</v>
      </c>
      <c r="CR320" s="144">
        <f t="shared" si="850"/>
        <v>0</v>
      </c>
      <c r="CS320" s="144">
        <f t="shared" si="850"/>
        <v>0</v>
      </c>
      <c r="CT320" s="144">
        <f t="shared" si="850"/>
        <v>0</v>
      </c>
      <c r="CU320" s="144">
        <f t="shared" ref="CU320:EB320" si="851">CU108/CU$211</f>
        <v>0</v>
      </c>
      <c r="CV320" s="144">
        <f t="shared" si="851"/>
        <v>0</v>
      </c>
      <c r="CW320" s="144">
        <f t="shared" si="851"/>
        <v>0</v>
      </c>
      <c r="CX320" s="144">
        <f t="shared" si="851"/>
        <v>0</v>
      </c>
      <c r="CY320" s="144">
        <f t="shared" si="851"/>
        <v>0</v>
      </c>
      <c r="CZ320" s="144">
        <f t="shared" si="851"/>
        <v>0</v>
      </c>
      <c r="DA320" s="144">
        <f t="shared" si="851"/>
        <v>0</v>
      </c>
      <c r="DB320" s="9">
        <f t="shared" si="851"/>
        <v>0</v>
      </c>
      <c r="DC320" s="144">
        <f t="shared" si="851"/>
        <v>0</v>
      </c>
      <c r="DD320" s="144">
        <f t="shared" si="851"/>
        <v>0</v>
      </c>
      <c r="DE320" s="144">
        <f t="shared" si="851"/>
        <v>0</v>
      </c>
      <c r="DF320" s="144">
        <f t="shared" si="851"/>
        <v>0</v>
      </c>
      <c r="DG320" s="144">
        <f t="shared" si="851"/>
        <v>0</v>
      </c>
      <c r="DH320" s="144">
        <f t="shared" si="851"/>
        <v>0</v>
      </c>
      <c r="DI320" s="144">
        <f t="shared" si="851"/>
        <v>0</v>
      </c>
      <c r="DJ320" s="144">
        <f t="shared" si="851"/>
        <v>0</v>
      </c>
      <c r="DK320" s="144">
        <f t="shared" si="851"/>
        <v>0</v>
      </c>
      <c r="DL320" s="144">
        <f t="shared" si="851"/>
        <v>0</v>
      </c>
      <c r="DM320" s="144">
        <f t="shared" si="851"/>
        <v>0</v>
      </c>
      <c r="DN320" s="144">
        <f t="shared" si="851"/>
        <v>0</v>
      </c>
      <c r="DO320" s="9">
        <f t="shared" si="851"/>
        <v>0</v>
      </c>
      <c r="DP320" s="144">
        <f t="shared" si="851"/>
        <v>0</v>
      </c>
      <c r="DQ320" s="144">
        <f t="shared" si="851"/>
        <v>0</v>
      </c>
      <c r="DR320" s="144">
        <f t="shared" si="851"/>
        <v>0</v>
      </c>
      <c r="DS320" s="144">
        <f t="shared" si="851"/>
        <v>0</v>
      </c>
      <c r="DT320" s="144">
        <f t="shared" si="851"/>
        <v>0</v>
      </c>
      <c r="DU320" s="144">
        <f t="shared" si="851"/>
        <v>0</v>
      </c>
      <c r="DV320" s="144">
        <f t="shared" si="851"/>
        <v>0</v>
      </c>
      <c r="DW320" s="144">
        <f t="shared" si="851"/>
        <v>0</v>
      </c>
      <c r="DX320" s="144">
        <f t="shared" si="851"/>
        <v>0</v>
      </c>
      <c r="DY320" s="144">
        <f t="shared" si="851"/>
        <v>0</v>
      </c>
      <c r="DZ320" s="144">
        <f t="shared" si="851"/>
        <v>0</v>
      </c>
      <c r="EA320" s="144">
        <f t="shared" si="851"/>
        <v>0</v>
      </c>
      <c r="EB320" s="117">
        <f t="shared" si="851"/>
        <v>0</v>
      </c>
      <c r="EC320" s="118"/>
      <c r="ED320" s="117">
        <f t="shared" ref="ED320:FB320" si="852">ED108/ED$211</f>
        <v>0</v>
      </c>
      <c r="EE320" s="117">
        <f t="shared" si="852"/>
        <v>0</v>
      </c>
      <c r="EF320" s="117">
        <f t="shared" si="852"/>
        <v>0</v>
      </c>
      <c r="EG320" s="117" t="e">
        <f t="shared" si="852"/>
        <v>#DIV/0!</v>
      </c>
      <c r="EH320" s="117" t="e">
        <f t="shared" si="852"/>
        <v>#DIV/0!</v>
      </c>
      <c r="EI320" s="117" t="e">
        <f t="shared" si="852"/>
        <v>#DIV/0!</v>
      </c>
      <c r="EJ320" s="117" t="e">
        <f t="shared" si="852"/>
        <v>#DIV/0!</v>
      </c>
      <c r="EK320" s="117" t="e">
        <f t="shared" si="852"/>
        <v>#DIV/0!</v>
      </c>
      <c r="EL320" s="117" t="e">
        <f t="shared" si="852"/>
        <v>#DIV/0!</v>
      </c>
      <c r="EM320" s="117" t="e">
        <f t="shared" si="852"/>
        <v>#DIV/0!</v>
      </c>
      <c r="EN320" s="117" t="e">
        <f t="shared" si="852"/>
        <v>#DIV/0!</v>
      </c>
      <c r="EO320" s="116">
        <f t="shared" si="852"/>
        <v>0</v>
      </c>
      <c r="EP320" s="117">
        <f t="shared" si="852"/>
        <v>0</v>
      </c>
      <c r="EQ320" s="117">
        <f t="shared" si="852"/>
        <v>0</v>
      </c>
      <c r="ER320" s="117">
        <f t="shared" si="852"/>
        <v>0</v>
      </c>
      <c r="ES320" s="117">
        <f t="shared" si="852"/>
        <v>0</v>
      </c>
      <c r="ET320" s="117">
        <f t="shared" si="852"/>
        <v>0</v>
      </c>
      <c r="EU320" s="117">
        <f t="shared" si="852"/>
        <v>0</v>
      </c>
      <c r="EV320" s="117">
        <f t="shared" si="852"/>
        <v>0</v>
      </c>
      <c r="EW320" s="117">
        <f t="shared" si="852"/>
        <v>0</v>
      </c>
      <c r="EX320" s="117">
        <f t="shared" si="852"/>
        <v>0</v>
      </c>
      <c r="EY320" s="117">
        <f t="shared" si="852"/>
        <v>0</v>
      </c>
      <c r="EZ320" s="117">
        <f t="shared" si="852"/>
        <v>0</v>
      </c>
      <c r="FA320" s="117">
        <f t="shared" si="852"/>
        <v>0</v>
      </c>
      <c r="FB320" s="117">
        <f t="shared" si="852"/>
        <v>0</v>
      </c>
      <c r="FC320" s="118"/>
      <c r="FD320" s="117"/>
      <c r="FE320" s="117"/>
      <c r="FF320" s="117"/>
      <c r="FG320" s="117"/>
      <c r="FH320" s="117"/>
      <c r="FI320" s="117"/>
      <c r="FJ320" s="117"/>
      <c r="FK320" s="117" t="e">
        <f t="shared" si="601"/>
        <v>#DIV/0!</v>
      </c>
      <c r="FL320" s="117" t="e">
        <f t="shared" si="602"/>
        <v>#DIV/0!</v>
      </c>
      <c r="FM320" s="117" t="e">
        <f t="shared" si="603"/>
        <v>#DIV/0!</v>
      </c>
      <c r="FN320" s="117" t="e">
        <f t="shared" si="604"/>
        <v>#DIV/0!</v>
      </c>
      <c r="FO320" s="9" t="e">
        <f t="shared" si="605"/>
        <v>#DIV/0!</v>
      </c>
      <c r="FP320" s="118">
        <f t="shared" ref="FP320:GB320" si="853">FP108/FP$211</f>
        <v>0</v>
      </c>
      <c r="FQ320" s="117">
        <f t="shared" si="853"/>
        <v>0</v>
      </c>
      <c r="FR320" s="117">
        <f t="shared" si="853"/>
        <v>0</v>
      </c>
      <c r="FS320" s="117">
        <f t="shared" si="853"/>
        <v>3.95204365231694e-6</v>
      </c>
      <c r="FT320" s="117">
        <f t="shared" si="853"/>
        <v>0</v>
      </c>
      <c r="FU320" s="117">
        <f t="shared" si="853"/>
        <v>0</v>
      </c>
      <c r="FV320" s="117">
        <f t="shared" si="853"/>
        <v>0</v>
      </c>
      <c r="FW320" s="117">
        <f t="shared" si="853"/>
        <v>0</v>
      </c>
      <c r="FX320" s="117">
        <f t="shared" si="853"/>
        <v>0</v>
      </c>
      <c r="FY320" s="117">
        <f t="shared" si="853"/>
        <v>0</v>
      </c>
      <c r="FZ320" s="117">
        <f t="shared" si="853"/>
        <v>0</v>
      </c>
      <c r="GA320" s="117">
        <f t="shared" si="853"/>
        <v>0</v>
      </c>
      <c r="GB320" s="116">
        <f t="shared" si="853"/>
        <v>2.90739913764235e-7</v>
      </c>
    </row>
    <row r="321" spans="1:184">
      <c r="A321" s="147" t="s">
        <v>243</v>
      </c>
      <c r="B321" s="160">
        <f t="shared" si="607"/>
        <v>-0.980483654117073</v>
      </c>
      <c r="C321" s="117">
        <f t="shared" ref="C321:AH321" si="854">C109/C$211</f>
        <v>0</v>
      </c>
      <c r="D321" s="117">
        <f t="shared" si="854"/>
        <v>3.57122860090333e-7</v>
      </c>
      <c r="E321" s="117">
        <f t="shared" si="854"/>
        <v>0</v>
      </c>
      <c r="F321" s="117">
        <f t="shared" si="854"/>
        <v>0</v>
      </c>
      <c r="G321" s="117">
        <f t="shared" si="854"/>
        <v>0</v>
      </c>
      <c r="H321" s="117">
        <f t="shared" si="854"/>
        <v>0</v>
      </c>
      <c r="I321" s="117">
        <f t="shared" si="854"/>
        <v>0</v>
      </c>
      <c r="J321" s="117">
        <f t="shared" si="854"/>
        <v>0</v>
      </c>
      <c r="K321" s="117">
        <f t="shared" si="854"/>
        <v>0</v>
      </c>
      <c r="L321" s="117">
        <f t="shared" si="854"/>
        <v>0</v>
      </c>
      <c r="M321" s="117">
        <f t="shared" si="854"/>
        <v>0</v>
      </c>
      <c r="N321" s="117">
        <f t="shared" si="854"/>
        <v>0</v>
      </c>
      <c r="O321" s="9">
        <f t="shared" si="854"/>
        <v>3.39906857527879e-8</v>
      </c>
      <c r="P321" s="117">
        <f t="shared" si="854"/>
        <v>0</v>
      </c>
      <c r="Q321" s="117">
        <f t="shared" si="854"/>
        <v>0</v>
      </c>
      <c r="R321" s="117">
        <f t="shared" si="854"/>
        <v>0</v>
      </c>
      <c r="S321" s="117">
        <f t="shared" si="854"/>
        <v>0</v>
      </c>
      <c r="T321" s="117">
        <f t="shared" si="854"/>
        <v>0</v>
      </c>
      <c r="U321" s="117">
        <f t="shared" si="854"/>
        <v>0</v>
      </c>
      <c r="V321" s="117">
        <f t="shared" si="854"/>
        <v>0</v>
      </c>
      <c r="W321" s="117">
        <f t="shared" si="854"/>
        <v>0</v>
      </c>
      <c r="X321" s="117">
        <f t="shared" si="854"/>
        <v>0</v>
      </c>
      <c r="Y321" s="117">
        <f t="shared" si="854"/>
        <v>0</v>
      </c>
      <c r="Z321" s="117">
        <f t="shared" si="854"/>
        <v>0</v>
      </c>
      <c r="AA321" s="117">
        <f t="shared" si="854"/>
        <v>0</v>
      </c>
      <c r="AB321" s="9">
        <f t="shared" si="854"/>
        <v>0</v>
      </c>
      <c r="AC321" s="117">
        <f t="shared" si="854"/>
        <v>0</v>
      </c>
      <c r="AD321" s="117">
        <f t="shared" si="854"/>
        <v>0</v>
      </c>
      <c r="AE321" s="117">
        <f t="shared" si="854"/>
        <v>0</v>
      </c>
      <c r="AF321" s="117">
        <f t="shared" si="854"/>
        <v>0</v>
      </c>
      <c r="AG321" s="117">
        <f t="shared" si="854"/>
        <v>0</v>
      </c>
      <c r="AH321" s="117">
        <f t="shared" si="854"/>
        <v>0</v>
      </c>
      <c r="AI321" s="117">
        <f t="shared" ref="AI321:BN321" si="855">AI109/AI$211</f>
        <v>0</v>
      </c>
      <c r="AJ321" s="117">
        <f t="shared" si="855"/>
        <v>0</v>
      </c>
      <c r="AK321" s="117">
        <f t="shared" si="855"/>
        <v>0</v>
      </c>
      <c r="AL321" s="117">
        <f t="shared" si="855"/>
        <v>0</v>
      </c>
      <c r="AM321" s="117">
        <f t="shared" si="855"/>
        <v>0</v>
      </c>
      <c r="AN321" s="117">
        <f t="shared" si="855"/>
        <v>0</v>
      </c>
      <c r="AO321" s="9">
        <f t="shared" si="855"/>
        <v>0</v>
      </c>
      <c r="AP321" s="144">
        <f t="shared" si="855"/>
        <v>0</v>
      </c>
      <c r="AQ321" s="144">
        <f t="shared" si="855"/>
        <v>0</v>
      </c>
      <c r="AR321" s="144">
        <f t="shared" si="855"/>
        <v>0</v>
      </c>
      <c r="AS321" s="144">
        <f t="shared" si="855"/>
        <v>0</v>
      </c>
      <c r="AT321" s="144">
        <f t="shared" si="855"/>
        <v>0</v>
      </c>
      <c r="AU321" s="144">
        <f t="shared" si="855"/>
        <v>0</v>
      </c>
      <c r="AV321" s="144">
        <f t="shared" si="855"/>
        <v>0</v>
      </c>
      <c r="AW321" s="144">
        <f t="shared" si="855"/>
        <v>0</v>
      </c>
      <c r="AX321" s="144">
        <f t="shared" si="855"/>
        <v>0</v>
      </c>
      <c r="AY321" s="144">
        <f t="shared" si="855"/>
        <v>0</v>
      </c>
      <c r="AZ321" s="144">
        <f t="shared" si="855"/>
        <v>0</v>
      </c>
      <c r="BA321" s="144">
        <f t="shared" si="855"/>
        <v>0</v>
      </c>
      <c r="BB321" s="9">
        <f t="shared" si="855"/>
        <v>0</v>
      </c>
      <c r="BC321" s="144">
        <f t="shared" si="855"/>
        <v>0</v>
      </c>
      <c r="BD321" s="144">
        <f t="shared" si="855"/>
        <v>0</v>
      </c>
      <c r="BE321" s="144">
        <f t="shared" si="855"/>
        <v>0</v>
      </c>
      <c r="BF321" s="144">
        <f t="shared" si="855"/>
        <v>0</v>
      </c>
      <c r="BG321" s="144">
        <f t="shared" si="855"/>
        <v>0</v>
      </c>
      <c r="BH321" s="144">
        <f t="shared" si="855"/>
        <v>0</v>
      </c>
      <c r="BI321" s="144">
        <f t="shared" si="855"/>
        <v>0</v>
      </c>
      <c r="BJ321" s="144">
        <f t="shared" si="855"/>
        <v>0</v>
      </c>
      <c r="BK321" s="144">
        <f t="shared" si="855"/>
        <v>0</v>
      </c>
      <c r="BL321" s="144">
        <f t="shared" si="855"/>
        <v>0</v>
      </c>
      <c r="BM321" s="144">
        <f t="shared" si="855"/>
        <v>0</v>
      </c>
      <c r="BN321" s="144">
        <f t="shared" si="855"/>
        <v>0</v>
      </c>
      <c r="BO321" s="9">
        <f t="shared" ref="BO321:CT321" si="856">BO109/BO$211</f>
        <v>0</v>
      </c>
      <c r="BP321" s="144">
        <f t="shared" si="856"/>
        <v>0</v>
      </c>
      <c r="BQ321" s="144">
        <f t="shared" si="856"/>
        <v>0</v>
      </c>
      <c r="BR321" s="144">
        <f t="shared" si="856"/>
        <v>0</v>
      </c>
      <c r="BS321" s="144">
        <f t="shared" si="856"/>
        <v>0</v>
      </c>
      <c r="BT321" s="144">
        <f t="shared" si="856"/>
        <v>0</v>
      </c>
      <c r="BU321" s="144">
        <f t="shared" si="856"/>
        <v>0</v>
      </c>
      <c r="BV321" s="144">
        <f t="shared" si="856"/>
        <v>0</v>
      </c>
      <c r="BW321" s="144">
        <f t="shared" si="856"/>
        <v>0</v>
      </c>
      <c r="BX321" s="144">
        <f t="shared" si="856"/>
        <v>0</v>
      </c>
      <c r="BY321" s="144">
        <f t="shared" si="856"/>
        <v>0</v>
      </c>
      <c r="BZ321" s="144">
        <f t="shared" si="856"/>
        <v>0</v>
      </c>
      <c r="CA321" s="144">
        <f t="shared" si="856"/>
        <v>0</v>
      </c>
      <c r="CB321" s="9">
        <f t="shared" si="856"/>
        <v>0</v>
      </c>
      <c r="CC321" s="144">
        <f t="shared" si="856"/>
        <v>0</v>
      </c>
      <c r="CD321" s="144">
        <f t="shared" si="856"/>
        <v>0</v>
      </c>
      <c r="CE321" s="144">
        <f t="shared" si="856"/>
        <v>0</v>
      </c>
      <c r="CF321" s="144">
        <f t="shared" si="856"/>
        <v>0</v>
      </c>
      <c r="CG321" s="144">
        <f t="shared" si="856"/>
        <v>0</v>
      </c>
      <c r="CH321" s="144">
        <f t="shared" si="856"/>
        <v>0</v>
      </c>
      <c r="CI321" s="144">
        <f t="shared" si="856"/>
        <v>0</v>
      </c>
      <c r="CJ321" s="144">
        <f t="shared" si="856"/>
        <v>0</v>
      </c>
      <c r="CK321" s="144">
        <f t="shared" si="856"/>
        <v>0</v>
      </c>
      <c r="CL321" s="144">
        <f t="shared" si="856"/>
        <v>0</v>
      </c>
      <c r="CM321" s="144">
        <f t="shared" si="856"/>
        <v>0</v>
      </c>
      <c r="CN321" s="144">
        <f t="shared" si="856"/>
        <v>0</v>
      </c>
      <c r="CO321" s="9">
        <f t="shared" si="856"/>
        <v>0</v>
      </c>
      <c r="CP321" s="144">
        <f t="shared" si="856"/>
        <v>0</v>
      </c>
      <c r="CQ321" s="144">
        <f t="shared" si="856"/>
        <v>0</v>
      </c>
      <c r="CR321" s="144">
        <f t="shared" si="856"/>
        <v>0</v>
      </c>
      <c r="CS321" s="144">
        <f t="shared" si="856"/>
        <v>0</v>
      </c>
      <c r="CT321" s="144">
        <f t="shared" si="856"/>
        <v>0</v>
      </c>
      <c r="CU321" s="144">
        <f t="shared" ref="CU321:EB321" si="857">CU109/CU$211</f>
        <v>0</v>
      </c>
      <c r="CV321" s="144">
        <f t="shared" si="857"/>
        <v>0</v>
      </c>
      <c r="CW321" s="144">
        <f t="shared" si="857"/>
        <v>0</v>
      </c>
      <c r="CX321" s="144">
        <f t="shared" si="857"/>
        <v>0</v>
      </c>
      <c r="CY321" s="144">
        <f t="shared" si="857"/>
        <v>0</v>
      </c>
      <c r="CZ321" s="144">
        <f t="shared" si="857"/>
        <v>0</v>
      </c>
      <c r="DA321" s="144">
        <f t="shared" si="857"/>
        <v>0</v>
      </c>
      <c r="DB321" s="9">
        <f t="shared" si="857"/>
        <v>0</v>
      </c>
      <c r="DC321" s="144">
        <f t="shared" si="857"/>
        <v>0</v>
      </c>
      <c r="DD321" s="144">
        <f t="shared" si="857"/>
        <v>3.12305258214011e-5</v>
      </c>
      <c r="DE321" s="144">
        <f t="shared" si="857"/>
        <v>0</v>
      </c>
      <c r="DF321" s="144">
        <f t="shared" si="857"/>
        <v>0</v>
      </c>
      <c r="DG321" s="144">
        <f t="shared" si="857"/>
        <v>0</v>
      </c>
      <c r="DH321" s="144">
        <f t="shared" si="857"/>
        <v>0</v>
      </c>
      <c r="DI321" s="144">
        <f t="shared" si="857"/>
        <v>0</v>
      </c>
      <c r="DJ321" s="144">
        <f t="shared" si="857"/>
        <v>0</v>
      </c>
      <c r="DK321" s="144">
        <f t="shared" si="857"/>
        <v>0</v>
      </c>
      <c r="DL321" s="144">
        <f t="shared" si="857"/>
        <v>0</v>
      </c>
      <c r="DM321" s="144">
        <f t="shared" si="857"/>
        <v>0</v>
      </c>
      <c r="DN321" s="144">
        <f t="shared" si="857"/>
        <v>0</v>
      </c>
      <c r="DO321" s="9">
        <f t="shared" si="857"/>
        <v>3.67601204322835e-6</v>
      </c>
      <c r="DP321" s="144">
        <f t="shared" si="857"/>
        <v>0</v>
      </c>
      <c r="DQ321" s="144">
        <f t="shared" si="857"/>
        <v>0</v>
      </c>
      <c r="DR321" s="144">
        <f t="shared" si="857"/>
        <v>0</v>
      </c>
      <c r="DS321" s="144">
        <f t="shared" si="857"/>
        <v>0</v>
      </c>
      <c r="DT321" s="144">
        <f t="shared" si="857"/>
        <v>0</v>
      </c>
      <c r="DU321" s="144">
        <f t="shared" si="857"/>
        <v>0</v>
      </c>
      <c r="DV321" s="144">
        <f t="shared" si="857"/>
        <v>0</v>
      </c>
      <c r="DW321" s="144">
        <f t="shared" si="857"/>
        <v>0</v>
      </c>
      <c r="DX321" s="144">
        <f t="shared" si="857"/>
        <v>0</v>
      </c>
      <c r="DY321" s="144">
        <f t="shared" si="857"/>
        <v>0</v>
      </c>
      <c r="DZ321" s="144">
        <f t="shared" si="857"/>
        <v>0</v>
      </c>
      <c r="EA321" s="144">
        <f t="shared" si="857"/>
        <v>0</v>
      </c>
      <c r="EB321" s="117">
        <f t="shared" si="857"/>
        <v>0</v>
      </c>
      <c r="EC321" s="118"/>
      <c r="ED321" s="117">
        <f t="shared" ref="ED321:FB321" si="858">ED109/ED$211</f>
        <v>0</v>
      </c>
      <c r="EE321" s="117">
        <f t="shared" si="858"/>
        <v>0</v>
      </c>
      <c r="EF321" s="117">
        <f t="shared" si="858"/>
        <v>0</v>
      </c>
      <c r="EG321" s="117" t="e">
        <f t="shared" si="858"/>
        <v>#DIV/0!</v>
      </c>
      <c r="EH321" s="117" t="e">
        <f t="shared" si="858"/>
        <v>#DIV/0!</v>
      </c>
      <c r="EI321" s="117" t="e">
        <f t="shared" si="858"/>
        <v>#DIV/0!</v>
      </c>
      <c r="EJ321" s="117" t="e">
        <f t="shared" si="858"/>
        <v>#DIV/0!</v>
      </c>
      <c r="EK321" s="117" t="e">
        <f t="shared" si="858"/>
        <v>#DIV/0!</v>
      </c>
      <c r="EL321" s="117" t="e">
        <f t="shared" si="858"/>
        <v>#DIV/0!</v>
      </c>
      <c r="EM321" s="117" t="e">
        <f t="shared" si="858"/>
        <v>#DIV/0!</v>
      </c>
      <c r="EN321" s="117" t="e">
        <f t="shared" si="858"/>
        <v>#DIV/0!</v>
      </c>
      <c r="EO321" s="116">
        <f t="shared" si="858"/>
        <v>0</v>
      </c>
      <c r="EP321" s="117">
        <f t="shared" si="858"/>
        <v>0</v>
      </c>
      <c r="EQ321" s="117">
        <f t="shared" si="858"/>
        <v>0</v>
      </c>
      <c r="ER321" s="117">
        <f t="shared" si="858"/>
        <v>0</v>
      </c>
      <c r="ES321" s="117">
        <f t="shared" si="858"/>
        <v>0</v>
      </c>
      <c r="ET321" s="117">
        <f t="shared" si="858"/>
        <v>0</v>
      </c>
      <c r="EU321" s="117">
        <f t="shared" si="858"/>
        <v>0</v>
      </c>
      <c r="EV321" s="117">
        <f t="shared" si="858"/>
        <v>0</v>
      </c>
      <c r="EW321" s="117">
        <f t="shared" si="858"/>
        <v>0</v>
      </c>
      <c r="EX321" s="117">
        <f t="shared" si="858"/>
        <v>0</v>
      </c>
      <c r="EY321" s="117">
        <f t="shared" si="858"/>
        <v>0</v>
      </c>
      <c r="EZ321" s="117">
        <f t="shared" si="858"/>
        <v>0</v>
      </c>
      <c r="FA321" s="117">
        <f t="shared" si="858"/>
        <v>0</v>
      </c>
      <c r="FB321" s="117">
        <f t="shared" si="858"/>
        <v>0</v>
      </c>
      <c r="FC321" s="118"/>
      <c r="FD321" s="117"/>
      <c r="FE321" s="117"/>
      <c r="FF321" s="117"/>
      <c r="FG321" s="117"/>
      <c r="FH321" s="117"/>
      <c r="FI321" s="117"/>
      <c r="FJ321" s="117"/>
      <c r="FK321" s="117" t="e">
        <f t="shared" si="601"/>
        <v>#DIV/0!</v>
      </c>
      <c r="FL321" s="117" t="e">
        <f t="shared" si="602"/>
        <v>#DIV/0!</v>
      </c>
      <c r="FM321" s="117" t="e">
        <f t="shared" si="603"/>
        <v>#DIV/0!</v>
      </c>
      <c r="FN321" s="117" t="e">
        <f t="shared" si="604"/>
        <v>#DIV/0!</v>
      </c>
      <c r="FO321" s="9" t="e">
        <f t="shared" si="605"/>
        <v>#DIV/0!</v>
      </c>
      <c r="FP321" s="118">
        <f t="shared" ref="FP321:GB321" si="859">FP109/FP$211</f>
        <v>0</v>
      </c>
      <c r="FQ321" s="117">
        <f t="shared" si="859"/>
        <v>0</v>
      </c>
      <c r="FR321" s="117">
        <f t="shared" si="859"/>
        <v>0</v>
      </c>
      <c r="FS321" s="117">
        <f t="shared" si="859"/>
        <v>0</v>
      </c>
      <c r="FT321" s="117">
        <f t="shared" si="859"/>
        <v>0</v>
      </c>
      <c r="FU321" s="117">
        <f t="shared" si="859"/>
        <v>0</v>
      </c>
      <c r="FV321" s="117">
        <f t="shared" si="859"/>
        <v>0</v>
      </c>
      <c r="FW321" s="117">
        <f t="shared" si="859"/>
        <v>0</v>
      </c>
      <c r="FX321" s="117">
        <f t="shared" si="859"/>
        <v>0</v>
      </c>
      <c r="FY321" s="117">
        <f t="shared" si="859"/>
        <v>0</v>
      </c>
      <c r="FZ321" s="117">
        <f t="shared" si="859"/>
        <v>0</v>
      </c>
      <c r="GA321" s="117">
        <f t="shared" si="859"/>
        <v>0</v>
      </c>
      <c r="GB321" s="116">
        <f t="shared" si="859"/>
        <v>0</v>
      </c>
    </row>
    <row r="322" spans="1:184">
      <c r="A322" s="147" t="s">
        <v>245</v>
      </c>
      <c r="B322" s="160">
        <f t="shared" si="607"/>
        <v>-1</v>
      </c>
      <c r="C322" s="117">
        <f t="shared" ref="C322:AH322" si="860">C110/C$211</f>
        <v>0</v>
      </c>
      <c r="D322" s="117">
        <f t="shared" si="860"/>
        <v>0</v>
      </c>
      <c r="E322" s="117">
        <f t="shared" si="860"/>
        <v>0</v>
      </c>
      <c r="F322" s="117">
        <f t="shared" si="860"/>
        <v>0</v>
      </c>
      <c r="G322" s="117">
        <f t="shared" si="860"/>
        <v>0</v>
      </c>
      <c r="H322" s="117">
        <f t="shared" si="860"/>
        <v>0</v>
      </c>
      <c r="I322" s="117">
        <f t="shared" si="860"/>
        <v>0</v>
      </c>
      <c r="J322" s="117">
        <f t="shared" si="860"/>
        <v>0</v>
      </c>
      <c r="K322" s="117">
        <f t="shared" si="860"/>
        <v>0</v>
      </c>
      <c r="L322" s="117">
        <f t="shared" si="860"/>
        <v>0</v>
      </c>
      <c r="M322" s="117">
        <f t="shared" si="860"/>
        <v>0</v>
      </c>
      <c r="N322" s="117">
        <f t="shared" si="860"/>
        <v>0</v>
      </c>
      <c r="O322" s="9">
        <f t="shared" si="860"/>
        <v>0</v>
      </c>
      <c r="P322" s="117">
        <f t="shared" si="860"/>
        <v>0</v>
      </c>
      <c r="Q322" s="117">
        <f t="shared" si="860"/>
        <v>0</v>
      </c>
      <c r="R322" s="117">
        <f t="shared" si="860"/>
        <v>0</v>
      </c>
      <c r="S322" s="117">
        <f t="shared" si="860"/>
        <v>0</v>
      </c>
      <c r="T322" s="117">
        <f t="shared" si="860"/>
        <v>0</v>
      </c>
      <c r="U322" s="117">
        <f t="shared" si="860"/>
        <v>0</v>
      </c>
      <c r="V322" s="117">
        <f t="shared" si="860"/>
        <v>0</v>
      </c>
      <c r="W322" s="117">
        <f t="shared" si="860"/>
        <v>0</v>
      </c>
      <c r="X322" s="117">
        <f t="shared" si="860"/>
        <v>0</v>
      </c>
      <c r="Y322" s="117">
        <f t="shared" si="860"/>
        <v>0</v>
      </c>
      <c r="Z322" s="117">
        <f t="shared" si="860"/>
        <v>0</v>
      </c>
      <c r="AA322" s="117">
        <f t="shared" si="860"/>
        <v>0</v>
      </c>
      <c r="AB322" s="9">
        <f t="shared" si="860"/>
        <v>0</v>
      </c>
      <c r="AC322" s="117">
        <f t="shared" si="860"/>
        <v>0</v>
      </c>
      <c r="AD322" s="117">
        <f t="shared" si="860"/>
        <v>0</v>
      </c>
      <c r="AE322" s="117">
        <f t="shared" si="860"/>
        <v>0</v>
      </c>
      <c r="AF322" s="117">
        <f t="shared" si="860"/>
        <v>0</v>
      </c>
      <c r="AG322" s="117">
        <f t="shared" si="860"/>
        <v>0</v>
      </c>
      <c r="AH322" s="117">
        <f t="shared" si="860"/>
        <v>0</v>
      </c>
      <c r="AI322" s="117">
        <f t="shared" ref="AI322:BN322" si="861">AI110/AI$211</f>
        <v>0</v>
      </c>
      <c r="AJ322" s="117">
        <f t="shared" si="861"/>
        <v>0</v>
      </c>
      <c r="AK322" s="117">
        <f t="shared" si="861"/>
        <v>0</v>
      </c>
      <c r="AL322" s="117">
        <f t="shared" si="861"/>
        <v>0</v>
      </c>
      <c r="AM322" s="117">
        <f t="shared" si="861"/>
        <v>0</v>
      </c>
      <c r="AN322" s="117">
        <f t="shared" si="861"/>
        <v>0</v>
      </c>
      <c r="AO322" s="9">
        <f t="shared" si="861"/>
        <v>0</v>
      </c>
      <c r="AP322" s="144">
        <f t="shared" si="861"/>
        <v>0</v>
      </c>
      <c r="AQ322" s="144">
        <f t="shared" si="861"/>
        <v>0</v>
      </c>
      <c r="AR322" s="144">
        <f t="shared" si="861"/>
        <v>0</v>
      </c>
      <c r="AS322" s="144">
        <f t="shared" si="861"/>
        <v>0</v>
      </c>
      <c r="AT322" s="144">
        <f t="shared" si="861"/>
        <v>0</v>
      </c>
      <c r="AU322" s="144">
        <f t="shared" si="861"/>
        <v>0</v>
      </c>
      <c r="AV322" s="144">
        <f t="shared" si="861"/>
        <v>0</v>
      </c>
      <c r="AW322" s="144">
        <f t="shared" si="861"/>
        <v>0</v>
      </c>
      <c r="AX322" s="144">
        <f t="shared" si="861"/>
        <v>0</v>
      </c>
      <c r="AY322" s="144">
        <f t="shared" si="861"/>
        <v>0</v>
      </c>
      <c r="AZ322" s="144">
        <f t="shared" si="861"/>
        <v>0</v>
      </c>
      <c r="BA322" s="144">
        <f t="shared" si="861"/>
        <v>0</v>
      </c>
      <c r="BB322" s="9">
        <f t="shared" si="861"/>
        <v>0</v>
      </c>
      <c r="BC322" s="144">
        <f t="shared" si="861"/>
        <v>0</v>
      </c>
      <c r="BD322" s="144">
        <f t="shared" si="861"/>
        <v>0</v>
      </c>
      <c r="BE322" s="144">
        <f t="shared" si="861"/>
        <v>0</v>
      </c>
      <c r="BF322" s="144">
        <f t="shared" si="861"/>
        <v>0</v>
      </c>
      <c r="BG322" s="144">
        <f t="shared" si="861"/>
        <v>0</v>
      </c>
      <c r="BH322" s="144">
        <f t="shared" si="861"/>
        <v>0</v>
      </c>
      <c r="BI322" s="144">
        <f t="shared" si="861"/>
        <v>0</v>
      </c>
      <c r="BJ322" s="144">
        <f t="shared" si="861"/>
        <v>0</v>
      </c>
      <c r="BK322" s="144">
        <f t="shared" si="861"/>
        <v>0</v>
      </c>
      <c r="BL322" s="144">
        <f t="shared" si="861"/>
        <v>0</v>
      </c>
      <c r="BM322" s="144">
        <f t="shared" si="861"/>
        <v>0</v>
      </c>
      <c r="BN322" s="144">
        <f t="shared" si="861"/>
        <v>0</v>
      </c>
      <c r="BO322" s="9">
        <f t="shared" ref="BO322:CT322" si="862">BO110/BO$211</f>
        <v>0</v>
      </c>
      <c r="BP322" s="144">
        <f t="shared" si="862"/>
        <v>0</v>
      </c>
      <c r="BQ322" s="144">
        <f t="shared" si="862"/>
        <v>0</v>
      </c>
      <c r="BR322" s="144">
        <f t="shared" si="862"/>
        <v>0</v>
      </c>
      <c r="BS322" s="144">
        <f t="shared" si="862"/>
        <v>0</v>
      </c>
      <c r="BT322" s="144">
        <f t="shared" si="862"/>
        <v>0</v>
      </c>
      <c r="BU322" s="144">
        <f t="shared" si="862"/>
        <v>0</v>
      </c>
      <c r="BV322" s="144">
        <f t="shared" si="862"/>
        <v>0</v>
      </c>
      <c r="BW322" s="144">
        <f t="shared" si="862"/>
        <v>0</v>
      </c>
      <c r="BX322" s="144">
        <f t="shared" si="862"/>
        <v>0</v>
      </c>
      <c r="BY322" s="144">
        <f t="shared" si="862"/>
        <v>0</v>
      </c>
      <c r="BZ322" s="144">
        <f t="shared" si="862"/>
        <v>0</v>
      </c>
      <c r="CA322" s="144">
        <f t="shared" si="862"/>
        <v>0</v>
      </c>
      <c r="CB322" s="9">
        <f t="shared" si="862"/>
        <v>0</v>
      </c>
      <c r="CC322" s="144">
        <f t="shared" si="862"/>
        <v>0</v>
      </c>
      <c r="CD322" s="144">
        <f t="shared" si="862"/>
        <v>0</v>
      </c>
      <c r="CE322" s="144">
        <f t="shared" si="862"/>
        <v>0</v>
      </c>
      <c r="CF322" s="144">
        <f t="shared" si="862"/>
        <v>0</v>
      </c>
      <c r="CG322" s="144">
        <f t="shared" si="862"/>
        <v>0</v>
      </c>
      <c r="CH322" s="144">
        <f t="shared" si="862"/>
        <v>0</v>
      </c>
      <c r="CI322" s="144">
        <f t="shared" si="862"/>
        <v>0</v>
      </c>
      <c r="CJ322" s="144">
        <f t="shared" si="862"/>
        <v>0</v>
      </c>
      <c r="CK322" s="144">
        <f t="shared" si="862"/>
        <v>0</v>
      </c>
      <c r="CL322" s="144">
        <f t="shared" si="862"/>
        <v>0</v>
      </c>
      <c r="CM322" s="144">
        <f t="shared" si="862"/>
        <v>0</v>
      </c>
      <c r="CN322" s="144">
        <f t="shared" si="862"/>
        <v>0</v>
      </c>
      <c r="CO322" s="9">
        <f t="shared" si="862"/>
        <v>0</v>
      </c>
      <c r="CP322" s="144">
        <f t="shared" si="862"/>
        <v>0</v>
      </c>
      <c r="CQ322" s="144">
        <f t="shared" si="862"/>
        <v>0</v>
      </c>
      <c r="CR322" s="144">
        <f t="shared" si="862"/>
        <v>0</v>
      </c>
      <c r="CS322" s="144">
        <f t="shared" si="862"/>
        <v>0</v>
      </c>
      <c r="CT322" s="144">
        <f t="shared" si="862"/>
        <v>0</v>
      </c>
      <c r="CU322" s="144">
        <f t="shared" ref="CU322:EB322" si="863">CU110/CU$211</f>
        <v>0</v>
      </c>
      <c r="CV322" s="144">
        <f t="shared" si="863"/>
        <v>0</v>
      </c>
      <c r="CW322" s="144">
        <f t="shared" si="863"/>
        <v>0</v>
      </c>
      <c r="CX322" s="144">
        <f t="shared" si="863"/>
        <v>0</v>
      </c>
      <c r="CY322" s="144">
        <f t="shared" si="863"/>
        <v>0</v>
      </c>
      <c r="CZ322" s="144">
        <f t="shared" si="863"/>
        <v>0</v>
      </c>
      <c r="DA322" s="144">
        <f t="shared" si="863"/>
        <v>0</v>
      </c>
      <c r="DB322" s="9">
        <f t="shared" si="863"/>
        <v>0</v>
      </c>
      <c r="DC322" s="144">
        <f t="shared" si="863"/>
        <v>0</v>
      </c>
      <c r="DD322" s="144">
        <f t="shared" si="863"/>
        <v>0</v>
      </c>
      <c r="DE322" s="144">
        <f t="shared" si="863"/>
        <v>0</v>
      </c>
      <c r="DF322" s="144">
        <f t="shared" si="863"/>
        <v>0</v>
      </c>
      <c r="DG322" s="144">
        <f t="shared" si="863"/>
        <v>0</v>
      </c>
      <c r="DH322" s="144">
        <f t="shared" si="863"/>
        <v>0</v>
      </c>
      <c r="DI322" s="144">
        <f t="shared" si="863"/>
        <v>0</v>
      </c>
      <c r="DJ322" s="144">
        <f t="shared" si="863"/>
        <v>0</v>
      </c>
      <c r="DK322" s="144">
        <f t="shared" si="863"/>
        <v>0</v>
      </c>
      <c r="DL322" s="144">
        <f t="shared" si="863"/>
        <v>0</v>
      </c>
      <c r="DM322" s="144">
        <f t="shared" si="863"/>
        <v>0</v>
      </c>
      <c r="DN322" s="144">
        <f t="shared" si="863"/>
        <v>0</v>
      </c>
      <c r="DO322" s="9">
        <f t="shared" si="863"/>
        <v>0</v>
      </c>
      <c r="DP322" s="144">
        <f t="shared" si="863"/>
        <v>0</v>
      </c>
      <c r="DQ322" s="144">
        <f t="shared" si="863"/>
        <v>0</v>
      </c>
      <c r="DR322" s="144">
        <f t="shared" si="863"/>
        <v>0</v>
      </c>
      <c r="DS322" s="144">
        <f t="shared" si="863"/>
        <v>0</v>
      </c>
      <c r="DT322" s="144">
        <f t="shared" si="863"/>
        <v>0</v>
      </c>
      <c r="DU322" s="144">
        <f t="shared" si="863"/>
        <v>0</v>
      </c>
      <c r="DV322" s="144">
        <f t="shared" si="863"/>
        <v>0</v>
      </c>
      <c r="DW322" s="144">
        <f t="shared" si="863"/>
        <v>0</v>
      </c>
      <c r="DX322" s="144">
        <f t="shared" si="863"/>
        <v>0</v>
      </c>
      <c r="DY322" s="144">
        <f t="shared" si="863"/>
        <v>0</v>
      </c>
      <c r="DZ322" s="144">
        <f t="shared" si="863"/>
        <v>0</v>
      </c>
      <c r="EA322" s="144">
        <f t="shared" si="863"/>
        <v>0</v>
      </c>
      <c r="EB322" s="117">
        <f t="shared" si="863"/>
        <v>0</v>
      </c>
      <c r="EC322" s="118"/>
      <c r="ED322" s="117">
        <f t="shared" ref="ED322:FB322" si="864">ED110/ED$211</f>
        <v>0</v>
      </c>
      <c r="EE322" s="117">
        <f t="shared" si="864"/>
        <v>0</v>
      </c>
      <c r="EF322" s="117">
        <f t="shared" si="864"/>
        <v>0</v>
      </c>
      <c r="EG322" s="117" t="e">
        <f t="shared" si="864"/>
        <v>#DIV/0!</v>
      </c>
      <c r="EH322" s="117" t="e">
        <f t="shared" si="864"/>
        <v>#DIV/0!</v>
      </c>
      <c r="EI322" s="117" t="e">
        <f t="shared" si="864"/>
        <v>#DIV/0!</v>
      </c>
      <c r="EJ322" s="117" t="e">
        <f t="shared" si="864"/>
        <v>#DIV/0!</v>
      </c>
      <c r="EK322" s="117" t="e">
        <f t="shared" si="864"/>
        <v>#DIV/0!</v>
      </c>
      <c r="EL322" s="117" t="e">
        <f t="shared" si="864"/>
        <v>#DIV/0!</v>
      </c>
      <c r="EM322" s="117" t="e">
        <f t="shared" si="864"/>
        <v>#DIV/0!</v>
      </c>
      <c r="EN322" s="117" t="e">
        <f t="shared" si="864"/>
        <v>#DIV/0!</v>
      </c>
      <c r="EO322" s="116">
        <f t="shared" si="864"/>
        <v>0</v>
      </c>
      <c r="EP322" s="117">
        <f t="shared" si="864"/>
        <v>0</v>
      </c>
      <c r="EQ322" s="117">
        <f t="shared" si="864"/>
        <v>0</v>
      </c>
      <c r="ER322" s="117">
        <f t="shared" si="864"/>
        <v>0</v>
      </c>
      <c r="ES322" s="117">
        <f t="shared" si="864"/>
        <v>0</v>
      </c>
      <c r="ET322" s="117">
        <f t="shared" si="864"/>
        <v>0</v>
      </c>
      <c r="EU322" s="117">
        <f t="shared" si="864"/>
        <v>0</v>
      </c>
      <c r="EV322" s="117">
        <f t="shared" si="864"/>
        <v>0</v>
      </c>
      <c r="EW322" s="117">
        <f t="shared" si="864"/>
        <v>0</v>
      </c>
      <c r="EX322" s="117">
        <f t="shared" si="864"/>
        <v>0</v>
      </c>
      <c r="EY322" s="117">
        <f t="shared" si="864"/>
        <v>0</v>
      </c>
      <c r="EZ322" s="117">
        <f t="shared" si="864"/>
        <v>0</v>
      </c>
      <c r="FA322" s="117">
        <f t="shared" si="864"/>
        <v>0</v>
      </c>
      <c r="FB322" s="117">
        <f t="shared" si="864"/>
        <v>0</v>
      </c>
      <c r="FC322" s="118"/>
      <c r="FD322" s="117"/>
      <c r="FE322" s="117"/>
      <c r="FF322" s="117"/>
      <c r="FG322" s="117"/>
      <c r="FH322" s="117"/>
      <c r="FI322" s="117"/>
      <c r="FJ322" s="117"/>
      <c r="FK322" s="117" t="e">
        <f t="shared" si="601"/>
        <v>#DIV/0!</v>
      </c>
      <c r="FL322" s="117" t="e">
        <f t="shared" si="602"/>
        <v>#DIV/0!</v>
      </c>
      <c r="FM322" s="117" t="e">
        <f t="shared" si="603"/>
        <v>#DIV/0!</v>
      </c>
      <c r="FN322" s="117" t="e">
        <f t="shared" si="604"/>
        <v>#DIV/0!</v>
      </c>
      <c r="FO322" s="9" t="e">
        <f t="shared" si="605"/>
        <v>#DIV/0!</v>
      </c>
      <c r="FP322" s="118">
        <f t="shared" ref="FP322:GB322" si="865">FP110/FP$211</f>
        <v>0</v>
      </c>
      <c r="FQ322" s="117">
        <f t="shared" si="865"/>
        <v>0</v>
      </c>
      <c r="FR322" s="117">
        <f t="shared" si="865"/>
        <v>0</v>
      </c>
      <c r="FS322" s="117">
        <f t="shared" si="865"/>
        <v>0</v>
      </c>
      <c r="FT322" s="117">
        <f t="shared" si="865"/>
        <v>0</v>
      </c>
      <c r="FU322" s="117">
        <f t="shared" si="865"/>
        <v>0</v>
      </c>
      <c r="FV322" s="117">
        <f t="shared" si="865"/>
        <v>0</v>
      </c>
      <c r="FW322" s="117">
        <f t="shared" si="865"/>
        <v>0</v>
      </c>
      <c r="FX322" s="117">
        <f t="shared" si="865"/>
        <v>0</v>
      </c>
      <c r="FY322" s="117">
        <f t="shared" si="865"/>
        <v>0</v>
      </c>
      <c r="FZ322" s="117">
        <f t="shared" si="865"/>
        <v>0</v>
      </c>
      <c r="GA322" s="117">
        <f t="shared" si="865"/>
        <v>0</v>
      </c>
      <c r="GB322" s="116">
        <f t="shared" si="865"/>
        <v>0</v>
      </c>
    </row>
    <row r="323" spans="1:184">
      <c r="A323" s="147" t="s">
        <v>247</v>
      </c>
      <c r="B323" s="160">
        <f t="shared" si="607"/>
        <v>-0.973770740165031</v>
      </c>
      <c r="C323" s="117">
        <f t="shared" ref="C323:AH323" si="866">C111/C$211</f>
        <v>1.47519953891737e-7</v>
      </c>
      <c r="D323" s="117">
        <f t="shared" si="866"/>
        <v>0</v>
      </c>
      <c r="E323" s="117">
        <f t="shared" si="866"/>
        <v>0</v>
      </c>
      <c r="F323" s="117">
        <f t="shared" si="866"/>
        <v>0</v>
      </c>
      <c r="G323" s="117">
        <f t="shared" si="866"/>
        <v>2.57984490159446e-7</v>
      </c>
      <c r="H323" s="117">
        <f t="shared" si="866"/>
        <v>0</v>
      </c>
      <c r="I323" s="117">
        <f t="shared" si="866"/>
        <v>0</v>
      </c>
      <c r="J323" s="117">
        <f t="shared" si="866"/>
        <v>0</v>
      </c>
      <c r="K323" s="117">
        <f t="shared" si="866"/>
        <v>0</v>
      </c>
      <c r="L323" s="117">
        <f t="shared" si="866"/>
        <v>0</v>
      </c>
      <c r="M323" s="117">
        <f t="shared" si="866"/>
        <v>0</v>
      </c>
      <c r="N323" s="117">
        <f t="shared" si="866"/>
        <v>0</v>
      </c>
      <c r="O323" s="9">
        <f t="shared" si="866"/>
        <v>3.40591619605518e-8</v>
      </c>
      <c r="P323" s="117">
        <f t="shared" si="866"/>
        <v>0</v>
      </c>
      <c r="Q323" s="117">
        <f t="shared" si="866"/>
        <v>0</v>
      </c>
      <c r="R323" s="117">
        <f t="shared" si="866"/>
        <v>0</v>
      </c>
      <c r="S323" s="117">
        <f t="shared" si="866"/>
        <v>0</v>
      </c>
      <c r="T323" s="117">
        <f t="shared" si="866"/>
        <v>0</v>
      </c>
      <c r="U323" s="117">
        <f t="shared" si="866"/>
        <v>0</v>
      </c>
      <c r="V323" s="117">
        <f t="shared" si="866"/>
        <v>0</v>
      </c>
      <c r="W323" s="117">
        <f t="shared" si="866"/>
        <v>0</v>
      </c>
      <c r="X323" s="117">
        <f t="shared" si="866"/>
        <v>0</v>
      </c>
      <c r="Y323" s="117">
        <f t="shared" si="866"/>
        <v>0</v>
      </c>
      <c r="Z323" s="117">
        <f t="shared" si="866"/>
        <v>0</v>
      </c>
      <c r="AA323" s="117">
        <f t="shared" si="866"/>
        <v>0</v>
      </c>
      <c r="AB323" s="9">
        <f t="shared" si="866"/>
        <v>0</v>
      </c>
      <c r="AC323" s="117">
        <f t="shared" si="866"/>
        <v>0</v>
      </c>
      <c r="AD323" s="117">
        <f t="shared" si="866"/>
        <v>0</v>
      </c>
      <c r="AE323" s="117">
        <f t="shared" si="866"/>
        <v>0</v>
      </c>
      <c r="AF323" s="117">
        <f t="shared" si="866"/>
        <v>0</v>
      </c>
      <c r="AG323" s="117">
        <f t="shared" si="866"/>
        <v>0</v>
      </c>
      <c r="AH323" s="117">
        <f t="shared" si="866"/>
        <v>0</v>
      </c>
      <c r="AI323" s="117">
        <f t="shared" ref="AI323:BN323" si="867">AI111/AI$211</f>
        <v>0</v>
      </c>
      <c r="AJ323" s="117">
        <f t="shared" si="867"/>
        <v>0</v>
      </c>
      <c r="AK323" s="117">
        <f t="shared" si="867"/>
        <v>0</v>
      </c>
      <c r="AL323" s="117">
        <f t="shared" si="867"/>
        <v>0</v>
      </c>
      <c r="AM323" s="117">
        <f t="shared" si="867"/>
        <v>0</v>
      </c>
      <c r="AN323" s="117">
        <f t="shared" si="867"/>
        <v>0</v>
      </c>
      <c r="AO323" s="9">
        <f t="shared" si="867"/>
        <v>0</v>
      </c>
      <c r="AP323" s="144">
        <f t="shared" si="867"/>
        <v>0</v>
      </c>
      <c r="AQ323" s="144">
        <f t="shared" si="867"/>
        <v>0</v>
      </c>
      <c r="AR323" s="144">
        <f t="shared" si="867"/>
        <v>0</v>
      </c>
      <c r="AS323" s="144">
        <f t="shared" si="867"/>
        <v>0</v>
      </c>
      <c r="AT323" s="144">
        <f t="shared" si="867"/>
        <v>0</v>
      </c>
      <c r="AU323" s="144">
        <f t="shared" si="867"/>
        <v>0</v>
      </c>
      <c r="AV323" s="144">
        <f t="shared" si="867"/>
        <v>0</v>
      </c>
      <c r="AW323" s="144">
        <f t="shared" si="867"/>
        <v>0</v>
      </c>
      <c r="AX323" s="144">
        <f t="shared" si="867"/>
        <v>0</v>
      </c>
      <c r="AY323" s="144">
        <f t="shared" si="867"/>
        <v>0</v>
      </c>
      <c r="AZ323" s="144">
        <f t="shared" si="867"/>
        <v>0</v>
      </c>
      <c r="BA323" s="144">
        <f t="shared" si="867"/>
        <v>0</v>
      </c>
      <c r="BB323" s="9">
        <f t="shared" si="867"/>
        <v>0</v>
      </c>
      <c r="BC323" s="144">
        <f t="shared" si="867"/>
        <v>0</v>
      </c>
      <c r="BD323" s="144">
        <f t="shared" si="867"/>
        <v>0</v>
      </c>
      <c r="BE323" s="144">
        <f t="shared" si="867"/>
        <v>0</v>
      </c>
      <c r="BF323" s="144">
        <f t="shared" si="867"/>
        <v>0</v>
      </c>
      <c r="BG323" s="144">
        <f t="shared" si="867"/>
        <v>0</v>
      </c>
      <c r="BH323" s="144">
        <f t="shared" si="867"/>
        <v>0</v>
      </c>
      <c r="BI323" s="144">
        <f t="shared" si="867"/>
        <v>0</v>
      </c>
      <c r="BJ323" s="144">
        <f t="shared" si="867"/>
        <v>0</v>
      </c>
      <c r="BK323" s="144">
        <f t="shared" si="867"/>
        <v>0</v>
      </c>
      <c r="BL323" s="144">
        <f t="shared" si="867"/>
        <v>0</v>
      </c>
      <c r="BM323" s="144">
        <f t="shared" si="867"/>
        <v>0</v>
      </c>
      <c r="BN323" s="144">
        <f t="shared" si="867"/>
        <v>0</v>
      </c>
      <c r="BO323" s="9">
        <f t="shared" ref="BO323:CT323" si="868">BO111/BO$211</f>
        <v>0</v>
      </c>
      <c r="BP323" s="144">
        <f t="shared" si="868"/>
        <v>0</v>
      </c>
      <c r="BQ323" s="144">
        <f t="shared" si="868"/>
        <v>0</v>
      </c>
      <c r="BR323" s="144">
        <f t="shared" si="868"/>
        <v>0</v>
      </c>
      <c r="BS323" s="144">
        <f t="shared" si="868"/>
        <v>0</v>
      </c>
      <c r="BT323" s="144">
        <f t="shared" si="868"/>
        <v>0</v>
      </c>
      <c r="BU323" s="144">
        <f t="shared" si="868"/>
        <v>0</v>
      </c>
      <c r="BV323" s="144">
        <f t="shared" si="868"/>
        <v>0</v>
      </c>
      <c r="BW323" s="144">
        <f t="shared" si="868"/>
        <v>0</v>
      </c>
      <c r="BX323" s="144">
        <f t="shared" si="868"/>
        <v>0</v>
      </c>
      <c r="BY323" s="144">
        <f t="shared" si="868"/>
        <v>0</v>
      </c>
      <c r="BZ323" s="144">
        <f t="shared" si="868"/>
        <v>0</v>
      </c>
      <c r="CA323" s="144">
        <f t="shared" si="868"/>
        <v>0</v>
      </c>
      <c r="CB323" s="9">
        <f t="shared" si="868"/>
        <v>0</v>
      </c>
      <c r="CC323" s="144">
        <f t="shared" si="868"/>
        <v>0</v>
      </c>
      <c r="CD323" s="144">
        <f t="shared" si="868"/>
        <v>0</v>
      </c>
      <c r="CE323" s="144">
        <f t="shared" si="868"/>
        <v>0</v>
      </c>
      <c r="CF323" s="144">
        <f t="shared" si="868"/>
        <v>0</v>
      </c>
      <c r="CG323" s="144">
        <f t="shared" si="868"/>
        <v>0</v>
      </c>
      <c r="CH323" s="144">
        <f t="shared" si="868"/>
        <v>0</v>
      </c>
      <c r="CI323" s="144">
        <f t="shared" si="868"/>
        <v>0</v>
      </c>
      <c r="CJ323" s="144">
        <f t="shared" si="868"/>
        <v>0</v>
      </c>
      <c r="CK323" s="144">
        <f t="shared" si="868"/>
        <v>0</v>
      </c>
      <c r="CL323" s="144">
        <f t="shared" si="868"/>
        <v>0</v>
      </c>
      <c r="CM323" s="144">
        <f t="shared" si="868"/>
        <v>0</v>
      </c>
      <c r="CN323" s="144">
        <f t="shared" si="868"/>
        <v>0</v>
      </c>
      <c r="CO323" s="9">
        <f t="shared" si="868"/>
        <v>0</v>
      </c>
      <c r="CP323" s="144">
        <f t="shared" si="868"/>
        <v>0</v>
      </c>
      <c r="CQ323" s="144">
        <f t="shared" si="868"/>
        <v>0</v>
      </c>
      <c r="CR323" s="144">
        <f t="shared" si="868"/>
        <v>0</v>
      </c>
      <c r="CS323" s="144">
        <f t="shared" si="868"/>
        <v>0</v>
      </c>
      <c r="CT323" s="144">
        <f t="shared" si="868"/>
        <v>0</v>
      </c>
      <c r="CU323" s="144">
        <f t="shared" ref="CU323:EB323" si="869">CU111/CU$211</f>
        <v>0</v>
      </c>
      <c r="CV323" s="144">
        <f t="shared" si="869"/>
        <v>0</v>
      </c>
      <c r="CW323" s="144">
        <f t="shared" si="869"/>
        <v>0</v>
      </c>
      <c r="CX323" s="144">
        <f t="shared" si="869"/>
        <v>0</v>
      </c>
      <c r="CY323" s="144">
        <f t="shared" si="869"/>
        <v>0</v>
      </c>
      <c r="CZ323" s="144">
        <f t="shared" si="869"/>
        <v>0</v>
      </c>
      <c r="DA323" s="144">
        <f t="shared" si="869"/>
        <v>0</v>
      </c>
      <c r="DB323" s="9">
        <f t="shared" si="869"/>
        <v>0</v>
      </c>
      <c r="DC323" s="144">
        <f t="shared" si="869"/>
        <v>1.53355253175173e-5</v>
      </c>
      <c r="DD323" s="144">
        <f t="shared" si="869"/>
        <v>0</v>
      </c>
      <c r="DE323" s="144">
        <f t="shared" si="869"/>
        <v>0</v>
      </c>
      <c r="DF323" s="144">
        <f t="shared" si="869"/>
        <v>0</v>
      </c>
      <c r="DG323" s="144">
        <f t="shared" si="869"/>
        <v>2.3182829691732e-5</v>
      </c>
      <c r="DH323" s="144">
        <f t="shared" si="869"/>
        <v>0</v>
      </c>
      <c r="DI323" s="144">
        <f t="shared" si="869"/>
        <v>0</v>
      </c>
      <c r="DJ323" s="144">
        <f t="shared" si="869"/>
        <v>0</v>
      </c>
      <c r="DK323" s="144">
        <f t="shared" si="869"/>
        <v>0</v>
      </c>
      <c r="DL323" s="144">
        <f t="shared" si="869"/>
        <v>0</v>
      </c>
      <c r="DM323" s="144">
        <f t="shared" si="869"/>
        <v>0</v>
      </c>
      <c r="DN323" s="144">
        <f t="shared" si="869"/>
        <v>0</v>
      </c>
      <c r="DO323" s="9">
        <f t="shared" si="869"/>
        <v>3.68341758268247e-6</v>
      </c>
      <c r="DP323" s="144">
        <f t="shared" si="869"/>
        <v>0</v>
      </c>
      <c r="DQ323" s="144">
        <f t="shared" si="869"/>
        <v>0</v>
      </c>
      <c r="DR323" s="144">
        <f t="shared" si="869"/>
        <v>0</v>
      </c>
      <c r="DS323" s="144">
        <f t="shared" si="869"/>
        <v>0</v>
      </c>
      <c r="DT323" s="144">
        <f t="shared" si="869"/>
        <v>0</v>
      </c>
      <c r="DU323" s="144">
        <f t="shared" si="869"/>
        <v>0</v>
      </c>
      <c r="DV323" s="144">
        <f t="shared" si="869"/>
        <v>0</v>
      </c>
      <c r="DW323" s="144">
        <f t="shared" si="869"/>
        <v>0</v>
      </c>
      <c r="DX323" s="144">
        <f t="shared" si="869"/>
        <v>0</v>
      </c>
      <c r="DY323" s="144">
        <f t="shared" si="869"/>
        <v>0</v>
      </c>
      <c r="DZ323" s="144">
        <f t="shared" si="869"/>
        <v>0</v>
      </c>
      <c r="EA323" s="144">
        <f t="shared" si="869"/>
        <v>0</v>
      </c>
      <c r="EB323" s="117">
        <f t="shared" si="869"/>
        <v>0</v>
      </c>
      <c r="EC323" s="118"/>
      <c r="ED323" s="117">
        <f t="shared" ref="ED323:FB323" si="870">ED111/ED$211</f>
        <v>0</v>
      </c>
      <c r="EE323" s="117">
        <f t="shared" si="870"/>
        <v>0</v>
      </c>
      <c r="EF323" s="117">
        <f t="shared" si="870"/>
        <v>0</v>
      </c>
      <c r="EG323" s="117" t="e">
        <f t="shared" si="870"/>
        <v>#DIV/0!</v>
      </c>
      <c r="EH323" s="117" t="e">
        <f t="shared" si="870"/>
        <v>#DIV/0!</v>
      </c>
      <c r="EI323" s="117" t="e">
        <f t="shared" si="870"/>
        <v>#DIV/0!</v>
      </c>
      <c r="EJ323" s="117" t="e">
        <f t="shared" si="870"/>
        <v>#DIV/0!</v>
      </c>
      <c r="EK323" s="117" t="e">
        <f t="shared" si="870"/>
        <v>#DIV/0!</v>
      </c>
      <c r="EL323" s="117" t="e">
        <f t="shared" si="870"/>
        <v>#DIV/0!</v>
      </c>
      <c r="EM323" s="117" t="e">
        <f t="shared" si="870"/>
        <v>#DIV/0!</v>
      </c>
      <c r="EN323" s="117" t="e">
        <f t="shared" si="870"/>
        <v>#DIV/0!</v>
      </c>
      <c r="EO323" s="116">
        <f t="shared" si="870"/>
        <v>0</v>
      </c>
      <c r="EP323" s="117">
        <f t="shared" si="870"/>
        <v>0</v>
      </c>
      <c r="EQ323" s="117">
        <f t="shared" si="870"/>
        <v>0</v>
      </c>
      <c r="ER323" s="117">
        <f t="shared" si="870"/>
        <v>0</v>
      </c>
      <c r="ES323" s="117">
        <f t="shared" si="870"/>
        <v>0</v>
      </c>
      <c r="ET323" s="117">
        <f t="shared" si="870"/>
        <v>0</v>
      </c>
      <c r="EU323" s="117">
        <f t="shared" si="870"/>
        <v>0</v>
      </c>
      <c r="EV323" s="117">
        <f t="shared" si="870"/>
        <v>0</v>
      </c>
      <c r="EW323" s="117">
        <f t="shared" si="870"/>
        <v>0</v>
      </c>
      <c r="EX323" s="117">
        <f t="shared" si="870"/>
        <v>0</v>
      </c>
      <c r="EY323" s="117">
        <f t="shared" si="870"/>
        <v>0</v>
      </c>
      <c r="EZ323" s="117">
        <f t="shared" si="870"/>
        <v>0</v>
      </c>
      <c r="FA323" s="117">
        <f t="shared" si="870"/>
        <v>0</v>
      </c>
      <c r="FB323" s="117">
        <f t="shared" si="870"/>
        <v>0</v>
      </c>
      <c r="FC323" s="118"/>
      <c r="FD323" s="117"/>
      <c r="FE323" s="117"/>
      <c r="FF323" s="117"/>
      <c r="FG323" s="117"/>
      <c r="FH323" s="117"/>
      <c r="FI323" s="117"/>
      <c r="FJ323" s="117"/>
      <c r="FK323" s="117" t="e">
        <f t="shared" si="601"/>
        <v>#DIV/0!</v>
      </c>
      <c r="FL323" s="117" t="e">
        <f t="shared" si="602"/>
        <v>#DIV/0!</v>
      </c>
      <c r="FM323" s="117" t="e">
        <f t="shared" si="603"/>
        <v>#DIV/0!</v>
      </c>
      <c r="FN323" s="117" t="e">
        <f t="shared" si="604"/>
        <v>#DIV/0!</v>
      </c>
      <c r="FO323" s="9" t="e">
        <f t="shared" si="605"/>
        <v>#DIV/0!</v>
      </c>
      <c r="FP323" s="118">
        <f t="shared" ref="FP323:GB323" si="871">FP111/FP$211</f>
        <v>0</v>
      </c>
      <c r="FQ323" s="117">
        <f t="shared" si="871"/>
        <v>0</v>
      </c>
      <c r="FR323" s="117">
        <f t="shared" si="871"/>
        <v>0</v>
      </c>
      <c r="FS323" s="117">
        <f t="shared" si="871"/>
        <v>0</v>
      </c>
      <c r="FT323" s="117">
        <f t="shared" si="871"/>
        <v>0</v>
      </c>
      <c r="FU323" s="117">
        <f t="shared" si="871"/>
        <v>0</v>
      </c>
      <c r="FV323" s="117">
        <f t="shared" si="871"/>
        <v>0</v>
      </c>
      <c r="FW323" s="117">
        <f t="shared" si="871"/>
        <v>0</v>
      </c>
      <c r="FX323" s="117">
        <f t="shared" si="871"/>
        <v>0</v>
      </c>
      <c r="FY323" s="117">
        <f t="shared" si="871"/>
        <v>0</v>
      </c>
      <c r="FZ323" s="117">
        <f t="shared" si="871"/>
        <v>0</v>
      </c>
      <c r="GA323" s="117">
        <f t="shared" si="871"/>
        <v>0</v>
      </c>
      <c r="GB323" s="116">
        <f t="shared" si="871"/>
        <v>0</v>
      </c>
    </row>
    <row r="324" spans="1:184">
      <c r="A324" s="147" t="s">
        <v>249</v>
      </c>
      <c r="B324" s="160">
        <f t="shared" si="607"/>
        <v>-1</v>
      </c>
      <c r="C324" s="117">
        <f t="shared" ref="C324:AH324" si="872">C112/C$211</f>
        <v>0</v>
      </c>
      <c r="D324" s="117">
        <f t="shared" si="872"/>
        <v>0</v>
      </c>
      <c r="E324" s="117">
        <f t="shared" si="872"/>
        <v>0</v>
      </c>
      <c r="F324" s="117">
        <f t="shared" si="872"/>
        <v>0</v>
      </c>
      <c r="G324" s="117">
        <f t="shared" si="872"/>
        <v>0</v>
      </c>
      <c r="H324" s="117">
        <f t="shared" si="872"/>
        <v>0</v>
      </c>
      <c r="I324" s="117">
        <f t="shared" si="872"/>
        <v>0</v>
      </c>
      <c r="J324" s="117">
        <f t="shared" si="872"/>
        <v>0</v>
      </c>
      <c r="K324" s="117">
        <f t="shared" si="872"/>
        <v>0</v>
      </c>
      <c r="L324" s="117">
        <f t="shared" si="872"/>
        <v>0</v>
      </c>
      <c r="M324" s="117">
        <f t="shared" si="872"/>
        <v>0</v>
      </c>
      <c r="N324" s="117">
        <f t="shared" si="872"/>
        <v>0</v>
      </c>
      <c r="O324" s="9">
        <f t="shared" si="872"/>
        <v>0</v>
      </c>
      <c r="P324" s="117">
        <f t="shared" si="872"/>
        <v>0</v>
      </c>
      <c r="Q324" s="117">
        <f t="shared" si="872"/>
        <v>0</v>
      </c>
      <c r="R324" s="117">
        <f t="shared" si="872"/>
        <v>0</v>
      </c>
      <c r="S324" s="117">
        <f t="shared" si="872"/>
        <v>0</v>
      </c>
      <c r="T324" s="117">
        <f t="shared" si="872"/>
        <v>0</v>
      </c>
      <c r="U324" s="117">
        <f t="shared" si="872"/>
        <v>0</v>
      </c>
      <c r="V324" s="117">
        <f t="shared" si="872"/>
        <v>0</v>
      </c>
      <c r="W324" s="117">
        <f t="shared" si="872"/>
        <v>0</v>
      </c>
      <c r="X324" s="117">
        <f t="shared" si="872"/>
        <v>0</v>
      </c>
      <c r="Y324" s="117">
        <f t="shared" si="872"/>
        <v>0</v>
      </c>
      <c r="Z324" s="117">
        <f t="shared" si="872"/>
        <v>0</v>
      </c>
      <c r="AA324" s="117">
        <f t="shared" si="872"/>
        <v>0</v>
      </c>
      <c r="AB324" s="9">
        <f t="shared" si="872"/>
        <v>0</v>
      </c>
      <c r="AC324" s="117">
        <f t="shared" si="872"/>
        <v>0</v>
      </c>
      <c r="AD324" s="117">
        <f t="shared" si="872"/>
        <v>0</v>
      </c>
      <c r="AE324" s="117">
        <f t="shared" si="872"/>
        <v>0</v>
      </c>
      <c r="AF324" s="117">
        <f t="shared" si="872"/>
        <v>0</v>
      </c>
      <c r="AG324" s="117">
        <f t="shared" si="872"/>
        <v>0</v>
      </c>
      <c r="AH324" s="117">
        <f t="shared" si="872"/>
        <v>0</v>
      </c>
      <c r="AI324" s="117">
        <f t="shared" ref="AI324:BN324" si="873">AI112/AI$211</f>
        <v>0</v>
      </c>
      <c r="AJ324" s="117">
        <f t="shared" si="873"/>
        <v>0</v>
      </c>
      <c r="AK324" s="117">
        <f t="shared" si="873"/>
        <v>0</v>
      </c>
      <c r="AL324" s="117">
        <f t="shared" si="873"/>
        <v>0</v>
      </c>
      <c r="AM324" s="117">
        <f t="shared" si="873"/>
        <v>0</v>
      </c>
      <c r="AN324" s="117">
        <f t="shared" si="873"/>
        <v>0</v>
      </c>
      <c r="AO324" s="9">
        <f t="shared" si="873"/>
        <v>0</v>
      </c>
      <c r="AP324" s="144">
        <f t="shared" si="873"/>
        <v>0</v>
      </c>
      <c r="AQ324" s="144">
        <f t="shared" si="873"/>
        <v>0</v>
      </c>
      <c r="AR324" s="144">
        <f t="shared" si="873"/>
        <v>0</v>
      </c>
      <c r="AS324" s="144">
        <f t="shared" si="873"/>
        <v>0</v>
      </c>
      <c r="AT324" s="144">
        <f t="shared" si="873"/>
        <v>0</v>
      </c>
      <c r="AU324" s="144">
        <f t="shared" si="873"/>
        <v>0</v>
      </c>
      <c r="AV324" s="144">
        <f t="shared" si="873"/>
        <v>0</v>
      </c>
      <c r="AW324" s="144">
        <f t="shared" si="873"/>
        <v>0</v>
      </c>
      <c r="AX324" s="144">
        <f t="shared" si="873"/>
        <v>0</v>
      </c>
      <c r="AY324" s="144">
        <f t="shared" si="873"/>
        <v>0</v>
      </c>
      <c r="AZ324" s="144">
        <f t="shared" si="873"/>
        <v>0</v>
      </c>
      <c r="BA324" s="144">
        <f t="shared" si="873"/>
        <v>0</v>
      </c>
      <c r="BB324" s="9">
        <f t="shared" si="873"/>
        <v>0</v>
      </c>
      <c r="BC324" s="144">
        <f t="shared" si="873"/>
        <v>0</v>
      </c>
      <c r="BD324" s="144">
        <f t="shared" si="873"/>
        <v>0</v>
      </c>
      <c r="BE324" s="144">
        <f t="shared" si="873"/>
        <v>0</v>
      </c>
      <c r="BF324" s="144">
        <f t="shared" si="873"/>
        <v>0</v>
      </c>
      <c r="BG324" s="144">
        <f t="shared" si="873"/>
        <v>0</v>
      </c>
      <c r="BH324" s="144">
        <f t="shared" si="873"/>
        <v>0</v>
      </c>
      <c r="BI324" s="144">
        <f t="shared" si="873"/>
        <v>0</v>
      </c>
      <c r="BJ324" s="144">
        <f t="shared" si="873"/>
        <v>0</v>
      </c>
      <c r="BK324" s="144">
        <f t="shared" si="873"/>
        <v>0</v>
      </c>
      <c r="BL324" s="144">
        <f t="shared" si="873"/>
        <v>0</v>
      </c>
      <c r="BM324" s="144">
        <f t="shared" si="873"/>
        <v>0</v>
      </c>
      <c r="BN324" s="144">
        <f t="shared" si="873"/>
        <v>0</v>
      </c>
      <c r="BO324" s="9">
        <f t="shared" ref="BO324:CT324" si="874">BO112/BO$211</f>
        <v>0</v>
      </c>
      <c r="BP324" s="144">
        <f t="shared" si="874"/>
        <v>0</v>
      </c>
      <c r="BQ324" s="144">
        <f t="shared" si="874"/>
        <v>0</v>
      </c>
      <c r="BR324" s="144">
        <f t="shared" si="874"/>
        <v>0</v>
      </c>
      <c r="BS324" s="144">
        <f t="shared" si="874"/>
        <v>0</v>
      </c>
      <c r="BT324" s="144">
        <f t="shared" si="874"/>
        <v>0</v>
      </c>
      <c r="BU324" s="144">
        <f t="shared" si="874"/>
        <v>0</v>
      </c>
      <c r="BV324" s="144">
        <f t="shared" si="874"/>
        <v>0</v>
      </c>
      <c r="BW324" s="144">
        <f t="shared" si="874"/>
        <v>0</v>
      </c>
      <c r="BX324" s="144">
        <f t="shared" si="874"/>
        <v>0</v>
      </c>
      <c r="BY324" s="144">
        <f t="shared" si="874"/>
        <v>0</v>
      </c>
      <c r="BZ324" s="144">
        <f t="shared" si="874"/>
        <v>0</v>
      </c>
      <c r="CA324" s="144">
        <f t="shared" si="874"/>
        <v>0</v>
      </c>
      <c r="CB324" s="9">
        <f t="shared" si="874"/>
        <v>0</v>
      </c>
      <c r="CC324" s="144">
        <f t="shared" si="874"/>
        <v>0</v>
      </c>
      <c r="CD324" s="144">
        <f t="shared" si="874"/>
        <v>0</v>
      </c>
      <c r="CE324" s="144">
        <f t="shared" si="874"/>
        <v>0</v>
      </c>
      <c r="CF324" s="144">
        <f t="shared" si="874"/>
        <v>0</v>
      </c>
      <c r="CG324" s="144">
        <f t="shared" si="874"/>
        <v>0</v>
      </c>
      <c r="CH324" s="144">
        <f t="shared" si="874"/>
        <v>0</v>
      </c>
      <c r="CI324" s="144">
        <f t="shared" si="874"/>
        <v>0</v>
      </c>
      <c r="CJ324" s="144">
        <f t="shared" si="874"/>
        <v>0</v>
      </c>
      <c r="CK324" s="144">
        <f t="shared" si="874"/>
        <v>0</v>
      </c>
      <c r="CL324" s="144">
        <f t="shared" si="874"/>
        <v>0</v>
      </c>
      <c r="CM324" s="144">
        <f t="shared" si="874"/>
        <v>0</v>
      </c>
      <c r="CN324" s="144">
        <f t="shared" si="874"/>
        <v>0</v>
      </c>
      <c r="CO324" s="9">
        <f t="shared" si="874"/>
        <v>0</v>
      </c>
      <c r="CP324" s="144">
        <f t="shared" si="874"/>
        <v>0</v>
      </c>
      <c r="CQ324" s="144">
        <f t="shared" si="874"/>
        <v>0</v>
      </c>
      <c r="CR324" s="144">
        <f t="shared" si="874"/>
        <v>0</v>
      </c>
      <c r="CS324" s="144">
        <f t="shared" si="874"/>
        <v>0</v>
      </c>
      <c r="CT324" s="144">
        <f t="shared" si="874"/>
        <v>0</v>
      </c>
      <c r="CU324" s="144">
        <f t="shared" ref="CU324:EB324" si="875">CU112/CU$211</f>
        <v>0</v>
      </c>
      <c r="CV324" s="144">
        <f t="shared" si="875"/>
        <v>0</v>
      </c>
      <c r="CW324" s="144">
        <f t="shared" si="875"/>
        <v>0</v>
      </c>
      <c r="CX324" s="144">
        <f t="shared" si="875"/>
        <v>0</v>
      </c>
      <c r="CY324" s="144">
        <f t="shared" si="875"/>
        <v>0</v>
      </c>
      <c r="CZ324" s="144">
        <f t="shared" si="875"/>
        <v>0</v>
      </c>
      <c r="DA324" s="144">
        <f t="shared" si="875"/>
        <v>0</v>
      </c>
      <c r="DB324" s="9">
        <f t="shared" si="875"/>
        <v>0</v>
      </c>
      <c r="DC324" s="144">
        <f t="shared" si="875"/>
        <v>0</v>
      </c>
      <c r="DD324" s="144">
        <f t="shared" si="875"/>
        <v>0</v>
      </c>
      <c r="DE324" s="144">
        <f t="shared" si="875"/>
        <v>0</v>
      </c>
      <c r="DF324" s="144">
        <f t="shared" si="875"/>
        <v>0</v>
      </c>
      <c r="DG324" s="144">
        <f t="shared" si="875"/>
        <v>0</v>
      </c>
      <c r="DH324" s="144">
        <f t="shared" si="875"/>
        <v>0</v>
      </c>
      <c r="DI324" s="144">
        <f t="shared" si="875"/>
        <v>0</v>
      </c>
      <c r="DJ324" s="144">
        <f t="shared" si="875"/>
        <v>0</v>
      </c>
      <c r="DK324" s="144">
        <f t="shared" si="875"/>
        <v>0</v>
      </c>
      <c r="DL324" s="144">
        <f t="shared" si="875"/>
        <v>0</v>
      </c>
      <c r="DM324" s="144">
        <f t="shared" si="875"/>
        <v>0</v>
      </c>
      <c r="DN324" s="144">
        <f t="shared" si="875"/>
        <v>0</v>
      </c>
      <c r="DO324" s="9">
        <f t="shared" si="875"/>
        <v>0</v>
      </c>
      <c r="DP324" s="144">
        <f t="shared" si="875"/>
        <v>0</v>
      </c>
      <c r="DQ324" s="144">
        <f t="shared" si="875"/>
        <v>0</v>
      </c>
      <c r="DR324" s="144">
        <f t="shared" si="875"/>
        <v>0</v>
      </c>
      <c r="DS324" s="144">
        <f t="shared" si="875"/>
        <v>0</v>
      </c>
      <c r="DT324" s="144">
        <f t="shared" si="875"/>
        <v>0</v>
      </c>
      <c r="DU324" s="144">
        <f t="shared" si="875"/>
        <v>0</v>
      </c>
      <c r="DV324" s="144">
        <f t="shared" si="875"/>
        <v>0</v>
      </c>
      <c r="DW324" s="144">
        <f t="shared" si="875"/>
        <v>0</v>
      </c>
      <c r="DX324" s="144">
        <f t="shared" si="875"/>
        <v>0</v>
      </c>
      <c r="DY324" s="144">
        <f t="shared" si="875"/>
        <v>0</v>
      </c>
      <c r="DZ324" s="144">
        <f t="shared" si="875"/>
        <v>0</v>
      </c>
      <c r="EA324" s="144">
        <f t="shared" si="875"/>
        <v>0</v>
      </c>
      <c r="EB324" s="117">
        <f t="shared" si="875"/>
        <v>0</v>
      </c>
      <c r="EC324" s="118"/>
      <c r="ED324" s="117">
        <f t="shared" ref="ED324:FB324" si="876">ED112/ED$211</f>
        <v>0</v>
      </c>
      <c r="EE324" s="117">
        <f t="shared" si="876"/>
        <v>0</v>
      </c>
      <c r="EF324" s="117">
        <f t="shared" si="876"/>
        <v>0</v>
      </c>
      <c r="EG324" s="117" t="e">
        <f t="shared" si="876"/>
        <v>#DIV/0!</v>
      </c>
      <c r="EH324" s="117" t="e">
        <f t="shared" si="876"/>
        <v>#DIV/0!</v>
      </c>
      <c r="EI324" s="117" t="e">
        <f t="shared" si="876"/>
        <v>#DIV/0!</v>
      </c>
      <c r="EJ324" s="117" t="e">
        <f t="shared" si="876"/>
        <v>#DIV/0!</v>
      </c>
      <c r="EK324" s="117" t="e">
        <f t="shared" si="876"/>
        <v>#DIV/0!</v>
      </c>
      <c r="EL324" s="117" t="e">
        <f t="shared" si="876"/>
        <v>#DIV/0!</v>
      </c>
      <c r="EM324" s="117" t="e">
        <f t="shared" si="876"/>
        <v>#DIV/0!</v>
      </c>
      <c r="EN324" s="117" t="e">
        <f t="shared" si="876"/>
        <v>#DIV/0!</v>
      </c>
      <c r="EO324" s="116">
        <f t="shared" si="876"/>
        <v>0</v>
      </c>
      <c r="EP324" s="117">
        <f t="shared" si="876"/>
        <v>0</v>
      </c>
      <c r="EQ324" s="117">
        <f t="shared" si="876"/>
        <v>0</v>
      </c>
      <c r="ER324" s="117">
        <f t="shared" si="876"/>
        <v>0</v>
      </c>
      <c r="ES324" s="117">
        <f t="shared" si="876"/>
        <v>0</v>
      </c>
      <c r="ET324" s="117">
        <f t="shared" si="876"/>
        <v>0</v>
      </c>
      <c r="EU324" s="117">
        <f t="shared" si="876"/>
        <v>0</v>
      </c>
      <c r="EV324" s="117">
        <f t="shared" si="876"/>
        <v>0</v>
      </c>
      <c r="EW324" s="117">
        <f t="shared" si="876"/>
        <v>0</v>
      </c>
      <c r="EX324" s="117">
        <f t="shared" si="876"/>
        <v>0</v>
      </c>
      <c r="EY324" s="117">
        <f t="shared" si="876"/>
        <v>0</v>
      </c>
      <c r="EZ324" s="117">
        <f t="shared" si="876"/>
        <v>0</v>
      </c>
      <c r="FA324" s="117">
        <f t="shared" si="876"/>
        <v>0</v>
      </c>
      <c r="FB324" s="117">
        <f t="shared" si="876"/>
        <v>0</v>
      </c>
      <c r="FC324" s="118"/>
      <c r="FD324" s="117"/>
      <c r="FE324" s="117"/>
      <c r="FF324" s="117"/>
      <c r="FG324" s="117"/>
      <c r="FH324" s="117"/>
      <c r="FI324" s="117"/>
      <c r="FJ324" s="117"/>
      <c r="FK324" s="117" t="e">
        <f t="shared" si="601"/>
        <v>#DIV/0!</v>
      </c>
      <c r="FL324" s="117" t="e">
        <f t="shared" si="602"/>
        <v>#DIV/0!</v>
      </c>
      <c r="FM324" s="117" t="e">
        <f t="shared" si="603"/>
        <v>#DIV/0!</v>
      </c>
      <c r="FN324" s="117" t="e">
        <f t="shared" si="604"/>
        <v>#DIV/0!</v>
      </c>
      <c r="FO324" s="9" t="e">
        <f t="shared" si="605"/>
        <v>#DIV/0!</v>
      </c>
      <c r="FP324" s="118">
        <f t="shared" ref="FP324:GB324" si="877">FP112/FP$211</f>
        <v>0</v>
      </c>
      <c r="FQ324" s="117">
        <f t="shared" si="877"/>
        <v>0</v>
      </c>
      <c r="FR324" s="117">
        <f t="shared" si="877"/>
        <v>0</v>
      </c>
      <c r="FS324" s="117">
        <f t="shared" si="877"/>
        <v>0</v>
      </c>
      <c r="FT324" s="117">
        <f t="shared" si="877"/>
        <v>0</v>
      </c>
      <c r="FU324" s="117">
        <f t="shared" si="877"/>
        <v>0</v>
      </c>
      <c r="FV324" s="117">
        <f t="shared" si="877"/>
        <v>0</v>
      </c>
      <c r="FW324" s="117">
        <f t="shared" si="877"/>
        <v>0</v>
      </c>
      <c r="FX324" s="117">
        <f t="shared" si="877"/>
        <v>0</v>
      </c>
      <c r="FY324" s="117">
        <f t="shared" si="877"/>
        <v>0</v>
      </c>
      <c r="FZ324" s="117">
        <f t="shared" si="877"/>
        <v>0</v>
      </c>
      <c r="GA324" s="117">
        <f t="shared" si="877"/>
        <v>0</v>
      </c>
      <c r="GB324" s="116">
        <f t="shared" si="877"/>
        <v>0</v>
      </c>
    </row>
    <row r="325" spans="1:184">
      <c r="A325" s="147" t="s">
        <v>251</v>
      </c>
      <c r="B325" s="160">
        <f t="shared" si="607"/>
        <v>-1</v>
      </c>
      <c r="C325" s="117">
        <f t="shared" ref="C325:AH325" si="878">C113/C$211</f>
        <v>0</v>
      </c>
      <c r="D325" s="117">
        <f t="shared" si="878"/>
        <v>0</v>
      </c>
      <c r="E325" s="117">
        <f t="shared" si="878"/>
        <v>0</v>
      </c>
      <c r="F325" s="117">
        <f t="shared" si="878"/>
        <v>0</v>
      </c>
      <c r="G325" s="117">
        <f t="shared" si="878"/>
        <v>0</v>
      </c>
      <c r="H325" s="117">
        <f t="shared" si="878"/>
        <v>0</v>
      </c>
      <c r="I325" s="117">
        <f t="shared" si="878"/>
        <v>0</v>
      </c>
      <c r="J325" s="117">
        <f t="shared" si="878"/>
        <v>0</v>
      </c>
      <c r="K325" s="117">
        <f t="shared" si="878"/>
        <v>0</v>
      </c>
      <c r="L325" s="117">
        <f t="shared" si="878"/>
        <v>0</v>
      </c>
      <c r="M325" s="117">
        <f t="shared" si="878"/>
        <v>0</v>
      </c>
      <c r="N325" s="117">
        <f t="shared" si="878"/>
        <v>0</v>
      </c>
      <c r="O325" s="9">
        <f t="shared" si="878"/>
        <v>0</v>
      </c>
      <c r="P325" s="117">
        <f t="shared" si="878"/>
        <v>0</v>
      </c>
      <c r="Q325" s="117">
        <f t="shared" si="878"/>
        <v>0</v>
      </c>
      <c r="R325" s="117">
        <f t="shared" si="878"/>
        <v>0</v>
      </c>
      <c r="S325" s="117">
        <f t="shared" si="878"/>
        <v>0</v>
      </c>
      <c r="T325" s="117">
        <f t="shared" si="878"/>
        <v>0</v>
      </c>
      <c r="U325" s="117">
        <f t="shared" si="878"/>
        <v>0</v>
      </c>
      <c r="V325" s="117">
        <f t="shared" si="878"/>
        <v>0</v>
      </c>
      <c r="W325" s="117">
        <f t="shared" si="878"/>
        <v>0</v>
      </c>
      <c r="X325" s="117">
        <f t="shared" si="878"/>
        <v>0</v>
      </c>
      <c r="Y325" s="117">
        <f t="shared" si="878"/>
        <v>0</v>
      </c>
      <c r="Z325" s="117">
        <f t="shared" si="878"/>
        <v>0</v>
      </c>
      <c r="AA325" s="117">
        <f t="shared" si="878"/>
        <v>0</v>
      </c>
      <c r="AB325" s="9">
        <f t="shared" si="878"/>
        <v>0</v>
      </c>
      <c r="AC325" s="117">
        <f t="shared" si="878"/>
        <v>0</v>
      </c>
      <c r="AD325" s="117">
        <f t="shared" si="878"/>
        <v>0</v>
      </c>
      <c r="AE325" s="117">
        <f t="shared" si="878"/>
        <v>0</v>
      </c>
      <c r="AF325" s="117">
        <f t="shared" si="878"/>
        <v>0</v>
      </c>
      <c r="AG325" s="117">
        <f t="shared" si="878"/>
        <v>0</v>
      </c>
      <c r="AH325" s="117">
        <f t="shared" si="878"/>
        <v>0</v>
      </c>
      <c r="AI325" s="117">
        <f t="shared" ref="AI325:BN325" si="879">AI113/AI$211</f>
        <v>0</v>
      </c>
      <c r="AJ325" s="117">
        <f t="shared" si="879"/>
        <v>0</v>
      </c>
      <c r="AK325" s="117">
        <f t="shared" si="879"/>
        <v>0</v>
      </c>
      <c r="AL325" s="117">
        <f t="shared" si="879"/>
        <v>0</v>
      </c>
      <c r="AM325" s="117">
        <f t="shared" si="879"/>
        <v>0</v>
      </c>
      <c r="AN325" s="117">
        <f t="shared" si="879"/>
        <v>0</v>
      </c>
      <c r="AO325" s="9">
        <f t="shared" si="879"/>
        <v>0</v>
      </c>
      <c r="AP325" s="144">
        <f t="shared" si="879"/>
        <v>0</v>
      </c>
      <c r="AQ325" s="144">
        <f t="shared" si="879"/>
        <v>0</v>
      </c>
      <c r="AR325" s="144">
        <f t="shared" si="879"/>
        <v>0</v>
      </c>
      <c r="AS325" s="144">
        <f t="shared" si="879"/>
        <v>0</v>
      </c>
      <c r="AT325" s="144">
        <f t="shared" si="879"/>
        <v>0</v>
      </c>
      <c r="AU325" s="144">
        <f t="shared" si="879"/>
        <v>0</v>
      </c>
      <c r="AV325" s="144">
        <f t="shared" si="879"/>
        <v>0</v>
      </c>
      <c r="AW325" s="144">
        <f t="shared" si="879"/>
        <v>0</v>
      </c>
      <c r="AX325" s="144">
        <f t="shared" si="879"/>
        <v>0</v>
      </c>
      <c r="AY325" s="144">
        <f t="shared" si="879"/>
        <v>0</v>
      </c>
      <c r="AZ325" s="144">
        <f t="shared" si="879"/>
        <v>0</v>
      </c>
      <c r="BA325" s="144">
        <f t="shared" si="879"/>
        <v>0</v>
      </c>
      <c r="BB325" s="9">
        <f t="shared" si="879"/>
        <v>0</v>
      </c>
      <c r="BC325" s="144">
        <f t="shared" si="879"/>
        <v>0</v>
      </c>
      <c r="BD325" s="144">
        <f t="shared" si="879"/>
        <v>0</v>
      </c>
      <c r="BE325" s="144">
        <f t="shared" si="879"/>
        <v>0</v>
      </c>
      <c r="BF325" s="144">
        <f t="shared" si="879"/>
        <v>0</v>
      </c>
      <c r="BG325" s="144">
        <f t="shared" si="879"/>
        <v>0</v>
      </c>
      <c r="BH325" s="144">
        <f t="shared" si="879"/>
        <v>0</v>
      </c>
      <c r="BI325" s="144">
        <f t="shared" si="879"/>
        <v>0</v>
      </c>
      <c r="BJ325" s="144">
        <f t="shared" si="879"/>
        <v>0</v>
      </c>
      <c r="BK325" s="144">
        <f t="shared" si="879"/>
        <v>0</v>
      </c>
      <c r="BL325" s="144">
        <f t="shared" si="879"/>
        <v>0</v>
      </c>
      <c r="BM325" s="144">
        <f t="shared" si="879"/>
        <v>0</v>
      </c>
      <c r="BN325" s="144">
        <f t="shared" si="879"/>
        <v>0</v>
      </c>
      <c r="BO325" s="9">
        <f t="shared" ref="BO325:CT325" si="880">BO113/BO$211</f>
        <v>0</v>
      </c>
      <c r="BP325" s="144">
        <f t="shared" si="880"/>
        <v>0</v>
      </c>
      <c r="BQ325" s="144">
        <f t="shared" si="880"/>
        <v>0</v>
      </c>
      <c r="BR325" s="144">
        <f t="shared" si="880"/>
        <v>0</v>
      </c>
      <c r="BS325" s="144">
        <f t="shared" si="880"/>
        <v>0</v>
      </c>
      <c r="BT325" s="144">
        <f t="shared" si="880"/>
        <v>0</v>
      </c>
      <c r="BU325" s="144">
        <f t="shared" si="880"/>
        <v>0</v>
      </c>
      <c r="BV325" s="144">
        <f t="shared" si="880"/>
        <v>0</v>
      </c>
      <c r="BW325" s="144">
        <f t="shared" si="880"/>
        <v>0</v>
      </c>
      <c r="BX325" s="144">
        <f t="shared" si="880"/>
        <v>0</v>
      </c>
      <c r="BY325" s="144">
        <f t="shared" si="880"/>
        <v>0</v>
      </c>
      <c r="BZ325" s="144">
        <f t="shared" si="880"/>
        <v>0</v>
      </c>
      <c r="CA325" s="144">
        <f t="shared" si="880"/>
        <v>0</v>
      </c>
      <c r="CB325" s="9">
        <f t="shared" si="880"/>
        <v>0</v>
      </c>
      <c r="CC325" s="144">
        <f t="shared" si="880"/>
        <v>0</v>
      </c>
      <c r="CD325" s="144">
        <f t="shared" si="880"/>
        <v>0</v>
      </c>
      <c r="CE325" s="144">
        <f t="shared" si="880"/>
        <v>0</v>
      </c>
      <c r="CF325" s="144">
        <f t="shared" si="880"/>
        <v>0</v>
      </c>
      <c r="CG325" s="144">
        <f t="shared" si="880"/>
        <v>0</v>
      </c>
      <c r="CH325" s="144">
        <f t="shared" si="880"/>
        <v>0</v>
      </c>
      <c r="CI325" s="144">
        <f t="shared" si="880"/>
        <v>0</v>
      </c>
      <c r="CJ325" s="144">
        <f t="shared" si="880"/>
        <v>0</v>
      </c>
      <c r="CK325" s="144">
        <f t="shared" si="880"/>
        <v>0</v>
      </c>
      <c r="CL325" s="144">
        <f t="shared" si="880"/>
        <v>0</v>
      </c>
      <c r="CM325" s="144">
        <f t="shared" si="880"/>
        <v>0</v>
      </c>
      <c r="CN325" s="144">
        <f t="shared" si="880"/>
        <v>0</v>
      </c>
      <c r="CO325" s="9">
        <f t="shared" si="880"/>
        <v>0</v>
      </c>
      <c r="CP325" s="144">
        <f t="shared" si="880"/>
        <v>0</v>
      </c>
      <c r="CQ325" s="144">
        <f t="shared" si="880"/>
        <v>0</v>
      </c>
      <c r="CR325" s="144">
        <f t="shared" si="880"/>
        <v>0</v>
      </c>
      <c r="CS325" s="144">
        <f t="shared" si="880"/>
        <v>0</v>
      </c>
      <c r="CT325" s="144">
        <f t="shared" si="880"/>
        <v>0</v>
      </c>
      <c r="CU325" s="144">
        <f t="shared" ref="CU325:EB325" si="881">CU113/CU$211</f>
        <v>0</v>
      </c>
      <c r="CV325" s="144">
        <f t="shared" si="881"/>
        <v>0</v>
      </c>
      <c r="CW325" s="144">
        <f t="shared" si="881"/>
        <v>0</v>
      </c>
      <c r="CX325" s="144">
        <f t="shared" si="881"/>
        <v>0</v>
      </c>
      <c r="CY325" s="144">
        <f t="shared" si="881"/>
        <v>0</v>
      </c>
      <c r="CZ325" s="144">
        <f t="shared" si="881"/>
        <v>0</v>
      </c>
      <c r="DA325" s="144">
        <f t="shared" si="881"/>
        <v>0</v>
      </c>
      <c r="DB325" s="9">
        <f t="shared" si="881"/>
        <v>0</v>
      </c>
      <c r="DC325" s="144">
        <f t="shared" si="881"/>
        <v>0</v>
      </c>
      <c r="DD325" s="144">
        <f t="shared" si="881"/>
        <v>0</v>
      </c>
      <c r="DE325" s="144">
        <f t="shared" si="881"/>
        <v>0</v>
      </c>
      <c r="DF325" s="144">
        <f t="shared" si="881"/>
        <v>0</v>
      </c>
      <c r="DG325" s="144">
        <f t="shared" si="881"/>
        <v>0</v>
      </c>
      <c r="DH325" s="144">
        <f t="shared" si="881"/>
        <v>0</v>
      </c>
      <c r="DI325" s="144">
        <f t="shared" si="881"/>
        <v>0</v>
      </c>
      <c r="DJ325" s="144">
        <f t="shared" si="881"/>
        <v>0</v>
      </c>
      <c r="DK325" s="144">
        <f t="shared" si="881"/>
        <v>0</v>
      </c>
      <c r="DL325" s="144">
        <f t="shared" si="881"/>
        <v>0</v>
      </c>
      <c r="DM325" s="144">
        <f t="shared" si="881"/>
        <v>0</v>
      </c>
      <c r="DN325" s="144">
        <f t="shared" si="881"/>
        <v>0</v>
      </c>
      <c r="DO325" s="9">
        <f t="shared" si="881"/>
        <v>0</v>
      </c>
      <c r="DP325" s="144">
        <f t="shared" si="881"/>
        <v>0</v>
      </c>
      <c r="DQ325" s="144">
        <f t="shared" si="881"/>
        <v>0</v>
      </c>
      <c r="DR325" s="144">
        <f t="shared" si="881"/>
        <v>0</v>
      </c>
      <c r="DS325" s="144">
        <f t="shared" si="881"/>
        <v>0</v>
      </c>
      <c r="DT325" s="144">
        <f t="shared" si="881"/>
        <v>0</v>
      </c>
      <c r="DU325" s="144">
        <f t="shared" si="881"/>
        <v>0</v>
      </c>
      <c r="DV325" s="144">
        <f t="shared" si="881"/>
        <v>0</v>
      </c>
      <c r="DW325" s="144">
        <f t="shared" si="881"/>
        <v>0</v>
      </c>
      <c r="DX325" s="144">
        <f t="shared" si="881"/>
        <v>0</v>
      </c>
      <c r="DY325" s="144">
        <f t="shared" si="881"/>
        <v>0</v>
      </c>
      <c r="DZ325" s="144">
        <f t="shared" si="881"/>
        <v>0</v>
      </c>
      <c r="EA325" s="144">
        <f t="shared" si="881"/>
        <v>0</v>
      </c>
      <c r="EB325" s="117">
        <f t="shared" si="881"/>
        <v>0</v>
      </c>
      <c r="EC325" s="118"/>
      <c r="ED325" s="117">
        <f t="shared" ref="ED325:FB325" si="882">ED113/ED$211</f>
        <v>0</v>
      </c>
      <c r="EE325" s="117">
        <f t="shared" si="882"/>
        <v>0</v>
      </c>
      <c r="EF325" s="117">
        <f t="shared" si="882"/>
        <v>0</v>
      </c>
      <c r="EG325" s="117" t="e">
        <f t="shared" si="882"/>
        <v>#DIV/0!</v>
      </c>
      <c r="EH325" s="117" t="e">
        <f t="shared" si="882"/>
        <v>#DIV/0!</v>
      </c>
      <c r="EI325" s="117" t="e">
        <f t="shared" si="882"/>
        <v>#DIV/0!</v>
      </c>
      <c r="EJ325" s="117" t="e">
        <f t="shared" si="882"/>
        <v>#DIV/0!</v>
      </c>
      <c r="EK325" s="117" t="e">
        <f t="shared" si="882"/>
        <v>#DIV/0!</v>
      </c>
      <c r="EL325" s="117" t="e">
        <f t="shared" si="882"/>
        <v>#DIV/0!</v>
      </c>
      <c r="EM325" s="117" t="e">
        <f t="shared" si="882"/>
        <v>#DIV/0!</v>
      </c>
      <c r="EN325" s="117" t="e">
        <f t="shared" si="882"/>
        <v>#DIV/0!</v>
      </c>
      <c r="EO325" s="116">
        <f t="shared" si="882"/>
        <v>0</v>
      </c>
      <c r="EP325" s="117">
        <f t="shared" si="882"/>
        <v>0</v>
      </c>
      <c r="EQ325" s="117">
        <f t="shared" si="882"/>
        <v>0</v>
      </c>
      <c r="ER325" s="117">
        <f t="shared" si="882"/>
        <v>0</v>
      </c>
      <c r="ES325" s="117">
        <f t="shared" si="882"/>
        <v>0</v>
      </c>
      <c r="ET325" s="117">
        <f t="shared" si="882"/>
        <v>0</v>
      </c>
      <c r="EU325" s="117">
        <f t="shared" si="882"/>
        <v>0</v>
      </c>
      <c r="EV325" s="117">
        <f t="shared" si="882"/>
        <v>0</v>
      </c>
      <c r="EW325" s="117">
        <f t="shared" si="882"/>
        <v>0</v>
      </c>
      <c r="EX325" s="117">
        <f t="shared" si="882"/>
        <v>0</v>
      </c>
      <c r="EY325" s="117">
        <f t="shared" si="882"/>
        <v>0</v>
      </c>
      <c r="EZ325" s="117">
        <f t="shared" si="882"/>
        <v>0</v>
      </c>
      <c r="FA325" s="117">
        <f t="shared" si="882"/>
        <v>0</v>
      </c>
      <c r="FB325" s="117">
        <f t="shared" si="882"/>
        <v>0</v>
      </c>
      <c r="FC325" s="118"/>
      <c r="FD325" s="117"/>
      <c r="FE325" s="117"/>
      <c r="FF325" s="117"/>
      <c r="FG325" s="117"/>
      <c r="FH325" s="117"/>
      <c r="FI325" s="117"/>
      <c r="FJ325" s="117"/>
      <c r="FK325" s="117" t="e">
        <f t="shared" si="601"/>
        <v>#DIV/0!</v>
      </c>
      <c r="FL325" s="117" t="e">
        <f t="shared" si="602"/>
        <v>#DIV/0!</v>
      </c>
      <c r="FM325" s="117" t="e">
        <f t="shared" si="603"/>
        <v>#DIV/0!</v>
      </c>
      <c r="FN325" s="117" t="e">
        <f t="shared" si="604"/>
        <v>#DIV/0!</v>
      </c>
      <c r="FO325" s="9" t="e">
        <f t="shared" si="605"/>
        <v>#DIV/0!</v>
      </c>
      <c r="FP325" s="118">
        <f t="shared" ref="FP325:GB325" si="883">FP113/FP$211</f>
        <v>0</v>
      </c>
      <c r="FQ325" s="117">
        <f t="shared" si="883"/>
        <v>0</v>
      </c>
      <c r="FR325" s="117">
        <f t="shared" si="883"/>
        <v>0</v>
      </c>
      <c r="FS325" s="117">
        <f t="shared" si="883"/>
        <v>0</v>
      </c>
      <c r="FT325" s="117">
        <f t="shared" si="883"/>
        <v>0</v>
      </c>
      <c r="FU325" s="117">
        <f t="shared" si="883"/>
        <v>0</v>
      </c>
      <c r="FV325" s="117">
        <f t="shared" si="883"/>
        <v>0</v>
      </c>
      <c r="FW325" s="117">
        <f t="shared" si="883"/>
        <v>0</v>
      </c>
      <c r="FX325" s="117">
        <f t="shared" si="883"/>
        <v>0</v>
      </c>
      <c r="FY325" s="117">
        <f t="shared" si="883"/>
        <v>0</v>
      </c>
      <c r="FZ325" s="117">
        <f t="shared" si="883"/>
        <v>0</v>
      </c>
      <c r="GA325" s="117">
        <f t="shared" si="883"/>
        <v>0</v>
      </c>
      <c r="GB325" s="116">
        <f t="shared" si="883"/>
        <v>0</v>
      </c>
    </row>
    <row r="326" spans="1:184">
      <c r="A326" s="147" t="s">
        <v>253</v>
      </c>
      <c r="B326" s="160">
        <f t="shared" si="607"/>
        <v>-1</v>
      </c>
      <c r="C326" s="117">
        <f t="shared" ref="C326:AH326" si="884">C114/C$211</f>
        <v>0</v>
      </c>
      <c r="D326" s="117">
        <f t="shared" si="884"/>
        <v>0</v>
      </c>
      <c r="E326" s="117">
        <f t="shared" si="884"/>
        <v>0</v>
      </c>
      <c r="F326" s="117">
        <f t="shared" si="884"/>
        <v>0</v>
      </c>
      <c r="G326" s="117">
        <f t="shared" si="884"/>
        <v>0</v>
      </c>
      <c r="H326" s="117">
        <f t="shared" si="884"/>
        <v>0</v>
      </c>
      <c r="I326" s="117">
        <f t="shared" si="884"/>
        <v>0</v>
      </c>
      <c r="J326" s="117">
        <f t="shared" si="884"/>
        <v>0</v>
      </c>
      <c r="K326" s="117">
        <f t="shared" si="884"/>
        <v>0</v>
      </c>
      <c r="L326" s="117">
        <f t="shared" si="884"/>
        <v>0</v>
      </c>
      <c r="M326" s="117">
        <f t="shared" si="884"/>
        <v>0</v>
      </c>
      <c r="N326" s="117">
        <f t="shared" si="884"/>
        <v>0</v>
      </c>
      <c r="O326" s="9">
        <f t="shared" si="884"/>
        <v>0</v>
      </c>
      <c r="P326" s="117">
        <f t="shared" si="884"/>
        <v>0</v>
      </c>
      <c r="Q326" s="117">
        <f t="shared" si="884"/>
        <v>0</v>
      </c>
      <c r="R326" s="117">
        <f t="shared" si="884"/>
        <v>0</v>
      </c>
      <c r="S326" s="117">
        <f t="shared" si="884"/>
        <v>0</v>
      </c>
      <c r="T326" s="117">
        <f t="shared" si="884"/>
        <v>0</v>
      </c>
      <c r="U326" s="117">
        <f t="shared" si="884"/>
        <v>0</v>
      </c>
      <c r="V326" s="117">
        <f t="shared" si="884"/>
        <v>0</v>
      </c>
      <c r="W326" s="117">
        <f t="shared" si="884"/>
        <v>0</v>
      </c>
      <c r="X326" s="117">
        <f t="shared" si="884"/>
        <v>0</v>
      </c>
      <c r="Y326" s="117">
        <f t="shared" si="884"/>
        <v>0</v>
      </c>
      <c r="Z326" s="117">
        <f t="shared" si="884"/>
        <v>0</v>
      </c>
      <c r="AA326" s="117">
        <f t="shared" si="884"/>
        <v>0</v>
      </c>
      <c r="AB326" s="9">
        <f t="shared" si="884"/>
        <v>0</v>
      </c>
      <c r="AC326" s="117">
        <f t="shared" si="884"/>
        <v>0</v>
      </c>
      <c r="AD326" s="117">
        <f t="shared" si="884"/>
        <v>0</v>
      </c>
      <c r="AE326" s="117">
        <f t="shared" si="884"/>
        <v>0</v>
      </c>
      <c r="AF326" s="117">
        <f t="shared" si="884"/>
        <v>0</v>
      </c>
      <c r="AG326" s="117">
        <f t="shared" si="884"/>
        <v>0</v>
      </c>
      <c r="AH326" s="117">
        <f t="shared" si="884"/>
        <v>0</v>
      </c>
      <c r="AI326" s="117">
        <f t="shared" ref="AI326:BN326" si="885">AI114/AI$211</f>
        <v>0</v>
      </c>
      <c r="AJ326" s="117">
        <f t="shared" si="885"/>
        <v>0</v>
      </c>
      <c r="AK326" s="117">
        <f t="shared" si="885"/>
        <v>0</v>
      </c>
      <c r="AL326" s="117">
        <f t="shared" si="885"/>
        <v>0</v>
      </c>
      <c r="AM326" s="117">
        <f t="shared" si="885"/>
        <v>0</v>
      </c>
      <c r="AN326" s="117">
        <f t="shared" si="885"/>
        <v>0</v>
      </c>
      <c r="AO326" s="9">
        <f t="shared" si="885"/>
        <v>0</v>
      </c>
      <c r="AP326" s="144">
        <f t="shared" si="885"/>
        <v>0</v>
      </c>
      <c r="AQ326" s="144">
        <f t="shared" si="885"/>
        <v>0</v>
      </c>
      <c r="AR326" s="144">
        <f t="shared" si="885"/>
        <v>0</v>
      </c>
      <c r="AS326" s="144">
        <f t="shared" si="885"/>
        <v>0</v>
      </c>
      <c r="AT326" s="144">
        <f t="shared" si="885"/>
        <v>0</v>
      </c>
      <c r="AU326" s="144">
        <f t="shared" si="885"/>
        <v>0</v>
      </c>
      <c r="AV326" s="144">
        <f t="shared" si="885"/>
        <v>0</v>
      </c>
      <c r="AW326" s="144">
        <f t="shared" si="885"/>
        <v>0</v>
      </c>
      <c r="AX326" s="144">
        <f t="shared" si="885"/>
        <v>0</v>
      </c>
      <c r="AY326" s="144">
        <f t="shared" si="885"/>
        <v>0</v>
      </c>
      <c r="AZ326" s="144">
        <f t="shared" si="885"/>
        <v>0</v>
      </c>
      <c r="BA326" s="144">
        <f t="shared" si="885"/>
        <v>0</v>
      </c>
      <c r="BB326" s="9">
        <f t="shared" si="885"/>
        <v>0</v>
      </c>
      <c r="BC326" s="144">
        <f t="shared" si="885"/>
        <v>0</v>
      </c>
      <c r="BD326" s="144">
        <f t="shared" si="885"/>
        <v>0</v>
      </c>
      <c r="BE326" s="144">
        <f t="shared" si="885"/>
        <v>0</v>
      </c>
      <c r="BF326" s="144">
        <f t="shared" si="885"/>
        <v>0</v>
      </c>
      <c r="BG326" s="144">
        <f t="shared" si="885"/>
        <v>0</v>
      </c>
      <c r="BH326" s="144">
        <f t="shared" si="885"/>
        <v>0</v>
      </c>
      <c r="BI326" s="144">
        <f t="shared" si="885"/>
        <v>0</v>
      </c>
      <c r="BJ326" s="144">
        <f t="shared" si="885"/>
        <v>0</v>
      </c>
      <c r="BK326" s="144">
        <f t="shared" si="885"/>
        <v>0</v>
      </c>
      <c r="BL326" s="144">
        <f t="shared" si="885"/>
        <v>0</v>
      </c>
      <c r="BM326" s="144">
        <f t="shared" si="885"/>
        <v>0</v>
      </c>
      <c r="BN326" s="144">
        <f t="shared" si="885"/>
        <v>0</v>
      </c>
      <c r="BO326" s="9">
        <f t="shared" ref="BO326:CT326" si="886">BO114/BO$211</f>
        <v>0</v>
      </c>
      <c r="BP326" s="144">
        <f t="shared" si="886"/>
        <v>0</v>
      </c>
      <c r="BQ326" s="144">
        <f t="shared" si="886"/>
        <v>0</v>
      </c>
      <c r="BR326" s="144">
        <f t="shared" si="886"/>
        <v>0</v>
      </c>
      <c r="BS326" s="144">
        <f t="shared" si="886"/>
        <v>0</v>
      </c>
      <c r="BT326" s="144">
        <f t="shared" si="886"/>
        <v>0</v>
      </c>
      <c r="BU326" s="144">
        <f t="shared" si="886"/>
        <v>0</v>
      </c>
      <c r="BV326" s="144">
        <f t="shared" si="886"/>
        <v>0</v>
      </c>
      <c r="BW326" s="144">
        <f t="shared" si="886"/>
        <v>0</v>
      </c>
      <c r="BX326" s="144">
        <f t="shared" si="886"/>
        <v>0</v>
      </c>
      <c r="BY326" s="144">
        <f t="shared" si="886"/>
        <v>0</v>
      </c>
      <c r="BZ326" s="144">
        <f t="shared" si="886"/>
        <v>0</v>
      </c>
      <c r="CA326" s="144">
        <f t="shared" si="886"/>
        <v>0</v>
      </c>
      <c r="CB326" s="9">
        <f t="shared" si="886"/>
        <v>0</v>
      </c>
      <c r="CC326" s="144">
        <f t="shared" si="886"/>
        <v>0</v>
      </c>
      <c r="CD326" s="144">
        <f t="shared" si="886"/>
        <v>0</v>
      </c>
      <c r="CE326" s="144">
        <f t="shared" si="886"/>
        <v>0</v>
      </c>
      <c r="CF326" s="144">
        <f t="shared" si="886"/>
        <v>0</v>
      </c>
      <c r="CG326" s="144">
        <f t="shared" si="886"/>
        <v>0</v>
      </c>
      <c r="CH326" s="144">
        <f t="shared" si="886"/>
        <v>0</v>
      </c>
      <c r="CI326" s="144">
        <f t="shared" si="886"/>
        <v>0</v>
      </c>
      <c r="CJ326" s="144">
        <f t="shared" si="886"/>
        <v>0</v>
      </c>
      <c r="CK326" s="144">
        <f t="shared" si="886"/>
        <v>0</v>
      </c>
      <c r="CL326" s="144">
        <f t="shared" si="886"/>
        <v>0</v>
      </c>
      <c r="CM326" s="144">
        <f t="shared" si="886"/>
        <v>0</v>
      </c>
      <c r="CN326" s="144">
        <f t="shared" si="886"/>
        <v>0</v>
      </c>
      <c r="CO326" s="9">
        <f t="shared" si="886"/>
        <v>0</v>
      </c>
      <c r="CP326" s="144">
        <f t="shared" si="886"/>
        <v>0</v>
      </c>
      <c r="CQ326" s="144">
        <f t="shared" si="886"/>
        <v>0</v>
      </c>
      <c r="CR326" s="144">
        <f t="shared" si="886"/>
        <v>0</v>
      </c>
      <c r="CS326" s="144">
        <f t="shared" si="886"/>
        <v>0</v>
      </c>
      <c r="CT326" s="144">
        <f t="shared" si="886"/>
        <v>0</v>
      </c>
      <c r="CU326" s="144">
        <f t="shared" ref="CU326:EB326" si="887">CU114/CU$211</f>
        <v>0</v>
      </c>
      <c r="CV326" s="144">
        <f t="shared" si="887"/>
        <v>0</v>
      </c>
      <c r="CW326" s="144">
        <f t="shared" si="887"/>
        <v>0</v>
      </c>
      <c r="CX326" s="144">
        <f t="shared" si="887"/>
        <v>0</v>
      </c>
      <c r="CY326" s="144">
        <f t="shared" si="887"/>
        <v>0</v>
      </c>
      <c r="CZ326" s="144">
        <f t="shared" si="887"/>
        <v>0</v>
      </c>
      <c r="DA326" s="144">
        <f t="shared" si="887"/>
        <v>0</v>
      </c>
      <c r="DB326" s="9">
        <f t="shared" si="887"/>
        <v>0</v>
      </c>
      <c r="DC326" s="144">
        <f t="shared" si="887"/>
        <v>0</v>
      </c>
      <c r="DD326" s="144">
        <f t="shared" si="887"/>
        <v>0</v>
      </c>
      <c r="DE326" s="144">
        <f t="shared" si="887"/>
        <v>0</v>
      </c>
      <c r="DF326" s="144">
        <f t="shared" si="887"/>
        <v>0</v>
      </c>
      <c r="DG326" s="144">
        <f t="shared" si="887"/>
        <v>0</v>
      </c>
      <c r="DH326" s="144">
        <f t="shared" si="887"/>
        <v>0</v>
      </c>
      <c r="DI326" s="144">
        <f t="shared" si="887"/>
        <v>0</v>
      </c>
      <c r="DJ326" s="144">
        <f t="shared" si="887"/>
        <v>0</v>
      </c>
      <c r="DK326" s="144">
        <f t="shared" si="887"/>
        <v>0</v>
      </c>
      <c r="DL326" s="144">
        <f t="shared" si="887"/>
        <v>0</v>
      </c>
      <c r="DM326" s="144">
        <f t="shared" si="887"/>
        <v>0</v>
      </c>
      <c r="DN326" s="144">
        <f t="shared" si="887"/>
        <v>0</v>
      </c>
      <c r="DO326" s="9">
        <f t="shared" si="887"/>
        <v>0</v>
      </c>
      <c r="DP326" s="144">
        <f t="shared" si="887"/>
        <v>0</v>
      </c>
      <c r="DQ326" s="144">
        <f t="shared" si="887"/>
        <v>0</v>
      </c>
      <c r="DR326" s="144">
        <f t="shared" si="887"/>
        <v>0</v>
      </c>
      <c r="DS326" s="144">
        <f t="shared" si="887"/>
        <v>0</v>
      </c>
      <c r="DT326" s="144">
        <f t="shared" si="887"/>
        <v>0</v>
      </c>
      <c r="DU326" s="144">
        <f t="shared" si="887"/>
        <v>0</v>
      </c>
      <c r="DV326" s="144">
        <f t="shared" si="887"/>
        <v>0</v>
      </c>
      <c r="DW326" s="144">
        <f t="shared" si="887"/>
        <v>0</v>
      </c>
      <c r="DX326" s="144">
        <f t="shared" si="887"/>
        <v>0</v>
      </c>
      <c r="DY326" s="144">
        <f t="shared" si="887"/>
        <v>0</v>
      </c>
      <c r="DZ326" s="144">
        <f t="shared" si="887"/>
        <v>0</v>
      </c>
      <c r="EA326" s="144">
        <f t="shared" si="887"/>
        <v>0</v>
      </c>
      <c r="EB326" s="117">
        <f t="shared" si="887"/>
        <v>0</v>
      </c>
      <c r="EC326" s="118"/>
      <c r="ED326" s="117">
        <f t="shared" ref="ED326:FB326" si="888">ED114/ED$211</f>
        <v>0</v>
      </c>
      <c r="EE326" s="117">
        <f t="shared" si="888"/>
        <v>0</v>
      </c>
      <c r="EF326" s="117">
        <f t="shared" si="888"/>
        <v>0</v>
      </c>
      <c r="EG326" s="117" t="e">
        <f t="shared" si="888"/>
        <v>#DIV/0!</v>
      </c>
      <c r="EH326" s="117" t="e">
        <f t="shared" si="888"/>
        <v>#DIV/0!</v>
      </c>
      <c r="EI326" s="117" t="e">
        <f t="shared" si="888"/>
        <v>#DIV/0!</v>
      </c>
      <c r="EJ326" s="117" t="e">
        <f t="shared" si="888"/>
        <v>#DIV/0!</v>
      </c>
      <c r="EK326" s="117" t="e">
        <f t="shared" si="888"/>
        <v>#DIV/0!</v>
      </c>
      <c r="EL326" s="117" t="e">
        <f t="shared" si="888"/>
        <v>#DIV/0!</v>
      </c>
      <c r="EM326" s="117" t="e">
        <f t="shared" si="888"/>
        <v>#DIV/0!</v>
      </c>
      <c r="EN326" s="117" t="e">
        <f t="shared" si="888"/>
        <v>#DIV/0!</v>
      </c>
      <c r="EO326" s="116">
        <f t="shared" si="888"/>
        <v>0</v>
      </c>
      <c r="EP326" s="117">
        <f t="shared" si="888"/>
        <v>0</v>
      </c>
      <c r="EQ326" s="117">
        <f t="shared" si="888"/>
        <v>0</v>
      </c>
      <c r="ER326" s="117">
        <f t="shared" si="888"/>
        <v>0</v>
      </c>
      <c r="ES326" s="117">
        <f t="shared" si="888"/>
        <v>0</v>
      </c>
      <c r="ET326" s="117">
        <f t="shared" si="888"/>
        <v>0</v>
      </c>
      <c r="EU326" s="117">
        <f t="shared" si="888"/>
        <v>0</v>
      </c>
      <c r="EV326" s="117">
        <f t="shared" si="888"/>
        <v>0</v>
      </c>
      <c r="EW326" s="117">
        <f t="shared" si="888"/>
        <v>0</v>
      </c>
      <c r="EX326" s="117">
        <f t="shared" si="888"/>
        <v>0</v>
      </c>
      <c r="EY326" s="117">
        <f t="shared" si="888"/>
        <v>0</v>
      </c>
      <c r="EZ326" s="117">
        <f t="shared" si="888"/>
        <v>0</v>
      </c>
      <c r="FA326" s="117">
        <f t="shared" si="888"/>
        <v>0</v>
      </c>
      <c r="FB326" s="117">
        <f t="shared" si="888"/>
        <v>0</v>
      </c>
      <c r="FC326" s="118"/>
      <c r="FD326" s="117"/>
      <c r="FE326" s="117"/>
      <c r="FF326" s="117"/>
      <c r="FG326" s="117"/>
      <c r="FH326" s="117"/>
      <c r="FI326" s="117"/>
      <c r="FJ326" s="117"/>
      <c r="FK326" s="117" t="e">
        <f t="shared" si="601"/>
        <v>#DIV/0!</v>
      </c>
      <c r="FL326" s="117" t="e">
        <f t="shared" si="602"/>
        <v>#DIV/0!</v>
      </c>
      <c r="FM326" s="117" t="e">
        <f t="shared" si="603"/>
        <v>#DIV/0!</v>
      </c>
      <c r="FN326" s="117" t="e">
        <f t="shared" si="604"/>
        <v>#DIV/0!</v>
      </c>
      <c r="FO326" s="9" t="e">
        <f t="shared" si="605"/>
        <v>#DIV/0!</v>
      </c>
      <c r="FP326" s="118">
        <f t="shared" ref="FP326:GB326" si="889">FP114/FP$211</f>
        <v>0</v>
      </c>
      <c r="FQ326" s="117">
        <f t="shared" si="889"/>
        <v>0</v>
      </c>
      <c r="FR326" s="117">
        <f t="shared" si="889"/>
        <v>0</v>
      </c>
      <c r="FS326" s="117">
        <f t="shared" si="889"/>
        <v>0</v>
      </c>
      <c r="FT326" s="117">
        <f t="shared" si="889"/>
        <v>0</v>
      </c>
      <c r="FU326" s="117">
        <f t="shared" si="889"/>
        <v>0</v>
      </c>
      <c r="FV326" s="117">
        <f t="shared" si="889"/>
        <v>0</v>
      </c>
      <c r="FW326" s="117">
        <f t="shared" si="889"/>
        <v>0</v>
      </c>
      <c r="FX326" s="117">
        <f t="shared" si="889"/>
        <v>0</v>
      </c>
      <c r="FY326" s="117">
        <f t="shared" si="889"/>
        <v>0</v>
      </c>
      <c r="FZ326" s="117">
        <f t="shared" si="889"/>
        <v>0</v>
      </c>
      <c r="GA326" s="117">
        <f t="shared" si="889"/>
        <v>0</v>
      </c>
      <c r="GB326" s="116">
        <f t="shared" si="889"/>
        <v>0</v>
      </c>
    </row>
    <row r="327" spans="1:184">
      <c r="A327" s="147" t="s">
        <v>255</v>
      </c>
      <c r="B327" s="160" t="e">
        <f t="shared" si="607"/>
        <v>#DIV/0!</v>
      </c>
      <c r="C327" s="117">
        <f t="shared" ref="C327:AH327" si="890">C115/C$211</f>
        <v>0</v>
      </c>
      <c r="D327" s="117">
        <f t="shared" si="890"/>
        <v>0</v>
      </c>
      <c r="E327" s="117">
        <f t="shared" si="890"/>
        <v>0</v>
      </c>
      <c r="F327" s="117">
        <f t="shared" si="890"/>
        <v>0</v>
      </c>
      <c r="G327" s="117">
        <f t="shared" si="890"/>
        <v>0</v>
      </c>
      <c r="H327" s="117">
        <f t="shared" si="890"/>
        <v>0</v>
      </c>
      <c r="I327" s="117">
        <f t="shared" si="890"/>
        <v>0</v>
      </c>
      <c r="J327" s="117">
        <f t="shared" si="890"/>
        <v>0</v>
      </c>
      <c r="K327" s="117">
        <f t="shared" si="890"/>
        <v>0</v>
      </c>
      <c r="L327" s="117">
        <f t="shared" si="890"/>
        <v>0</v>
      </c>
      <c r="M327" s="117">
        <f t="shared" si="890"/>
        <v>0</v>
      </c>
      <c r="N327" s="117">
        <f t="shared" si="890"/>
        <v>0</v>
      </c>
      <c r="O327" s="9">
        <f t="shared" si="890"/>
        <v>0</v>
      </c>
      <c r="P327" s="117">
        <f t="shared" si="890"/>
        <v>0</v>
      </c>
      <c r="Q327" s="117">
        <f t="shared" si="890"/>
        <v>0</v>
      </c>
      <c r="R327" s="117">
        <f t="shared" si="890"/>
        <v>0</v>
      </c>
      <c r="S327" s="117">
        <f t="shared" si="890"/>
        <v>0</v>
      </c>
      <c r="T327" s="117">
        <f t="shared" si="890"/>
        <v>0</v>
      </c>
      <c r="U327" s="117">
        <f t="shared" si="890"/>
        <v>0</v>
      </c>
      <c r="V327" s="117">
        <f t="shared" si="890"/>
        <v>0</v>
      </c>
      <c r="W327" s="117">
        <f t="shared" si="890"/>
        <v>0</v>
      </c>
      <c r="X327" s="117">
        <f t="shared" si="890"/>
        <v>0</v>
      </c>
      <c r="Y327" s="117">
        <f t="shared" si="890"/>
        <v>0</v>
      </c>
      <c r="Z327" s="117">
        <f t="shared" si="890"/>
        <v>0</v>
      </c>
      <c r="AA327" s="117">
        <f t="shared" si="890"/>
        <v>0</v>
      </c>
      <c r="AB327" s="9">
        <f t="shared" si="890"/>
        <v>0</v>
      </c>
      <c r="AC327" s="117">
        <f t="shared" si="890"/>
        <v>0</v>
      </c>
      <c r="AD327" s="117">
        <f t="shared" si="890"/>
        <v>0</v>
      </c>
      <c r="AE327" s="117">
        <f t="shared" si="890"/>
        <v>0</v>
      </c>
      <c r="AF327" s="117">
        <f t="shared" si="890"/>
        <v>0</v>
      </c>
      <c r="AG327" s="117">
        <f t="shared" si="890"/>
        <v>0</v>
      </c>
      <c r="AH327" s="117">
        <f t="shared" si="890"/>
        <v>0</v>
      </c>
      <c r="AI327" s="117">
        <f t="shared" ref="AI327:BN327" si="891">AI115/AI$211</f>
        <v>0</v>
      </c>
      <c r="AJ327" s="117">
        <f t="shared" si="891"/>
        <v>0</v>
      </c>
      <c r="AK327" s="117">
        <f t="shared" si="891"/>
        <v>0</v>
      </c>
      <c r="AL327" s="117">
        <f t="shared" si="891"/>
        <v>0</v>
      </c>
      <c r="AM327" s="117">
        <f t="shared" si="891"/>
        <v>0</v>
      </c>
      <c r="AN327" s="117">
        <f t="shared" si="891"/>
        <v>0</v>
      </c>
      <c r="AO327" s="9">
        <f t="shared" si="891"/>
        <v>0</v>
      </c>
      <c r="AP327" s="144">
        <f t="shared" si="891"/>
        <v>0</v>
      </c>
      <c r="AQ327" s="144">
        <f t="shared" si="891"/>
        <v>0</v>
      </c>
      <c r="AR327" s="144">
        <f t="shared" si="891"/>
        <v>0</v>
      </c>
      <c r="AS327" s="144">
        <f t="shared" si="891"/>
        <v>0</v>
      </c>
      <c r="AT327" s="144">
        <f t="shared" si="891"/>
        <v>0</v>
      </c>
      <c r="AU327" s="144">
        <f t="shared" si="891"/>
        <v>0</v>
      </c>
      <c r="AV327" s="144">
        <f t="shared" si="891"/>
        <v>0</v>
      </c>
      <c r="AW327" s="144">
        <f t="shared" si="891"/>
        <v>0</v>
      </c>
      <c r="AX327" s="144">
        <f t="shared" si="891"/>
        <v>0</v>
      </c>
      <c r="AY327" s="144">
        <f t="shared" si="891"/>
        <v>0</v>
      </c>
      <c r="AZ327" s="144">
        <f t="shared" si="891"/>
        <v>0</v>
      </c>
      <c r="BA327" s="144">
        <f t="shared" si="891"/>
        <v>0</v>
      </c>
      <c r="BB327" s="9">
        <f t="shared" si="891"/>
        <v>0</v>
      </c>
      <c r="BC327" s="144">
        <f t="shared" si="891"/>
        <v>0</v>
      </c>
      <c r="BD327" s="144">
        <f t="shared" si="891"/>
        <v>0</v>
      </c>
      <c r="BE327" s="144">
        <f t="shared" si="891"/>
        <v>0</v>
      </c>
      <c r="BF327" s="144">
        <f t="shared" si="891"/>
        <v>0</v>
      </c>
      <c r="BG327" s="144">
        <f t="shared" si="891"/>
        <v>0</v>
      </c>
      <c r="BH327" s="144">
        <f t="shared" si="891"/>
        <v>0</v>
      </c>
      <c r="BI327" s="144">
        <f t="shared" si="891"/>
        <v>0</v>
      </c>
      <c r="BJ327" s="144">
        <f t="shared" si="891"/>
        <v>0</v>
      </c>
      <c r="BK327" s="144">
        <f t="shared" si="891"/>
        <v>0</v>
      </c>
      <c r="BL327" s="144">
        <f t="shared" si="891"/>
        <v>0</v>
      </c>
      <c r="BM327" s="144">
        <f t="shared" si="891"/>
        <v>0</v>
      </c>
      <c r="BN327" s="144">
        <f t="shared" si="891"/>
        <v>0</v>
      </c>
      <c r="BO327" s="9">
        <f t="shared" ref="BO327:CT327" si="892">BO115/BO$211</f>
        <v>0</v>
      </c>
      <c r="BP327" s="144">
        <f t="shared" si="892"/>
        <v>0</v>
      </c>
      <c r="BQ327" s="144">
        <f t="shared" si="892"/>
        <v>0</v>
      </c>
      <c r="BR327" s="144">
        <f t="shared" si="892"/>
        <v>0</v>
      </c>
      <c r="BS327" s="144">
        <f t="shared" si="892"/>
        <v>0</v>
      </c>
      <c r="BT327" s="144">
        <f t="shared" si="892"/>
        <v>0</v>
      </c>
      <c r="BU327" s="144">
        <f t="shared" si="892"/>
        <v>0</v>
      </c>
      <c r="BV327" s="144">
        <f t="shared" si="892"/>
        <v>0</v>
      </c>
      <c r="BW327" s="144">
        <f t="shared" si="892"/>
        <v>0</v>
      </c>
      <c r="BX327" s="144">
        <f t="shared" si="892"/>
        <v>0</v>
      </c>
      <c r="BY327" s="144">
        <f t="shared" si="892"/>
        <v>0</v>
      </c>
      <c r="BZ327" s="144">
        <f t="shared" si="892"/>
        <v>0</v>
      </c>
      <c r="CA327" s="144">
        <f t="shared" si="892"/>
        <v>0</v>
      </c>
      <c r="CB327" s="9">
        <f t="shared" si="892"/>
        <v>0</v>
      </c>
      <c r="CC327" s="144">
        <f t="shared" si="892"/>
        <v>0</v>
      </c>
      <c r="CD327" s="144">
        <f t="shared" si="892"/>
        <v>0</v>
      </c>
      <c r="CE327" s="144">
        <f t="shared" si="892"/>
        <v>0</v>
      </c>
      <c r="CF327" s="144">
        <f t="shared" si="892"/>
        <v>0</v>
      </c>
      <c r="CG327" s="144">
        <f t="shared" si="892"/>
        <v>0</v>
      </c>
      <c r="CH327" s="144">
        <f t="shared" si="892"/>
        <v>0</v>
      </c>
      <c r="CI327" s="144">
        <f t="shared" si="892"/>
        <v>0</v>
      </c>
      <c r="CJ327" s="144">
        <f t="shared" si="892"/>
        <v>0</v>
      </c>
      <c r="CK327" s="144">
        <f t="shared" si="892"/>
        <v>0</v>
      </c>
      <c r="CL327" s="144">
        <f t="shared" si="892"/>
        <v>0</v>
      </c>
      <c r="CM327" s="144">
        <f t="shared" si="892"/>
        <v>0</v>
      </c>
      <c r="CN327" s="144">
        <f t="shared" si="892"/>
        <v>0</v>
      </c>
      <c r="CO327" s="9">
        <f t="shared" si="892"/>
        <v>0</v>
      </c>
      <c r="CP327" s="144">
        <f t="shared" si="892"/>
        <v>0</v>
      </c>
      <c r="CQ327" s="144">
        <f t="shared" si="892"/>
        <v>0</v>
      </c>
      <c r="CR327" s="144">
        <f t="shared" si="892"/>
        <v>0</v>
      </c>
      <c r="CS327" s="144">
        <f t="shared" si="892"/>
        <v>0</v>
      </c>
      <c r="CT327" s="144">
        <f t="shared" si="892"/>
        <v>0</v>
      </c>
      <c r="CU327" s="144">
        <f t="shared" ref="CU327:EB327" si="893">CU115/CU$211</f>
        <v>0</v>
      </c>
      <c r="CV327" s="144">
        <f t="shared" si="893"/>
        <v>0</v>
      </c>
      <c r="CW327" s="144">
        <f t="shared" si="893"/>
        <v>0</v>
      </c>
      <c r="CX327" s="144">
        <f t="shared" si="893"/>
        <v>0</v>
      </c>
      <c r="CY327" s="144">
        <f t="shared" si="893"/>
        <v>0</v>
      </c>
      <c r="CZ327" s="144">
        <f t="shared" si="893"/>
        <v>0</v>
      </c>
      <c r="DA327" s="144">
        <f t="shared" si="893"/>
        <v>0</v>
      </c>
      <c r="DB327" s="9">
        <f t="shared" si="893"/>
        <v>0</v>
      </c>
      <c r="DC327" s="144">
        <f t="shared" si="893"/>
        <v>0</v>
      </c>
      <c r="DD327" s="144">
        <f t="shared" si="893"/>
        <v>0</v>
      </c>
      <c r="DE327" s="144">
        <f t="shared" si="893"/>
        <v>0</v>
      </c>
      <c r="DF327" s="144">
        <f t="shared" si="893"/>
        <v>0</v>
      </c>
      <c r="DG327" s="144">
        <f t="shared" si="893"/>
        <v>0</v>
      </c>
      <c r="DH327" s="144">
        <f t="shared" si="893"/>
        <v>0</v>
      </c>
      <c r="DI327" s="144">
        <f t="shared" si="893"/>
        <v>0</v>
      </c>
      <c r="DJ327" s="144">
        <f t="shared" si="893"/>
        <v>0</v>
      </c>
      <c r="DK327" s="144">
        <f t="shared" si="893"/>
        <v>0</v>
      </c>
      <c r="DL327" s="144">
        <f t="shared" si="893"/>
        <v>0</v>
      </c>
      <c r="DM327" s="144">
        <f t="shared" si="893"/>
        <v>0</v>
      </c>
      <c r="DN327" s="144">
        <f t="shared" si="893"/>
        <v>0</v>
      </c>
      <c r="DO327" s="9">
        <f t="shared" si="893"/>
        <v>0</v>
      </c>
      <c r="DP327" s="144">
        <f t="shared" si="893"/>
        <v>0</v>
      </c>
      <c r="DQ327" s="144">
        <f t="shared" si="893"/>
        <v>0</v>
      </c>
      <c r="DR327" s="144">
        <f t="shared" si="893"/>
        <v>0</v>
      </c>
      <c r="DS327" s="144">
        <f t="shared" si="893"/>
        <v>0</v>
      </c>
      <c r="DT327" s="144">
        <f t="shared" si="893"/>
        <v>0</v>
      </c>
      <c r="DU327" s="144">
        <f t="shared" si="893"/>
        <v>0</v>
      </c>
      <c r="DV327" s="144">
        <f t="shared" si="893"/>
        <v>0</v>
      </c>
      <c r="DW327" s="144">
        <f t="shared" si="893"/>
        <v>0</v>
      </c>
      <c r="DX327" s="144">
        <f t="shared" si="893"/>
        <v>0</v>
      </c>
      <c r="DY327" s="144">
        <f t="shared" si="893"/>
        <v>0</v>
      </c>
      <c r="DZ327" s="144">
        <f t="shared" si="893"/>
        <v>0</v>
      </c>
      <c r="EA327" s="144">
        <f t="shared" si="893"/>
        <v>0</v>
      </c>
      <c r="EB327" s="117">
        <f t="shared" si="893"/>
        <v>0</v>
      </c>
      <c r="EC327" s="118"/>
      <c r="ED327" s="117">
        <f t="shared" ref="ED327:FB327" si="894">ED115/ED$211</f>
        <v>0</v>
      </c>
      <c r="EE327" s="117">
        <f t="shared" si="894"/>
        <v>0</v>
      </c>
      <c r="EF327" s="117">
        <f t="shared" si="894"/>
        <v>0</v>
      </c>
      <c r="EG327" s="117" t="e">
        <f t="shared" si="894"/>
        <v>#DIV/0!</v>
      </c>
      <c r="EH327" s="117" t="e">
        <f t="shared" si="894"/>
        <v>#DIV/0!</v>
      </c>
      <c r="EI327" s="117" t="e">
        <f t="shared" si="894"/>
        <v>#DIV/0!</v>
      </c>
      <c r="EJ327" s="117" t="e">
        <f t="shared" si="894"/>
        <v>#DIV/0!</v>
      </c>
      <c r="EK327" s="117" t="e">
        <f t="shared" si="894"/>
        <v>#DIV/0!</v>
      </c>
      <c r="EL327" s="117" t="e">
        <f t="shared" si="894"/>
        <v>#DIV/0!</v>
      </c>
      <c r="EM327" s="117" t="e">
        <f t="shared" si="894"/>
        <v>#DIV/0!</v>
      </c>
      <c r="EN327" s="117" t="e">
        <f t="shared" si="894"/>
        <v>#DIV/0!</v>
      </c>
      <c r="EO327" s="116">
        <f t="shared" si="894"/>
        <v>0</v>
      </c>
      <c r="EP327" s="117">
        <f t="shared" si="894"/>
        <v>0</v>
      </c>
      <c r="EQ327" s="117">
        <f t="shared" si="894"/>
        <v>0</v>
      </c>
      <c r="ER327" s="117">
        <f t="shared" si="894"/>
        <v>0</v>
      </c>
      <c r="ES327" s="117">
        <f t="shared" si="894"/>
        <v>0</v>
      </c>
      <c r="ET327" s="117">
        <f t="shared" si="894"/>
        <v>0</v>
      </c>
      <c r="EU327" s="117">
        <f t="shared" si="894"/>
        <v>0</v>
      </c>
      <c r="EV327" s="117">
        <f t="shared" si="894"/>
        <v>0</v>
      </c>
      <c r="EW327" s="117">
        <f t="shared" si="894"/>
        <v>0</v>
      </c>
      <c r="EX327" s="117">
        <f t="shared" si="894"/>
        <v>0</v>
      </c>
      <c r="EY327" s="117">
        <f t="shared" si="894"/>
        <v>0</v>
      </c>
      <c r="EZ327" s="117">
        <f t="shared" si="894"/>
        <v>0</v>
      </c>
      <c r="FA327" s="117">
        <f t="shared" si="894"/>
        <v>0</v>
      </c>
      <c r="FB327" s="117">
        <f t="shared" si="894"/>
        <v>0</v>
      </c>
      <c r="FC327" s="118"/>
      <c r="FD327" s="117"/>
      <c r="FE327" s="117"/>
      <c r="FF327" s="117"/>
      <c r="FG327" s="117"/>
      <c r="FH327" s="117"/>
      <c r="FI327" s="117"/>
      <c r="FJ327" s="117"/>
      <c r="FK327" s="117" t="e">
        <f t="shared" si="601"/>
        <v>#DIV/0!</v>
      </c>
      <c r="FL327" s="117" t="e">
        <f t="shared" si="602"/>
        <v>#DIV/0!</v>
      </c>
      <c r="FM327" s="117" t="e">
        <f t="shared" si="603"/>
        <v>#DIV/0!</v>
      </c>
      <c r="FN327" s="117" t="e">
        <f t="shared" si="604"/>
        <v>#DIV/0!</v>
      </c>
      <c r="FO327" s="9" t="e">
        <f t="shared" si="605"/>
        <v>#DIV/0!</v>
      </c>
      <c r="FP327" s="118">
        <f t="shared" ref="FP327:GB327" si="895">FP115/FP$211</f>
        <v>0</v>
      </c>
      <c r="FQ327" s="117">
        <f t="shared" si="895"/>
        <v>0</v>
      </c>
      <c r="FR327" s="117">
        <f t="shared" si="895"/>
        <v>0</v>
      </c>
      <c r="FS327" s="117">
        <f t="shared" si="895"/>
        <v>0</v>
      </c>
      <c r="FT327" s="117">
        <f t="shared" si="895"/>
        <v>0</v>
      </c>
      <c r="FU327" s="117">
        <f t="shared" si="895"/>
        <v>0</v>
      </c>
      <c r="FV327" s="117">
        <f t="shared" si="895"/>
        <v>0</v>
      </c>
      <c r="FW327" s="117">
        <f t="shared" si="895"/>
        <v>0</v>
      </c>
      <c r="FX327" s="117">
        <f t="shared" si="895"/>
        <v>0</v>
      </c>
      <c r="FY327" s="117">
        <f t="shared" si="895"/>
        <v>0</v>
      </c>
      <c r="FZ327" s="117">
        <f t="shared" si="895"/>
        <v>0</v>
      </c>
      <c r="GA327" s="117">
        <f t="shared" si="895"/>
        <v>0</v>
      </c>
      <c r="GB327" s="116">
        <f t="shared" si="895"/>
        <v>0</v>
      </c>
    </row>
    <row r="328" spans="1:184">
      <c r="A328" s="147" t="s">
        <v>257</v>
      </c>
      <c r="B328" s="160" t="e">
        <f t="shared" si="607"/>
        <v>#DIV/0!</v>
      </c>
      <c r="C328" s="117">
        <f t="shared" ref="C328:AH328" si="896">C116/C$211</f>
        <v>0</v>
      </c>
      <c r="D328" s="117">
        <f t="shared" si="896"/>
        <v>0</v>
      </c>
      <c r="E328" s="117">
        <f t="shared" si="896"/>
        <v>0</v>
      </c>
      <c r="F328" s="117">
        <f t="shared" si="896"/>
        <v>0</v>
      </c>
      <c r="G328" s="117">
        <f t="shared" si="896"/>
        <v>0</v>
      </c>
      <c r="H328" s="117">
        <f t="shared" si="896"/>
        <v>0</v>
      </c>
      <c r="I328" s="117">
        <f t="shared" si="896"/>
        <v>0</v>
      </c>
      <c r="J328" s="117">
        <f t="shared" si="896"/>
        <v>0</v>
      </c>
      <c r="K328" s="117">
        <f t="shared" si="896"/>
        <v>0</v>
      </c>
      <c r="L328" s="117">
        <f t="shared" si="896"/>
        <v>0</v>
      </c>
      <c r="M328" s="117">
        <f t="shared" si="896"/>
        <v>0</v>
      </c>
      <c r="N328" s="117">
        <f t="shared" si="896"/>
        <v>0</v>
      </c>
      <c r="O328" s="9">
        <f t="shared" si="896"/>
        <v>0</v>
      </c>
      <c r="P328" s="117">
        <f t="shared" si="896"/>
        <v>0</v>
      </c>
      <c r="Q328" s="117">
        <f t="shared" si="896"/>
        <v>0</v>
      </c>
      <c r="R328" s="117">
        <f t="shared" si="896"/>
        <v>0</v>
      </c>
      <c r="S328" s="117">
        <f t="shared" si="896"/>
        <v>0</v>
      </c>
      <c r="T328" s="117">
        <f t="shared" si="896"/>
        <v>0</v>
      </c>
      <c r="U328" s="117">
        <f t="shared" si="896"/>
        <v>0</v>
      </c>
      <c r="V328" s="117">
        <f t="shared" si="896"/>
        <v>0</v>
      </c>
      <c r="W328" s="117">
        <f t="shared" si="896"/>
        <v>0</v>
      </c>
      <c r="X328" s="117">
        <f t="shared" si="896"/>
        <v>0</v>
      </c>
      <c r="Y328" s="117">
        <f t="shared" si="896"/>
        <v>0</v>
      </c>
      <c r="Z328" s="117">
        <f t="shared" si="896"/>
        <v>0</v>
      </c>
      <c r="AA328" s="117">
        <f t="shared" si="896"/>
        <v>0</v>
      </c>
      <c r="AB328" s="9">
        <f t="shared" si="896"/>
        <v>0</v>
      </c>
      <c r="AC328" s="117">
        <f t="shared" si="896"/>
        <v>0</v>
      </c>
      <c r="AD328" s="117">
        <f t="shared" si="896"/>
        <v>0</v>
      </c>
      <c r="AE328" s="117">
        <f t="shared" si="896"/>
        <v>0</v>
      </c>
      <c r="AF328" s="117">
        <f t="shared" si="896"/>
        <v>0</v>
      </c>
      <c r="AG328" s="117">
        <f t="shared" si="896"/>
        <v>0</v>
      </c>
      <c r="AH328" s="117">
        <f t="shared" si="896"/>
        <v>0</v>
      </c>
      <c r="AI328" s="117">
        <f t="shared" ref="AI328:BN328" si="897">AI116/AI$211</f>
        <v>0</v>
      </c>
      <c r="AJ328" s="117">
        <f t="shared" si="897"/>
        <v>0</v>
      </c>
      <c r="AK328" s="117">
        <f t="shared" si="897"/>
        <v>0</v>
      </c>
      <c r="AL328" s="117">
        <f t="shared" si="897"/>
        <v>0</v>
      </c>
      <c r="AM328" s="117">
        <f t="shared" si="897"/>
        <v>0</v>
      </c>
      <c r="AN328" s="117">
        <f t="shared" si="897"/>
        <v>0</v>
      </c>
      <c r="AO328" s="9">
        <f t="shared" si="897"/>
        <v>0</v>
      </c>
      <c r="AP328" s="144">
        <f t="shared" si="897"/>
        <v>0</v>
      </c>
      <c r="AQ328" s="144">
        <f t="shared" si="897"/>
        <v>0</v>
      </c>
      <c r="AR328" s="144">
        <f t="shared" si="897"/>
        <v>0</v>
      </c>
      <c r="AS328" s="144">
        <f t="shared" si="897"/>
        <v>0</v>
      </c>
      <c r="AT328" s="144">
        <f t="shared" si="897"/>
        <v>0</v>
      </c>
      <c r="AU328" s="144">
        <f t="shared" si="897"/>
        <v>0</v>
      </c>
      <c r="AV328" s="144">
        <f t="shared" si="897"/>
        <v>0</v>
      </c>
      <c r="AW328" s="144">
        <f t="shared" si="897"/>
        <v>0</v>
      </c>
      <c r="AX328" s="144">
        <f t="shared" si="897"/>
        <v>0</v>
      </c>
      <c r="AY328" s="144">
        <f t="shared" si="897"/>
        <v>0</v>
      </c>
      <c r="AZ328" s="144">
        <f t="shared" si="897"/>
        <v>0</v>
      </c>
      <c r="BA328" s="144">
        <f t="shared" si="897"/>
        <v>0</v>
      </c>
      <c r="BB328" s="9">
        <f t="shared" si="897"/>
        <v>0</v>
      </c>
      <c r="BC328" s="144">
        <f t="shared" si="897"/>
        <v>0</v>
      </c>
      <c r="BD328" s="144">
        <f t="shared" si="897"/>
        <v>0</v>
      </c>
      <c r="BE328" s="144">
        <f t="shared" si="897"/>
        <v>0</v>
      </c>
      <c r="BF328" s="144">
        <f t="shared" si="897"/>
        <v>0</v>
      </c>
      <c r="BG328" s="144">
        <f t="shared" si="897"/>
        <v>0</v>
      </c>
      <c r="BH328" s="144">
        <f t="shared" si="897"/>
        <v>0</v>
      </c>
      <c r="BI328" s="144">
        <f t="shared" si="897"/>
        <v>0</v>
      </c>
      <c r="BJ328" s="144">
        <f t="shared" si="897"/>
        <v>0</v>
      </c>
      <c r="BK328" s="144">
        <f t="shared" si="897"/>
        <v>0</v>
      </c>
      <c r="BL328" s="144">
        <f t="shared" si="897"/>
        <v>0</v>
      </c>
      <c r="BM328" s="144">
        <f t="shared" si="897"/>
        <v>0</v>
      </c>
      <c r="BN328" s="144">
        <f t="shared" si="897"/>
        <v>0</v>
      </c>
      <c r="BO328" s="9">
        <f t="shared" ref="BO328:CT328" si="898">BO116/BO$211</f>
        <v>0</v>
      </c>
      <c r="BP328" s="144">
        <f t="shared" si="898"/>
        <v>0</v>
      </c>
      <c r="BQ328" s="144">
        <f t="shared" si="898"/>
        <v>0</v>
      </c>
      <c r="BR328" s="144">
        <f t="shared" si="898"/>
        <v>0</v>
      </c>
      <c r="BS328" s="144">
        <f t="shared" si="898"/>
        <v>0</v>
      </c>
      <c r="BT328" s="144">
        <f t="shared" si="898"/>
        <v>0</v>
      </c>
      <c r="BU328" s="144">
        <f t="shared" si="898"/>
        <v>0</v>
      </c>
      <c r="BV328" s="144">
        <f t="shared" si="898"/>
        <v>0</v>
      </c>
      <c r="BW328" s="144">
        <f t="shared" si="898"/>
        <v>0</v>
      </c>
      <c r="BX328" s="144">
        <f t="shared" si="898"/>
        <v>0</v>
      </c>
      <c r="BY328" s="144">
        <f t="shared" si="898"/>
        <v>0</v>
      </c>
      <c r="BZ328" s="144">
        <f t="shared" si="898"/>
        <v>0</v>
      </c>
      <c r="CA328" s="144">
        <f t="shared" si="898"/>
        <v>0</v>
      </c>
      <c r="CB328" s="9">
        <f t="shared" si="898"/>
        <v>0</v>
      </c>
      <c r="CC328" s="144">
        <f t="shared" si="898"/>
        <v>0</v>
      </c>
      <c r="CD328" s="144">
        <f t="shared" si="898"/>
        <v>0</v>
      </c>
      <c r="CE328" s="144">
        <f t="shared" si="898"/>
        <v>0</v>
      </c>
      <c r="CF328" s="144">
        <f t="shared" si="898"/>
        <v>0</v>
      </c>
      <c r="CG328" s="144">
        <f t="shared" si="898"/>
        <v>0</v>
      </c>
      <c r="CH328" s="144">
        <f t="shared" si="898"/>
        <v>0</v>
      </c>
      <c r="CI328" s="144">
        <f t="shared" si="898"/>
        <v>0</v>
      </c>
      <c r="CJ328" s="144">
        <f t="shared" si="898"/>
        <v>0</v>
      </c>
      <c r="CK328" s="144">
        <f t="shared" si="898"/>
        <v>0</v>
      </c>
      <c r="CL328" s="144">
        <f t="shared" si="898"/>
        <v>0</v>
      </c>
      <c r="CM328" s="144">
        <f t="shared" si="898"/>
        <v>0</v>
      </c>
      <c r="CN328" s="144">
        <f t="shared" si="898"/>
        <v>0</v>
      </c>
      <c r="CO328" s="9">
        <f t="shared" si="898"/>
        <v>0</v>
      </c>
      <c r="CP328" s="144">
        <f t="shared" si="898"/>
        <v>0</v>
      </c>
      <c r="CQ328" s="144">
        <f t="shared" si="898"/>
        <v>0</v>
      </c>
      <c r="CR328" s="144">
        <f t="shared" si="898"/>
        <v>0</v>
      </c>
      <c r="CS328" s="144">
        <f t="shared" si="898"/>
        <v>0</v>
      </c>
      <c r="CT328" s="144">
        <f t="shared" si="898"/>
        <v>0</v>
      </c>
      <c r="CU328" s="144">
        <f t="shared" ref="CU328:EB328" si="899">CU116/CU$211</f>
        <v>0</v>
      </c>
      <c r="CV328" s="144">
        <f t="shared" si="899"/>
        <v>0</v>
      </c>
      <c r="CW328" s="144">
        <f t="shared" si="899"/>
        <v>0</v>
      </c>
      <c r="CX328" s="144">
        <f t="shared" si="899"/>
        <v>0</v>
      </c>
      <c r="CY328" s="144">
        <f t="shared" si="899"/>
        <v>0</v>
      </c>
      <c r="CZ328" s="144">
        <f t="shared" si="899"/>
        <v>0</v>
      </c>
      <c r="DA328" s="144">
        <f t="shared" si="899"/>
        <v>0</v>
      </c>
      <c r="DB328" s="9">
        <f t="shared" si="899"/>
        <v>0</v>
      </c>
      <c r="DC328" s="144">
        <f t="shared" si="899"/>
        <v>0</v>
      </c>
      <c r="DD328" s="144">
        <f t="shared" si="899"/>
        <v>0</v>
      </c>
      <c r="DE328" s="144">
        <f t="shared" si="899"/>
        <v>0</v>
      </c>
      <c r="DF328" s="144">
        <f t="shared" si="899"/>
        <v>0</v>
      </c>
      <c r="DG328" s="144">
        <f t="shared" si="899"/>
        <v>0</v>
      </c>
      <c r="DH328" s="144">
        <f t="shared" si="899"/>
        <v>0</v>
      </c>
      <c r="DI328" s="144">
        <f t="shared" si="899"/>
        <v>0</v>
      </c>
      <c r="DJ328" s="144">
        <f t="shared" si="899"/>
        <v>0</v>
      </c>
      <c r="DK328" s="144">
        <f t="shared" si="899"/>
        <v>0</v>
      </c>
      <c r="DL328" s="144">
        <f t="shared" si="899"/>
        <v>0</v>
      </c>
      <c r="DM328" s="144">
        <f t="shared" si="899"/>
        <v>0</v>
      </c>
      <c r="DN328" s="144">
        <f t="shared" si="899"/>
        <v>0</v>
      </c>
      <c r="DO328" s="9">
        <f t="shared" si="899"/>
        <v>0</v>
      </c>
      <c r="DP328" s="144">
        <f t="shared" si="899"/>
        <v>0</v>
      </c>
      <c r="DQ328" s="144">
        <f t="shared" si="899"/>
        <v>0</v>
      </c>
      <c r="DR328" s="144">
        <f t="shared" si="899"/>
        <v>0</v>
      </c>
      <c r="DS328" s="144">
        <f t="shared" si="899"/>
        <v>0</v>
      </c>
      <c r="DT328" s="144">
        <f t="shared" si="899"/>
        <v>0</v>
      </c>
      <c r="DU328" s="144">
        <f t="shared" si="899"/>
        <v>0</v>
      </c>
      <c r="DV328" s="144">
        <f t="shared" si="899"/>
        <v>0</v>
      </c>
      <c r="DW328" s="144">
        <f t="shared" si="899"/>
        <v>0</v>
      </c>
      <c r="DX328" s="144">
        <f t="shared" si="899"/>
        <v>0</v>
      </c>
      <c r="DY328" s="144">
        <f t="shared" si="899"/>
        <v>0</v>
      </c>
      <c r="DZ328" s="144">
        <f t="shared" si="899"/>
        <v>0</v>
      </c>
      <c r="EA328" s="144">
        <f t="shared" si="899"/>
        <v>0</v>
      </c>
      <c r="EB328" s="117">
        <f t="shared" si="899"/>
        <v>0</v>
      </c>
      <c r="EC328" s="118"/>
      <c r="ED328" s="117">
        <f t="shared" ref="ED328:FB328" si="900">ED116/ED$211</f>
        <v>0</v>
      </c>
      <c r="EE328" s="117">
        <f t="shared" si="900"/>
        <v>0</v>
      </c>
      <c r="EF328" s="117">
        <f t="shared" si="900"/>
        <v>0</v>
      </c>
      <c r="EG328" s="117" t="e">
        <f t="shared" si="900"/>
        <v>#DIV/0!</v>
      </c>
      <c r="EH328" s="117" t="e">
        <f t="shared" si="900"/>
        <v>#DIV/0!</v>
      </c>
      <c r="EI328" s="117" t="e">
        <f t="shared" si="900"/>
        <v>#DIV/0!</v>
      </c>
      <c r="EJ328" s="117" t="e">
        <f t="shared" si="900"/>
        <v>#DIV/0!</v>
      </c>
      <c r="EK328" s="117" t="e">
        <f t="shared" si="900"/>
        <v>#DIV/0!</v>
      </c>
      <c r="EL328" s="117" t="e">
        <f t="shared" si="900"/>
        <v>#DIV/0!</v>
      </c>
      <c r="EM328" s="117" t="e">
        <f t="shared" si="900"/>
        <v>#DIV/0!</v>
      </c>
      <c r="EN328" s="117" t="e">
        <f t="shared" si="900"/>
        <v>#DIV/0!</v>
      </c>
      <c r="EO328" s="116">
        <f t="shared" si="900"/>
        <v>0</v>
      </c>
      <c r="EP328" s="117">
        <f t="shared" si="900"/>
        <v>0</v>
      </c>
      <c r="EQ328" s="117">
        <f t="shared" si="900"/>
        <v>0</v>
      </c>
      <c r="ER328" s="117">
        <f t="shared" si="900"/>
        <v>0</v>
      </c>
      <c r="ES328" s="117">
        <f t="shared" si="900"/>
        <v>0</v>
      </c>
      <c r="ET328" s="117">
        <f t="shared" si="900"/>
        <v>0</v>
      </c>
      <c r="EU328" s="117">
        <f t="shared" si="900"/>
        <v>0</v>
      </c>
      <c r="EV328" s="117">
        <f t="shared" si="900"/>
        <v>0</v>
      </c>
      <c r="EW328" s="117">
        <f t="shared" si="900"/>
        <v>0</v>
      </c>
      <c r="EX328" s="117">
        <f t="shared" si="900"/>
        <v>0</v>
      </c>
      <c r="EY328" s="117">
        <f t="shared" si="900"/>
        <v>0</v>
      </c>
      <c r="EZ328" s="117">
        <f t="shared" si="900"/>
        <v>0</v>
      </c>
      <c r="FA328" s="117">
        <f t="shared" si="900"/>
        <v>0</v>
      </c>
      <c r="FB328" s="117">
        <f t="shared" si="900"/>
        <v>0</v>
      </c>
      <c r="FC328" s="118"/>
      <c r="FD328" s="117"/>
      <c r="FE328" s="117"/>
      <c r="FF328" s="117"/>
      <c r="FG328" s="117"/>
      <c r="FH328" s="117"/>
      <c r="FI328" s="117"/>
      <c r="FJ328" s="117"/>
      <c r="FK328" s="117" t="e">
        <f t="shared" si="601"/>
        <v>#DIV/0!</v>
      </c>
      <c r="FL328" s="117" t="e">
        <f t="shared" si="602"/>
        <v>#DIV/0!</v>
      </c>
      <c r="FM328" s="117" t="e">
        <f t="shared" si="603"/>
        <v>#DIV/0!</v>
      </c>
      <c r="FN328" s="117" t="e">
        <f t="shared" si="604"/>
        <v>#DIV/0!</v>
      </c>
      <c r="FO328" s="9" t="e">
        <f t="shared" si="605"/>
        <v>#DIV/0!</v>
      </c>
      <c r="FP328" s="118">
        <f t="shared" ref="FP328:GB328" si="901">FP116/FP$211</f>
        <v>0</v>
      </c>
      <c r="FQ328" s="117">
        <f t="shared" si="901"/>
        <v>0</v>
      </c>
      <c r="FR328" s="117">
        <f t="shared" si="901"/>
        <v>0</v>
      </c>
      <c r="FS328" s="117">
        <f t="shared" si="901"/>
        <v>0</v>
      </c>
      <c r="FT328" s="117">
        <f t="shared" si="901"/>
        <v>0</v>
      </c>
      <c r="FU328" s="117">
        <f t="shared" si="901"/>
        <v>0</v>
      </c>
      <c r="FV328" s="117">
        <f t="shared" si="901"/>
        <v>0</v>
      </c>
      <c r="FW328" s="117">
        <f t="shared" si="901"/>
        <v>0</v>
      </c>
      <c r="FX328" s="117">
        <f t="shared" si="901"/>
        <v>0</v>
      </c>
      <c r="FY328" s="117">
        <f t="shared" si="901"/>
        <v>0</v>
      </c>
      <c r="FZ328" s="117">
        <f t="shared" si="901"/>
        <v>0</v>
      </c>
      <c r="GA328" s="117">
        <f t="shared" si="901"/>
        <v>0</v>
      </c>
      <c r="GB328" s="116">
        <f t="shared" si="901"/>
        <v>0</v>
      </c>
    </row>
    <row r="329" spans="1:184">
      <c r="A329" s="147" t="s">
        <v>259</v>
      </c>
      <c r="B329" s="160">
        <f t="shared" si="607"/>
        <v>0.443367158580074</v>
      </c>
      <c r="C329" s="117">
        <f t="shared" ref="C329:AH329" si="902">C117/C$211</f>
        <v>7.68249463661163e-7</v>
      </c>
      <c r="D329" s="117">
        <f t="shared" si="902"/>
        <v>1.75292523229845e-6</v>
      </c>
      <c r="E329" s="117">
        <f t="shared" si="902"/>
        <v>8.50657066687404e-7</v>
      </c>
      <c r="F329" s="117">
        <f t="shared" si="902"/>
        <v>2.51701385681313e-5</v>
      </c>
      <c r="G329" s="117">
        <f t="shared" si="902"/>
        <v>0</v>
      </c>
      <c r="H329" s="117">
        <f t="shared" si="902"/>
        <v>0</v>
      </c>
      <c r="I329" s="117">
        <f t="shared" si="902"/>
        <v>0</v>
      </c>
      <c r="J329" s="117">
        <f t="shared" si="902"/>
        <v>0</v>
      </c>
      <c r="K329" s="117">
        <f t="shared" si="902"/>
        <v>0</v>
      </c>
      <c r="L329" s="117">
        <f t="shared" si="902"/>
        <v>0</v>
      </c>
      <c r="M329" s="117">
        <f t="shared" si="902"/>
        <v>0</v>
      </c>
      <c r="N329" s="117">
        <f t="shared" si="902"/>
        <v>0</v>
      </c>
      <c r="O329" s="9">
        <f t="shared" si="902"/>
        <v>2.16842105853585e-6</v>
      </c>
      <c r="P329" s="117">
        <f t="shared" si="902"/>
        <v>0</v>
      </c>
      <c r="Q329" s="117">
        <f t="shared" si="902"/>
        <v>0</v>
      </c>
      <c r="R329" s="117">
        <f t="shared" si="902"/>
        <v>0</v>
      </c>
      <c r="S329" s="117">
        <f t="shared" si="902"/>
        <v>0</v>
      </c>
      <c r="T329" s="117">
        <f t="shared" si="902"/>
        <v>0</v>
      </c>
      <c r="U329" s="117">
        <f t="shared" si="902"/>
        <v>0</v>
      </c>
      <c r="V329" s="117">
        <f t="shared" si="902"/>
        <v>0</v>
      </c>
      <c r="W329" s="117">
        <f t="shared" si="902"/>
        <v>0</v>
      </c>
      <c r="X329" s="117">
        <f t="shared" si="902"/>
        <v>0</v>
      </c>
      <c r="Y329" s="117">
        <f t="shared" si="902"/>
        <v>0</v>
      </c>
      <c r="Z329" s="117">
        <f t="shared" si="902"/>
        <v>0</v>
      </c>
      <c r="AA329" s="117">
        <f t="shared" si="902"/>
        <v>0</v>
      </c>
      <c r="AB329" s="9">
        <f t="shared" si="902"/>
        <v>0</v>
      </c>
      <c r="AC329" s="117">
        <f t="shared" si="902"/>
        <v>0</v>
      </c>
      <c r="AD329" s="117">
        <f t="shared" si="902"/>
        <v>0</v>
      </c>
      <c r="AE329" s="117">
        <f t="shared" si="902"/>
        <v>0</v>
      </c>
      <c r="AF329" s="117">
        <f t="shared" si="902"/>
        <v>0</v>
      </c>
      <c r="AG329" s="117">
        <f t="shared" si="902"/>
        <v>0</v>
      </c>
      <c r="AH329" s="117">
        <f t="shared" si="902"/>
        <v>0</v>
      </c>
      <c r="AI329" s="117">
        <f t="shared" ref="AI329:BN329" si="903">AI117/AI$211</f>
        <v>0</v>
      </c>
      <c r="AJ329" s="117">
        <f t="shared" si="903"/>
        <v>0</v>
      </c>
      <c r="AK329" s="117">
        <f t="shared" si="903"/>
        <v>0</v>
      </c>
      <c r="AL329" s="117">
        <f t="shared" si="903"/>
        <v>0</v>
      </c>
      <c r="AM329" s="117">
        <f t="shared" si="903"/>
        <v>0</v>
      </c>
      <c r="AN329" s="117">
        <f t="shared" si="903"/>
        <v>0</v>
      </c>
      <c r="AO329" s="9">
        <f t="shared" si="903"/>
        <v>0</v>
      </c>
      <c r="AP329" s="144">
        <f t="shared" si="903"/>
        <v>0</v>
      </c>
      <c r="AQ329" s="144">
        <f t="shared" si="903"/>
        <v>0</v>
      </c>
      <c r="AR329" s="144">
        <f t="shared" si="903"/>
        <v>0</v>
      </c>
      <c r="AS329" s="144">
        <f t="shared" si="903"/>
        <v>0</v>
      </c>
      <c r="AT329" s="144">
        <f t="shared" si="903"/>
        <v>0</v>
      </c>
      <c r="AU329" s="144">
        <f t="shared" si="903"/>
        <v>0</v>
      </c>
      <c r="AV329" s="144">
        <f t="shared" si="903"/>
        <v>0</v>
      </c>
      <c r="AW329" s="144">
        <f t="shared" si="903"/>
        <v>0</v>
      </c>
      <c r="AX329" s="144">
        <f t="shared" si="903"/>
        <v>0</v>
      </c>
      <c r="AY329" s="144">
        <f t="shared" si="903"/>
        <v>0</v>
      </c>
      <c r="AZ329" s="144">
        <f t="shared" si="903"/>
        <v>0</v>
      </c>
      <c r="BA329" s="144">
        <f t="shared" si="903"/>
        <v>0</v>
      </c>
      <c r="BB329" s="9">
        <f t="shared" si="903"/>
        <v>0</v>
      </c>
      <c r="BC329" s="144">
        <f t="shared" si="903"/>
        <v>0</v>
      </c>
      <c r="BD329" s="144">
        <f t="shared" si="903"/>
        <v>0</v>
      </c>
      <c r="BE329" s="144">
        <f t="shared" si="903"/>
        <v>0</v>
      </c>
      <c r="BF329" s="144">
        <f t="shared" si="903"/>
        <v>0</v>
      </c>
      <c r="BG329" s="144">
        <f t="shared" si="903"/>
        <v>0</v>
      </c>
      <c r="BH329" s="144">
        <f t="shared" si="903"/>
        <v>0</v>
      </c>
      <c r="BI329" s="144">
        <f t="shared" si="903"/>
        <v>0</v>
      </c>
      <c r="BJ329" s="144">
        <f t="shared" si="903"/>
        <v>0</v>
      </c>
      <c r="BK329" s="144">
        <f t="shared" si="903"/>
        <v>0</v>
      </c>
      <c r="BL329" s="144">
        <f t="shared" si="903"/>
        <v>0</v>
      </c>
      <c r="BM329" s="144">
        <f t="shared" si="903"/>
        <v>0</v>
      </c>
      <c r="BN329" s="144">
        <f t="shared" si="903"/>
        <v>0</v>
      </c>
      <c r="BO329" s="9">
        <f t="shared" ref="BO329:CT329" si="904">BO117/BO$211</f>
        <v>0</v>
      </c>
      <c r="BP329" s="144">
        <f t="shared" si="904"/>
        <v>3.68060640743357e-6</v>
      </c>
      <c r="BQ329" s="144">
        <f t="shared" si="904"/>
        <v>8.06787899159915e-6</v>
      </c>
      <c r="BR329" s="144">
        <f t="shared" si="904"/>
        <v>4.32127382797534e-6</v>
      </c>
      <c r="BS329" s="144">
        <f t="shared" si="904"/>
        <v>0</v>
      </c>
      <c r="BT329" s="144">
        <f t="shared" si="904"/>
        <v>0</v>
      </c>
      <c r="BU329" s="144">
        <f t="shared" si="904"/>
        <v>0</v>
      </c>
      <c r="BV329" s="144">
        <f t="shared" si="904"/>
        <v>0</v>
      </c>
      <c r="BW329" s="144">
        <f t="shared" si="904"/>
        <v>0</v>
      </c>
      <c r="BX329" s="144">
        <f t="shared" si="904"/>
        <v>0</v>
      </c>
      <c r="BY329" s="144">
        <f t="shared" si="904"/>
        <v>0</v>
      </c>
      <c r="BZ329" s="144">
        <f t="shared" si="904"/>
        <v>0</v>
      </c>
      <c r="CA329" s="144">
        <f t="shared" si="904"/>
        <v>0</v>
      </c>
      <c r="CB329" s="9">
        <f t="shared" si="904"/>
        <v>1.78419787608511e-6</v>
      </c>
      <c r="CC329" s="144">
        <f t="shared" si="904"/>
        <v>0</v>
      </c>
      <c r="CD329" s="144">
        <f t="shared" si="904"/>
        <v>0</v>
      </c>
      <c r="CE329" s="144">
        <f t="shared" si="904"/>
        <v>0</v>
      </c>
      <c r="CF329" s="144">
        <f t="shared" si="904"/>
        <v>0</v>
      </c>
      <c r="CG329" s="144">
        <f t="shared" si="904"/>
        <v>0</v>
      </c>
      <c r="CH329" s="144">
        <f t="shared" si="904"/>
        <v>0</v>
      </c>
      <c r="CI329" s="144">
        <f t="shared" si="904"/>
        <v>0</v>
      </c>
      <c r="CJ329" s="144">
        <f t="shared" si="904"/>
        <v>0</v>
      </c>
      <c r="CK329" s="144">
        <f t="shared" si="904"/>
        <v>0</v>
      </c>
      <c r="CL329" s="144">
        <f t="shared" si="904"/>
        <v>0</v>
      </c>
      <c r="CM329" s="144">
        <f t="shared" si="904"/>
        <v>0</v>
      </c>
      <c r="CN329" s="144">
        <f t="shared" si="904"/>
        <v>0</v>
      </c>
      <c r="CO329" s="9">
        <f t="shared" si="904"/>
        <v>0</v>
      </c>
      <c r="CP329" s="144">
        <f t="shared" si="904"/>
        <v>0</v>
      </c>
      <c r="CQ329" s="144">
        <f t="shared" si="904"/>
        <v>0</v>
      </c>
      <c r="CR329" s="144">
        <f t="shared" si="904"/>
        <v>0</v>
      </c>
      <c r="CS329" s="144">
        <f t="shared" si="904"/>
        <v>0</v>
      </c>
      <c r="CT329" s="144">
        <f t="shared" si="904"/>
        <v>0</v>
      </c>
      <c r="CU329" s="144">
        <f t="shared" ref="CU329:EB329" si="905">CU117/CU$211</f>
        <v>0</v>
      </c>
      <c r="CV329" s="144">
        <f t="shared" si="905"/>
        <v>0</v>
      </c>
      <c r="CW329" s="144">
        <f t="shared" si="905"/>
        <v>0</v>
      </c>
      <c r="CX329" s="144">
        <f t="shared" si="905"/>
        <v>0</v>
      </c>
      <c r="CY329" s="144">
        <f t="shared" si="905"/>
        <v>0</v>
      </c>
      <c r="CZ329" s="144">
        <f t="shared" si="905"/>
        <v>0</v>
      </c>
      <c r="DA329" s="144">
        <f t="shared" si="905"/>
        <v>0</v>
      </c>
      <c r="DB329" s="9">
        <f t="shared" si="905"/>
        <v>0</v>
      </c>
      <c r="DC329" s="144">
        <f t="shared" si="905"/>
        <v>0</v>
      </c>
      <c r="DD329" s="144">
        <f t="shared" si="905"/>
        <v>0</v>
      </c>
      <c r="DE329" s="144">
        <f t="shared" si="905"/>
        <v>0</v>
      </c>
      <c r="DF329" s="144">
        <f t="shared" si="905"/>
        <v>0</v>
      </c>
      <c r="DG329" s="144">
        <f t="shared" si="905"/>
        <v>0</v>
      </c>
      <c r="DH329" s="144">
        <f t="shared" si="905"/>
        <v>0</v>
      </c>
      <c r="DI329" s="144">
        <f t="shared" si="905"/>
        <v>0</v>
      </c>
      <c r="DJ329" s="144">
        <f t="shared" si="905"/>
        <v>0</v>
      </c>
      <c r="DK329" s="144">
        <f t="shared" si="905"/>
        <v>0</v>
      </c>
      <c r="DL329" s="144">
        <f t="shared" si="905"/>
        <v>0</v>
      </c>
      <c r="DM329" s="144">
        <f t="shared" si="905"/>
        <v>0</v>
      </c>
      <c r="DN329" s="144">
        <f t="shared" si="905"/>
        <v>0</v>
      </c>
      <c r="DO329" s="9">
        <f t="shared" si="905"/>
        <v>0</v>
      </c>
      <c r="DP329" s="144">
        <f t="shared" si="905"/>
        <v>0</v>
      </c>
      <c r="DQ329" s="144">
        <f t="shared" si="905"/>
        <v>0</v>
      </c>
      <c r="DR329" s="144">
        <f t="shared" si="905"/>
        <v>0</v>
      </c>
      <c r="DS329" s="144">
        <f t="shared" si="905"/>
        <v>0</v>
      </c>
      <c r="DT329" s="144">
        <f t="shared" si="905"/>
        <v>0</v>
      </c>
      <c r="DU329" s="144">
        <f t="shared" si="905"/>
        <v>0</v>
      </c>
      <c r="DV329" s="144">
        <f t="shared" si="905"/>
        <v>0</v>
      </c>
      <c r="DW329" s="144">
        <f t="shared" si="905"/>
        <v>0</v>
      </c>
      <c r="DX329" s="144">
        <f t="shared" si="905"/>
        <v>0</v>
      </c>
      <c r="DY329" s="144">
        <f t="shared" si="905"/>
        <v>0</v>
      </c>
      <c r="DZ329" s="144">
        <f t="shared" si="905"/>
        <v>0</v>
      </c>
      <c r="EA329" s="144">
        <f t="shared" si="905"/>
        <v>0</v>
      </c>
      <c r="EB329" s="117">
        <f t="shared" si="905"/>
        <v>0</v>
      </c>
      <c r="EC329" s="118"/>
      <c r="ED329" s="117">
        <f t="shared" ref="ED329:FB329" si="906">ED117/ED$211</f>
        <v>0</v>
      </c>
      <c r="EE329" s="117">
        <f t="shared" si="906"/>
        <v>0</v>
      </c>
      <c r="EF329" s="117">
        <f t="shared" si="906"/>
        <v>0</v>
      </c>
      <c r="EG329" s="117" t="e">
        <f t="shared" si="906"/>
        <v>#DIV/0!</v>
      </c>
      <c r="EH329" s="117" t="e">
        <f t="shared" si="906"/>
        <v>#DIV/0!</v>
      </c>
      <c r="EI329" s="117" t="e">
        <f t="shared" si="906"/>
        <v>#DIV/0!</v>
      </c>
      <c r="EJ329" s="117" t="e">
        <f t="shared" si="906"/>
        <v>#DIV/0!</v>
      </c>
      <c r="EK329" s="117" t="e">
        <f t="shared" si="906"/>
        <v>#DIV/0!</v>
      </c>
      <c r="EL329" s="117" t="e">
        <f t="shared" si="906"/>
        <v>#DIV/0!</v>
      </c>
      <c r="EM329" s="117" t="e">
        <f t="shared" si="906"/>
        <v>#DIV/0!</v>
      </c>
      <c r="EN329" s="117" t="e">
        <f t="shared" si="906"/>
        <v>#DIV/0!</v>
      </c>
      <c r="EO329" s="116">
        <f t="shared" si="906"/>
        <v>0</v>
      </c>
      <c r="EP329" s="117">
        <f t="shared" si="906"/>
        <v>0</v>
      </c>
      <c r="EQ329" s="117">
        <f t="shared" si="906"/>
        <v>0</v>
      </c>
      <c r="ER329" s="117">
        <f t="shared" si="906"/>
        <v>0</v>
      </c>
      <c r="ES329" s="117">
        <f t="shared" si="906"/>
        <v>0</v>
      </c>
      <c r="ET329" s="117">
        <f t="shared" si="906"/>
        <v>0</v>
      </c>
      <c r="EU329" s="117">
        <f t="shared" si="906"/>
        <v>0</v>
      </c>
      <c r="EV329" s="117">
        <f t="shared" si="906"/>
        <v>0</v>
      </c>
      <c r="EW329" s="117">
        <f t="shared" si="906"/>
        <v>0</v>
      </c>
      <c r="EX329" s="117">
        <f t="shared" si="906"/>
        <v>0</v>
      </c>
      <c r="EY329" s="117">
        <f t="shared" si="906"/>
        <v>0</v>
      </c>
      <c r="EZ329" s="117">
        <f t="shared" si="906"/>
        <v>0</v>
      </c>
      <c r="FA329" s="117">
        <f t="shared" si="906"/>
        <v>0</v>
      </c>
      <c r="FB329" s="117">
        <f t="shared" si="906"/>
        <v>0</v>
      </c>
      <c r="FC329" s="118"/>
      <c r="FD329" s="117"/>
      <c r="FE329" s="117"/>
      <c r="FF329" s="117"/>
      <c r="FG329" s="117"/>
      <c r="FH329" s="117"/>
      <c r="FI329" s="117"/>
      <c r="FJ329" s="117"/>
      <c r="FK329" s="117" t="e">
        <f t="shared" si="601"/>
        <v>#DIV/0!</v>
      </c>
      <c r="FL329" s="117" t="e">
        <f t="shared" si="602"/>
        <v>#DIV/0!</v>
      </c>
      <c r="FM329" s="117" t="e">
        <f t="shared" si="603"/>
        <v>#DIV/0!</v>
      </c>
      <c r="FN329" s="117" t="e">
        <f t="shared" si="604"/>
        <v>#DIV/0!</v>
      </c>
      <c r="FO329" s="9" t="e">
        <f t="shared" si="605"/>
        <v>#DIV/0!</v>
      </c>
      <c r="FP329" s="118">
        <f t="shared" ref="FP329:GB329" si="907">FP117/FP$211</f>
        <v>0</v>
      </c>
      <c r="FQ329" s="117">
        <f t="shared" si="907"/>
        <v>0</v>
      </c>
      <c r="FR329" s="117">
        <f t="shared" si="907"/>
        <v>0</v>
      </c>
      <c r="FS329" s="117">
        <f t="shared" si="907"/>
        <v>0.000103448399343697</v>
      </c>
      <c r="FT329" s="117">
        <f t="shared" si="907"/>
        <v>0</v>
      </c>
      <c r="FU329" s="117">
        <f t="shared" si="907"/>
        <v>0</v>
      </c>
      <c r="FV329" s="117">
        <f t="shared" si="907"/>
        <v>0</v>
      </c>
      <c r="FW329" s="117">
        <f t="shared" si="907"/>
        <v>0</v>
      </c>
      <c r="FX329" s="117">
        <f t="shared" si="907"/>
        <v>0</v>
      </c>
      <c r="FY329" s="117">
        <f t="shared" si="907"/>
        <v>0</v>
      </c>
      <c r="FZ329" s="117">
        <f t="shared" si="907"/>
        <v>0</v>
      </c>
      <c r="GA329" s="117">
        <f t="shared" si="907"/>
        <v>0</v>
      </c>
      <c r="GB329" s="116">
        <f t="shared" si="907"/>
        <v>7.61038625841136e-6</v>
      </c>
    </row>
    <row r="330" spans="1:184">
      <c r="A330" s="147" t="s">
        <v>261</v>
      </c>
      <c r="B330" s="160">
        <f t="shared" si="607"/>
        <v>-1</v>
      </c>
      <c r="C330" s="117">
        <f t="shared" ref="C330:AH330" si="908">C118/C$211</f>
        <v>0</v>
      </c>
      <c r="D330" s="117">
        <f t="shared" si="908"/>
        <v>0</v>
      </c>
      <c r="E330" s="117">
        <f t="shared" si="908"/>
        <v>0</v>
      </c>
      <c r="F330" s="117">
        <f t="shared" si="908"/>
        <v>0</v>
      </c>
      <c r="G330" s="117">
        <f t="shared" si="908"/>
        <v>0</v>
      </c>
      <c r="H330" s="117">
        <f t="shared" si="908"/>
        <v>0</v>
      </c>
      <c r="I330" s="117">
        <f t="shared" si="908"/>
        <v>0</v>
      </c>
      <c r="J330" s="117">
        <f t="shared" si="908"/>
        <v>0</v>
      </c>
      <c r="K330" s="117">
        <f t="shared" si="908"/>
        <v>0</v>
      </c>
      <c r="L330" s="117">
        <f t="shared" si="908"/>
        <v>0</v>
      </c>
      <c r="M330" s="117">
        <f t="shared" si="908"/>
        <v>0</v>
      </c>
      <c r="N330" s="117">
        <f t="shared" si="908"/>
        <v>0</v>
      </c>
      <c r="O330" s="9">
        <f t="shared" si="908"/>
        <v>0</v>
      </c>
      <c r="P330" s="117">
        <f t="shared" si="908"/>
        <v>0</v>
      </c>
      <c r="Q330" s="117">
        <f t="shared" si="908"/>
        <v>0</v>
      </c>
      <c r="R330" s="117">
        <f t="shared" si="908"/>
        <v>0</v>
      </c>
      <c r="S330" s="117">
        <f t="shared" si="908"/>
        <v>0</v>
      </c>
      <c r="T330" s="117">
        <f t="shared" si="908"/>
        <v>0</v>
      </c>
      <c r="U330" s="117">
        <f t="shared" si="908"/>
        <v>0</v>
      </c>
      <c r="V330" s="117">
        <f t="shared" si="908"/>
        <v>0</v>
      </c>
      <c r="W330" s="117">
        <f t="shared" si="908"/>
        <v>0</v>
      </c>
      <c r="X330" s="117">
        <f t="shared" si="908"/>
        <v>0</v>
      </c>
      <c r="Y330" s="117">
        <f t="shared" si="908"/>
        <v>0</v>
      </c>
      <c r="Z330" s="117">
        <f t="shared" si="908"/>
        <v>0</v>
      </c>
      <c r="AA330" s="117">
        <f t="shared" si="908"/>
        <v>0</v>
      </c>
      <c r="AB330" s="9">
        <f t="shared" si="908"/>
        <v>0</v>
      </c>
      <c r="AC330" s="117">
        <f t="shared" si="908"/>
        <v>0</v>
      </c>
      <c r="AD330" s="117">
        <f t="shared" si="908"/>
        <v>0</v>
      </c>
      <c r="AE330" s="117">
        <f t="shared" si="908"/>
        <v>0</v>
      </c>
      <c r="AF330" s="117">
        <f t="shared" si="908"/>
        <v>0</v>
      </c>
      <c r="AG330" s="117">
        <f t="shared" si="908"/>
        <v>0</v>
      </c>
      <c r="AH330" s="117">
        <f t="shared" si="908"/>
        <v>0</v>
      </c>
      <c r="AI330" s="117">
        <f t="shared" ref="AI330:BN330" si="909">AI118/AI$211</f>
        <v>0</v>
      </c>
      <c r="AJ330" s="117">
        <f t="shared" si="909"/>
        <v>0</v>
      </c>
      <c r="AK330" s="117">
        <f t="shared" si="909"/>
        <v>0</v>
      </c>
      <c r="AL330" s="117">
        <f t="shared" si="909"/>
        <v>0</v>
      </c>
      <c r="AM330" s="117">
        <f t="shared" si="909"/>
        <v>0</v>
      </c>
      <c r="AN330" s="117">
        <f t="shared" si="909"/>
        <v>0</v>
      </c>
      <c r="AO330" s="9">
        <f t="shared" si="909"/>
        <v>0</v>
      </c>
      <c r="AP330" s="144">
        <f t="shared" si="909"/>
        <v>0</v>
      </c>
      <c r="AQ330" s="144">
        <f t="shared" si="909"/>
        <v>0</v>
      </c>
      <c r="AR330" s="144">
        <f t="shared" si="909"/>
        <v>0</v>
      </c>
      <c r="AS330" s="144">
        <f t="shared" si="909"/>
        <v>0</v>
      </c>
      <c r="AT330" s="144">
        <f t="shared" si="909"/>
        <v>0</v>
      </c>
      <c r="AU330" s="144">
        <f t="shared" si="909"/>
        <v>0</v>
      </c>
      <c r="AV330" s="144">
        <f t="shared" si="909"/>
        <v>0</v>
      </c>
      <c r="AW330" s="144">
        <f t="shared" si="909"/>
        <v>0</v>
      </c>
      <c r="AX330" s="144">
        <f t="shared" si="909"/>
        <v>0</v>
      </c>
      <c r="AY330" s="144">
        <f t="shared" si="909"/>
        <v>0</v>
      </c>
      <c r="AZ330" s="144">
        <f t="shared" si="909"/>
        <v>0</v>
      </c>
      <c r="BA330" s="144">
        <f t="shared" si="909"/>
        <v>0</v>
      </c>
      <c r="BB330" s="9">
        <f t="shared" si="909"/>
        <v>0</v>
      </c>
      <c r="BC330" s="144">
        <f t="shared" si="909"/>
        <v>0</v>
      </c>
      <c r="BD330" s="144">
        <f t="shared" si="909"/>
        <v>0</v>
      </c>
      <c r="BE330" s="144">
        <f t="shared" si="909"/>
        <v>0</v>
      </c>
      <c r="BF330" s="144">
        <f t="shared" si="909"/>
        <v>0</v>
      </c>
      <c r="BG330" s="144">
        <f t="shared" si="909"/>
        <v>0</v>
      </c>
      <c r="BH330" s="144">
        <f t="shared" si="909"/>
        <v>0</v>
      </c>
      <c r="BI330" s="144">
        <f t="shared" si="909"/>
        <v>0</v>
      </c>
      <c r="BJ330" s="144">
        <f t="shared" si="909"/>
        <v>0</v>
      </c>
      <c r="BK330" s="144">
        <f t="shared" si="909"/>
        <v>0</v>
      </c>
      <c r="BL330" s="144">
        <f t="shared" si="909"/>
        <v>0</v>
      </c>
      <c r="BM330" s="144">
        <f t="shared" si="909"/>
        <v>0</v>
      </c>
      <c r="BN330" s="144">
        <f t="shared" si="909"/>
        <v>0</v>
      </c>
      <c r="BO330" s="9">
        <f t="shared" ref="BO330:CT330" si="910">BO118/BO$211</f>
        <v>0</v>
      </c>
      <c r="BP330" s="144">
        <f t="shared" si="910"/>
        <v>0</v>
      </c>
      <c r="BQ330" s="144">
        <f t="shared" si="910"/>
        <v>0</v>
      </c>
      <c r="BR330" s="144">
        <f t="shared" si="910"/>
        <v>0</v>
      </c>
      <c r="BS330" s="144">
        <f t="shared" si="910"/>
        <v>0</v>
      </c>
      <c r="BT330" s="144">
        <f t="shared" si="910"/>
        <v>0</v>
      </c>
      <c r="BU330" s="144">
        <f t="shared" si="910"/>
        <v>0</v>
      </c>
      <c r="BV330" s="144">
        <f t="shared" si="910"/>
        <v>0</v>
      </c>
      <c r="BW330" s="144">
        <f t="shared" si="910"/>
        <v>0</v>
      </c>
      <c r="BX330" s="144">
        <f t="shared" si="910"/>
        <v>0</v>
      </c>
      <c r="BY330" s="144">
        <f t="shared" si="910"/>
        <v>0</v>
      </c>
      <c r="BZ330" s="144">
        <f t="shared" si="910"/>
        <v>0</v>
      </c>
      <c r="CA330" s="144">
        <f t="shared" si="910"/>
        <v>0</v>
      </c>
      <c r="CB330" s="9">
        <f t="shared" si="910"/>
        <v>0</v>
      </c>
      <c r="CC330" s="144">
        <f t="shared" si="910"/>
        <v>0</v>
      </c>
      <c r="CD330" s="144">
        <f t="shared" si="910"/>
        <v>0</v>
      </c>
      <c r="CE330" s="144">
        <f t="shared" si="910"/>
        <v>0</v>
      </c>
      <c r="CF330" s="144">
        <f t="shared" si="910"/>
        <v>0</v>
      </c>
      <c r="CG330" s="144">
        <f t="shared" si="910"/>
        <v>0</v>
      </c>
      <c r="CH330" s="144">
        <f t="shared" si="910"/>
        <v>0</v>
      </c>
      <c r="CI330" s="144">
        <f t="shared" si="910"/>
        <v>0</v>
      </c>
      <c r="CJ330" s="144">
        <f t="shared" si="910"/>
        <v>0</v>
      </c>
      <c r="CK330" s="144">
        <f t="shared" si="910"/>
        <v>0</v>
      </c>
      <c r="CL330" s="144">
        <f t="shared" si="910"/>
        <v>0</v>
      </c>
      <c r="CM330" s="144">
        <f t="shared" si="910"/>
        <v>0</v>
      </c>
      <c r="CN330" s="144">
        <f t="shared" si="910"/>
        <v>0</v>
      </c>
      <c r="CO330" s="9">
        <f t="shared" si="910"/>
        <v>0</v>
      </c>
      <c r="CP330" s="144">
        <f t="shared" si="910"/>
        <v>0</v>
      </c>
      <c r="CQ330" s="144">
        <f t="shared" si="910"/>
        <v>0</v>
      </c>
      <c r="CR330" s="144">
        <f t="shared" si="910"/>
        <v>0</v>
      </c>
      <c r="CS330" s="144">
        <f t="shared" si="910"/>
        <v>0</v>
      </c>
      <c r="CT330" s="144">
        <f t="shared" si="910"/>
        <v>0</v>
      </c>
      <c r="CU330" s="144">
        <f t="shared" ref="CU330:EB330" si="911">CU118/CU$211</f>
        <v>0</v>
      </c>
      <c r="CV330" s="144">
        <f t="shared" si="911"/>
        <v>0</v>
      </c>
      <c r="CW330" s="144">
        <f t="shared" si="911"/>
        <v>0</v>
      </c>
      <c r="CX330" s="144">
        <f t="shared" si="911"/>
        <v>0</v>
      </c>
      <c r="CY330" s="144">
        <f t="shared" si="911"/>
        <v>0</v>
      </c>
      <c r="CZ330" s="144">
        <f t="shared" si="911"/>
        <v>0</v>
      </c>
      <c r="DA330" s="144">
        <f t="shared" si="911"/>
        <v>0</v>
      </c>
      <c r="DB330" s="9">
        <f t="shared" si="911"/>
        <v>0</v>
      </c>
      <c r="DC330" s="144">
        <f t="shared" si="911"/>
        <v>0</v>
      </c>
      <c r="DD330" s="144">
        <f t="shared" si="911"/>
        <v>0</v>
      </c>
      <c r="DE330" s="144">
        <f t="shared" si="911"/>
        <v>0</v>
      </c>
      <c r="DF330" s="144">
        <f t="shared" si="911"/>
        <v>0</v>
      </c>
      <c r="DG330" s="144">
        <f t="shared" si="911"/>
        <v>0</v>
      </c>
      <c r="DH330" s="144">
        <f t="shared" si="911"/>
        <v>0</v>
      </c>
      <c r="DI330" s="144">
        <f t="shared" si="911"/>
        <v>0</v>
      </c>
      <c r="DJ330" s="144">
        <f t="shared" si="911"/>
        <v>0</v>
      </c>
      <c r="DK330" s="144">
        <f t="shared" si="911"/>
        <v>0</v>
      </c>
      <c r="DL330" s="144">
        <f t="shared" si="911"/>
        <v>0</v>
      </c>
      <c r="DM330" s="144">
        <f t="shared" si="911"/>
        <v>0</v>
      </c>
      <c r="DN330" s="144">
        <f t="shared" si="911"/>
        <v>0</v>
      </c>
      <c r="DO330" s="9">
        <f t="shared" si="911"/>
        <v>0</v>
      </c>
      <c r="DP330" s="144">
        <f t="shared" si="911"/>
        <v>0</v>
      </c>
      <c r="DQ330" s="144">
        <f t="shared" si="911"/>
        <v>0</v>
      </c>
      <c r="DR330" s="144">
        <f t="shared" si="911"/>
        <v>0</v>
      </c>
      <c r="DS330" s="144">
        <f t="shared" si="911"/>
        <v>0</v>
      </c>
      <c r="DT330" s="144">
        <f t="shared" si="911"/>
        <v>0</v>
      </c>
      <c r="DU330" s="144">
        <f t="shared" si="911"/>
        <v>0</v>
      </c>
      <c r="DV330" s="144">
        <f t="shared" si="911"/>
        <v>0</v>
      </c>
      <c r="DW330" s="144">
        <f t="shared" si="911"/>
        <v>0</v>
      </c>
      <c r="DX330" s="144">
        <f t="shared" si="911"/>
        <v>0</v>
      </c>
      <c r="DY330" s="144">
        <f t="shared" si="911"/>
        <v>0</v>
      </c>
      <c r="DZ330" s="144">
        <f t="shared" si="911"/>
        <v>0</v>
      </c>
      <c r="EA330" s="144">
        <f t="shared" si="911"/>
        <v>0</v>
      </c>
      <c r="EB330" s="117">
        <f t="shared" si="911"/>
        <v>0</v>
      </c>
      <c r="EC330" s="118"/>
      <c r="ED330" s="117">
        <f t="shared" ref="ED330:FB330" si="912">ED118/ED$211</f>
        <v>0</v>
      </c>
      <c r="EE330" s="117">
        <f t="shared" si="912"/>
        <v>0</v>
      </c>
      <c r="EF330" s="117">
        <f t="shared" si="912"/>
        <v>0</v>
      </c>
      <c r="EG330" s="117" t="e">
        <f t="shared" si="912"/>
        <v>#DIV/0!</v>
      </c>
      <c r="EH330" s="117" t="e">
        <f t="shared" si="912"/>
        <v>#DIV/0!</v>
      </c>
      <c r="EI330" s="117" t="e">
        <f t="shared" si="912"/>
        <v>#DIV/0!</v>
      </c>
      <c r="EJ330" s="117" t="e">
        <f t="shared" si="912"/>
        <v>#DIV/0!</v>
      </c>
      <c r="EK330" s="117" t="e">
        <f t="shared" si="912"/>
        <v>#DIV/0!</v>
      </c>
      <c r="EL330" s="117" t="e">
        <f t="shared" si="912"/>
        <v>#DIV/0!</v>
      </c>
      <c r="EM330" s="117" t="e">
        <f t="shared" si="912"/>
        <v>#DIV/0!</v>
      </c>
      <c r="EN330" s="117" t="e">
        <f t="shared" si="912"/>
        <v>#DIV/0!</v>
      </c>
      <c r="EO330" s="116">
        <f t="shared" si="912"/>
        <v>0</v>
      </c>
      <c r="EP330" s="117">
        <f t="shared" si="912"/>
        <v>0</v>
      </c>
      <c r="EQ330" s="117">
        <f t="shared" si="912"/>
        <v>0</v>
      </c>
      <c r="ER330" s="117">
        <f t="shared" si="912"/>
        <v>0</v>
      </c>
      <c r="ES330" s="117">
        <f t="shared" si="912"/>
        <v>0</v>
      </c>
      <c r="ET330" s="117">
        <f t="shared" si="912"/>
        <v>0</v>
      </c>
      <c r="EU330" s="117">
        <f t="shared" si="912"/>
        <v>0</v>
      </c>
      <c r="EV330" s="117">
        <f t="shared" si="912"/>
        <v>0</v>
      </c>
      <c r="EW330" s="117">
        <f t="shared" si="912"/>
        <v>0</v>
      </c>
      <c r="EX330" s="117">
        <f t="shared" si="912"/>
        <v>0</v>
      </c>
      <c r="EY330" s="117">
        <f t="shared" si="912"/>
        <v>0</v>
      </c>
      <c r="EZ330" s="117">
        <f t="shared" si="912"/>
        <v>0</v>
      </c>
      <c r="FA330" s="117">
        <f t="shared" si="912"/>
        <v>0</v>
      </c>
      <c r="FB330" s="117">
        <f t="shared" si="912"/>
        <v>0</v>
      </c>
      <c r="FC330" s="118"/>
      <c r="FD330" s="117"/>
      <c r="FE330" s="117"/>
      <c r="FF330" s="117"/>
      <c r="FG330" s="117"/>
      <c r="FH330" s="117"/>
      <c r="FI330" s="117"/>
      <c r="FJ330" s="117"/>
      <c r="FK330" s="117" t="e">
        <f t="shared" si="601"/>
        <v>#DIV/0!</v>
      </c>
      <c r="FL330" s="117" t="e">
        <f t="shared" si="602"/>
        <v>#DIV/0!</v>
      </c>
      <c r="FM330" s="117" t="e">
        <f t="shared" si="603"/>
        <v>#DIV/0!</v>
      </c>
      <c r="FN330" s="117" t="e">
        <f t="shared" si="604"/>
        <v>#DIV/0!</v>
      </c>
      <c r="FO330" s="9" t="e">
        <f t="shared" si="605"/>
        <v>#DIV/0!</v>
      </c>
      <c r="FP330" s="118">
        <f t="shared" ref="FP330:GB330" si="913">FP118/FP$211</f>
        <v>0</v>
      </c>
      <c r="FQ330" s="117">
        <f t="shared" si="913"/>
        <v>0</v>
      </c>
      <c r="FR330" s="117">
        <f t="shared" si="913"/>
        <v>0</v>
      </c>
      <c r="FS330" s="117">
        <f t="shared" si="913"/>
        <v>0</v>
      </c>
      <c r="FT330" s="117">
        <f t="shared" si="913"/>
        <v>0</v>
      </c>
      <c r="FU330" s="117">
        <f t="shared" si="913"/>
        <v>0</v>
      </c>
      <c r="FV330" s="117">
        <f t="shared" si="913"/>
        <v>0</v>
      </c>
      <c r="FW330" s="117">
        <f t="shared" si="913"/>
        <v>0</v>
      </c>
      <c r="FX330" s="117">
        <f t="shared" si="913"/>
        <v>0</v>
      </c>
      <c r="FY330" s="117">
        <f t="shared" si="913"/>
        <v>0</v>
      </c>
      <c r="FZ330" s="117">
        <f t="shared" si="913"/>
        <v>0</v>
      </c>
      <c r="GA330" s="117">
        <f t="shared" si="913"/>
        <v>0</v>
      </c>
      <c r="GB330" s="116">
        <f t="shared" si="913"/>
        <v>0</v>
      </c>
    </row>
    <row r="331" spans="1:184">
      <c r="A331" s="147" t="s">
        <v>263</v>
      </c>
      <c r="B331" s="160">
        <f t="shared" si="607"/>
        <v>-0.138413831839736</v>
      </c>
      <c r="C331" s="117">
        <f t="shared" ref="C331:AH331" si="914">C119/C$211</f>
        <v>1.05899112661339e-6</v>
      </c>
      <c r="D331" s="117">
        <f t="shared" si="914"/>
        <v>1.27713192439643e-6</v>
      </c>
      <c r="E331" s="117">
        <f t="shared" si="914"/>
        <v>2.84653150997661e-6</v>
      </c>
      <c r="F331" s="117">
        <f t="shared" si="914"/>
        <v>9.67908949181649e-6</v>
      </c>
      <c r="G331" s="117">
        <f t="shared" si="914"/>
        <v>0</v>
      </c>
      <c r="H331" s="117">
        <f t="shared" si="914"/>
        <v>0</v>
      </c>
      <c r="I331" s="117">
        <f t="shared" si="914"/>
        <v>0</v>
      </c>
      <c r="J331" s="117">
        <f t="shared" si="914"/>
        <v>0</v>
      </c>
      <c r="K331" s="117">
        <f t="shared" si="914"/>
        <v>0</v>
      </c>
      <c r="L331" s="117">
        <f t="shared" si="914"/>
        <v>0</v>
      </c>
      <c r="M331" s="117">
        <f t="shared" si="914"/>
        <v>0</v>
      </c>
      <c r="N331" s="117">
        <f t="shared" si="914"/>
        <v>0</v>
      </c>
      <c r="O331" s="9">
        <f t="shared" si="914"/>
        <v>1.19287621506813e-6</v>
      </c>
      <c r="P331" s="117">
        <f t="shared" si="914"/>
        <v>0</v>
      </c>
      <c r="Q331" s="117">
        <f t="shared" si="914"/>
        <v>0</v>
      </c>
      <c r="R331" s="117">
        <f t="shared" si="914"/>
        <v>0</v>
      </c>
      <c r="S331" s="117">
        <f t="shared" si="914"/>
        <v>0</v>
      </c>
      <c r="T331" s="117">
        <f t="shared" si="914"/>
        <v>0</v>
      </c>
      <c r="U331" s="117">
        <f t="shared" si="914"/>
        <v>0</v>
      </c>
      <c r="V331" s="117">
        <f t="shared" si="914"/>
        <v>0</v>
      </c>
      <c r="W331" s="117">
        <f t="shared" si="914"/>
        <v>0</v>
      </c>
      <c r="X331" s="117">
        <f t="shared" si="914"/>
        <v>0</v>
      </c>
      <c r="Y331" s="117">
        <f t="shared" si="914"/>
        <v>0</v>
      </c>
      <c r="Z331" s="117">
        <f t="shared" si="914"/>
        <v>0</v>
      </c>
      <c r="AA331" s="117">
        <f t="shared" si="914"/>
        <v>0</v>
      </c>
      <c r="AB331" s="9">
        <f t="shared" si="914"/>
        <v>0</v>
      </c>
      <c r="AC331" s="117">
        <f t="shared" si="914"/>
        <v>0</v>
      </c>
      <c r="AD331" s="117">
        <f t="shared" si="914"/>
        <v>0</v>
      </c>
      <c r="AE331" s="117">
        <f t="shared" si="914"/>
        <v>0</v>
      </c>
      <c r="AF331" s="117">
        <f t="shared" si="914"/>
        <v>0</v>
      </c>
      <c r="AG331" s="117">
        <f t="shared" si="914"/>
        <v>0</v>
      </c>
      <c r="AH331" s="117">
        <f t="shared" si="914"/>
        <v>0</v>
      </c>
      <c r="AI331" s="117">
        <f t="shared" ref="AI331:BN331" si="915">AI119/AI$211</f>
        <v>0</v>
      </c>
      <c r="AJ331" s="117">
        <f t="shared" si="915"/>
        <v>0</v>
      </c>
      <c r="AK331" s="117">
        <f t="shared" si="915"/>
        <v>0</v>
      </c>
      <c r="AL331" s="117">
        <f t="shared" si="915"/>
        <v>0</v>
      </c>
      <c r="AM331" s="117">
        <f t="shared" si="915"/>
        <v>0</v>
      </c>
      <c r="AN331" s="117">
        <f t="shared" si="915"/>
        <v>0</v>
      </c>
      <c r="AO331" s="9">
        <f t="shared" si="915"/>
        <v>0</v>
      </c>
      <c r="AP331" s="144">
        <f t="shared" si="915"/>
        <v>0</v>
      </c>
      <c r="AQ331" s="144">
        <f t="shared" si="915"/>
        <v>0</v>
      </c>
      <c r="AR331" s="144">
        <f t="shared" si="915"/>
        <v>0</v>
      </c>
      <c r="AS331" s="144">
        <f t="shared" si="915"/>
        <v>0</v>
      </c>
      <c r="AT331" s="144">
        <f t="shared" si="915"/>
        <v>0</v>
      </c>
      <c r="AU331" s="144">
        <f t="shared" si="915"/>
        <v>0</v>
      </c>
      <c r="AV331" s="144">
        <f t="shared" si="915"/>
        <v>0</v>
      </c>
      <c r="AW331" s="144">
        <f t="shared" si="915"/>
        <v>0</v>
      </c>
      <c r="AX331" s="144">
        <f t="shared" si="915"/>
        <v>0</v>
      </c>
      <c r="AY331" s="144">
        <f t="shared" si="915"/>
        <v>0</v>
      </c>
      <c r="AZ331" s="144">
        <f t="shared" si="915"/>
        <v>0</v>
      </c>
      <c r="BA331" s="144">
        <f t="shared" si="915"/>
        <v>0</v>
      </c>
      <c r="BB331" s="9">
        <f t="shared" si="915"/>
        <v>0</v>
      </c>
      <c r="BC331" s="144">
        <f t="shared" si="915"/>
        <v>0</v>
      </c>
      <c r="BD331" s="144">
        <f t="shared" si="915"/>
        <v>0</v>
      </c>
      <c r="BE331" s="144">
        <f t="shared" si="915"/>
        <v>0</v>
      </c>
      <c r="BF331" s="144">
        <f t="shared" si="915"/>
        <v>0</v>
      </c>
      <c r="BG331" s="144">
        <f t="shared" si="915"/>
        <v>0</v>
      </c>
      <c r="BH331" s="144">
        <f t="shared" si="915"/>
        <v>0</v>
      </c>
      <c r="BI331" s="144">
        <f t="shared" si="915"/>
        <v>0</v>
      </c>
      <c r="BJ331" s="144">
        <f t="shared" si="915"/>
        <v>0</v>
      </c>
      <c r="BK331" s="144">
        <f t="shared" si="915"/>
        <v>0</v>
      </c>
      <c r="BL331" s="144">
        <f t="shared" si="915"/>
        <v>0</v>
      </c>
      <c r="BM331" s="144">
        <f t="shared" si="915"/>
        <v>0</v>
      </c>
      <c r="BN331" s="144">
        <f t="shared" si="915"/>
        <v>0</v>
      </c>
      <c r="BO331" s="9">
        <f t="shared" ref="BO331:CT331" si="916">BO119/BO$211</f>
        <v>0</v>
      </c>
      <c r="BP331" s="144">
        <f t="shared" si="916"/>
        <v>0</v>
      </c>
      <c r="BQ331" s="144">
        <f t="shared" si="916"/>
        <v>0</v>
      </c>
      <c r="BR331" s="144">
        <f t="shared" si="916"/>
        <v>0</v>
      </c>
      <c r="BS331" s="144">
        <f t="shared" si="916"/>
        <v>0</v>
      </c>
      <c r="BT331" s="144">
        <f t="shared" si="916"/>
        <v>0</v>
      </c>
      <c r="BU331" s="144">
        <f t="shared" si="916"/>
        <v>0</v>
      </c>
      <c r="BV331" s="144">
        <f t="shared" si="916"/>
        <v>0</v>
      </c>
      <c r="BW331" s="144">
        <f t="shared" si="916"/>
        <v>0</v>
      </c>
      <c r="BX331" s="144">
        <f t="shared" si="916"/>
        <v>0</v>
      </c>
      <c r="BY331" s="144">
        <f t="shared" si="916"/>
        <v>0</v>
      </c>
      <c r="BZ331" s="144">
        <f t="shared" si="916"/>
        <v>0</v>
      </c>
      <c r="CA331" s="144">
        <f t="shared" si="916"/>
        <v>0</v>
      </c>
      <c r="CB331" s="9">
        <f t="shared" si="916"/>
        <v>0</v>
      </c>
      <c r="CC331" s="144">
        <f t="shared" si="916"/>
        <v>0</v>
      </c>
      <c r="CD331" s="144">
        <f t="shared" si="916"/>
        <v>0</v>
      </c>
      <c r="CE331" s="144">
        <f t="shared" si="916"/>
        <v>0</v>
      </c>
      <c r="CF331" s="144">
        <f t="shared" si="916"/>
        <v>0</v>
      </c>
      <c r="CG331" s="144">
        <f t="shared" si="916"/>
        <v>0</v>
      </c>
      <c r="CH331" s="144">
        <f t="shared" si="916"/>
        <v>0</v>
      </c>
      <c r="CI331" s="144">
        <f t="shared" si="916"/>
        <v>0</v>
      </c>
      <c r="CJ331" s="144">
        <f t="shared" si="916"/>
        <v>0</v>
      </c>
      <c r="CK331" s="144">
        <f t="shared" si="916"/>
        <v>0</v>
      </c>
      <c r="CL331" s="144">
        <f t="shared" si="916"/>
        <v>0</v>
      </c>
      <c r="CM331" s="144">
        <f t="shared" si="916"/>
        <v>0</v>
      </c>
      <c r="CN331" s="144">
        <f t="shared" si="916"/>
        <v>0</v>
      </c>
      <c r="CO331" s="9">
        <f t="shared" si="916"/>
        <v>0</v>
      </c>
      <c r="CP331" s="144">
        <f t="shared" si="916"/>
        <v>0</v>
      </c>
      <c r="CQ331" s="144">
        <f t="shared" si="916"/>
        <v>0</v>
      </c>
      <c r="CR331" s="144">
        <f t="shared" si="916"/>
        <v>0</v>
      </c>
      <c r="CS331" s="144">
        <f t="shared" si="916"/>
        <v>0</v>
      </c>
      <c r="CT331" s="144">
        <f t="shared" si="916"/>
        <v>0</v>
      </c>
      <c r="CU331" s="144">
        <f t="shared" ref="CU331:EB331" si="917">CU119/CU$211</f>
        <v>0</v>
      </c>
      <c r="CV331" s="144">
        <f t="shared" si="917"/>
        <v>0</v>
      </c>
      <c r="CW331" s="144">
        <f t="shared" si="917"/>
        <v>0</v>
      </c>
      <c r="CX331" s="144">
        <f t="shared" si="917"/>
        <v>0</v>
      </c>
      <c r="CY331" s="144">
        <f t="shared" si="917"/>
        <v>0</v>
      </c>
      <c r="CZ331" s="144">
        <f t="shared" si="917"/>
        <v>0</v>
      </c>
      <c r="DA331" s="144">
        <f t="shared" si="917"/>
        <v>0</v>
      </c>
      <c r="DB331" s="9">
        <f t="shared" si="917"/>
        <v>0</v>
      </c>
      <c r="DC331" s="144">
        <f t="shared" si="917"/>
        <v>0</v>
      </c>
      <c r="DD331" s="144">
        <f t="shared" si="917"/>
        <v>0</v>
      </c>
      <c r="DE331" s="144">
        <f t="shared" si="917"/>
        <v>0</v>
      </c>
      <c r="DF331" s="144">
        <f t="shared" si="917"/>
        <v>0</v>
      </c>
      <c r="DG331" s="144">
        <f t="shared" si="917"/>
        <v>0</v>
      </c>
      <c r="DH331" s="144">
        <f t="shared" si="917"/>
        <v>0</v>
      </c>
      <c r="DI331" s="144">
        <f t="shared" si="917"/>
        <v>0</v>
      </c>
      <c r="DJ331" s="144">
        <f t="shared" si="917"/>
        <v>0</v>
      </c>
      <c r="DK331" s="144">
        <f t="shared" si="917"/>
        <v>0</v>
      </c>
      <c r="DL331" s="144">
        <f t="shared" si="917"/>
        <v>0</v>
      </c>
      <c r="DM331" s="144">
        <f t="shared" si="917"/>
        <v>0</v>
      </c>
      <c r="DN331" s="144">
        <f t="shared" si="917"/>
        <v>0</v>
      </c>
      <c r="DO331" s="9">
        <f t="shared" si="917"/>
        <v>0</v>
      </c>
      <c r="DP331" s="144">
        <f t="shared" si="917"/>
        <v>0</v>
      </c>
      <c r="DQ331" s="144">
        <f t="shared" si="917"/>
        <v>0</v>
      </c>
      <c r="DR331" s="144">
        <f t="shared" si="917"/>
        <v>0</v>
      </c>
      <c r="DS331" s="144">
        <f t="shared" si="917"/>
        <v>0</v>
      </c>
      <c r="DT331" s="144">
        <f t="shared" si="917"/>
        <v>0</v>
      </c>
      <c r="DU331" s="144">
        <f t="shared" si="917"/>
        <v>0</v>
      </c>
      <c r="DV331" s="144">
        <f t="shared" si="917"/>
        <v>0</v>
      </c>
      <c r="DW331" s="144">
        <f t="shared" si="917"/>
        <v>0</v>
      </c>
      <c r="DX331" s="144">
        <f t="shared" si="917"/>
        <v>0</v>
      </c>
      <c r="DY331" s="144">
        <f t="shared" si="917"/>
        <v>0</v>
      </c>
      <c r="DZ331" s="144">
        <f t="shared" si="917"/>
        <v>0</v>
      </c>
      <c r="EA331" s="144">
        <f t="shared" si="917"/>
        <v>0</v>
      </c>
      <c r="EB331" s="117">
        <f t="shared" si="917"/>
        <v>0</v>
      </c>
      <c r="EC331" s="118"/>
      <c r="ED331" s="117">
        <f t="shared" ref="ED331:FB331" si="918">ED119/ED$211</f>
        <v>0</v>
      </c>
      <c r="EE331" s="117">
        <f t="shared" si="918"/>
        <v>0</v>
      </c>
      <c r="EF331" s="117">
        <f t="shared" si="918"/>
        <v>0</v>
      </c>
      <c r="EG331" s="117" t="e">
        <f t="shared" si="918"/>
        <v>#DIV/0!</v>
      </c>
      <c r="EH331" s="117" t="e">
        <f t="shared" si="918"/>
        <v>#DIV/0!</v>
      </c>
      <c r="EI331" s="117" t="e">
        <f t="shared" si="918"/>
        <v>#DIV/0!</v>
      </c>
      <c r="EJ331" s="117" t="e">
        <f t="shared" si="918"/>
        <v>#DIV/0!</v>
      </c>
      <c r="EK331" s="117" t="e">
        <f t="shared" si="918"/>
        <v>#DIV/0!</v>
      </c>
      <c r="EL331" s="117" t="e">
        <f t="shared" si="918"/>
        <v>#DIV/0!</v>
      </c>
      <c r="EM331" s="117" t="e">
        <f t="shared" si="918"/>
        <v>#DIV/0!</v>
      </c>
      <c r="EN331" s="117" t="e">
        <f t="shared" si="918"/>
        <v>#DIV/0!</v>
      </c>
      <c r="EO331" s="116">
        <f t="shared" si="918"/>
        <v>0</v>
      </c>
      <c r="EP331" s="117">
        <f t="shared" si="918"/>
        <v>0</v>
      </c>
      <c r="EQ331" s="117">
        <f t="shared" si="918"/>
        <v>0</v>
      </c>
      <c r="ER331" s="117">
        <f t="shared" si="918"/>
        <v>0</v>
      </c>
      <c r="ES331" s="117">
        <f t="shared" si="918"/>
        <v>0</v>
      </c>
      <c r="ET331" s="117">
        <f t="shared" si="918"/>
        <v>0</v>
      </c>
      <c r="EU331" s="117">
        <f t="shared" si="918"/>
        <v>0</v>
      </c>
      <c r="EV331" s="117">
        <f t="shared" si="918"/>
        <v>0</v>
      </c>
      <c r="EW331" s="117">
        <f t="shared" si="918"/>
        <v>0</v>
      </c>
      <c r="EX331" s="117">
        <f t="shared" si="918"/>
        <v>0</v>
      </c>
      <c r="EY331" s="117">
        <f t="shared" si="918"/>
        <v>0</v>
      </c>
      <c r="EZ331" s="117">
        <f t="shared" si="918"/>
        <v>0</v>
      </c>
      <c r="FA331" s="117">
        <f t="shared" si="918"/>
        <v>0</v>
      </c>
      <c r="FB331" s="117">
        <f t="shared" si="918"/>
        <v>0</v>
      </c>
      <c r="FC331" s="118"/>
      <c r="FD331" s="117"/>
      <c r="FE331" s="117"/>
      <c r="FF331" s="117"/>
      <c r="FG331" s="117"/>
      <c r="FH331" s="117"/>
      <c r="FI331" s="117"/>
      <c r="FJ331" s="117"/>
      <c r="FK331" s="117" t="e">
        <f t="shared" si="601"/>
        <v>#DIV/0!</v>
      </c>
      <c r="FL331" s="117" t="e">
        <f t="shared" si="602"/>
        <v>#DIV/0!</v>
      </c>
      <c r="FM331" s="117" t="e">
        <f t="shared" si="603"/>
        <v>#DIV/0!</v>
      </c>
      <c r="FN331" s="117" t="e">
        <f t="shared" si="604"/>
        <v>#DIV/0!</v>
      </c>
      <c r="FO331" s="9" t="e">
        <f t="shared" si="605"/>
        <v>#DIV/0!</v>
      </c>
      <c r="FP331" s="118">
        <f t="shared" ref="FP331:GB331" si="919">FP119/FP$211</f>
        <v>3.9984096953736e-6</v>
      </c>
      <c r="FQ331" s="117">
        <f t="shared" si="919"/>
        <v>5.25267884162643e-6</v>
      </c>
      <c r="FR331" s="117">
        <f t="shared" si="919"/>
        <v>1.06516193778414e-5</v>
      </c>
      <c r="FS331" s="117">
        <f t="shared" si="919"/>
        <v>3.97807231900015e-5</v>
      </c>
      <c r="FT331" s="117">
        <f t="shared" si="919"/>
        <v>0</v>
      </c>
      <c r="FU331" s="117">
        <f t="shared" si="919"/>
        <v>0</v>
      </c>
      <c r="FV331" s="117">
        <f t="shared" si="919"/>
        <v>0</v>
      </c>
      <c r="FW331" s="117">
        <f t="shared" si="919"/>
        <v>0</v>
      </c>
      <c r="FX331" s="117">
        <f t="shared" si="919"/>
        <v>0</v>
      </c>
      <c r="FY331" s="117">
        <f t="shared" si="919"/>
        <v>0</v>
      </c>
      <c r="FZ331" s="117">
        <f t="shared" si="919"/>
        <v>0</v>
      </c>
      <c r="GA331" s="117">
        <f t="shared" si="919"/>
        <v>0</v>
      </c>
      <c r="GB331" s="116">
        <f t="shared" si="919"/>
        <v>4.93439083551104e-6</v>
      </c>
    </row>
    <row r="332" spans="1:184">
      <c r="A332" s="147" t="s">
        <v>265</v>
      </c>
      <c r="B332" s="160">
        <f t="shared" si="607"/>
        <v>-1</v>
      </c>
      <c r="C332" s="117">
        <f t="shared" ref="C332:AH332" si="920">C120/C$211</f>
        <v>0</v>
      </c>
      <c r="D332" s="117">
        <f t="shared" si="920"/>
        <v>0</v>
      </c>
      <c r="E332" s="117">
        <f t="shared" si="920"/>
        <v>0</v>
      </c>
      <c r="F332" s="117">
        <f t="shared" si="920"/>
        <v>0</v>
      </c>
      <c r="G332" s="117">
        <f t="shared" si="920"/>
        <v>0</v>
      </c>
      <c r="H332" s="117">
        <f t="shared" si="920"/>
        <v>0</v>
      </c>
      <c r="I332" s="117">
        <f t="shared" si="920"/>
        <v>0</v>
      </c>
      <c r="J332" s="117">
        <f t="shared" si="920"/>
        <v>0</v>
      </c>
      <c r="K332" s="117">
        <f t="shared" si="920"/>
        <v>0</v>
      </c>
      <c r="L332" s="117">
        <f t="shared" si="920"/>
        <v>0</v>
      </c>
      <c r="M332" s="117">
        <f t="shared" si="920"/>
        <v>0</v>
      </c>
      <c r="N332" s="117">
        <f t="shared" si="920"/>
        <v>0</v>
      </c>
      <c r="O332" s="9">
        <f t="shared" si="920"/>
        <v>0</v>
      </c>
      <c r="P332" s="117">
        <f t="shared" si="920"/>
        <v>0</v>
      </c>
      <c r="Q332" s="117">
        <f t="shared" si="920"/>
        <v>0</v>
      </c>
      <c r="R332" s="117">
        <f t="shared" si="920"/>
        <v>0</v>
      </c>
      <c r="S332" s="117">
        <f t="shared" si="920"/>
        <v>0</v>
      </c>
      <c r="T332" s="117">
        <f t="shared" si="920"/>
        <v>0</v>
      </c>
      <c r="U332" s="117">
        <f t="shared" si="920"/>
        <v>0</v>
      </c>
      <c r="V332" s="117">
        <f t="shared" si="920"/>
        <v>0</v>
      </c>
      <c r="W332" s="117">
        <f t="shared" si="920"/>
        <v>0</v>
      </c>
      <c r="X332" s="117">
        <f t="shared" si="920"/>
        <v>0</v>
      </c>
      <c r="Y332" s="117">
        <f t="shared" si="920"/>
        <v>0</v>
      </c>
      <c r="Z332" s="117">
        <f t="shared" si="920"/>
        <v>0</v>
      </c>
      <c r="AA332" s="117">
        <f t="shared" si="920"/>
        <v>0</v>
      </c>
      <c r="AB332" s="9">
        <f t="shared" si="920"/>
        <v>0</v>
      </c>
      <c r="AC332" s="117">
        <f t="shared" si="920"/>
        <v>0</v>
      </c>
      <c r="AD332" s="117">
        <f t="shared" si="920"/>
        <v>0</v>
      </c>
      <c r="AE332" s="117">
        <f t="shared" si="920"/>
        <v>0</v>
      </c>
      <c r="AF332" s="117">
        <f t="shared" si="920"/>
        <v>0</v>
      </c>
      <c r="AG332" s="117">
        <f t="shared" si="920"/>
        <v>0</v>
      </c>
      <c r="AH332" s="117">
        <f t="shared" si="920"/>
        <v>0</v>
      </c>
      <c r="AI332" s="117">
        <f t="shared" ref="AI332:BN332" si="921">AI120/AI$211</f>
        <v>0</v>
      </c>
      <c r="AJ332" s="117">
        <f t="shared" si="921"/>
        <v>0</v>
      </c>
      <c r="AK332" s="117">
        <f t="shared" si="921"/>
        <v>0</v>
      </c>
      <c r="AL332" s="117">
        <f t="shared" si="921"/>
        <v>0</v>
      </c>
      <c r="AM332" s="117">
        <f t="shared" si="921"/>
        <v>0</v>
      </c>
      <c r="AN332" s="117">
        <f t="shared" si="921"/>
        <v>0</v>
      </c>
      <c r="AO332" s="9">
        <f t="shared" si="921"/>
        <v>0</v>
      </c>
      <c r="AP332" s="144">
        <f t="shared" si="921"/>
        <v>0</v>
      </c>
      <c r="AQ332" s="144">
        <f t="shared" si="921"/>
        <v>0</v>
      </c>
      <c r="AR332" s="144">
        <f t="shared" si="921"/>
        <v>0</v>
      </c>
      <c r="AS332" s="144">
        <f t="shared" si="921"/>
        <v>0</v>
      </c>
      <c r="AT332" s="144">
        <f t="shared" si="921"/>
        <v>0</v>
      </c>
      <c r="AU332" s="144">
        <f t="shared" si="921"/>
        <v>0</v>
      </c>
      <c r="AV332" s="144">
        <f t="shared" si="921"/>
        <v>0</v>
      </c>
      <c r="AW332" s="144">
        <f t="shared" si="921"/>
        <v>0</v>
      </c>
      <c r="AX332" s="144">
        <f t="shared" si="921"/>
        <v>0</v>
      </c>
      <c r="AY332" s="144">
        <f t="shared" si="921"/>
        <v>0</v>
      </c>
      <c r="AZ332" s="144">
        <f t="shared" si="921"/>
        <v>0</v>
      </c>
      <c r="BA332" s="144">
        <f t="shared" si="921"/>
        <v>0</v>
      </c>
      <c r="BB332" s="9">
        <f t="shared" si="921"/>
        <v>0</v>
      </c>
      <c r="BC332" s="144">
        <f t="shared" si="921"/>
        <v>0</v>
      </c>
      <c r="BD332" s="144">
        <f t="shared" si="921"/>
        <v>0</v>
      </c>
      <c r="BE332" s="144">
        <f t="shared" si="921"/>
        <v>0</v>
      </c>
      <c r="BF332" s="144">
        <f t="shared" si="921"/>
        <v>0</v>
      </c>
      <c r="BG332" s="144">
        <f t="shared" si="921"/>
        <v>0</v>
      </c>
      <c r="BH332" s="144">
        <f t="shared" si="921"/>
        <v>0</v>
      </c>
      <c r="BI332" s="144">
        <f t="shared" si="921"/>
        <v>0</v>
      </c>
      <c r="BJ332" s="144">
        <f t="shared" si="921"/>
        <v>0</v>
      </c>
      <c r="BK332" s="144">
        <f t="shared" si="921"/>
        <v>0</v>
      </c>
      <c r="BL332" s="144">
        <f t="shared" si="921"/>
        <v>0</v>
      </c>
      <c r="BM332" s="144">
        <f t="shared" si="921"/>
        <v>0</v>
      </c>
      <c r="BN332" s="144">
        <f t="shared" si="921"/>
        <v>0</v>
      </c>
      <c r="BO332" s="9">
        <f t="shared" ref="BO332:CT332" si="922">BO120/BO$211</f>
        <v>0</v>
      </c>
      <c r="BP332" s="144">
        <f t="shared" si="922"/>
        <v>0</v>
      </c>
      <c r="BQ332" s="144">
        <f t="shared" si="922"/>
        <v>0</v>
      </c>
      <c r="BR332" s="144">
        <f t="shared" si="922"/>
        <v>0</v>
      </c>
      <c r="BS332" s="144">
        <f t="shared" si="922"/>
        <v>0</v>
      </c>
      <c r="BT332" s="144">
        <f t="shared" si="922"/>
        <v>0</v>
      </c>
      <c r="BU332" s="144">
        <f t="shared" si="922"/>
        <v>0</v>
      </c>
      <c r="BV332" s="144">
        <f t="shared" si="922"/>
        <v>0</v>
      </c>
      <c r="BW332" s="144">
        <f t="shared" si="922"/>
        <v>0</v>
      </c>
      <c r="BX332" s="144">
        <f t="shared" si="922"/>
        <v>0</v>
      </c>
      <c r="BY332" s="144">
        <f t="shared" si="922"/>
        <v>0</v>
      </c>
      <c r="BZ332" s="144">
        <f t="shared" si="922"/>
        <v>0</v>
      </c>
      <c r="CA332" s="144">
        <f t="shared" si="922"/>
        <v>0</v>
      </c>
      <c r="CB332" s="9">
        <f t="shared" si="922"/>
        <v>0</v>
      </c>
      <c r="CC332" s="144">
        <f t="shared" si="922"/>
        <v>0</v>
      </c>
      <c r="CD332" s="144">
        <f t="shared" si="922"/>
        <v>0</v>
      </c>
      <c r="CE332" s="144">
        <f t="shared" si="922"/>
        <v>0</v>
      </c>
      <c r="CF332" s="144">
        <f t="shared" si="922"/>
        <v>0</v>
      </c>
      <c r="CG332" s="144">
        <f t="shared" si="922"/>
        <v>0</v>
      </c>
      <c r="CH332" s="144">
        <f t="shared" si="922"/>
        <v>0</v>
      </c>
      <c r="CI332" s="144">
        <f t="shared" si="922"/>
        <v>0</v>
      </c>
      <c r="CJ332" s="144">
        <f t="shared" si="922"/>
        <v>0</v>
      </c>
      <c r="CK332" s="144">
        <f t="shared" si="922"/>
        <v>0</v>
      </c>
      <c r="CL332" s="144">
        <f t="shared" si="922"/>
        <v>0</v>
      </c>
      <c r="CM332" s="144">
        <f t="shared" si="922"/>
        <v>0</v>
      </c>
      <c r="CN332" s="144">
        <f t="shared" si="922"/>
        <v>0</v>
      </c>
      <c r="CO332" s="9">
        <f t="shared" si="922"/>
        <v>0</v>
      </c>
      <c r="CP332" s="144">
        <f t="shared" si="922"/>
        <v>0</v>
      </c>
      <c r="CQ332" s="144">
        <f t="shared" si="922"/>
        <v>0</v>
      </c>
      <c r="CR332" s="144">
        <f t="shared" si="922"/>
        <v>0</v>
      </c>
      <c r="CS332" s="144">
        <f t="shared" si="922"/>
        <v>0</v>
      </c>
      <c r="CT332" s="144">
        <f t="shared" si="922"/>
        <v>0</v>
      </c>
      <c r="CU332" s="144">
        <f t="shared" ref="CU332:EB332" si="923">CU120/CU$211</f>
        <v>0</v>
      </c>
      <c r="CV332" s="144">
        <f t="shared" si="923"/>
        <v>0</v>
      </c>
      <c r="CW332" s="144">
        <f t="shared" si="923"/>
        <v>0</v>
      </c>
      <c r="CX332" s="144">
        <f t="shared" si="923"/>
        <v>0</v>
      </c>
      <c r="CY332" s="144">
        <f t="shared" si="923"/>
        <v>0</v>
      </c>
      <c r="CZ332" s="144">
        <f t="shared" si="923"/>
        <v>0</v>
      </c>
      <c r="DA332" s="144">
        <f t="shared" si="923"/>
        <v>0</v>
      </c>
      <c r="DB332" s="9">
        <f t="shared" si="923"/>
        <v>0</v>
      </c>
      <c r="DC332" s="144">
        <f t="shared" si="923"/>
        <v>0</v>
      </c>
      <c r="DD332" s="144">
        <f t="shared" si="923"/>
        <v>0</v>
      </c>
      <c r="DE332" s="144">
        <f t="shared" si="923"/>
        <v>0</v>
      </c>
      <c r="DF332" s="144">
        <f t="shared" si="923"/>
        <v>0</v>
      </c>
      <c r="DG332" s="144">
        <f t="shared" si="923"/>
        <v>0</v>
      </c>
      <c r="DH332" s="144">
        <f t="shared" si="923"/>
        <v>0</v>
      </c>
      <c r="DI332" s="144">
        <f t="shared" si="923"/>
        <v>0</v>
      </c>
      <c r="DJ332" s="144">
        <f t="shared" si="923"/>
        <v>0</v>
      </c>
      <c r="DK332" s="144">
        <f t="shared" si="923"/>
        <v>0</v>
      </c>
      <c r="DL332" s="144">
        <f t="shared" si="923"/>
        <v>0</v>
      </c>
      <c r="DM332" s="144">
        <f t="shared" si="923"/>
        <v>0</v>
      </c>
      <c r="DN332" s="144">
        <f t="shared" si="923"/>
        <v>0</v>
      </c>
      <c r="DO332" s="9">
        <f t="shared" si="923"/>
        <v>0</v>
      </c>
      <c r="DP332" s="144">
        <f t="shared" si="923"/>
        <v>0</v>
      </c>
      <c r="DQ332" s="144">
        <f t="shared" si="923"/>
        <v>0</v>
      </c>
      <c r="DR332" s="144">
        <f t="shared" si="923"/>
        <v>0</v>
      </c>
      <c r="DS332" s="144">
        <f t="shared" si="923"/>
        <v>0</v>
      </c>
      <c r="DT332" s="144">
        <f t="shared" si="923"/>
        <v>0</v>
      </c>
      <c r="DU332" s="144">
        <f t="shared" si="923"/>
        <v>0</v>
      </c>
      <c r="DV332" s="144">
        <f t="shared" si="923"/>
        <v>0</v>
      </c>
      <c r="DW332" s="144">
        <f t="shared" si="923"/>
        <v>0</v>
      </c>
      <c r="DX332" s="144">
        <f t="shared" si="923"/>
        <v>0</v>
      </c>
      <c r="DY332" s="144">
        <f t="shared" si="923"/>
        <v>0</v>
      </c>
      <c r="DZ332" s="144">
        <f t="shared" si="923"/>
        <v>0</v>
      </c>
      <c r="EA332" s="144">
        <f t="shared" si="923"/>
        <v>0</v>
      </c>
      <c r="EB332" s="117">
        <f t="shared" si="923"/>
        <v>0</v>
      </c>
      <c r="EC332" s="118"/>
      <c r="ED332" s="117">
        <f t="shared" ref="ED332:FB332" si="924">ED120/ED$211</f>
        <v>0</v>
      </c>
      <c r="EE332" s="117">
        <f t="shared" si="924"/>
        <v>0</v>
      </c>
      <c r="EF332" s="117">
        <f t="shared" si="924"/>
        <v>0</v>
      </c>
      <c r="EG332" s="117" t="e">
        <f t="shared" si="924"/>
        <v>#DIV/0!</v>
      </c>
      <c r="EH332" s="117" t="e">
        <f t="shared" si="924"/>
        <v>#DIV/0!</v>
      </c>
      <c r="EI332" s="117" t="e">
        <f t="shared" si="924"/>
        <v>#DIV/0!</v>
      </c>
      <c r="EJ332" s="117" t="e">
        <f t="shared" si="924"/>
        <v>#DIV/0!</v>
      </c>
      <c r="EK332" s="117" t="e">
        <f t="shared" si="924"/>
        <v>#DIV/0!</v>
      </c>
      <c r="EL332" s="117" t="e">
        <f t="shared" si="924"/>
        <v>#DIV/0!</v>
      </c>
      <c r="EM332" s="117" t="e">
        <f t="shared" si="924"/>
        <v>#DIV/0!</v>
      </c>
      <c r="EN332" s="117" t="e">
        <f t="shared" si="924"/>
        <v>#DIV/0!</v>
      </c>
      <c r="EO332" s="116">
        <f t="shared" si="924"/>
        <v>0</v>
      </c>
      <c r="EP332" s="117">
        <f t="shared" si="924"/>
        <v>0</v>
      </c>
      <c r="EQ332" s="117">
        <f t="shared" si="924"/>
        <v>0</v>
      </c>
      <c r="ER332" s="117">
        <f t="shared" si="924"/>
        <v>0</v>
      </c>
      <c r="ES332" s="117">
        <f t="shared" si="924"/>
        <v>0</v>
      </c>
      <c r="ET332" s="117">
        <f t="shared" si="924"/>
        <v>0</v>
      </c>
      <c r="EU332" s="117">
        <f t="shared" si="924"/>
        <v>0</v>
      </c>
      <c r="EV332" s="117">
        <f t="shared" si="924"/>
        <v>0</v>
      </c>
      <c r="EW332" s="117">
        <f t="shared" si="924"/>
        <v>0</v>
      </c>
      <c r="EX332" s="117">
        <f t="shared" si="924"/>
        <v>0</v>
      </c>
      <c r="EY332" s="117">
        <f t="shared" si="924"/>
        <v>0</v>
      </c>
      <c r="EZ332" s="117">
        <f t="shared" si="924"/>
        <v>0</v>
      </c>
      <c r="FA332" s="117">
        <f t="shared" si="924"/>
        <v>0</v>
      </c>
      <c r="FB332" s="117">
        <f t="shared" si="924"/>
        <v>0</v>
      </c>
      <c r="FC332" s="118"/>
      <c r="FD332" s="117"/>
      <c r="FE332" s="117"/>
      <c r="FF332" s="117"/>
      <c r="FG332" s="117"/>
      <c r="FH332" s="117"/>
      <c r="FI332" s="117"/>
      <c r="FJ332" s="117"/>
      <c r="FK332" s="117" t="e">
        <f t="shared" si="601"/>
        <v>#DIV/0!</v>
      </c>
      <c r="FL332" s="117" t="e">
        <f t="shared" si="602"/>
        <v>#DIV/0!</v>
      </c>
      <c r="FM332" s="117" t="e">
        <f t="shared" si="603"/>
        <v>#DIV/0!</v>
      </c>
      <c r="FN332" s="117" t="e">
        <f t="shared" si="604"/>
        <v>#DIV/0!</v>
      </c>
      <c r="FO332" s="9" t="e">
        <f t="shared" si="605"/>
        <v>#DIV/0!</v>
      </c>
      <c r="FP332" s="118">
        <f t="shared" ref="FP332:GB332" si="925">FP120/FP$211</f>
        <v>0</v>
      </c>
      <c r="FQ332" s="117">
        <f t="shared" si="925"/>
        <v>0</v>
      </c>
      <c r="FR332" s="117">
        <f t="shared" si="925"/>
        <v>0</v>
      </c>
      <c r="FS332" s="117">
        <f t="shared" si="925"/>
        <v>0</v>
      </c>
      <c r="FT332" s="117">
        <f t="shared" si="925"/>
        <v>0</v>
      </c>
      <c r="FU332" s="117">
        <f t="shared" si="925"/>
        <v>0</v>
      </c>
      <c r="FV332" s="117">
        <f t="shared" si="925"/>
        <v>0</v>
      </c>
      <c r="FW332" s="117">
        <f t="shared" si="925"/>
        <v>0</v>
      </c>
      <c r="FX332" s="117">
        <f t="shared" si="925"/>
        <v>0</v>
      </c>
      <c r="FY332" s="117">
        <f t="shared" si="925"/>
        <v>0</v>
      </c>
      <c r="FZ332" s="117">
        <f t="shared" si="925"/>
        <v>0</v>
      </c>
      <c r="GA332" s="117">
        <f t="shared" si="925"/>
        <v>0</v>
      </c>
      <c r="GB332" s="116">
        <f t="shared" si="925"/>
        <v>0</v>
      </c>
    </row>
    <row r="333" spans="1:184">
      <c r="A333" s="147" t="s">
        <v>267</v>
      </c>
      <c r="B333" s="160">
        <f t="shared" si="607"/>
        <v>-0.974350356444002</v>
      </c>
      <c r="C333" s="117">
        <f t="shared" ref="C333:AH333" si="926">C121/C$211</f>
        <v>0</v>
      </c>
      <c r="D333" s="117">
        <f t="shared" si="926"/>
        <v>0</v>
      </c>
      <c r="E333" s="117">
        <f t="shared" si="926"/>
        <v>0</v>
      </c>
      <c r="F333" s="117">
        <f t="shared" si="926"/>
        <v>1.9573835757204e-7</v>
      </c>
      <c r="G333" s="117">
        <f t="shared" si="926"/>
        <v>0</v>
      </c>
      <c r="H333" s="117">
        <f t="shared" si="926"/>
        <v>0</v>
      </c>
      <c r="I333" s="117">
        <f t="shared" si="926"/>
        <v>0</v>
      </c>
      <c r="J333" s="117">
        <f t="shared" si="926"/>
        <v>0</v>
      </c>
      <c r="K333" s="117">
        <f t="shared" si="926"/>
        <v>0</v>
      </c>
      <c r="L333" s="117">
        <f t="shared" si="926"/>
        <v>0</v>
      </c>
      <c r="M333" s="117">
        <f t="shared" si="926"/>
        <v>0</v>
      </c>
      <c r="N333" s="117">
        <f t="shared" si="926"/>
        <v>0</v>
      </c>
      <c r="O333" s="9">
        <f t="shared" si="926"/>
        <v>1.43073389747131e-8</v>
      </c>
      <c r="P333" s="117">
        <f t="shared" si="926"/>
        <v>0</v>
      </c>
      <c r="Q333" s="117">
        <f t="shared" si="926"/>
        <v>0</v>
      </c>
      <c r="R333" s="117">
        <f t="shared" si="926"/>
        <v>0</v>
      </c>
      <c r="S333" s="117">
        <f t="shared" si="926"/>
        <v>0</v>
      </c>
      <c r="T333" s="117">
        <f t="shared" si="926"/>
        <v>0</v>
      </c>
      <c r="U333" s="117">
        <f t="shared" si="926"/>
        <v>0</v>
      </c>
      <c r="V333" s="117">
        <f t="shared" si="926"/>
        <v>0</v>
      </c>
      <c r="W333" s="117">
        <f t="shared" si="926"/>
        <v>0</v>
      </c>
      <c r="X333" s="117">
        <f t="shared" si="926"/>
        <v>0</v>
      </c>
      <c r="Y333" s="117">
        <f t="shared" si="926"/>
        <v>0</v>
      </c>
      <c r="Z333" s="117">
        <f t="shared" si="926"/>
        <v>0</v>
      </c>
      <c r="AA333" s="117">
        <f t="shared" si="926"/>
        <v>0</v>
      </c>
      <c r="AB333" s="9">
        <f t="shared" si="926"/>
        <v>0</v>
      </c>
      <c r="AC333" s="117">
        <f t="shared" si="926"/>
        <v>0</v>
      </c>
      <c r="AD333" s="117">
        <f t="shared" si="926"/>
        <v>0</v>
      </c>
      <c r="AE333" s="117">
        <f t="shared" si="926"/>
        <v>0</v>
      </c>
      <c r="AF333" s="117">
        <f t="shared" si="926"/>
        <v>0</v>
      </c>
      <c r="AG333" s="117">
        <f t="shared" si="926"/>
        <v>0</v>
      </c>
      <c r="AH333" s="117">
        <f t="shared" si="926"/>
        <v>0</v>
      </c>
      <c r="AI333" s="117">
        <f t="shared" ref="AI333:BN333" si="927">AI121/AI$211</f>
        <v>0</v>
      </c>
      <c r="AJ333" s="117">
        <f t="shared" si="927"/>
        <v>0</v>
      </c>
      <c r="AK333" s="117">
        <f t="shared" si="927"/>
        <v>0</v>
      </c>
      <c r="AL333" s="117">
        <f t="shared" si="927"/>
        <v>0</v>
      </c>
      <c r="AM333" s="117">
        <f t="shared" si="927"/>
        <v>0</v>
      </c>
      <c r="AN333" s="117">
        <f t="shared" si="927"/>
        <v>0</v>
      </c>
      <c r="AO333" s="9">
        <f t="shared" si="927"/>
        <v>0</v>
      </c>
      <c r="AP333" s="144">
        <f t="shared" si="927"/>
        <v>0</v>
      </c>
      <c r="AQ333" s="144">
        <f t="shared" si="927"/>
        <v>0</v>
      </c>
      <c r="AR333" s="144">
        <f t="shared" si="927"/>
        <v>0</v>
      </c>
      <c r="AS333" s="144">
        <f t="shared" si="927"/>
        <v>0</v>
      </c>
      <c r="AT333" s="144">
        <f t="shared" si="927"/>
        <v>0</v>
      </c>
      <c r="AU333" s="144">
        <f t="shared" si="927"/>
        <v>0</v>
      </c>
      <c r="AV333" s="144">
        <f t="shared" si="927"/>
        <v>0</v>
      </c>
      <c r="AW333" s="144">
        <f t="shared" si="927"/>
        <v>0</v>
      </c>
      <c r="AX333" s="144">
        <f t="shared" si="927"/>
        <v>0</v>
      </c>
      <c r="AY333" s="144">
        <f t="shared" si="927"/>
        <v>0</v>
      </c>
      <c r="AZ333" s="144">
        <f t="shared" si="927"/>
        <v>0</v>
      </c>
      <c r="BA333" s="144">
        <f t="shared" si="927"/>
        <v>0</v>
      </c>
      <c r="BB333" s="9">
        <f t="shared" si="927"/>
        <v>0</v>
      </c>
      <c r="BC333" s="144">
        <f t="shared" si="927"/>
        <v>0</v>
      </c>
      <c r="BD333" s="144">
        <f t="shared" si="927"/>
        <v>0</v>
      </c>
      <c r="BE333" s="144">
        <f t="shared" si="927"/>
        <v>0</v>
      </c>
      <c r="BF333" s="144">
        <f t="shared" si="927"/>
        <v>0</v>
      </c>
      <c r="BG333" s="144">
        <f t="shared" si="927"/>
        <v>0</v>
      </c>
      <c r="BH333" s="144">
        <f t="shared" si="927"/>
        <v>0</v>
      </c>
      <c r="BI333" s="144">
        <f t="shared" si="927"/>
        <v>0</v>
      </c>
      <c r="BJ333" s="144">
        <f t="shared" si="927"/>
        <v>0</v>
      </c>
      <c r="BK333" s="144">
        <f t="shared" si="927"/>
        <v>0</v>
      </c>
      <c r="BL333" s="144">
        <f t="shared" si="927"/>
        <v>0</v>
      </c>
      <c r="BM333" s="144">
        <f t="shared" si="927"/>
        <v>0</v>
      </c>
      <c r="BN333" s="144">
        <f t="shared" si="927"/>
        <v>0</v>
      </c>
      <c r="BO333" s="9">
        <f t="shared" ref="BO333:CT333" si="928">BO121/BO$211</f>
        <v>0</v>
      </c>
      <c r="BP333" s="144">
        <f t="shared" si="928"/>
        <v>0</v>
      </c>
      <c r="BQ333" s="144">
        <f t="shared" si="928"/>
        <v>0</v>
      </c>
      <c r="BR333" s="144">
        <f t="shared" si="928"/>
        <v>0</v>
      </c>
      <c r="BS333" s="144">
        <f t="shared" si="928"/>
        <v>0</v>
      </c>
      <c r="BT333" s="144">
        <f t="shared" si="928"/>
        <v>0</v>
      </c>
      <c r="BU333" s="144">
        <f t="shared" si="928"/>
        <v>0</v>
      </c>
      <c r="BV333" s="144">
        <f t="shared" si="928"/>
        <v>0</v>
      </c>
      <c r="BW333" s="144">
        <f t="shared" si="928"/>
        <v>0</v>
      </c>
      <c r="BX333" s="144">
        <f t="shared" si="928"/>
        <v>0</v>
      </c>
      <c r="BY333" s="144">
        <f t="shared" si="928"/>
        <v>0</v>
      </c>
      <c r="BZ333" s="144">
        <f t="shared" si="928"/>
        <v>0</v>
      </c>
      <c r="CA333" s="144">
        <f t="shared" si="928"/>
        <v>0</v>
      </c>
      <c r="CB333" s="9">
        <f t="shared" si="928"/>
        <v>0</v>
      </c>
      <c r="CC333" s="144">
        <f t="shared" si="928"/>
        <v>0</v>
      </c>
      <c r="CD333" s="144">
        <f t="shared" si="928"/>
        <v>0</v>
      </c>
      <c r="CE333" s="144">
        <f t="shared" si="928"/>
        <v>0</v>
      </c>
      <c r="CF333" s="144">
        <f t="shared" si="928"/>
        <v>0</v>
      </c>
      <c r="CG333" s="144">
        <f t="shared" si="928"/>
        <v>0</v>
      </c>
      <c r="CH333" s="144">
        <f t="shared" si="928"/>
        <v>0</v>
      </c>
      <c r="CI333" s="144">
        <f t="shared" si="928"/>
        <v>0</v>
      </c>
      <c r="CJ333" s="144">
        <f t="shared" si="928"/>
        <v>0</v>
      </c>
      <c r="CK333" s="144">
        <f t="shared" si="928"/>
        <v>0</v>
      </c>
      <c r="CL333" s="144">
        <f t="shared" si="928"/>
        <v>0</v>
      </c>
      <c r="CM333" s="144">
        <f t="shared" si="928"/>
        <v>0</v>
      </c>
      <c r="CN333" s="144">
        <f t="shared" si="928"/>
        <v>0</v>
      </c>
      <c r="CO333" s="9">
        <f t="shared" si="928"/>
        <v>0</v>
      </c>
      <c r="CP333" s="144">
        <f t="shared" si="928"/>
        <v>0</v>
      </c>
      <c r="CQ333" s="144">
        <f t="shared" si="928"/>
        <v>0</v>
      </c>
      <c r="CR333" s="144">
        <f t="shared" si="928"/>
        <v>0</v>
      </c>
      <c r="CS333" s="144">
        <f t="shared" si="928"/>
        <v>0</v>
      </c>
      <c r="CT333" s="144">
        <f t="shared" si="928"/>
        <v>0</v>
      </c>
      <c r="CU333" s="144">
        <f t="shared" ref="CU333:EB333" si="929">CU121/CU$211</f>
        <v>0</v>
      </c>
      <c r="CV333" s="144">
        <f t="shared" si="929"/>
        <v>0</v>
      </c>
      <c r="CW333" s="144">
        <f t="shared" si="929"/>
        <v>0</v>
      </c>
      <c r="CX333" s="144">
        <f t="shared" si="929"/>
        <v>0</v>
      </c>
      <c r="CY333" s="144">
        <f t="shared" si="929"/>
        <v>0</v>
      </c>
      <c r="CZ333" s="144">
        <f t="shared" si="929"/>
        <v>0</v>
      </c>
      <c r="DA333" s="144">
        <f t="shared" si="929"/>
        <v>0</v>
      </c>
      <c r="DB333" s="9">
        <f t="shared" si="929"/>
        <v>0</v>
      </c>
      <c r="DC333" s="144">
        <f t="shared" si="929"/>
        <v>0</v>
      </c>
      <c r="DD333" s="144">
        <f t="shared" si="929"/>
        <v>0</v>
      </c>
      <c r="DE333" s="144">
        <f t="shared" si="929"/>
        <v>0</v>
      </c>
      <c r="DF333" s="144">
        <f t="shared" si="929"/>
        <v>2.14895003601743e-5</v>
      </c>
      <c r="DG333" s="144">
        <f t="shared" si="929"/>
        <v>0</v>
      </c>
      <c r="DH333" s="144">
        <f t="shared" si="929"/>
        <v>0</v>
      </c>
      <c r="DI333" s="144">
        <f t="shared" si="929"/>
        <v>0</v>
      </c>
      <c r="DJ333" s="144">
        <f t="shared" si="929"/>
        <v>0</v>
      </c>
      <c r="DK333" s="144">
        <f t="shared" si="929"/>
        <v>0</v>
      </c>
      <c r="DL333" s="144">
        <f t="shared" si="929"/>
        <v>0</v>
      </c>
      <c r="DM333" s="144">
        <f t="shared" si="929"/>
        <v>0</v>
      </c>
      <c r="DN333" s="144">
        <f t="shared" si="929"/>
        <v>0</v>
      </c>
      <c r="DO333" s="9">
        <f t="shared" si="929"/>
        <v>1.54730477519954e-6</v>
      </c>
      <c r="DP333" s="144">
        <f t="shared" si="929"/>
        <v>0</v>
      </c>
      <c r="DQ333" s="144">
        <f t="shared" si="929"/>
        <v>0</v>
      </c>
      <c r="DR333" s="144">
        <f t="shared" si="929"/>
        <v>0</v>
      </c>
      <c r="DS333" s="144">
        <f t="shared" si="929"/>
        <v>0</v>
      </c>
      <c r="DT333" s="144">
        <f t="shared" si="929"/>
        <v>0</v>
      </c>
      <c r="DU333" s="144">
        <f t="shared" si="929"/>
        <v>0</v>
      </c>
      <c r="DV333" s="144">
        <f t="shared" si="929"/>
        <v>0</v>
      </c>
      <c r="DW333" s="144">
        <f t="shared" si="929"/>
        <v>0</v>
      </c>
      <c r="DX333" s="144">
        <f t="shared" si="929"/>
        <v>0</v>
      </c>
      <c r="DY333" s="144">
        <f t="shared" si="929"/>
        <v>0</v>
      </c>
      <c r="DZ333" s="144">
        <f t="shared" si="929"/>
        <v>0</v>
      </c>
      <c r="EA333" s="144">
        <f t="shared" si="929"/>
        <v>0</v>
      </c>
      <c r="EB333" s="117">
        <f t="shared" si="929"/>
        <v>0</v>
      </c>
      <c r="EC333" s="118"/>
      <c r="ED333" s="117">
        <f t="shared" ref="ED333:FB333" si="930">ED121/ED$211</f>
        <v>0</v>
      </c>
      <c r="EE333" s="117">
        <f t="shared" si="930"/>
        <v>0</v>
      </c>
      <c r="EF333" s="117">
        <f t="shared" si="930"/>
        <v>0</v>
      </c>
      <c r="EG333" s="117" t="e">
        <f t="shared" si="930"/>
        <v>#DIV/0!</v>
      </c>
      <c r="EH333" s="117" t="e">
        <f t="shared" si="930"/>
        <v>#DIV/0!</v>
      </c>
      <c r="EI333" s="117" t="e">
        <f t="shared" si="930"/>
        <v>#DIV/0!</v>
      </c>
      <c r="EJ333" s="117" t="e">
        <f t="shared" si="930"/>
        <v>#DIV/0!</v>
      </c>
      <c r="EK333" s="117" t="e">
        <f t="shared" si="930"/>
        <v>#DIV/0!</v>
      </c>
      <c r="EL333" s="117" t="e">
        <f t="shared" si="930"/>
        <v>#DIV/0!</v>
      </c>
      <c r="EM333" s="117" t="e">
        <f t="shared" si="930"/>
        <v>#DIV/0!</v>
      </c>
      <c r="EN333" s="117" t="e">
        <f t="shared" si="930"/>
        <v>#DIV/0!</v>
      </c>
      <c r="EO333" s="116">
        <f t="shared" si="930"/>
        <v>0</v>
      </c>
      <c r="EP333" s="117">
        <f t="shared" si="930"/>
        <v>0</v>
      </c>
      <c r="EQ333" s="117">
        <f t="shared" si="930"/>
        <v>0</v>
      </c>
      <c r="ER333" s="117">
        <f t="shared" si="930"/>
        <v>0</v>
      </c>
      <c r="ES333" s="117">
        <f t="shared" si="930"/>
        <v>0</v>
      </c>
      <c r="ET333" s="117">
        <f t="shared" si="930"/>
        <v>0</v>
      </c>
      <c r="EU333" s="117">
        <f t="shared" si="930"/>
        <v>0</v>
      </c>
      <c r="EV333" s="117">
        <f t="shared" si="930"/>
        <v>0</v>
      </c>
      <c r="EW333" s="117">
        <f t="shared" si="930"/>
        <v>0</v>
      </c>
      <c r="EX333" s="117">
        <f t="shared" si="930"/>
        <v>0</v>
      </c>
      <c r="EY333" s="117">
        <f t="shared" si="930"/>
        <v>0</v>
      </c>
      <c r="EZ333" s="117">
        <f t="shared" si="930"/>
        <v>0</v>
      </c>
      <c r="FA333" s="117">
        <f t="shared" si="930"/>
        <v>0</v>
      </c>
      <c r="FB333" s="117">
        <f t="shared" si="930"/>
        <v>0</v>
      </c>
      <c r="FC333" s="118"/>
      <c r="FD333" s="117"/>
      <c r="FE333" s="117"/>
      <c r="FF333" s="117"/>
      <c r="FG333" s="117"/>
      <c r="FH333" s="117"/>
      <c r="FI333" s="117"/>
      <c r="FJ333" s="117"/>
      <c r="FK333" s="117" t="e">
        <f t="shared" si="601"/>
        <v>#DIV/0!</v>
      </c>
      <c r="FL333" s="117" t="e">
        <f t="shared" si="602"/>
        <v>#DIV/0!</v>
      </c>
      <c r="FM333" s="117" t="e">
        <f t="shared" si="603"/>
        <v>#DIV/0!</v>
      </c>
      <c r="FN333" s="117" t="e">
        <f t="shared" si="604"/>
        <v>#DIV/0!</v>
      </c>
      <c r="FO333" s="9" t="e">
        <f t="shared" si="605"/>
        <v>#DIV/0!</v>
      </c>
      <c r="FP333" s="118">
        <f t="shared" ref="FP333:GB333" si="931">FP121/FP$211</f>
        <v>0</v>
      </c>
      <c r="FQ333" s="117">
        <f t="shared" si="931"/>
        <v>0</v>
      </c>
      <c r="FR333" s="117">
        <f t="shared" si="931"/>
        <v>0</v>
      </c>
      <c r="FS333" s="117">
        <f t="shared" si="931"/>
        <v>0</v>
      </c>
      <c r="FT333" s="117">
        <f t="shared" si="931"/>
        <v>0</v>
      </c>
      <c r="FU333" s="117">
        <f t="shared" si="931"/>
        <v>0</v>
      </c>
      <c r="FV333" s="117">
        <f t="shared" si="931"/>
        <v>0</v>
      </c>
      <c r="FW333" s="117">
        <f t="shared" si="931"/>
        <v>0</v>
      </c>
      <c r="FX333" s="117">
        <f t="shared" si="931"/>
        <v>0</v>
      </c>
      <c r="FY333" s="117">
        <f t="shared" si="931"/>
        <v>0</v>
      </c>
      <c r="FZ333" s="117">
        <f t="shared" si="931"/>
        <v>0</v>
      </c>
      <c r="GA333" s="117">
        <f t="shared" si="931"/>
        <v>0</v>
      </c>
      <c r="GB333" s="116">
        <f t="shared" si="931"/>
        <v>0</v>
      </c>
    </row>
    <row r="334" spans="1:184">
      <c r="A334" s="147" t="s">
        <v>269</v>
      </c>
      <c r="B334" s="160">
        <f t="shared" si="607"/>
        <v>-1</v>
      </c>
      <c r="C334" s="117">
        <f t="shared" ref="C334:AH334" si="932">C122/C$211</f>
        <v>0</v>
      </c>
      <c r="D334" s="117">
        <f t="shared" si="932"/>
        <v>0</v>
      </c>
      <c r="E334" s="117">
        <f t="shared" si="932"/>
        <v>0</v>
      </c>
      <c r="F334" s="117">
        <f t="shared" si="932"/>
        <v>0</v>
      </c>
      <c r="G334" s="117">
        <f t="shared" si="932"/>
        <v>0</v>
      </c>
      <c r="H334" s="117">
        <f t="shared" si="932"/>
        <v>0</v>
      </c>
      <c r="I334" s="117">
        <f t="shared" si="932"/>
        <v>0</v>
      </c>
      <c r="J334" s="117">
        <f t="shared" si="932"/>
        <v>0</v>
      </c>
      <c r="K334" s="117">
        <f t="shared" si="932"/>
        <v>0</v>
      </c>
      <c r="L334" s="117">
        <f t="shared" si="932"/>
        <v>0</v>
      </c>
      <c r="M334" s="117">
        <f t="shared" si="932"/>
        <v>0</v>
      </c>
      <c r="N334" s="117">
        <f t="shared" si="932"/>
        <v>0</v>
      </c>
      <c r="O334" s="9">
        <f t="shared" si="932"/>
        <v>0</v>
      </c>
      <c r="P334" s="117">
        <f t="shared" si="932"/>
        <v>0</v>
      </c>
      <c r="Q334" s="117">
        <f t="shared" si="932"/>
        <v>0</v>
      </c>
      <c r="R334" s="117">
        <f t="shared" si="932"/>
        <v>0</v>
      </c>
      <c r="S334" s="117">
        <f t="shared" si="932"/>
        <v>0</v>
      </c>
      <c r="T334" s="117">
        <f t="shared" si="932"/>
        <v>0</v>
      </c>
      <c r="U334" s="117">
        <f t="shared" si="932"/>
        <v>0</v>
      </c>
      <c r="V334" s="117">
        <f t="shared" si="932"/>
        <v>0</v>
      </c>
      <c r="W334" s="117">
        <f t="shared" si="932"/>
        <v>0</v>
      </c>
      <c r="X334" s="117">
        <f t="shared" si="932"/>
        <v>0</v>
      </c>
      <c r="Y334" s="117">
        <f t="shared" si="932"/>
        <v>0</v>
      </c>
      <c r="Z334" s="117">
        <f t="shared" si="932"/>
        <v>0</v>
      </c>
      <c r="AA334" s="117">
        <f t="shared" si="932"/>
        <v>0</v>
      </c>
      <c r="AB334" s="9">
        <f t="shared" si="932"/>
        <v>0</v>
      </c>
      <c r="AC334" s="117">
        <f t="shared" si="932"/>
        <v>0</v>
      </c>
      <c r="AD334" s="117">
        <f t="shared" si="932"/>
        <v>0</v>
      </c>
      <c r="AE334" s="117">
        <f t="shared" si="932"/>
        <v>0</v>
      </c>
      <c r="AF334" s="117">
        <f t="shared" si="932"/>
        <v>0</v>
      </c>
      <c r="AG334" s="117">
        <f t="shared" si="932"/>
        <v>0</v>
      </c>
      <c r="AH334" s="117">
        <f t="shared" si="932"/>
        <v>0</v>
      </c>
      <c r="AI334" s="117">
        <f t="shared" ref="AI334:BN334" si="933">AI122/AI$211</f>
        <v>0</v>
      </c>
      <c r="AJ334" s="117">
        <f t="shared" si="933"/>
        <v>0</v>
      </c>
      <c r="AK334" s="117">
        <f t="shared" si="933"/>
        <v>0</v>
      </c>
      <c r="AL334" s="117">
        <f t="shared" si="933"/>
        <v>0</v>
      </c>
      <c r="AM334" s="117">
        <f t="shared" si="933"/>
        <v>0</v>
      </c>
      <c r="AN334" s="117">
        <f t="shared" si="933"/>
        <v>0</v>
      </c>
      <c r="AO334" s="9">
        <f t="shared" si="933"/>
        <v>0</v>
      </c>
      <c r="AP334" s="144">
        <f t="shared" si="933"/>
        <v>0</v>
      </c>
      <c r="AQ334" s="144">
        <f t="shared" si="933"/>
        <v>0</v>
      </c>
      <c r="AR334" s="144">
        <f t="shared" si="933"/>
        <v>0</v>
      </c>
      <c r="AS334" s="144">
        <f t="shared" si="933"/>
        <v>0</v>
      </c>
      <c r="AT334" s="144">
        <f t="shared" si="933"/>
        <v>0</v>
      </c>
      <c r="AU334" s="144">
        <f t="shared" si="933"/>
        <v>0</v>
      </c>
      <c r="AV334" s="144">
        <f t="shared" si="933"/>
        <v>0</v>
      </c>
      <c r="AW334" s="144">
        <f t="shared" si="933"/>
        <v>0</v>
      </c>
      <c r="AX334" s="144">
        <f t="shared" si="933"/>
        <v>0</v>
      </c>
      <c r="AY334" s="144">
        <f t="shared" si="933"/>
        <v>0</v>
      </c>
      <c r="AZ334" s="144">
        <f t="shared" si="933"/>
        <v>0</v>
      </c>
      <c r="BA334" s="144">
        <f t="shared" si="933"/>
        <v>0</v>
      </c>
      <c r="BB334" s="9">
        <f t="shared" si="933"/>
        <v>0</v>
      </c>
      <c r="BC334" s="144">
        <f t="shared" si="933"/>
        <v>0</v>
      </c>
      <c r="BD334" s="144">
        <f t="shared" si="933"/>
        <v>0</v>
      </c>
      <c r="BE334" s="144">
        <f t="shared" si="933"/>
        <v>0</v>
      </c>
      <c r="BF334" s="144">
        <f t="shared" si="933"/>
        <v>0</v>
      </c>
      <c r="BG334" s="144">
        <f t="shared" si="933"/>
        <v>0</v>
      </c>
      <c r="BH334" s="144">
        <f t="shared" si="933"/>
        <v>0</v>
      </c>
      <c r="BI334" s="144">
        <f t="shared" si="933"/>
        <v>0</v>
      </c>
      <c r="BJ334" s="144">
        <f t="shared" si="933"/>
        <v>0</v>
      </c>
      <c r="BK334" s="144">
        <f t="shared" si="933"/>
        <v>0</v>
      </c>
      <c r="BL334" s="144">
        <f t="shared" si="933"/>
        <v>0</v>
      </c>
      <c r="BM334" s="144">
        <f t="shared" si="933"/>
        <v>0</v>
      </c>
      <c r="BN334" s="144">
        <f t="shared" si="933"/>
        <v>0</v>
      </c>
      <c r="BO334" s="9">
        <f t="shared" ref="BO334:CT334" si="934">BO122/BO$211</f>
        <v>0</v>
      </c>
      <c r="BP334" s="144">
        <f t="shared" si="934"/>
        <v>0</v>
      </c>
      <c r="BQ334" s="144">
        <f t="shared" si="934"/>
        <v>0</v>
      </c>
      <c r="BR334" s="144">
        <f t="shared" si="934"/>
        <v>0</v>
      </c>
      <c r="BS334" s="144">
        <f t="shared" si="934"/>
        <v>0</v>
      </c>
      <c r="BT334" s="144">
        <f t="shared" si="934"/>
        <v>0</v>
      </c>
      <c r="BU334" s="144">
        <f t="shared" si="934"/>
        <v>0</v>
      </c>
      <c r="BV334" s="144">
        <f t="shared" si="934"/>
        <v>0</v>
      </c>
      <c r="BW334" s="144">
        <f t="shared" si="934"/>
        <v>0</v>
      </c>
      <c r="BX334" s="144">
        <f t="shared" si="934"/>
        <v>0</v>
      </c>
      <c r="BY334" s="144">
        <f t="shared" si="934"/>
        <v>0</v>
      </c>
      <c r="BZ334" s="144">
        <f t="shared" si="934"/>
        <v>0</v>
      </c>
      <c r="CA334" s="144">
        <f t="shared" si="934"/>
        <v>0</v>
      </c>
      <c r="CB334" s="9">
        <f t="shared" si="934"/>
        <v>0</v>
      </c>
      <c r="CC334" s="144">
        <f t="shared" si="934"/>
        <v>0</v>
      </c>
      <c r="CD334" s="144">
        <f t="shared" si="934"/>
        <v>0</v>
      </c>
      <c r="CE334" s="144">
        <f t="shared" si="934"/>
        <v>0</v>
      </c>
      <c r="CF334" s="144">
        <f t="shared" si="934"/>
        <v>0</v>
      </c>
      <c r="CG334" s="144">
        <f t="shared" si="934"/>
        <v>0</v>
      </c>
      <c r="CH334" s="144">
        <f t="shared" si="934"/>
        <v>0</v>
      </c>
      <c r="CI334" s="144">
        <f t="shared" si="934"/>
        <v>0</v>
      </c>
      <c r="CJ334" s="144">
        <f t="shared" si="934"/>
        <v>0</v>
      </c>
      <c r="CK334" s="144">
        <f t="shared" si="934"/>
        <v>0</v>
      </c>
      <c r="CL334" s="144">
        <f t="shared" si="934"/>
        <v>0</v>
      </c>
      <c r="CM334" s="144">
        <f t="shared" si="934"/>
        <v>0</v>
      </c>
      <c r="CN334" s="144">
        <f t="shared" si="934"/>
        <v>0</v>
      </c>
      <c r="CO334" s="9">
        <f t="shared" si="934"/>
        <v>0</v>
      </c>
      <c r="CP334" s="144">
        <f t="shared" si="934"/>
        <v>0</v>
      </c>
      <c r="CQ334" s="144">
        <f t="shared" si="934"/>
        <v>0</v>
      </c>
      <c r="CR334" s="144">
        <f t="shared" si="934"/>
        <v>0</v>
      </c>
      <c r="CS334" s="144">
        <f t="shared" si="934"/>
        <v>0</v>
      </c>
      <c r="CT334" s="144">
        <f t="shared" si="934"/>
        <v>0</v>
      </c>
      <c r="CU334" s="144">
        <f t="shared" ref="CU334:EB334" si="935">CU122/CU$211</f>
        <v>0</v>
      </c>
      <c r="CV334" s="144">
        <f t="shared" si="935"/>
        <v>0</v>
      </c>
      <c r="CW334" s="144">
        <f t="shared" si="935"/>
        <v>0</v>
      </c>
      <c r="CX334" s="144">
        <f t="shared" si="935"/>
        <v>0</v>
      </c>
      <c r="CY334" s="144">
        <f t="shared" si="935"/>
        <v>0</v>
      </c>
      <c r="CZ334" s="144">
        <f t="shared" si="935"/>
        <v>0</v>
      </c>
      <c r="DA334" s="144">
        <f t="shared" si="935"/>
        <v>0</v>
      </c>
      <c r="DB334" s="9">
        <f t="shared" si="935"/>
        <v>0</v>
      </c>
      <c r="DC334" s="144">
        <f t="shared" si="935"/>
        <v>0</v>
      </c>
      <c r="DD334" s="144">
        <f t="shared" si="935"/>
        <v>0</v>
      </c>
      <c r="DE334" s="144">
        <f t="shared" si="935"/>
        <v>0</v>
      </c>
      <c r="DF334" s="144">
        <f t="shared" si="935"/>
        <v>0</v>
      </c>
      <c r="DG334" s="144">
        <f t="shared" si="935"/>
        <v>0</v>
      </c>
      <c r="DH334" s="144">
        <f t="shared" si="935"/>
        <v>0</v>
      </c>
      <c r="DI334" s="144">
        <f t="shared" si="935"/>
        <v>0</v>
      </c>
      <c r="DJ334" s="144">
        <f t="shared" si="935"/>
        <v>0</v>
      </c>
      <c r="DK334" s="144">
        <f t="shared" si="935"/>
        <v>0</v>
      </c>
      <c r="DL334" s="144">
        <f t="shared" si="935"/>
        <v>0</v>
      </c>
      <c r="DM334" s="144">
        <f t="shared" si="935"/>
        <v>0</v>
      </c>
      <c r="DN334" s="144">
        <f t="shared" si="935"/>
        <v>0</v>
      </c>
      <c r="DO334" s="9">
        <f t="shared" si="935"/>
        <v>0</v>
      </c>
      <c r="DP334" s="144">
        <f t="shared" si="935"/>
        <v>0</v>
      </c>
      <c r="DQ334" s="144">
        <f t="shared" si="935"/>
        <v>0</v>
      </c>
      <c r="DR334" s="144">
        <f t="shared" si="935"/>
        <v>0</v>
      </c>
      <c r="DS334" s="144">
        <f t="shared" si="935"/>
        <v>0</v>
      </c>
      <c r="DT334" s="144">
        <f t="shared" si="935"/>
        <v>0</v>
      </c>
      <c r="DU334" s="144">
        <f t="shared" si="935"/>
        <v>0</v>
      </c>
      <c r="DV334" s="144">
        <f t="shared" si="935"/>
        <v>0</v>
      </c>
      <c r="DW334" s="144">
        <f t="shared" si="935"/>
        <v>0</v>
      </c>
      <c r="DX334" s="144">
        <f t="shared" si="935"/>
        <v>0</v>
      </c>
      <c r="DY334" s="144">
        <f t="shared" si="935"/>
        <v>0</v>
      </c>
      <c r="DZ334" s="144">
        <f t="shared" si="935"/>
        <v>0</v>
      </c>
      <c r="EA334" s="144">
        <f t="shared" si="935"/>
        <v>0</v>
      </c>
      <c r="EB334" s="117">
        <f t="shared" si="935"/>
        <v>0</v>
      </c>
      <c r="EC334" s="118"/>
      <c r="ED334" s="117">
        <f t="shared" ref="ED334:FB334" si="936">ED122/ED$211</f>
        <v>0</v>
      </c>
      <c r="EE334" s="117">
        <f t="shared" si="936"/>
        <v>0</v>
      </c>
      <c r="EF334" s="117">
        <f t="shared" si="936"/>
        <v>0</v>
      </c>
      <c r="EG334" s="117" t="e">
        <f t="shared" si="936"/>
        <v>#DIV/0!</v>
      </c>
      <c r="EH334" s="117" t="e">
        <f t="shared" si="936"/>
        <v>#DIV/0!</v>
      </c>
      <c r="EI334" s="117" t="e">
        <f t="shared" si="936"/>
        <v>#DIV/0!</v>
      </c>
      <c r="EJ334" s="117" t="e">
        <f t="shared" si="936"/>
        <v>#DIV/0!</v>
      </c>
      <c r="EK334" s="117" t="e">
        <f t="shared" si="936"/>
        <v>#DIV/0!</v>
      </c>
      <c r="EL334" s="117" t="e">
        <f t="shared" si="936"/>
        <v>#DIV/0!</v>
      </c>
      <c r="EM334" s="117" t="e">
        <f t="shared" si="936"/>
        <v>#DIV/0!</v>
      </c>
      <c r="EN334" s="117" t="e">
        <f t="shared" si="936"/>
        <v>#DIV/0!</v>
      </c>
      <c r="EO334" s="116">
        <f t="shared" si="936"/>
        <v>0</v>
      </c>
      <c r="EP334" s="117">
        <f t="shared" si="936"/>
        <v>0</v>
      </c>
      <c r="EQ334" s="117">
        <f t="shared" si="936"/>
        <v>0</v>
      </c>
      <c r="ER334" s="117">
        <f t="shared" si="936"/>
        <v>0</v>
      </c>
      <c r="ES334" s="117">
        <f t="shared" si="936"/>
        <v>0</v>
      </c>
      <c r="ET334" s="117">
        <f t="shared" si="936"/>
        <v>0</v>
      </c>
      <c r="EU334" s="117">
        <f t="shared" si="936"/>
        <v>0</v>
      </c>
      <c r="EV334" s="117">
        <f t="shared" si="936"/>
        <v>0</v>
      </c>
      <c r="EW334" s="117">
        <f t="shared" si="936"/>
        <v>0</v>
      </c>
      <c r="EX334" s="117">
        <f t="shared" si="936"/>
        <v>0</v>
      </c>
      <c r="EY334" s="117">
        <f t="shared" si="936"/>
        <v>0</v>
      </c>
      <c r="EZ334" s="117">
        <f t="shared" si="936"/>
        <v>0</v>
      </c>
      <c r="FA334" s="117">
        <f t="shared" si="936"/>
        <v>0</v>
      </c>
      <c r="FB334" s="117">
        <f t="shared" si="936"/>
        <v>0</v>
      </c>
      <c r="FC334" s="118"/>
      <c r="FD334" s="117"/>
      <c r="FE334" s="117"/>
      <c r="FF334" s="117"/>
      <c r="FG334" s="117"/>
      <c r="FH334" s="117"/>
      <c r="FI334" s="117"/>
      <c r="FJ334" s="117"/>
      <c r="FK334" s="117" t="e">
        <f t="shared" si="601"/>
        <v>#DIV/0!</v>
      </c>
      <c r="FL334" s="117" t="e">
        <f t="shared" si="602"/>
        <v>#DIV/0!</v>
      </c>
      <c r="FM334" s="117" t="e">
        <f t="shared" si="603"/>
        <v>#DIV/0!</v>
      </c>
      <c r="FN334" s="117" t="e">
        <f t="shared" si="604"/>
        <v>#DIV/0!</v>
      </c>
      <c r="FO334" s="9" t="e">
        <f t="shared" si="605"/>
        <v>#DIV/0!</v>
      </c>
      <c r="FP334" s="118">
        <f t="shared" ref="FP334:GB334" si="937">FP122/FP$211</f>
        <v>0</v>
      </c>
      <c r="FQ334" s="117">
        <f t="shared" si="937"/>
        <v>0</v>
      </c>
      <c r="FR334" s="117">
        <f t="shared" si="937"/>
        <v>0</v>
      </c>
      <c r="FS334" s="117">
        <f t="shared" si="937"/>
        <v>0</v>
      </c>
      <c r="FT334" s="117">
        <f t="shared" si="937"/>
        <v>0</v>
      </c>
      <c r="FU334" s="117">
        <f t="shared" si="937"/>
        <v>0</v>
      </c>
      <c r="FV334" s="117">
        <f t="shared" si="937"/>
        <v>0</v>
      </c>
      <c r="FW334" s="117">
        <f t="shared" si="937"/>
        <v>0</v>
      </c>
      <c r="FX334" s="117">
        <f t="shared" si="937"/>
        <v>0</v>
      </c>
      <c r="FY334" s="117">
        <f t="shared" si="937"/>
        <v>0</v>
      </c>
      <c r="FZ334" s="117">
        <f t="shared" si="937"/>
        <v>0</v>
      </c>
      <c r="GA334" s="117">
        <f t="shared" si="937"/>
        <v>0</v>
      </c>
      <c r="GB334" s="116">
        <f t="shared" si="937"/>
        <v>0</v>
      </c>
    </row>
    <row r="335" spans="1:184">
      <c r="A335" s="147" t="s">
        <v>271</v>
      </c>
      <c r="B335" s="160">
        <f t="shared" si="607"/>
        <v>-1</v>
      </c>
      <c r="C335" s="117">
        <f t="shared" ref="C335:AH335" si="938">C123/C$211</f>
        <v>0</v>
      </c>
      <c r="D335" s="117">
        <f t="shared" si="938"/>
        <v>0</v>
      </c>
      <c r="E335" s="117">
        <f t="shared" si="938"/>
        <v>0</v>
      </c>
      <c r="F335" s="117">
        <f t="shared" si="938"/>
        <v>0</v>
      </c>
      <c r="G335" s="117">
        <f t="shared" si="938"/>
        <v>0</v>
      </c>
      <c r="H335" s="117">
        <f t="shared" si="938"/>
        <v>0</v>
      </c>
      <c r="I335" s="117">
        <f t="shared" si="938"/>
        <v>0</v>
      </c>
      <c r="J335" s="117">
        <f t="shared" si="938"/>
        <v>0</v>
      </c>
      <c r="K335" s="117">
        <f t="shared" si="938"/>
        <v>0</v>
      </c>
      <c r="L335" s="117">
        <f t="shared" si="938"/>
        <v>0</v>
      </c>
      <c r="M335" s="117">
        <f t="shared" si="938"/>
        <v>0</v>
      </c>
      <c r="N335" s="117">
        <f t="shared" si="938"/>
        <v>0</v>
      </c>
      <c r="O335" s="9">
        <f t="shared" si="938"/>
        <v>0</v>
      </c>
      <c r="P335" s="117">
        <f t="shared" si="938"/>
        <v>0</v>
      </c>
      <c r="Q335" s="117">
        <f t="shared" si="938"/>
        <v>0</v>
      </c>
      <c r="R335" s="117">
        <f t="shared" si="938"/>
        <v>0</v>
      </c>
      <c r="S335" s="117">
        <f t="shared" si="938"/>
        <v>0</v>
      </c>
      <c r="T335" s="117">
        <f t="shared" si="938"/>
        <v>0</v>
      </c>
      <c r="U335" s="117">
        <f t="shared" si="938"/>
        <v>0</v>
      </c>
      <c r="V335" s="117">
        <f t="shared" si="938"/>
        <v>0</v>
      </c>
      <c r="W335" s="117">
        <f t="shared" si="938"/>
        <v>0</v>
      </c>
      <c r="X335" s="117">
        <f t="shared" si="938"/>
        <v>0</v>
      </c>
      <c r="Y335" s="117">
        <f t="shared" si="938"/>
        <v>0</v>
      </c>
      <c r="Z335" s="117">
        <f t="shared" si="938"/>
        <v>0</v>
      </c>
      <c r="AA335" s="117">
        <f t="shared" si="938"/>
        <v>0</v>
      </c>
      <c r="AB335" s="9">
        <f t="shared" si="938"/>
        <v>0</v>
      </c>
      <c r="AC335" s="117">
        <f t="shared" si="938"/>
        <v>0</v>
      </c>
      <c r="AD335" s="117">
        <f t="shared" si="938"/>
        <v>0</v>
      </c>
      <c r="AE335" s="117">
        <f t="shared" si="938"/>
        <v>0</v>
      </c>
      <c r="AF335" s="117">
        <f t="shared" si="938"/>
        <v>0</v>
      </c>
      <c r="AG335" s="117">
        <f t="shared" si="938"/>
        <v>0</v>
      </c>
      <c r="AH335" s="117">
        <f t="shared" si="938"/>
        <v>0</v>
      </c>
      <c r="AI335" s="117">
        <f t="shared" ref="AI335:BN335" si="939">AI123/AI$211</f>
        <v>0</v>
      </c>
      <c r="AJ335" s="117">
        <f t="shared" si="939"/>
        <v>0</v>
      </c>
      <c r="AK335" s="117">
        <f t="shared" si="939"/>
        <v>0</v>
      </c>
      <c r="AL335" s="117">
        <f t="shared" si="939"/>
        <v>0</v>
      </c>
      <c r="AM335" s="117">
        <f t="shared" si="939"/>
        <v>0</v>
      </c>
      <c r="AN335" s="117">
        <f t="shared" si="939"/>
        <v>0</v>
      </c>
      <c r="AO335" s="9">
        <f t="shared" si="939"/>
        <v>0</v>
      </c>
      <c r="AP335" s="144">
        <f t="shared" si="939"/>
        <v>0</v>
      </c>
      <c r="AQ335" s="144">
        <f t="shared" si="939"/>
        <v>0</v>
      </c>
      <c r="AR335" s="144">
        <f t="shared" si="939"/>
        <v>0</v>
      </c>
      <c r="AS335" s="144">
        <f t="shared" si="939"/>
        <v>0</v>
      </c>
      <c r="AT335" s="144">
        <f t="shared" si="939"/>
        <v>0</v>
      </c>
      <c r="AU335" s="144">
        <f t="shared" si="939"/>
        <v>0</v>
      </c>
      <c r="AV335" s="144">
        <f t="shared" si="939"/>
        <v>0</v>
      </c>
      <c r="AW335" s="144">
        <f t="shared" si="939"/>
        <v>0</v>
      </c>
      <c r="AX335" s="144">
        <f t="shared" si="939"/>
        <v>0</v>
      </c>
      <c r="AY335" s="144">
        <f t="shared" si="939"/>
        <v>0</v>
      </c>
      <c r="AZ335" s="144">
        <f t="shared" si="939"/>
        <v>0</v>
      </c>
      <c r="BA335" s="144">
        <f t="shared" si="939"/>
        <v>0</v>
      </c>
      <c r="BB335" s="9">
        <f t="shared" si="939"/>
        <v>0</v>
      </c>
      <c r="BC335" s="144">
        <f t="shared" si="939"/>
        <v>0</v>
      </c>
      <c r="BD335" s="144">
        <f t="shared" si="939"/>
        <v>0</v>
      </c>
      <c r="BE335" s="144">
        <f t="shared" si="939"/>
        <v>0</v>
      </c>
      <c r="BF335" s="144">
        <f t="shared" si="939"/>
        <v>0</v>
      </c>
      <c r="BG335" s="144">
        <f t="shared" si="939"/>
        <v>0</v>
      </c>
      <c r="BH335" s="144">
        <f t="shared" si="939"/>
        <v>0</v>
      </c>
      <c r="BI335" s="144">
        <f t="shared" si="939"/>
        <v>0</v>
      </c>
      <c r="BJ335" s="144">
        <f t="shared" si="939"/>
        <v>0</v>
      </c>
      <c r="BK335" s="144">
        <f t="shared" si="939"/>
        <v>0</v>
      </c>
      <c r="BL335" s="144">
        <f t="shared" si="939"/>
        <v>0</v>
      </c>
      <c r="BM335" s="144">
        <f t="shared" si="939"/>
        <v>0</v>
      </c>
      <c r="BN335" s="144">
        <f t="shared" si="939"/>
        <v>0</v>
      </c>
      <c r="BO335" s="9">
        <f t="shared" ref="BO335:CT335" si="940">BO123/BO$211</f>
        <v>0</v>
      </c>
      <c r="BP335" s="144">
        <f t="shared" si="940"/>
        <v>0</v>
      </c>
      <c r="BQ335" s="144">
        <f t="shared" si="940"/>
        <v>0</v>
      </c>
      <c r="BR335" s="144">
        <f t="shared" si="940"/>
        <v>0</v>
      </c>
      <c r="BS335" s="144">
        <f t="shared" si="940"/>
        <v>0</v>
      </c>
      <c r="BT335" s="144">
        <f t="shared" si="940"/>
        <v>0</v>
      </c>
      <c r="BU335" s="144">
        <f t="shared" si="940"/>
        <v>0</v>
      </c>
      <c r="BV335" s="144">
        <f t="shared" si="940"/>
        <v>0</v>
      </c>
      <c r="BW335" s="144">
        <f t="shared" si="940"/>
        <v>0</v>
      </c>
      <c r="BX335" s="144">
        <f t="shared" si="940"/>
        <v>0</v>
      </c>
      <c r="BY335" s="144">
        <f t="shared" si="940"/>
        <v>0</v>
      </c>
      <c r="BZ335" s="144">
        <f t="shared" si="940"/>
        <v>0</v>
      </c>
      <c r="CA335" s="144">
        <f t="shared" si="940"/>
        <v>0</v>
      </c>
      <c r="CB335" s="9">
        <f t="shared" si="940"/>
        <v>0</v>
      </c>
      <c r="CC335" s="144">
        <f t="shared" si="940"/>
        <v>0</v>
      </c>
      <c r="CD335" s="144">
        <f t="shared" si="940"/>
        <v>0</v>
      </c>
      <c r="CE335" s="144">
        <f t="shared" si="940"/>
        <v>0</v>
      </c>
      <c r="CF335" s="144">
        <f t="shared" si="940"/>
        <v>0</v>
      </c>
      <c r="CG335" s="144">
        <f t="shared" si="940"/>
        <v>0</v>
      </c>
      <c r="CH335" s="144">
        <f t="shared" si="940"/>
        <v>0</v>
      </c>
      <c r="CI335" s="144">
        <f t="shared" si="940"/>
        <v>0</v>
      </c>
      <c r="CJ335" s="144">
        <f t="shared" si="940"/>
        <v>0</v>
      </c>
      <c r="CK335" s="144">
        <f t="shared" si="940"/>
        <v>0</v>
      </c>
      <c r="CL335" s="144">
        <f t="shared" si="940"/>
        <v>0</v>
      </c>
      <c r="CM335" s="144">
        <f t="shared" si="940"/>
        <v>0</v>
      </c>
      <c r="CN335" s="144">
        <f t="shared" si="940"/>
        <v>0</v>
      </c>
      <c r="CO335" s="9">
        <f t="shared" si="940"/>
        <v>0</v>
      </c>
      <c r="CP335" s="144">
        <f t="shared" si="940"/>
        <v>0</v>
      </c>
      <c r="CQ335" s="144">
        <f t="shared" si="940"/>
        <v>0</v>
      </c>
      <c r="CR335" s="144">
        <f t="shared" si="940"/>
        <v>0</v>
      </c>
      <c r="CS335" s="144">
        <f t="shared" si="940"/>
        <v>0</v>
      </c>
      <c r="CT335" s="144">
        <f t="shared" si="940"/>
        <v>0</v>
      </c>
      <c r="CU335" s="144">
        <f t="shared" ref="CU335:EB335" si="941">CU123/CU$211</f>
        <v>0</v>
      </c>
      <c r="CV335" s="144">
        <f t="shared" si="941"/>
        <v>0</v>
      </c>
      <c r="CW335" s="144">
        <f t="shared" si="941"/>
        <v>0</v>
      </c>
      <c r="CX335" s="144">
        <f t="shared" si="941"/>
        <v>0</v>
      </c>
      <c r="CY335" s="144">
        <f t="shared" si="941"/>
        <v>0</v>
      </c>
      <c r="CZ335" s="144">
        <f t="shared" si="941"/>
        <v>0</v>
      </c>
      <c r="DA335" s="144">
        <f t="shared" si="941"/>
        <v>0</v>
      </c>
      <c r="DB335" s="9">
        <f t="shared" si="941"/>
        <v>0</v>
      </c>
      <c r="DC335" s="144">
        <f t="shared" si="941"/>
        <v>0</v>
      </c>
      <c r="DD335" s="144">
        <f t="shared" si="941"/>
        <v>0</v>
      </c>
      <c r="DE335" s="144">
        <f t="shared" si="941"/>
        <v>0</v>
      </c>
      <c r="DF335" s="144">
        <f t="shared" si="941"/>
        <v>0</v>
      </c>
      <c r="DG335" s="144">
        <f t="shared" si="941"/>
        <v>0</v>
      </c>
      <c r="DH335" s="144">
        <f t="shared" si="941"/>
        <v>0</v>
      </c>
      <c r="DI335" s="144">
        <f t="shared" si="941"/>
        <v>0</v>
      </c>
      <c r="DJ335" s="144">
        <f t="shared" si="941"/>
        <v>0</v>
      </c>
      <c r="DK335" s="144">
        <f t="shared" si="941"/>
        <v>0</v>
      </c>
      <c r="DL335" s="144">
        <f t="shared" si="941"/>
        <v>0</v>
      </c>
      <c r="DM335" s="144">
        <f t="shared" si="941"/>
        <v>0</v>
      </c>
      <c r="DN335" s="144">
        <f t="shared" si="941"/>
        <v>0</v>
      </c>
      <c r="DO335" s="9">
        <f t="shared" si="941"/>
        <v>0</v>
      </c>
      <c r="DP335" s="144">
        <f t="shared" si="941"/>
        <v>0</v>
      </c>
      <c r="DQ335" s="144">
        <f t="shared" si="941"/>
        <v>0</v>
      </c>
      <c r="DR335" s="144">
        <f t="shared" si="941"/>
        <v>0</v>
      </c>
      <c r="DS335" s="144">
        <f t="shared" si="941"/>
        <v>0</v>
      </c>
      <c r="DT335" s="144">
        <f t="shared" si="941"/>
        <v>0</v>
      </c>
      <c r="DU335" s="144">
        <f t="shared" si="941"/>
        <v>0</v>
      </c>
      <c r="DV335" s="144">
        <f t="shared" si="941"/>
        <v>0</v>
      </c>
      <c r="DW335" s="144">
        <f t="shared" si="941"/>
        <v>0</v>
      </c>
      <c r="DX335" s="144">
        <f t="shared" si="941"/>
        <v>0</v>
      </c>
      <c r="DY335" s="144">
        <f t="shared" si="941"/>
        <v>0</v>
      </c>
      <c r="DZ335" s="144">
        <f t="shared" si="941"/>
        <v>0</v>
      </c>
      <c r="EA335" s="144">
        <f t="shared" si="941"/>
        <v>0</v>
      </c>
      <c r="EB335" s="117">
        <f t="shared" si="941"/>
        <v>0</v>
      </c>
      <c r="EC335" s="118"/>
      <c r="ED335" s="117">
        <f t="shared" ref="ED335:FB335" si="942">ED123/ED$211</f>
        <v>0</v>
      </c>
      <c r="EE335" s="117">
        <f t="shared" si="942"/>
        <v>0</v>
      </c>
      <c r="EF335" s="117">
        <f t="shared" si="942"/>
        <v>0</v>
      </c>
      <c r="EG335" s="117" t="e">
        <f t="shared" si="942"/>
        <v>#DIV/0!</v>
      </c>
      <c r="EH335" s="117" t="e">
        <f t="shared" si="942"/>
        <v>#DIV/0!</v>
      </c>
      <c r="EI335" s="117" t="e">
        <f t="shared" si="942"/>
        <v>#DIV/0!</v>
      </c>
      <c r="EJ335" s="117" t="e">
        <f t="shared" si="942"/>
        <v>#DIV/0!</v>
      </c>
      <c r="EK335" s="117" t="e">
        <f t="shared" si="942"/>
        <v>#DIV/0!</v>
      </c>
      <c r="EL335" s="117" t="e">
        <f t="shared" si="942"/>
        <v>#DIV/0!</v>
      </c>
      <c r="EM335" s="117" t="e">
        <f t="shared" si="942"/>
        <v>#DIV/0!</v>
      </c>
      <c r="EN335" s="117" t="e">
        <f t="shared" si="942"/>
        <v>#DIV/0!</v>
      </c>
      <c r="EO335" s="116">
        <f t="shared" si="942"/>
        <v>0</v>
      </c>
      <c r="EP335" s="117">
        <f t="shared" si="942"/>
        <v>0</v>
      </c>
      <c r="EQ335" s="117">
        <f t="shared" si="942"/>
        <v>0</v>
      </c>
      <c r="ER335" s="117">
        <f t="shared" si="942"/>
        <v>0</v>
      </c>
      <c r="ES335" s="117">
        <f t="shared" si="942"/>
        <v>0</v>
      </c>
      <c r="ET335" s="117">
        <f t="shared" si="942"/>
        <v>0</v>
      </c>
      <c r="EU335" s="117">
        <f t="shared" si="942"/>
        <v>0</v>
      </c>
      <c r="EV335" s="117">
        <f t="shared" si="942"/>
        <v>0</v>
      </c>
      <c r="EW335" s="117">
        <f t="shared" si="942"/>
        <v>0</v>
      </c>
      <c r="EX335" s="117">
        <f t="shared" si="942"/>
        <v>0</v>
      </c>
      <c r="EY335" s="117">
        <f t="shared" si="942"/>
        <v>0</v>
      </c>
      <c r="EZ335" s="117">
        <f t="shared" si="942"/>
        <v>0</v>
      </c>
      <c r="FA335" s="117">
        <f t="shared" si="942"/>
        <v>0</v>
      </c>
      <c r="FB335" s="117">
        <f t="shared" si="942"/>
        <v>0</v>
      </c>
      <c r="FC335" s="118"/>
      <c r="FD335" s="117"/>
      <c r="FE335" s="117"/>
      <c r="FF335" s="117"/>
      <c r="FG335" s="117"/>
      <c r="FH335" s="117"/>
      <c r="FI335" s="117"/>
      <c r="FJ335" s="117"/>
      <c r="FK335" s="117" t="e">
        <f t="shared" si="601"/>
        <v>#DIV/0!</v>
      </c>
      <c r="FL335" s="117" t="e">
        <f t="shared" si="602"/>
        <v>#DIV/0!</v>
      </c>
      <c r="FM335" s="117" t="e">
        <f t="shared" si="603"/>
        <v>#DIV/0!</v>
      </c>
      <c r="FN335" s="117" t="e">
        <f t="shared" si="604"/>
        <v>#DIV/0!</v>
      </c>
      <c r="FO335" s="9" t="e">
        <f t="shared" si="605"/>
        <v>#DIV/0!</v>
      </c>
      <c r="FP335" s="118">
        <f t="shared" ref="FP335:GB335" si="943">FP123/FP$211</f>
        <v>0</v>
      </c>
      <c r="FQ335" s="117">
        <f t="shared" si="943"/>
        <v>0</v>
      </c>
      <c r="FR335" s="117">
        <f t="shared" si="943"/>
        <v>0</v>
      </c>
      <c r="FS335" s="117">
        <f t="shared" si="943"/>
        <v>0</v>
      </c>
      <c r="FT335" s="117">
        <f t="shared" si="943"/>
        <v>0</v>
      </c>
      <c r="FU335" s="117">
        <f t="shared" si="943"/>
        <v>0</v>
      </c>
      <c r="FV335" s="117">
        <f t="shared" si="943"/>
        <v>0</v>
      </c>
      <c r="FW335" s="117">
        <f t="shared" si="943"/>
        <v>0</v>
      </c>
      <c r="FX335" s="117">
        <f t="shared" si="943"/>
        <v>0</v>
      </c>
      <c r="FY335" s="117">
        <f t="shared" si="943"/>
        <v>0</v>
      </c>
      <c r="FZ335" s="117">
        <f t="shared" si="943"/>
        <v>0</v>
      </c>
      <c r="GA335" s="117">
        <f t="shared" si="943"/>
        <v>0</v>
      </c>
      <c r="GB335" s="116">
        <f t="shared" si="943"/>
        <v>0</v>
      </c>
    </row>
    <row r="336" spans="1:184">
      <c r="A336" s="147" t="s">
        <v>273</v>
      </c>
      <c r="B336" s="160">
        <f t="shared" si="607"/>
        <v>-0.702156830403865</v>
      </c>
      <c r="C336" s="117">
        <f t="shared" ref="C336:AH336" si="944">C124/C$211</f>
        <v>1.33961541074554e-6</v>
      </c>
      <c r="D336" s="117">
        <f t="shared" si="944"/>
        <v>4.40327924367359e-7</v>
      </c>
      <c r="E336" s="117">
        <f t="shared" si="944"/>
        <v>0</v>
      </c>
      <c r="F336" s="117">
        <f t="shared" si="944"/>
        <v>1.08289977910524e-6</v>
      </c>
      <c r="G336" s="117">
        <f t="shared" si="944"/>
        <v>0</v>
      </c>
      <c r="H336" s="117">
        <f t="shared" si="944"/>
        <v>1.25114849293375e-6</v>
      </c>
      <c r="I336" s="117">
        <f t="shared" si="944"/>
        <v>1.06925644678732e-6</v>
      </c>
      <c r="J336" s="117">
        <f t="shared" si="944"/>
        <v>9.3801690313238e-7</v>
      </c>
      <c r="K336" s="117">
        <f t="shared" si="944"/>
        <v>9.59843895964276e-7</v>
      </c>
      <c r="L336" s="117">
        <f t="shared" si="944"/>
        <v>9.62957099170615e-7</v>
      </c>
      <c r="M336" s="117">
        <f t="shared" si="944"/>
        <v>9.39297845965255e-7</v>
      </c>
      <c r="N336" s="117">
        <f t="shared" si="944"/>
        <v>9.73239909765456e-7</v>
      </c>
      <c r="O336" s="9">
        <f t="shared" si="944"/>
        <v>8.45878865250286e-7</v>
      </c>
      <c r="P336" s="117">
        <f t="shared" si="944"/>
        <v>0</v>
      </c>
      <c r="Q336" s="117">
        <f t="shared" si="944"/>
        <v>0</v>
      </c>
      <c r="R336" s="117">
        <f t="shared" si="944"/>
        <v>0</v>
      </c>
      <c r="S336" s="117">
        <f t="shared" si="944"/>
        <v>0</v>
      </c>
      <c r="T336" s="117">
        <f t="shared" si="944"/>
        <v>0</v>
      </c>
      <c r="U336" s="117">
        <f t="shared" si="944"/>
        <v>0</v>
      </c>
      <c r="V336" s="117">
        <f t="shared" si="944"/>
        <v>0</v>
      </c>
      <c r="W336" s="117">
        <f t="shared" si="944"/>
        <v>0</v>
      </c>
      <c r="X336" s="117">
        <f t="shared" si="944"/>
        <v>0</v>
      </c>
      <c r="Y336" s="117">
        <f t="shared" si="944"/>
        <v>0</v>
      </c>
      <c r="Z336" s="117">
        <f t="shared" si="944"/>
        <v>0</v>
      </c>
      <c r="AA336" s="117">
        <f t="shared" si="944"/>
        <v>0</v>
      </c>
      <c r="AB336" s="9">
        <f t="shared" si="944"/>
        <v>0</v>
      </c>
      <c r="AC336" s="117">
        <f t="shared" si="944"/>
        <v>0</v>
      </c>
      <c r="AD336" s="117">
        <f t="shared" si="944"/>
        <v>0</v>
      </c>
      <c r="AE336" s="117">
        <f t="shared" si="944"/>
        <v>0</v>
      </c>
      <c r="AF336" s="117">
        <f t="shared" si="944"/>
        <v>0</v>
      </c>
      <c r="AG336" s="117">
        <f t="shared" si="944"/>
        <v>0</v>
      </c>
      <c r="AH336" s="117">
        <f t="shared" si="944"/>
        <v>0</v>
      </c>
      <c r="AI336" s="117">
        <f t="shared" ref="AI336:BN336" si="945">AI124/AI$211</f>
        <v>0</v>
      </c>
      <c r="AJ336" s="117">
        <f t="shared" si="945"/>
        <v>0</v>
      </c>
      <c r="AK336" s="117">
        <f t="shared" si="945"/>
        <v>0</v>
      </c>
      <c r="AL336" s="117">
        <f t="shared" si="945"/>
        <v>0</v>
      </c>
      <c r="AM336" s="117">
        <f t="shared" si="945"/>
        <v>0</v>
      </c>
      <c r="AN336" s="117">
        <f t="shared" si="945"/>
        <v>0</v>
      </c>
      <c r="AO336" s="9">
        <f t="shared" si="945"/>
        <v>0</v>
      </c>
      <c r="AP336" s="144">
        <f t="shared" si="945"/>
        <v>0</v>
      </c>
      <c r="AQ336" s="144">
        <f t="shared" si="945"/>
        <v>0</v>
      </c>
      <c r="AR336" s="144">
        <f t="shared" si="945"/>
        <v>0</v>
      </c>
      <c r="AS336" s="144">
        <f t="shared" si="945"/>
        <v>0</v>
      </c>
      <c r="AT336" s="144">
        <f t="shared" si="945"/>
        <v>0</v>
      </c>
      <c r="AU336" s="144">
        <f t="shared" si="945"/>
        <v>0</v>
      </c>
      <c r="AV336" s="144">
        <f t="shared" si="945"/>
        <v>0</v>
      </c>
      <c r="AW336" s="144">
        <f t="shared" si="945"/>
        <v>0</v>
      </c>
      <c r="AX336" s="144">
        <f t="shared" si="945"/>
        <v>0</v>
      </c>
      <c r="AY336" s="144">
        <f t="shared" si="945"/>
        <v>0</v>
      </c>
      <c r="AZ336" s="144">
        <f t="shared" si="945"/>
        <v>0</v>
      </c>
      <c r="BA336" s="144">
        <f t="shared" si="945"/>
        <v>0</v>
      </c>
      <c r="BB336" s="9">
        <f t="shared" si="945"/>
        <v>0</v>
      </c>
      <c r="BC336" s="144">
        <f t="shared" si="945"/>
        <v>0</v>
      </c>
      <c r="BD336" s="144">
        <f t="shared" si="945"/>
        <v>0</v>
      </c>
      <c r="BE336" s="144">
        <f t="shared" si="945"/>
        <v>0</v>
      </c>
      <c r="BF336" s="144">
        <f t="shared" si="945"/>
        <v>0</v>
      </c>
      <c r="BG336" s="144">
        <f t="shared" si="945"/>
        <v>0</v>
      </c>
      <c r="BH336" s="144">
        <f t="shared" si="945"/>
        <v>0</v>
      </c>
      <c r="BI336" s="144">
        <f t="shared" si="945"/>
        <v>0</v>
      </c>
      <c r="BJ336" s="144">
        <f t="shared" si="945"/>
        <v>0</v>
      </c>
      <c r="BK336" s="144">
        <f t="shared" si="945"/>
        <v>0</v>
      </c>
      <c r="BL336" s="144">
        <f t="shared" si="945"/>
        <v>0</v>
      </c>
      <c r="BM336" s="144">
        <f t="shared" si="945"/>
        <v>0</v>
      </c>
      <c r="BN336" s="144">
        <f t="shared" si="945"/>
        <v>0</v>
      </c>
      <c r="BO336" s="9">
        <f t="shared" ref="BO336:CT336" si="946">BO124/BO$211</f>
        <v>0</v>
      </c>
      <c r="BP336" s="144">
        <f t="shared" si="946"/>
        <v>3.39003345506033e-6</v>
      </c>
      <c r="BQ336" s="144">
        <f t="shared" si="946"/>
        <v>2.02661947295938e-6</v>
      </c>
      <c r="BR336" s="144">
        <f t="shared" si="946"/>
        <v>0</v>
      </c>
      <c r="BS336" s="144">
        <f t="shared" si="946"/>
        <v>5.79335475465918e-6</v>
      </c>
      <c r="BT336" s="144">
        <f t="shared" si="946"/>
        <v>0</v>
      </c>
      <c r="BU336" s="144">
        <f t="shared" si="946"/>
        <v>7.04283423468635e-6</v>
      </c>
      <c r="BV336" s="144">
        <f t="shared" si="946"/>
        <v>6.30340981687027e-6</v>
      </c>
      <c r="BW336" s="144">
        <f t="shared" si="946"/>
        <v>5.79399595858591e-6</v>
      </c>
      <c r="BX336" s="144">
        <f t="shared" si="946"/>
        <v>5.39436194572033e-6</v>
      </c>
      <c r="BY336" s="144">
        <f t="shared" si="946"/>
        <v>5.44743037386714e-6</v>
      </c>
      <c r="BZ336" s="144">
        <f t="shared" si="946"/>
        <v>5.41421632000696e-6</v>
      </c>
      <c r="CA336" s="144">
        <f t="shared" si="946"/>
        <v>6.28013815420302e-6</v>
      </c>
      <c r="CB336" s="9">
        <f t="shared" si="946"/>
        <v>4.18945121244721e-6</v>
      </c>
      <c r="CC336" s="144">
        <f t="shared" si="946"/>
        <v>2.85817665389037e-5</v>
      </c>
      <c r="CD336" s="144">
        <f t="shared" si="946"/>
        <v>0</v>
      </c>
      <c r="CE336" s="144">
        <f t="shared" si="946"/>
        <v>0</v>
      </c>
      <c r="CF336" s="144">
        <f t="shared" si="946"/>
        <v>0</v>
      </c>
      <c r="CG336" s="144">
        <f t="shared" si="946"/>
        <v>0</v>
      </c>
      <c r="CH336" s="144">
        <f t="shared" si="946"/>
        <v>0</v>
      </c>
      <c r="CI336" s="144">
        <f t="shared" si="946"/>
        <v>0</v>
      </c>
      <c r="CJ336" s="144">
        <f t="shared" si="946"/>
        <v>0</v>
      </c>
      <c r="CK336" s="144">
        <f t="shared" si="946"/>
        <v>0</v>
      </c>
      <c r="CL336" s="144">
        <f t="shared" si="946"/>
        <v>0</v>
      </c>
      <c r="CM336" s="144">
        <f t="shared" si="946"/>
        <v>0</v>
      </c>
      <c r="CN336" s="144">
        <f t="shared" si="946"/>
        <v>0</v>
      </c>
      <c r="CO336" s="9">
        <f t="shared" si="946"/>
        <v>3.49297573788524e-6</v>
      </c>
      <c r="CP336" s="144">
        <f t="shared" si="946"/>
        <v>0</v>
      </c>
      <c r="CQ336" s="144">
        <f t="shared" si="946"/>
        <v>0</v>
      </c>
      <c r="CR336" s="144">
        <f t="shared" si="946"/>
        <v>0</v>
      </c>
      <c r="CS336" s="144">
        <f t="shared" si="946"/>
        <v>0</v>
      </c>
      <c r="CT336" s="144">
        <f t="shared" si="946"/>
        <v>0</v>
      </c>
      <c r="CU336" s="144">
        <f t="shared" ref="CU336:EB336" si="947">CU124/CU$211</f>
        <v>0</v>
      </c>
      <c r="CV336" s="144">
        <f t="shared" si="947"/>
        <v>0</v>
      </c>
      <c r="CW336" s="144">
        <f t="shared" si="947"/>
        <v>0</v>
      </c>
      <c r="CX336" s="144">
        <f t="shared" si="947"/>
        <v>0</v>
      </c>
      <c r="CY336" s="144">
        <f t="shared" si="947"/>
        <v>0</v>
      </c>
      <c r="CZ336" s="144">
        <f t="shared" si="947"/>
        <v>0</v>
      </c>
      <c r="DA336" s="144">
        <f t="shared" si="947"/>
        <v>0</v>
      </c>
      <c r="DB336" s="9">
        <f t="shared" si="947"/>
        <v>0</v>
      </c>
      <c r="DC336" s="144">
        <f t="shared" si="947"/>
        <v>0</v>
      </c>
      <c r="DD336" s="144">
        <f t="shared" si="947"/>
        <v>0</v>
      </c>
      <c r="DE336" s="144">
        <f t="shared" si="947"/>
        <v>0</v>
      </c>
      <c r="DF336" s="144">
        <f t="shared" si="947"/>
        <v>0</v>
      </c>
      <c r="DG336" s="144">
        <f t="shared" si="947"/>
        <v>0</v>
      </c>
      <c r="DH336" s="144">
        <f t="shared" si="947"/>
        <v>0</v>
      </c>
      <c r="DI336" s="144">
        <f t="shared" si="947"/>
        <v>0</v>
      </c>
      <c r="DJ336" s="144">
        <f t="shared" si="947"/>
        <v>0</v>
      </c>
      <c r="DK336" s="144">
        <f t="shared" si="947"/>
        <v>0</v>
      </c>
      <c r="DL336" s="144">
        <f t="shared" si="947"/>
        <v>0</v>
      </c>
      <c r="DM336" s="144">
        <f t="shared" si="947"/>
        <v>0</v>
      </c>
      <c r="DN336" s="144">
        <f t="shared" si="947"/>
        <v>0</v>
      </c>
      <c r="DO336" s="9">
        <f t="shared" si="947"/>
        <v>0</v>
      </c>
      <c r="DP336" s="144">
        <f t="shared" si="947"/>
        <v>0</v>
      </c>
      <c r="DQ336" s="144">
        <f t="shared" si="947"/>
        <v>0</v>
      </c>
      <c r="DR336" s="144">
        <f t="shared" si="947"/>
        <v>0</v>
      </c>
      <c r="DS336" s="144">
        <f t="shared" si="947"/>
        <v>0</v>
      </c>
      <c r="DT336" s="144">
        <f t="shared" si="947"/>
        <v>0</v>
      </c>
      <c r="DU336" s="144">
        <f t="shared" si="947"/>
        <v>0</v>
      </c>
      <c r="DV336" s="144">
        <f t="shared" si="947"/>
        <v>0</v>
      </c>
      <c r="DW336" s="144">
        <f t="shared" si="947"/>
        <v>0</v>
      </c>
      <c r="DX336" s="144">
        <f t="shared" si="947"/>
        <v>0</v>
      </c>
      <c r="DY336" s="144">
        <f t="shared" si="947"/>
        <v>0</v>
      </c>
      <c r="DZ336" s="144">
        <f t="shared" si="947"/>
        <v>0</v>
      </c>
      <c r="EA336" s="144">
        <f t="shared" si="947"/>
        <v>0</v>
      </c>
      <c r="EB336" s="117">
        <f t="shared" si="947"/>
        <v>0</v>
      </c>
      <c r="EC336" s="118"/>
      <c r="ED336" s="117">
        <f t="shared" ref="ED336:FB336" si="948">ED124/ED$211</f>
        <v>0</v>
      </c>
      <c r="EE336" s="117">
        <f t="shared" si="948"/>
        <v>0</v>
      </c>
      <c r="EF336" s="117">
        <f t="shared" si="948"/>
        <v>0</v>
      </c>
      <c r="EG336" s="117" t="e">
        <f t="shared" si="948"/>
        <v>#DIV/0!</v>
      </c>
      <c r="EH336" s="117" t="e">
        <f t="shared" si="948"/>
        <v>#DIV/0!</v>
      </c>
      <c r="EI336" s="117" t="e">
        <f t="shared" si="948"/>
        <v>#DIV/0!</v>
      </c>
      <c r="EJ336" s="117" t="e">
        <f t="shared" si="948"/>
        <v>#DIV/0!</v>
      </c>
      <c r="EK336" s="117" t="e">
        <f t="shared" si="948"/>
        <v>#DIV/0!</v>
      </c>
      <c r="EL336" s="117" t="e">
        <f t="shared" si="948"/>
        <v>#DIV/0!</v>
      </c>
      <c r="EM336" s="117" t="e">
        <f t="shared" si="948"/>
        <v>#DIV/0!</v>
      </c>
      <c r="EN336" s="117" t="e">
        <f t="shared" si="948"/>
        <v>#DIV/0!</v>
      </c>
      <c r="EO336" s="116">
        <f t="shared" si="948"/>
        <v>0</v>
      </c>
      <c r="EP336" s="117">
        <f t="shared" si="948"/>
        <v>0</v>
      </c>
      <c r="EQ336" s="117">
        <f t="shared" si="948"/>
        <v>0</v>
      </c>
      <c r="ER336" s="117">
        <f t="shared" si="948"/>
        <v>0</v>
      </c>
      <c r="ES336" s="117">
        <f t="shared" si="948"/>
        <v>0</v>
      </c>
      <c r="ET336" s="117">
        <f t="shared" si="948"/>
        <v>0</v>
      </c>
      <c r="EU336" s="117">
        <f t="shared" si="948"/>
        <v>0</v>
      </c>
      <c r="EV336" s="117">
        <f t="shared" si="948"/>
        <v>0</v>
      </c>
      <c r="EW336" s="117">
        <f t="shared" si="948"/>
        <v>0</v>
      </c>
      <c r="EX336" s="117">
        <f t="shared" si="948"/>
        <v>0</v>
      </c>
      <c r="EY336" s="117">
        <f t="shared" si="948"/>
        <v>0</v>
      </c>
      <c r="EZ336" s="117">
        <f t="shared" si="948"/>
        <v>0</v>
      </c>
      <c r="FA336" s="117">
        <f t="shared" si="948"/>
        <v>0</v>
      </c>
      <c r="FB336" s="117">
        <f t="shared" si="948"/>
        <v>0</v>
      </c>
      <c r="FC336" s="118"/>
      <c r="FD336" s="117"/>
      <c r="FE336" s="117"/>
      <c r="FF336" s="117"/>
      <c r="FG336" s="117"/>
      <c r="FH336" s="117"/>
      <c r="FI336" s="117"/>
      <c r="FJ336" s="117"/>
      <c r="FK336" s="117" t="e">
        <f t="shared" si="601"/>
        <v>#DIV/0!</v>
      </c>
      <c r="FL336" s="117" t="e">
        <f t="shared" si="602"/>
        <v>#DIV/0!</v>
      </c>
      <c r="FM336" s="117" t="e">
        <f t="shared" si="603"/>
        <v>#DIV/0!</v>
      </c>
      <c r="FN336" s="117" t="e">
        <f t="shared" si="604"/>
        <v>#DIV/0!</v>
      </c>
      <c r="FO336" s="9" t="e">
        <f t="shared" si="605"/>
        <v>#DIV/0!</v>
      </c>
      <c r="FP336" s="118">
        <f t="shared" ref="FP336:GB336" si="949">FP124/FP$211</f>
        <v>0</v>
      </c>
      <c r="FQ336" s="117">
        <f t="shared" si="949"/>
        <v>0</v>
      </c>
      <c r="FR336" s="117">
        <f t="shared" si="949"/>
        <v>0</v>
      </c>
      <c r="FS336" s="117">
        <f t="shared" si="949"/>
        <v>0</v>
      </c>
      <c r="FT336" s="117">
        <f t="shared" si="949"/>
        <v>0</v>
      </c>
      <c r="FU336" s="117">
        <f t="shared" si="949"/>
        <v>0</v>
      </c>
      <c r="FV336" s="117">
        <f t="shared" si="949"/>
        <v>0</v>
      </c>
      <c r="FW336" s="117">
        <f t="shared" si="949"/>
        <v>0</v>
      </c>
      <c r="FX336" s="117">
        <f t="shared" si="949"/>
        <v>0</v>
      </c>
      <c r="FY336" s="117">
        <f t="shared" si="949"/>
        <v>0</v>
      </c>
      <c r="FZ336" s="117">
        <f t="shared" si="949"/>
        <v>0</v>
      </c>
      <c r="GA336" s="117">
        <f t="shared" si="949"/>
        <v>0</v>
      </c>
      <c r="GB336" s="116">
        <f t="shared" si="949"/>
        <v>0</v>
      </c>
    </row>
    <row r="337" spans="1:184">
      <c r="A337" s="147" t="s">
        <v>275</v>
      </c>
      <c r="B337" s="160">
        <f t="shared" si="607"/>
        <v>-0.9997966698412</v>
      </c>
      <c r="C337" s="117">
        <f t="shared" ref="C337:AH337" si="950">C125/C$211</f>
        <v>9.53037731779932e-8</v>
      </c>
      <c r="D337" s="117">
        <f t="shared" si="950"/>
        <v>-1.16765131838684e-7</v>
      </c>
      <c r="E337" s="117">
        <f t="shared" si="950"/>
        <v>0</v>
      </c>
      <c r="F337" s="117">
        <f t="shared" si="950"/>
        <v>0</v>
      </c>
      <c r="G337" s="117">
        <f t="shared" si="950"/>
        <v>0</v>
      </c>
      <c r="H337" s="117">
        <f t="shared" si="950"/>
        <v>0</v>
      </c>
      <c r="I337" s="117">
        <f t="shared" si="950"/>
        <v>0</v>
      </c>
      <c r="J337" s="117">
        <f t="shared" si="950"/>
        <v>0</v>
      </c>
      <c r="K337" s="117">
        <f t="shared" si="950"/>
        <v>0</v>
      </c>
      <c r="L337" s="117">
        <f t="shared" si="950"/>
        <v>0</v>
      </c>
      <c r="M337" s="117">
        <f t="shared" si="950"/>
        <v>0</v>
      </c>
      <c r="N337" s="117">
        <f t="shared" si="950"/>
        <v>0</v>
      </c>
      <c r="O337" s="9">
        <f t="shared" si="950"/>
        <v>7.9365861745012e-11</v>
      </c>
      <c r="P337" s="117">
        <f t="shared" si="950"/>
        <v>0</v>
      </c>
      <c r="Q337" s="117">
        <f t="shared" si="950"/>
        <v>0</v>
      </c>
      <c r="R337" s="117">
        <f t="shared" si="950"/>
        <v>0</v>
      </c>
      <c r="S337" s="117">
        <f t="shared" si="950"/>
        <v>0</v>
      </c>
      <c r="T337" s="117">
        <f t="shared" si="950"/>
        <v>0</v>
      </c>
      <c r="U337" s="117">
        <f t="shared" si="950"/>
        <v>0</v>
      </c>
      <c r="V337" s="117">
        <f t="shared" si="950"/>
        <v>0</v>
      </c>
      <c r="W337" s="117">
        <f t="shared" si="950"/>
        <v>0</v>
      </c>
      <c r="X337" s="117">
        <f t="shared" si="950"/>
        <v>0</v>
      </c>
      <c r="Y337" s="117">
        <f t="shared" si="950"/>
        <v>0</v>
      </c>
      <c r="Z337" s="117">
        <f t="shared" si="950"/>
        <v>0</v>
      </c>
      <c r="AA337" s="117">
        <f t="shared" si="950"/>
        <v>0</v>
      </c>
      <c r="AB337" s="9">
        <f t="shared" si="950"/>
        <v>0</v>
      </c>
      <c r="AC337" s="117">
        <f t="shared" si="950"/>
        <v>1.58220896482327e-6</v>
      </c>
      <c r="AD337" s="117">
        <f t="shared" si="950"/>
        <v>-1.73541846309065e-6</v>
      </c>
      <c r="AE337" s="117">
        <f t="shared" si="950"/>
        <v>0</v>
      </c>
      <c r="AF337" s="117">
        <f t="shared" si="950"/>
        <v>0</v>
      </c>
      <c r="AG337" s="117">
        <f t="shared" si="950"/>
        <v>0</v>
      </c>
      <c r="AH337" s="117">
        <f t="shared" si="950"/>
        <v>0</v>
      </c>
      <c r="AI337" s="117">
        <f t="shared" ref="AI337:BN337" si="951">AI125/AI$211</f>
        <v>0</v>
      </c>
      <c r="AJ337" s="117">
        <f t="shared" si="951"/>
        <v>0</v>
      </c>
      <c r="AK337" s="117">
        <f t="shared" si="951"/>
        <v>0</v>
      </c>
      <c r="AL337" s="117">
        <f t="shared" si="951"/>
        <v>0</v>
      </c>
      <c r="AM337" s="117">
        <f t="shared" si="951"/>
        <v>0</v>
      </c>
      <c r="AN337" s="117">
        <f t="shared" si="951"/>
        <v>0</v>
      </c>
      <c r="AO337" s="9">
        <f t="shared" si="951"/>
        <v>9.40024498369054e-10</v>
      </c>
      <c r="AP337" s="144">
        <f t="shared" si="951"/>
        <v>0</v>
      </c>
      <c r="AQ337" s="144">
        <f t="shared" si="951"/>
        <v>0</v>
      </c>
      <c r="AR337" s="144">
        <f t="shared" si="951"/>
        <v>0</v>
      </c>
      <c r="AS337" s="144">
        <f t="shared" si="951"/>
        <v>0</v>
      </c>
      <c r="AT337" s="144">
        <f t="shared" si="951"/>
        <v>0</v>
      </c>
      <c r="AU337" s="144">
        <f t="shared" si="951"/>
        <v>0</v>
      </c>
      <c r="AV337" s="144">
        <f t="shared" si="951"/>
        <v>0</v>
      </c>
      <c r="AW337" s="144">
        <f t="shared" si="951"/>
        <v>0</v>
      </c>
      <c r="AX337" s="144">
        <f t="shared" si="951"/>
        <v>0</v>
      </c>
      <c r="AY337" s="144">
        <f t="shared" si="951"/>
        <v>0</v>
      </c>
      <c r="AZ337" s="144">
        <f t="shared" si="951"/>
        <v>0</v>
      </c>
      <c r="BA337" s="144">
        <f t="shared" si="951"/>
        <v>0</v>
      </c>
      <c r="BB337" s="9">
        <f t="shared" si="951"/>
        <v>0</v>
      </c>
      <c r="BC337" s="144">
        <f t="shared" si="951"/>
        <v>0</v>
      </c>
      <c r="BD337" s="144">
        <f t="shared" si="951"/>
        <v>0</v>
      </c>
      <c r="BE337" s="144">
        <f t="shared" si="951"/>
        <v>0</v>
      </c>
      <c r="BF337" s="144">
        <f t="shared" si="951"/>
        <v>0</v>
      </c>
      <c r="BG337" s="144">
        <f t="shared" si="951"/>
        <v>0</v>
      </c>
      <c r="BH337" s="144">
        <f t="shared" si="951"/>
        <v>0</v>
      </c>
      <c r="BI337" s="144">
        <f t="shared" si="951"/>
        <v>0</v>
      </c>
      <c r="BJ337" s="144">
        <f t="shared" si="951"/>
        <v>0</v>
      </c>
      <c r="BK337" s="144">
        <f t="shared" si="951"/>
        <v>0</v>
      </c>
      <c r="BL337" s="144">
        <f t="shared" si="951"/>
        <v>0</v>
      </c>
      <c r="BM337" s="144">
        <f t="shared" si="951"/>
        <v>0</v>
      </c>
      <c r="BN337" s="144">
        <f t="shared" si="951"/>
        <v>0</v>
      </c>
      <c r="BO337" s="9">
        <f t="shared" ref="BO337:CT337" si="952">BO125/BO$211</f>
        <v>0</v>
      </c>
      <c r="BP337" s="144">
        <f t="shared" si="952"/>
        <v>0</v>
      </c>
      <c r="BQ337" s="144">
        <f t="shared" si="952"/>
        <v>0</v>
      </c>
      <c r="BR337" s="144">
        <f t="shared" si="952"/>
        <v>0</v>
      </c>
      <c r="BS337" s="144">
        <f t="shared" si="952"/>
        <v>0</v>
      </c>
      <c r="BT337" s="144">
        <f t="shared" si="952"/>
        <v>0</v>
      </c>
      <c r="BU337" s="144">
        <f t="shared" si="952"/>
        <v>0</v>
      </c>
      <c r="BV337" s="144">
        <f t="shared" si="952"/>
        <v>0</v>
      </c>
      <c r="BW337" s="144">
        <f t="shared" si="952"/>
        <v>0</v>
      </c>
      <c r="BX337" s="144">
        <f t="shared" si="952"/>
        <v>0</v>
      </c>
      <c r="BY337" s="144">
        <f t="shared" si="952"/>
        <v>0</v>
      </c>
      <c r="BZ337" s="144">
        <f t="shared" si="952"/>
        <v>0</v>
      </c>
      <c r="CA337" s="144">
        <f t="shared" si="952"/>
        <v>0</v>
      </c>
      <c r="CB337" s="9">
        <f t="shared" si="952"/>
        <v>0</v>
      </c>
      <c r="CC337" s="144">
        <f t="shared" si="952"/>
        <v>0</v>
      </c>
      <c r="CD337" s="144">
        <f t="shared" si="952"/>
        <v>0</v>
      </c>
      <c r="CE337" s="144">
        <f t="shared" si="952"/>
        <v>0</v>
      </c>
      <c r="CF337" s="144">
        <f t="shared" si="952"/>
        <v>0</v>
      </c>
      <c r="CG337" s="144">
        <f t="shared" si="952"/>
        <v>0</v>
      </c>
      <c r="CH337" s="144">
        <f t="shared" si="952"/>
        <v>0</v>
      </c>
      <c r="CI337" s="144">
        <f t="shared" si="952"/>
        <v>0</v>
      </c>
      <c r="CJ337" s="144">
        <f t="shared" si="952"/>
        <v>0</v>
      </c>
      <c r="CK337" s="144">
        <f t="shared" si="952"/>
        <v>0</v>
      </c>
      <c r="CL337" s="144">
        <f t="shared" si="952"/>
        <v>0</v>
      </c>
      <c r="CM337" s="144">
        <f t="shared" si="952"/>
        <v>0</v>
      </c>
      <c r="CN337" s="144">
        <f t="shared" si="952"/>
        <v>0</v>
      </c>
      <c r="CO337" s="9">
        <f t="shared" si="952"/>
        <v>0</v>
      </c>
      <c r="CP337" s="144">
        <f t="shared" si="952"/>
        <v>0</v>
      </c>
      <c r="CQ337" s="144">
        <f t="shared" si="952"/>
        <v>0</v>
      </c>
      <c r="CR337" s="144">
        <f t="shared" si="952"/>
        <v>0</v>
      </c>
      <c r="CS337" s="144">
        <f t="shared" si="952"/>
        <v>0</v>
      </c>
      <c r="CT337" s="144">
        <f t="shared" si="952"/>
        <v>0</v>
      </c>
      <c r="CU337" s="144">
        <f t="shared" ref="CU337:EB337" si="953">CU125/CU$211</f>
        <v>0</v>
      </c>
      <c r="CV337" s="144">
        <f t="shared" si="953"/>
        <v>0</v>
      </c>
      <c r="CW337" s="144">
        <f t="shared" si="953"/>
        <v>0</v>
      </c>
      <c r="CX337" s="144">
        <f t="shared" si="953"/>
        <v>0</v>
      </c>
      <c r="CY337" s="144">
        <f t="shared" si="953"/>
        <v>0</v>
      </c>
      <c r="CZ337" s="144">
        <f t="shared" si="953"/>
        <v>0</v>
      </c>
      <c r="DA337" s="144">
        <f t="shared" si="953"/>
        <v>0</v>
      </c>
      <c r="DB337" s="9">
        <f t="shared" si="953"/>
        <v>0</v>
      </c>
      <c r="DC337" s="144">
        <f t="shared" si="953"/>
        <v>0</v>
      </c>
      <c r="DD337" s="144">
        <f t="shared" si="953"/>
        <v>0</v>
      </c>
      <c r="DE337" s="144">
        <f t="shared" si="953"/>
        <v>0</v>
      </c>
      <c r="DF337" s="144">
        <f t="shared" si="953"/>
        <v>0</v>
      </c>
      <c r="DG337" s="144">
        <f t="shared" si="953"/>
        <v>0</v>
      </c>
      <c r="DH337" s="144">
        <f t="shared" si="953"/>
        <v>0</v>
      </c>
      <c r="DI337" s="144">
        <f t="shared" si="953"/>
        <v>0</v>
      </c>
      <c r="DJ337" s="144">
        <f t="shared" si="953"/>
        <v>0</v>
      </c>
      <c r="DK337" s="144">
        <f t="shared" si="953"/>
        <v>0</v>
      </c>
      <c r="DL337" s="144">
        <f t="shared" si="953"/>
        <v>0</v>
      </c>
      <c r="DM337" s="144">
        <f t="shared" si="953"/>
        <v>0</v>
      </c>
      <c r="DN337" s="144">
        <f t="shared" si="953"/>
        <v>0</v>
      </c>
      <c r="DO337" s="9">
        <f t="shared" si="953"/>
        <v>0</v>
      </c>
      <c r="DP337" s="144">
        <f t="shared" si="953"/>
        <v>0</v>
      </c>
      <c r="DQ337" s="144">
        <f t="shared" si="953"/>
        <v>0</v>
      </c>
      <c r="DR337" s="144">
        <f t="shared" si="953"/>
        <v>0</v>
      </c>
      <c r="DS337" s="144">
        <f t="shared" si="953"/>
        <v>0</v>
      </c>
      <c r="DT337" s="144">
        <f t="shared" si="953"/>
        <v>0</v>
      </c>
      <c r="DU337" s="144">
        <f t="shared" si="953"/>
        <v>0</v>
      </c>
      <c r="DV337" s="144">
        <f t="shared" si="953"/>
        <v>0</v>
      </c>
      <c r="DW337" s="144">
        <f t="shared" si="953"/>
        <v>0</v>
      </c>
      <c r="DX337" s="144">
        <f t="shared" si="953"/>
        <v>0</v>
      </c>
      <c r="DY337" s="144">
        <f t="shared" si="953"/>
        <v>0</v>
      </c>
      <c r="DZ337" s="144">
        <f t="shared" si="953"/>
        <v>0</v>
      </c>
      <c r="EA337" s="144">
        <f t="shared" si="953"/>
        <v>0</v>
      </c>
      <c r="EB337" s="117">
        <f t="shared" si="953"/>
        <v>0</v>
      </c>
      <c r="EC337" s="118"/>
      <c r="ED337" s="117">
        <f t="shared" ref="ED337:FB337" si="954">ED125/ED$211</f>
        <v>0</v>
      </c>
      <c r="EE337" s="117">
        <f t="shared" si="954"/>
        <v>0</v>
      </c>
      <c r="EF337" s="117">
        <f t="shared" si="954"/>
        <v>0</v>
      </c>
      <c r="EG337" s="117" t="e">
        <f t="shared" si="954"/>
        <v>#DIV/0!</v>
      </c>
      <c r="EH337" s="117" t="e">
        <f t="shared" si="954"/>
        <v>#DIV/0!</v>
      </c>
      <c r="EI337" s="117" t="e">
        <f t="shared" si="954"/>
        <v>#DIV/0!</v>
      </c>
      <c r="EJ337" s="117" t="e">
        <f t="shared" si="954"/>
        <v>#DIV/0!</v>
      </c>
      <c r="EK337" s="117" t="e">
        <f t="shared" si="954"/>
        <v>#DIV/0!</v>
      </c>
      <c r="EL337" s="117" t="e">
        <f t="shared" si="954"/>
        <v>#DIV/0!</v>
      </c>
      <c r="EM337" s="117" t="e">
        <f t="shared" si="954"/>
        <v>#DIV/0!</v>
      </c>
      <c r="EN337" s="117" t="e">
        <f t="shared" si="954"/>
        <v>#DIV/0!</v>
      </c>
      <c r="EO337" s="116">
        <f t="shared" si="954"/>
        <v>0</v>
      </c>
      <c r="EP337" s="117">
        <f t="shared" si="954"/>
        <v>0</v>
      </c>
      <c r="EQ337" s="117">
        <f t="shared" si="954"/>
        <v>0</v>
      </c>
      <c r="ER337" s="117">
        <f t="shared" si="954"/>
        <v>0</v>
      </c>
      <c r="ES337" s="117">
        <f t="shared" si="954"/>
        <v>0</v>
      </c>
      <c r="ET337" s="117">
        <f t="shared" si="954"/>
        <v>0</v>
      </c>
      <c r="EU337" s="117">
        <f t="shared" si="954"/>
        <v>0</v>
      </c>
      <c r="EV337" s="117">
        <f t="shared" si="954"/>
        <v>0</v>
      </c>
      <c r="EW337" s="117">
        <f t="shared" si="954"/>
        <v>0</v>
      </c>
      <c r="EX337" s="117">
        <f t="shared" si="954"/>
        <v>0</v>
      </c>
      <c r="EY337" s="117">
        <f t="shared" si="954"/>
        <v>0</v>
      </c>
      <c r="EZ337" s="117">
        <f t="shared" si="954"/>
        <v>0</v>
      </c>
      <c r="FA337" s="117">
        <f t="shared" si="954"/>
        <v>0</v>
      </c>
      <c r="FB337" s="117">
        <f t="shared" si="954"/>
        <v>0</v>
      </c>
      <c r="FC337" s="118"/>
      <c r="FD337" s="117"/>
      <c r="FE337" s="117"/>
      <c r="FF337" s="117"/>
      <c r="FG337" s="117"/>
      <c r="FH337" s="117"/>
      <c r="FI337" s="117"/>
      <c r="FJ337" s="117"/>
      <c r="FK337" s="117" t="e">
        <f t="shared" si="601"/>
        <v>#DIV/0!</v>
      </c>
      <c r="FL337" s="117" t="e">
        <f t="shared" si="602"/>
        <v>#DIV/0!</v>
      </c>
      <c r="FM337" s="117" t="e">
        <f t="shared" si="603"/>
        <v>#DIV/0!</v>
      </c>
      <c r="FN337" s="117" t="e">
        <f t="shared" si="604"/>
        <v>#DIV/0!</v>
      </c>
      <c r="FO337" s="9" t="e">
        <f t="shared" si="605"/>
        <v>#DIV/0!</v>
      </c>
      <c r="FP337" s="118">
        <f t="shared" ref="FP337:GB337" si="955">FP125/FP$211</f>
        <v>0</v>
      </c>
      <c r="FQ337" s="117">
        <f t="shared" si="955"/>
        <v>0</v>
      </c>
      <c r="FR337" s="117">
        <f t="shared" si="955"/>
        <v>0</v>
      </c>
      <c r="FS337" s="117">
        <f t="shared" si="955"/>
        <v>0</v>
      </c>
      <c r="FT337" s="117">
        <f t="shared" si="955"/>
        <v>0</v>
      </c>
      <c r="FU337" s="117">
        <f t="shared" si="955"/>
        <v>0</v>
      </c>
      <c r="FV337" s="117">
        <f t="shared" si="955"/>
        <v>0</v>
      </c>
      <c r="FW337" s="117">
        <f t="shared" si="955"/>
        <v>0</v>
      </c>
      <c r="FX337" s="117">
        <f t="shared" si="955"/>
        <v>0</v>
      </c>
      <c r="FY337" s="117">
        <f t="shared" si="955"/>
        <v>0</v>
      </c>
      <c r="FZ337" s="117">
        <f t="shared" si="955"/>
        <v>0</v>
      </c>
      <c r="GA337" s="117">
        <f t="shared" si="955"/>
        <v>0</v>
      </c>
      <c r="GB337" s="116">
        <f t="shared" si="955"/>
        <v>0</v>
      </c>
    </row>
    <row r="338" spans="1:184">
      <c r="A338" s="147" t="s">
        <v>277</v>
      </c>
      <c r="B338" s="160">
        <f t="shared" si="607"/>
        <v>-0.44726471508923</v>
      </c>
      <c r="C338" s="117">
        <f t="shared" ref="C338:AH338" si="956">C126/C$211</f>
        <v>1.41415946682691e-6</v>
      </c>
      <c r="D338" s="117">
        <f t="shared" si="956"/>
        <v>1.67000693617281e-6</v>
      </c>
      <c r="E338" s="117">
        <f t="shared" si="956"/>
        <v>0</v>
      </c>
      <c r="F338" s="117">
        <f t="shared" si="956"/>
        <v>0</v>
      </c>
      <c r="G338" s="117">
        <f t="shared" si="956"/>
        <v>0</v>
      </c>
      <c r="H338" s="117">
        <f t="shared" si="956"/>
        <v>0</v>
      </c>
      <c r="I338" s="117">
        <f t="shared" si="956"/>
        <v>0</v>
      </c>
      <c r="J338" s="117">
        <f t="shared" si="956"/>
        <v>0</v>
      </c>
      <c r="K338" s="117">
        <f t="shared" si="956"/>
        <v>0</v>
      </c>
      <c r="L338" s="117">
        <f t="shared" si="956"/>
        <v>0</v>
      </c>
      <c r="M338" s="117">
        <f t="shared" si="956"/>
        <v>0</v>
      </c>
      <c r="N338" s="117">
        <f t="shared" si="956"/>
        <v>0</v>
      </c>
      <c r="O338" s="9">
        <f t="shared" si="956"/>
        <v>3.25036437362645e-7</v>
      </c>
      <c r="P338" s="117">
        <f t="shared" si="956"/>
        <v>0</v>
      </c>
      <c r="Q338" s="117">
        <f t="shared" si="956"/>
        <v>0</v>
      </c>
      <c r="R338" s="117">
        <f t="shared" si="956"/>
        <v>0</v>
      </c>
      <c r="S338" s="117">
        <f t="shared" si="956"/>
        <v>0</v>
      </c>
      <c r="T338" s="117">
        <f t="shared" si="956"/>
        <v>0</v>
      </c>
      <c r="U338" s="117">
        <f t="shared" si="956"/>
        <v>0</v>
      </c>
      <c r="V338" s="117">
        <f t="shared" si="956"/>
        <v>0</v>
      </c>
      <c r="W338" s="117">
        <f t="shared" si="956"/>
        <v>0</v>
      </c>
      <c r="X338" s="117">
        <f t="shared" si="956"/>
        <v>0</v>
      </c>
      <c r="Y338" s="117">
        <f t="shared" si="956"/>
        <v>0</v>
      </c>
      <c r="Z338" s="117">
        <f t="shared" si="956"/>
        <v>0</v>
      </c>
      <c r="AA338" s="117">
        <f t="shared" si="956"/>
        <v>0</v>
      </c>
      <c r="AB338" s="9">
        <f t="shared" si="956"/>
        <v>0</v>
      </c>
      <c r="AC338" s="117">
        <f t="shared" si="956"/>
        <v>0</v>
      </c>
      <c r="AD338" s="117">
        <f t="shared" si="956"/>
        <v>0</v>
      </c>
      <c r="AE338" s="117">
        <f t="shared" si="956"/>
        <v>0</v>
      </c>
      <c r="AF338" s="117">
        <f t="shared" si="956"/>
        <v>0</v>
      </c>
      <c r="AG338" s="117">
        <f t="shared" si="956"/>
        <v>0</v>
      </c>
      <c r="AH338" s="117">
        <f t="shared" si="956"/>
        <v>0</v>
      </c>
      <c r="AI338" s="117">
        <f t="shared" ref="AI338:BN338" si="957">AI126/AI$211</f>
        <v>0</v>
      </c>
      <c r="AJ338" s="117">
        <f t="shared" si="957"/>
        <v>0</v>
      </c>
      <c r="AK338" s="117">
        <f t="shared" si="957"/>
        <v>0</v>
      </c>
      <c r="AL338" s="117">
        <f t="shared" si="957"/>
        <v>0</v>
      </c>
      <c r="AM338" s="117">
        <f t="shared" si="957"/>
        <v>0</v>
      </c>
      <c r="AN338" s="117">
        <f t="shared" si="957"/>
        <v>0</v>
      </c>
      <c r="AO338" s="9">
        <f t="shared" si="957"/>
        <v>0</v>
      </c>
      <c r="AP338" s="144">
        <f t="shared" si="957"/>
        <v>0</v>
      </c>
      <c r="AQ338" s="144">
        <f t="shared" si="957"/>
        <v>0</v>
      </c>
      <c r="AR338" s="144">
        <f t="shared" si="957"/>
        <v>0</v>
      </c>
      <c r="AS338" s="144">
        <f t="shared" si="957"/>
        <v>0</v>
      </c>
      <c r="AT338" s="144">
        <f t="shared" si="957"/>
        <v>0</v>
      </c>
      <c r="AU338" s="144">
        <f t="shared" si="957"/>
        <v>0</v>
      </c>
      <c r="AV338" s="144">
        <f t="shared" si="957"/>
        <v>0</v>
      </c>
      <c r="AW338" s="144">
        <f t="shared" si="957"/>
        <v>0</v>
      </c>
      <c r="AX338" s="144">
        <f t="shared" si="957"/>
        <v>0</v>
      </c>
      <c r="AY338" s="144">
        <f t="shared" si="957"/>
        <v>0</v>
      </c>
      <c r="AZ338" s="144">
        <f t="shared" si="957"/>
        <v>0</v>
      </c>
      <c r="BA338" s="144">
        <f t="shared" si="957"/>
        <v>0</v>
      </c>
      <c r="BB338" s="9">
        <f t="shared" si="957"/>
        <v>0</v>
      </c>
      <c r="BC338" s="144">
        <f t="shared" si="957"/>
        <v>0</v>
      </c>
      <c r="BD338" s="144">
        <f t="shared" si="957"/>
        <v>0</v>
      </c>
      <c r="BE338" s="144">
        <f t="shared" si="957"/>
        <v>0</v>
      </c>
      <c r="BF338" s="144">
        <f t="shared" si="957"/>
        <v>0</v>
      </c>
      <c r="BG338" s="144">
        <f t="shared" si="957"/>
        <v>0</v>
      </c>
      <c r="BH338" s="144">
        <f t="shared" si="957"/>
        <v>0</v>
      </c>
      <c r="BI338" s="144">
        <f t="shared" si="957"/>
        <v>0</v>
      </c>
      <c r="BJ338" s="144">
        <f t="shared" si="957"/>
        <v>0</v>
      </c>
      <c r="BK338" s="144">
        <f t="shared" si="957"/>
        <v>0</v>
      </c>
      <c r="BL338" s="144">
        <f t="shared" si="957"/>
        <v>0</v>
      </c>
      <c r="BM338" s="144">
        <f t="shared" si="957"/>
        <v>0</v>
      </c>
      <c r="BN338" s="144">
        <f t="shared" si="957"/>
        <v>0</v>
      </c>
      <c r="BO338" s="9">
        <f t="shared" ref="BO338:CT338" si="958">BO126/BO$211</f>
        <v>0</v>
      </c>
      <c r="BP338" s="144">
        <f t="shared" si="958"/>
        <v>0</v>
      </c>
      <c r="BQ338" s="144">
        <f t="shared" si="958"/>
        <v>0</v>
      </c>
      <c r="BR338" s="144">
        <f t="shared" si="958"/>
        <v>0</v>
      </c>
      <c r="BS338" s="144">
        <f t="shared" si="958"/>
        <v>0</v>
      </c>
      <c r="BT338" s="144">
        <f t="shared" si="958"/>
        <v>0</v>
      </c>
      <c r="BU338" s="144">
        <f t="shared" si="958"/>
        <v>0</v>
      </c>
      <c r="BV338" s="144">
        <f t="shared" si="958"/>
        <v>0</v>
      </c>
      <c r="BW338" s="144">
        <f t="shared" si="958"/>
        <v>0</v>
      </c>
      <c r="BX338" s="144">
        <f t="shared" si="958"/>
        <v>0</v>
      </c>
      <c r="BY338" s="144">
        <f t="shared" si="958"/>
        <v>0</v>
      </c>
      <c r="BZ338" s="144">
        <f t="shared" si="958"/>
        <v>0</v>
      </c>
      <c r="CA338" s="144">
        <f t="shared" si="958"/>
        <v>0</v>
      </c>
      <c r="CB338" s="9">
        <f t="shared" si="958"/>
        <v>0</v>
      </c>
      <c r="CC338" s="144">
        <f t="shared" si="958"/>
        <v>0</v>
      </c>
      <c r="CD338" s="144">
        <f t="shared" si="958"/>
        <v>0</v>
      </c>
      <c r="CE338" s="144">
        <f t="shared" si="958"/>
        <v>0</v>
      </c>
      <c r="CF338" s="144">
        <f t="shared" si="958"/>
        <v>0</v>
      </c>
      <c r="CG338" s="144">
        <f t="shared" si="958"/>
        <v>0</v>
      </c>
      <c r="CH338" s="144">
        <f t="shared" si="958"/>
        <v>0</v>
      </c>
      <c r="CI338" s="144">
        <f t="shared" si="958"/>
        <v>0</v>
      </c>
      <c r="CJ338" s="144">
        <f t="shared" si="958"/>
        <v>0</v>
      </c>
      <c r="CK338" s="144">
        <f t="shared" si="958"/>
        <v>0</v>
      </c>
      <c r="CL338" s="144">
        <f t="shared" si="958"/>
        <v>0</v>
      </c>
      <c r="CM338" s="144">
        <f t="shared" si="958"/>
        <v>0</v>
      </c>
      <c r="CN338" s="144">
        <f t="shared" si="958"/>
        <v>0</v>
      </c>
      <c r="CO338" s="9">
        <f t="shared" si="958"/>
        <v>0</v>
      </c>
      <c r="CP338" s="144">
        <f t="shared" si="958"/>
        <v>0</v>
      </c>
      <c r="CQ338" s="144">
        <f t="shared" si="958"/>
        <v>0</v>
      </c>
      <c r="CR338" s="144">
        <f t="shared" si="958"/>
        <v>0</v>
      </c>
      <c r="CS338" s="144">
        <f t="shared" si="958"/>
        <v>0</v>
      </c>
      <c r="CT338" s="144">
        <f t="shared" si="958"/>
        <v>0</v>
      </c>
      <c r="CU338" s="144">
        <f t="shared" ref="CU338:EB338" si="959">CU126/CU$211</f>
        <v>0</v>
      </c>
      <c r="CV338" s="144">
        <f t="shared" si="959"/>
        <v>0</v>
      </c>
      <c r="CW338" s="144">
        <f t="shared" si="959"/>
        <v>0</v>
      </c>
      <c r="CX338" s="144">
        <f t="shared" si="959"/>
        <v>0</v>
      </c>
      <c r="CY338" s="144">
        <f t="shared" si="959"/>
        <v>0</v>
      </c>
      <c r="CZ338" s="144">
        <f t="shared" si="959"/>
        <v>0</v>
      </c>
      <c r="DA338" s="144">
        <f t="shared" si="959"/>
        <v>0</v>
      </c>
      <c r="DB338" s="9">
        <f t="shared" si="959"/>
        <v>0</v>
      </c>
      <c r="DC338" s="144">
        <f t="shared" si="959"/>
        <v>0</v>
      </c>
      <c r="DD338" s="144">
        <f t="shared" si="959"/>
        <v>0</v>
      </c>
      <c r="DE338" s="144">
        <f t="shared" si="959"/>
        <v>0</v>
      </c>
      <c r="DF338" s="144">
        <f t="shared" si="959"/>
        <v>0</v>
      </c>
      <c r="DG338" s="144">
        <f t="shared" si="959"/>
        <v>0</v>
      </c>
      <c r="DH338" s="144">
        <f t="shared" si="959"/>
        <v>0</v>
      </c>
      <c r="DI338" s="144">
        <f t="shared" si="959"/>
        <v>0</v>
      </c>
      <c r="DJ338" s="144">
        <f t="shared" si="959"/>
        <v>0</v>
      </c>
      <c r="DK338" s="144">
        <f t="shared" si="959"/>
        <v>0</v>
      </c>
      <c r="DL338" s="144">
        <f t="shared" si="959"/>
        <v>0</v>
      </c>
      <c r="DM338" s="144">
        <f t="shared" si="959"/>
        <v>0</v>
      </c>
      <c r="DN338" s="144">
        <f t="shared" si="959"/>
        <v>0</v>
      </c>
      <c r="DO338" s="9">
        <f t="shared" si="959"/>
        <v>0</v>
      </c>
      <c r="DP338" s="144">
        <f t="shared" si="959"/>
        <v>0</v>
      </c>
      <c r="DQ338" s="144">
        <f t="shared" si="959"/>
        <v>0</v>
      </c>
      <c r="DR338" s="144">
        <f t="shared" si="959"/>
        <v>0</v>
      </c>
      <c r="DS338" s="144">
        <f t="shared" si="959"/>
        <v>0</v>
      </c>
      <c r="DT338" s="144">
        <f t="shared" si="959"/>
        <v>0</v>
      </c>
      <c r="DU338" s="144">
        <f t="shared" si="959"/>
        <v>0</v>
      </c>
      <c r="DV338" s="144">
        <f t="shared" si="959"/>
        <v>0</v>
      </c>
      <c r="DW338" s="144">
        <f t="shared" si="959"/>
        <v>0</v>
      </c>
      <c r="DX338" s="144">
        <f t="shared" si="959"/>
        <v>0</v>
      </c>
      <c r="DY338" s="144">
        <f t="shared" si="959"/>
        <v>0</v>
      </c>
      <c r="DZ338" s="144">
        <f t="shared" si="959"/>
        <v>0</v>
      </c>
      <c r="EA338" s="144">
        <f t="shared" si="959"/>
        <v>0</v>
      </c>
      <c r="EB338" s="117">
        <f t="shared" si="959"/>
        <v>0</v>
      </c>
      <c r="EC338" s="118"/>
      <c r="ED338" s="117">
        <f t="shared" ref="ED338:FB338" si="960">ED126/ED$211</f>
        <v>0</v>
      </c>
      <c r="EE338" s="117">
        <f t="shared" si="960"/>
        <v>0</v>
      </c>
      <c r="EF338" s="117">
        <f t="shared" si="960"/>
        <v>0</v>
      </c>
      <c r="EG338" s="117" t="e">
        <f t="shared" si="960"/>
        <v>#DIV/0!</v>
      </c>
      <c r="EH338" s="117" t="e">
        <f t="shared" si="960"/>
        <v>#DIV/0!</v>
      </c>
      <c r="EI338" s="117" t="e">
        <f t="shared" si="960"/>
        <v>#DIV/0!</v>
      </c>
      <c r="EJ338" s="117" t="e">
        <f t="shared" si="960"/>
        <v>#DIV/0!</v>
      </c>
      <c r="EK338" s="117" t="e">
        <f t="shared" si="960"/>
        <v>#DIV/0!</v>
      </c>
      <c r="EL338" s="117" t="e">
        <f t="shared" si="960"/>
        <v>#DIV/0!</v>
      </c>
      <c r="EM338" s="117" t="e">
        <f t="shared" si="960"/>
        <v>#DIV/0!</v>
      </c>
      <c r="EN338" s="117" t="e">
        <f t="shared" si="960"/>
        <v>#DIV/0!</v>
      </c>
      <c r="EO338" s="116">
        <f t="shared" si="960"/>
        <v>0</v>
      </c>
      <c r="EP338" s="117">
        <f t="shared" si="960"/>
        <v>0</v>
      </c>
      <c r="EQ338" s="117">
        <f t="shared" si="960"/>
        <v>0</v>
      </c>
      <c r="ER338" s="117">
        <f t="shared" si="960"/>
        <v>0</v>
      </c>
      <c r="ES338" s="117">
        <f t="shared" si="960"/>
        <v>0</v>
      </c>
      <c r="ET338" s="117">
        <f t="shared" si="960"/>
        <v>0</v>
      </c>
      <c r="EU338" s="117">
        <f t="shared" si="960"/>
        <v>0</v>
      </c>
      <c r="EV338" s="117">
        <f t="shared" si="960"/>
        <v>0</v>
      </c>
      <c r="EW338" s="117">
        <f t="shared" si="960"/>
        <v>0</v>
      </c>
      <c r="EX338" s="117">
        <f t="shared" si="960"/>
        <v>0</v>
      </c>
      <c r="EY338" s="117">
        <f t="shared" si="960"/>
        <v>0</v>
      </c>
      <c r="EZ338" s="117">
        <f t="shared" si="960"/>
        <v>0</v>
      </c>
      <c r="FA338" s="117">
        <f t="shared" si="960"/>
        <v>0</v>
      </c>
      <c r="FB338" s="117">
        <f t="shared" si="960"/>
        <v>0</v>
      </c>
      <c r="FC338" s="118"/>
      <c r="FD338" s="117"/>
      <c r="FE338" s="117"/>
      <c r="FF338" s="117"/>
      <c r="FG338" s="117"/>
      <c r="FH338" s="117"/>
      <c r="FI338" s="117"/>
      <c r="FJ338" s="117"/>
      <c r="FK338" s="117" t="e">
        <f t="shared" si="601"/>
        <v>#DIV/0!</v>
      </c>
      <c r="FL338" s="117" t="e">
        <f t="shared" si="602"/>
        <v>#DIV/0!</v>
      </c>
      <c r="FM338" s="117" t="e">
        <f t="shared" si="603"/>
        <v>#DIV/0!</v>
      </c>
      <c r="FN338" s="117" t="e">
        <f t="shared" si="604"/>
        <v>#DIV/0!</v>
      </c>
      <c r="FO338" s="9" t="e">
        <f t="shared" si="605"/>
        <v>#DIV/0!</v>
      </c>
      <c r="FP338" s="118">
        <f t="shared" ref="FP338:GB338" si="961">FP126/FP$211</f>
        <v>5.33941104969177e-6</v>
      </c>
      <c r="FQ338" s="117">
        <f t="shared" si="961"/>
        <v>6.86852308006471e-6</v>
      </c>
      <c r="FR338" s="117">
        <f t="shared" si="961"/>
        <v>0</v>
      </c>
      <c r="FS338" s="117">
        <f t="shared" si="961"/>
        <v>0</v>
      </c>
      <c r="FT338" s="117">
        <f t="shared" si="961"/>
        <v>0</v>
      </c>
      <c r="FU338" s="117">
        <f t="shared" si="961"/>
        <v>0</v>
      </c>
      <c r="FV338" s="117">
        <f t="shared" si="961"/>
        <v>0</v>
      </c>
      <c r="FW338" s="117">
        <f t="shared" si="961"/>
        <v>0</v>
      </c>
      <c r="FX338" s="117">
        <f t="shared" si="961"/>
        <v>0</v>
      </c>
      <c r="FY338" s="117">
        <f t="shared" si="961"/>
        <v>0</v>
      </c>
      <c r="FZ338" s="117">
        <f t="shared" si="961"/>
        <v>0</v>
      </c>
      <c r="GA338" s="117">
        <f t="shared" si="961"/>
        <v>0</v>
      </c>
      <c r="GB338" s="116">
        <f t="shared" si="961"/>
        <v>1.3445291283956e-6</v>
      </c>
    </row>
    <row r="339" spans="1:184">
      <c r="A339" s="147" t="s">
        <v>279</v>
      </c>
      <c r="B339" s="160">
        <f t="shared" si="607"/>
        <v>-1</v>
      </c>
      <c r="C339" s="117">
        <f t="shared" ref="C339:AH339" si="962">C127/C$211</f>
        <v>0</v>
      </c>
      <c r="D339" s="117">
        <f t="shared" si="962"/>
        <v>0</v>
      </c>
      <c r="E339" s="117">
        <f t="shared" si="962"/>
        <v>0</v>
      </c>
      <c r="F339" s="117">
        <f t="shared" si="962"/>
        <v>0</v>
      </c>
      <c r="G339" s="117">
        <f t="shared" si="962"/>
        <v>0</v>
      </c>
      <c r="H339" s="117">
        <f t="shared" si="962"/>
        <v>0</v>
      </c>
      <c r="I339" s="117">
        <f t="shared" si="962"/>
        <v>0</v>
      </c>
      <c r="J339" s="117">
        <f t="shared" si="962"/>
        <v>0</v>
      </c>
      <c r="K339" s="117">
        <f t="shared" si="962"/>
        <v>0</v>
      </c>
      <c r="L339" s="117">
        <f t="shared" si="962"/>
        <v>0</v>
      </c>
      <c r="M339" s="117">
        <f t="shared" si="962"/>
        <v>0</v>
      </c>
      <c r="N339" s="117">
        <f t="shared" si="962"/>
        <v>0</v>
      </c>
      <c r="O339" s="9">
        <f t="shared" si="962"/>
        <v>0</v>
      </c>
      <c r="P339" s="117">
        <f t="shared" si="962"/>
        <v>0</v>
      </c>
      <c r="Q339" s="117">
        <f t="shared" si="962"/>
        <v>0</v>
      </c>
      <c r="R339" s="117">
        <f t="shared" si="962"/>
        <v>0</v>
      </c>
      <c r="S339" s="117">
        <f t="shared" si="962"/>
        <v>0</v>
      </c>
      <c r="T339" s="117">
        <f t="shared" si="962"/>
        <v>0</v>
      </c>
      <c r="U339" s="117">
        <f t="shared" si="962"/>
        <v>0</v>
      </c>
      <c r="V339" s="117">
        <f t="shared" si="962"/>
        <v>0</v>
      </c>
      <c r="W339" s="117">
        <f t="shared" si="962"/>
        <v>0</v>
      </c>
      <c r="X339" s="117">
        <f t="shared" si="962"/>
        <v>0</v>
      </c>
      <c r="Y339" s="117">
        <f t="shared" si="962"/>
        <v>0</v>
      </c>
      <c r="Z339" s="117">
        <f t="shared" si="962"/>
        <v>0</v>
      </c>
      <c r="AA339" s="117">
        <f t="shared" si="962"/>
        <v>0</v>
      </c>
      <c r="AB339" s="9">
        <f t="shared" si="962"/>
        <v>0</v>
      </c>
      <c r="AC339" s="117">
        <f t="shared" si="962"/>
        <v>0</v>
      </c>
      <c r="AD339" s="117">
        <f t="shared" si="962"/>
        <v>0</v>
      </c>
      <c r="AE339" s="117">
        <f t="shared" si="962"/>
        <v>0</v>
      </c>
      <c r="AF339" s="117">
        <f t="shared" si="962"/>
        <v>0</v>
      </c>
      <c r="AG339" s="117">
        <f t="shared" si="962"/>
        <v>0</v>
      </c>
      <c r="AH339" s="117">
        <f t="shared" si="962"/>
        <v>0</v>
      </c>
      <c r="AI339" s="117">
        <f t="shared" ref="AI339:BN339" si="963">AI127/AI$211</f>
        <v>0</v>
      </c>
      <c r="AJ339" s="117">
        <f t="shared" si="963"/>
        <v>0</v>
      </c>
      <c r="AK339" s="117">
        <f t="shared" si="963"/>
        <v>0</v>
      </c>
      <c r="AL339" s="117">
        <f t="shared" si="963"/>
        <v>0</v>
      </c>
      <c r="AM339" s="117">
        <f t="shared" si="963"/>
        <v>0</v>
      </c>
      <c r="AN339" s="117">
        <f t="shared" si="963"/>
        <v>0</v>
      </c>
      <c r="AO339" s="9">
        <f t="shared" si="963"/>
        <v>0</v>
      </c>
      <c r="AP339" s="144">
        <f t="shared" si="963"/>
        <v>0</v>
      </c>
      <c r="AQ339" s="144">
        <f t="shared" si="963"/>
        <v>0</v>
      </c>
      <c r="AR339" s="144">
        <f t="shared" si="963"/>
        <v>0</v>
      </c>
      <c r="AS339" s="144">
        <f t="shared" si="963"/>
        <v>0</v>
      </c>
      <c r="AT339" s="144">
        <f t="shared" si="963"/>
        <v>0</v>
      </c>
      <c r="AU339" s="144">
        <f t="shared" si="963"/>
        <v>0</v>
      </c>
      <c r="AV339" s="144">
        <f t="shared" si="963"/>
        <v>0</v>
      </c>
      <c r="AW339" s="144">
        <f t="shared" si="963"/>
        <v>0</v>
      </c>
      <c r="AX339" s="144">
        <f t="shared" si="963"/>
        <v>0</v>
      </c>
      <c r="AY339" s="144">
        <f t="shared" si="963"/>
        <v>0</v>
      </c>
      <c r="AZ339" s="144">
        <f t="shared" si="963"/>
        <v>0</v>
      </c>
      <c r="BA339" s="144">
        <f t="shared" si="963"/>
        <v>0</v>
      </c>
      <c r="BB339" s="9">
        <f t="shared" si="963"/>
        <v>0</v>
      </c>
      <c r="BC339" s="144">
        <f t="shared" si="963"/>
        <v>0</v>
      </c>
      <c r="BD339" s="144">
        <f t="shared" si="963"/>
        <v>0</v>
      </c>
      <c r="BE339" s="144">
        <f t="shared" si="963"/>
        <v>0</v>
      </c>
      <c r="BF339" s="144">
        <f t="shared" si="963"/>
        <v>0</v>
      </c>
      <c r="BG339" s="144">
        <f t="shared" si="963"/>
        <v>0</v>
      </c>
      <c r="BH339" s="144">
        <f t="shared" si="963"/>
        <v>0</v>
      </c>
      <c r="BI339" s="144">
        <f t="shared" si="963"/>
        <v>0</v>
      </c>
      <c r="BJ339" s="144">
        <f t="shared" si="963"/>
        <v>0</v>
      </c>
      <c r="BK339" s="144">
        <f t="shared" si="963"/>
        <v>0</v>
      </c>
      <c r="BL339" s="144">
        <f t="shared" si="963"/>
        <v>0</v>
      </c>
      <c r="BM339" s="144">
        <f t="shared" si="963"/>
        <v>0</v>
      </c>
      <c r="BN339" s="144">
        <f t="shared" si="963"/>
        <v>0</v>
      </c>
      <c r="BO339" s="9">
        <f t="shared" ref="BO339:CT339" si="964">BO127/BO$211</f>
        <v>0</v>
      </c>
      <c r="BP339" s="144">
        <f t="shared" si="964"/>
        <v>0</v>
      </c>
      <c r="BQ339" s="144">
        <f t="shared" si="964"/>
        <v>0</v>
      </c>
      <c r="BR339" s="144">
        <f t="shared" si="964"/>
        <v>0</v>
      </c>
      <c r="BS339" s="144">
        <f t="shared" si="964"/>
        <v>0</v>
      </c>
      <c r="BT339" s="144">
        <f t="shared" si="964"/>
        <v>0</v>
      </c>
      <c r="BU339" s="144">
        <f t="shared" si="964"/>
        <v>0</v>
      </c>
      <c r="BV339" s="144">
        <f t="shared" si="964"/>
        <v>0</v>
      </c>
      <c r="BW339" s="144">
        <f t="shared" si="964"/>
        <v>0</v>
      </c>
      <c r="BX339" s="144">
        <f t="shared" si="964"/>
        <v>0</v>
      </c>
      <c r="BY339" s="144">
        <f t="shared" si="964"/>
        <v>0</v>
      </c>
      <c r="BZ339" s="144">
        <f t="shared" si="964"/>
        <v>0</v>
      </c>
      <c r="CA339" s="144">
        <f t="shared" si="964"/>
        <v>0</v>
      </c>
      <c r="CB339" s="9">
        <f t="shared" si="964"/>
        <v>0</v>
      </c>
      <c r="CC339" s="144">
        <f t="shared" si="964"/>
        <v>0</v>
      </c>
      <c r="CD339" s="144">
        <f t="shared" si="964"/>
        <v>0</v>
      </c>
      <c r="CE339" s="144">
        <f t="shared" si="964"/>
        <v>0</v>
      </c>
      <c r="CF339" s="144">
        <f t="shared" si="964"/>
        <v>0</v>
      </c>
      <c r="CG339" s="144">
        <f t="shared" si="964"/>
        <v>0</v>
      </c>
      <c r="CH339" s="144">
        <f t="shared" si="964"/>
        <v>0</v>
      </c>
      <c r="CI339" s="144">
        <f t="shared" si="964"/>
        <v>0</v>
      </c>
      <c r="CJ339" s="144">
        <f t="shared" si="964"/>
        <v>0</v>
      </c>
      <c r="CK339" s="144">
        <f t="shared" si="964"/>
        <v>0</v>
      </c>
      <c r="CL339" s="144">
        <f t="shared" si="964"/>
        <v>0</v>
      </c>
      <c r="CM339" s="144">
        <f t="shared" si="964"/>
        <v>0</v>
      </c>
      <c r="CN339" s="144">
        <f t="shared" si="964"/>
        <v>0</v>
      </c>
      <c r="CO339" s="9">
        <f t="shared" si="964"/>
        <v>0</v>
      </c>
      <c r="CP339" s="144">
        <f t="shared" si="964"/>
        <v>0</v>
      </c>
      <c r="CQ339" s="144">
        <f t="shared" si="964"/>
        <v>0</v>
      </c>
      <c r="CR339" s="144">
        <f t="shared" si="964"/>
        <v>0</v>
      </c>
      <c r="CS339" s="144">
        <f t="shared" si="964"/>
        <v>0</v>
      </c>
      <c r="CT339" s="144">
        <f t="shared" si="964"/>
        <v>0</v>
      </c>
      <c r="CU339" s="144">
        <f t="shared" ref="CU339:EB339" si="965">CU127/CU$211</f>
        <v>0</v>
      </c>
      <c r="CV339" s="144">
        <f t="shared" si="965"/>
        <v>0</v>
      </c>
      <c r="CW339" s="144">
        <f t="shared" si="965"/>
        <v>0</v>
      </c>
      <c r="CX339" s="144">
        <f t="shared" si="965"/>
        <v>0</v>
      </c>
      <c r="CY339" s="144">
        <f t="shared" si="965"/>
        <v>0</v>
      </c>
      <c r="CZ339" s="144">
        <f t="shared" si="965"/>
        <v>0</v>
      </c>
      <c r="DA339" s="144">
        <f t="shared" si="965"/>
        <v>0</v>
      </c>
      <c r="DB339" s="9">
        <f t="shared" si="965"/>
        <v>0</v>
      </c>
      <c r="DC339" s="144">
        <f t="shared" si="965"/>
        <v>0</v>
      </c>
      <c r="DD339" s="144">
        <f t="shared" si="965"/>
        <v>0</v>
      </c>
      <c r="DE339" s="144">
        <f t="shared" si="965"/>
        <v>0</v>
      </c>
      <c r="DF339" s="144">
        <f t="shared" si="965"/>
        <v>0</v>
      </c>
      <c r="DG339" s="144">
        <f t="shared" si="965"/>
        <v>0</v>
      </c>
      <c r="DH339" s="144">
        <f t="shared" si="965"/>
        <v>0</v>
      </c>
      <c r="DI339" s="144">
        <f t="shared" si="965"/>
        <v>0</v>
      </c>
      <c r="DJ339" s="144">
        <f t="shared" si="965"/>
        <v>0</v>
      </c>
      <c r="DK339" s="144">
        <f t="shared" si="965"/>
        <v>0</v>
      </c>
      <c r="DL339" s="144">
        <f t="shared" si="965"/>
        <v>0</v>
      </c>
      <c r="DM339" s="144">
        <f t="shared" si="965"/>
        <v>0</v>
      </c>
      <c r="DN339" s="144">
        <f t="shared" si="965"/>
        <v>0</v>
      </c>
      <c r="DO339" s="9">
        <f t="shared" si="965"/>
        <v>0</v>
      </c>
      <c r="DP339" s="144">
        <f t="shared" si="965"/>
        <v>0</v>
      </c>
      <c r="DQ339" s="144">
        <f t="shared" si="965"/>
        <v>0</v>
      </c>
      <c r="DR339" s="144">
        <f t="shared" si="965"/>
        <v>0</v>
      </c>
      <c r="DS339" s="144">
        <f t="shared" si="965"/>
        <v>0</v>
      </c>
      <c r="DT339" s="144">
        <f t="shared" si="965"/>
        <v>0</v>
      </c>
      <c r="DU339" s="144">
        <f t="shared" si="965"/>
        <v>0</v>
      </c>
      <c r="DV339" s="144">
        <f t="shared" si="965"/>
        <v>0</v>
      </c>
      <c r="DW339" s="144">
        <f t="shared" si="965"/>
        <v>0</v>
      </c>
      <c r="DX339" s="144">
        <f t="shared" si="965"/>
        <v>0</v>
      </c>
      <c r="DY339" s="144">
        <f t="shared" si="965"/>
        <v>0</v>
      </c>
      <c r="DZ339" s="144">
        <f t="shared" si="965"/>
        <v>0</v>
      </c>
      <c r="EA339" s="144">
        <f t="shared" si="965"/>
        <v>0</v>
      </c>
      <c r="EB339" s="117">
        <f t="shared" si="965"/>
        <v>0</v>
      </c>
      <c r="EC339" s="118"/>
      <c r="ED339" s="117">
        <f t="shared" ref="ED339:FB339" si="966">ED127/ED$211</f>
        <v>0</v>
      </c>
      <c r="EE339" s="117">
        <f t="shared" si="966"/>
        <v>0</v>
      </c>
      <c r="EF339" s="117">
        <f t="shared" si="966"/>
        <v>0</v>
      </c>
      <c r="EG339" s="117" t="e">
        <f t="shared" si="966"/>
        <v>#DIV/0!</v>
      </c>
      <c r="EH339" s="117" t="e">
        <f t="shared" si="966"/>
        <v>#DIV/0!</v>
      </c>
      <c r="EI339" s="117" t="e">
        <f t="shared" si="966"/>
        <v>#DIV/0!</v>
      </c>
      <c r="EJ339" s="117" t="e">
        <f t="shared" si="966"/>
        <v>#DIV/0!</v>
      </c>
      <c r="EK339" s="117" t="e">
        <f t="shared" si="966"/>
        <v>#DIV/0!</v>
      </c>
      <c r="EL339" s="117" t="e">
        <f t="shared" si="966"/>
        <v>#DIV/0!</v>
      </c>
      <c r="EM339" s="117" t="e">
        <f t="shared" si="966"/>
        <v>#DIV/0!</v>
      </c>
      <c r="EN339" s="117" t="e">
        <f t="shared" si="966"/>
        <v>#DIV/0!</v>
      </c>
      <c r="EO339" s="116">
        <f t="shared" si="966"/>
        <v>0</v>
      </c>
      <c r="EP339" s="117">
        <f t="shared" si="966"/>
        <v>0</v>
      </c>
      <c r="EQ339" s="117">
        <f t="shared" si="966"/>
        <v>0</v>
      </c>
      <c r="ER339" s="117">
        <f t="shared" si="966"/>
        <v>0</v>
      </c>
      <c r="ES339" s="117">
        <f t="shared" si="966"/>
        <v>0</v>
      </c>
      <c r="ET339" s="117">
        <f t="shared" si="966"/>
        <v>0</v>
      </c>
      <c r="EU339" s="117">
        <f t="shared" si="966"/>
        <v>0</v>
      </c>
      <c r="EV339" s="117">
        <f t="shared" si="966"/>
        <v>0</v>
      </c>
      <c r="EW339" s="117">
        <f t="shared" si="966"/>
        <v>0</v>
      </c>
      <c r="EX339" s="117">
        <f t="shared" si="966"/>
        <v>0</v>
      </c>
      <c r="EY339" s="117">
        <f t="shared" si="966"/>
        <v>0</v>
      </c>
      <c r="EZ339" s="117">
        <f t="shared" si="966"/>
        <v>0</v>
      </c>
      <c r="FA339" s="117">
        <f t="shared" si="966"/>
        <v>0</v>
      </c>
      <c r="FB339" s="117">
        <f t="shared" si="966"/>
        <v>0</v>
      </c>
      <c r="FC339" s="118"/>
      <c r="FD339" s="117"/>
      <c r="FE339" s="117"/>
      <c r="FF339" s="117"/>
      <c r="FG339" s="117"/>
      <c r="FH339" s="117"/>
      <c r="FI339" s="117"/>
      <c r="FJ339" s="117"/>
      <c r="FK339" s="117" t="e">
        <f t="shared" si="601"/>
        <v>#DIV/0!</v>
      </c>
      <c r="FL339" s="117" t="e">
        <f t="shared" si="602"/>
        <v>#DIV/0!</v>
      </c>
      <c r="FM339" s="117" t="e">
        <f t="shared" si="603"/>
        <v>#DIV/0!</v>
      </c>
      <c r="FN339" s="117" t="e">
        <f t="shared" si="604"/>
        <v>#DIV/0!</v>
      </c>
      <c r="FO339" s="9" t="e">
        <f t="shared" si="605"/>
        <v>#DIV/0!</v>
      </c>
      <c r="FP339" s="118">
        <f t="shared" ref="FP339:GB339" si="967">FP127/FP$211</f>
        <v>0</v>
      </c>
      <c r="FQ339" s="117">
        <f t="shared" si="967"/>
        <v>0</v>
      </c>
      <c r="FR339" s="117">
        <f t="shared" si="967"/>
        <v>0</v>
      </c>
      <c r="FS339" s="117">
        <f t="shared" si="967"/>
        <v>0</v>
      </c>
      <c r="FT339" s="117">
        <f t="shared" si="967"/>
        <v>0</v>
      </c>
      <c r="FU339" s="117">
        <f t="shared" si="967"/>
        <v>0</v>
      </c>
      <c r="FV339" s="117">
        <f t="shared" si="967"/>
        <v>0</v>
      </c>
      <c r="FW339" s="117">
        <f t="shared" si="967"/>
        <v>0</v>
      </c>
      <c r="FX339" s="117">
        <f t="shared" si="967"/>
        <v>0</v>
      </c>
      <c r="FY339" s="117">
        <f t="shared" si="967"/>
        <v>0</v>
      </c>
      <c r="FZ339" s="117">
        <f t="shared" si="967"/>
        <v>0</v>
      </c>
      <c r="GA339" s="117">
        <f t="shared" si="967"/>
        <v>0</v>
      </c>
      <c r="GB339" s="116">
        <f t="shared" si="967"/>
        <v>0</v>
      </c>
    </row>
    <row r="340" spans="1:184">
      <c r="A340" s="147" t="s">
        <v>281</v>
      </c>
      <c r="B340" s="160">
        <f t="shared" si="607"/>
        <v>-1</v>
      </c>
      <c r="C340" s="117">
        <f t="shared" ref="C340:AH340" si="968">C128/C$211</f>
        <v>0</v>
      </c>
      <c r="D340" s="117">
        <f t="shared" si="968"/>
        <v>0</v>
      </c>
      <c r="E340" s="117">
        <f t="shared" si="968"/>
        <v>0</v>
      </c>
      <c r="F340" s="117">
        <f t="shared" si="968"/>
        <v>0</v>
      </c>
      <c r="G340" s="117">
        <f t="shared" si="968"/>
        <v>0</v>
      </c>
      <c r="H340" s="117">
        <f t="shared" si="968"/>
        <v>0</v>
      </c>
      <c r="I340" s="117">
        <f t="shared" si="968"/>
        <v>0</v>
      </c>
      <c r="J340" s="117">
        <f t="shared" si="968"/>
        <v>0</v>
      </c>
      <c r="K340" s="117">
        <f t="shared" si="968"/>
        <v>0</v>
      </c>
      <c r="L340" s="117">
        <f t="shared" si="968"/>
        <v>0</v>
      </c>
      <c r="M340" s="117">
        <f t="shared" si="968"/>
        <v>0</v>
      </c>
      <c r="N340" s="117">
        <f t="shared" si="968"/>
        <v>0</v>
      </c>
      <c r="O340" s="9">
        <f t="shared" si="968"/>
        <v>0</v>
      </c>
      <c r="P340" s="117">
        <f t="shared" si="968"/>
        <v>0</v>
      </c>
      <c r="Q340" s="117">
        <f t="shared" si="968"/>
        <v>0</v>
      </c>
      <c r="R340" s="117">
        <f t="shared" si="968"/>
        <v>0</v>
      </c>
      <c r="S340" s="117">
        <f t="shared" si="968"/>
        <v>0</v>
      </c>
      <c r="T340" s="117">
        <f t="shared" si="968"/>
        <v>0</v>
      </c>
      <c r="U340" s="117">
        <f t="shared" si="968"/>
        <v>0</v>
      </c>
      <c r="V340" s="117">
        <f t="shared" si="968"/>
        <v>0</v>
      </c>
      <c r="W340" s="117">
        <f t="shared" si="968"/>
        <v>0</v>
      </c>
      <c r="X340" s="117">
        <f t="shared" si="968"/>
        <v>0</v>
      </c>
      <c r="Y340" s="117">
        <f t="shared" si="968"/>
        <v>0</v>
      </c>
      <c r="Z340" s="117">
        <f t="shared" si="968"/>
        <v>0</v>
      </c>
      <c r="AA340" s="117">
        <f t="shared" si="968"/>
        <v>0</v>
      </c>
      <c r="AB340" s="9">
        <f t="shared" si="968"/>
        <v>0</v>
      </c>
      <c r="AC340" s="117">
        <f t="shared" si="968"/>
        <v>0</v>
      </c>
      <c r="AD340" s="117">
        <f t="shared" si="968"/>
        <v>0</v>
      </c>
      <c r="AE340" s="117">
        <f t="shared" si="968"/>
        <v>0</v>
      </c>
      <c r="AF340" s="117">
        <f t="shared" si="968"/>
        <v>0</v>
      </c>
      <c r="AG340" s="117">
        <f t="shared" si="968"/>
        <v>0</v>
      </c>
      <c r="AH340" s="117">
        <f t="shared" si="968"/>
        <v>0</v>
      </c>
      <c r="AI340" s="117">
        <f t="shared" ref="AI340:BN340" si="969">AI128/AI$211</f>
        <v>0</v>
      </c>
      <c r="AJ340" s="117">
        <f t="shared" si="969"/>
        <v>0</v>
      </c>
      <c r="AK340" s="117">
        <f t="shared" si="969"/>
        <v>0</v>
      </c>
      <c r="AL340" s="117">
        <f t="shared" si="969"/>
        <v>0</v>
      </c>
      <c r="AM340" s="117">
        <f t="shared" si="969"/>
        <v>0</v>
      </c>
      <c r="AN340" s="117">
        <f t="shared" si="969"/>
        <v>0</v>
      </c>
      <c r="AO340" s="9">
        <f t="shared" si="969"/>
        <v>0</v>
      </c>
      <c r="AP340" s="144">
        <f t="shared" si="969"/>
        <v>0</v>
      </c>
      <c r="AQ340" s="144">
        <f t="shared" si="969"/>
        <v>0</v>
      </c>
      <c r="AR340" s="144">
        <f t="shared" si="969"/>
        <v>0</v>
      </c>
      <c r="AS340" s="144">
        <f t="shared" si="969"/>
        <v>0</v>
      </c>
      <c r="AT340" s="144">
        <f t="shared" si="969"/>
        <v>0</v>
      </c>
      <c r="AU340" s="144">
        <f t="shared" si="969"/>
        <v>0</v>
      </c>
      <c r="AV340" s="144">
        <f t="shared" si="969"/>
        <v>0</v>
      </c>
      <c r="AW340" s="144">
        <f t="shared" si="969"/>
        <v>0</v>
      </c>
      <c r="AX340" s="144">
        <f t="shared" si="969"/>
        <v>0</v>
      </c>
      <c r="AY340" s="144">
        <f t="shared" si="969"/>
        <v>0</v>
      </c>
      <c r="AZ340" s="144">
        <f t="shared" si="969"/>
        <v>0</v>
      </c>
      <c r="BA340" s="144">
        <f t="shared" si="969"/>
        <v>0</v>
      </c>
      <c r="BB340" s="9">
        <f t="shared" si="969"/>
        <v>0</v>
      </c>
      <c r="BC340" s="144">
        <f t="shared" si="969"/>
        <v>0</v>
      </c>
      <c r="BD340" s="144">
        <f t="shared" si="969"/>
        <v>0</v>
      </c>
      <c r="BE340" s="144">
        <f t="shared" si="969"/>
        <v>0</v>
      </c>
      <c r="BF340" s="144">
        <f t="shared" si="969"/>
        <v>0</v>
      </c>
      <c r="BG340" s="144">
        <f t="shared" si="969"/>
        <v>0</v>
      </c>
      <c r="BH340" s="144">
        <f t="shared" si="969"/>
        <v>0</v>
      </c>
      <c r="BI340" s="144">
        <f t="shared" si="969"/>
        <v>0</v>
      </c>
      <c r="BJ340" s="144">
        <f t="shared" si="969"/>
        <v>0</v>
      </c>
      <c r="BK340" s="144">
        <f t="shared" si="969"/>
        <v>0</v>
      </c>
      <c r="BL340" s="144">
        <f t="shared" si="969"/>
        <v>0</v>
      </c>
      <c r="BM340" s="144">
        <f t="shared" si="969"/>
        <v>0</v>
      </c>
      <c r="BN340" s="144">
        <f t="shared" si="969"/>
        <v>0</v>
      </c>
      <c r="BO340" s="9">
        <f t="shared" ref="BO340:CT340" si="970">BO128/BO$211</f>
        <v>0</v>
      </c>
      <c r="BP340" s="144">
        <f t="shared" si="970"/>
        <v>0</v>
      </c>
      <c r="BQ340" s="144">
        <f t="shared" si="970"/>
        <v>0</v>
      </c>
      <c r="BR340" s="144">
        <f t="shared" si="970"/>
        <v>0</v>
      </c>
      <c r="BS340" s="144">
        <f t="shared" si="970"/>
        <v>0</v>
      </c>
      <c r="BT340" s="144">
        <f t="shared" si="970"/>
        <v>0</v>
      </c>
      <c r="BU340" s="144">
        <f t="shared" si="970"/>
        <v>0</v>
      </c>
      <c r="BV340" s="144">
        <f t="shared" si="970"/>
        <v>0</v>
      </c>
      <c r="BW340" s="144">
        <f t="shared" si="970"/>
        <v>0</v>
      </c>
      <c r="BX340" s="144">
        <f t="shared" si="970"/>
        <v>0</v>
      </c>
      <c r="BY340" s="144">
        <f t="shared" si="970"/>
        <v>0</v>
      </c>
      <c r="BZ340" s="144">
        <f t="shared" si="970"/>
        <v>0</v>
      </c>
      <c r="CA340" s="144">
        <f t="shared" si="970"/>
        <v>0</v>
      </c>
      <c r="CB340" s="9">
        <f t="shared" si="970"/>
        <v>0</v>
      </c>
      <c r="CC340" s="144">
        <f t="shared" si="970"/>
        <v>0</v>
      </c>
      <c r="CD340" s="144">
        <f t="shared" si="970"/>
        <v>0</v>
      </c>
      <c r="CE340" s="144">
        <f t="shared" si="970"/>
        <v>0</v>
      </c>
      <c r="CF340" s="144">
        <f t="shared" si="970"/>
        <v>0</v>
      </c>
      <c r="CG340" s="144">
        <f t="shared" si="970"/>
        <v>0</v>
      </c>
      <c r="CH340" s="144">
        <f t="shared" si="970"/>
        <v>0</v>
      </c>
      <c r="CI340" s="144">
        <f t="shared" si="970"/>
        <v>0</v>
      </c>
      <c r="CJ340" s="144">
        <f t="shared" si="970"/>
        <v>0</v>
      </c>
      <c r="CK340" s="144">
        <f t="shared" si="970"/>
        <v>0</v>
      </c>
      <c r="CL340" s="144">
        <f t="shared" si="970"/>
        <v>0</v>
      </c>
      <c r="CM340" s="144">
        <f t="shared" si="970"/>
        <v>0</v>
      </c>
      <c r="CN340" s="144">
        <f t="shared" si="970"/>
        <v>0</v>
      </c>
      <c r="CO340" s="9">
        <f t="shared" si="970"/>
        <v>0</v>
      </c>
      <c r="CP340" s="144">
        <f t="shared" si="970"/>
        <v>0</v>
      </c>
      <c r="CQ340" s="144">
        <f t="shared" si="970"/>
        <v>0</v>
      </c>
      <c r="CR340" s="144">
        <f t="shared" si="970"/>
        <v>0</v>
      </c>
      <c r="CS340" s="144">
        <f t="shared" si="970"/>
        <v>0</v>
      </c>
      <c r="CT340" s="144">
        <f t="shared" si="970"/>
        <v>0</v>
      </c>
      <c r="CU340" s="144">
        <f t="shared" ref="CU340:EB340" si="971">CU128/CU$211</f>
        <v>0</v>
      </c>
      <c r="CV340" s="144">
        <f t="shared" si="971"/>
        <v>0</v>
      </c>
      <c r="CW340" s="144">
        <f t="shared" si="971"/>
        <v>0</v>
      </c>
      <c r="CX340" s="144">
        <f t="shared" si="971"/>
        <v>0</v>
      </c>
      <c r="CY340" s="144">
        <f t="shared" si="971"/>
        <v>0</v>
      </c>
      <c r="CZ340" s="144">
        <f t="shared" si="971"/>
        <v>0</v>
      </c>
      <c r="DA340" s="144">
        <f t="shared" si="971"/>
        <v>0</v>
      </c>
      <c r="DB340" s="9">
        <f t="shared" si="971"/>
        <v>0</v>
      </c>
      <c r="DC340" s="144">
        <f t="shared" si="971"/>
        <v>0</v>
      </c>
      <c r="DD340" s="144">
        <f t="shared" si="971"/>
        <v>0</v>
      </c>
      <c r="DE340" s="144">
        <f t="shared" si="971"/>
        <v>0</v>
      </c>
      <c r="DF340" s="144">
        <f t="shared" si="971"/>
        <v>0</v>
      </c>
      <c r="DG340" s="144">
        <f t="shared" si="971"/>
        <v>0</v>
      </c>
      <c r="DH340" s="144">
        <f t="shared" si="971"/>
        <v>0</v>
      </c>
      <c r="DI340" s="144">
        <f t="shared" si="971"/>
        <v>0</v>
      </c>
      <c r="DJ340" s="144">
        <f t="shared" si="971"/>
        <v>0</v>
      </c>
      <c r="DK340" s="144">
        <f t="shared" si="971"/>
        <v>0</v>
      </c>
      <c r="DL340" s="144">
        <f t="shared" si="971"/>
        <v>0</v>
      </c>
      <c r="DM340" s="144">
        <f t="shared" si="971"/>
        <v>0</v>
      </c>
      <c r="DN340" s="144">
        <f t="shared" si="971"/>
        <v>0</v>
      </c>
      <c r="DO340" s="9">
        <f t="shared" si="971"/>
        <v>0</v>
      </c>
      <c r="DP340" s="144">
        <f t="shared" si="971"/>
        <v>0</v>
      </c>
      <c r="DQ340" s="144">
        <f t="shared" si="971"/>
        <v>0</v>
      </c>
      <c r="DR340" s="144">
        <f t="shared" si="971"/>
        <v>0</v>
      </c>
      <c r="DS340" s="144">
        <f t="shared" si="971"/>
        <v>0</v>
      </c>
      <c r="DT340" s="144">
        <f t="shared" si="971"/>
        <v>0</v>
      </c>
      <c r="DU340" s="144">
        <f t="shared" si="971"/>
        <v>0</v>
      </c>
      <c r="DV340" s="144">
        <f t="shared" si="971"/>
        <v>0</v>
      </c>
      <c r="DW340" s="144">
        <f t="shared" si="971"/>
        <v>0</v>
      </c>
      <c r="DX340" s="144">
        <f t="shared" si="971"/>
        <v>0</v>
      </c>
      <c r="DY340" s="144">
        <f t="shared" si="971"/>
        <v>0</v>
      </c>
      <c r="DZ340" s="144">
        <f t="shared" si="971"/>
        <v>0</v>
      </c>
      <c r="EA340" s="144">
        <f t="shared" si="971"/>
        <v>0</v>
      </c>
      <c r="EB340" s="117">
        <f t="shared" si="971"/>
        <v>0</v>
      </c>
      <c r="EC340" s="118"/>
      <c r="ED340" s="117">
        <f t="shared" ref="ED340:FB340" si="972">ED128/ED$211</f>
        <v>0</v>
      </c>
      <c r="EE340" s="117">
        <f t="shared" si="972"/>
        <v>0</v>
      </c>
      <c r="EF340" s="117">
        <f t="shared" si="972"/>
        <v>0</v>
      </c>
      <c r="EG340" s="117" t="e">
        <f t="shared" si="972"/>
        <v>#DIV/0!</v>
      </c>
      <c r="EH340" s="117" t="e">
        <f t="shared" si="972"/>
        <v>#DIV/0!</v>
      </c>
      <c r="EI340" s="117" t="e">
        <f t="shared" si="972"/>
        <v>#DIV/0!</v>
      </c>
      <c r="EJ340" s="117" t="e">
        <f t="shared" si="972"/>
        <v>#DIV/0!</v>
      </c>
      <c r="EK340" s="117" t="e">
        <f t="shared" si="972"/>
        <v>#DIV/0!</v>
      </c>
      <c r="EL340" s="117" t="e">
        <f t="shared" si="972"/>
        <v>#DIV/0!</v>
      </c>
      <c r="EM340" s="117" t="e">
        <f t="shared" si="972"/>
        <v>#DIV/0!</v>
      </c>
      <c r="EN340" s="117" t="e">
        <f t="shared" si="972"/>
        <v>#DIV/0!</v>
      </c>
      <c r="EO340" s="116">
        <f t="shared" si="972"/>
        <v>0</v>
      </c>
      <c r="EP340" s="117">
        <f t="shared" si="972"/>
        <v>0</v>
      </c>
      <c r="EQ340" s="117">
        <f t="shared" si="972"/>
        <v>0</v>
      </c>
      <c r="ER340" s="117">
        <f t="shared" si="972"/>
        <v>0</v>
      </c>
      <c r="ES340" s="117">
        <f t="shared" si="972"/>
        <v>0</v>
      </c>
      <c r="ET340" s="117">
        <f t="shared" si="972"/>
        <v>0</v>
      </c>
      <c r="EU340" s="117">
        <f t="shared" si="972"/>
        <v>0</v>
      </c>
      <c r="EV340" s="117">
        <f t="shared" si="972"/>
        <v>0</v>
      </c>
      <c r="EW340" s="117">
        <f t="shared" si="972"/>
        <v>0</v>
      </c>
      <c r="EX340" s="117">
        <f t="shared" si="972"/>
        <v>0</v>
      </c>
      <c r="EY340" s="117">
        <f t="shared" si="972"/>
        <v>0</v>
      </c>
      <c r="EZ340" s="117">
        <f t="shared" si="972"/>
        <v>0</v>
      </c>
      <c r="FA340" s="117">
        <f t="shared" si="972"/>
        <v>0</v>
      </c>
      <c r="FB340" s="117">
        <f t="shared" si="972"/>
        <v>0</v>
      </c>
      <c r="FC340" s="118"/>
      <c r="FD340" s="117"/>
      <c r="FE340" s="117"/>
      <c r="FF340" s="117"/>
      <c r="FG340" s="117"/>
      <c r="FH340" s="117"/>
      <c r="FI340" s="117"/>
      <c r="FJ340" s="117"/>
      <c r="FK340" s="117" t="e">
        <f t="shared" si="601"/>
        <v>#DIV/0!</v>
      </c>
      <c r="FL340" s="117" t="e">
        <f t="shared" si="602"/>
        <v>#DIV/0!</v>
      </c>
      <c r="FM340" s="117" t="e">
        <f t="shared" si="603"/>
        <v>#DIV/0!</v>
      </c>
      <c r="FN340" s="117" t="e">
        <f t="shared" si="604"/>
        <v>#DIV/0!</v>
      </c>
      <c r="FO340" s="9" t="e">
        <f t="shared" si="605"/>
        <v>#DIV/0!</v>
      </c>
      <c r="FP340" s="118">
        <f t="shared" ref="FP340:GB340" si="973">FP128/FP$211</f>
        <v>0</v>
      </c>
      <c r="FQ340" s="117">
        <f t="shared" si="973"/>
        <v>0</v>
      </c>
      <c r="FR340" s="117">
        <f t="shared" si="973"/>
        <v>0</v>
      </c>
      <c r="FS340" s="117">
        <f t="shared" si="973"/>
        <v>0</v>
      </c>
      <c r="FT340" s="117">
        <f t="shared" si="973"/>
        <v>0</v>
      </c>
      <c r="FU340" s="117">
        <f t="shared" si="973"/>
        <v>0</v>
      </c>
      <c r="FV340" s="117">
        <f t="shared" si="973"/>
        <v>0</v>
      </c>
      <c r="FW340" s="117">
        <f t="shared" si="973"/>
        <v>0</v>
      </c>
      <c r="FX340" s="117">
        <f t="shared" si="973"/>
        <v>0</v>
      </c>
      <c r="FY340" s="117">
        <f t="shared" si="973"/>
        <v>0</v>
      </c>
      <c r="FZ340" s="117">
        <f t="shared" si="973"/>
        <v>0</v>
      </c>
      <c r="GA340" s="117">
        <f t="shared" si="973"/>
        <v>0</v>
      </c>
      <c r="GB340" s="116">
        <f t="shared" si="973"/>
        <v>0</v>
      </c>
    </row>
    <row r="341" spans="1:184">
      <c r="A341" s="147" t="s">
        <v>283</v>
      </c>
      <c r="B341" s="160">
        <f t="shared" si="607"/>
        <v>-1</v>
      </c>
      <c r="C341" s="117">
        <f t="shared" ref="C341:AH341" si="974">C129/C$211</f>
        <v>0</v>
      </c>
      <c r="D341" s="117">
        <f t="shared" si="974"/>
        <v>0</v>
      </c>
      <c r="E341" s="117">
        <f t="shared" si="974"/>
        <v>0</v>
      </c>
      <c r="F341" s="117">
        <f t="shared" si="974"/>
        <v>0</v>
      </c>
      <c r="G341" s="117">
        <f t="shared" si="974"/>
        <v>0</v>
      </c>
      <c r="H341" s="117">
        <f t="shared" si="974"/>
        <v>0</v>
      </c>
      <c r="I341" s="117">
        <f t="shared" si="974"/>
        <v>0</v>
      </c>
      <c r="J341" s="117">
        <f t="shared" si="974"/>
        <v>0</v>
      </c>
      <c r="K341" s="117">
        <f t="shared" si="974"/>
        <v>0</v>
      </c>
      <c r="L341" s="117">
        <f t="shared" si="974"/>
        <v>0</v>
      </c>
      <c r="M341" s="117">
        <f t="shared" si="974"/>
        <v>0</v>
      </c>
      <c r="N341" s="117">
        <f t="shared" si="974"/>
        <v>0</v>
      </c>
      <c r="O341" s="9">
        <f t="shared" si="974"/>
        <v>0</v>
      </c>
      <c r="P341" s="117">
        <f t="shared" si="974"/>
        <v>0</v>
      </c>
      <c r="Q341" s="117">
        <f t="shared" si="974"/>
        <v>0</v>
      </c>
      <c r="R341" s="117">
        <f t="shared" si="974"/>
        <v>0</v>
      </c>
      <c r="S341" s="117">
        <f t="shared" si="974"/>
        <v>0</v>
      </c>
      <c r="T341" s="117">
        <f t="shared" si="974"/>
        <v>0</v>
      </c>
      <c r="U341" s="117">
        <f t="shared" si="974"/>
        <v>0</v>
      </c>
      <c r="V341" s="117">
        <f t="shared" si="974"/>
        <v>0</v>
      </c>
      <c r="W341" s="117">
        <f t="shared" si="974"/>
        <v>0</v>
      </c>
      <c r="X341" s="117">
        <f t="shared" si="974"/>
        <v>0</v>
      </c>
      <c r="Y341" s="117">
        <f t="shared" si="974"/>
        <v>0</v>
      </c>
      <c r="Z341" s="117">
        <f t="shared" si="974"/>
        <v>0</v>
      </c>
      <c r="AA341" s="117">
        <f t="shared" si="974"/>
        <v>0</v>
      </c>
      <c r="AB341" s="9">
        <f t="shared" si="974"/>
        <v>0</v>
      </c>
      <c r="AC341" s="117">
        <f t="shared" si="974"/>
        <v>0</v>
      </c>
      <c r="AD341" s="117">
        <f t="shared" si="974"/>
        <v>0</v>
      </c>
      <c r="AE341" s="117">
        <f t="shared" si="974"/>
        <v>0</v>
      </c>
      <c r="AF341" s="117">
        <f t="shared" si="974"/>
        <v>0</v>
      </c>
      <c r="AG341" s="117">
        <f t="shared" si="974"/>
        <v>0</v>
      </c>
      <c r="AH341" s="117">
        <f t="shared" si="974"/>
        <v>0</v>
      </c>
      <c r="AI341" s="117">
        <f t="shared" ref="AI341:BN341" si="975">AI129/AI$211</f>
        <v>0</v>
      </c>
      <c r="AJ341" s="117">
        <f t="shared" si="975"/>
        <v>0</v>
      </c>
      <c r="AK341" s="117">
        <f t="shared" si="975"/>
        <v>0</v>
      </c>
      <c r="AL341" s="117">
        <f t="shared" si="975"/>
        <v>0</v>
      </c>
      <c r="AM341" s="117">
        <f t="shared" si="975"/>
        <v>0</v>
      </c>
      <c r="AN341" s="117">
        <f t="shared" si="975"/>
        <v>0</v>
      </c>
      <c r="AO341" s="9">
        <f t="shared" si="975"/>
        <v>0</v>
      </c>
      <c r="AP341" s="144">
        <f t="shared" si="975"/>
        <v>0</v>
      </c>
      <c r="AQ341" s="144">
        <f t="shared" si="975"/>
        <v>0</v>
      </c>
      <c r="AR341" s="144">
        <f t="shared" si="975"/>
        <v>0</v>
      </c>
      <c r="AS341" s="144">
        <f t="shared" si="975"/>
        <v>0</v>
      </c>
      <c r="AT341" s="144">
        <f t="shared" si="975"/>
        <v>0</v>
      </c>
      <c r="AU341" s="144">
        <f t="shared" si="975"/>
        <v>0</v>
      </c>
      <c r="AV341" s="144">
        <f t="shared" si="975"/>
        <v>0</v>
      </c>
      <c r="AW341" s="144">
        <f t="shared" si="975"/>
        <v>0</v>
      </c>
      <c r="AX341" s="144">
        <f t="shared" si="975"/>
        <v>0</v>
      </c>
      <c r="AY341" s="144">
        <f t="shared" si="975"/>
        <v>0</v>
      </c>
      <c r="AZ341" s="144">
        <f t="shared" si="975"/>
        <v>0</v>
      </c>
      <c r="BA341" s="144">
        <f t="shared" si="975"/>
        <v>0</v>
      </c>
      <c r="BB341" s="9">
        <f t="shared" si="975"/>
        <v>0</v>
      </c>
      <c r="BC341" s="144">
        <f t="shared" si="975"/>
        <v>0</v>
      </c>
      <c r="BD341" s="144">
        <f t="shared" si="975"/>
        <v>0</v>
      </c>
      <c r="BE341" s="144">
        <f t="shared" si="975"/>
        <v>0</v>
      </c>
      <c r="BF341" s="144">
        <f t="shared" si="975"/>
        <v>0</v>
      </c>
      <c r="BG341" s="144">
        <f t="shared" si="975"/>
        <v>0</v>
      </c>
      <c r="BH341" s="144">
        <f t="shared" si="975"/>
        <v>0</v>
      </c>
      <c r="BI341" s="144">
        <f t="shared" si="975"/>
        <v>0</v>
      </c>
      <c r="BJ341" s="144">
        <f t="shared" si="975"/>
        <v>0</v>
      </c>
      <c r="BK341" s="144">
        <f t="shared" si="975"/>
        <v>0</v>
      </c>
      <c r="BL341" s="144">
        <f t="shared" si="975"/>
        <v>0</v>
      </c>
      <c r="BM341" s="144">
        <f t="shared" si="975"/>
        <v>0</v>
      </c>
      <c r="BN341" s="144">
        <f t="shared" si="975"/>
        <v>0</v>
      </c>
      <c r="BO341" s="9">
        <f t="shared" ref="BO341:CT341" si="976">BO129/BO$211</f>
        <v>0</v>
      </c>
      <c r="BP341" s="144">
        <f t="shared" si="976"/>
        <v>0</v>
      </c>
      <c r="BQ341" s="144">
        <f t="shared" si="976"/>
        <v>0</v>
      </c>
      <c r="BR341" s="144">
        <f t="shared" si="976"/>
        <v>0</v>
      </c>
      <c r="BS341" s="144">
        <f t="shared" si="976"/>
        <v>0</v>
      </c>
      <c r="BT341" s="144">
        <f t="shared" si="976"/>
        <v>0</v>
      </c>
      <c r="BU341" s="144">
        <f t="shared" si="976"/>
        <v>0</v>
      </c>
      <c r="BV341" s="144">
        <f t="shared" si="976"/>
        <v>0</v>
      </c>
      <c r="BW341" s="144">
        <f t="shared" si="976"/>
        <v>0</v>
      </c>
      <c r="BX341" s="144">
        <f t="shared" si="976"/>
        <v>0</v>
      </c>
      <c r="BY341" s="144">
        <f t="shared" si="976"/>
        <v>0</v>
      </c>
      <c r="BZ341" s="144">
        <f t="shared" si="976"/>
        <v>0</v>
      </c>
      <c r="CA341" s="144">
        <f t="shared" si="976"/>
        <v>0</v>
      </c>
      <c r="CB341" s="9">
        <f t="shared" si="976"/>
        <v>0</v>
      </c>
      <c r="CC341" s="144">
        <f t="shared" si="976"/>
        <v>0</v>
      </c>
      <c r="CD341" s="144">
        <f t="shared" si="976"/>
        <v>0</v>
      </c>
      <c r="CE341" s="144">
        <f t="shared" si="976"/>
        <v>0</v>
      </c>
      <c r="CF341" s="144">
        <f t="shared" si="976"/>
        <v>0</v>
      </c>
      <c r="CG341" s="144">
        <f t="shared" si="976"/>
        <v>0</v>
      </c>
      <c r="CH341" s="144">
        <f t="shared" si="976"/>
        <v>0</v>
      </c>
      <c r="CI341" s="144">
        <f t="shared" si="976"/>
        <v>0</v>
      </c>
      <c r="CJ341" s="144">
        <f t="shared" si="976"/>
        <v>0</v>
      </c>
      <c r="CK341" s="144">
        <f t="shared" si="976"/>
        <v>0</v>
      </c>
      <c r="CL341" s="144">
        <f t="shared" si="976"/>
        <v>0</v>
      </c>
      <c r="CM341" s="144">
        <f t="shared" si="976"/>
        <v>0</v>
      </c>
      <c r="CN341" s="144">
        <f t="shared" si="976"/>
        <v>0</v>
      </c>
      <c r="CO341" s="9">
        <f t="shared" si="976"/>
        <v>0</v>
      </c>
      <c r="CP341" s="144">
        <f t="shared" si="976"/>
        <v>0</v>
      </c>
      <c r="CQ341" s="144">
        <f t="shared" si="976"/>
        <v>0</v>
      </c>
      <c r="CR341" s="144">
        <f t="shared" si="976"/>
        <v>0</v>
      </c>
      <c r="CS341" s="144">
        <f t="shared" si="976"/>
        <v>0</v>
      </c>
      <c r="CT341" s="144">
        <f t="shared" si="976"/>
        <v>0</v>
      </c>
      <c r="CU341" s="144">
        <f t="shared" ref="CU341:EB341" si="977">CU129/CU$211</f>
        <v>0</v>
      </c>
      <c r="CV341" s="144">
        <f t="shared" si="977"/>
        <v>0</v>
      </c>
      <c r="CW341" s="144">
        <f t="shared" si="977"/>
        <v>0</v>
      </c>
      <c r="CX341" s="144">
        <f t="shared" si="977"/>
        <v>0</v>
      </c>
      <c r="CY341" s="144">
        <f t="shared" si="977"/>
        <v>0</v>
      </c>
      <c r="CZ341" s="144">
        <f t="shared" si="977"/>
        <v>0</v>
      </c>
      <c r="DA341" s="144">
        <f t="shared" si="977"/>
        <v>0</v>
      </c>
      <c r="DB341" s="9">
        <f t="shared" si="977"/>
        <v>0</v>
      </c>
      <c r="DC341" s="144">
        <f t="shared" si="977"/>
        <v>0</v>
      </c>
      <c r="DD341" s="144">
        <f t="shared" si="977"/>
        <v>0</v>
      </c>
      <c r="DE341" s="144">
        <f t="shared" si="977"/>
        <v>0</v>
      </c>
      <c r="DF341" s="144">
        <f t="shared" si="977"/>
        <v>0</v>
      </c>
      <c r="DG341" s="144">
        <f t="shared" si="977"/>
        <v>0</v>
      </c>
      <c r="DH341" s="144">
        <f t="shared" si="977"/>
        <v>0</v>
      </c>
      <c r="DI341" s="144">
        <f t="shared" si="977"/>
        <v>0</v>
      </c>
      <c r="DJ341" s="144">
        <f t="shared" si="977"/>
        <v>0</v>
      </c>
      <c r="DK341" s="144">
        <f t="shared" si="977"/>
        <v>0</v>
      </c>
      <c r="DL341" s="144">
        <f t="shared" si="977"/>
        <v>0</v>
      </c>
      <c r="DM341" s="144">
        <f t="shared" si="977"/>
        <v>0</v>
      </c>
      <c r="DN341" s="144">
        <f t="shared" si="977"/>
        <v>0</v>
      </c>
      <c r="DO341" s="9">
        <f t="shared" si="977"/>
        <v>0</v>
      </c>
      <c r="DP341" s="144">
        <f t="shared" si="977"/>
        <v>0</v>
      </c>
      <c r="DQ341" s="144">
        <f t="shared" si="977"/>
        <v>0</v>
      </c>
      <c r="DR341" s="144">
        <f t="shared" si="977"/>
        <v>0</v>
      </c>
      <c r="DS341" s="144">
        <f t="shared" si="977"/>
        <v>0</v>
      </c>
      <c r="DT341" s="144">
        <f t="shared" si="977"/>
        <v>0</v>
      </c>
      <c r="DU341" s="144">
        <f t="shared" si="977"/>
        <v>0</v>
      </c>
      <c r="DV341" s="144">
        <f t="shared" si="977"/>
        <v>0</v>
      </c>
      <c r="DW341" s="144">
        <f t="shared" si="977"/>
        <v>0</v>
      </c>
      <c r="DX341" s="144">
        <f t="shared" si="977"/>
        <v>0</v>
      </c>
      <c r="DY341" s="144">
        <f t="shared" si="977"/>
        <v>0</v>
      </c>
      <c r="DZ341" s="144">
        <f t="shared" si="977"/>
        <v>0</v>
      </c>
      <c r="EA341" s="144">
        <f t="shared" si="977"/>
        <v>0</v>
      </c>
      <c r="EB341" s="117">
        <f t="shared" si="977"/>
        <v>0</v>
      </c>
      <c r="EC341" s="118"/>
      <c r="ED341" s="117">
        <f t="shared" ref="ED341:FB341" si="978">ED129/ED$211</f>
        <v>0</v>
      </c>
      <c r="EE341" s="117">
        <f t="shared" si="978"/>
        <v>0</v>
      </c>
      <c r="EF341" s="117">
        <f t="shared" si="978"/>
        <v>0</v>
      </c>
      <c r="EG341" s="117" t="e">
        <f t="shared" si="978"/>
        <v>#DIV/0!</v>
      </c>
      <c r="EH341" s="117" t="e">
        <f t="shared" si="978"/>
        <v>#DIV/0!</v>
      </c>
      <c r="EI341" s="117" t="e">
        <f t="shared" si="978"/>
        <v>#DIV/0!</v>
      </c>
      <c r="EJ341" s="117" t="e">
        <f t="shared" si="978"/>
        <v>#DIV/0!</v>
      </c>
      <c r="EK341" s="117" t="e">
        <f t="shared" si="978"/>
        <v>#DIV/0!</v>
      </c>
      <c r="EL341" s="117" t="e">
        <f t="shared" si="978"/>
        <v>#DIV/0!</v>
      </c>
      <c r="EM341" s="117" t="e">
        <f t="shared" si="978"/>
        <v>#DIV/0!</v>
      </c>
      <c r="EN341" s="117" t="e">
        <f t="shared" si="978"/>
        <v>#DIV/0!</v>
      </c>
      <c r="EO341" s="116">
        <f t="shared" si="978"/>
        <v>0</v>
      </c>
      <c r="EP341" s="117">
        <f t="shared" si="978"/>
        <v>0</v>
      </c>
      <c r="EQ341" s="117">
        <f t="shared" si="978"/>
        <v>0</v>
      </c>
      <c r="ER341" s="117">
        <f t="shared" si="978"/>
        <v>0</v>
      </c>
      <c r="ES341" s="117">
        <f t="shared" si="978"/>
        <v>0</v>
      </c>
      <c r="ET341" s="117">
        <f t="shared" si="978"/>
        <v>0</v>
      </c>
      <c r="EU341" s="117">
        <f t="shared" si="978"/>
        <v>0</v>
      </c>
      <c r="EV341" s="117">
        <f t="shared" si="978"/>
        <v>0</v>
      </c>
      <c r="EW341" s="117">
        <f t="shared" si="978"/>
        <v>0</v>
      </c>
      <c r="EX341" s="117">
        <f t="shared" si="978"/>
        <v>0</v>
      </c>
      <c r="EY341" s="117">
        <f t="shared" si="978"/>
        <v>0</v>
      </c>
      <c r="EZ341" s="117">
        <f t="shared" si="978"/>
        <v>0</v>
      </c>
      <c r="FA341" s="117">
        <f t="shared" si="978"/>
        <v>0</v>
      </c>
      <c r="FB341" s="117">
        <f t="shared" si="978"/>
        <v>0</v>
      </c>
      <c r="FC341" s="118"/>
      <c r="FD341" s="117"/>
      <c r="FE341" s="117"/>
      <c r="FF341" s="117"/>
      <c r="FG341" s="117"/>
      <c r="FH341" s="117"/>
      <c r="FI341" s="117"/>
      <c r="FJ341" s="117"/>
      <c r="FK341" s="117" t="e">
        <f t="shared" si="601"/>
        <v>#DIV/0!</v>
      </c>
      <c r="FL341" s="117" t="e">
        <f t="shared" si="602"/>
        <v>#DIV/0!</v>
      </c>
      <c r="FM341" s="117" t="e">
        <f t="shared" si="603"/>
        <v>#DIV/0!</v>
      </c>
      <c r="FN341" s="117" t="e">
        <f t="shared" si="604"/>
        <v>#DIV/0!</v>
      </c>
      <c r="FO341" s="9" t="e">
        <f t="shared" si="605"/>
        <v>#DIV/0!</v>
      </c>
      <c r="FP341" s="118">
        <f t="shared" ref="FP341:GB341" si="979">FP129/FP$211</f>
        <v>0</v>
      </c>
      <c r="FQ341" s="117">
        <f t="shared" si="979"/>
        <v>0</v>
      </c>
      <c r="FR341" s="117">
        <f t="shared" si="979"/>
        <v>0</v>
      </c>
      <c r="FS341" s="117">
        <f t="shared" si="979"/>
        <v>0</v>
      </c>
      <c r="FT341" s="117">
        <f t="shared" si="979"/>
        <v>0</v>
      </c>
      <c r="FU341" s="117">
        <f t="shared" si="979"/>
        <v>0</v>
      </c>
      <c r="FV341" s="117">
        <f t="shared" si="979"/>
        <v>0</v>
      </c>
      <c r="FW341" s="117">
        <f t="shared" si="979"/>
        <v>0</v>
      </c>
      <c r="FX341" s="117">
        <f t="shared" si="979"/>
        <v>0</v>
      </c>
      <c r="FY341" s="117">
        <f t="shared" si="979"/>
        <v>0</v>
      </c>
      <c r="FZ341" s="117">
        <f t="shared" si="979"/>
        <v>0</v>
      </c>
      <c r="GA341" s="117">
        <f t="shared" si="979"/>
        <v>0</v>
      </c>
      <c r="GB341" s="116">
        <f t="shared" si="979"/>
        <v>0</v>
      </c>
    </row>
    <row r="342" spans="1:184">
      <c r="A342" s="147" t="s">
        <v>287</v>
      </c>
      <c r="B342" s="160">
        <f t="shared" si="607"/>
        <v>-1</v>
      </c>
      <c r="C342" s="117">
        <f t="shared" ref="C342:AH342" si="980">C130/C$211</f>
        <v>0</v>
      </c>
      <c r="D342" s="117">
        <f t="shared" si="980"/>
        <v>0</v>
      </c>
      <c r="E342" s="117">
        <f t="shared" si="980"/>
        <v>0</v>
      </c>
      <c r="F342" s="117">
        <f t="shared" si="980"/>
        <v>0</v>
      </c>
      <c r="G342" s="117">
        <f t="shared" si="980"/>
        <v>0</v>
      </c>
      <c r="H342" s="117">
        <f t="shared" si="980"/>
        <v>0</v>
      </c>
      <c r="I342" s="117">
        <f t="shared" si="980"/>
        <v>0</v>
      </c>
      <c r="J342" s="117">
        <f t="shared" si="980"/>
        <v>0</v>
      </c>
      <c r="K342" s="117">
        <f t="shared" si="980"/>
        <v>0</v>
      </c>
      <c r="L342" s="117">
        <f t="shared" si="980"/>
        <v>0</v>
      </c>
      <c r="M342" s="117">
        <f t="shared" si="980"/>
        <v>0</v>
      </c>
      <c r="N342" s="117">
        <f t="shared" si="980"/>
        <v>0</v>
      </c>
      <c r="O342" s="9">
        <f t="shared" si="980"/>
        <v>0</v>
      </c>
      <c r="P342" s="117">
        <f t="shared" si="980"/>
        <v>0</v>
      </c>
      <c r="Q342" s="117">
        <f t="shared" si="980"/>
        <v>0</v>
      </c>
      <c r="R342" s="117">
        <f t="shared" si="980"/>
        <v>0</v>
      </c>
      <c r="S342" s="117">
        <f t="shared" si="980"/>
        <v>0</v>
      </c>
      <c r="T342" s="117">
        <f t="shared" si="980"/>
        <v>0</v>
      </c>
      <c r="U342" s="117">
        <f t="shared" si="980"/>
        <v>0</v>
      </c>
      <c r="V342" s="117">
        <f t="shared" si="980"/>
        <v>0</v>
      </c>
      <c r="W342" s="117">
        <f t="shared" si="980"/>
        <v>0</v>
      </c>
      <c r="X342" s="117">
        <f t="shared" si="980"/>
        <v>0</v>
      </c>
      <c r="Y342" s="117">
        <f t="shared" si="980"/>
        <v>0</v>
      </c>
      <c r="Z342" s="117">
        <f t="shared" si="980"/>
        <v>0</v>
      </c>
      <c r="AA342" s="117">
        <f t="shared" si="980"/>
        <v>0</v>
      </c>
      <c r="AB342" s="9">
        <f t="shared" si="980"/>
        <v>0</v>
      </c>
      <c r="AC342" s="117">
        <f t="shared" si="980"/>
        <v>0</v>
      </c>
      <c r="AD342" s="117">
        <f t="shared" si="980"/>
        <v>0</v>
      </c>
      <c r="AE342" s="117">
        <f t="shared" si="980"/>
        <v>0</v>
      </c>
      <c r="AF342" s="117">
        <f t="shared" si="980"/>
        <v>0</v>
      </c>
      <c r="AG342" s="117">
        <f t="shared" si="980"/>
        <v>0</v>
      </c>
      <c r="AH342" s="117">
        <f t="shared" si="980"/>
        <v>0</v>
      </c>
      <c r="AI342" s="117">
        <f t="shared" ref="AI342:BN342" si="981">AI130/AI$211</f>
        <v>0</v>
      </c>
      <c r="AJ342" s="117">
        <f t="shared" si="981"/>
        <v>0</v>
      </c>
      <c r="AK342" s="117">
        <f t="shared" si="981"/>
        <v>0</v>
      </c>
      <c r="AL342" s="117">
        <f t="shared" si="981"/>
        <v>0</v>
      </c>
      <c r="AM342" s="117">
        <f t="shared" si="981"/>
        <v>0</v>
      </c>
      <c r="AN342" s="117">
        <f t="shared" si="981"/>
        <v>0</v>
      </c>
      <c r="AO342" s="9">
        <f t="shared" si="981"/>
        <v>0</v>
      </c>
      <c r="AP342" s="144">
        <f t="shared" si="981"/>
        <v>0</v>
      </c>
      <c r="AQ342" s="144">
        <f t="shared" si="981"/>
        <v>0</v>
      </c>
      <c r="AR342" s="144">
        <f t="shared" si="981"/>
        <v>0</v>
      </c>
      <c r="AS342" s="144">
        <f t="shared" si="981"/>
        <v>0</v>
      </c>
      <c r="AT342" s="144">
        <f t="shared" si="981"/>
        <v>0</v>
      </c>
      <c r="AU342" s="144">
        <f t="shared" si="981"/>
        <v>0</v>
      </c>
      <c r="AV342" s="144">
        <f t="shared" si="981"/>
        <v>0</v>
      </c>
      <c r="AW342" s="144">
        <f t="shared" si="981"/>
        <v>0</v>
      </c>
      <c r="AX342" s="144">
        <f t="shared" si="981"/>
        <v>0</v>
      </c>
      <c r="AY342" s="144">
        <f t="shared" si="981"/>
        <v>0</v>
      </c>
      <c r="AZ342" s="144">
        <f t="shared" si="981"/>
        <v>0</v>
      </c>
      <c r="BA342" s="144">
        <f t="shared" si="981"/>
        <v>0</v>
      </c>
      <c r="BB342" s="9">
        <f t="shared" si="981"/>
        <v>0</v>
      </c>
      <c r="BC342" s="144">
        <f t="shared" si="981"/>
        <v>0</v>
      </c>
      <c r="BD342" s="144">
        <f t="shared" si="981"/>
        <v>0</v>
      </c>
      <c r="BE342" s="144">
        <f t="shared" si="981"/>
        <v>0</v>
      </c>
      <c r="BF342" s="144">
        <f t="shared" si="981"/>
        <v>0</v>
      </c>
      <c r="BG342" s="144">
        <f t="shared" si="981"/>
        <v>0</v>
      </c>
      <c r="BH342" s="144">
        <f t="shared" si="981"/>
        <v>0</v>
      </c>
      <c r="BI342" s="144">
        <f t="shared" si="981"/>
        <v>0</v>
      </c>
      <c r="BJ342" s="144">
        <f t="shared" si="981"/>
        <v>0</v>
      </c>
      <c r="BK342" s="144">
        <f t="shared" si="981"/>
        <v>0</v>
      </c>
      <c r="BL342" s="144">
        <f t="shared" si="981"/>
        <v>0</v>
      </c>
      <c r="BM342" s="144">
        <f t="shared" si="981"/>
        <v>0</v>
      </c>
      <c r="BN342" s="144">
        <f t="shared" si="981"/>
        <v>0</v>
      </c>
      <c r="BO342" s="9">
        <f t="shared" ref="BO342:CT342" si="982">BO130/BO$211</f>
        <v>0</v>
      </c>
      <c r="BP342" s="144">
        <f t="shared" si="982"/>
        <v>0</v>
      </c>
      <c r="BQ342" s="144">
        <f t="shared" si="982"/>
        <v>0</v>
      </c>
      <c r="BR342" s="144">
        <f t="shared" si="982"/>
        <v>0</v>
      </c>
      <c r="BS342" s="144">
        <f t="shared" si="982"/>
        <v>0</v>
      </c>
      <c r="BT342" s="144">
        <f t="shared" si="982"/>
        <v>0</v>
      </c>
      <c r="BU342" s="144">
        <f t="shared" si="982"/>
        <v>0</v>
      </c>
      <c r="BV342" s="144">
        <f t="shared" si="982"/>
        <v>0</v>
      </c>
      <c r="BW342" s="144">
        <f t="shared" si="982"/>
        <v>0</v>
      </c>
      <c r="BX342" s="144">
        <f t="shared" si="982"/>
        <v>0</v>
      </c>
      <c r="BY342" s="144">
        <f t="shared" si="982"/>
        <v>0</v>
      </c>
      <c r="BZ342" s="144">
        <f t="shared" si="982"/>
        <v>0</v>
      </c>
      <c r="CA342" s="144">
        <f t="shared" si="982"/>
        <v>0</v>
      </c>
      <c r="CB342" s="9">
        <f t="shared" si="982"/>
        <v>0</v>
      </c>
      <c r="CC342" s="144">
        <f t="shared" si="982"/>
        <v>0</v>
      </c>
      <c r="CD342" s="144">
        <f t="shared" si="982"/>
        <v>0</v>
      </c>
      <c r="CE342" s="144">
        <f t="shared" si="982"/>
        <v>0</v>
      </c>
      <c r="CF342" s="144">
        <f t="shared" si="982"/>
        <v>0</v>
      </c>
      <c r="CG342" s="144">
        <f t="shared" si="982"/>
        <v>0</v>
      </c>
      <c r="CH342" s="144">
        <f t="shared" si="982"/>
        <v>0</v>
      </c>
      <c r="CI342" s="144">
        <f t="shared" si="982"/>
        <v>0</v>
      </c>
      <c r="CJ342" s="144">
        <f t="shared" si="982"/>
        <v>0</v>
      </c>
      <c r="CK342" s="144">
        <f t="shared" si="982"/>
        <v>0</v>
      </c>
      <c r="CL342" s="144">
        <f t="shared" si="982"/>
        <v>0</v>
      </c>
      <c r="CM342" s="144">
        <f t="shared" si="982"/>
        <v>0</v>
      </c>
      <c r="CN342" s="144">
        <f t="shared" si="982"/>
        <v>0</v>
      </c>
      <c r="CO342" s="9">
        <f t="shared" si="982"/>
        <v>0</v>
      </c>
      <c r="CP342" s="144">
        <f t="shared" si="982"/>
        <v>0</v>
      </c>
      <c r="CQ342" s="144">
        <f t="shared" si="982"/>
        <v>0</v>
      </c>
      <c r="CR342" s="144">
        <f t="shared" si="982"/>
        <v>0</v>
      </c>
      <c r="CS342" s="144">
        <f t="shared" si="982"/>
        <v>0</v>
      </c>
      <c r="CT342" s="144">
        <f t="shared" si="982"/>
        <v>0</v>
      </c>
      <c r="CU342" s="144">
        <f t="shared" ref="CU342:EB342" si="983">CU130/CU$211</f>
        <v>0</v>
      </c>
      <c r="CV342" s="144">
        <f t="shared" si="983"/>
        <v>0</v>
      </c>
      <c r="CW342" s="144">
        <f t="shared" si="983"/>
        <v>0</v>
      </c>
      <c r="CX342" s="144">
        <f t="shared" si="983"/>
        <v>0</v>
      </c>
      <c r="CY342" s="144">
        <f t="shared" si="983"/>
        <v>0</v>
      </c>
      <c r="CZ342" s="144">
        <f t="shared" si="983"/>
        <v>0</v>
      </c>
      <c r="DA342" s="144">
        <f t="shared" si="983"/>
        <v>0</v>
      </c>
      <c r="DB342" s="9">
        <f t="shared" si="983"/>
        <v>0</v>
      </c>
      <c r="DC342" s="144">
        <f t="shared" si="983"/>
        <v>0</v>
      </c>
      <c r="DD342" s="144">
        <f t="shared" si="983"/>
        <v>0</v>
      </c>
      <c r="DE342" s="144">
        <f t="shared" si="983"/>
        <v>0</v>
      </c>
      <c r="DF342" s="144">
        <f t="shared" si="983"/>
        <v>0</v>
      </c>
      <c r="DG342" s="144">
        <f t="shared" si="983"/>
        <v>0</v>
      </c>
      <c r="DH342" s="144">
        <f t="shared" si="983"/>
        <v>0</v>
      </c>
      <c r="DI342" s="144">
        <f t="shared" si="983"/>
        <v>0</v>
      </c>
      <c r="DJ342" s="144">
        <f t="shared" si="983"/>
        <v>0</v>
      </c>
      <c r="DK342" s="144">
        <f t="shared" si="983"/>
        <v>0</v>
      </c>
      <c r="DL342" s="144">
        <f t="shared" si="983"/>
        <v>0</v>
      </c>
      <c r="DM342" s="144">
        <f t="shared" si="983"/>
        <v>0</v>
      </c>
      <c r="DN342" s="144">
        <f t="shared" si="983"/>
        <v>0</v>
      </c>
      <c r="DO342" s="9">
        <f t="shared" si="983"/>
        <v>0</v>
      </c>
      <c r="DP342" s="144">
        <f t="shared" si="983"/>
        <v>0</v>
      </c>
      <c r="DQ342" s="144">
        <f t="shared" si="983"/>
        <v>0</v>
      </c>
      <c r="DR342" s="144">
        <f t="shared" si="983"/>
        <v>0</v>
      </c>
      <c r="DS342" s="144">
        <f t="shared" si="983"/>
        <v>0</v>
      </c>
      <c r="DT342" s="144">
        <f t="shared" si="983"/>
        <v>0</v>
      </c>
      <c r="DU342" s="144">
        <f t="shared" si="983"/>
        <v>0</v>
      </c>
      <c r="DV342" s="144">
        <f t="shared" si="983"/>
        <v>0</v>
      </c>
      <c r="DW342" s="144">
        <f t="shared" si="983"/>
        <v>0</v>
      </c>
      <c r="DX342" s="144">
        <f t="shared" si="983"/>
        <v>0</v>
      </c>
      <c r="DY342" s="144">
        <f t="shared" si="983"/>
        <v>0</v>
      </c>
      <c r="DZ342" s="144">
        <f t="shared" si="983"/>
        <v>0</v>
      </c>
      <c r="EA342" s="144">
        <f t="shared" si="983"/>
        <v>0</v>
      </c>
      <c r="EB342" s="117">
        <f t="shared" si="983"/>
        <v>0</v>
      </c>
      <c r="EC342" s="118"/>
      <c r="ED342" s="117">
        <f t="shared" ref="ED342:FB342" si="984">ED130/ED$211</f>
        <v>0</v>
      </c>
      <c r="EE342" s="117">
        <f t="shared" si="984"/>
        <v>0</v>
      </c>
      <c r="EF342" s="117">
        <f t="shared" si="984"/>
        <v>0</v>
      </c>
      <c r="EG342" s="117" t="e">
        <f t="shared" si="984"/>
        <v>#DIV/0!</v>
      </c>
      <c r="EH342" s="117" t="e">
        <f t="shared" si="984"/>
        <v>#DIV/0!</v>
      </c>
      <c r="EI342" s="117" t="e">
        <f t="shared" si="984"/>
        <v>#DIV/0!</v>
      </c>
      <c r="EJ342" s="117" t="e">
        <f t="shared" si="984"/>
        <v>#DIV/0!</v>
      </c>
      <c r="EK342" s="117" t="e">
        <f t="shared" si="984"/>
        <v>#DIV/0!</v>
      </c>
      <c r="EL342" s="117" t="e">
        <f t="shared" si="984"/>
        <v>#DIV/0!</v>
      </c>
      <c r="EM342" s="117" t="e">
        <f t="shared" si="984"/>
        <v>#DIV/0!</v>
      </c>
      <c r="EN342" s="117" t="e">
        <f t="shared" si="984"/>
        <v>#DIV/0!</v>
      </c>
      <c r="EO342" s="116">
        <f t="shared" si="984"/>
        <v>0</v>
      </c>
      <c r="EP342" s="117">
        <f t="shared" si="984"/>
        <v>0</v>
      </c>
      <c r="EQ342" s="117">
        <f t="shared" si="984"/>
        <v>0</v>
      </c>
      <c r="ER342" s="117">
        <f t="shared" si="984"/>
        <v>0</v>
      </c>
      <c r="ES342" s="117">
        <f t="shared" si="984"/>
        <v>0</v>
      </c>
      <c r="ET342" s="117">
        <f t="shared" si="984"/>
        <v>0</v>
      </c>
      <c r="EU342" s="117">
        <f t="shared" si="984"/>
        <v>0</v>
      </c>
      <c r="EV342" s="117">
        <f t="shared" si="984"/>
        <v>0</v>
      </c>
      <c r="EW342" s="117">
        <f t="shared" si="984"/>
        <v>0</v>
      </c>
      <c r="EX342" s="117">
        <f t="shared" si="984"/>
        <v>0</v>
      </c>
      <c r="EY342" s="117">
        <f t="shared" si="984"/>
        <v>0</v>
      </c>
      <c r="EZ342" s="117">
        <f t="shared" si="984"/>
        <v>0</v>
      </c>
      <c r="FA342" s="117">
        <f t="shared" si="984"/>
        <v>0</v>
      </c>
      <c r="FB342" s="117">
        <f t="shared" si="984"/>
        <v>0</v>
      </c>
      <c r="FC342" s="118"/>
      <c r="FD342" s="117"/>
      <c r="FE342" s="117"/>
      <c r="FF342" s="117"/>
      <c r="FG342" s="117"/>
      <c r="FH342" s="117"/>
      <c r="FI342" s="117"/>
      <c r="FJ342" s="117"/>
      <c r="FK342" s="117" t="e">
        <f t="shared" si="601"/>
        <v>#DIV/0!</v>
      </c>
      <c r="FL342" s="117" t="e">
        <f t="shared" si="602"/>
        <v>#DIV/0!</v>
      </c>
      <c r="FM342" s="117" t="e">
        <f t="shared" si="603"/>
        <v>#DIV/0!</v>
      </c>
      <c r="FN342" s="117" t="e">
        <f t="shared" si="604"/>
        <v>#DIV/0!</v>
      </c>
      <c r="FO342" s="9" t="e">
        <f t="shared" si="605"/>
        <v>#DIV/0!</v>
      </c>
      <c r="FP342" s="118">
        <f t="shared" ref="FP342:GB342" si="985">FP130/FP$211</f>
        <v>0</v>
      </c>
      <c r="FQ342" s="117">
        <f t="shared" si="985"/>
        <v>0</v>
      </c>
      <c r="FR342" s="117">
        <f t="shared" si="985"/>
        <v>0</v>
      </c>
      <c r="FS342" s="117">
        <f t="shared" si="985"/>
        <v>0</v>
      </c>
      <c r="FT342" s="117">
        <f t="shared" si="985"/>
        <v>0</v>
      </c>
      <c r="FU342" s="117">
        <f t="shared" si="985"/>
        <v>0</v>
      </c>
      <c r="FV342" s="117">
        <f t="shared" si="985"/>
        <v>0</v>
      </c>
      <c r="FW342" s="117">
        <f t="shared" si="985"/>
        <v>0</v>
      </c>
      <c r="FX342" s="117">
        <f t="shared" si="985"/>
        <v>0</v>
      </c>
      <c r="FY342" s="117">
        <f t="shared" si="985"/>
        <v>0</v>
      </c>
      <c r="FZ342" s="117">
        <f t="shared" si="985"/>
        <v>0</v>
      </c>
      <c r="GA342" s="117">
        <f t="shared" si="985"/>
        <v>0</v>
      </c>
      <c r="GB342" s="116">
        <f t="shared" si="985"/>
        <v>0</v>
      </c>
    </row>
    <row r="343" spans="1:184">
      <c r="A343" s="147" t="s">
        <v>285</v>
      </c>
      <c r="B343" s="160" t="e">
        <f t="shared" si="607"/>
        <v>#DIV/0!</v>
      </c>
      <c r="C343" s="117">
        <f t="shared" ref="C343:AH343" si="986">C131/C$211</f>
        <v>0</v>
      </c>
      <c r="D343" s="117">
        <f t="shared" si="986"/>
        <v>0</v>
      </c>
      <c r="E343" s="117">
        <f t="shared" si="986"/>
        <v>0</v>
      </c>
      <c r="F343" s="117">
        <f t="shared" si="986"/>
        <v>0</v>
      </c>
      <c r="G343" s="117">
        <f t="shared" si="986"/>
        <v>0</v>
      </c>
      <c r="H343" s="117">
        <f t="shared" si="986"/>
        <v>0</v>
      </c>
      <c r="I343" s="117">
        <f t="shared" si="986"/>
        <v>0</v>
      </c>
      <c r="J343" s="117">
        <f t="shared" si="986"/>
        <v>0</v>
      </c>
      <c r="K343" s="117">
        <f t="shared" si="986"/>
        <v>0</v>
      </c>
      <c r="L343" s="117">
        <f t="shared" si="986"/>
        <v>0</v>
      </c>
      <c r="M343" s="117">
        <f t="shared" si="986"/>
        <v>0</v>
      </c>
      <c r="N343" s="117">
        <f t="shared" si="986"/>
        <v>0</v>
      </c>
      <c r="O343" s="9">
        <f t="shared" si="986"/>
        <v>0</v>
      </c>
      <c r="P343" s="117">
        <f t="shared" si="986"/>
        <v>0</v>
      </c>
      <c r="Q343" s="117">
        <f t="shared" si="986"/>
        <v>0</v>
      </c>
      <c r="R343" s="117">
        <f t="shared" si="986"/>
        <v>0</v>
      </c>
      <c r="S343" s="117">
        <f t="shared" si="986"/>
        <v>0</v>
      </c>
      <c r="T343" s="117">
        <f t="shared" si="986"/>
        <v>0</v>
      </c>
      <c r="U343" s="117">
        <f t="shared" si="986"/>
        <v>0</v>
      </c>
      <c r="V343" s="117">
        <f t="shared" si="986"/>
        <v>0</v>
      </c>
      <c r="W343" s="117">
        <f t="shared" si="986"/>
        <v>0</v>
      </c>
      <c r="X343" s="117">
        <f t="shared" si="986"/>
        <v>0</v>
      </c>
      <c r="Y343" s="117">
        <f t="shared" si="986"/>
        <v>0</v>
      </c>
      <c r="Z343" s="117">
        <f t="shared" si="986"/>
        <v>0</v>
      </c>
      <c r="AA343" s="117">
        <f t="shared" si="986"/>
        <v>0</v>
      </c>
      <c r="AB343" s="9">
        <f t="shared" si="986"/>
        <v>0</v>
      </c>
      <c r="AC343" s="117">
        <f t="shared" si="986"/>
        <v>0</v>
      </c>
      <c r="AD343" s="117">
        <f t="shared" si="986"/>
        <v>0</v>
      </c>
      <c r="AE343" s="117">
        <f t="shared" si="986"/>
        <v>0</v>
      </c>
      <c r="AF343" s="117">
        <f t="shared" si="986"/>
        <v>0</v>
      </c>
      <c r="AG343" s="117">
        <f t="shared" si="986"/>
        <v>0</v>
      </c>
      <c r="AH343" s="117">
        <f t="shared" si="986"/>
        <v>0</v>
      </c>
      <c r="AI343" s="117">
        <f t="shared" ref="AI343:BN343" si="987">AI131/AI$211</f>
        <v>0</v>
      </c>
      <c r="AJ343" s="117">
        <f t="shared" si="987"/>
        <v>0</v>
      </c>
      <c r="AK343" s="117">
        <f t="shared" si="987"/>
        <v>0</v>
      </c>
      <c r="AL343" s="117">
        <f t="shared" si="987"/>
        <v>0</v>
      </c>
      <c r="AM343" s="117">
        <f t="shared" si="987"/>
        <v>0</v>
      </c>
      <c r="AN343" s="117">
        <f t="shared" si="987"/>
        <v>0</v>
      </c>
      <c r="AO343" s="9">
        <f t="shared" si="987"/>
        <v>0</v>
      </c>
      <c r="AP343" s="144">
        <f t="shared" si="987"/>
        <v>0</v>
      </c>
      <c r="AQ343" s="144">
        <f t="shared" si="987"/>
        <v>0</v>
      </c>
      <c r="AR343" s="144">
        <f t="shared" si="987"/>
        <v>0</v>
      </c>
      <c r="AS343" s="144">
        <f t="shared" si="987"/>
        <v>0</v>
      </c>
      <c r="AT343" s="144">
        <f t="shared" si="987"/>
        <v>0</v>
      </c>
      <c r="AU343" s="144">
        <f t="shared" si="987"/>
        <v>0</v>
      </c>
      <c r="AV343" s="144">
        <f t="shared" si="987"/>
        <v>0</v>
      </c>
      <c r="AW343" s="144">
        <f t="shared" si="987"/>
        <v>0</v>
      </c>
      <c r="AX343" s="144">
        <f t="shared" si="987"/>
        <v>0</v>
      </c>
      <c r="AY343" s="144">
        <f t="shared" si="987"/>
        <v>0</v>
      </c>
      <c r="AZ343" s="144">
        <f t="shared" si="987"/>
        <v>0</v>
      </c>
      <c r="BA343" s="144">
        <f t="shared" si="987"/>
        <v>0</v>
      </c>
      <c r="BB343" s="9">
        <f t="shared" si="987"/>
        <v>0</v>
      </c>
      <c r="BC343" s="144">
        <f t="shared" si="987"/>
        <v>0</v>
      </c>
      <c r="BD343" s="144">
        <f t="shared" si="987"/>
        <v>0</v>
      </c>
      <c r="BE343" s="144">
        <f t="shared" si="987"/>
        <v>0</v>
      </c>
      <c r="BF343" s="144">
        <f t="shared" si="987"/>
        <v>0</v>
      </c>
      <c r="BG343" s="144">
        <f t="shared" si="987"/>
        <v>0</v>
      </c>
      <c r="BH343" s="144">
        <f t="shared" si="987"/>
        <v>0</v>
      </c>
      <c r="BI343" s="144">
        <f t="shared" si="987"/>
        <v>0</v>
      </c>
      <c r="BJ343" s="144">
        <f t="shared" si="987"/>
        <v>0</v>
      </c>
      <c r="BK343" s="144">
        <f t="shared" si="987"/>
        <v>0</v>
      </c>
      <c r="BL343" s="144">
        <f t="shared" si="987"/>
        <v>0</v>
      </c>
      <c r="BM343" s="144">
        <f t="shared" si="987"/>
        <v>0</v>
      </c>
      <c r="BN343" s="144">
        <f t="shared" si="987"/>
        <v>0</v>
      </c>
      <c r="BO343" s="9">
        <f t="shared" ref="BO343:CT343" si="988">BO131/BO$211</f>
        <v>0</v>
      </c>
      <c r="BP343" s="144">
        <f t="shared" si="988"/>
        <v>0</v>
      </c>
      <c r="BQ343" s="144">
        <f t="shared" si="988"/>
        <v>0</v>
      </c>
      <c r="BR343" s="144">
        <f t="shared" si="988"/>
        <v>0</v>
      </c>
      <c r="BS343" s="144">
        <f t="shared" si="988"/>
        <v>0</v>
      </c>
      <c r="BT343" s="144">
        <f t="shared" si="988"/>
        <v>0</v>
      </c>
      <c r="BU343" s="144">
        <f t="shared" si="988"/>
        <v>0</v>
      </c>
      <c r="BV343" s="144">
        <f t="shared" si="988"/>
        <v>0</v>
      </c>
      <c r="BW343" s="144">
        <f t="shared" si="988"/>
        <v>0</v>
      </c>
      <c r="BX343" s="144">
        <f t="shared" si="988"/>
        <v>0</v>
      </c>
      <c r="BY343" s="144">
        <f t="shared" si="988"/>
        <v>0</v>
      </c>
      <c r="BZ343" s="144">
        <f t="shared" si="988"/>
        <v>0</v>
      </c>
      <c r="CA343" s="144">
        <f t="shared" si="988"/>
        <v>0</v>
      </c>
      <c r="CB343" s="9">
        <f t="shared" si="988"/>
        <v>0</v>
      </c>
      <c r="CC343" s="144">
        <f t="shared" si="988"/>
        <v>0</v>
      </c>
      <c r="CD343" s="144">
        <f t="shared" si="988"/>
        <v>0</v>
      </c>
      <c r="CE343" s="144">
        <f t="shared" si="988"/>
        <v>0</v>
      </c>
      <c r="CF343" s="144">
        <f t="shared" si="988"/>
        <v>0</v>
      </c>
      <c r="CG343" s="144">
        <f t="shared" si="988"/>
        <v>0</v>
      </c>
      <c r="CH343" s="144">
        <f t="shared" si="988"/>
        <v>0</v>
      </c>
      <c r="CI343" s="144">
        <f t="shared" si="988"/>
        <v>0</v>
      </c>
      <c r="CJ343" s="144">
        <f t="shared" si="988"/>
        <v>0</v>
      </c>
      <c r="CK343" s="144">
        <f t="shared" si="988"/>
        <v>0</v>
      </c>
      <c r="CL343" s="144">
        <f t="shared" si="988"/>
        <v>0</v>
      </c>
      <c r="CM343" s="144">
        <f t="shared" si="988"/>
        <v>0</v>
      </c>
      <c r="CN343" s="144">
        <f t="shared" si="988"/>
        <v>0</v>
      </c>
      <c r="CO343" s="9">
        <f t="shared" si="988"/>
        <v>0</v>
      </c>
      <c r="CP343" s="144">
        <f t="shared" si="988"/>
        <v>0</v>
      </c>
      <c r="CQ343" s="144">
        <f t="shared" si="988"/>
        <v>0</v>
      </c>
      <c r="CR343" s="144">
        <f t="shared" si="988"/>
        <v>0</v>
      </c>
      <c r="CS343" s="144">
        <f t="shared" si="988"/>
        <v>0</v>
      </c>
      <c r="CT343" s="144">
        <f t="shared" si="988"/>
        <v>0</v>
      </c>
      <c r="CU343" s="144">
        <f t="shared" ref="CU343:EB343" si="989">CU131/CU$211</f>
        <v>0</v>
      </c>
      <c r="CV343" s="144">
        <f t="shared" si="989"/>
        <v>0</v>
      </c>
      <c r="CW343" s="144">
        <f t="shared" si="989"/>
        <v>0</v>
      </c>
      <c r="CX343" s="144">
        <f t="shared" si="989"/>
        <v>0</v>
      </c>
      <c r="CY343" s="144">
        <f t="shared" si="989"/>
        <v>0</v>
      </c>
      <c r="CZ343" s="144">
        <f t="shared" si="989"/>
        <v>0</v>
      </c>
      <c r="DA343" s="144">
        <f t="shared" si="989"/>
        <v>0</v>
      </c>
      <c r="DB343" s="9">
        <f t="shared" si="989"/>
        <v>0</v>
      </c>
      <c r="DC343" s="144">
        <f t="shared" si="989"/>
        <v>0</v>
      </c>
      <c r="DD343" s="144">
        <f t="shared" si="989"/>
        <v>0</v>
      </c>
      <c r="DE343" s="144">
        <f t="shared" si="989"/>
        <v>0</v>
      </c>
      <c r="DF343" s="144">
        <f t="shared" si="989"/>
        <v>0</v>
      </c>
      <c r="DG343" s="144">
        <f t="shared" si="989"/>
        <v>0</v>
      </c>
      <c r="DH343" s="144">
        <f t="shared" si="989"/>
        <v>0</v>
      </c>
      <c r="DI343" s="144">
        <f t="shared" si="989"/>
        <v>0</v>
      </c>
      <c r="DJ343" s="144">
        <f t="shared" si="989"/>
        <v>0</v>
      </c>
      <c r="DK343" s="144">
        <f t="shared" si="989"/>
        <v>0</v>
      </c>
      <c r="DL343" s="144">
        <f t="shared" si="989"/>
        <v>0</v>
      </c>
      <c r="DM343" s="144">
        <f t="shared" si="989"/>
        <v>0</v>
      </c>
      <c r="DN343" s="144">
        <f t="shared" si="989"/>
        <v>0</v>
      </c>
      <c r="DO343" s="9">
        <f t="shared" si="989"/>
        <v>0</v>
      </c>
      <c r="DP343" s="144">
        <f t="shared" si="989"/>
        <v>0</v>
      </c>
      <c r="DQ343" s="144">
        <f t="shared" si="989"/>
        <v>0</v>
      </c>
      <c r="DR343" s="144">
        <f t="shared" si="989"/>
        <v>0</v>
      </c>
      <c r="DS343" s="144">
        <f t="shared" si="989"/>
        <v>0</v>
      </c>
      <c r="DT343" s="144">
        <f t="shared" si="989"/>
        <v>0</v>
      </c>
      <c r="DU343" s="144">
        <f t="shared" si="989"/>
        <v>0</v>
      </c>
      <c r="DV343" s="144">
        <f t="shared" si="989"/>
        <v>0</v>
      </c>
      <c r="DW343" s="144">
        <f t="shared" si="989"/>
        <v>0</v>
      </c>
      <c r="DX343" s="144">
        <f t="shared" si="989"/>
        <v>0</v>
      </c>
      <c r="DY343" s="144">
        <f t="shared" si="989"/>
        <v>0</v>
      </c>
      <c r="DZ343" s="144">
        <f t="shared" si="989"/>
        <v>0</v>
      </c>
      <c r="EA343" s="144">
        <f t="shared" si="989"/>
        <v>0</v>
      </c>
      <c r="EB343" s="117">
        <f t="shared" si="989"/>
        <v>0</v>
      </c>
      <c r="EC343" s="118"/>
      <c r="ED343" s="117">
        <f t="shared" ref="ED343:FB343" si="990">ED131/ED$211</f>
        <v>0</v>
      </c>
      <c r="EE343" s="117">
        <f t="shared" si="990"/>
        <v>0</v>
      </c>
      <c r="EF343" s="117">
        <f t="shared" si="990"/>
        <v>0</v>
      </c>
      <c r="EG343" s="117" t="e">
        <f t="shared" si="990"/>
        <v>#DIV/0!</v>
      </c>
      <c r="EH343" s="117" t="e">
        <f t="shared" si="990"/>
        <v>#DIV/0!</v>
      </c>
      <c r="EI343" s="117" t="e">
        <f t="shared" si="990"/>
        <v>#DIV/0!</v>
      </c>
      <c r="EJ343" s="117" t="e">
        <f t="shared" si="990"/>
        <v>#DIV/0!</v>
      </c>
      <c r="EK343" s="117" t="e">
        <f t="shared" si="990"/>
        <v>#DIV/0!</v>
      </c>
      <c r="EL343" s="117" t="e">
        <f t="shared" si="990"/>
        <v>#DIV/0!</v>
      </c>
      <c r="EM343" s="117" t="e">
        <f t="shared" si="990"/>
        <v>#DIV/0!</v>
      </c>
      <c r="EN343" s="117" t="e">
        <f t="shared" si="990"/>
        <v>#DIV/0!</v>
      </c>
      <c r="EO343" s="116">
        <f t="shared" si="990"/>
        <v>0</v>
      </c>
      <c r="EP343" s="117">
        <f t="shared" si="990"/>
        <v>0</v>
      </c>
      <c r="EQ343" s="117">
        <f t="shared" si="990"/>
        <v>0</v>
      </c>
      <c r="ER343" s="117">
        <f t="shared" si="990"/>
        <v>0</v>
      </c>
      <c r="ES343" s="117">
        <f t="shared" si="990"/>
        <v>0</v>
      </c>
      <c r="ET343" s="117">
        <f t="shared" si="990"/>
        <v>0</v>
      </c>
      <c r="EU343" s="117">
        <f t="shared" si="990"/>
        <v>0</v>
      </c>
      <c r="EV343" s="117">
        <f t="shared" si="990"/>
        <v>0</v>
      </c>
      <c r="EW343" s="117">
        <f t="shared" si="990"/>
        <v>0</v>
      </c>
      <c r="EX343" s="117">
        <f t="shared" si="990"/>
        <v>0</v>
      </c>
      <c r="EY343" s="117">
        <f t="shared" si="990"/>
        <v>0</v>
      </c>
      <c r="EZ343" s="117">
        <f t="shared" si="990"/>
        <v>0</v>
      </c>
      <c r="FA343" s="117">
        <f t="shared" si="990"/>
        <v>0</v>
      </c>
      <c r="FB343" s="117">
        <f t="shared" si="990"/>
        <v>0</v>
      </c>
      <c r="FC343" s="118"/>
      <c r="FD343" s="117"/>
      <c r="FE343" s="117"/>
      <c r="FF343" s="117"/>
      <c r="FG343" s="117"/>
      <c r="FH343" s="117"/>
      <c r="FI343" s="117"/>
      <c r="FJ343" s="117"/>
      <c r="FK343" s="117" t="e">
        <f t="shared" ref="FK343:FK389" si="991">FK131/FK$211</f>
        <v>#DIV/0!</v>
      </c>
      <c r="FL343" s="117" t="e">
        <f t="shared" ref="FL343:FL389" si="992">FL131/FL$211</f>
        <v>#DIV/0!</v>
      </c>
      <c r="FM343" s="117" t="e">
        <f t="shared" ref="FM343:FM389" si="993">FM131/FM$211</f>
        <v>#DIV/0!</v>
      </c>
      <c r="FN343" s="117" t="e">
        <f t="shared" ref="FN343:FN389" si="994">FN131/FN$211</f>
        <v>#DIV/0!</v>
      </c>
      <c r="FO343" s="9" t="e">
        <f t="shared" ref="FO343:FO389" si="995">FO131/FO$211</f>
        <v>#DIV/0!</v>
      </c>
      <c r="FP343" s="118">
        <f t="shared" ref="FP343:GB343" si="996">FP131/FP$211</f>
        <v>0</v>
      </c>
      <c r="FQ343" s="117">
        <f t="shared" si="996"/>
        <v>0</v>
      </c>
      <c r="FR343" s="117">
        <f t="shared" si="996"/>
        <v>0</v>
      </c>
      <c r="FS343" s="117">
        <f t="shared" si="996"/>
        <v>0</v>
      </c>
      <c r="FT343" s="117">
        <f t="shared" si="996"/>
        <v>0</v>
      </c>
      <c r="FU343" s="117">
        <f t="shared" si="996"/>
        <v>0</v>
      </c>
      <c r="FV343" s="117">
        <f t="shared" si="996"/>
        <v>0</v>
      </c>
      <c r="FW343" s="117">
        <f t="shared" si="996"/>
        <v>0</v>
      </c>
      <c r="FX343" s="117">
        <f t="shared" si="996"/>
        <v>0</v>
      </c>
      <c r="FY343" s="117">
        <f t="shared" si="996"/>
        <v>0</v>
      </c>
      <c r="FZ343" s="117">
        <f t="shared" si="996"/>
        <v>0</v>
      </c>
      <c r="GA343" s="117">
        <f t="shared" si="996"/>
        <v>0</v>
      </c>
      <c r="GB343" s="116">
        <f t="shared" si="996"/>
        <v>0</v>
      </c>
    </row>
    <row r="344" spans="1:184">
      <c r="A344" s="147" t="s">
        <v>289</v>
      </c>
      <c r="B344" s="160" t="e">
        <f t="shared" ref="B344:B407" si="997">O132/B132-1</f>
        <v>#DIV/0!</v>
      </c>
      <c r="C344" s="117">
        <f t="shared" ref="C344:AH344" si="998">C132/C$211</f>
        <v>0</v>
      </c>
      <c r="D344" s="117">
        <f t="shared" si="998"/>
        <v>0</v>
      </c>
      <c r="E344" s="117">
        <f t="shared" si="998"/>
        <v>0</v>
      </c>
      <c r="F344" s="117">
        <f t="shared" si="998"/>
        <v>0</v>
      </c>
      <c r="G344" s="117">
        <f t="shared" si="998"/>
        <v>0</v>
      </c>
      <c r="H344" s="117">
        <f t="shared" si="998"/>
        <v>0</v>
      </c>
      <c r="I344" s="117">
        <f t="shared" si="998"/>
        <v>0</v>
      </c>
      <c r="J344" s="117">
        <f t="shared" si="998"/>
        <v>0</v>
      </c>
      <c r="K344" s="117">
        <f t="shared" si="998"/>
        <v>0</v>
      </c>
      <c r="L344" s="117">
        <f t="shared" si="998"/>
        <v>0</v>
      </c>
      <c r="M344" s="117">
        <f t="shared" si="998"/>
        <v>0</v>
      </c>
      <c r="N344" s="117">
        <f t="shared" si="998"/>
        <v>0</v>
      </c>
      <c r="O344" s="9">
        <f t="shared" si="998"/>
        <v>0</v>
      </c>
      <c r="P344" s="117">
        <f t="shared" si="998"/>
        <v>0</v>
      </c>
      <c r="Q344" s="117">
        <f t="shared" si="998"/>
        <v>0</v>
      </c>
      <c r="R344" s="117">
        <f t="shared" si="998"/>
        <v>0</v>
      </c>
      <c r="S344" s="117">
        <f t="shared" si="998"/>
        <v>0</v>
      </c>
      <c r="T344" s="117">
        <f t="shared" si="998"/>
        <v>0</v>
      </c>
      <c r="U344" s="117">
        <f t="shared" si="998"/>
        <v>0</v>
      </c>
      <c r="V344" s="117">
        <f t="shared" si="998"/>
        <v>0</v>
      </c>
      <c r="W344" s="117">
        <f t="shared" si="998"/>
        <v>0</v>
      </c>
      <c r="X344" s="117">
        <f t="shared" si="998"/>
        <v>0</v>
      </c>
      <c r="Y344" s="117">
        <f t="shared" si="998"/>
        <v>0</v>
      </c>
      <c r="Z344" s="117">
        <f t="shared" si="998"/>
        <v>0</v>
      </c>
      <c r="AA344" s="117">
        <f t="shared" si="998"/>
        <v>0</v>
      </c>
      <c r="AB344" s="9">
        <f t="shared" si="998"/>
        <v>0</v>
      </c>
      <c r="AC344" s="117">
        <f t="shared" si="998"/>
        <v>0</v>
      </c>
      <c r="AD344" s="117">
        <f t="shared" si="998"/>
        <v>0</v>
      </c>
      <c r="AE344" s="117">
        <f t="shared" si="998"/>
        <v>0</v>
      </c>
      <c r="AF344" s="117">
        <f t="shared" si="998"/>
        <v>0</v>
      </c>
      <c r="AG344" s="117">
        <f t="shared" si="998"/>
        <v>0</v>
      </c>
      <c r="AH344" s="117">
        <f t="shared" si="998"/>
        <v>0</v>
      </c>
      <c r="AI344" s="117">
        <f t="shared" ref="AI344:BN344" si="999">AI132/AI$211</f>
        <v>0</v>
      </c>
      <c r="AJ344" s="117">
        <f t="shared" si="999"/>
        <v>0</v>
      </c>
      <c r="AK344" s="117">
        <f t="shared" si="999"/>
        <v>0</v>
      </c>
      <c r="AL344" s="117">
        <f t="shared" si="999"/>
        <v>0</v>
      </c>
      <c r="AM344" s="117">
        <f t="shared" si="999"/>
        <v>0</v>
      </c>
      <c r="AN344" s="117">
        <f t="shared" si="999"/>
        <v>0</v>
      </c>
      <c r="AO344" s="9">
        <f t="shared" si="999"/>
        <v>0</v>
      </c>
      <c r="AP344" s="144">
        <f t="shared" si="999"/>
        <v>0</v>
      </c>
      <c r="AQ344" s="144">
        <f t="shared" si="999"/>
        <v>0</v>
      </c>
      <c r="AR344" s="144">
        <f t="shared" si="999"/>
        <v>0</v>
      </c>
      <c r="AS344" s="144">
        <f t="shared" si="999"/>
        <v>0</v>
      </c>
      <c r="AT344" s="144">
        <f t="shared" si="999"/>
        <v>0</v>
      </c>
      <c r="AU344" s="144">
        <f t="shared" si="999"/>
        <v>0</v>
      </c>
      <c r="AV344" s="144">
        <f t="shared" si="999"/>
        <v>0</v>
      </c>
      <c r="AW344" s="144">
        <f t="shared" si="999"/>
        <v>0</v>
      </c>
      <c r="AX344" s="144">
        <f t="shared" si="999"/>
        <v>0</v>
      </c>
      <c r="AY344" s="144">
        <f t="shared" si="999"/>
        <v>0</v>
      </c>
      <c r="AZ344" s="144">
        <f t="shared" si="999"/>
        <v>0</v>
      </c>
      <c r="BA344" s="144">
        <f t="shared" si="999"/>
        <v>0</v>
      </c>
      <c r="BB344" s="9">
        <f t="shared" si="999"/>
        <v>0</v>
      </c>
      <c r="BC344" s="144">
        <f t="shared" si="999"/>
        <v>0</v>
      </c>
      <c r="BD344" s="144">
        <f t="shared" si="999"/>
        <v>0</v>
      </c>
      <c r="BE344" s="144">
        <f t="shared" si="999"/>
        <v>0</v>
      </c>
      <c r="BF344" s="144">
        <f t="shared" si="999"/>
        <v>0</v>
      </c>
      <c r="BG344" s="144">
        <f t="shared" si="999"/>
        <v>0</v>
      </c>
      <c r="BH344" s="144">
        <f t="shared" si="999"/>
        <v>0</v>
      </c>
      <c r="BI344" s="144">
        <f t="shared" si="999"/>
        <v>0</v>
      </c>
      <c r="BJ344" s="144">
        <f t="shared" si="999"/>
        <v>0</v>
      </c>
      <c r="BK344" s="144">
        <f t="shared" si="999"/>
        <v>0</v>
      </c>
      <c r="BL344" s="144">
        <f t="shared" si="999"/>
        <v>0</v>
      </c>
      <c r="BM344" s="144">
        <f t="shared" si="999"/>
        <v>0</v>
      </c>
      <c r="BN344" s="144">
        <f t="shared" si="999"/>
        <v>0</v>
      </c>
      <c r="BO344" s="9">
        <f t="shared" ref="BO344:CT344" si="1000">BO132/BO$211</f>
        <v>0</v>
      </c>
      <c r="BP344" s="144">
        <f t="shared" si="1000"/>
        <v>0</v>
      </c>
      <c r="BQ344" s="144">
        <f t="shared" si="1000"/>
        <v>0</v>
      </c>
      <c r="BR344" s="144">
        <f t="shared" si="1000"/>
        <v>0</v>
      </c>
      <c r="BS344" s="144">
        <f t="shared" si="1000"/>
        <v>0</v>
      </c>
      <c r="BT344" s="144">
        <f t="shared" si="1000"/>
        <v>0</v>
      </c>
      <c r="BU344" s="144">
        <f t="shared" si="1000"/>
        <v>0</v>
      </c>
      <c r="BV344" s="144">
        <f t="shared" si="1000"/>
        <v>0</v>
      </c>
      <c r="BW344" s="144">
        <f t="shared" si="1000"/>
        <v>0</v>
      </c>
      <c r="BX344" s="144">
        <f t="shared" si="1000"/>
        <v>0</v>
      </c>
      <c r="BY344" s="144">
        <f t="shared" si="1000"/>
        <v>0</v>
      </c>
      <c r="BZ344" s="144">
        <f t="shared" si="1000"/>
        <v>0</v>
      </c>
      <c r="CA344" s="144">
        <f t="shared" si="1000"/>
        <v>0</v>
      </c>
      <c r="CB344" s="9">
        <f t="shared" si="1000"/>
        <v>0</v>
      </c>
      <c r="CC344" s="144">
        <f t="shared" si="1000"/>
        <v>0</v>
      </c>
      <c r="CD344" s="144">
        <f t="shared" si="1000"/>
        <v>0</v>
      </c>
      <c r="CE344" s="144">
        <f t="shared" si="1000"/>
        <v>0</v>
      </c>
      <c r="CF344" s="144">
        <f t="shared" si="1000"/>
        <v>0</v>
      </c>
      <c r="CG344" s="144">
        <f t="shared" si="1000"/>
        <v>0</v>
      </c>
      <c r="CH344" s="144">
        <f t="shared" si="1000"/>
        <v>0</v>
      </c>
      <c r="CI344" s="144">
        <f t="shared" si="1000"/>
        <v>0</v>
      </c>
      <c r="CJ344" s="144">
        <f t="shared" si="1000"/>
        <v>0</v>
      </c>
      <c r="CK344" s="144">
        <f t="shared" si="1000"/>
        <v>0</v>
      </c>
      <c r="CL344" s="144">
        <f t="shared" si="1000"/>
        <v>0</v>
      </c>
      <c r="CM344" s="144">
        <f t="shared" si="1000"/>
        <v>0</v>
      </c>
      <c r="CN344" s="144">
        <f t="shared" si="1000"/>
        <v>0</v>
      </c>
      <c r="CO344" s="9">
        <f t="shared" si="1000"/>
        <v>0</v>
      </c>
      <c r="CP344" s="144">
        <f t="shared" si="1000"/>
        <v>0</v>
      </c>
      <c r="CQ344" s="144">
        <f t="shared" si="1000"/>
        <v>0</v>
      </c>
      <c r="CR344" s="144">
        <f t="shared" si="1000"/>
        <v>0</v>
      </c>
      <c r="CS344" s="144">
        <f t="shared" si="1000"/>
        <v>0</v>
      </c>
      <c r="CT344" s="144">
        <f t="shared" si="1000"/>
        <v>0</v>
      </c>
      <c r="CU344" s="144">
        <f t="shared" ref="CU344:EB344" si="1001">CU132/CU$211</f>
        <v>0</v>
      </c>
      <c r="CV344" s="144">
        <f t="shared" si="1001"/>
        <v>0</v>
      </c>
      <c r="CW344" s="144">
        <f t="shared" si="1001"/>
        <v>0</v>
      </c>
      <c r="CX344" s="144">
        <f t="shared" si="1001"/>
        <v>0</v>
      </c>
      <c r="CY344" s="144">
        <f t="shared" si="1001"/>
        <v>0</v>
      </c>
      <c r="CZ344" s="144">
        <f t="shared" si="1001"/>
        <v>0</v>
      </c>
      <c r="DA344" s="144">
        <f t="shared" si="1001"/>
        <v>0</v>
      </c>
      <c r="DB344" s="9">
        <f t="shared" si="1001"/>
        <v>0</v>
      </c>
      <c r="DC344" s="144">
        <f t="shared" si="1001"/>
        <v>0</v>
      </c>
      <c r="DD344" s="144">
        <f t="shared" si="1001"/>
        <v>0</v>
      </c>
      <c r="DE344" s="144">
        <f t="shared" si="1001"/>
        <v>0</v>
      </c>
      <c r="DF344" s="144">
        <f t="shared" si="1001"/>
        <v>0</v>
      </c>
      <c r="DG344" s="144">
        <f t="shared" si="1001"/>
        <v>0</v>
      </c>
      <c r="DH344" s="144">
        <f t="shared" si="1001"/>
        <v>0</v>
      </c>
      <c r="DI344" s="144">
        <f t="shared" si="1001"/>
        <v>0</v>
      </c>
      <c r="DJ344" s="144">
        <f t="shared" si="1001"/>
        <v>0</v>
      </c>
      <c r="DK344" s="144">
        <f t="shared" si="1001"/>
        <v>0</v>
      </c>
      <c r="DL344" s="144">
        <f t="shared" si="1001"/>
        <v>0</v>
      </c>
      <c r="DM344" s="144">
        <f t="shared" si="1001"/>
        <v>0</v>
      </c>
      <c r="DN344" s="144">
        <f t="shared" si="1001"/>
        <v>0</v>
      </c>
      <c r="DO344" s="9">
        <f t="shared" si="1001"/>
        <v>0</v>
      </c>
      <c r="DP344" s="144">
        <f t="shared" si="1001"/>
        <v>0</v>
      </c>
      <c r="DQ344" s="144">
        <f t="shared" si="1001"/>
        <v>0</v>
      </c>
      <c r="DR344" s="144">
        <f t="shared" si="1001"/>
        <v>0</v>
      </c>
      <c r="DS344" s="144">
        <f t="shared" si="1001"/>
        <v>0</v>
      </c>
      <c r="DT344" s="144">
        <f t="shared" si="1001"/>
        <v>0</v>
      </c>
      <c r="DU344" s="144">
        <f t="shared" si="1001"/>
        <v>0</v>
      </c>
      <c r="DV344" s="144">
        <f t="shared" si="1001"/>
        <v>0</v>
      </c>
      <c r="DW344" s="144">
        <f t="shared" si="1001"/>
        <v>0</v>
      </c>
      <c r="DX344" s="144">
        <f t="shared" si="1001"/>
        <v>0</v>
      </c>
      <c r="DY344" s="144">
        <f t="shared" si="1001"/>
        <v>0</v>
      </c>
      <c r="DZ344" s="144">
        <f t="shared" si="1001"/>
        <v>0</v>
      </c>
      <c r="EA344" s="144">
        <f t="shared" si="1001"/>
        <v>0</v>
      </c>
      <c r="EB344" s="117">
        <f t="shared" si="1001"/>
        <v>0</v>
      </c>
      <c r="EC344" s="118"/>
      <c r="ED344" s="117">
        <f t="shared" ref="ED344:FB344" si="1002">ED132/ED$211</f>
        <v>0</v>
      </c>
      <c r="EE344" s="117">
        <f t="shared" si="1002"/>
        <v>0</v>
      </c>
      <c r="EF344" s="117">
        <f t="shared" si="1002"/>
        <v>0</v>
      </c>
      <c r="EG344" s="117" t="e">
        <f t="shared" si="1002"/>
        <v>#DIV/0!</v>
      </c>
      <c r="EH344" s="117" t="e">
        <f t="shared" si="1002"/>
        <v>#DIV/0!</v>
      </c>
      <c r="EI344" s="117" t="e">
        <f t="shared" si="1002"/>
        <v>#DIV/0!</v>
      </c>
      <c r="EJ344" s="117" t="e">
        <f t="shared" si="1002"/>
        <v>#DIV/0!</v>
      </c>
      <c r="EK344" s="117" t="e">
        <f t="shared" si="1002"/>
        <v>#DIV/0!</v>
      </c>
      <c r="EL344" s="117" t="e">
        <f t="shared" si="1002"/>
        <v>#DIV/0!</v>
      </c>
      <c r="EM344" s="117" t="e">
        <f t="shared" si="1002"/>
        <v>#DIV/0!</v>
      </c>
      <c r="EN344" s="117" t="e">
        <f t="shared" si="1002"/>
        <v>#DIV/0!</v>
      </c>
      <c r="EO344" s="116">
        <f t="shared" si="1002"/>
        <v>0</v>
      </c>
      <c r="EP344" s="117">
        <f t="shared" si="1002"/>
        <v>0</v>
      </c>
      <c r="EQ344" s="117">
        <f t="shared" si="1002"/>
        <v>0</v>
      </c>
      <c r="ER344" s="117">
        <f t="shared" si="1002"/>
        <v>0</v>
      </c>
      <c r="ES344" s="117">
        <f t="shared" si="1002"/>
        <v>0</v>
      </c>
      <c r="ET344" s="117">
        <f t="shared" si="1002"/>
        <v>0</v>
      </c>
      <c r="EU344" s="117">
        <f t="shared" si="1002"/>
        <v>0</v>
      </c>
      <c r="EV344" s="117">
        <f t="shared" si="1002"/>
        <v>0</v>
      </c>
      <c r="EW344" s="117">
        <f t="shared" si="1002"/>
        <v>0</v>
      </c>
      <c r="EX344" s="117">
        <f t="shared" si="1002"/>
        <v>0</v>
      </c>
      <c r="EY344" s="117">
        <f t="shared" si="1002"/>
        <v>0</v>
      </c>
      <c r="EZ344" s="117">
        <f t="shared" si="1002"/>
        <v>0</v>
      </c>
      <c r="FA344" s="117">
        <f t="shared" si="1002"/>
        <v>0</v>
      </c>
      <c r="FB344" s="117">
        <f t="shared" si="1002"/>
        <v>0</v>
      </c>
      <c r="FC344" s="118"/>
      <c r="FD344" s="117"/>
      <c r="FE344" s="117"/>
      <c r="FF344" s="117"/>
      <c r="FG344" s="117"/>
      <c r="FH344" s="117"/>
      <c r="FI344" s="117"/>
      <c r="FJ344" s="117"/>
      <c r="FK344" s="117" t="e">
        <f t="shared" si="991"/>
        <v>#DIV/0!</v>
      </c>
      <c r="FL344" s="117" t="e">
        <f t="shared" si="992"/>
        <v>#DIV/0!</v>
      </c>
      <c r="FM344" s="117" t="e">
        <f t="shared" si="993"/>
        <v>#DIV/0!</v>
      </c>
      <c r="FN344" s="117" t="e">
        <f t="shared" si="994"/>
        <v>#DIV/0!</v>
      </c>
      <c r="FO344" s="9" t="e">
        <f t="shared" si="995"/>
        <v>#DIV/0!</v>
      </c>
      <c r="FP344" s="118">
        <f t="shared" ref="FP344:GB344" si="1003">FP132/FP$211</f>
        <v>0</v>
      </c>
      <c r="FQ344" s="117">
        <f t="shared" si="1003"/>
        <v>0</v>
      </c>
      <c r="FR344" s="117">
        <f t="shared" si="1003"/>
        <v>0</v>
      </c>
      <c r="FS344" s="117">
        <f t="shared" si="1003"/>
        <v>0</v>
      </c>
      <c r="FT344" s="117">
        <f t="shared" si="1003"/>
        <v>0</v>
      </c>
      <c r="FU344" s="117">
        <f t="shared" si="1003"/>
        <v>0</v>
      </c>
      <c r="FV344" s="117">
        <f t="shared" si="1003"/>
        <v>0</v>
      </c>
      <c r="FW344" s="117">
        <f t="shared" si="1003"/>
        <v>0</v>
      </c>
      <c r="FX344" s="117">
        <f t="shared" si="1003"/>
        <v>0</v>
      </c>
      <c r="FY344" s="117">
        <f t="shared" si="1003"/>
        <v>0</v>
      </c>
      <c r="FZ344" s="117">
        <f t="shared" si="1003"/>
        <v>0</v>
      </c>
      <c r="GA344" s="117">
        <f t="shared" si="1003"/>
        <v>0</v>
      </c>
      <c r="GB344" s="116">
        <f t="shared" si="1003"/>
        <v>0</v>
      </c>
    </row>
    <row r="345" spans="1:184">
      <c r="A345" s="147" t="s">
        <v>291</v>
      </c>
      <c r="B345" s="160">
        <f t="shared" si="997"/>
        <v>-1</v>
      </c>
      <c r="C345" s="117">
        <f t="shared" ref="C345:AH345" si="1004">C133/C$211</f>
        <v>0</v>
      </c>
      <c r="D345" s="117">
        <f t="shared" si="1004"/>
        <v>0</v>
      </c>
      <c r="E345" s="117">
        <f t="shared" si="1004"/>
        <v>0</v>
      </c>
      <c r="F345" s="117">
        <f t="shared" si="1004"/>
        <v>0</v>
      </c>
      <c r="G345" s="117">
        <f t="shared" si="1004"/>
        <v>0</v>
      </c>
      <c r="H345" s="117">
        <f t="shared" si="1004"/>
        <v>0</v>
      </c>
      <c r="I345" s="117">
        <f t="shared" si="1004"/>
        <v>0</v>
      </c>
      <c r="J345" s="117">
        <f t="shared" si="1004"/>
        <v>0</v>
      </c>
      <c r="K345" s="117">
        <f t="shared" si="1004"/>
        <v>0</v>
      </c>
      <c r="L345" s="117">
        <f t="shared" si="1004"/>
        <v>0</v>
      </c>
      <c r="M345" s="117">
        <f t="shared" si="1004"/>
        <v>0</v>
      </c>
      <c r="N345" s="117">
        <f t="shared" si="1004"/>
        <v>0</v>
      </c>
      <c r="O345" s="9">
        <f t="shared" si="1004"/>
        <v>0</v>
      </c>
      <c r="P345" s="117">
        <f t="shared" si="1004"/>
        <v>0</v>
      </c>
      <c r="Q345" s="117">
        <f t="shared" si="1004"/>
        <v>0</v>
      </c>
      <c r="R345" s="117">
        <f t="shared" si="1004"/>
        <v>0</v>
      </c>
      <c r="S345" s="117">
        <f t="shared" si="1004"/>
        <v>0</v>
      </c>
      <c r="T345" s="117">
        <f t="shared" si="1004"/>
        <v>0</v>
      </c>
      <c r="U345" s="117">
        <f t="shared" si="1004"/>
        <v>0</v>
      </c>
      <c r="V345" s="117">
        <f t="shared" si="1004"/>
        <v>0</v>
      </c>
      <c r="W345" s="117">
        <f t="shared" si="1004"/>
        <v>0</v>
      </c>
      <c r="X345" s="117">
        <f t="shared" si="1004"/>
        <v>0</v>
      </c>
      <c r="Y345" s="117">
        <f t="shared" si="1004"/>
        <v>0</v>
      </c>
      <c r="Z345" s="117">
        <f t="shared" si="1004"/>
        <v>0</v>
      </c>
      <c r="AA345" s="117">
        <f t="shared" si="1004"/>
        <v>0</v>
      </c>
      <c r="AB345" s="9">
        <f t="shared" si="1004"/>
        <v>0</v>
      </c>
      <c r="AC345" s="117">
        <f t="shared" si="1004"/>
        <v>0</v>
      </c>
      <c r="AD345" s="117">
        <f t="shared" si="1004"/>
        <v>0</v>
      </c>
      <c r="AE345" s="117">
        <f t="shared" si="1004"/>
        <v>0</v>
      </c>
      <c r="AF345" s="117">
        <f t="shared" si="1004"/>
        <v>0</v>
      </c>
      <c r="AG345" s="117">
        <f t="shared" si="1004"/>
        <v>0</v>
      </c>
      <c r="AH345" s="117">
        <f t="shared" si="1004"/>
        <v>0</v>
      </c>
      <c r="AI345" s="117">
        <f t="shared" ref="AI345:BN345" si="1005">AI133/AI$211</f>
        <v>0</v>
      </c>
      <c r="AJ345" s="117">
        <f t="shared" si="1005"/>
        <v>0</v>
      </c>
      <c r="AK345" s="117">
        <f t="shared" si="1005"/>
        <v>0</v>
      </c>
      <c r="AL345" s="117">
        <f t="shared" si="1005"/>
        <v>0</v>
      </c>
      <c r="AM345" s="117">
        <f t="shared" si="1005"/>
        <v>0</v>
      </c>
      <c r="AN345" s="117">
        <f t="shared" si="1005"/>
        <v>0</v>
      </c>
      <c r="AO345" s="9">
        <f t="shared" si="1005"/>
        <v>0</v>
      </c>
      <c r="AP345" s="144">
        <f t="shared" si="1005"/>
        <v>0</v>
      </c>
      <c r="AQ345" s="144">
        <f t="shared" si="1005"/>
        <v>0</v>
      </c>
      <c r="AR345" s="144">
        <f t="shared" si="1005"/>
        <v>0</v>
      </c>
      <c r="AS345" s="144">
        <f t="shared" si="1005"/>
        <v>0</v>
      </c>
      <c r="AT345" s="144">
        <f t="shared" si="1005"/>
        <v>0</v>
      </c>
      <c r="AU345" s="144">
        <f t="shared" si="1005"/>
        <v>0</v>
      </c>
      <c r="AV345" s="144">
        <f t="shared" si="1005"/>
        <v>0</v>
      </c>
      <c r="AW345" s="144">
        <f t="shared" si="1005"/>
        <v>0</v>
      </c>
      <c r="AX345" s="144">
        <f t="shared" si="1005"/>
        <v>0</v>
      </c>
      <c r="AY345" s="144">
        <f t="shared" si="1005"/>
        <v>0</v>
      </c>
      <c r="AZ345" s="144">
        <f t="shared" si="1005"/>
        <v>0</v>
      </c>
      <c r="BA345" s="144">
        <f t="shared" si="1005"/>
        <v>0</v>
      </c>
      <c r="BB345" s="9">
        <f t="shared" si="1005"/>
        <v>0</v>
      </c>
      <c r="BC345" s="144">
        <f t="shared" si="1005"/>
        <v>0</v>
      </c>
      <c r="BD345" s="144">
        <f t="shared" si="1005"/>
        <v>0</v>
      </c>
      <c r="BE345" s="144">
        <f t="shared" si="1005"/>
        <v>0</v>
      </c>
      <c r="BF345" s="144">
        <f t="shared" si="1005"/>
        <v>0</v>
      </c>
      <c r="BG345" s="144">
        <f t="shared" si="1005"/>
        <v>0</v>
      </c>
      <c r="BH345" s="144">
        <f t="shared" si="1005"/>
        <v>0</v>
      </c>
      <c r="BI345" s="144">
        <f t="shared" si="1005"/>
        <v>0</v>
      </c>
      <c r="BJ345" s="144">
        <f t="shared" si="1005"/>
        <v>0</v>
      </c>
      <c r="BK345" s="144">
        <f t="shared" si="1005"/>
        <v>0</v>
      </c>
      <c r="BL345" s="144">
        <f t="shared" si="1005"/>
        <v>0</v>
      </c>
      <c r="BM345" s="144">
        <f t="shared" si="1005"/>
        <v>0</v>
      </c>
      <c r="BN345" s="144">
        <f t="shared" si="1005"/>
        <v>0</v>
      </c>
      <c r="BO345" s="9">
        <f t="shared" ref="BO345:CT345" si="1006">BO133/BO$211</f>
        <v>0</v>
      </c>
      <c r="BP345" s="144">
        <f t="shared" si="1006"/>
        <v>0</v>
      </c>
      <c r="BQ345" s="144">
        <f t="shared" si="1006"/>
        <v>0</v>
      </c>
      <c r="BR345" s="144">
        <f t="shared" si="1006"/>
        <v>0</v>
      </c>
      <c r="BS345" s="144">
        <f t="shared" si="1006"/>
        <v>0</v>
      </c>
      <c r="BT345" s="144">
        <f t="shared" si="1006"/>
        <v>0</v>
      </c>
      <c r="BU345" s="144">
        <f t="shared" si="1006"/>
        <v>0</v>
      </c>
      <c r="BV345" s="144">
        <f t="shared" si="1006"/>
        <v>0</v>
      </c>
      <c r="BW345" s="144">
        <f t="shared" si="1006"/>
        <v>0</v>
      </c>
      <c r="BX345" s="144">
        <f t="shared" si="1006"/>
        <v>0</v>
      </c>
      <c r="BY345" s="144">
        <f t="shared" si="1006"/>
        <v>0</v>
      </c>
      <c r="BZ345" s="144">
        <f t="shared" si="1006"/>
        <v>0</v>
      </c>
      <c r="CA345" s="144">
        <f t="shared" si="1006"/>
        <v>0</v>
      </c>
      <c r="CB345" s="9">
        <f t="shared" si="1006"/>
        <v>0</v>
      </c>
      <c r="CC345" s="144">
        <f t="shared" si="1006"/>
        <v>0</v>
      </c>
      <c r="CD345" s="144">
        <f t="shared" si="1006"/>
        <v>0</v>
      </c>
      <c r="CE345" s="144">
        <f t="shared" si="1006"/>
        <v>0</v>
      </c>
      <c r="CF345" s="144">
        <f t="shared" si="1006"/>
        <v>0</v>
      </c>
      <c r="CG345" s="144">
        <f t="shared" si="1006"/>
        <v>0</v>
      </c>
      <c r="CH345" s="144">
        <f t="shared" si="1006"/>
        <v>0</v>
      </c>
      <c r="CI345" s="144">
        <f t="shared" si="1006"/>
        <v>0</v>
      </c>
      <c r="CJ345" s="144">
        <f t="shared" si="1006"/>
        <v>0</v>
      </c>
      <c r="CK345" s="144">
        <f t="shared" si="1006"/>
        <v>0</v>
      </c>
      <c r="CL345" s="144">
        <f t="shared" si="1006"/>
        <v>0</v>
      </c>
      <c r="CM345" s="144">
        <f t="shared" si="1006"/>
        <v>0</v>
      </c>
      <c r="CN345" s="144">
        <f t="shared" si="1006"/>
        <v>0</v>
      </c>
      <c r="CO345" s="9">
        <f t="shared" si="1006"/>
        <v>0</v>
      </c>
      <c r="CP345" s="144">
        <f t="shared" si="1006"/>
        <v>0</v>
      </c>
      <c r="CQ345" s="144">
        <f t="shared" si="1006"/>
        <v>0</v>
      </c>
      <c r="CR345" s="144">
        <f t="shared" si="1006"/>
        <v>0</v>
      </c>
      <c r="CS345" s="144">
        <f t="shared" si="1006"/>
        <v>0</v>
      </c>
      <c r="CT345" s="144">
        <f t="shared" si="1006"/>
        <v>0</v>
      </c>
      <c r="CU345" s="144">
        <f t="shared" ref="CU345:EB345" si="1007">CU133/CU$211</f>
        <v>0</v>
      </c>
      <c r="CV345" s="144">
        <f t="shared" si="1007"/>
        <v>0</v>
      </c>
      <c r="CW345" s="144">
        <f t="shared" si="1007"/>
        <v>0</v>
      </c>
      <c r="CX345" s="144">
        <f t="shared" si="1007"/>
        <v>0</v>
      </c>
      <c r="CY345" s="144">
        <f t="shared" si="1007"/>
        <v>0</v>
      </c>
      <c r="CZ345" s="144">
        <f t="shared" si="1007"/>
        <v>0</v>
      </c>
      <c r="DA345" s="144">
        <f t="shared" si="1007"/>
        <v>0</v>
      </c>
      <c r="DB345" s="9">
        <f t="shared" si="1007"/>
        <v>0</v>
      </c>
      <c r="DC345" s="144">
        <f t="shared" si="1007"/>
        <v>0</v>
      </c>
      <c r="DD345" s="144">
        <f t="shared" si="1007"/>
        <v>0</v>
      </c>
      <c r="DE345" s="144">
        <f t="shared" si="1007"/>
        <v>0</v>
      </c>
      <c r="DF345" s="144">
        <f t="shared" si="1007"/>
        <v>0</v>
      </c>
      <c r="DG345" s="144">
        <f t="shared" si="1007"/>
        <v>0</v>
      </c>
      <c r="DH345" s="144">
        <f t="shared" si="1007"/>
        <v>0</v>
      </c>
      <c r="DI345" s="144">
        <f t="shared" si="1007"/>
        <v>0</v>
      </c>
      <c r="DJ345" s="144">
        <f t="shared" si="1007"/>
        <v>0</v>
      </c>
      <c r="DK345" s="144">
        <f t="shared" si="1007"/>
        <v>0</v>
      </c>
      <c r="DL345" s="144">
        <f t="shared" si="1007"/>
        <v>0</v>
      </c>
      <c r="DM345" s="144">
        <f t="shared" si="1007"/>
        <v>0</v>
      </c>
      <c r="DN345" s="144">
        <f t="shared" si="1007"/>
        <v>0</v>
      </c>
      <c r="DO345" s="9">
        <f t="shared" si="1007"/>
        <v>0</v>
      </c>
      <c r="DP345" s="144">
        <f t="shared" si="1007"/>
        <v>0</v>
      </c>
      <c r="DQ345" s="144">
        <f t="shared" si="1007"/>
        <v>0</v>
      </c>
      <c r="DR345" s="144">
        <f t="shared" si="1007"/>
        <v>0</v>
      </c>
      <c r="DS345" s="144">
        <f t="shared" si="1007"/>
        <v>0</v>
      </c>
      <c r="DT345" s="144">
        <f t="shared" si="1007"/>
        <v>0</v>
      </c>
      <c r="DU345" s="144">
        <f t="shared" si="1007"/>
        <v>0</v>
      </c>
      <c r="DV345" s="144">
        <f t="shared" si="1007"/>
        <v>0</v>
      </c>
      <c r="DW345" s="144">
        <f t="shared" si="1007"/>
        <v>0</v>
      </c>
      <c r="DX345" s="144">
        <f t="shared" si="1007"/>
        <v>0</v>
      </c>
      <c r="DY345" s="144">
        <f t="shared" si="1007"/>
        <v>0</v>
      </c>
      <c r="DZ345" s="144">
        <f t="shared" si="1007"/>
        <v>0</v>
      </c>
      <c r="EA345" s="144">
        <f t="shared" si="1007"/>
        <v>0</v>
      </c>
      <c r="EB345" s="117">
        <f t="shared" si="1007"/>
        <v>0</v>
      </c>
      <c r="EC345" s="118"/>
      <c r="ED345" s="117">
        <f t="shared" ref="ED345:FB345" si="1008">ED133/ED$211</f>
        <v>0</v>
      </c>
      <c r="EE345" s="117">
        <f t="shared" si="1008"/>
        <v>0</v>
      </c>
      <c r="EF345" s="117">
        <f t="shared" si="1008"/>
        <v>0</v>
      </c>
      <c r="EG345" s="117" t="e">
        <f t="shared" si="1008"/>
        <v>#DIV/0!</v>
      </c>
      <c r="EH345" s="117" t="e">
        <f t="shared" si="1008"/>
        <v>#DIV/0!</v>
      </c>
      <c r="EI345" s="117" t="e">
        <f t="shared" si="1008"/>
        <v>#DIV/0!</v>
      </c>
      <c r="EJ345" s="117" t="e">
        <f t="shared" si="1008"/>
        <v>#DIV/0!</v>
      </c>
      <c r="EK345" s="117" t="e">
        <f t="shared" si="1008"/>
        <v>#DIV/0!</v>
      </c>
      <c r="EL345" s="117" t="e">
        <f t="shared" si="1008"/>
        <v>#DIV/0!</v>
      </c>
      <c r="EM345" s="117" t="e">
        <f t="shared" si="1008"/>
        <v>#DIV/0!</v>
      </c>
      <c r="EN345" s="117" t="e">
        <f t="shared" si="1008"/>
        <v>#DIV/0!</v>
      </c>
      <c r="EO345" s="116">
        <f t="shared" si="1008"/>
        <v>0</v>
      </c>
      <c r="EP345" s="117">
        <f t="shared" si="1008"/>
        <v>0</v>
      </c>
      <c r="EQ345" s="117">
        <f t="shared" si="1008"/>
        <v>0</v>
      </c>
      <c r="ER345" s="117">
        <f t="shared" si="1008"/>
        <v>0</v>
      </c>
      <c r="ES345" s="117">
        <f t="shared" si="1008"/>
        <v>0</v>
      </c>
      <c r="ET345" s="117">
        <f t="shared" si="1008"/>
        <v>0</v>
      </c>
      <c r="EU345" s="117">
        <f t="shared" si="1008"/>
        <v>0</v>
      </c>
      <c r="EV345" s="117">
        <f t="shared" si="1008"/>
        <v>0</v>
      </c>
      <c r="EW345" s="117">
        <f t="shared" si="1008"/>
        <v>0</v>
      </c>
      <c r="EX345" s="117">
        <f t="shared" si="1008"/>
        <v>0</v>
      </c>
      <c r="EY345" s="117">
        <f t="shared" si="1008"/>
        <v>0</v>
      </c>
      <c r="EZ345" s="117">
        <f t="shared" si="1008"/>
        <v>0</v>
      </c>
      <c r="FA345" s="117">
        <f t="shared" si="1008"/>
        <v>0</v>
      </c>
      <c r="FB345" s="117">
        <f t="shared" si="1008"/>
        <v>0</v>
      </c>
      <c r="FC345" s="118"/>
      <c r="FD345" s="117"/>
      <c r="FE345" s="117"/>
      <c r="FF345" s="117"/>
      <c r="FG345" s="117"/>
      <c r="FH345" s="117"/>
      <c r="FI345" s="117"/>
      <c r="FJ345" s="117"/>
      <c r="FK345" s="117" t="e">
        <f t="shared" si="991"/>
        <v>#DIV/0!</v>
      </c>
      <c r="FL345" s="117" t="e">
        <f t="shared" si="992"/>
        <v>#DIV/0!</v>
      </c>
      <c r="FM345" s="117" t="e">
        <f t="shared" si="993"/>
        <v>#DIV/0!</v>
      </c>
      <c r="FN345" s="117" t="e">
        <f t="shared" si="994"/>
        <v>#DIV/0!</v>
      </c>
      <c r="FO345" s="9" t="e">
        <f t="shared" si="995"/>
        <v>#DIV/0!</v>
      </c>
      <c r="FP345" s="118">
        <f t="shared" ref="FP345:GB345" si="1009">FP133/FP$211</f>
        <v>0</v>
      </c>
      <c r="FQ345" s="117">
        <f t="shared" si="1009"/>
        <v>0</v>
      </c>
      <c r="FR345" s="117">
        <f t="shared" si="1009"/>
        <v>0</v>
      </c>
      <c r="FS345" s="117">
        <f t="shared" si="1009"/>
        <v>0</v>
      </c>
      <c r="FT345" s="117">
        <f t="shared" si="1009"/>
        <v>0</v>
      </c>
      <c r="FU345" s="117">
        <f t="shared" si="1009"/>
        <v>0</v>
      </c>
      <c r="FV345" s="117">
        <f t="shared" si="1009"/>
        <v>0</v>
      </c>
      <c r="FW345" s="117">
        <f t="shared" si="1009"/>
        <v>0</v>
      </c>
      <c r="FX345" s="117">
        <f t="shared" si="1009"/>
        <v>0</v>
      </c>
      <c r="FY345" s="117">
        <f t="shared" si="1009"/>
        <v>0</v>
      </c>
      <c r="FZ345" s="117">
        <f t="shared" si="1009"/>
        <v>0</v>
      </c>
      <c r="GA345" s="117">
        <f t="shared" si="1009"/>
        <v>0</v>
      </c>
      <c r="GB345" s="116">
        <f t="shared" si="1009"/>
        <v>0</v>
      </c>
    </row>
    <row r="346" spans="1:184">
      <c r="A346" s="147" t="s">
        <v>293</v>
      </c>
      <c r="B346" s="160">
        <f t="shared" si="997"/>
        <v>-1</v>
      </c>
      <c r="C346" s="117">
        <f t="shared" ref="C346:AH346" si="1010">C134/C$211</f>
        <v>0</v>
      </c>
      <c r="D346" s="117">
        <f t="shared" si="1010"/>
        <v>0</v>
      </c>
      <c r="E346" s="117">
        <f t="shared" si="1010"/>
        <v>0</v>
      </c>
      <c r="F346" s="117">
        <f t="shared" si="1010"/>
        <v>0</v>
      </c>
      <c r="G346" s="117">
        <f t="shared" si="1010"/>
        <v>0</v>
      </c>
      <c r="H346" s="117">
        <f t="shared" si="1010"/>
        <v>0</v>
      </c>
      <c r="I346" s="117">
        <f t="shared" si="1010"/>
        <v>0</v>
      </c>
      <c r="J346" s="117">
        <f t="shared" si="1010"/>
        <v>0</v>
      </c>
      <c r="K346" s="117">
        <f t="shared" si="1010"/>
        <v>0</v>
      </c>
      <c r="L346" s="117">
        <f t="shared" si="1010"/>
        <v>0</v>
      </c>
      <c r="M346" s="117">
        <f t="shared" si="1010"/>
        <v>0</v>
      </c>
      <c r="N346" s="117">
        <f t="shared" si="1010"/>
        <v>0</v>
      </c>
      <c r="O346" s="9">
        <f t="shared" si="1010"/>
        <v>0</v>
      </c>
      <c r="P346" s="117">
        <f t="shared" si="1010"/>
        <v>0</v>
      </c>
      <c r="Q346" s="117">
        <f t="shared" si="1010"/>
        <v>0</v>
      </c>
      <c r="R346" s="117">
        <f t="shared" si="1010"/>
        <v>0</v>
      </c>
      <c r="S346" s="117">
        <f t="shared" si="1010"/>
        <v>0</v>
      </c>
      <c r="T346" s="117">
        <f t="shared" si="1010"/>
        <v>0</v>
      </c>
      <c r="U346" s="117">
        <f t="shared" si="1010"/>
        <v>0</v>
      </c>
      <c r="V346" s="117">
        <f t="shared" si="1010"/>
        <v>0</v>
      </c>
      <c r="W346" s="117">
        <f t="shared" si="1010"/>
        <v>0</v>
      </c>
      <c r="X346" s="117">
        <f t="shared" si="1010"/>
        <v>0</v>
      </c>
      <c r="Y346" s="117">
        <f t="shared" si="1010"/>
        <v>0</v>
      </c>
      <c r="Z346" s="117">
        <f t="shared" si="1010"/>
        <v>0</v>
      </c>
      <c r="AA346" s="117">
        <f t="shared" si="1010"/>
        <v>0</v>
      </c>
      <c r="AB346" s="9">
        <f t="shared" si="1010"/>
        <v>0</v>
      </c>
      <c r="AC346" s="117">
        <f t="shared" si="1010"/>
        <v>0</v>
      </c>
      <c r="AD346" s="117">
        <f t="shared" si="1010"/>
        <v>0</v>
      </c>
      <c r="AE346" s="117">
        <f t="shared" si="1010"/>
        <v>0</v>
      </c>
      <c r="AF346" s="117">
        <f t="shared" si="1010"/>
        <v>0</v>
      </c>
      <c r="AG346" s="117">
        <f t="shared" si="1010"/>
        <v>0</v>
      </c>
      <c r="AH346" s="117">
        <f t="shared" si="1010"/>
        <v>0</v>
      </c>
      <c r="AI346" s="117">
        <f t="shared" ref="AI346:BN346" si="1011">AI134/AI$211</f>
        <v>0</v>
      </c>
      <c r="AJ346" s="117">
        <f t="shared" si="1011"/>
        <v>0</v>
      </c>
      <c r="AK346" s="117">
        <f t="shared" si="1011"/>
        <v>0</v>
      </c>
      <c r="AL346" s="117">
        <f t="shared" si="1011"/>
        <v>0</v>
      </c>
      <c r="AM346" s="117">
        <f t="shared" si="1011"/>
        <v>0</v>
      </c>
      <c r="AN346" s="117">
        <f t="shared" si="1011"/>
        <v>0</v>
      </c>
      <c r="AO346" s="9">
        <f t="shared" si="1011"/>
        <v>0</v>
      </c>
      <c r="AP346" s="144">
        <f t="shared" si="1011"/>
        <v>0</v>
      </c>
      <c r="AQ346" s="144">
        <f t="shared" si="1011"/>
        <v>0</v>
      </c>
      <c r="AR346" s="144">
        <f t="shared" si="1011"/>
        <v>0</v>
      </c>
      <c r="AS346" s="144">
        <f t="shared" si="1011"/>
        <v>0</v>
      </c>
      <c r="AT346" s="144">
        <f t="shared" si="1011"/>
        <v>0</v>
      </c>
      <c r="AU346" s="144">
        <f t="shared" si="1011"/>
        <v>0</v>
      </c>
      <c r="AV346" s="144">
        <f t="shared" si="1011"/>
        <v>0</v>
      </c>
      <c r="AW346" s="144">
        <f t="shared" si="1011"/>
        <v>0</v>
      </c>
      <c r="AX346" s="144">
        <f t="shared" si="1011"/>
        <v>0</v>
      </c>
      <c r="AY346" s="144">
        <f t="shared" si="1011"/>
        <v>0</v>
      </c>
      <c r="AZ346" s="144">
        <f t="shared" si="1011"/>
        <v>0</v>
      </c>
      <c r="BA346" s="144">
        <f t="shared" si="1011"/>
        <v>0</v>
      </c>
      <c r="BB346" s="9">
        <f t="shared" si="1011"/>
        <v>0</v>
      </c>
      <c r="BC346" s="144">
        <f t="shared" si="1011"/>
        <v>0</v>
      </c>
      <c r="BD346" s="144">
        <f t="shared" si="1011"/>
        <v>0</v>
      </c>
      <c r="BE346" s="144">
        <f t="shared" si="1011"/>
        <v>0</v>
      </c>
      <c r="BF346" s="144">
        <f t="shared" si="1011"/>
        <v>0</v>
      </c>
      <c r="BG346" s="144">
        <f t="shared" si="1011"/>
        <v>0</v>
      </c>
      <c r="BH346" s="144">
        <f t="shared" si="1011"/>
        <v>0</v>
      </c>
      <c r="BI346" s="144">
        <f t="shared" si="1011"/>
        <v>0</v>
      </c>
      <c r="BJ346" s="144">
        <f t="shared" si="1011"/>
        <v>0</v>
      </c>
      <c r="BK346" s="144">
        <f t="shared" si="1011"/>
        <v>0</v>
      </c>
      <c r="BL346" s="144">
        <f t="shared" si="1011"/>
        <v>0</v>
      </c>
      <c r="BM346" s="144">
        <f t="shared" si="1011"/>
        <v>0</v>
      </c>
      <c r="BN346" s="144">
        <f t="shared" si="1011"/>
        <v>0</v>
      </c>
      <c r="BO346" s="9">
        <f t="shared" ref="BO346:CT346" si="1012">BO134/BO$211</f>
        <v>0</v>
      </c>
      <c r="BP346" s="144">
        <f t="shared" si="1012"/>
        <v>0</v>
      </c>
      <c r="BQ346" s="144">
        <f t="shared" si="1012"/>
        <v>0</v>
      </c>
      <c r="BR346" s="144">
        <f t="shared" si="1012"/>
        <v>0</v>
      </c>
      <c r="BS346" s="144">
        <f t="shared" si="1012"/>
        <v>0</v>
      </c>
      <c r="BT346" s="144">
        <f t="shared" si="1012"/>
        <v>0</v>
      </c>
      <c r="BU346" s="144">
        <f t="shared" si="1012"/>
        <v>0</v>
      </c>
      <c r="BV346" s="144">
        <f t="shared" si="1012"/>
        <v>0</v>
      </c>
      <c r="BW346" s="144">
        <f t="shared" si="1012"/>
        <v>0</v>
      </c>
      <c r="BX346" s="144">
        <f t="shared" si="1012"/>
        <v>0</v>
      </c>
      <c r="BY346" s="144">
        <f t="shared" si="1012"/>
        <v>0</v>
      </c>
      <c r="BZ346" s="144">
        <f t="shared" si="1012"/>
        <v>0</v>
      </c>
      <c r="CA346" s="144">
        <f t="shared" si="1012"/>
        <v>0</v>
      </c>
      <c r="CB346" s="9">
        <f t="shared" si="1012"/>
        <v>0</v>
      </c>
      <c r="CC346" s="144">
        <f t="shared" si="1012"/>
        <v>0</v>
      </c>
      <c r="CD346" s="144">
        <f t="shared" si="1012"/>
        <v>0</v>
      </c>
      <c r="CE346" s="144">
        <f t="shared" si="1012"/>
        <v>0</v>
      </c>
      <c r="CF346" s="144">
        <f t="shared" si="1012"/>
        <v>0</v>
      </c>
      <c r="CG346" s="144">
        <f t="shared" si="1012"/>
        <v>0</v>
      </c>
      <c r="CH346" s="144">
        <f t="shared" si="1012"/>
        <v>0</v>
      </c>
      <c r="CI346" s="144">
        <f t="shared" si="1012"/>
        <v>0</v>
      </c>
      <c r="CJ346" s="144">
        <f t="shared" si="1012"/>
        <v>0</v>
      </c>
      <c r="CK346" s="144">
        <f t="shared" si="1012"/>
        <v>0</v>
      </c>
      <c r="CL346" s="144">
        <f t="shared" si="1012"/>
        <v>0</v>
      </c>
      <c r="CM346" s="144">
        <f t="shared" si="1012"/>
        <v>0</v>
      </c>
      <c r="CN346" s="144">
        <f t="shared" si="1012"/>
        <v>0</v>
      </c>
      <c r="CO346" s="9">
        <f t="shared" si="1012"/>
        <v>0</v>
      </c>
      <c r="CP346" s="144">
        <f t="shared" si="1012"/>
        <v>0</v>
      </c>
      <c r="CQ346" s="144">
        <f t="shared" si="1012"/>
        <v>0</v>
      </c>
      <c r="CR346" s="144">
        <f t="shared" si="1012"/>
        <v>0</v>
      </c>
      <c r="CS346" s="144">
        <f t="shared" si="1012"/>
        <v>0</v>
      </c>
      <c r="CT346" s="144">
        <f t="shared" si="1012"/>
        <v>0</v>
      </c>
      <c r="CU346" s="144">
        <f t="shared" ref="CU346:EB346" si="1013">CU134/CU$211</f>
        <v>0</v>
      </c>
      <c r="CV346" s="144">
        <f t="shared" si="1013"/>
        <v>0</v>
      </c>
      <c r="CW346" s="144">
        <f t="shared" si="1013"/>
        <v>0</v>
      </c>
      <c r="CX346" s="144">
        <f t="shared" si="1013"/>
        <v>0</v>
      </c>
      <c r="CY346" s="144">
        <f t="shared" si="1013"/>
        <v>0</v>
      </c>
      <c r="CZ346" s="144">
        <f t="shared" si="1013"/>
        <v>0</v>
      </c>
      <c r="DA346" s="144">
        <f t="shared" si="1013"/>
        <v>0</v>
      </c>
      <c r="DB346" s="9">
        <f t="shared" si="1013"/>
        <v>0</v>
      </c>
      <c r="DC346" s="144">
        <f t="shared" si="1013"/>
        <v>0</v>
      </c>
      <c r="DD346" s="144">
        <f t="shared" si="1013"/>
        <v>0</v>
      </c>
      <c r="DE346" s="144">
        <f t="shared" si="1013"/>
        <v>0</v>
      </c>
      <c r="DF346" s="144">
        <f t="shared" si="1013"/>
        <v>0</v>
      </c>
      <c r="DG346" s="144">
        <f t="shared" si="1013"/>
        <v>0</v>
      </c>
      <c r="DH346" s="144">
        <f t="shared" si="1013"/>
        <v>0</v>
      </c>
      <c r="DI346" s="144">
        <f t="shared" si="1013"/>
        <v>0</v>
      </c>
      <c r="DJ346" s="144">
        <f t="shared" si="1013"/>
        <v>0</v>
      </c>
      <c r="DK346" s="144">
        <f t="shared" si="1013"/>
        <v>0</v>
      </c>
      <c r="DL346" s="144">
        <f t="shared" si="1013"/>
        <v>0</v>
      </c>
      <c r="DM346" s="144">
        <f t="shared" si="1013"/>
        <v>0</v>
      </c>
      <c r="DN346" s="144">
        <f t="shared" si="1013"/>
        <v>0</v>
      </c>
      <c r="DO346" s="9">
        <f t="shared" si="1013"/>
        <v>0</v>
      </c>
      <c r="DP346" s="144">
        <f t="shared" si="1013"/>
        <v>0</v>
      </c>
      <c r="DQ346" s="144">
        <f t="shared" si="1013"/>
        <v>0</v>
      </c>
      <c r="DR346" s="144">
        <f t="shared" si="1013"/>
        <v>0</v>
      </c>
      <c r="DS346" s="144">
        <f t="shared" si="1013"/>
        <v>0</v>
      </c>
      <c r="DT346" s="144">
        <f t="shared" si="1013"/>
        <v>0</v>
      </c>
      <c r="DU346" s="144">
        <f t="shared" si="1013"/>
        <v>0</v>
      </c>
      <c r="DV346" s="144">
        <f t="shared" si="1013"/>
        <v>0</v>
      </c>
      <c r="DW346" s="144">
        <f t="shared" si="1013"/>
        <v>0</v>
      </c>
      <c r="DX346" s="144">
        <f t="shared" si="1013"/>
        <v>0</v>
      </c>
      <c r="DY346" s="144">
        <f t="shared" si="1013"/>
        <v>0</v>
      </c>
      <c r="DZ346" s="144">
        <f t="shared" si="1013"/>
        <v>0</v>
      </c>
      <c r="EA346" s="144">
        <f t="shared" si="1013"/>
        <v>0</v>
      </c>
      <c r="EB346" s="117">
        <f t="shared" si="1013"/>
        <v>0</v>
      </c>
      <c r="EC346" s="118"/>
      <c r="ED346" s="117">
        <f t="shared" ref="ED346:FB346" si="1014">ED134/ED$211</f>
        <v>0</v>
      </c>
      <c r="EE346" s="117">
        <f t="shared" si="1014"/>
        <v>0</v>
      </c>
      <c r="EF346" s="117">
        <f t="shared" si="1014"/>
        <v>0</v>
      </c>
      <c r="EG346" s="117" t="e">
        <f t="shared" si="1014"/>
        <v>#DIV/0!</v>
      </c>
      <c r="EH346" s="117" t="e">
        <f t="shared" si="1014"/>
        <v>#DIV/0!</v>
      </c>
      <c r="EI346" s="117" t="e">
        <f t="shared" si="1014"/>
        <v>#DIV/0!</v>
      </c>
      <c r="EJ346" s="117" t="e">
        <f t="shared" si="1014"/>
        <v>#DIV/0!</v>
      </c>
      <c r="EK346" s="117" t="e">
        <f t="shared" si="1014"/>
        <v>#DIV/0!</v>
      </c>
      <c r="EL346" s="117" t="e">
        <f t="shared" si="1014"/>
        <v>#DIV/0!</v>
      </c>
      <c r="EM346" s="117" t="e">
        <f t="shared" si="1014"/>
        <v>#DIV/0!</v>
      </c>
      <c r="EN346" s="117" t="e">
        <f t="shared" si="1014"/>
        <v>#DIV/0!</v>
      </c>
      <c r="EO346" s="116">
        <f t="shared" si="1014"/>
        <v>0</v>
      </c>
      <c r="EP346" s="117">
        <f t="shared" si="1014"/>
        <v>0</v>
      </c>
      <c r="EQ346" s="117">
        <f t="shared" si="1014"/>
        <v>0</v>
      </c>
      <c r="ER346" s="117">
        <f t="shared" si="1014"/>
        <v>0</v>
      </c>
      <c r="ES346" s="117">
        <f t="shared" si="1014"/>
        <v>0</v>
      </c>
      <c r="ET346" s="117">
        <f t="shared" si="1014"/>
        <v>0</v>
      </c>
      <c r="EU346" s="117">
        <f t="shared" si="1014"/>
        <v>0</v>
      </c>
      <c r="EV346" s="117">
        <f t="shared" si="1014"/>
        <v>0</v>
      </c>
      <c r="EW346" s="117">
        <f t="shared" si="1014"/>
        <v>0</v>
      </c>
      <c r="EX346" s="117">
        <f t="shared" si="1014"/>
        <v>0</v>
      </c>
      <c r="EY346" s="117">
        <f t="shared" si="1014"/>
        <v>0</v>
      </c>
      <c r="EZ346" s="117">
        <f t="shared" si="1014"/>
        <v>0</v>
      </c>
      <c r="FA346" s="117">
        <f t="shared" si="1014"/>
        <v>0</v>
      </c>
      <c r="FB346" s="117">
        <f t="shared" si="1014"/>
        <v>0</v>
      </c>
      <c r="FC346" s="118"/>
      <c r="FD346" s="117"/>
      <c r="FE346" s="117"/>
      <c r="FF346" s="117"/>
      <c r="FG346" s="117"/>
      <c r="FH346" s="117"/>
      <c r="FI346" s="117"/>
      <c r="FJ346" s="117"/>
      <c r="FK346" s="117" t="e">
        <f t="shared" si="991"/>
        <v>#DIV/0!</v>
      </c>
      <c r="FL346" s="117" t="e">
        <f t="shared" si="992"/>
        <v>#DIV/0!</v>
      </c>
      <c r="FM346" s="117" t="e">
        <f t="shared" si="993"/>
        <v>#DIV/0!</v>
      </c>
      <c r="FN346" s="117" t="e">
        <f t="shared" si="994"/>
        <v>#DIV/0!</v>
      </c>
      <c r="FO346" s="9" t="e">
        <f t="shared" si="995"/>
        <v>#DIV/0!</v>
      </c>
      <c r="FP346" s="118">
        <f t="shared" ref="FP346:GB346" si="1015">FP134/FP$211</f>
        <v>0</v>
      </c>
      <c r="FQ346" s="117">
        <f t="shared" si="1015"/>
        <v>0</v>
      </c>
      <c r="FR346" s="117">
        <f t="shared" si="1015"/>
        <v>0</v>
      </c>
      <c r="FS346" s="117">
        <f t="shared" si="1015"/>
        <v>0</v>
      </c>
      <c r="FT346" s="117">
        <f t="shared" si="1015"/>
        <v>0</v>
      </c>
      <c r="FU346" s="117">
        <f t="shared" si="1015"/>
        <v>0</v>
      </c>
      <c r="FV346" s="117">
        <f t="shared" si="1015"/>
        <v>0</v>
      </c>
      <c r="FW346" s="117">
        <f t="shared" si="1015"/>
        <v>0</v>
      </c>
      <c r="FX346" s="117">
        <f t="shared" si="1015"/>
        <v>0</v>
      </c>
      <c r="FY346" s="117">
        <f t="shared" si="1015"/>
        <v>0</v>
      </c>
      <c r="FZ346" s="117">
        <f t="shared" si="1015"/>
        <v>0</v>
      </c>
      <c r="GA346" s="117">
        <f t="shared" si="1015"/>
        <v>0</v>
      </c>
      <c r="GB346" s="116">
        <f t="shared" si="1015"/>
        <v>0</v>
      </c>
    </row>
    <row r="347" spans="1:184">
      <c r="A347" s="147" t="s">
        <v>295</v>
      </c>
      <c r="B347" s="160">
        <f t="shared" si="997"/>
        <v>-1</v>
      </c>
      <c r="C347" s="117">
        <f t="shared" ref="C347:AH347" si="1016">C135/C$211</f>
        <v>0</v>
      </c>
      <c r="D347" s="117">
        <f t="shared" si="1016"/>
        <v>0</v>
      </c>
      <c r="E347" s="117">
        <f t="shared" si="1016"/>
        <v>0</v>
      </c>
      <c r="F347" s="117">
        <f t="shared" si="1016"/>
        <v>0</v>
      </c>
      <c r="G347" s="117">
        <f t="shared" si="1016"/>
        <v>0</v>
      </c>
      <c r="H347" s="117">
        <f t="shared" si="1016"/>
        <v>0</v>
      </c>
      <c r="I347" s="117">
        <f t="shared" si="1016"/>
        <v>0</v>
      </c>
      <c r="J347" s="117">
        <f t="shared" si="1016"/>
        <v>0</v>
      </c>
      <c r="K347" s="117">
        <f t="shared" si="1016"/>
        <v>0</v>
      </c>
      <c r="L347" s="117">
        <f t="shared" si="1016"/>
        <v>0</v>
      </c>
      <c r="M347" s="117">
        <f t="shared" si="1016"/>
        <v>0</v>
      </c>
      <c r="N347" s="117">
        <f t="shared" si="1016"/>
        <v>0</v>
      </c>
      <c r="O347" s="9">
        <f t="shared" si="1016"/>
        <v>0</v>
      </c>
      <c r="P347" s="117">
        <f t="shared" si="1016"/>
        <v>0</v>
      </c>
      <c r="Q347" s="117">
        <f t="shared" si="1016"/>
        <v>0</v>
      </c>
      <c r="R347" s="117">
        <f t="shared" si="1016"/>
        <v>0</v>
      </c>
      <c r="S347" s="117">
        <f t="shared" si="1016"/>
        <v>0</v>
      </c>
      <c r="T347" s="117">
        <f t="shared" si="1016"/>
        <v>0</v>
      </c>
      <c r="U347" s="117">
        <f t="shared" si="1016"/>
        <v>0</v>
      </c>
      <c r="V347" s="117">
        <f t="shared" si="1016"/>
        <v>0</v>
      </c>
      <c r="W347" s="117">
        <f t="shared" si="1016"/>
        <v>0</v>
      </c>
      <c r="X347" s="117">
        <f t="shared" si="1016"/>
        <v>0</v>
      </c>
      <c r="Y347" s="117">
        <f t="shared" si="1016"/>
        <v>0</v>
      </c>
      <c r="Z347" s="117">
        <f t="shared" si="1016"/>
        <v>0</v>
      </c>
      <c r="AA347" s="117">
        <f t="shared" si="1016"/>
        <v>0</v>
      </c>
      <c r="AB347" s="9">
        <f t="shared" si="1016"/>
        <v>0</v>
      </c>
      <c r="AC347" s="117">
        <f t="shared" si="1016"/>
        <v>0</v>
      </c>
      <c r="AD347" s="117">
        <f t="shared" si="1016"/>
        <v>0</v>
      </c>
      <c r="AE347" s="117">
        <f t="shared" si="1016"/>
        <v>0</v>
      </c>
      <c r="AF347" s="117">
        <f t="shared" si="1016"/>
        <v>0</v>
      </c>
      <c r="AG347" s="117">
        <f t="shared" si="1016"/>
        <v>0</v>
      </c>
      <c r="AH347" s="117">
        <f t="shared" si="1016"/>
        <v>0</v>
      </c>
      <c r="AI347" s="117">
        <f t="shared" ref="AI347:BN347" si="1017">AI135/AI$211</f>
        <v>0</v>
      </c>
      <c r="AJ347" s="117">
        <f t="shared" si="1017"/>
        <v>0</v>
      </c>
      <c r="AK347" s="117">
        <f t="shared" si="1017"/>
        <v>0</v>
      </c>
      <c r="AL347" s="117">
        <f t="shared" si="1017"/>
        <v>0</v>
      </c>
      <c r="AM347" s="117">
        <f t="shared" si="1017"/>
        <v>0</v>
      </c>
      <c r="AN347" s="117">
        <f t="shared" si="1017"/>
        <v>0</v>
      </c>
      <c r="AO347" s="9">
        <f t="shared" si="1017"/>
        <v>0</v>
      </c>
      <c r="AP347" s="144">
        <f t="shared" si="1017"/>
        <v>0</v>
      </c>
      <c r="AQ347" s="144">
        <f t="shared" si="1017"/>
        <v>0</v>
      </c>
      <c r="AR347" s="144">
        <f t="shared" si="1017"/>
        <v>0</v>
      </c>
      <c r="AS347" s="144">
        <f t="shared" si="1017"/>
        <v>0</v>
      </c>
      <c r="AT347" s="144">
        <f t="shared" si="1017"/>
        <v>0</v>
      </c>
      <c r="AU347" s="144">
        <f t="shared" si="1017"/>
        <v>0</v>
      </c>
      <c r="AV347" s="144">
        <f t="shared" si="1017"/>
        <v>0</v>
      </c>
      <c r="AW347" s="144">
        <f t="shared" si="1017"/>
        <v>0</v>
      </c>
      <c r="AX347" s="144">
        <f t="shared" si="1017"/>
        <v>0</v>
      </c>
      <c r="AY347" s="144">
        <f t="shared" si="1017"/>
        <v>0</v>
      </c>
      <c r="AZ347" s="144">
        <f t="shared" si="1017"/>
        <v>0</v>
      </c>
      <c r="BA347" s="144">
        <f t="shared" si="1017"/>
        <v>0</v>
      </c>
      <c r="BB347" s="9">
        <f t="shared" si="1017"/>
        <v>0</v>
      </c>
      <c r="BC347" s="144">
        <f t="shared" si="1017"/>
        <v>0</v>
      </c>
      <c r="BD347" s="144">
        <f t="shared" si="1017"/>
        <v>0</v>
      </c>
      <c r="BE347" s="144">
        <f t="shared" si="1017"/>
        <v>0</v>
      </c>
      <c r="BF347" s="144">
        <f t="shared" si="1017"/>
        <v>0</v>
      </c>
      <c r="BG347" s="144">
        <f t="shared" si="1017"/>
        <v>0</v>
      </c>
      <c r="BH347" s="144">
        <f t="shared" si="1017"/>
        <v>0</v>
      </c>
      <c r="BI347" s="144">
        <f t="shared" si="1017"/>
        <v>0</v>
      </c>
      <c r="BJ347" s="144">
        <f t="shared" si="1017"/>
        <v>0</v>
      </c>
      <c r="BK347" s="144">
        <f t="shared" si="1017"/>
        <v>0</v>
      </c>
      <c r="BL347" s="144">
        <f t="shared" si="1017"/>
        <v>0</v>
      </c>
      <c r="BM347" s="144">
        <f t="shared" si="1017"/>
        <v>0</v>
      </c>
      <c r="BN347" s="144">
        <f t="shared" si="1017"/>
        <v>0</v>
      </c>
      <c r="BO347" s="9">
        <f t="shared" ref="BO347:CT347" si="1018">BO135/BO$211</f>
        <v>0</v>
      </c>
      <c r="BP347" s="144">
        <f t="shared" si="1018"/>
        <v>0</v>
      </c>
      <c r="BQ347" s="144">
        <f t="shared" si="1018"/>
        <v>0</v>
      </c>
      <c r="BR347" s="144">
        <f t="shared" si="1018"/>
        <v>0</v>
      </c>
      <c r="BS347" s="144">
        <f t="shared" si="1018"/>
        <v>0</v>
      </c>
      <c r="BT347" s="144">
        <f t="shared" si="1018"/>
        <v>0</v>
      </c>
      <c r="BU347" s="144">
        <f t="shared" si="1018"/>
        <v>0</v>
      </c>
      <c r="BV347" s="144">
        <f t="shared" si="1018"/>
        <v>0</v>
      </c>
      <c r="BW347" s="144">
        <f t="shared" si="1018"/>
        <v>0</v>
      </c>
      <c r="BX347" s="144">
        <f t="shared" si="1018"/>
        <v>0</v>
      </c>
      <c r="BY347" s="144">
        <f t="shared" si="1018"/>
        <v>0</v>
      </c>
      <c r="BZ347" s="144">
        <f t="shared" si="1018"/>
        <v>0</v>
      </c>
      <c r="CA347" s="144">
        <f t="shared" si="1018"/>
        <v>0</v>
      </c>
      <c r="CB347" s="9">
        <f t="shared" si="1018"/>
        <v>0</v>
      </c>
      <c r="CC347" s="144">
        <f t="shared" si="1018"/>
        <v>0</v>
      </c>
      <c r="CD347" s="144">
        <f t="shared" si="1018"/>
        <v>0</v>
      </c>
      <c r="CE347" s="144">
        <f t="shared" si="1018"/>
        <v>0</v>
      </c>
      <c r="CF347" s="144">
        <f t="shared" si="1018"/>
        <v>0</v>
      </c>
      <c r="CG347" s="144">
        <f t="shared" si="1018"/>
        <v>0</v>
      </c>
      <c r="CH347" s="144">
        <f t="shared" si="1018"/>
        <v>0</v>
      </c>
      <c r="CI347" s="144">
        <f t="shared" si="1018"/>
        <v>0</v>
      </c>
      <c r="CJ347" s="144">
        <f t="shared" si="1018"/>
        <v>0</v>
      </c>
      <c r="CK347" s="144">
        <f t="shared" si="1018"/>
        <v>0</v>
      </c>
      <c r="CL347" s="144">
        <f t="shared" si="1018"/>
        <v>0</v>
      </c>
      <c r="CM347" s="144">
        <f t="shared" si="1018"/>
        <v>0</v>
      </c>
      <c r="CN347" s="144">
        <f t="shared" si="1018"/>
        <v>0</v>
      </c>
      <c r="CO347" s="9">
        <f t="shared" si="1018"/>
        <v>0</v>
      </c>
      <c r="CP347" s="144">
        <f t="shared" si="1018"/>
        <v>0</v>
      </c>
      <c r="CQ347" s="144">
        <f t="shared" si="1018"/>
        <v>0</v>
      </c>
      <c r="CR347" s="144">
        <f t="shared" si="1018"/>
        <v>0</v>
      </c>
      <c r="CS347" s="144">
        <f t="shared" si="1018"/>
        <v>0</v>
      </c>
      <c r="CT347" s="144">
        <f t="shared" si="1018"/>
        <v>0</v>
      </c>
      <c r="CU347" s="144">
        <f t="shared" ref="CU347:EB347" si="1019">CU135/CU$211</f>
        <v>0</v>
      </c>
      <c r="CV347" s="144">
        <f t="shared" si="1019"/>
        <v>0</v>
      </c>
      <c r="CW347" s="144">
        <f t="shared" si="1019"/>
        <v>0</v>
      </c>
      <c r="CX347" s="144">
        <f t="shared" si="1019"/>
        <v>0</v>
      </c>
      <c r="CY347" s="144">
        <f t="shared" si="1019"/>
        <v>0</v>
      </c>
      <c r="CZ347" s="144">
        <f t="shared" si="1019"/>
        <v>0</v>
      </c>
      <c r="DA347" s="144">
        <f t="shared" si="1019"/>
        <v>0</v>
      </c>
      <c r="DB347" s="9">
        <f t="shared" si="1019"/>
        <v>0</v>
      </c>
      <c r="DC347" s="144">
        <f t="shared" si="1019"/>
        <v>0</v>
      </c>
      <c r="DD347" s="144">
        <f t="shared" si="1019"/>
        <v>0</v>
      </c>
      <c r="DE347" s="144">
        <f t="shared" si="1019"/>
        <v>0</v>
      </c>
      <c r="DF347" s="144">
        <f t="shared" si="1019"/>
        <v>0</v>
      </c>
      <c r="DG347" s="144">
        <f t="shared" si="1019"/>
        <v>0</v>
      </c>
      <c r="DH347" s="144">
        <f t="shared" si="1019"/>
        <v>0</v>
      </c>
      <c r="DI347" s="144">
        <f t="shared" si="1019"/>
        <v>0</v>
      </c>
      <c r="DJ347" s="144">
        <f t="shared" si="1019"/>
        <v>0</v>
      </c>
      <c r="DK347" s="144">
        <f t="shared" si="1019"/>
        <v>0</v>
      </c>
      <c r="DL347" s="144">
        <f t="shared" si="1019"/>
        <v>0</v>
      </c>
      <c r="DM347" s="144">
        <f t="shared" si="1019"/>
        <v>0</v>
      </c>
      <c r="DN347" s="144">
        <f t="shared" si="1019"/>
        <v>0</v>
      </c>
      <c r="DO347" s="9">
        <f t="shared" si="1019"/>
        <v>0</v>
      </c>
      <c r="DP347" s="144">
        <f t="shared" si="1019"/>
        <v>0</v>
      </c>
      <c r="DQ347" s="144">
        <f t="shared" si="1019"/>
        <v>0</v>
      </c>
      <c r="DR347" s="144">
        <f t="shared" si="1019"/>
        <v>0</v>
      </c>
      <c r="DS347" s="144">
        <f t="shared" si="1019"/>
        <v>0</v>
      </c>
      <c r="DT347" s="144">
        <f t="shared" si="1019"/>
        <v>0</v>
      </c>
      <c r="DU347" s="144">
        <f t="shared" si="1019"/>
        <v>0</v>
      </c>
      <c r="DV347" s="144">
        <f t="shared" si="1019"/>
        <v>0</v>
      </c>
      <c r="DW347" s="144">
        <f t="shared" si="1019"/>
        <v>0</v>
      </c>
      <c r="DX347" s="144">
        <f t="shared" si="1019"/>
        <v>0</v>
      </c>
      <c r="DY347" s="144">
        <f t="shared" si="1019"/>
        <v>0</v>
      </c>
      <c r="DZ347" s="144">
        <f t="shared" si="1019"/>
        <v>0</v>
      </c>
      <c r="EA347" s="144">
        <f t="shared" si="1019"/>
        <v>0</v>
      </c>
      <c r="EB347" s="117">
        <f t="shared" si="1019"/>
        <v>0</v>
      </c>
      <c r="EC347" s="118"/>
      <c r="ED347" s="117">
        <f t="shared" ref="ED347:FB347" si="1020">ED135/ED$211</f>
        <v>0</v>
      </c>
      <c r="EE347" s="117">
        <f t="shared" si="1020"/>
        <v>0</v>
      </c>
      <c r="EF347" s="117">
        <f t="shared" si="1020"/>
        <v>0</v>
      </c>
      <c r="EG347" s="117" t="e">
        <f t="shared" si="1020"/>
        <v>#DIV/0!</v>
      </c>
      <c r="EH347" s="117" t="e">
        <f t="shared" si="1020"/>
        <v>#DIV/0!</v>
      </c>
      <c r="EI347" s="117" t="e">
        <f t="shared" si="1020"/>
        <v>#DIV/0!</v>
      </c>
      <c r="EJ347" s="117" t="e">
        <f t="shared" si="1020"/>
        <v>#DIV/0!</v>
      </c>
      <c r="EK347" s="117" t="e">
        <f t="shared" si="1020"/>
        <v>#DIV/0!</v>
      </c>
      <c r="EL347" s="117" t="e">
        <f t="shared" si="1020"/>
        <v>#DIV/0!</v>
      </c>
      <c r="EM347" s="117" t="e">
        <f t="shared" si="1020"/>
        <v>#DIV/0!</v>
      </c>
      <c r="EN347" s="117" t="e">
        <f t="shared" si="1020"/>
        <v>#DIV/0!</v>
      </c>
      <c r="EO347" s="116">
        <f t="shared" si="1020"/>
        <v>0</v>
      </c>
      <c r="EP347" s="117">
        <f t="shared" si="1020"/>
        <v>0</v>
      </c>
      <c r="EQ347" s="117">
        <f t="shared" si="1020"/>
        <v>0</v>
      </c>
      <c r="ER347" s="117">
        <f t="shared" si="1020"/>
        <v>0</v>
      </c>
      <c r="ES347" s="117">
        <f t="shared" si="1020"/>
        <v>0</v>
      </c>
      <c r="ET347" s="117">
        <f t="shared" si="1020"/>
        <v>0</v>
      </c>
      <c r="EU347" s="117">
        <f t="shared" si="1020"/>
        <v>0</v>
      </c>
      <c r="EV347" s="117">
        <f t="shared" si="1020"/>
        <v>0</v>
      </c>
      <c r="EW347" s="117">
        <f t="shared" si="1020"/>
        <v>0</v>
      </c>
      <c r="EX347" s="117">
        <f t="shared" si="1020"/>
        <v>0</v>
      </c>
      <c r="EY347" s="117">
        <f t="shared" si="1020"/>
        <v>0</v>
      </c>
      <c r="EZ347" s="117">
        <f t="shared" si="1020"/>
        <v>0</v>
      </c>
      <c r="FA347" s="117">
        <f t="shared" si="1020"/>
        <v>0</v>
      </c>
      <c r="FB347" s="117">
        <f t="shared" si="1020"/>
        <v>0</v>
      </c>
      <c r="FC347" s="118"/>
      <c r="FD347" s="117"/>
      <c r="FE347" s="117"/>
      <c r="FF347" s="117"/>
      <c r="FG347" s="117"/>
      <c r="FH347" s="117"/>
      <c r="FI347" s="117"/>
      <c r="FJ347" s="117"/>
      <c r="FK347" s="117" t="e">
        <f t="shared" si="991"/>
        <v>#DIV/0!</v>
      </c>
      <c r="FL347" s="117" t="e">
        <f t="shared" si="992"/>
        <v>#DIV/0!</v>
      </c>
      <c r="FM347" s="117" t="e">
        <f t="shared" si="993"/>
        <v>#DIV/0!</v>
      </c>
      <c r="FN347" s="117" t="e">
        <f t="shared" si="994"/>
        <v>#DIV/0!</v>
      </c>
      <c r="FO347" s="9" t="e">
        <f t="shared" si="995"/>
        <v>#DIV/0!</v>
      </c>
      <c r="FP347" s="118">
        <f t="shared" ref="FP347:GB347" si="1021">FP135/FP$211</f>
        <v>0</v>
      </c>
      <c r="FQ347" s="117">
        <f t="shared" si="1021"/>
        <v>0</v>
      </c>
      <c r="FR347" s="117">
        <f t="shared" si="1021"/>
        <v>0</v>
      </c>
      <c r="FS347" s="117">
        <f t="shared" si="1021"/>
        <v>0</v>
      </c>
      <c r="FT347" s="117">
        <f t="shared" si="1021"/>
        <v>0</v>
      </c>
      <c r="FU347" s="117">
        <f t="shared" si="1021"/>
        <v>0</v>
      </c>
      <c r="FV347" s="117">
        <f t="shared" si="1021"/>
        <v>0</v>
      </c>
      <c r="FW347" s="117">
        <f t="shared" si="1021"/>
        <v>0</v>
      </c>
      <c r="FX347" s="117">
        <f t="shared" si="1021"/>
        <v>0</v>
      </c>
      <c r="FY347" s="117">
        <f t="shared" si="1021"/>
        <v>0</v>
      </c>
      <c r="FZ347" s="117">
        <f t="shared" si="1021"/>
        <v>0</v>
      </c>
      <c r="GA347" s="117">
        <f t="shared" si="1021"/>
        <v>0</v>
      </c>
      <c r="GB347" s="116">
        <f t="shared" si="1021"/>
        <v>0</v>
      </c>
    </row>
    <row r="348" spans="1:184">
      <c r="A348" s="147" t="s">
        <v>308</v>
      </c>
      <c r="B348" s="160">
        <f t="shared" si="997"/>
        <v>-0.369539903828557</v>
      </c>
      <c r="C348" s="117">
        <f t="shared" ref="C348:AH348" si="1022">C136/C$211</f>
        <v>4.15417444420832e-7</v>
      </c>
      <c r="D348" s="117">
        <f t="shared" si="1022"/>
        <v>2.20635102427855e-6</v>
      </c>
      <c r="E348" s="117">
        <f t="shared" si="1022"/>
        <v>4.14584135996302e-7</v>
      </c>
      <c r="F348" s="117">
        <f t="shared" si="1022"/>
        <v>1.01923602626289e-5</v>
      </c>
      <c r="G348" s="117">
        <f t="shared" si="1022"/>
        <v>0</v>
      </c>
      <c r="H348" s="117">
        <f t="shared" si="1022"/>
        <v>0</v>
      </c>
      <c r="I348" s="117">
        <f t="shared" si="1022"/>
        <v>0</v>
      </c>
      <c r="J348" s="117">
        <f t="shared" si="1022"/>
        <v>0</v>
      </c>
      <c r="K348" s="117">
        <f t="shared" si="1022"/>
        <v>0</v>
      </c>
      <c r="L348" s="117">
        <f t="shared" si="1022"/>
        <v>0</v>
      </c>
      <c r="M348" s="117">
        <f t="shared" si="1022"/>
        <v>0</v>
      </c>
      <c r="N348" s="117">
        <f t="shared" si="1022"/>
        <v>0</v>
      </c>
      <c r="O348" s="9">
        <f t="shared" si="1022"/>
        <v>1.03866647824412e-6</v>
      </c>
      <c r="P348" s="117">
        <f t="shared" si="1022"/>
        <v>0</v>
      </c>
      <c r="Q348" s="117">
        <f t="shared" si="1022"/>
        <v>0</v>
      </c>
      <c r="R348" s="117">
        <f t="shared" si="1022"/>
        <v>0</v>
      </c>
      <c r="S348" s="117">
        <f t="shared" si="1022"/>
        <v>0</v>
      </c>
      <c r="T348" s="117">
        <f t="shared" si="1022"/>
        <v>0</v>
      </c>
      <c r="U348" s="117">
        <f t="shared" si="1022"/>
        <v>0</v>
      </c>
      <c r="V348" s="117">
        <f t="shared" si="1022"/>
        <v>0</v>
      </c>
      <c r="W348" s="117">
        <f t="shared" si="1022"/>
        <v>0</v>
      </c>
      <c r="X348" s="117">
        <f t="shared" si="1022"/>
        <v>0</v>
      </c>
      <c r="Y348" s="117">
        <f t="shared" si="1022"/>
        <v>0</v>
      </c>
      <c r="Z348" s="117">
        <f t="shared" si="1022"/>
        <v>0</v>
      </c>
      <c r="AA348" s="117">
        <f t="shared" si="1022"/>
        <v>0</v>
      </c>
      <c r="AB348" s="9">
        <f t="shared" si="1022"/>
        <v>0</v>
      </c>
      <c r="AC348" s="117">
        <f t="shared" si="1022"/>
        <v>0</v>
      </c>
      <c r="AD348" s="117">
        <f t="shared" si="1022"/>
        <v>0</v>
      </c>
      <c r="AE348" s="117">
        <f t="shared" si="1022"/>
        <v>0</v>
      </c>
      <c r="AF348" s="117">
        <f t="shared" si="1022"/>
        <v>0</v>
      </c>
      <c r="AG348" s="117">
        <f t="shared" si="1022"/>
        <v>0</v>
      </c>
      <c r="AH348" s="117">
        <f t="shared" si="1022"/>
        <v>0</v>
      </c>
      <c r="AI348" s="117">
        <f t="shared" ref="AI348:BN348" si="1023">AI136/AI$211</f>
        <v>0</v>
      </c>
      <c r="AJ348" s="117">
        <f t="shared" si="1023"/>
        <v>0</v>
      </c>
      <c r="AK348" s="117">
        <f t="shared" si="1023"/>
        <v>0</v>
      </c>
      <c r="AL348" s="117">
        <f t="shared" si="1023"/>
        <v>0</v>
      </c>
      <c r="AM348" s="117">
        <f t="shared" si="1023"/>
        <v>0</v>
      </c>
      <c r="AN348" s="117">
        <f t="shared" si="1023"/>
        <v>0</v>
      </c>
      <c r="AO348" s="9">
        <f t="shared" si="1023"/>
        <v>0</v>
      </c>
      <c r="AP348" s="144">
        <f t="shared" si="1023"/>
        <v>0</v>
      </c>
      <c r="AQ348" s="144">
        <f t="shared" si="1023"/>
        <v>0</v>
      </c>
      <c r="AR348" s="144">
        <f t="shared" si="1023"/>
        <v>0</v>
      </c>
      <c r="AS348" s="144">
        <f t="shared" si="1023"/>
        <v>0</v>
      </c>
      <c r="AT348" s="144">
        <f t="shared" si="1023"/>
        <v>0</v>
      </c>
      <c r="AU348" s="144">
        <f t="shared" si="1023"/>
        <v>0</v>
      </c>
      <c r="AV348" s="144">
        <f t="shared" si="1023"/>
        <v>0</v>
      </c>
      <c r="AW348" s="144">
        <f t="shared" si="1023"/>
        <v>0</v>
      </c>
      <c r="AX348" s="144">
        <f t="shared" si="1023"/>
        <v>0</v>
      </c>
      <c r="AY348" s="144">
        <f t="shared" si="1023"/>
        <v>0</v>
      </c>
      <c r="AZ348" s="144">
        <f t="shared" si="1023"/>
        <v>0</v>
      </c>
      <c r="BA348" s="144">
        <f t="shared" si="1023"/>
        <v>0</v>
      </c>
      <c r="BB348" s="9">
        <f t="shared" si="1023"/>
        <v>0</v>
      </c>
      <c r="BC348" s="144">
        <f t="shared" si="1023"/>
        <v>0</v>
      </c>
      <c r="BD348" s="144">
        <f t="shared" si="1023"/>
        <v>0</v>
      </c>
      <c r="BE348" s="144">
        <f t="shared" si="1023"/>
        <v>0</v>
      </c>
      <c r="BF348" s="144">
        <f t="shared" si="1023"/>
        <v>0</v>
      </c>
      <c r="BG348" s="144">
        <f t="shared" si="1023"/>
        <v>0</v>
      </c>
      <c r="BH348" s="144">
        <f t="shared" si="1023"/>
        <v>0</v>
      </c>
      <c r="BI348" s="144">
        <f t="shared" si="1023"/>
        <v>0</v>
      </c>
      <c r="BJ348" s="144">
        <f t="shared" si="1023"/>
        <v>0</v>
      </c>
      <c r="BK348" s="144">
        <f t="shared" si="1023"/>
        <v>0</v>
      </c>
      <c r="BL348" s="144">
        <f t="shared" si="1023"/>
        <v>0</v>
      </c>
      <c r="BM348" s="144">
        <f t="shared" si="1023"/>
        <v>0</v>
      </c>
      <c r="BN348" s="144">
        <f t="shared" si="1023"/>
        <v>0</v>
      </c>
      <c r="BO348" s="9">
        <f t="shared" ref="BO348:CT348" si="1024">BO136/BO$211</f>
        <v>0</v>
      </c>
      <c r="BP348" s="144">
        <f t="shared" si="1024"/>
        <v>0</v>
      </c>
      <c r="BQ348" s="144">
        <f t="shared" si="1024"/>
        <v>0</v>
      </c>
      <c r="BR348" s="144">
        <f t="shared" si="1024"/>
        <v>0</v>
      </c>
      <c r="BS348" s="144">
        <f t="shared" si="1024"/>
        <v>0</v>
      </c>
      <c r="BT348" s="144">
        <f t="shared" si="1024"/>
        <v>0</v>
      </c>
      <c r="BU348" s="144">
        <f t="shared" si="1024"/>
        <v>0</v>
      </c>
      <c r="BV348" s="144">
        <f t="shared" si="1024"/>
        <v>0</v>
      </c>
      <c r="BW348" s="144">
        <f t="shared" si="1024"/>
        <v>0</v>
      </c>
      <c r="BX348" s="144">
        <f t="shared" si="1024"/>
        <v>0</v>
      </c>
      <c r="BY348" s="144">
        <f t="shared" si="1024"/>
        <v>0</v>
      </c>
      <c r="BZ348" s="144">
        <f t="shared" si="1024"/>
        <v>0</v>
      </c>
      <c r="CA348" s="144">
        <f t="shared" si="1024"/>
        <v>0</v>
      </c>
      <c r="CB348" s="9">
        <f t="shared" si="1024"/>
        <v>0</v>
      </c>
      <c r="CC348" s="144">
        <f t="shared" si="1024"/>
        <v>0</v>
      </c>
      <c r="CD348" s="144">
        <f t="shared" si="1024"/>
        <v>0</v>
      </c>
      <c r="CE348" s="144">
        <f t="shared" si="1024"/>
        <v>0</v>
      </c>
      <c r="CF348" s="144">
        <f t="shared" si="1024"/>
        <v>0</v>
      </c>
      <c r="CG348" s="144">
        <f t="shared" si="1024"/>
        <v>0</v>
      </c>
      <c r="CH348" s="144">
        <f t="shared" si="1024"/>
        <v>0</v>
      </c>
      <c r="CI348" s="144">
        <f t="shared" si="1024"/>
        <v>0</v>
      </c>
      <c r="CJ348" s="144">
        <f t="shared" si="1024"/>
        <v>0</v>
      </c>
      <c r="CK348" s="144">
        <f t="shared" si="1024"/>
        <v>0</v>
      </c>
      <c r="CL348" s="144">
        <f t="shared" si="1024"/>
        <v>0</v>
      </c>
      <c r="CM348" s="144">
        <f t="shared" si="1024"/>
        <v>0</v>
      </c>
      <c r="CN348" s="144">
        <f t="shared" si="1024"/>
        <v>0</v>
      </c>
      <c r="CO348" s="9">
        <f t="shared" si="1024"/>
        <v>0</v>
      </c>
      <c r="CP348" s="144">
        <f t="shared" si="1024"/>
        <v>0</v>
      </c>
      <c r="CQ348" s="144">
        <f t="shared" si="1024"/>
        <v>0</v>
      </c>
      <c r="CR348" s="144">
        <f t="shared" si="1024"/>
        <v>0</v>
      </c>
      <c r="CS348" s="144">
        <f t="shared" si="1024"/>
        <v>0</v>
      </c>
      <c r="CT348" s="144">
        <f t="shared" si="1024"/>
        <v>0</v>
      </c>
      <c r="CU348" s="144">
        <f t="shared" ref="CU348:EB348" si="1025">CU136/CU$211</f>
        <v>0</v>
      </c>
      <c r="CV348" s="144">
        <f t="shared" si="1025"/>
        <v>0</v>
      </c>
      <c r="CW348" s="144">
        <f t="shared" si="1025"/>
        <v>0</v>
      </c>
      <c r="CX348" s="144">
        <f t="shared" si="1025"/>
        <v>0</v>
      </c>
      <c r="CY348" s="144">
        <f t="shared" si="1025"/>
        <v>0</v>
      </c>
      <c r="CZ348" s="144">
        <f t="shared" si="1025"/>
        <v>0</v>
      </c>
      <c r="DA348" s="144">
        <f t="shared" si="1025"/>
        <v>0</v>
      </c>
      <c r="DB348" s="9">
        <f t="shared" si="1025"/>
        <v>0</v>
      </c>
      <c r="DC348" s="144">
        <f t="shared" si="1025"/>
        <v>0</v>
      </c>
      <c r="DD348" s="144">
        <f t="shared" si="1025"/>
        <v>0</v>
      </c>
      <c r="DE348" s="144">
        <f t="shared" si="1025"/>
        <v>0</v>
      </c>
      <c r="DF348" s="144">
        <f t="shared" si="1025"/>
        <v>0</v>
      </c>
      <c r="DG348" s="144">
        <f t="shared" si="1025"/>
        <v>0</v>
      </c>
      <c r="DH348" s="144">
        <f t="shared" si="1025"/>
        <v>0</v>
      </c>
      <c r="DI348" s="144">
        <f t="shared" si="1025"/>
        <v>0</v>
      </c>
      <c r="DJ348" s="144">
        <f t="shared" si="1025"/>
        <v>0</v>
      </c>
      <c r="DK348" s="144">
        <f t="shared" si="1025"/>
        <v>0</v>
      </c>
      <c r="DL348" s="144">
        <f t="shared" si="1025"/>
        <v>0</v>
      </c>
      <c r="DM348" s="144">
        <f t="shared" si="1025"/>
        <v>0</v>
      </c>
      <c r="DN348" s="144">
        <f t="shared" si="1025"/>
        <v>0</v>
      </c>
      <c r="DO348" s="9">
        <f t="shared" si="1025"/>
        <v>0</v>
      </c>
      <c r="DP348" s="144">
        <f t="shared" si="1025"/>
        <v>4.89765083453133e-6</v>
      </c>
      <c r="DQ348" s="144">
        <f t="shared" si="1025"/>
        <v>0</v>
      </c>
      <c r="DR348" s="144">
        <f t="shared" si="1025"/>
        <v>0</v>
      </c>
      <c r="DS348" s="144">
        <f t="shared" si="1025"/>
        <v>0</v>
      </c>
      <c r="DT348" s="144">
        <f t="shared" si="1025"/>
        <v>0</v>
      </c>
      <c r="DU348" s="144">
        <f t="shared" si="1025"/>
        <v>0</v>
      </c>
      <c r="DV348" s="144">
        <f t="shared" si="1025"/>
        <v>0</v>
      </c>
      <c r="DW348" s="144">
        <f t="shared" si="1025"/>
        <v>0</v>
      </c>
      <c r="DX348" s="144">
        <f t="shared" si="1025"/>
        <v>0</v>
      </c>
      <c r="DY348" s="144">
        <f t="shared" si="1025"/>
        <v>0</v>
      </c>
      <c r="DZ348" s="144">
        <f t="shared" si="1025"/>
        <v>0</v>
      </c>
      <c r="EA348" s="144">
        <f t="shared" si="1025"/>
        <v>0</v>
      </c>
      <c r="EB348" s="117">
        <f t="shared" si="1025"/>
        <v>6.26623183714123e-7</v>
      </c>
      <c r="EC348" s="118"/>
      <c r="ED348" s="117">
        <f t="shared" ref="ED348:FB348" si="1026">ED136/ED$211</f>
        <v>0</v>
      </c>
      <c r="EE348" s="117">
        <f t="shared" si="1026"/>
        <v>0</v>
      </c>
      <c r="EF348" s="117">
        <f t="shared" si="1026"/>
        <v>0</v>
      </c>
      <c r="EG348" s="117" t="e">
        <f t="shared" si="1026"/>
        <v>#DIV/0!</v>
      </c>
      <c r="EH348" s="117" t="e">
        <f t="shared" si="1026"/>
        <v>#DIV/0!</v>
      </c>
      <c r="EI348" s="117" t="e">
        <f t="shared" si="1026"/>
        <v>#DIV/0!</v>
      </c>
      <c r="EJ348" s="117" t="e">
        <f t="shared" si="1026"/>
        <v>#DIV/0!</v>
      </c>
      <c r="EK348" s="117" t="e">
        <f t="shared" si="1026"/>
        <v>#DIV/0!</v>
      </c>
      <c r="EL348" s="117" t="e">
        <f t="shared" si="1026"/>
        <v>#DIV/0!</v>
      </c>
      <c r="EM348" s="117" t="e">
        <f t="shared" si="1026"/>
        <v>#DIV/0!</v>
      </c>
      <c r="EN348" s="117" t="e">
        <f t="shared" si="1026"/>
        <v>#DIV/0!</v>
      </c>
      <c r="EO348" s="116">
        <f t="shared" si="1026"/>
        <v>0</v>
      </c>
      <c r="EP348" s="117">
        <f t="shared" si="1026"/>
        <v>0</v>
      </c>
      <c r="EQ348" s="117">
        <f t="shared" si="1026"/>
        <v>0</v>
      </c>
      <c r="ER348" s="117">
        <f t="shared" si="1026"/>
        <v>0</v>
      </c>
      <c r="ES348" s="117">
        <f t="shared" si="1026"/>
        <v>0</v>
      </c>
      <c r="ET348" s="117">
        <f t="shared" si="1026"/>
        <v>0</v>
      </c>
      <c r="EU348" s="117">
        <f t="shared" si="1026"/>
        <v>0</v>
      </c>
      <c r="EV348" s="117">
        <f t="shared" si="1026"/>
        <v>0</v>
      </c>
      <c r="EW348" s="117">
        <f t="shared" si="1026"/>
        <v>0</v>
      </c>
      <c r="EX348" s="117">
        <f t="shared" si="1026"/>
        <v>0</v>
      </c>
      <c r="EY348" s="117">
        <f t="shared" si="1026"/>
        <v>0</v>
      </c>
      <c r="EZ348" s="117">
        <f t="shared" si="1026"/>
        <v>0</v>
      </c>
      <c r="FA348" s="117">
        <f t="shared" si="1026"/>
        <v>0</v>
      </c>
      <c r="FB348" s="117">
        <f t="shared" si="1026"/>
        <v>0</v>
      </c>
      <c r="FC348" s="118"/>
      <c r="FD348" s="117"/>
      <c r="FE348" s="117"/>
      <c r="FF348" s="117"/>
      <c r="FG348" s="117"/>
      <c r="FH348" s="117"/>
      <c r="FI348" s="117"/>
      <c r="FJ348" s="117"/>
      <c r="FK348" s="117" t="e">
        <f t="shared" si="991"/>
        <v>#DIV/0!</v>
      </c>
      <c r="FL348" s="117" t="e">
        <f t="shared" si="992"/>
        <v>#DIV/0!</v>
      </c>
      <c r="FM348" s="117" t="e">
        <f t="shared" si="993"/>
        <v>#DIV/0!</v>
      </c>
      <c r="FN348" s="117" t="e">
        <f t="shared" si="994"/>
        <v>#DIV/0!</v>
      </c>
      <c r="FO348" s="9" t="e">
        <f t="shared" si="995"/>
        <v>#DIV/0!</v>
      </c>
      <c r="FP348" s="118">
        <f t="shared" ref="FP348:GB348" si="1027">FP136/FP$211</f>
        <v>0</v>
      </c>
      <c r="FQ348" s="117">
        <f t="shared" si="1027"/>
        <v>9.07443712042967e-6</v>
      </c>
      <c r="FR348" s="117">
        <f t="shared" si="1027"/>
        <v>1.5513590491609e-6</v>
      </c>
      <c r="FS348" s="117">
        <f t="shared" si="1027"/>
        <v>4.18902483134619e-5</v>
      </c>
      <c r="FT348" s="117">
        <f t="shared" si="1027"/>
        <v>0</v>
      </c>
      <c r="FU348" s="117">
        <f t="shared" si="1027"/>
        <v>0</v>
      </c>
      <c r="FV348" s="117">
        <f t="shared" si="1027"/>
        <v>0</v>
      </c>
      <c r="FW348" s="117">
        <f t="shared" si="1027"/>
        <v>0</v>
      </c>
      <c r="FX348" s="117">
        <f t="shared" si="1027"/>
        <v>0</v>
      </c>
      <c r="FY348" s="117">
        <f t="shared" si="1027"/>
        <v>0</v>
      </c>
      <c r="FZ348" s="117">
        <f t="shared" si="1027"/>
        <v>0</v>
      </c>
      <c r="GA348" s="117">
        <f t="shared" si="1027"/>
        <v>0</v>
      </c>
      <c r="GB348" s="116">
        <f t="shared" si="1027"/>
        <v>4.09467728708761e-6</v>
      </c>
    </row>
    <row r="349" spans="1:184">
      <c r="A349" s="147" t="s">
        <v>309</v>
      </c>
      <c r="B349" s="160">
        <f t="shared" si="997"/>
        <v>-0.999007191118931</v>
      </c>
      <c r="C349" s="117">
        <f t="shared" ref="C349:AH349" si="1028">C137/C$211</f>
        <v>0</v>
      </c>
      <c r="D349" s="117">
        <f t="shared" si="1028"/>
        <v>0</v>
      </c>
      <c r="E349" s="117">
        <f t="shared" si="1028"/>
        <v>0</v>
      </c>
      <c r="F349" s="117">
        <f t="shared" si="1028"/>
        <v>0</v>
      </c>
      <c r="G349" s="117">
        <f t="shared" si="1028"/>
        <v>1.17177465028708e-6</v>
      </c>
      <c r="H349" s="117">
        <f t="shared" si="1028"/>
        <v>0</v>
      </c>
      <c r="I349" s="117">
        <f t="shared" si="1028"/>
        <v>0</v>
      </c>
      <c r="J349" s="117">
        <f t="shared" si="1028"/>
        <v>0</v>
      </c>
      <c r="K349" s="117">
        <f t="shared" si="1028"/>
        <v>0</v>
      </c>
      <c r="L349" s="117">
        <f t="shared" si="1028"/>
        <v>0</v>
      </c>
      <c r="M349" s="117">
        <f t="shared" si="1028"/>
        <v>0</v>
      </c>
      <c r="N349" s="117">
        <f t="shared" si="1028"/>
        <v>0</v>
      </c>
      <c r="O349" s="9">
        <f t="shared" si="1028"/>
        <v>7.60047452676138e-8</v>
      </c>
      <c r="P349" s="117">
        <f t="shared" si="1028"/>
        <v>0</v>
      </c>
      <c r="Q349" s="117">
        <f t="shared" si="1028"/>
        <v>0</v>
      </c>
      <c r="R349" s="117">
        <f t="shared" si="1028"/>
        <v>0</v>
      </c>
      <c r="S349" s="117">
        <f t="shared" si="1028"/>
        <v>0</v>
      </c>
      <c r="T349" s="117">
        <f t="shared" si="1028"/>
        <v>0</v>
      </c>
      <c r="U349" s="117">
        <f t="shared" si="1028"/>
        <v>0</v>
      </c>
      <c r="V349" s="117">
        <f t="shared" si="1028"/>
        <v>0</v>
      </c>
      <c r="W349" s="117">
        <f t="shared" si="1028"/>
        <v>0</v>
      </c>
      <c r="X349" s="117">
        <f t="shared" si="1028"/>
        <v>0</v>
      </c>
      <c r="Y349" s="117">
        <f t="shared" si="1028"/>
        <v>0</v>
      </c>
      <c r="Z349" s="117">
        <f t="shared" si="1028"/>
        <v>0</v>
      </c>
      <c r="AA349" s="117">
        <f t="shared" si="1028"/>
        <v>0</v>
      </c>
      <c r="AB349" s="9">
        <f t="shared" si="1028"/>
        <v>0</v>
      </c>
      <c r="AC349" s="117">
        <f t="shared" si="1028"/>
        <v>0</v>
      </c>
      <c r="AD349" s="117">
        <f t="shared" si="1028"/>
        <v>0</v>
      </c>
      <c r="AE349" s="117">
        <f t="shared" si="1028"/>
        <v>0</v>
      </c>
      <c r="AF349" s="117">
        <f t="shared" si="1028"/>
        <v>0</v>
      </c>
      <c r="AG349" s="117">
        <f t="shared" si="1028"/>
        <v>0</v>
      </c>
      <c r="AH349" s="117">
        <f t="shared" si="1028"/>
        <v>0</v>
      </c>
      <c r="AI349" s="117">
        <f t="shared" ref="AI349:BN349" si="1029">AI137/AI$211</f>
        <v>0</v>
      </c>
      <c r="AJ349" s="117">
        <f t="shared" si="1029"/>
        <v>0</v>
      </c>
      <c r="AK349" s="117">
        <f t="shared" si="1029"/>
        <v>0</v>
      </c>
      <c r="AL349" s="117">
        <f t="shared" si="1029"/>
        <v>0</v>
      </c>
      <c r="AM349" s="117">
        <f t="shared" si="1029"/>
        <v>0</v>
      </c>
      <c r="AN349" s="117">
        <f t="shared" si="1029"/>
        <v>0</v>
      </c>
      <c r="AO349" s="9">
        <f t="shared" si="1029"/>
        <v>0</v>
      </c>
      <c r="AP349" s="144">
        <f t="shared" si="1029"/>
        <v>0</v>
      </c>
      <c r="AQ349" s="144">
        <f t="shared" si="1029"/>
        <v>0</v>
      </c>
      <c r="AR349" s="144">
        <f t="shared" si="1029"/>
        <v>0</v>
      </c>
      <c r="AS349" s="144">
        <f t="shared" si="1029"/>
        <v>0</v>
      </c>
      <c r="AT349" s="144">
        <f t="shared" si="1029"/>
        <v>0</v>
      </c>
      <c r="AU349" s="144">
        <f t="shared" si="1029"/>
        <v>0</v>
      </c>
      <c r="AV349" s="144">
        <f t="shared" si="1029"/>
        <v>0</v>
      </c>
      <c r="AW349" s="144">
        <f t="shared" si="1029"/>
        <v>0</v>
      </c>
      <c r="AX349" s="144">
        <f t="shared" si="1029"/>
        <v>0</v>
      </c>
      <c r="AY349" s="144">
        <f t="shared" si="1029"/>
        <v>0</v>
      </c>
      <c r="AZ349" s="144">
        <f t="shared" si="1029"/>
        <v>0</v>
      </c>
      <c r="BA349" s="144">
        <f t="shared" si="1029"/>
        <v>0</v>
      </c>
      <c r="BB349" s="9">
        <f t="shared" si="1029"/>
        <v>0</v>
      </c>
      <c r="BC349" s="144">
        <f t="shared" si="1029"/>
        <v>0</v>
      </c>
      <c r="BD349" s="144">
        <f t="shared" si="1029"/>
        <v>0</v>
      </c>
      <c r="BE349" s="144">
        <f t="shared" si="1029"/>
        <v>0</v>
      </c>
      <c r="BF349" s="144">
        <f t="shared" si="1029"/>
        <v>0</v>
      </c>
      <c r="BG349" s="144">
        <f t="shared" si="1029"/>
        <v>0</v>
      </c>
      <c r="BH349" s="144">
        <f t="shared" si="1029"/>
        <v>0</v>
      </c>
      <c r="BI349" s="144">
        <f t="shared" si="1029"/>
        <v>0</v>
      </c>
      <c r="BJ349" s="144">
        <f t="shared" si="1029"/>
        <v>0</v>
      </c>
      <c r="BK349" s="144">
        <f t="shared" si="1029"/>
        <v>0</v>
      </c>
      <c r="BL349" s="144">
        <f t="shared" si="1029"/>
        <v>0</v>
      </c>
      <c r="BM349" s="144">
        <f t="shared" si="1029"/>
        <v>0</v>
      </c>
      <c r="BN349" s="144">
        <f t="shared" si="1029"/>
        <v>0</v>
      </c>
      <c r="BO349" s="9">
        <f t="shared" ref="BO349:CT349" si="1030">BO137/BO$211</f>
        <v>0</v>
      </c>
      <c r="BP349" s="144">
        <f t="shared" si="1030"/>
        <v>0</v>
      </c>
      <c r="BQ349" s="144">
        <f t="shared" si="1030"/>
        <v>0</v>
      </c>
      <c r="BR349" s="144">
        <f t="shared" si="1030"/>
        <v>0</v>
      </c>
      <c r="BS349" s="144">
        <f t="shared" si="1030"/>
        <v>0</v>
      </c>
      <c r="BT349" s="144">
        <f t="shared" si="1030"/>
        <v>0</v>
      </c>
      <c r="BU349" s="144">
        <f t="shared" si="1030"/>
        <v>0</v>
      </c>
      <c r="BV349" s="144">
        <f t="shared" si="1030"/>
        <v>0</v>
      </c>
      <c r="BW349" s="144">
        <f t="shared" si="1030"/>
        <v>0</v>
      </c>
      <c r="BX349" s="144">
        <f t="shared" si="1030"/>
        <v>0</v>
      </c>
      <c r="BY349" s="144">
        <f t="shared" si="1030"/>
        <v>0</v>
      </c>
      <c r="BZ349" s="144">
        <f t="shared" si="1030"/>
        <v>0</v>
      </c>
      <c r="CA349" s="144">
        <f t="shared" si="1030"/>
        <v>0</v>
      </c>
      <c r="CB349" s="9">
        <f t="shared" si="1030"/>
        <v>0</v>
      </c>
      <c r="CC349" s="144">
        <f t="shared" si="1030"/>
        <v>0</v>
      </c>
      <c r="CD349" s="144">
        <f t="shared" si="1030"/>
        <v>0</v>
      </c>
      <c r="CE349" s="144">
        <f t="shared" si="1030"/>
        <v>0</v>
      </c>
      <c r="CF349" s="144">
        <f t="shared" si="1030"/>
        <v>0</v>
      </c>
      <c r="CG349" s="144">
        <f t="shared" si="1030"/>
        <v>0</v>
      </c>
      <c r="CH349" s="144">
        <f t="shared" si="1030"/>
        <v>0</v>
      </c>
      <c r="CI349" s="144">
        <f t="shared" si="1030"/>
        <v>0</v>
      </c>
      <c r="CJ349" s="144">
        <f t="shared" si="1030"/>
        <v>0</v>
      </c>
      <c r="CK349" s="144">
        <f t="shared" si="1030"/>
        <v>0</v>
      </c>
      <c r="CL349" s="144">
        <f t="shared" si="1030"/>
        <v>0</v>
      </c>
      <c r="CM349" s="144">
        <f t="shared" si="1030"/>
        <v>0</v>
      </c>
      <c r="CN349" s="144">
        <f t="shared" si="1030"/>
        <v>0</v>
      </c>
      <c r="CO349" s="9">
        <f t="shared" si="1030"/>
        <v>0</v>
      </c>
      <c r="CP349" s="144">
        <f t="shared" si="1030"/>
        <v>0</v>
      </c>
      <c r="CQ349" s="144">
        <f t="shared" si="1030"/>
        <v>0</v>
      </c>
      <c r="CR349" s="144">
        <f t="shared" si="1030"/>
        <v>0</v>
      </c>
      <c r="CS349" s="144">
        <f t="shared" si="1030"/>
        <v>0</v>
      </c>
      <c r="CT349" s="144">
        <f t="shared" si="1030"/>
        <v>0</v>
      </c>
      <c r="CU349" s="144">
        <f t="shared" ref="CU349:EB349" si="1031">CU137/CU$211</f>
        <v>0</v>
      </c>
      <c r="CV349" s="144">
        <f t="shared" si="1031"/>
        <v>0</v>
      </c>
      <c r="CW349" s="144">
        <f t="shared" si="1031"/>
        <v>0</v>
      </c>
      <c r="CX349" s="144">
        <f t="shared" si="1031"/>
        <v>0</v>
      </c>
      <c r="CY349" s="144">
        <f t="shared" si="1031"/>
        <v>0</v>
      </c>
      <c r="CZ349" s="144">
        <f t="shared" si="1031"/>
        <v>0</v>
      </c>
      <c r="DA349" s="144">
        <f t="shared" si="1031"/>
        <v>0</v>
      </c>
      <c r="DB349" s="9">
        <f t="shared" si="1031"/>
        <v>0</v>
      </c>
      <c r="DC349" s="144">
        <f t="shared" si="1031"/>
        <v>0</v>
      </c>
      <c r="DD349" s="144">
        <f t="shared" si="1031"/>
        <v>0</v>
      </c>
      <c r="DE349" s="144">
        <f t="shared" si="1031"/>
        <v>0</v>
      </c>
      <c r="DF349" s="144">
        <f t="shared" si="1031"/>
        <v>0</v>
      </c>
      <c r="DG349" s="144">
        <f t="shared" si="1031"/>
        <v>6.95488297833538e-5</v>
      </c>
      <c r="DH349" s="144">
        <f t="shared" si="1031"/>
        <v>0</v>
      </c>
      <c r="DI349" s="144">
        <f t="shared" si="1031"/>
        <v>0</v>
      </c>
      <c r="DJ349" s="144">
        <f t="shared" si="1031"/>
        <v>0</v>
      </c>
      <c r="DK349" s="144">
        <f t="shared" si="1031"/>
        <v>0</v>
      </c>
      <c r="DL349" s="144">
        <f t="shared" si="1031"/>
        <v>0</v>
      </c>
      <c r="DM349" s="144">
        <f t="shared" si="1031"/>
        <v>0</v>
      </c>
      <c r="DN349" s="144">
        <f t="shared" si="1031"/>
        <v>0</v>
      </c>
      <c r="DO349" s="9">
        <f t="shared" si="1031"/>
        <v>5.42913433902833e-6</v>
      </c>
      <c r="DP349" s="144">
        <f t="shared" si="1031"/>
        <v>0</v>
      </c>
      <c r="DQ349" s="144">
        <f t="shared" si="1031"/>
        <v>0</v>
      </c>
      <c r="DR349" s="144">
        <f t="shared" si="1031"/>
        <v>0</v>
      </c>
      <c r="DS349" s="144">
        <f t="shared" si="1031"/>
        <v>0</v>
      </c>
      <c r="DT349" s="144">
        <f t="shared" si="1031"/>
        <v>0</v>
      </c>
      <c r="DU349" s="144">
        <f t="shared" si="1031"/>
        <v>0</v>
      </c>
      <c r="DV349" s="144">
        <f t="shared" si="1031"/>
        <v>0</v>
      </c>
      <c r="DW349" s="144">
        <f t="shared" si="1031"/>
        <v>0</v>
      </c>
      <c r="DX349" s="144">
        <f t="shared" si="1031"/>
        <v>0</v>
      </c>
      <c r="DY349" s="144">
        <f t="shared" si="1031"/>
        <v>0</v>
      </c>
      <c r="DZ349" s="144">
        <f t="shared" si="1031"/>
        <v>0</v>
      </c>
      <c r="EA349" s="144">
        <f t="shared" si="1031"/>
        <v>0</v>
      </c>
      <c r="EB349" s="117">
        <f t="shared" si="1031"/>
        <v>0</v>
      </c>
      <c r="EC349" s="118"/>
      <c r="ED349" s="117">
        <f t="shared" ref="ED349:FB349" si="1032">ED137/ED$211</f>
        <v>0</v>
      </c>
      <c r="EE349" s="117">
        <f t="shared" si="1032"/>
        <v>0</v>
      </c>
      <c r="EF349" s="117">
        <f t="shared" si="1032"/>
        <v>0</v>
      </c>
      <c r="EG349" s="117" t="e">
        <f t="shared" si="1032"/>
        <v>#DIV/0!</v>
      </c>
      <c r="EH349" s="117" t="e">
        <f t="shared" si="1032"/>
        <v>#DIV/0!</v>
      </c>
      <c r="EI349" s="117" t="e">
        <f t="shared" si="1032"/>
        <v>#DIV/0!</v>
      </c>
      <c r="EJ349" s="117" t="e">
        <f t="shared" si="1032"/>
        <v>#DIV/0!</v>
      </c>
      <c r="EK349" s="117" t="e">
        <f t="shared" si="1032"/>
        <v>#DIV/0!</v>
      </c>
      <c r="EL349" s="117" t="e">
        <f t="shared" si="1032"/>
        <v>#DIV/0!</v>
      </c>
      <c r="EM349" s="117" t="e">
        <f t="shared" si="1032"/>
        <v>#DIV/0!</v>
      </c>
      <c r="EN349" s="117" t="e">
        <f t="shared" si="1032"/>
        <v>#DIV/0!</v>
      </c>
      <c r="EO349" s="116">
        <f t="shared" si="1032"/>
        <v>0</v>
      </c>
      <c r="EP349" s="117">
        <f t="shared" si="1032"/>
        <v>0</v>
      </c>
      <c r="EQ349" s="117">
        <f t="shared" si="1032"/>
        <v>0</v>
      </c>
      <c r="ER349" s="117">
        <f t="shared" si="1032"/>
        <v>0</v>
      </c>
      <c r="ES349" s="117">
        <f t="shared" si="1032"/>
        <v>0</v>
      </c>
      <c r="ET349" s="117">
        <f t="shared" si="1032"/>
        <v>0</v>
      </c>
      <c r="EU349" s="117">
        <f t="shared" si="1032"/>
        <v>0</v>
      </c>
      <c r="EV349" s="117">
        <f t="shared" si="1032"/>
        <v>0</v>
      </c>
      <c r="EW349" s="117">
        <f t="shared" si="1032"/>
        <v>0</v>
      </c>
      <c r="EX349" s="117">
        <f t="shared" si="1032"/>
        <v>0</v>
      </c>
      <c r="EY349" s="117">
        <f t="shared" si="1032"/>
        <v>0</v>
      </c>
      <c r="EZ349" s="117">
        <f t="shared" si="1032"/>
        <v>0</v>
      </c>
      <c r="FA349" s="117">
        <f t="shared" si="1032"/>
        <v>0</v>
      </c>
      <c r="FB349" s="117">
        <f t="shared" si="1032"/>
        <v>0</v>
      </c>
      <c r="FC349" s="118"/>
      <c r="FD349" s="117"/>
      <c r="FE349" s="117"/>
      <c r="FF349" s="117"/>
      <c r="FG349" s="117"/>
      <c r="FH349" s="117"/>
      <c r="FI349" s="117"/>
      <c r="FJ349" s="117"/>
      <c r="FK349" s="117" t="e">
        <f t="shared" si="991"/>
        <v>#DIV/0!</v>
      </c>
      <c r="FL349" s="117" t="e">
        <f t="shared" si="992"/>
        <v>#DIV/0!</v>
      </c>
      <c r="FM349" s="117" t="e">
        <f t="shared" si="993"/>
        <v>#DIV/0!</v>
      </c>
      <c r="FN349" s="117" t="e">
        <f t="shared" si="994"/>
        <v>#DIV/0!</v>
      </c>
      <c r="FO349" s="9" t="e">
        <f t="shared" si="995"/>
        <v>#DIV/0!</v>
      </c>
      <c r="FP349" s="118">
        <f t="shared" ref="FP349:GB349" si="1033">FP137/FP$211</f>
        <v>0</v>
      </c>
      <c r="FQ349" s="117">
        <f t="shared" si="1033"/>
        <v>0</v>
      </c>
      <c r="FR349" s="117">
        <f t="shared" si="1033"/>
        <v>0</v>
      </c>
      <c r="FS349" s="117">
        <f t="shared" si="1033"/>
        <v>0</v>
      </c>
      <c r="FT349" s="117">
        <f t="shared" si="1033"/>
        <v>1.89665349035792e-6</v>
      </c>
      <c r="FU349" s="117">
        <f t="shared" si="1033"/>
        <v>0</v>
      </c>
      <c r="FV349" s="117">
        <f t="shared" si="1033"/>
        <v>0</v>
      </c>
      <c r="FW349" s="117">
        <f t="shared" si="1033"/>
        <v>0</v>
      </c>
      <c r="FX349" s="117">
        <f t="shared" si="1033"/>
        <v>0</v>
      </c>
      <c r="FY349" s="117">
        <f t="shared" si="1033"/>
        <v>0</v>
      </c>
      <c r="FZ349" s="117">
        <f t="shared" si="1033"/>
        <v>0</v>
      </c>
      <c r="GA349" s="117">
        <f t="shared" si="1033"/>
        <v>0</v>
      </c>
      <c r="GB349" s="116">
        <f t="shared" si="1033"/>
        <v>1.06737871350728e-7</v>
      </c>
    </row>
    <row r="350" spans="1:184">
      <c r="A350" s="147" t="s">
        <v>310</v>
      </c>
      <c r="B350" s="160">
        <f t="shared" si="997"/>
        <v>-0.907267769796005</v>
      </c>
      <c r="C350" s="117">
        <f t="shared" ref="C350:AH350" si="1034">C138/C$211</f>
        <v>0</v>
      </c>
      <c r="D350" s="117">
        <f t="shared" si="1034"/>
        <v>1.19680878739174e-7</v>
      </c>
      <c r="E350" s="117">
        <f t="shared" si="1034"/>
        <v>1.43268842618666e-7</v>
      </c>
      <c r="F350" s="117">
        <f t="shared" si="1034"/>
        <v>0</v>
      </c>
      <c r="G350" s="117">
        <f t="shared" si="1034"/>
        <v>0</v>
      </c>
      <c r="H350" s="117">
        <f t="shared" si="1034"/>
        <v>0</v>
      </c>
      <c r="I350" s="117">
        <f t="shared" si="1034"/>
        <v>0</v>
      </c>
      <c r="J350" s="117">
        <f t="shared" si="1034"/>
        <v>0</v>
      </c>
      <c r="K350" s="117">
        <f t="shared" si="1034"/>
        <v>0</v>
      </c>
      <c r="L350" s="117">
        <f t="shared" si="1034"/>
        <v>0</v>
      </c>
      <c r="M350" s="117">
        <f t="shared" si="1034"/>
        <v>0</v>
      </c>
      <c r="N350" s="117">
        <f t="shared" si="1034"/>
        <v>0</v>
      </c>
      <c r="O350" s="9">
        <f t="shared" si="1034"/>
        <v>2.34434468253058e-8</v>
      </c>
      <c r="P350" s="117">
        <f t="shared" si="1034"/>
        <v>0</v>
      </c>
      <c r="Q350" s="117">
        <f t="shared" si="1034"/>
        <v>0</v>
      </c>
      <c r="R350" s="117">
        <f t="shared" si="1034"/>
        <v>0</v>
      </c>
      <c r="S350" s="117">
        <f t="shared" si="1034"/>
        <v>0</v>
      </c>
      <c r="T350" s="117">
        <f t="shared" si="1034"/>
        <v>0</v>
      </c>
      <c r="U350" s="117">
        <f t="shared" si="1034"/>
        <v>0</v>
      </c>
      <c r="V350" s="117">
        <f t="shared" si="1034"/>
        <v>0</v>
      </c>
      <c r="W350" s="117">
        <f t="shared" si="1034"/>
        <v>0</v>
      </c>
      <c r="X350" s="117">
        <f t="shared" si="1034"/>
        <v>0</v>
      </c>
      <c r="Y350" s="117">
        <f t="shared" si="1034"/>
        <v>0</v>
      </c>
      <c r="Z350" s="117">
        <f t="shared" si="1034"/>
        <v>0</v>
      </c>
      <c r="AA350" s="117">
        <f t="shared" si="1034"/>
        <v>0</v>
      </c>
      <c r="AB350" s="9">
        <f t="shared" si="1034"/>
        <v>0</v>
      </c>
      <c r="AC350" s="117">
        <f t="shared" si="1034"/>
        <v>0</v>
      </c>
      <c r="AD350" s="117">
        <f t="shared" si="1034"/>
        <v>0</v>
      </c>
      <c r="AE350" s="117">
        <f t="shared" si="1034"/>
        <v>0</v>
      </c>
      <c r="AF350" s="117">
        <f t="shared" si="1034"/>
        <v>0</v>
      </c>
      <c r="AG350" s="117">
        <f t="shared" si="1034"/>
        <v>0</v>
      </c>
      <c r="AH350" s="117">
        <f t="shared" si="1034"/>
        <v>0</v>
      </c>
      <c r="AI350" s="117">
        <f t="shared" ref="AI350:BN350" si="1035">AI138/AI$211</f>
        <v>0</v>
      </c>
      <c r="AJ350" s="117">
        <f t="shared" si="1035"/>
        <v>0</v>
      </c>
      <c r="AK350" s="117">
        <f t="shared" si="1035"/>
        <v>0</v>
      </c>
      <c r="AL350" s="117">
        <f t="shared" si="1035"/>
        <v>0</v>
      </c>
      <c r="AM350" s="117">
        <f t="shared" si="1035"/>
        <v>0</v>
      </c>
      <c r="AN350" s="117">
        <f t="shared" si="1035"/>
        <v>0</v>
      </c>
      <c r="AO350" s="9">
        <f t="shared" si="1035"/>
        <v>0</v>
      </c>
      <c r="AP350" s="144">
        <f t="shared" si="1035"/>
        <v>0</v>
      </c>
      <c r="AQ350" s="144">
        <f t="shared" si="1035"/>
        <v>0</v>
      </c>
      <c r="AR350" s="144">
        <f t="shared" si="1035"/>
        <v>0</v>
      </c>
      <c r="AS350" s="144">
        <f t="shared" si="1035"/>
        <v>0</v>
      </c>
      <c r="AT350" s="144">
        <f t="shared" si="1035"/>
        <v>0</v>
      </c>
      <c r="AU350" s="144">
        <f t="shared" si="1035"/>
        <v>0</v>
      </c>
      <c r="AV350" s="144">
        <f t="shared" si="1035"/>
        <v>0</v>
      </c>
      <c r="AW350" s="144">
        <f t="shared" si="1035"/>
        <v>0</v>
      </c>
      <c r="AX350" s="144">
        <f t="shared" si="1035"/>
        <v>0</v>
      </c>
      <c r="AY350" s="144">
        <f t="shared" si="1035"/>
        <v>0</v>
      </c>
      <c r="AZ350" s="144">
        <f t="shared" si="1035"/>
        <v>0</v>
      </c>
      <c r="BA350" s="144">
        <f t="shared" si="1035"/>
        <v>0</v>
      </c>
      <c r="BB350" s="9">
        <f t="shared" si="1035"/>
        <v>0</v>
      </c>
      <c r="BC350" s="144">
        <f t="shared" si="1035"/>
        <v>0</v>
      </c>
      <c r="BD350" s="144">
        <f t="shared" si="1035"/>
        <v>0</v>
      </c>
      <c r="BE350" s="144">
        <f t="shared" si="1035"/>
        <v>0</v>
      </c>
      <c r="BF350" s="144">
        <f t="shared" si="1035"/>
        <v>0</v>
      </c>
      <c r="BG350" s="144">
        <f t="shared" si="1035"/>
        <v>0</v>
      </c>
      <c r="BH350" s="144">
        <f t="shared" si="1035"/>
        <v>0</v>
      </c>
      <c r="BI350" s="144">
        <f t="shared" si="1035"/>
        <v>0</v>
      </c>
      <c r="BJ350" s="144">
        <f t="shared" si="1035"/>
        <v>0</v>
      </c>
      <c r="BK350" s="144">
        <f t="shared" si="1035"/>
        <v>0</v>
      </c>
      <c r="BL350" s="144">
        <f t="shared" si="1035"/>
        <v>0</v>
      </c>
      <c r="BM350" s="144">
        <f t="shared" si="1035"/>
        <v>0</v>
      </c>
      <c r="BN350" s="144">
        <f t="shared" si="1035"/>
        <v>0</v>
      </c>
      <c r="BO350" s="9">
        <f t="shared" ref="BO350:CT350" si="1036">BO138/BO$211</f>
        <v>0</v>
      </c>
      <c r="BP350" s="144">
        <f t="shared" si="1036"/>
        <v>0</v>
      </c>
      <c r="BQ350" s="144">
        <f t="shared" si="1036"/>
        <v>0</v>
      </c>
      <c r="BR350" s="144">
        <f t="shared" si="1036"/>
        <v>7.2779492961041e-7</v>
      </c>
      <c r="BS350" s="144">
        <f t="shared" si="1036"/>
        <v>0</v>
      </c>
      <c r="BT350" s="144">
        <f t="shared" si="1036"/>
        <v>0</v>
      </c>
      <c r="BU350" s="144">
        <f t="shared" si="1036"/>
        <v>0</v>
      </c>
      <c r="BV350" s="144">
        <f t="shared" si="1036"/>
        <v>0</v>
      </c>
      <c r="BW350" s="144">
        <f t="shared" si="1036"/>
        <v>0</v>
      </c>
      <c r="BX350" s="144">
        <f t="shared" si="1036"/>
        <v>0</v>
      </c>
      <c r="BY350" s="144">
        <f t="shared" si="1036"/>
        <v>0</v>
      </c>
      <c r="BZ350" s="144">
        <f t="shared" si="1036"/>
        <v>0</v>
      </c>
      <c r="CA350" s="144">
        <f t="shared" si="1036"/>
        <v>0</v>
      </c>
      <c r="CB350" s="9">
        <f t="shared" si="1036"/>
        <v>6.54344253256622e-8</v>
      </c>
      <c r="CC350" s="144">
        <f t="shared" si="1036"/>
        <v>0</v>
      </c>
      <c r="CD350" s="144">
        <f t="shared" si="1036"/>
        <v>1.14096814332746e-5</v>
      </c>
      <c r="CE350" s="144">
        <f t="shared" si="1036"/>
        <v>0</v>
      </c>
      <c r="CF350" s="144">
        <f t="shared" si="1036"/>
        <v>0</v>
      </c>
      <c r="CG350" s="144">
        <f t="shared" si="1036"/>
        <v>0</v>
      </c>
      <c r="CH350" s="144">
        <f t="shared" si="1036"/>
        <v>0</v>
      </c>
      <c r="CI350" s="144">
        <f t="shared" si="1036"/>
        <v>0</v>
      </c>
      <c r="CJ350" s="144">
        <f t="shared" si="1036"/>
        <v>0</v>
      </c>
      <c r="CK350" s="144">
        <f t="shared" si="1036"/>
        <v>0</v>
      </c>
      <c r="CL350" s="144">
        <f t="shared" si="1036"/>
        <v>0</v>
      </c>
      <c r="CM350" s="144">
        <f t="shared" si="1036"/>
        <v>0</v>
      </c>
      <c r="CN350" s="144">
        <f t="shared" si="1036"/>
        <v>0</v>
      </c>
      <c r="CO350" s="9">
        <f t="shared" si="1036"/>
        <v>5.36041128332323e-7</v>
      </c>
      <c r="CP350" s="144">
        <f t="shared" si="1036"/>
        <v>0</v>
      </c>
      <c r="CQ350" s="144">
        <f t="shared" si="1036"/>
        <v>0</v>
      </c>
      <c r="CR350" s="144">
        <f t="shared" si="1036"/>
        <v>0</v>
      </c>
      <c r="CS350" s="144">
        <f t="shared" si="1036"/>
        <v>0</v>
      </c>
      <c r="CT350" s="144">
        <f t="shared" si="1036"/>
        <v>0</v>
      </c>
      <c r="CU350" s="144">
        <f t="shared" ref="CU350:EB350" si="1037">CU138/CU$211</f>
        <v>0</v>
      </c>
      <c r="CV350" s="144">
        <f t="shared" si="1037"/>
        <v>0</v>
      </c>
      <c r="CW350" s="144">
        <f t="shared" si="1037"/>
        <v>0</v>
      </c>
      <c r="CX350" s="144">
        <f t="shared" si="1037"/>
        <v>0</v>
      </c>
      <c r="CY350" s="144">
        <f t="shared" si="1037"/>
        <v>0</v>
      </c>
      <c r="CZ350" s="144">
        <f t="shared" si="1037"/>
        <v>0</v>
      </c>
      <c r="DA350" s="144">
        <f t="shared" si="1037"/>
        <v>0</v>
      </c>
      <c r="DB350" s="9">
        <f t="shared" si="1037"/>
        <v>0</v>
      </c>
      <c r="DC350" s="144">
        <f t="shared" si="1037"/>
        <v>0</v>
      </c>
      <c r="DD350" s="144">
        <f t="shared" si="1037"/>
        <v>0</v>
      </c>
      <c r="DE350" s="144">
        <f t="shared" si="1037"/>
        <v>0</v>
      </c>
      <c r="DF350" s="144">
        <f t="shared" si="1037"/>
        <v>0</v>
      </c>
      <c r="DG350" s="144">
        <f t="shared" si="1037"/>
        <v>0</v>
      </c>
      <c r="DH350" s="144">
        <f t="shared" si="1037"/>
        <v>0</v>
      </c>
      <c r="DI350" s="144">
        <f t="shared" si="1037"/>
        <v>0</v>
      </c>
      <c r="DJ350" s="144">
        <f t="shared" si="1037"/>
        <v>0</v>
      </c>
      <c r="DK350" s="144">
        <f t="shared" si="1037"/>
        <v>0</v>
      </c>
      <c r="DL350" s="144">
        <f t="shared" si="1037"/>
        <v>0</v>
      </c>
      <c r="DM350" s="144">
        <f t="shared" si="1037"/>
        <v>0</v>
      </c>
      <c r="DN350" s="144">
        <f t="shared" si="1037"/>
        <v>0</v>
      </c>
      <c r="DO350" s="9">
        <f t="shared" si="1037"/>
        <v>0</v>
      </c>
      <c r="DP350" s="144">
        <f t="shared" si="1037"/>
        <v>0</v>
      </c>
      <c r="DQ350" s="144">
        <f t="shared" si="1037"/>
        <v>0</v>
      </c>
      <c r="DR350" s="144">
        <f t="shared" si="1037"/>
        <v>0</v>
      </c>
      <c r="DS350" s="144">
        <f t="shared" si="1037"/>
        <v>0</v>
      </c>
      <c r="DT350" s="144">
        <f t="shared" si="1037"/>
        <v>0</v>
      </c>
      <c r="DU350" s="144">
        <f t="shared" si="1037"/>
        <v>0</v>
      </c>
      <c r="DV350" s="144">
        <f t="shared" si="1037"/>
        <v>0</v>
      </c>
      <c r="DW350" s="144">
        <f t="shared" si="1037"/>
        <v>0</v>
      </c>
      <c r="DX350" s="144">
        <f t="shared" si="1037"/>
        <v>0</v>
      </c>
      <c r="DY350" s="144">
        <f t="shared" si="1037"/>
        <v>0</v>
      </c>
      <c r="DZ350" s="144">
        <f t="shared" si="1037"/>
        <v>0</v>
      </c>
      <c r="EA350" s="144">
        <f t="shared" si="1037"/>
        <v>0</v>
      </c>
      <c r="EB350" s="117">
        <f t="shared" si="1037"/>
        <v>0</v>
      </c>
      <c r="EC350" s="118"/>
      <c r="ED350" s="117">
        <f t="shared" ref="ED350:FB350" si="1038">ED138/ED$211</f>
        <v>0</v>
      </c>
      <c r="EE350" s="117">
        <f t="shared" si="1038"/>
        <v>0</v>
      </c>
      <c r="EF350" s="117">
        <f t="shared" si="1038"/>
        <v>0</v>
      </c>
      <c r="EG350" s="117" t="e">
        <f t="shared" si="1038"/>
        <v>#DIV/0!</v>
      </c>
      <c r="EH350" s="117" t="e">
        <f t="shared" si="1038"/>
        <v>#DIV/0!</v>
      </c>
      <c r="EI350" s="117" t="e">
        <f t="shared" si="1038"/>
        <v>#DIV/0!</v>
      </c>
      <c r="EJ350" s="117" t="e">
        <f t="shared" si="1038"/>
        <v>#DIV/0!</v>
      </c>
      <c r="EK350" s="117" t="e">
        <f t="shared" si="1038"/>
        <v>#DIV/0!</v>
      </c>
      <c r="EL350" s="117" t="e">
        <f t="shared" si="1038"/>
        <v>#DIV/0!</v>
      </c>
      <c r="EM350" s="117" t="e">
        <f t="shared" si="1038"/>
        <v>#DIV/0!</v>
      </c>
      <c r="EN350" s="117" t="e">
        <f t="shared" si="1038"/>
        <v>#DIV/0!</v>
      </c>
      <c r="EO350" s="116">
        <f t="shared" si="1038"/>
        <v>0</v>
      </c>
      <c r="EP350" s="117">
        <f t="shared" si="1038"/>
        <v>0</v>
      </c>
      <c r="EQ350" s="117">
        <f t="shared" si="1038"/>
        <v>0</v>
      </c>
      <c r="ER350" s="117">
        <f t="shared" si="1038"/>
        <v>0</v>
      </c>
      <c r="ES350" s="117">
        <f t="shared" si="1038"/>
        <v>0</v>
      </c>
      <c r="ET350" s="117">
        <f t="shared" si="1038"/>
        <v>0</v>
      </c>
      <c r="EU350" s="117">
        <f t="shared" si="1038"/>
        <v>0</v>
      </c>
      <c r="EV350" s="117">
        <f t="shared" si="1038"/>
        <v>0</v>
      </c>
      <c r="EW350" s="117">
        <f t="shared" si="1038"/>
        <v>0</v>
      </c>
      <c r="EX350" s="117">
        <f t="shared" si="1038"/>
        <v>0</v>
      </c>
      <c r="EY350" s="117">
        <f t="shared" si="1038"/>
        <v>0</v>
      </c>
      <c r="EZ350" s="117">
        <f t="shared" si="1038"/>
        <v>0</v>
      </c>
      <c r="FA350" s="117">
        <f t="shared" si="1038"/>
        <v>0</v>
      </c>
      <c r="FB350" s="117">
        <f t="shared" si="1038"/>
        <v>0</v>
      </c>
      <c r="FC350" s="118"/>
      <c r="FD350" s="117"/>
      <c r="FE350" s="117"/>
      <c r="FF350" s="117"/>
      <c r="FG350" s="117"/>
      <c r="FH350" s="117"/>
      <c r="FI350" s="117"/>
      <c r="FJ350" s="117"/>
      <c r="FK350" s="117" t="e">
        <f t="shared" si="991"/>
        <v>#DIV/0!</v>
      </c>
      <c r="FL350" s="117" t="e">
        <f t="shared" si="992"/>
        <v>#DIV/0!</v>
      </c>
      <c r="FM350" s="117" t="e">
        <f t="shared" si="993"/>
        <v>#DIV/0!</v>
      </c>
      <c r="FN350" s="117" t="e">
        <f t="shared" si="994"/>
        <v>#DIV/0!</v>
      </c>
      <c r="FO350" s="9" t="e">
        <f t="shared" si="995"/>
        <v>#DIV/0!</v>
      </c>
      <c r="FP350" s="118">
        <f t="shared" ref="FP350:GB350" si="1039">FP138/FP$211</f>
        <v>0</v>
      </c>
      <c r="FQ350" s="117">
        <f t="shared" si="1039"/>
        <v>0</v>
      </c>
      <c r="FR350" s="117">
        <f t="shared" si="1039"/>
        <v>0</v>
      </c>
      <c r="FS350" s="117">
        <f t="shared" si="1039"/>
        <v>0</v>
      </c>
      <c r="FT350" s="117">
        <f t="shared" si="1039"/>
        <v>0</v>
      </c>
      <c r="FU350" s="117">
        <f t="shared" si="1039"/>
        <v>0</v>
      </c>
      <c r="FV350" s="117">
        <f t="shared" si="1039"/>
        <v>0</v>
      </c>
      <c r="FW350" s="117">
        <f t="shared" si="1039"/>
        <v>0</v>
      </c>
      <c r="FX350" s="117">
        <f t="shared" si="1039"/>
        <v>0</v>
      </c>
      <c r="FY350" s="117">
        <f t="shared" si="1039"/>
        <v>0</v>
      </c>
      <c r="FZ350" s="117">
        <f t="shared" si="1039"/>
        <v>0</v>
      </c>
      <c r="GA350" s="117">
        <f t="shared" si="1039"/>
        <v>0</v>
      </c>
      <c r="GB350" s="116">
        <f t="shared" si="1039"/>
        <v>0</v>
      </c>
    </row>
    <row r="351" spans="1:184">
      <c r="A351" s="147" t="s">
        <v>311</v>
      </c>
      <c r="B351" s="160">
        <f t="shared" si="997"/>
        <v>-1</v>
      </c>
      <c r="C351" s="117">
        <f t="shared" ref="C351:AH351" si="1040">C139/C$211</f>
        <v>0</v>
      </c>
      <c r="D351" s="117">
        <f t="shared" si="1040"/>
        <v>0</v>
      </c>
      <c r="E351" s="117">
        <f t="shared" si="1040"/>
        <v>0</v>
      </c>
      <c r="F351" s="117">
        <f t="shared" si="1040"/>
        <v>0</v>
      </c>
      <c r="G351" s="117">
        <f t="shared" si="1040"/>
        <v>0</v>
      </c>
      <c r="H351" s="117">
        <f t="shared" si="1040"/>
        <v>0</v>
      </c>
      <c r="I351" s="117">
        <f t="shared" si="1040"/>
        <v>0</v>
      </c>
      <c r="J351" s="117">
        <f t="shared" si="1040"/>
        <v>0</v>
      </c>
      <c r="K351" s="117">
        <f t="shared" si="1040"/>
        <v>0</v>
      </c>
      <c r="L351" s="117">
        <f t="shared" si="1040"/>
        <v>0</v>
      </c>
      <c r="M351" s="117">
        <f t="shared" si="1040"/>
        <v>0</v>
      </c>
      <c r="N351" s="117">
        <f t="shared" si="1040"/>
        <v>0</v>
      </c>
      <c r="O351" s="9">
        <f t="shared" si="1040"/>
        <v>0</v>
      </c>
      <c r="P351" s="117">
        <f t="shared" si="1040"/>
        <v>0</v>
      </c>
      <c r="Q351" s="117">
        <f t="shared" si="1040"/>
        <v>0</v>
      </c>
      <c r="R351" s="117">
        <f t="shared" si="1040"/>
        <v>0</v>
      </c>
      <c r="S351" s="117">
        <f t="shared" si="1040"/>
        <v>0</v>
      </c>
      <c r="T351" s="117">
        <f t="shared" si="1040"/>
        <v>0</v>
      </c>
      <c r="U351" s="117">
        <f t="shared" si="1040"/>
        <v>0</v>
      </c>
      <c r="V351" s="117">
        <f t="shared" si="1040"/>
        <v>0</v>
      </c>
      <c r="W351" s="117">
        <f t="shared" si="1040"/>
        <v>0</v>
      </c>
      <c r="X351" s="117">
        <f t="shared" si="1040"/>
        <v>0</v>
      </c>
      <c r="Y351" s="117">
        <f t="shared" si="1040"/>
        <v>0</v>
      </c>
      <c r="Z351" s="117">
        <f t="shared" si="1040"/>
        <v>0</v>
      </c>
      <c r="AA351" s="117">
        <f t="shared" si="1040"/>
        <v>0</v>
      </c>
      <c r="AB351" s="9">
        <f t="shared" si="1040"/>
        <v>0</v>
      </c>
      <c r="AC351" s="117">
        <f t="shared" si="1040"/>
        <v>0</v>
      </c>
      <c r="AD351" s="117">
        <f t="shared" si="1040"/>
        <v>0</v>
      </c>
      <c r="AE351" s="117">
        <f t="shared" si="1040"/>
        <v>0</v>
      </c>
      <c r="AF351" s="117">
        <f t="shared" si="1040"/>
        <v>0</v>
      </c>
      <c r="AG351" s="117">
        <f t="shared" si="1040"/>
        <v>0</v>
      </c>
      <c r="AH351" s="117">
        <f t="shared" si="1040"/>
        <v>0</v>
      </c>
      <c r="AI351" s="117">
        <f t="shared" ref="AI351:BN351" si="1041">AI139/AI$211</f>
        <v>0</v>
      </c>
      <c r="AJ351" s="117">
        <f t="shared" si="1041"/>
        <v>0</v>
      </c>
      <c r="AK351" s="117">
        <f t="shared" si="1041"/>
        <v>0</v>
      </c>
      <c r="AL351" s="117">
        <f t="shared" si="1041"/>
        <v>0</v>
      </c>
      <c r="AM351" s="117">
        <f t="shared" si="1041"/>
        <v>0</v>
      </c>
      <c r="AN351" s="117">
        <f t="shared" si="1041"/>
        <v>0</v>
      </c>
      <c r="AO351" s="9">
        <f t="shared" si="1041"/>
        <v>0</v>
      </c>
      <c r="AP351" s="144">
        <f t="shared" si="1041"/>
        <v>0</v>
      </c>
      <c r="AQ351" s="144">
        <f t="shared" si="1041"/>
        <v>0</v>
      </c>
      <c r="AR351" s="144">
        <f t="shared" si="1041"/>
        <v>0</v>
      </c>
      <c r="AS351" s="144">
        <f t="shared" si="1041"/>
        <v>0</v>
      </c>
      <c r="AT351" s="144">
        <f t="shared" si="1041"/>
        <v>0</v>
      </c>
      <c r="AU351" s="144">
        <f t="shared" si="1041"/>
        <v>0</v>
      </c>
      <c r="AV351" s="144">
        <f t="shared" si="1041"/>
        <v>0</v>
      </c>
      <c r="AW351" s="144">
        <f t="shared" si="1041"/>
        <v>0</v>
      </c>
      <c r="AX351" s="144">
        <f t="shared" si="1041"/>
        <v>0</v>
      </c>
      <c r="AY351" s="144">
        <f t="shared" si="1041"/>
        <v>0</v>
      </c>
      <c r="AZ351" s="144">
        <f t="shared" si="1041"/>
        <v>0</v>
      </c>
      <c r="BA351" s="144">
        <f t="shared" si="1041"/>
        <v>0</v>
      </c>
      <c r="BB351" s="9">
        <f t="shared" si="1041"/>
        <v>0</v>
      </c>
      <c r="BC351" s="144">
        <f t="shared" si="1041"/>
        <v>0</v>
      </c>
      <c r="BD351" s="144">
        <f t="shared" si="1041"/>
        <v>0</v>
      </c>
      <c r="BE351" s="144">
        <f t="shared" si="1041"/>
        <v>0</v>
      </c>
      <c r="BF351" s="144">
        <f t="shared" si="1041"/>
        <v>0</v>
      </c>
      <c r="BG351" s="144">
        <f t="shared" si="1041"/>
        <v>0</v>
      </c>
      <c r="BH351" s="144">
        <f t="shared" si="1041"/>
        <v>0</v>
      </c>
      <c r="BI351" s="144">
        <f t="shared" si="1041"/>
        <v>0</v>
      </c>
      <c r="BJ351" s="144">
        <f t="shared" si="1041"/>
        <v>0</v>
      </c>
      <c r="BK351" s="144">
        <f t="shared" si="1041"/>
        <v>0</v>
      </c>
      <c r="BL351" s="144">
        <f t="shared" si="1041"/>
        <v>0</v>
      </c>
      <c r="BM351" s="144">
        <f t="shared" si="1041"/>
        <v>0</v>
      </c>
      <c r="BN351" s="144">
        <f t="shared" si="1041"/>
        <v>0</v>
      </c>
      <c r="BO351" s="9">
        <f t="shared" ref="BO351:CT351" si="1042">BO139/BO$211</f>
        <v>0</v>
      </c>
      <c r="BP351" s="144">
        <f t="shared" si="1042"/>
        <v>0</v>
      </c>
      <c r="BQ351" s="144">
        <f t="shared" si="1042"/>
        <v>0</v>
      </c>
      <c r="BR351" s="144">
        <f t="shared" si="1042"/>
        <v>0</v>
      </c>
      <c r="BS351" s="144">
        <f t="shared" si="1042"/>
        <v>0</v>
      </c>
      <c r="BT351" s="144">
        <f t="shared" si="1042"/>
        <v>0</v>
      </c>
      <c r="BU351" s="144">
        <f t="shared" si="1042"/>
        <v>0</v>
      </c>
      <c r="BV351" s="144">
        <f t="shared" si="1042"/>
        <v>0</v>
      </c>
      <c r="BW351" s="144">
        <f t="shared" si="1042"/>
        <v>0</v>
      </c>
      <c r="BX351" s="144">
        <f t="shared" si="1042"/>
        <v>0</v>
      </c>
      <c r="BY351" s="144">
        <f t="shared" si="1042"/>
        <v>0</v>
      </c>
      <c r="BZ351" s="144">
        <f t="shared" si="1042"/>
        <v>0</v>
      </c>
      <c r="CA351" s="144">
        <f t="shared" si="1042"/>
        <v>0</v>
      </c>
      <c r="CB351" s="9">
        <f t="shared" si="1042"/>
        <v>0</v>
      </c>
      <c r="CC351" s="144">
        <f t="shared" si="1042"/>
        <v>0</v>
      </c>
      <c r="CD351" s="144">
        <f t="shared" si="1042"/>
        <v>0</v>
      </c>
      <c r="CE351" s="144">
        <f t="shared" si="1042"/>
        <v>0</v>
      </c>
      <c r="CF351" s="144">
        <f t="shared" si="1042"/>
        <v>0</v>
      </c>
      <c r="CG351" s="144">
        <f t="shared" si="1042"/>
        <v>0</v>
      </c>
      <c r="CH351" s="144">
        <f t="shared" si="1042"/>
        <v>0</v>
      </c>
      <c r="CI351" s="144">
        <f t="shared" si="1042"/>
        <v>0</v>
      </c>
      <c r="CJ351" s="144">
        <f t="shared" si="1042"/>
        <v>0</v>
      </c>
      <c r="CK351" s="144">
        <f t="shared" si="1042"/>
        <v>0</v>
      </c>
      <c r="CL351" s="144">
        <f t="shared" si="1042"/>
        <v>0</v>
      </c>
      <c r="CM351" s="144">
        <f t="shared" si="1042"/>
        <v>0</v>
      </c>
      <c r="CN351" s="144">
        <f t="shared" si="1042"/>
        <v>0</v>
      </c>
      <c r="CO351" s="9">
        <f t="shared" si="1042"/>
        <v>0</v>
      </c>
      <c r="CP351" s="144">
        <f t="shared" si="1042"/>
        <v>0</v>
      </c>
      <c r="CQ351" s="144">
        <f t="shared" si="1042"/>
        <v>0</v>
      </c>
      <c r="CR351" s="144">
        <f t="shared" si="1042"/>
        <v>0</v>
      </c>
      <c r="CS351" s="144">
        <f t="shared" si="1042"/>
        <v>0</v>
      </c>
      <c r="CT351" s="144">
        <f t="shared" si="1042"/>
        <v>0</v>
      </c>
      <c r="CU351" s="144">
        <f t="shared" ref="CU351:EB351" si="1043">CU139/CU$211</f>
        <v>0</v>
      </c>
      <c r="CV351" s="144">
        <f t="shared" si="1043"/>
        <v>0</v>
      </c>
      <c r="CW351" s="144">
        <f t="shared" si="1043"/>
        <v>0</v>
      </c>
      <c r="CX351" s="144">
        <f t="shared" si="1043"/>
        <v>0</v>
      </c>
      <c r="CY351" s="144">
        <f t="shared" si="1043"/>
        <v>0</v>
      </c>
      <c r="CZ351" s="144">
        <f t="shared" si="1043"/>
        <v>0</v>
      </c>
      <c r="DA351" s="144">
        <f t="shared" si="1043"/>
        <v>0</v>
      </c>
      <c r="DB351" s="9">
        <f t="shared" si="1043"/>
        <v>0</v>
      </c>
      <c r="DC351" s="144">
        <f t="shared" si="1043"/>
        <v>0</v>
      </c>
      <c r="DD351" s="144">
        <f t="shared" si="1043"/>
        <v>0</v>
      </c>
      <c r="DE351" s="144">
        <f t="shared" si="1043"/>
        <v>0</v>
      </c>
      <c r="DF351" s="144">
        <f t="shared" si="1043"/>
        <v>0</v>
      </c>
      <c r="DG351" s="144">
        <f t="shared" si="1043"/>
        <v>0</v>
      </c>
      <c r="DH351" s="144">
        <f t="shared" si="1043"/>
        <v>0</v>
      </c>
      <c r="DI351" s="144">
        <f t="shared" si="1043"/>
        <v>0</v>
      </c>
      <c r="DJ351" s="144">
        <f t="shared" si="1043"/>
        <v>0</v>
      </c>
      <c r="DK351" s="144">
        <f t="shared" si="1043"/>
        <v>0</v>
      </c>
      <c r="DL351" s="144">
        <f t="shared" si="1043"/>
        <v>0</v>
      </c>
      <c r="DM351" s="144">
        <f t="shared" si="1043"/>
        <v>0</v>
      </c>
      <c r="DN351" s="144">
        <f t="shared" si="1043"/>
        <v>0</v>
      </c>
      <c r="DO351" s="9">
        <f t="shared" si="1043"/>
        <v>0</v>
      </c>
      <c r="DP351" s="144">
        <f t="shared" si="1043"/>
        <v>0</v>
      </c>
      <c r="DQ351" s="144">
        <f t="shared" si="1043"/>
        <v>0</v>
      </c>
      <c r="DR351" s="144">
        <f t="shared" si="1043"/>
        <v>0</v>
      </c>
      <c r="DS351" s="144">
        <f t="shared" si="1043"/>
        <v>0</v>
      </c>
      <c r="DT351" s="144">
        <f t="shared" si="1043"/>
        <v>0</v>
      </c>
      <c r="DU351" s="144">
        <f t="shared" si="1043"/>
        <v>0</v>
      </c>
      <c r="DV351" s="144">
        <f t="shared" si="1043"/>
        <v>0</v>
      </c>
      <c r="DW351" s="144">
        <f t="shared" si="1043"/>
        <v>0</v>
      </c>
      <c r="DX351" s="144">
        <f t="shared" si="1043"/>
        <v>0</v>
      </c>
      <c r="DY351" s="144">
        <f t="shared" si="1043"/>
        <v>0</v>
      </c>
      <c r="DZ351" s="144">
        <f t="shared" si="1043"/>
        <v>0</v>
      </c>
      <c r="EA351" s="144">
        <f t="shared" si="1043"/>
        <v>0</v>
      </c>
      <c r="EB351" s="117">
        <f t="shared" si="1043"/>
        <v>0</v>
      </c>
      <c r="EC351" s="118"/>
      <c r="ED351" s="117">
        <f t="shared" ref="ED351:FB351" si="1044">ED139/ED$211</f>
        <v>0</v>
      </c>
      <c r="EE351" s="117">
        <f t="shared" si="1044"/>
        <v>0</v>
      </c>
      <c r="EF351" s="117">
        <f t="shared" si="1044"/>
        <v>0</v>
      </c>
      <c r="EG351" s="117" t="e">
        <f t="shared" si="1044"/>
        <v>#DIV/0!</v>
      </c>
      <c r="EH351" s="117" t="e">
        <f t="shared" si="1044"/>
        <v>#DIV/0!</v>
      </c>
      <c r="EI351" s="117" t="e">
        <f t="shared" si="1044"/>
        <v>#DIV/0!</v>
      </c>
      <c r="EJ351" s="117" t="e">
        <f t="shared" si="1044"/>
        <v>#DIV/0!</v>
      </c>
      <c r="EK351" s="117" t="e">
        <f t="shared" si="1044"/>
        <v>#DIV/0!</v>
      </c>
      <c r="EL351" s="117" t="e">
        <f t="shared" si="1044"/>
        <v>#DIV/0!</v>
      </c>
      <c r="EM351" s="117" t="e">
        <f t="shared" si="1044"/>
        <v>#DIV/0!</v>
      </c>
      <c r="EN351" s="117" t="e">
        <f t="shared" si="1044"/>
        <v>#DIV/0!</v>
      </c>
      <c r="EO351" s="116">
        <f t="shared" si="1044"/>
        <v>0</v>
      </c>
      <c r="EP351" s="117">
        <f t="shared" si="1044"/>
        <v>0</v>
      </c>
      <c r="EQ351" s="117">
        <f t="shared" si="1044"/>
        <v>0</v>
      </c>
      <c r="ER351" s="117">
        <f t="shared" si="1044"/>
        <v>0</v>
      </c>
      <c r="ES351" s="117">
        <f t="shared" si="1044"/>
        <v>0</v>
      </c>
      <c r="ET351" s="117">
        <f t="shared" si="1044"/>
        <v>0</v>
      </c>
      <c r="EU351" s="117">
        <f t="shared" si="1044"/>
        <v>0</v>
      </c>
      <c r="EV351" s="117">
        <f t="shared" si="1044"/>
        <v>0</v>
      </c>
      <c r="EW351" s="117">
        <f t="shared" si="1044"/>
        <v>0</v>
      </c>
      <c r="EX351" s="117">
        <f t="shared" si="1044"/>
        <v>0</v>
      </c>
      <c r="EY351" s="117">
        <f t="shared" si="1044"/>
        <v>0</v>
      </c>
      <c r="EZ351" s="117">
        <f t="shared" si="1044"/>
        <v>0</v>
      </c>
      <c r="FA351" s="117">
        <f t="shared" si="1044"/>
        <v>0</v>
      </c>
      <c r="FB351" s="117">
        <f t="shared" si="1044"/>
        <v>0</v>
      </c>
      <c r="FC351" s="118"/>
      <c r="FD351" s="117"/>
      <c r="FE351" s="117"/>
      <c r="FF351" s="117"/>
      <c r="FG351" s="117"/>
      <c r="FH351" s="117"/>
      <c r="FI351" s="117"/>
      <c r="FJ351" s="117"/>
      <c r="FK351" s="117" t="e">
        <f t="shared" si="991"/>
        <v>#DIV/0!</v>
      </c>
      <c r="FL351" s="117" t="e">
        <f t="shared" si="992"/>
        <v>#DIV/0!</v>
      </c>
      <c r="FM351" s="117" t="e">
        <f t="shared" si="993"/>
        <v>#DIV/0!</v>
      </c>
      <c r="FN351" s="117" t="e">
        <f t="shared" si="994"/>
        <v>#DIV/0!</v>
      </c>
      <c r="FO351" s="9" t="e">
        <f t="shared" si="995"/>
        <v>#DIV/0!</v>
      </c>
      <c r="FP351" s="118">
        <f t="shared" ref="FP351:GB351" si="1045">FP139/FP$211</f>
        <v>0</v>
      </c>
      <c r="FQ351" s="117">
        <f t="shared" si="1045"/>
        <v>0</v>
      </c>
      <c r="FR351" s="117">
        <f t="shared" si="1045"/>
        <v>0</v>
      </c>
      <c r="FS351" s="117">
        <f t="shared" si="1045"/>
        <v>0</v>
      </c>
      <c r="FT351" s="117">
        <f t="shared" si="1045"/>
        <v>0</v>
      </c>
      <c r="FU351" s="117">
        <f t="shared" si="1045"/>
        <v>0</v>
      </c>
      <c r="FV351" s="117">
        <f t="shared" si="1045"/>
        <v>0</v>
      </c>
      <c r="FW351" s="117">
        <f t="shared" si="1045"/>
        <v>0</v>
      </c>
      <c r="FX351" s="117">
        <f t="shared" si="1045"/>
        <v>0</v>
      </c>
      <c r="FY351" s="117">
        <f t="shared" si="1045"/>
        <v>0</v>
      </c>
      <c r="FZ351" s="117">
        <f t="shared" si="1045"/>
        <v>0</v>
      </c>
      <c r="GA351" s="117">
        <f t="shared" si="1045"/>
        <v>0</v>
      </c>
      <c r="GB351" s="116">
        <f t="shared" si="1045"/>
        <v>0</v>
      </c>
    </row>
    <row r="352" spans="1:184">
      <c r="A352" s="147" t="s">
        <v>312</v>
      </c>
      <c r="B352" s="160" t="e">
        <f t="shared" si="997"/>
        <v>#DIV/0!</v>
      </c>
      <c r="C352" s="117">
        <f t="shared" ref="C352:AH352" si="1046">C140/C$211</f>
        <v>0</v>
      </c>
      <c r="D352" s="117">
        <f t="shared" si="1046"/>
        <v>0</v>
      </c>
      <c r="E352" s="117">
        <f t="shared" si="1046"/>
        <v>0</v>
      </c>
      <c r="F352" s="117">
        <f t="shared" si="1046"/>
        <v>0</v>
      </c>
      <c r="G352" s="117">
        <f t="shared" si="1046"/>
        <v>0</v>
      </c>
      <c r="H352" s="117">
        <f t="shared" si="1046"/>
        <v>0</v>
      </c>
      <c r="I352" s="117">
        <f t="shared" si="1046"/>
        <v>0</v>
      </c>
      <c r="J352" s="117">
        <f t="shared" si="1046"/>
        <v>0</v>
      </c>
      <c r="K352" s="117">
        <f t="shared" si="1046"/>
        <v>0</v>
      </c>
      <c r="L352" s="117">
        <f t="shared" si="1046"/>
        <v>0</v>
      </c>
      <c r="M352" s="117">
        <f t="shared" si="1046"/>
        <v>0</v>
      </c>
      <c r="N352" s="117">
        <f t="shared" si="1046"/>
        <v>0</v>
      </c>
      <c r="O352" s="9">
        <f t="shared" si="1046"/>
        <v>0</v>
      </c>
      <c r="P352" s="117">
        <f t="shared" si="1046"/>
        <v>0</v>
      </c>
      <c r="Q352" s="117">
        <f t="shared" si="1046"/>
        <v>0</v>
      </c>
      <c r="R352" s="117">
        <f t="shared" si="1046"/>
        <v>0</v>
      </c>
      <c r="S352" s="117">
        <f t="shared" si="1046"/>
        <v>0</v>
      </c>
      <c r="T352" s="117">
        <f t="shared" si="1046"/>
        <v>0</v>
      </c>
      <c r="U352" s="117">
        <f t="shared" si="1046"/>
        <v>0</v>
      </c>
      <c r="V352" s="117">
        <f t="shared" si="1046"/>
        <v>0</v>
      </c>
      <c r="W352" s="117">
        <f t="shared" si="1046"/>
        <v>0</v>
      </c>
      <c r="X352" s="117">
        <f t="shared" si="1046"/>
        <v>0</v>
      </c>
      <c r="Y352" s="117">
        <f t="shared" si="1046"/>
        <v>0</v>
      </c>
      <c r="Z352" s="117">
        <f t="shared" si="1046"/>
        <v>0</v>
      </c>
      <c r="AA352" s="117">
        <f t="shared" si="1046"/>
        <v>0</v>
      </c>
      <c r="AB352" s="9">
        <f t="shared" si="1046"/>
        <v>0</v>
      </c>
      <c r="AC352" s="117">
        <f t="shared" si="1046"/>
        <v>0</v>
      </c>
      <c r="AD352" s="117">
        <f t="shared" si="1046"/>
        <v>0</v>
      </c>
      <c r="AE352" s="117">
        <f t="shared" si="1046"/>
        <v>0</v>
      </c>
      <c r="AF352" s="117">
        <f t="shared" si="1046"/>
        <v>0</v>
      </c>
      <c r="AG352" s="117">
        <f t="shared" si="1046"/>
        <v>0</v>
      </c>
      <c r="AH352" s="117">
        <f t="shared" si="1046"/>
        <v>0</v>
      </c>
      <c r="AI352" s="117">
        <f t="shared" ref="AI352:BN352" si="1047">AI140/AI$211</f>
        <v>0</v>
      </c>
      <c r="AJ352" s="117">
        <f t="shared" si="1047"/>
        <v>0</v>
      </c>
      <c r="AK352" s="117">
        <f t="shared" si="1047"/>
        <v>0</v>
      </c>
      <c r="AL352" s="117">
        <f t="shared" si="1047"/>
        <v>0</v>
      </c>
      <c r="AM352" s="117">
        <f t="shared" si="1047"/>
        <v>0</v>
      </c>
      <c r="AN352" s="117">
        <f t="shared" si="1047"/>
        <v>0</v>
      </c>
      <c r="AO352" s="9">
        <f t="shared" si="1047"/>
        <v>0</v>
      </c>
      <c r="AP352" s="144">
        <f t="shared" si="1047"/>
        <v>0</v>
      </c>
      <c r="AQ352" s="144">
        <f t="shared" si="1047"/>
        <v>0</v>
      </c>
      <c r="AR352" s="144">
        <f t="shared" si="1047"/>
        <v>0</v>
      </c>
      <c r="AS352" s="144">
        <f t="shared" si="1047"/>
        <v>0</v>
      </c>
      <c r="AT352" s="144">
        <f t="shared" si="1047"/>
        <v>0</v>
      </c>
      <c r="AU352" s="144">
        <f t="shared" si="1047"/>
        <v>0</v>
      </c>
      <c r="AV352" s="144">
        <f t="shared" si="1047"/>
        <v>0</v>
      </c>
      <c r="AW352" s="144">
        <f t="shared" si="1047"/>
        <v>0</v>
      </c>
      <c r="AX352" s="144">
        <f t="shared" si="1047"/>
        <v>0</v>
      </c>
      <c r="AY352" s="144">
        <f t="shared" si="1047"/>
        <v>0</v>
      </c>
      <c r="AZ352" s="144">
        <f t="shared" si="1047"/>
        <v>0</v>
      </c>
      <c r="BA352" s="144">
        <f t="shared" si="1047"/>
        <v>0</v>
      </c>
      <c r="BB352" s="9">
        <f t="shared" si="1047"/>
        <v>0</v>
      </c>
      <c r="BC352" s="144">
        <f t="shared" si="1047"/>
        <v>0</v>
      </c>
      <c r="BD352" s="144">
        <f t="shared" si="1047"/>
        <v>0</v>
      </c>
      <c r="BE352" s="144">
        <f t="shared" si="1047"/>
        <v>0</v>
      </c>
      <c r="BF352" s="144">
        <f t="shared" si="1047"/>
        <v>0</v>
      </c>
      <c r="BG352" s="144">
        <f t="shared" si="1047"/>
        <v>0</v>
      </c>
      <c r="BH352" s="144">
        <f t="shared" si="1047"/>
        <v>0</v>
      </c>
      <c r="BI352" s="144">
        <f t="shared" si="1047"/>
        <v>0</v>
      </c>
      <c r="BJ352" s="144">
        <f t="shared" si="1047"/>
        <v>0</v>
      </c>
      <c r="BK352" s="144">
        <f t="shared" si="1047"/>
        <v>0</v>
      </c>
      <c r="BL352" s="144">
        <f t="shared" si="1047"/>
        <v>0</v>
      </c>
      <c r="BM352" s="144">
        <f t="shared" si="1047"/>
        <v>0</v>
      </c>
      <c r="BN352" s="144">
        <f t="shared" si="1047"/>
        <v>0</v>
      </c>
      <c r="BO352" s="9">
        <f t="shared" ref="BO352:CT352" si="1048">BO140/BO$211</f>
        <v>0</v>
      </c>
      <c r="BP352" s="144">
        <f t="shared" si="1048"/>
        <v>0</v>
      </c>
      <c r="BQ352" s="144">
        <f t="shared" si="1048"/>
        <v>0</v>
      </c>
      <c r="BR352" s="144">
        <f t="shared" si="1048"/>
        <v>0</v>
      </c>
      <c r="BS352" s="144">
        <f t="shared" si="1048"/>
        <v>0</v>
      </c>
      <c r="BT352" s="144">
        <f t="shared" si="1048"/>
        <v>0</v>
      </c>
      <c r="BU352" s="144">
        <f t="shared" si="1048"/>
        <v>0</v>
      </c>
      <c r="BV352" s="144">
        <f t="shared" si="1048"/>
        <v>0</v>
      </c>
      <c r="BW352" s="144">
        <f t="shared" si="1048"/>
        <v>0</v>
      </c>
      <c r="BX352" s="144">
        <f t="shared" si="1048"/>
        <v>0</v>
      </c>
      <c r="BY352" s="144">
        <f t="shared" si="1048"/>
        <v>0</v>
      </c>
      <c r="BZ352" s="144">
        <f t="shared" si="1048"/>
        <v>0</v>
      </c>
      <c r="CA352" s="144">
        <f t="shared" si="1048"/>
        <v>0</v>
      </c>
      <c r="CB352" s="9">
        <f t="shared" si="1048"/>
        <v>0</v>
      </c>
      <c r="CC352" s="144">
        <f t="shared" si="1048"/>
        <v>0</v>
      </c>
      <c r="CD352" s="144">
        <f t="shared" si="1048"/>
        <v>0</v>
      </c>
      <c r="CE352" s="144">
        <f t="shared" si="1048"/>
        <v>0</v>
      </c>
      <c r="CF352" s="144">
        <f t="shared" si="1048"/>
        <v>0</v>
      </c>
      <c r="CG352" s="144">
        <f t="shared" si="1048"/>
        <v>0</v>
      </c>
      <c r="CH352" s="144">
        <f t="shared" si="1048"/>
        <v>0</v>
      </c>
      <c r="CI352" s="144">
        <f t="shared" si="1048"/>
        <v>0</v>
      </c>
      <c r="CJ352" s="144">
        <f t="shared" si="1048"/>
        <v>0</v>
      </c>
      <c r="CK352" s="144">
        <f t="shared" si="1048"/>
        <v>0</v>
      </c>
      <c r="CL352" s="144">
        <f t="shared" si="1048"/>
        <v>0</v>
      </c>
      <c r="CM352" s="144">
        <f t="shared" si="1048"/>
        <v>0</v>
      </c>
      <c r="CN352" s="144">
        <f t="shared" si="1048"/>
        <v>0</v>
      </c>
      <c r="CO352" s="9">
        <f t="shared" si="1048"/>
        <v>0</v>
      </c>
      <c r="CP352" s="144">
        <f t="shared" si="1048"/>
        <v>0</v>
      </c>
      <c r="CQ352" s="144">
        <f t="shared" si="1048"/>
        <v>0</v>
      </c>
      <c r="CR352" s="144">
        <f t="shared" si="1048"/>
        <v>0</v>
      </c>
      <c r="CS352" s="144">
        <f t="shared" si="1048"/>
        <v>0</v>
      </c>
      <c r="CT352" s="144">
        <f t="shared" si="1048"/>
        <v>0</v>
      </c>
      <c r="CU352" s="144">
        <f t="shared" ref="CU352:EB352" si="1049">CU140/CU$211</f>
        <v>0</v>
      </c>
      <c r="CV352" s="144">
        <f t="shared" si="1049"/>
        <v>0</v>
      </c>
      <c r="CW352" s="144">
        <f t="shared" si="1049"/>
        <v>0</v>
      </c>
      <c r="CX352" s="144">
        <f t="shared" si="1049"/>
        <v>0</v>
      </c>
      <c r="CY352" s="144">
        <f t="shared" si="1049"/>
        <v>0</v>
      </c>
      <c r="CZ352" s="144">
        <f t="shared" si="1049"/>
        <v>0</v>
      </c>
      <c r="DA352" s="144">
        <f t="shared" si="1049"/>
        <v>0</v>
      </c>
      <c r="DB352" s="9">
        <f t="shared" si="1049"/>
        <v>0</v>
      </c>
      <c r="DC352" s="144">
        <f t="shared" si="1049"/>
        <v>0</v>
      </c>
      <c r="DD352" s="144">
        <f t="shared" si="1049"/>
        <v>0</v>
      </c>
      <c r="DE352" s="144">
        <f t="shared" si="1049"/>
        <v>0</v>
      </c>
      <c r="DF352" s="144">
        <f t="shared" si="1049"/>
        <v>0</v>
      </c>
      <c r="DG352" s="144">
        <f t="shared" si="1049"/>
        <v>0</v>
      </c>
      <c r="DH352" s="144">
        <f t="shared" si="1049"/>
        <v>0</v>
      </c>
      <c r="DI352" s="144">
        <f t="shared" si="1049"/>
        <v>0</v>
      </c>
      <c r="DJ352" s="144">
        <f t="shared" si="1049"/>
        <v>0</v>
      </c>
      <c r="DK352" s="144">
        <f t="shared" si="1049"/>
        <v>0</v>
      </c>
      <c r="DL352" s="144">
        <f t="shared" si="1049"/>
        <v>0</v>
      </c>
      <c r="DM352" s="144">
        <f t="shared" si="1049"/>
        <v>0</v>
      </c>
      <c r="DN352" s="144">
        <f t="shared" si="1049"/>
        <v>0</v>
      </c>
      <c r="DO352" s="9">
        <f t="shared" si="1049"/>
        <v>0</v>
      </c>
      <c r="DP352" s="144">
        <f t="shared" si="1049"/>
        <v>0</v>
      </c>
      <c r="DQ352" s="144">
        <f t="shared" si="1049"/>
        <v>0</v>
      </c>
      <c r="DR352" s="144">
        <f t="shared" si="1049"/>
        <v>0</v>
      </c>
      <c r="DS352" s="144">
        <f t="shared" si="1049"/>
        <v>0</v>
      </c>
      <c r="DT352" s="144">
        <f t="shared" si="1049"/>
        <v>0</v>
      </c>
      <c r="DU352" s="144">
        <f t="shared" si="1049"/>
        <v>0</v>
      </c>
      <c r="DV352" s="144">
        <f t="shared" si="1049"/>
        <v>0</v>
      </c>
      <c r="DW352" s="144">
        <f t="shared" si="1049"/>
        <v>0</v>
      </c>
      <c r="DX352" s="144">
        <f t="shared" si="1049"/>
        <v>0</v>
      </c>
      <c r="DY352" s="144">
        <f t="shared" si="1049"/>
        <v>0</v>
      </c>
      <c r="DZ352" s="144">
        <f t="shared" si="1049"/>
        <v>0</v>
      </c>
      <c r="EA352" s="144">
        <f t="shared" si="1049"/>
        <v>0</v>
      </c>
      <c r="EB352" s="117">
        <f t="shared" si="1049"/>
        <v>0</v>
      </c>
      <c r="EC352" s="118"/>
      <c r="ED352" s="117">
        <f t="shared" ref="ED352:FB352" si="1050">ED140/ED$211</f>
        <v>0</v>
      </c>
      <c r="EE352" s="117">
        <f t="shared" si="1050"/>
        <v>0</v>
      </c>
      <c r="EF352" s="117">
        <f t="shared" si="1050"/>
        <v>0</v>
      </c>
      <c r="EG352" s="117" t="e">
        <f t="shared" si="1050"/>
        <v>#DIV/0!</v>
      </c>
      <c r="EH352" s="117" t="e">
        <f t="shared" si="1050"/>
        <v>#DIV/0!</v>
      </c>
      <c r="EI352" s="117" t="e">
        <f t="shared" si="1050"/>
        <v>#DIV/0!</v>
      </c>
      <c r="EJ352" s="117" t="e">
        <f t="shared" si="1050"/>
        <v>#DIV/0!</v>
      </c>
      <c r="EK352" s="117" t="e">
        <f t="shared" si="1050"/>
        <v>#DIV/0!</v>
      </c>
      <c r="EL352" s="117" t="e">
        <f t="shared" si="1050"/>
        <v>#DIV/0!</v>
      </c>
      <c r="EM352" s="117" t="e">
        <f t="shared" si="1050"/>
        <v>#DIV/0!</v>
      </c>
      <c r="EN352" s="117" t="e">
        <f t="shared" si="1050"/>
        <v>#DIV/0!</v>
      </c>
      <c r="EO352" s="116">
        <f t="shared" si="1050"/>
        <v>0</v>
      </c>
      <c r="EP352" s="117">
        <f t="shared" si="1050"/>
        <v>0</v>
      </c>
      <c r="EQ352" s="117">
        <f t="shared" si="1050"/>
        <v>0</v>
      </c>
      <c r="ER352" s="117">
        <f t="shared" si="1050"/>
        <v>0</v>
      </c>
      <c r="ES352" s="117">
        <f t="shared" si="1050"/>
        <v>0</v>
      </c>
      <c r="ET352" s="117">
        <f t="shared" si="1050"/>
        <v>0</v>
      </c>
      <c r="EU352" s="117">
        <f t="shared" si="1050"/>
        <v>0</v>
      </c>
      <c r="EV352" s="117">
        <f t="shared" si="1050"/>
        <v>0</v>
      </c>
      <c r="EW352" s="117">
        <f t="shared" si="1050"/>
        <v>0</v>
      </c>
      <c r="EX352" s="117">
        <f t="shared" si="1050"/>
        <v>0</v>
      </c>
      <c r="EY352" s="117">
        <f t="shared" si="1050"/>
        <v>0</v>
      </c>
      <c r="EZ352" s="117">
        <f t="shared" si="1050"/>
        <v>0</v>
      </c>
      <c r="FA352" s="117">
        <f t="shared" si="1050"/>
        <v>0</v>
      </c>
      <c r="FB352" s="117">
        <f t="shared" si="1050"/>
        <v>0</v>
      </c>
      <c r="FC352" s="118"/>
      <c r="FD352" s="117"/>
      <c r="FE352" s="117"/>
      <c r="FF352" s="117"/>
      <c r="FG352" s="117"/>
      <c r="FH352" s="117"/>
      <c r="FI352" s="117"/>
      <c r="FJ352" s="117"/>
      <c r="FK352" s="117" t="e">
        <f t="shared" si="991"/>
        <v>#DIV/0!</v>
      </c>
      <c r="FL352" s="117" t="e">
        <f t="shared" si="992"/>
        <v>#DIV/0!</v>
      </c>
      <c r="FM352" s="117" t="e">
        <f t="shared" si="993"/>
        <v>#DIV/0!</v>
      </c>
      <c r="FN352" s="117" t="e">
        <f t="shared" si="994"/>
        <v>#DIV/0!</v>
      </c>
      <c r="FO352" s="9" t="e">
        <f t="shared" si="995"/>
        <v>#DIV/0!</v>
      </c>
      <c r="FP352" s="118">
        <f t="shared" ref="FP352:GB352" si="1051">FP140/FP$211</f>
        <v>0</v>
      </c>
      <c r="FQ352" s="117">
        <f t="shared" si="1051"/>
        <v>0</v>
      </c>
      <c r="FR352" s="117">
        <f t="shared" si="1051"/>
        <v>0</v>
      </c>
      <c r="FS352" s="117">
        <f t="shared" si="1051"/>
        <v>0</v>
      </c>
      <c r="FT352" s="117">
        <f t="shared" si="1051"/>
        <v>0</v>
      </c>
      <c r="FU352" s="117">
        <f t="shared" si="1051"/>
        <v>0</v>
      </c>
      <c r="FV352" s="117">
        <f t="shared" si="1051"/>
        <v>0</v>
      </c>
      <c r="FW352" s="117">
        <f t="shared" si="1051"/>
        <v>0</v>
      </c>
      <c r="FX352" s="117">
        <f t="shared" si="1051"/>
        <v>0</v>
      </c>
      <c r="FY352" s="117">
        <f t="shared" si="1051"/>
        <v>0</v>
      </c>
      <c r="FZ352" s="117">
        <f t="shared" si="1051"/>
        <v>0</v>
      </c>
      <c r="GA352" s="117">
        <f t="shared" si="1051"/>
        <v>0</v>
      </c>
      <c r="GB352" s="116">
        <f t="shared" si="1051"/>
        <v>0</v>
      </c>
    </row>
    <row r="353" spans="1:184">
      <c r="A353" s="147" t="s">
        <v>313</v>
      </c>
      <c r="B353" s="160">
        <f t="shared" si="997"/>
        <v>-1</v>
      </c>
      <c r="C353" s="117">
        <f t="shared" ref="C353:AH353" si="1052">C141/C$211</f>
        <v>0</v>
      </c>
      <c r="D353" s="117">
        <f t="shared" si="1052"/>
        <v>0</v>
      </c>
      <c r="E353" s="117">
        <f t="shared" si="1052"/>
        <v>0</v>
      </c>
      <c r="F353" s="117">
        <f t="shared" si="1052"/>
        <v>0</v>
      </c>
      <c r="G353" s="117">
        <f t="shared" si="1052"/>
        <v>0</v>
      </c>
      <c r="H353" s="117">
        <f t="shared" si="1052"/>
        <v>0</v>
      </c>
      <c r="I353" s="117">
        <f t="shared" si="1052"/>
        <v>0</v>
      </c>
      <c r="J353" s="117">
        <f t="shared" si="1052"/>
        <v>0</v>
      </c>
      <c r="K353" s="117">
        <f t="shared" si="1052"/>
        <v>0</v>
      </c>
      <c r="L353" s="117">
        <f t="shared" si="1052"/>
        <v>0</v>
      </c>
      <c r="M353" s="117">
        <f t="shared" si="1052"/>
        <v>0</v>
      </c>
      <c r="N353" s="117">
        <f t="shared" si="1052"/>
        <v>0</v>
      </c>
      <c r="O353" s="9">
        <f t="shared" si="1052"/>
        <v>0</v>
      </c>
      <c r="P353" s="117">
        <f t="shared" si="1052"/>
        <v>0</v>
      </c>
      <c r="Q353" s="117">
        <f t="shared" si="1052"/>
        <v>0</v>
      </c>
      <c r="R353" s="117">
        <f t="shared" si="1052"/>
        <v>0</v>
      </c>
      <c r="S353" s="117">
        <f t="shared" si="1052"/>
        <v>0</v>
      </c>
      <c r="T353" s="117">
        <f t="shared" si="1052"/>
        <v>0</v>
      </c>
      <c r="U353" s="117">
        <f t="shared" si="1052"/>
        <v>0</v>
      </c>
      <c r="V353" s="117">
        <f t="shared" si="1052"/>
        <v>0</v>
      </c>
      <c r="W353" s="117">
        <f t="shared" si="1052"/>
        <v>0</v>
      </c>
      <c r="X353" s="117">
        <f t="shared" si="1052"/>
        <v>0</v>
      </c>
      <c r="Y353" s="117">
        <f t="shared" si="1052"/>
        <v>0</v>
      </c>
      <c r="Z353" s="117">
        <f t="shared" si="1052"/>
        <v>0</v>
      </c>
      <c r="AA353" s="117">
        <f t="shared" si="1052"/>
        <v>0</v>
      </c>
      <c r="AB353" s="9">
        <f t="shared" si="1052"/>
        <v>0</v>
      </c>
      <c r="AC353" s="117">
        <f t="shared" si="1052"/>
        <v>0</v>
      </c>
      <c r="AD353" s="117">
        <f t="shared" si="1052"/>
        <v>0</v>
      </c>
      <c r="AE353" s="117">
        <f t="shared" si="1052"/>
        <v>0</v>
      </c>
      <c r="AF353" s="117">
        <f t="shared" si="1052"/>
        <v>0</v>
      </c>
      <c r="AG353" s="117">
        <f t="shared" si="1052"/>
        <v>0</v>
      </c>
      <c r="AH353" s="117">
        <f t="shared" si="1052"/>
        <v>0</v>
      </c>
      <c r="AI353" s="117">
        <f t="shared" ref="AI353:BN353" si="1053">AI141/AI$211</f>
        <v>0</v>
      </c>
      <c r="AJ353" s="117">
        <f t="shared" si="1053"/>
        <v>0</v>
      </c>
      <c r="AK353" s="117">
        <f t="shared" si="1053"/>
        <v>0</v>
      </c>
      <c r="AL353" s="117">
        <f t="shared" si="1053"/>
        <v>0</v>
      </c>
      <c r="AM353" s="117">
        <f t="shared" si="1053"/>
        <v>0</v>
      </c>
      <c r="AN353" s="117">
        <f t="shared" si="1053"/>
        <v>0</v>
      </c>
      <c r="AO353" s="9">
        <f t="shared" si="1053"/>
        <v>0</v>
      </c>
      <c r="AP353" s="144">
        <f t="shared" si="1053"/>
        <v>0</v>
      </c>
      <c r="AQ353" s="144">
        <f t="shared" si="1053"/>
        <v>0</v>
      </c>
      <c r="AR353" s="144">
        <f t="shared" si="1053"/>
        <v>0</v>
      </c>
      <c r="AS353" s="144">
        <f t="shared" si="1053"/>
        <v>0</v>
      </c>
      <c r="AT353" s="144">
        <f t="shared" si="1053"/>
        <v>0</v>
      </c>
      <c r="AU353" s="144">
        <f t="shared" si="1053"/>
        <v>0</v>
      </c>
      <c r="AV353" s="144">
        <f t="shared" si="1053"/>
        <v>0</v>
      </c>
      <c r="AW353" s="144">
        <f t="shared" si="1053"/>
        <v>0</v>
      </c>
      <c r="AX353" s="144">
        <f t="shared" si="1053"/>
        <v>0</v>
      </c>
      <c r="AY353" s="144">
        <f t="shared" si="1053"/>
        <v>0</v>
      </c>
      <c r="AZ353" s="144">
        <f t="shared" si="1053"/>
        <v>0</v>
      </c>
      <c r="BA353" s="144">
        <f t="shared" si="1053"/>
        <v>0</v>
      </c>
      <c r="BB353" s="9">
        <f t="shared" si="1053"/>
        <v>0</v>
      </c>
      <c r="BC353" s="144">
        <f t="shared" si="1053"/>
        <v>0</v>
      </c>
      <c r="BD353" s="144">
        <f t="shared" si="1053"/>
        <v>0</v>
      </c>
      <c r="BE353" s="144">
        <f t="shared" si="1053"/>
        <v>0</v>
      </c>
      <c r="BF353" s="144">
        <f t="shared" si="1053"/>
        <v>0</v>
      </c>
      <c r="BG353" s="144">
        <f t="shared" si="1053"/>
        <v>0</v>
      </c>
      <c r="BH353" s="144">
        <f t="shared" si="1053"/>
        <v>0</v>
      </c>
      <c r="BI353" s="144">
        <f t="shared" si="1053"/>
        <v>0</v>
      </c>
      <c r="BJ353" s="144">
        <f t="shared" si="1053"/>
        <v>0</v>
      </c>
      <c r="BK353" s="144">
        <f t="shared" si="1053"/>
        <v>0</v>
      </c>
      <c r="BL353" s="144">
        <f t="shared" si="1053"/>
        <v>0</v>
      </c>
      <c r="BM353" s="144">
        <f t="shared" si="1053"/>
        <v>0</v>
      </c>
      <c r="BN353" s="144">
        <f t="shared" si="1053"/>
        <v>0</v>
      </c>
      <c r="BO353" s="9">
        <f t="shared" ref="BO353:CT353" si="1054">BO141/BO$211</f>
        <v>0</v>
      </c>
      <c r="BP353" s="144">
        <f t="shared" si="1054"/>
        <v>0</v>
      </c>
      <c r="BQ353" s="144">
        <f t="shared" si="1054"/>
        <v>0</v>
      </c>
      <c r="BR353" s="144">
        <f t="shared" si="1054"/>
        <v>0</v>
      </c>
      <c r="BS353" s="144">
        <f t="shared" si="1054"/>
        <v>0</v>
      </c>
      <c r="BT353" s="144">
        <f t="shared" si="1054"/>
        <v>0</v>
      </c>
      <c r="BU353" s="144">
        <f t="shared" si="1054"/>
        <v>0</v>
      </c>
      <c r="BV353" s="144">
        <f t="shared" si="1054"/>
        <v>0</v>
      </c>
      <c r="BW353" s="144">
        <f t="shared" si="1054"/>
        <v>0</v>
      </c>
      <c r="BX353" s="144">
        <f t="shared" si="1054"/>
        <v>0</v>
      </c>
      <c r="BY353" s="144">
        <f t="shared" si="1054"/>
        <v>0</v>
      </c>
      <c r="BZ353" s="144">
        <f t="shared" si="1054"/>
        <v>0</v>
      </c>
      <c r="CA353" s="144">
        <f t="shared" si="1054"/>
        <v>0</v>
      </c>
      <c r="CB353" s="9">
        <f t="shared" si="1054"/>
        <v>0</v>
      </c>
      <c r="CC353" s="144">
        <f t="shared" si="1054"/>
        <v>0</v>
      </c>
      <c r="CD353" s="144">
        <f t="shared" si="1054"/>
        <v>0</v>
      </c>
      <c r="CE353" s="144">
        <f t="shared" si="1054"/>
        <v>0</v>
      </c>
      <c r="CF353" s="144">
        <f t="shared" si="1054"/>
        <v>0</v>
      </c>
      <c r="CG353" s="144">
        <f t="shared" si="1054"/>
        <v>0</v>
      </c>
      <c r="CH353" s="144">
        <f t="shared" si="1054"/>
        <v>0</v>
      </c>
      <c r="CI353" s="144">
        <f t="shared" si="1054"/>
        <v>0</v>
      </c>
      <c r="CJ353" s="144">
        <f t="shared" si="1054"/>
        <v>0</v>
      </c>
      <c r="CK353" s="144">
        <f t="shared" si="1054"/>
        <v>0</v>
      </c>
      <c r="CL353" s="144">
        <f t="shared" si="1054"/>
        <v>0</v>
      </c>
      <c r="CM353" s="144">
        <f t="shared" si="1054"/>
        <v>0</v>
      </c>
      <c r="CN353" s="144">
        <f t="shared" si="1054"/>
        <v>0</v>
      </c>
      <c r="CO353" s="9">
        <f t="shared" si="1054"/>
        <v>0</v>
      </c>
      <c r="CP353" s="144">
        <f t="shared" si="1054"/>
        <v>0</v>
      </c>
      <c r="CQ353" s="144">
        <f t="shared" si="1054"/>
        <v>0</v>
      </c>
      <c r="CR353" s="144">
        <f t="shared" si="1054"/>
        <v>0</v>
      </c>
      <c r="CS353" s="144">
        <f t="shared" si="1054"/>
        <v>0</v>
      </c>
      <c r="CT353" s="144">
        <f t="shared" si="1054"/>
        <v>0</v>
      </c>
      <c r="CU353" s="144">
        <f t="shared" ref="CU353:EB353" si="1055">CU141/CU$211</f>
        <v>0</v>
      </c>
      <c r="CV353" s="144">
        <f t="shared" si="1055"/>
        <v>0</v>
      </c>
      <c r="CW353" s="144">
        <f t="shared" si="1055"/>
        <v>0</v>
      </c>
      <c r="CX353" s="144">
        <f t="shared" si="1055"/>
        <v>0</v>
      </c>
      <c r="CY353" s="144">
        <f t="shared" si="1055"/>
        <v>0</v>
      </c>
      <c r="CZ353" s="144">
        <f t="shared" si="1055"/>
        <v>0</v>
      </c>
      <c r="DA353" s="144">
        <f t="shared" si="1055"/>
        <v>0</v>
      </c>
      <c r="DB353" s="9">
        <f t="shared" si="1055"/>
        <v>0</v>
      </c>
      <c r="DC353" s="144">
        <f t="shared" si="1055"/>
        <v>0</v>
      </c>
      <c r="DD353" s="144">
        <f t="shared" si="1055"/>
        <v>0</v>
      </c>
      <c r="DE353" s="144">
        <f t="shared" si="1055"/>
        <v>0</v>
      </c>
      <c r="DF353" s="144">
        <f t="shared" si="1055"/>
        <v>0</v>
      </c>
      <c r="DG353" s="144">
        <f t="shared" si="1055"/>
        <v>0</v>
      </c>
      <c r="DH353" s="144">
        <f t="shared" si="1055"/>
        <v>0</v>
      </c>
      <c r="DI353" s="144">
        <f t="shared" si="1055"/>
        <v>0</v>
      </c>
      <c r="DJ353" s="144">
        <f t="shared" si="1055"/>
        <v>0</v>
      </c>
      <c r="DK353" s="144">
        <f t="shared" si="1055"/>
        <v>0</v>
      </c>
      <c r="DL353" s="144">
        <f t="shared" si="1055"/>
        <v>0</v>
      </c>
      <c r="DM353" s="144">
        <f t="shared" si="1055"/>
        <v>0</v>
      </c>
      <c r="DN353" s="144">
        <f t="shared" si="1055"/>
        <v>0</v>
      </c>
      <c r="DO353" s="9">
        <f t="shared" si="1055"/>
        <v>0</v>
      </c>
      <c r="DP353" s="144">
        <f t="shared" si="1055"/>
        <v>0</v>
      </c>
      <c r="DQ353" s="144">
        <f t="shared" si="1055"/>
        <v>0</v>
      </c>
      <c r="DR353" s="144">
        <f t="shared" si="1055"/>
        <v>0</v>
      </c>
      <c r="DS353" s="144">
        <f t="shared" si="1055"/>
        <v>0</v>
      </c>
      <c r="DT353" s="144">
        <f t="shared" si="1055"/>
        <v>0</v>
      </c>
      <c r="DU353" s="144">
        <f t="shared" si="1055"/>
        <v>0</v>
      </c>
      <c r="DV353" s="144">
        <f t="shared" si="1055"/>
        <v>0</v>
      </c>
      <c r="DW353" s="144">
        <f t="shared" si="1055"/>
        <v>0</v>
      </c>
      <c r="DX353" s="144">
        <f t="shared" si="1055"/>
        <v>0</v>
      </c>
      <c r="DY353" s="144">
        <f t="shared" si="1055"/>
        <v>0</v>
      </c>
      <c r="DZ353" s="144">
        <f t="shared" si="1055"/>
        <v>0</v>
      </c>
      <c r="EA353" s="144">
        <f t="shared" si="1055"/>
        <v>0</v>
      </c>
      <c r="EB353" s="117">
        <f t="shared" si="1055"/>
        <v>0</v>
      </c>
      <c r="EC353" s="118"/>
      <c r="ED353" s="117">
        <f t="shared" ref="ED353:FB353" si="1056">ED141/ED$211</f>
        <v>0</v>
      </c>
      <c r="EE353" s="117">
        <f t="shared" si="1056"/>
        <v>0</v>
      </c>
      <c r="EF353" s="117">
        <f t="shared" si="1056"/>
        <v>0</v>
      </c>
      <c r="EG353" s="117" t="e">
        <f t="shared" si="1056"/>
        <v>#DIV/0!</v>
      </c>
      <c r="EH353" s="117" t="e">
        <f t="shared" si="1056"/>
        <v>#DIV/0!</v>
      </c>
      <c r="EI353" s="117" t="e">
        <f t="shared" si="1056"/>
        <v>#DIV/0!</v>
      </c>
      <c r="EJ353" s="117" t="e">
        <f t="shared" si="1056"/>
        <v>#DIV/0!</v>
      </c>
      <c r="EK353" s="117" t="e">
        <f t="shared" si="1056"/>
        <v>#DIV/0!</v>
      </c>
      <c r="EL353" s="117" t="e">
        <f t="shared" si="1056"/>
        <v>#DIV/0!</v>
      </c>
      <c r="EM353" s="117" t="e">
        <f t="shared" si="1056"/>
        <v>#DIV/0!</v>
      </c>
      <c r="EN353" s="117" t="e">
        <f t="shared" si="1056"/>
        <v>#DIV/0!</v>
      </c>
      <c r="EO353" s="116">
        <f t="shared" si="1056"/>
        <v>0</v>
      </c>
      <c r="EP353" s="117">
        <f t="shared" si="1056"/>
        <v>0</v>
      </c>
      <c r="EQ353" s="117">
        <f t="shared" si="1056"/>
        <v>0</v>
      </c>
      <c r="ER353" s="117">
        <f t="shared" si="1056"/>
        <v>0</v>
      </c>
      <c r="ES353" s="117">
        <f t="shared" si="1056"/>
        <v>0</v>
      </c>
      <c r="ET353" s="117">
        <f t="shared" si="1056"/>
        <v>0</v>
      </c>
      <c r="EU353" s="117">
        <f t="shared" si="1056"/>
        <v>0</v>
      </c>
      <c r="EV353" s="117">
        <f t="shared" si="1056"/>
        <v>0</v>
      </c>
      <c r="EW353" s="117">
        <f t="shared" si="1056"/>
        <v>0</v>
      </c>
      <c r="EX353" s="117">
        <f t="shared" si="1056"/>
        <v>0</v>
      </c>
      <c r="EY353" s="117">
        <f t="shared" si="1056"/>
        <v>0</v>
      </c>
      <c r="EZ353" s="117">
        <f t="shared" si="1056"/>
        <v>0</v>
      </c>
      <c r="FA353" s="117">
        <f t="shared" si="1056"/>
        <v>0</v>
      </c>
      <c r="FB353" s="117">
        <f t="shared" si="1056"/>
        <v>0</v>
      </c>
      <c r="FC353" s="118"/>
      <c r="FD353" s="117"/>
      <c r="FE353" s="117"/>
      <c r="FF353" s="117"/>
      <c r="FG353" s="117"/>
      <c r="FH353" s="117"/>
      <c r="FI353" s="117"/>
      <c r="FJ353" s="117"/>
      <c r="FK353" s="117" t="e">
        <f t="shared" si="991"/>
        <v>#DIV/0!</v>
      </c>
      <c r="FL353" s="117" t="e">
        <f t="shared" si="992"/>
        <v>#DIV/0!</v>
      </c>
      <c r="FM353" s="117" t="e">
        <f t="shared" si="993"/>
        <v>#DIV/0!</v>
      </c>
      <c r="FN353" s="117" t="e">
        <f t="shared" si="994"/>
        <v>#DIV/0!</v>
      </c>
      <c r="FO353" s="9" t="e">
        <f t="shared" si="995"/>
        <v>#DIV/0!</v>
      </c>
      <c r="FP353" s="118">
        <f t="shared" ref="FP353:GB353" si="1057">FP141/FP$211</f>
        <v>0</v>
      </c>
      <c r="FQ353" s="117">
        <f t="shared" si="1057"/>
        <v>0</v>
      </c>
      <c r="FR353" s="117">
        <f t="shared" si="1057"/>
        <v>0</v>
      </c>
      <c r="FS353" s="117">
        <f t="shared" si="1057"/>
        <v>0</v>
      </c>
      <c r="FT353" s="117">
        <f t="shared" si="1057"/>
        <v>0</v>
      </c>
      <c r="FU353" s="117">
        <f t="shared" si="1057"/>
        <v>0</v>
      </c>
      <c r="FV353" s="117">
        <f t="shared" si="1057"/>
        <v>0</v>
      </c>
      <c r="FW353" s="117">
        <f t="shared" si="1057"/>
        <v>0</v>
      </c>
      <c r="FX353" s="117">
        <f t="shared" si="1057"/>
        <v>0</v>
      </c>
      <c r="FY353" s="117">
        <f t="shared" si="1057"/>
        <v>0</v>
      </c>
      <c r="FZ353" s="117">
        <f t="shared" si="1057"/>
        <v>0</v>
      </c>
      <c r="GA353" s="117">
        <f t="shared" si="1057"/>
        <v>0</v>
      </c>
      <c r="GB353" s="116">
        <f t="shared" si="1057"/>
        <v>0</v>
      </c>
    </row>
    <row r="354" spans="1:184">
      <c r="A354" s="147" t="s">
        <v>314</v>
      </c>
      <c r="B354" s="160">
        <f t="shared" si="997"/>
        <v>-1</v>
      </c>
      <c r="C354" s="117">
        <f t="shared" ref="C354:AH354" si="1058">C142/C$211</f>
        <v>0</v>
      </c>
      <c r="D354" s="117">
        <f t="shared" si="1058"/>
        <v>0</v>
      </c>
      <c r="E354" s="117">
        <f t="shared" si="1058"/>
        <v>0</v>
      </c>
      <c r="F354" s="117">
        <f t="shared" si="1058"/>
        <v>0</v>
      </c>
      <c r="G354" s="117">
        <f t="shared" si="1058"/>
        <v>0</v>
      </c>
      <c r="H354" s="117">
        <f t="shared" si="1058"/>
        <v>0</v>
      </c>
      <c r="I354" s="117">
        <f t="shared" si="1058"/>
        <v>0</v>
      </c>
      <c r="J354" s="117">
        <f t="shared" si="1058"/>
        <v>0</v>
      </c>
      <c r="K354" s="117">
        <f t="shared" si="1058"/>
        <v>0</v>
      </c>
      <c r="L354" s="117">
        <f t="shared" si="1058"/>
        <v>0</v>
      </c>
      <c r="M354" s="117">
        <f t="shared" si="1058"/>
        <v>0</v>
      </c>
      <c r="N354" s="117">
        <f t="shared" si="1058"/>
        <v>0</v>
      </c>
      <c r="O354" s="9">
        <f t="shared" si="1058"/>
        <v>0</v>
      </c>
      <c r="P354" s="117">
        <f t="shared" si="1058"/>
        <v>0</v>
      </c>
      <c r="Q354" s="117">
        <f t="shared" si="1058"/>
        <v>0</v>
      </c>
      <c r="R354" s="117">
        <f t="shared" si="1058"/>
        <v>0</v>
      </c>
      <c r="S354" s="117">
        <f t="shared" si="1058"/>
        <v>0</v>
      </c>
      <c r="T354" s="117">
        <f t="shared" si="1058"/>
        <v>0</v>
      </c>
      <c r="U354" s="117">
        <f t="shared" si="1058"/>
        <v>0</v>
      </c>
      <c r="V354" s="117">
        <f t="shared" si="1058"/>
        <v>0</v>
      </c>
      <c r="W354" s="117">
        <f t="shared" si="1058"/>
        <v>0</v>
      </c>
      <c r="X354" s="117">
        <f t="shared" si="1058"/>
        <v>0</v>
      </c>
      <c r="Y354" s="117">
        <f t="shared" si="1058"/>
        <v>0</v>
      </c>
      <c r="Z354" s="117">
        <f t="shared" si="1058"/>
        <v>0</v>
      </c>
      <c r="AA354" s="117">
        <f t="shared" si="1058"/>
        <v>0</v>
      </c>
      <c r="AB354" s="9">
        <f t="shared" si="1058"/>
        <v>0</v>
      </c>
      <c r="AC354" s="117">
        <f t="shared" si="1058"/>
        <v>0</v>
      </c>
      <c r="AD354" s="117">
        <f t="shared" si="1058"/>
        <v>0</v>
      </c>
      <c r="AE354" s="117">
        <f t="shared" si="1058"/>
        <v>0</v>
      </c>
      <c r="AF354" s="117">
        <f t="shared" si="1058"/>
        <v>0</v>
      </c>
      <c r="AG354" s="117">
        <f t="shared" si="1058"/>
        <v>0</v>
      </c>
      <c r="AH354" s="117">
        <f t="shared" si="1058"/>
        <v>0</v>
      </c>
      <c r="AI354" s="117">
        <f t="shared" ref="AI354:BN354" si="1059">AI142/AI$211</f>
        <v>0</v>
      </c>
      <c r="AJ354" s="117">
        <f t="shared" si="1059"/>
        <v>0</v>
      </c>
      <c r="AK354" s="117">
        <f t="shared" si="1059"/>
        <v>0</v>
      </c>
      <c r="AL354" s="117">
        <f t="shared" si="1059"/>
        <v>0</v>
      </c>
      <c r="AM354" s="117">
        <f t="shared" si="1059"/>
        <v>0</v>
      </c>
      <c r="AN354" s="117">
        <f t="shared" si="1059"/>
        <v>0</v>
      </c>
      <c r="AO354" s="9">
        <f t="shared" si="1059"/>
        <v>0</v>
      </c>
      <c r="AP354" s="144">
        <f t="shared" si="1059"/>
        <v>0</v>
      </c>
      <c r="AQ354" s="144">
        <f t="shared" si="1059"/>
        <v>0</v>
      </c>
      <c r="AR354" s="144">
        <f t="shared" si="1059"/>
        <v>0</v>
      </c>
      <c r="AS354" s="144">
        <f t="shared" si="1059"/>
        <v>0</v>
      </c>
      <c r="AT354" s="144">
        <f t="shared" si="1059"/>
        <v>0</v>
      </c>
      <c r="AU354" s="144">
        <f t="shared" si="1059"/>
        <v>0</v>
      </c>
      <c r="AV354" s="144">
        <f t="shared" si="1059"/>
        <v>0</v>
      </c>
      <c r="AW354" s="144">
        <f t="shared" si="1059"/>
        <v>0</v>
      </c>
      <c r="AX354" s="144">
        <f t="shared" si="1059"/>
        <v>0</v>
      </c>
      <c r="AY354" s="144">
        <f t="shared" si="1059"/>
        <v>0</v>
      </c>
      <c r="AZ354" s="144">
        <f t="shared" si="1059"/>
        <v>0</v>
      </c>
      <c r="BA354" s="144">
        <f t="shared" si="1059"/>
        <v>0</v>
      </c>
      <c r="BB354" s="9">
        <f t="shared" si="1059"/>
        <v>0</v>
      </c>
      <c r="BC354" s="144">
        <f t="shared" si="1059"/>
        <v>0</v>
      </c>
      <c r="BD354" s="144">
        <f t="shared" si="1059"/>
        <v>0</v>
      </c>
      <c r="BE354" s="144">
        <f t="shared" si="1059"/>
        <v>0</v>
      </c>
      <c r="BF354" s="144">
        <f t="shared" si="1059"/>
        <v>0</v>
      </c>
      <c r="BG354" s="144">
        <f t="shared" si="1059"/>
        <v>0</v>
      </c>
      <c r="BH354" s="144">
        <f t="shared" si="1059"/>
        <v>0</v>
      </c>
      <c r="BI354" s="144">
        <f t="shared" si="1059"/>
        <v>0</v>
      </c>
      <c r="BJ354" s="144">
        <f t="shared" si="1059"/>
        <v>0</v>
      </c>
      <c r="BK354" s="144">
        <f t="shared" si="1059"/>
        <v>0</v>
      </c>
      <c r="BL354" s="144">
        <f t="shared" si="1059"/>
        <v>0</v>
      </c>
      <c r="BM354" s="144">
        <f t="shared" si="1059"/>
        <v>0</v>
      </c>
      <c r="BN354" s="144">
        <f t="shared" si="1059"/>
        <v>0</v>
      </c>
      <c r="BO354" s="9">
        <f t="shared" ref="BO354:CT354" si="1060">BO142/BO$211</f>
        <v>0</v>
      </c>
      <c r="BP354" s="144">
        <f t="shared" si="1060"/>
        <v>0</v>
      </c>
      <c r="BQ354" s="144">
        <f t="shared" si="1060"/>
        <v>0</v>
      </c>
      <c r="BR354" s="144">
        <f t="shared" si="1060"/>
        <v>0</v>
      </c>
      <c r="BS354" s="144">
        <f t="shared" si="1060"/>
        <v>0</v>
      </c>
      <c r="BT354" s="144">
        <f t="shared" si="1060"/>
        <v>0</v>
      </c>
      <c r="BU354" s="144">
        <f t="shared" si="1060"/>
        <v>0</v>
      </c>
      <c r="BV354" s="144">
        <f t="shared" si="1060"/>
        <v>0</v>
      </c>
      <c r="BW354" s="144">
        <f t="shared" si="1060"/>
        <v>0</v>
      </c>
      <c r="BX354" s="144">
        <f t="shared" si="1060"/>
        <v>0</v>
      </c>
      <c r="BY354" s="144">
        <f t="shared" si="1060"/>
        <v>0</v>
      </c>
      <c r="BZ354" s="144">
        <f t="shared" si="1060"/>
        <v>0</v>
      </c>
      <c r="CA354" s="144">
        <f t="shared" si="1060"/>
        <v>0</v>
      </c>
      <c r="CB354" s="9">
        <f t="shared" si="1060"/>
        <v>0</v>
      </c>
      <c r="CC354" s="144">
        <f t="shared" si="1060"/>
        <v>0</v>
      </c>
      <c r="CD354" s="144">
        <f t="shared" si="1060"/>
        <v>0</v>
      </c>
      <c r="CE354" s="144">
        <f t="shared" si="1060"/>
        <v>0</v>
      </c>
      <c r="CF354" s="144">
        <f t="shared" si="1060"/>
        <v>0</v>
      </c>
      <c r="CG354" s="144">
        <f t="shared" si="1060"/>
        <v>0</v>
      </c>
      <c r="CH354" s="144">
        <f t="shared" si="1060"/>
        <v>0</v>
      </c>
      <c r="CI354" s="144">
        <f t="shared" si="1060"/>
        <v>0</v>
      </c>
      <c r="CJ354" s="144">
        <f t="shared" si="1060"/>
        <v>0</v>
      </c>
      <c r="CK354" s="144">
        <f t="shared" si="1060"/>
        <v>0</v>
      </c>
      <c r="CL354" s="144">
        <f t="shared" si="1060"/>
        <v>0</v>
      </c>
      <c r="CM354" s="144">
        <f t="shared" si="1060"/>
        <v>0</v>
      </c>
      <c r="CN354" s="144">
        <f t="shared" si="1060"/>
        <v>0</v>
      </c>
      <c r="CO354" s="9">
        <f t="shared" si="1060"/>
        <v>0</v>
      </c>
      <c r="CP354" s="144">
        <f t="shared" si="1060"/>
        <v>0</v>
      </c>
      <c r="CQ354" s="144">
        <f t="shared" si="1060"/>
        <v>0</v>
      </c>
      <c r="CR354" s="144">
        <f t="shared" si="1060"/>
        <v>0</v>
      </c>
      <c r="CS354" s="144">
        <f t="shared" si="1060"/>
        <v>0</v>
      </c>
      <c r="CT354" s="144">
        <f t="shared" si="1060"/>
        <v>0</v>
      </c>
      <c r="CU354" s="144">
        <f t="shared" ref="CU354:EB354" si="1061">CU142/CU$211</f>
        <v>0</v>
      </c>
      <c r="CV354" s="144">
        <f t="shared" si="1061"/>
        <v>0</v>
      </c>
      <c r="CW354" s="144">
        <f t="shared" si="1061"/>
        <v>0</v>
      </c>
      <c r="CX354" s="144">
        <f t="shared" si="1061"/>
        <v>0</v>
      </c>
      <c r="CY354" s="144">
        <f t="shared" si="1061"/>
        <v>0</v>
      </c>
      <c r="CZ354" s="144">
        <f t="shared" si="1061"/>
        <v>0</v>
      </c>
      <c r="DA354" s="144">
        <f t="shared" si="1061"/>
        <v>0</v>
      </c>
      <c r="DB354" s="9">
        <f t="shared" si="1061"/>
        <v>0</v>
      </c>
      <c r="DC354" s="144">
        <f t="shared" si="1061"/>
        <v>0</v>
      </c>
      <c r="DD354" s="144">
        <f t="shared" si="1061"/>
        <v>0</v>
      </c>
      <c r="DE354" s="144">
        <f t="shared" si="1061"/>
        <v>0</v>
      </c>
      <c r="DF354" s="144">
        <f t="shared" si="1061"/>
        <v>0</v>
      </c>
      <c r="DG354" s="144">
        <f t="shared" si="1061"/>
        <v>0</v>
      </c>
      <c r="DH354" s="144">
        <f t="shared" si="1061"/>
        <v>0</v>
      </c>
      <c r="DI354" s="144">
        <f t="shared" si="1061"/>
        <v>0</v>
      </c>
      <c r="DJ354" s="144">
        <f t="shared" si="1061"/>
        <v>0</v>
      </c>
      <c r="DK354" s="144">
        <f t="shared" si="1061"/>
        <v>0</v>
      </c>
      <c r="DL354" s="144">
        <f t="shared" si="1061"/>
        <v>0</v>
      </c>
      <c r="DM354" s="144">
        <f t="shared" si="1061"/>
        <v>0</v>
      </c>
      <c r="DN354" s="144">
        <f t="shared" si="1061"/>
        <v>0</v>
      </c>
      <c r="DO354" s="9">
        <f t="shared" si="1061"/>
        <v>0</v>
      </c>
      <c r="DP354" s="144">
        <f t="shared" si="1061"/>
        <v>0</v>
      </c>
      <c r="DQ354" s="144">
        <f t="shared" si="1061"/>
        <v>0</v>
      </c>
      <c r="DR354" s="144">
        <f t="shared" si="1061"/>
        <v>0</v>
      </c>
      <c r="DS354" s="144">
        <f t="shared" si="1061"/>
        <v>0</v>
      </c>
      <c r="DT354" s="144">
        <f t="shared" si="1061"/>
        <v>0</v>
      </c>
      <c r="DU354" s="144">
        <f t="shared" si="1061"/>
        <v>0</v>
      </c>
      <c r="DV354" s="144">
        <f t="shared" si="1061"/>
        <v>0</v>
      </c>
      <c r="DW354" s="144">
        <f t="shared" si="1061"/>
        <v>0</v>
      </c>
      <c r="DX354" s="144">
        <f t="shared" si="1061"/>
        <v>0</v>
      </c>
      <c r="DY354" s="144">
        <f t="shared" si="1061"/>
        <v>0</v>
      </c>
      <c r="DZ354" s="144">
        <f t="shared" si="1061"/>
        <v>0</v>
      </c>
      <c r="EA354" s="144">
        <f t="shared" si="1061"/>
        <v>0</v>
      </c>
      <c r="EB354" s="117">
        <f t="shared" si="1061"/>
        <v>0</v>
      </c>
      <c r="EC354" s="118"/>
      <c r="ED354" s="117">
        <f t="shared" ref="ED354:FB354" si="1062">ED142/ED$211</f>
        <v>0</v>
      </c>
      <c r="EE354" s="117">
        <f t="shared" si="1062"/>
        <v>0</v>
      </c>
      <c r="EF354" s="117">
        <f t="shared" si="1062"/>
        <v>0</v>
      </c>
      <c r="EG354" s="117" t="e">
        <f t="shared" si="1062"/>
        <v>#DIV/0!</v>
      </c>
      <c r="EH354" s="117" t="e">
        <f t="shared" si="1062"/>
        <v>#DIV/0!</v>
      </c>
      <c r="EI354" s="117" t="e">
        <f t="shared" si="1062"/>
        <v>#DIV/0!</v>
      </c>
      <c r="EJ354" s="117" t="e">
        <f t="shared" si="1062"/>
        <v>#DIV/0!</v>
      </c>
      <c r="EK354" s="117" t="e">
        <f t="shared" si="1062"/>
        <v>#DIV/0!</v>
      </c>
      <c r="EL354" s="117" t="e">
        <f t="shared" si="1062"/>
        <v>#DIV/0!</v>
      </c>
      <c r="EM354" s="117" t="e">
        <f t="shared" si="1062"/>
        <v>#DIV/0!</v>
      </c>
      <c r="EN354" s="117" t="e">
        <f t="shared" si="1062"/>
        <v>#DIV/0!</v>
      </c>
      <c r="EO354" s="116">
        <f t="shared" si="1062"/>
        <v>0</v>
      </c>
      <c r="EP354" s="117">
        <f t="shared" si="1062"/>
        <v>0</v>
      </c>
      <c r="EQ354" s="117">
        <f t="shared" si="1062"/>
        <v>0</v>
      </c>
      <c r="ER354" s="117">
        <f t="shared" si="1062"/>
        <v>0</v>
      </c>
      <c r="ES354" s="117">
        <f t="shared" si="1062"/>
        <v>0</v>
      </c>
      <c r="ET354" s="117">
        <f t="shared" si="1062"/>
        <v>0</v>
      </c>
      <c r="EU354" s="117">
        <f t="shared" si="1062"/>
        <v>0</v>
      </c>
      <c r="EV354" s="117">
        <f t="shared" si="1062"/>
        <v>0</v>
      </c>
      <c r="EW354" s="117">
        <f t="shared" si="1062"/>
        <v>0</v>
      </c>
      <c r="EX354" s="117">
        <f t="shared" si="1062"/>
        <v>0</v>
      </c>
      <c r="EY354" s="117">
        <f t="shared" si="1062"/>
        <v>0</v>
      </c>
      <c r="EZ354" s="117">
        <f t="shared" si="1062"/>
        <v>0</v>
      </c>
      <c r="FA354" s="117">
        <f t="shared" si="1062"/>
        <v>0</v>
      </c>
      <c r="FB354" s="117">
        <f t="shared" si="1062"/>
        <v>0</v>
      </c>
      <c r="FC354" s="118"/>
      <c r="FD354" s="117"/>
      <c r="FE354" s="117"/>
      <c r="FF354" s="117"/>
      <c r="FG354" s="117"/>
      <c r="FH354" s="117"/>
      <c r="FI354" s="117"/>
      <c r="FJ354" s="117"/>
      <c r="FK354" s="117" t="e">
        <f t="shared" si="991"/>
        <v>#DIV/0!</v>
      </c>
      <c r="FL354" s="117" t="e">
        <f t="shared" si="992"/>
        <v>#DIV/0!</v>
      </c>
      <c r="FM354" s="117" t="e">
        <f t="shared" si="993"/>
        <v>#DIV/0!</v>
      </c>
      <c r="FN354" s="117" t="e">
        <f t="shared" si="994"/>
        <v>#DIV/0!</v>
      </c>
      <c r="FO354" s="9" t="e">
        <f t="shared" si="995"/>
        <v>#DIV/0!</v>
      </c>
      <c r="FP354" s="118">
        <f t="shared" ref="FP354:GB354" si="1063">FP142/FP$211</f>
        <v>0</v>
      </c>
      <c r="FQ354" s="117">
        <f t="shared" si="1063"/>
        <v>0</v>
      </c>
      <c r="FR354" s="117">
        <f t="shared" si="1063"/>
        <v>0</v>
      </c>
      <c r="FS354" s="117">
        <f t="shared" si="1063"/>
        <v>0</v>
      </c>
      <c r="FT354" s="117">
        <f t="shared" si="1063"/>
        <v>0</v>
      </c>
      <c r="FU354" s="117">
        <f t="shared" si="1063"/>
        <v>0</v>
      </c>
      <c r="FV354" s="117">
        <f t="shared" si="1063"/>
        <v>0</v>
      </c>
      <c r="FW354" s="117">
        <f t="shared" si="1063"/>
        <v>0</v>
      </c>
      <c r="FX354" s="117">
        <f t="shared" si="1063"/>
        <v>0</v>
      </c>
      <c r="FY354" s="117">
        <f t="shared" si="1063"/>
        <v>0</v>
      </c>
      <c r="FZ354" s="117">
        <f t="shared" si="1063"/>
        <v>0</v>
      </c>
      <c r="GA354" s="117">
        <f t="shared" si="1063"/>
        <v>0</v>
      </c>
      <c r="GB354" s="116">
        <f t="shared" si="1063"/>
        <v>0</v>
      </c>
    </row>
    <row r="355" spans="1:184">
      <c r="A355" s="147" t="s">
        <v>315</v>
      </c>
      <c r="B355" s="160">
        <f t="shared" si="997"/>
        <v>-1</v>
      </c>
      <c r="C355" s="117">
        <f t="shared" ref="C355:AH355" si="1064">C143/C$211</f>
        <v>0</v>
      </c>
      <c r="D355" s="117">
        <f t="shared" si="1064"/>
        <v>0</v>
      </c>
      <c r="E355" s="117">
        <f t="shared" si="1064"/>
        <v>0</v>
      </c>
      <c r="F355" s="117">
        <f t="shared" si="1064"/>
        <v>0</v>
      </c>
      <c r="G355" s="117">
        <f t="shared" si="1064"/>
        <v>0</v>
      </c>
      <c r="H355" s="117">
        <f t="shared" si="1064"/>
        <v>0</v>
      </c>
      <c r="I355" s="117">
        <f t="shared" si="1064"/>
        <v>0</v>
      </c>
      <c r="J355" s="117">
        <f t="shared" si="1064"/>
        <v>0</v>
      </c>
      <c r="K355" s="117">
        <f t="shared" si="1064"/>
        <v>0</v>
      </c>
      <c r="L355" s="117">
        <f t="shared" si="1064"/>
        <v>0</v>
      </c>
      <c r="M355" s="117">
        <f t="shared" si="1064"/>
        <v>0</v>
      </c>
      <c r="N355" s="117">
        <f t="shared" si="1064"/>
        <v>0</v>
      </c>
      <c r="O355" s="9">
        <f t="shared" si="1064"/>
        <v>0</v>
      </c>
      <c r="P355" s="117">
        <f t="shared" si="1064"/>
        <v>0</v>
      </c>
      <c r="Q355" s="117">
        <f t="shared" si="1064"/>
        <v>0</v>
      </c>
      <c r="R355" s="117">
        <f t="shared" si="1064"/>
        <v>0</v>
      </c>
      <c r="S355" s="117">
        <f t="shared" si="1064"/>
        <v>0</v>
      </c>
      <c r="T355" s="117">
        <f t="shared" si="1064"/>
        <v>0</v>
      </c>
      <c r="U355" s="117">
        <f t="shared" si="1064"/>
        <v>0</v>
      </c>
      <c r="V355" s="117">
        <f t="shared" si="1064"/>
        <v>0</v>
      </c>
      <c r="W355" s="117">
        <f t="shared" si="1064"/>
        <v>0</v>
      </c>
      <c r="X355" s="117">
        <f t="shared" si="1064"/>
        <v>0</v>
      </c>
      <c r="Y355" s="117">
        <f t="shared" si="1064"/>
        <v>0</v>
      </c>
      <c r="Z355" s="117">
        <f t="shared" si="1064"/>
        <v>0</v>
      </c>
      <c r="AA355" s="117">
        <f t="shared" si="1064"/>
        <v>0</v>
      </c>
      <c r="AB355" s="9">
        <f t="shared" si="1064"/>
        <v>0</v>
      </c>
      <c r="AC355" s="117">
        <f t="shared" si="1064"/>
        <v>0</v>
      </c>
      <c r="AD355" s="117">
        <f t="shared" si="1064"/>
        <v>0</v>
      </c>
      <c r="AE355" s="117">
        <f t="shared" si="1064"/>
        <v>0</v>
      </c>
      <c r="AF355" s="117">
        <f t="shared" si="1064"/>
        <v>0</v>
      </c>
      <c r="AG355" s="117">
        <f t="shared" si="1064"/>
        <v>0</v>
      </c>
      <c r="AH355" s="117">
        <f t="shared" si="1064"/>
        <v>0</v>
      </c>
      <c r="AI355" s="117">
        <f t="shared" ref="AI355:BN355" si="1065">AI143/AI$211</f>
        <v>0</v>
      </c>
      <c r="AJ355" s="117">
        <f t="shared" si="1065"/>
        <v>0</v>
      </c>
      <c r="AK355" s="117">
        <f t="shared" si="1065"/>
        <v>0</v>
      </c>
      <c r="AL355" s="117">
        <f t="shared" si="1065"/>
        <v>0</v>
      </c>
      <c r="AM355" s="117">
        <f t="shared" si="1065"/>
        <v>0</v>
      </c>
      <c r="AN355" s="117">
        <f t="shared" si="1065"/>
        <v>0</v>
      </c>
      <c r="AO355" s="9">
        <f t="shared" si="1065"/>
        <v>0</v>
      </c>
      <c r="AP355" s="144">
        <f t="shared" si="1065"/>
        <v>0</v>
      </c>
      <c r="AQ355" s="144">
        <f t="shared" si="1065"/>
        <v>0</v>
      </c>
      <c r="AR355" s="144">
        <f t="shared" si="1065"/>
        <v>0</v>
      </c>
      <c r="AS355" s="144">
        <f t="shared" si="1065"/>
        <v>0</v>
      </c>
      <c r="AT355" s="144">
        <f t="shared" si="1065"/>
        <v>0</v>
      </c>
      <c r="AU355" s="144">
        <f t="shared" si="1065"/>
        <v>0</v>
      </c>
      <c r="AV355" s="144">
        <f t="shared" si="1065"/>
        <v>0</v>
      </c>
      <c r="AW355" s="144">
        <f t="shared" si="1065"/>
        <v>0</v>
      </c>
      <c r="AX355" s="144">
        <f t="shared" si="1065"/>
        <v>0</v>
      </c>
      <c r="AY355" s="144">
        <f t="shared" si="1065"/>
        <v>0</v>
      </c>
      <c r="AZ355" s="144">
        <f t="shared" si="1065"/>
        <v>0</v>
      </c>
      <c r="BA355" s="144">
        <f t="shared" si="1065"/>
        <v>0</v>
      </c>
      <c r="BB355" s="9">
        <f t="shared" si="1065"/>
        <v>0</v>
      </c>
      <c r="BC355" s="144">
        <f t="shared" si="1065"/>
        <v>0</v>
      </c>
      <c r="BD355" s="144">
        <f t="shared" si="1065"/>
        <v>0</v>
      </c>
      <c r="BE355" s="144">
        <f t="shared" si="1065"/>
        <v>0</v>
      </c>
      <c r="BF355" s="144">
        <f t="shared" si="1065"/>
        <v>0</v>
      </c>
      <c r="BG355" s="144">
        <f t="shared" si="1065"/>
        <v>0</v>
      </c>
      <c r="BH355" s="144">
        <f t="shared" si="1065"/>
        <v>0</v>
      </c>
      <c r="BI355" s="144">
        <f t="shared" si="1065"/>
        <v>0</v>
      </c>
      <c r="BJ355" s="144">
        <f t="shared" si="1065"/>
        <v>0</v>
      </c>
      <c r="BK355" s="144">
        <f t="shared" si="1065"/>
        <v>0</v>
      </c>
      <c r="BL355" s="144">
        <f t="shared" si="1065"/>
        <v>0</v>
      </c>
      <c r="BM355" s="144">
        <f t="shared" si="1065"/>
        <v>0</v>
      </c>
      <c r="BN355" s="144">
        <f t="shared" si="1065"/>
        <v>0</v>
      </c>
      <c r="BO355" s="9">
        <f t="shared" ref="BO355:CT355" si="1066">BO143/BO$211</f>
        <v>0</v>
      </c>
      <c r="BP355" s="144">
        <f t="shared" si="1066"/>
        <v>0</v>
      </c>
      <c r="BQ355" s="144">
        <f t="shared" si="1066"/>
        <v>0</v>
      </c>
      <c r="BR355" s="144">
        <f t="shared" si="1066"/>
        <v>0</v>
      </c>
      <c r="BS355" s="144">
        <f t="shared" si="1066"/>
        <v>0</v>
      </c>
      <c r="BT355" s="144">
        <f t="shared" si="1066"/>
        <v>0</v>
      </c>
      <c r="BU355" s="144">
        <f t="shared" si="1066"/>
        <v>0</v>
      </c>
      <c r="BV355" s="144">
        <f t="shared" si="1066"/>
        <v>0</v>
      </c>
      <c r="BW355" s="144">
        <f t="shared" si="1066"/>
        <v>0</v>
      </c>
      <c r="BX355" s="144">
        <f t="shared" si="1066"/>
        <v>0</v>
      </c>
      <c r="BY355" s="144">
        <f t="shared" si="1066"/>
        <v>0</v>
      </c>
      <c r="BZ355" s="144">
        <f t="shared" si="1066"/>
        <v>0</v>
      </c>
      <c r="CA355" s="144">
        <f t="shared" si="1066"/>
        <v>0</v>
      </c>
      <c r="CB355" s="9">
        <f t="shared" si="1066"/>
        <v>0</v>
      </c>
      <c r="CC355" s="144">
        <f t="shared" si="1066"/>
        <v>0</v>
      </c>
      <c r="CD355" s="144">
        <f t="shared" si="1066"/>
        <v>0</v>
      </c>
      <c r="CE355" s="144">
        <f t="shared" si="1066"/>
        <v>0</v>
      </c>
      <c r="CF355" s="144">
        <f t="shared" si="1066"/>
        <v>0</v>
      </c>
      <c r="CG355" s="144">
        <f t="shared" si="1066"/>
        <v>0</v>
      </c>
      <c r="CH355" s="144">
        <f t="shared" si="1066"/>
        <v>0</v>
      </c>
      <c r="CI355" s="144">
        <f t="shared" si="1066"/>
        <v>0</v>
      </c>
      <c r="CJ355" s="144">
        <f t="shared" si="1066"/>
        <v>0</v>
      </c>
      <c r="CK355" s="144">
        <f t="shared" si="1066"/>
        <v>0</v>
      </c>
      <c r="CL355" s="144">
        <f t="shared" si="1066"/>
        <v>0</v>
      </c>
      <c r="CM355" s="144">
        <f t="shared" si="1066"/>
        <v>0</v>
      </c>
      <c r="CN355" s="144">
        <f t="shared" si="1066"/>
        <v>0</v>
      </c>
      <c r="CO355" s="9">
        <f t="shared" si="1066"/>
        <v>0</v>
      </c>
      <c r="CP355" s="144">
        <f t="shared" si="1066"/>
        <v>0</v>
      </c>
      <c r="CQ355" s="144">
        <f t="shared" si="1066"/>
        <v>0</v>
      </c>
      <c r="CR355" s="144">
        <f t="shared" si="1066"/>
        <v>0</v>
      </c>
      <c r="CS355" s="144">
        <f t="shared" si="1066"/>
        <v>0</v>
      </c>
      <c r="CT355" s="144">
        <f t="shared" si="1066"/>
        <v>0</v>
      </c>
      <c r="CU355" s="144">
        <f t="shared" ref="CU355:EB355" si="1067">CU143/CU$211</f>
        <v>0</v>
      </c>
      <c r="CV355" s="144">
        <f t="shared" si="1067"/>
        <v>0</v>
      </c>
      <c r="CW355" s="144">
        <f t="shared" si="1067"/>
        <v>0</v>
      </c>
      <c r="CX355" s="144">
        <f t="shared" si="1067"/>
        <v>0</v>
      </c>
      <c r="CY355" s="144">
        <f t="shared" si="1067"/>
        <v>0</v>
      </c>
      <c r="CZ355" s="144">
        <f t="shared" si="1067"/>
        <v>0</v>
      </c>
      <c r="DA355" s="144">
        <f t="shared" si="1067"/>
        <v>0</v>
      </c>
      <c r="DB355" s="9">
        <f t="shared" si="1067"/>
        <v>0</v>
      </c>
      <c r="DC355" s="144">
        <f t="shared" si="1067"/>
        <v>0</v>
      </c>
      <c r="DD355" s="144">
        <f t="shared" si="1067"/>
        <v>0</v>
      </c>
      <c r="DE355" s="144">
        <f t="shared" si="1067"/>
        <v>0</v>
      </c>
      <c r="DF355" s="144">
        <f t="shared" si="1067"/>
        <v>0</v>
      </c>
      <c r="DG355" s="144">
        <f t="shared" si="1067"/>
        <v>0</v>
      </c>
      <c r="DH355" s="144">
        <f t="shared" si="1067"/>
        <v>0</v>
      </c>
      <c r="DI355" s="144">
        <f t="shared" si="1067"/>
        <v>0</v>
      </c>
      <c r="DJ355" s="144">
        <f t="shared" si="1067"/>
        <v>0</v>
      </c>
      <c r="DK355" s="144">
        <f t="shared" si="1067"/>
        <v>0</v>
      </c>
      <c r="DL355" s="144">
        <f t="shared" si="1067"/>
        <v>0</v>
      </c>
      <c r="DM355" s="144">
        <f t="shared" si="1067"/>
        <v>0</v>
      </c>
      <c r="DN355" s="144">
        <f t="shared" si="1067"/>
        <v>0</v>
      </c>
      <c r="DO355" s="9">
        <f t="shared" si="1067"/>
        <v>0</v>
      </c>
      <c r="DP355" s="144">
        <f t="shared" si="1067"/>
        <v>0</v>
      </c>
      <c r="DQ355" s="144">
        <f t="shared" si="1067"/>
        <v>0</v>
      </c>
      <c r="DR355" s="144">
        <f t="shared" si="1067"/>
        <v>0</v>
      </c>
      <c r="DS355" s="144">
        <f t="shared" si="1067"/>
        <v>0</v>
      </c>
      <c r="DT355" s="144">
        <f t="shared" si="1067"/>
        <v>0</v>
      </c>
      <c r="DU355" s="144">
        <f t="shared" si="1067"/>
        <v>0</v>
      </c>
      <c r="DV355" s="144">
        <f t="shared" si="1067"/>
        <v>0</v>
      </c>
      <c r="DW355" s="144">
        <f t="shared" si="1067"/>
        <v>0</v>
      </c>
      <c r="DX355" s="144">
        <f t="shared" si="1067"/>
        <v>0</v>
      </c>
      <c r="DY355" s="144">
        <f t="shared" si="1067"/>
        <v>0</v>
      </c>
      <c r="DZ355" s="144">
        <f t="shared" si="1067"/>
        <v>0</v>
      </c>
      <c r="EA355" s="144">
        <f t="shared" si="1067"/>
        <v>0</v>
      </c>
      <c r="EB355" s="117">
        <f t="shared" si="1067"/>
        <v>0</v>
      </c>
      <c r="EC355" s="118"/>
      <c r="ED355" s="117">
        <f t="shared" ref="ED355:FB355" si="1068">ED143/ED$211</f>
        <v>0</v>
      </c>
      <c r="EE355" s="117">
        <f t="shared" si="1068"/>
        <v>0</v>
      </c>
      <c r="EF355" s="117">
        <f t="shared" si="1068"/>
        <v>0</v>
      </c>
      <c r="EG355" s="117" t="e">
        <f t="shared" si="1068"/>
        <v>#DIV/0!</v>
      </c>
      <c r="EH355" s="117" t="e">
        <f t="shared" si="1068"/>
        <v>#DIV/0!</v>
      </c>
      <c r="EI355" s="117" t="e">
        <f t="shared" si="1068"/>
        <v>#DIV/0!</v>
      </c>
      <c r="EJ355" s="117" t="e">
        <f t="shared" si="1068"/>
        <v>#DIV/0!</v>
      </c>
      <c r="EK355" s="117" t="e">
        <f t="shared" si="1068"/>
        <v>#DIV/0!</v>
      </c>
      <c r="EL355" s="117" t="e">
        <f t="shared" si="1068"/>
        <v>#DIV/0!</v>
      </c>
      <c r="EM355" s="117" t="e">
        <f t="shared" si="1068"/>
        <v>#DIV/0!</v>
      </c>
      <c r="EN355" s="117" t="e">
        <f t="shared" si="1068"/>
        <v>#DIV/0!</v>
      </c>
      <c r="EO355" s="116">
        <f t="shared" si="1068"/>
        <v>0</v>
      </c>
      <c r="EP355" s="117">
        <f t="shared" si="1068"/>
        <v>0</v>
      </c>
      <c r="EQ355" s="117">
        <f t="shared" si="1068"/>
        <v>0</v>
      </c>
      <c r="ER355" s="117">
        <f t="shared" si="1068"/>
        <v>0</v>
      </c>
      <c r="ES355" s="117">
        <f t="shared" si="1068"/>
        <v>0</v>
      </c>
      <c r="ET355" s="117">
        <f t="shared" si="1068"/>
        <v>0</v>
      </c>
      <c r="EU355" s="117">
        <f t="shared" si="1068"/>
        <v>0</v>
      </c>
      <c r="EV355" s="117">
        <f t="shared" si="1068"/>
        <v>0</v>
      </c>
      <c r="EW355" s="117">
        <f t="shared" si="1068"/>
        <v>0</v>
      </c>
      <c r="EX355" s="117">
        <f t="shared" si="1068"/>
        <v>0</v>
      </c>
      <c r="EY355" s="117">
        <f t="shared" si="1068"/>
        <v>0</v>
      </c>
      <c r="EZ355" s="117">
        <f t="shared" si="1068"/>
        <v>0</v>
      </c>
      <c r="FA355" s="117">
        <f t="shared" si="1068"/>
        <v>0</v>
      </c>
      <c r="FB355" s="117">
        <f t="shared" si="1068"/>
        <v>0</v>
      </c>
      <c r="FC355" s="118"/>
      <c r="FD355" s="117"/>
      <c r="FE355" s="117"/>
      <c r="FF355" s="117"/>
      <c r="FG355" s="117"/>
      <c r="FH355" s="117"/>
      <c r="FI355" s="117"/>
      <c r="FJ355" s="117"/>
      <c r="FK355" s="117" t="e">
        <f t="shared" si="991"/>
        <v>#DIV/0!</v>
      </c>
      <c r="FL355" s="117" t="e">
        <f t="shared" si="992"/>
        <v>#DIV/0!</v>
      </c>
      <c r="FM355" s="117" t="e">
        <f t="shared" si="993"/>
        <v>#DIV/0!</v>
      </c>
      <c r="FN355" s="117" t="e">
        <f t="shared" si="994"/>
        <v>#DIV/0!</v>
      </c>
      <c r="FO355" s="9" t="e">
        <f t="shared" si="995"/>
        <v>#DIV/0!</v>
      </c>
      <c r="FP355" s="118">
        <f t="shared" ref="FP355:GB355" si="1069">FP143/FP$211</f>
        <v>0</v>
      </c>
      <c r="FQ355" s="117">
        <f t="shared" si="1069"/>
        <v>0</v>
      </c>
      <c r="FR355" s="117">
        <f t="shared" si="1069"/>
        <v>0</v>
      </c>
      <c r="FS355" s="117">
        <f t="shared" si="1069"/>
        <v>0</v>
      </c>
      <c r="FT355" s="117">
        <f t="shared" si="1069"/>
        <v>0</v>
      </c>
      <c r="FU355" s="117">
        <f t="shared" si="1069"/>
        <v>0</v>
      </c>
      <c r="FV355" s="117">
        <f t="shared" si="1069"/>
        <v>0</v>
      </c>
      <c r="FW355" s="117">
        <f t="shared" si="1069"/>
        <v>0</v>
      </c>
      <c r="FX355" s="117">
        <f t="shared" si="1069"/>
        <v>0</v>
      </c>
      <c r="FY355" s="117">
        <f t="shared" si="1069"/>
        <v>0</v>
      </c>
      <c r="FZ355" s="117">
        <f t="shared" si="1069"/>
        <v>0</v>
      </c>
      <c r="GA355" s="117">
        <f t="shared" si="1069"/>
        <v>0</v>
      </c>
      <c r="GB355" s="116">
        <f t="shared" si="1069"/>
        <v>0</v>
      </c>
    </row>
    <row r="356" spans="1:184">
      <c r="A356" s="147" t="s">
        <v>316</v>
      </c>
      <c r="B356" s="160">
        <f t="shared" si="997"/>
        <v>-0.870272334939231</v>
      </c>
      <c r="C356" s="117">
        <f t="shared" ref="C356:AH356" si="1070">C144/C$211</f>
        <v>0</v>
      </c>
      <c r="D356" s="117">
        <f t="shared" si="1070"/>
        <v>0</v>
      </c>
      <c r="E356" s="117">
        <f t="shared" si="1070"/>
        <v>0</v>
      </c>
      <c r="F356" s="117">
        <f t="shared" si="1070"/>
        <v>3.02128721695891e-6</v>
      </c>
      <c r="G356" s="117">
        <f t="shared" si="1070"/>
        <v>0</v>
      </c>
      <c r="H356" s="117">
        <f t="shared" si="1070"/>
        <v>0</v>
      </c>
      <c r="I356" s="117">
        <f t="shared" si="1070"/>
        <v>0</v>
      </c>
      <c r="J356" s="117">
        <f t="shared" si="1070"/>
        <v>0</v>
      </c>
      <c r="K356" s="117">
        <f t="shared" si="1070"/>
        <v>0</v>
      </c>
      <c r="L356" s="117">
        <f t="shared" si="1070"/>
        <v>0</v>
      </c>
      <c r="M356" s="117">
        <f t="shared" si="1070"/>
        <v>0</v>
      </c>
      <c r="N356" s="117">
        <f t="shared" si="1070"/>
        <v>0</v>
      </c>
      <c r="O356" s="9">
        <f t="shared" si="1070"/>
        <v>2.20838577012631e-7</v>
      </c>
      <c r="P356" s="117">
        <f t="shared" si="1070"/>
        <v>0</v>
      </c>
      <c r="Q356" s="117">
        <f t="shared" si="1070"/>
        <v>0</v>
      </c>
      <c r="R356" s="117">
        <f t="shared" si="1070"/>
        <v>0</v>
      </c>
      <c r="S356" s="117">
        <f t="shared" si="1070"/>
        <v>0</v>
      </c>
      <c r="T356" s="117">
        <f t="shared" si="1070"/>
        <v>0</v>
      </c>
      <c r="U356" s="117">
        <f t="shared" si="1070"/>
        <v>0</v>
      </c>
      <c r="V356" s="117">
        <f t="shared" si="1070"/>
        <v>0</v>
      </c>
      <c r="W356" s="117">
        <f t="shared" si="1070"/>
        <v>0</v>
      </c>
      <c r="X356" s="117">
        <f t="shared" si="1070"/>
        <v>0</v>
      </c>
      <c r="Y356" s="117">
        <f t="shared" si="1070"/>
        <v>0</v>
      </c>
      <c r="Z356" s="117">
        <f t="shared" si="1070"/>
        <v>0</v>
      </c>
      <c r="AA356" s="117">
        <f t="shared" si="1070"/>
        <v>0</v>
      </c>
      <c r="AB356" s="9">
        <f t="shared" si="1070"/>
        <v>0</v>
      </c>
      <c r="AC356" s="117">
        <f t="shared" si="1070"/>
        <v>0</v>
      </c>
      <c r="AD356" s="117">
        <f t="shared" si="1070"/>
        <v>0</v>
      </c>
      <c r="AE356" s="117">
        <f t="shared" si="1070"/>
        <v>0</v>
      </c>
      <c r="AF356" s="117">
        <f t="shared" si="1070"/>
        <v>0</v>
      </c>
      <c r="AG356" s="117">
        <f t="shared" si="1070"/>
        <v>0</v>
      </c>
      <c r="AH356" s="117">
        <f t="shared" si="1070"/>
        <v>0</v>
      </c>
      <c r="AI356" s="117">
        <f t="shared" ref="AI356:BN356" si="1071">AI144/AI$211</f>
        <v>0</v>
      </c>
      <c r="AJ356" s="117">
        <f t="shared" si="1071"/>
        <v>0</v>
      </c>
      <c r="AK356" s="117">
        <f t="shared" si="1071"/>
        <v>0</v>
      </c>
      <c r="AL356" s="117">
        <f t="shared" si="1071"/>
        <v>0</v>
      </c>
      <c r="AM356" s="117">
        <f t="shared" si="1071"/>
        <v>0</v>
      </c>
      <c r="AN356" s="117">
        <f t="shared" si="1071"/>
        <v>0</v>
      </c>
      <c r="AO356" s="9">
        <f t="shared" si="1071"/>
        <v>0</v>
      </c>
      <c r="AP356" s="144">
        <f t="shared" si="1071"/>
        <v>0</v>
      </c>
      <c r="AQ356" s="144">
        <f t="shared" si="1071"/>
        <v>0</v>
      </c>
      <c r="AR356" s="144">
        <f t="shared" si="1071"/>
        <v>0</v>
      </c>
      <c r="AS356" s="144">
        <f t="shared" si="1071"/>
        <v>0</v>
      </c>
      <c r="AT356" s="144">
        <f t="shared" si="1071"/>
        <v>0</v>
      </c>
      <c r="AU356" s="144">
        <f t="shared" si="1071"/>
        <v>0</v>
      </c>
      <c r="AV356" s="144">
        <f t="shared" si="1071"/>
        <v>0</v>
      </c>
      <c r="AW356" s="144">
        <f t="shared" si="1071"/>
        <v>0</v>
      </c>
      <c r="AX356" s="144">
        <f t="shared" si="1071"/>
        <v>0</v>
      </c>
      <c r="AY356" s="144">
        <f t="shared" si="1071"/>
        <v>0</v>
      </c>
      <c r="AZ356" s="144">
        <f t="shared" si="1071"/>
        <v>0</v>
      </c>
      <c r="BA356" s="144">
        <f t="shared" si="1071"/>
        <v>0</v>
      </c>
      <c r="BB356" s="9">
        <f t="shared" si="1071"/>
        <v>0</v>
      </c>
      <c r="BC356" s="144">
        <f t="shared" si="1071"/>
        <v>0</v>
      </c>
      <c r="BD356" s="144">
        <f t="shared" si="1071"/>
        <v>0</v>
      </c>
      <c r="BE356" s="144">
        <f t="shared" si="1071"/>
        <v>0</v>
      </c>
      <c r="BF356" s="144">
        <f t="shared" si="1071"/>
        <v>0</v>
      </c>
      <c r="BG356" s="144">
        <f t="shared" si="1071"/>
        <v>0</v>
      </c>
      <c r="BH356" s="144">
        <f t="shared" si="1071"/>
        <v>0</v>
      </c>
      <c r="BI356" s="144">
        <f t="shared" si="1071"/>
        <v>0</v>
      </c>
      <c r="BJ356" s="144">
        <f t="shared" si="1071"/>
        <v>0</v>
      </c>
      <c r="BK356" s="144">
        <f t="shared" si="1071"/>
        <v>0</v>
      </c>
      <c r="BL356" s="144">
        <f t="shared" si="1071"/>
        <v>0</v>
      </c>
      <c r="BM356" s="144">
        <f t="shared" si="1071"/>
        <v>0</v>
      </c>
      <c r="BN356" s="144">
        <f t="shared" si="1071"/>
        <v>0</v>
      </c>
      <c r="BO356" s="9">
        <f t="shared" ref="BO356:CT356" si="1072">BO144/BO$211</f>
        <v>0</v>
      </c>
      <c r="BP356" s="144">
        <f t="shared" si="1072"/>
        <v>0</v>
      </c>
      <c r="BQ356" s="144">
        <f t="shared" si="1072"/>
        <v>0</v>
      </c>
      <c r="BR356" s="144">
        <f t="shared" si="1072"/>
        <v>0</v>
      </c>
      <c r="BS356" s="144">
        <f t="shared" si="1072"/>
        <v>0</v>
      </c>
      <c r="BT356" s="144">
        <f t="shared" si="1072"/>
        <v>0</v>
      </c>
      <c r="BU356" s="144">
        <f t="shared" si="1072"/>
        <v>0</v>
      </c>
      <c r="BV356" s="144">
        <f t="shared" si="1072"/>
        <v>0</v>
      </c>
      <c r="BW356" s="144">
        <f t="shared" si="1072"/>
        <v>0</v>
      </c>
      <c r="BX356" s="144">
        <f t="shared" si="1072"/>
        <v>0</v>
      </c>
      <c r="BY356" s="144">
        <f t="shared" si="1072"/>
        <v>0</v>
      </c>
      <c r="BZ356" s="144">
        <f t="shared" si="1072"/>
        <v>0</v>
      </c>
      <c r="CA356" s="144">
        <f t="shared" si="1072"/>
        <v>0</v>
      </c>
      <c r="CB356" s="9">
        <f t="shared" si="1072"/>
        <v>0</v>
      </c>
      <c r="CC356" s="144">
        <f t="shared" si="1072"/>
        <v>0</v>
      </c>
      <c r="CD356" s="144">
        <f t="shared" si="1072"/>
        <v>0</v>
      </c>
      <c r="CE356" s="144">
        <f t="shared" si="1072"/>
        <v>0</v>
      </c>
      <c r="CF356" s="144">
        <f t="shared" si="1072"/>
        <v>0</v>
      </c>
      <c r="CG356" s="144">
        <f t="shared" si="1072"/>
        <v>0</v>
      </c>
      <c r="CH356" s="144">
        <f t="shared" si="1072"/>
        <v>0</v>
      </c>
      <c r="CI356" s="144">
        <f t="shared" si="1072"/>
        <v>0</v>
      </c>
      <c r="CJ356" s="144">
        <f t="shared" si="1072"/>
        <v>0</v>
      </c>
      <c r="CK356" s="144">
        <f t="shared" si="1072"/>
        <v>0</v>
      </c>
      <c r="CL356" s="144">
        <f t="shared" si="1072"/>
        <v>0</v>
      </c>
      <c r="CM356" s="144">
        <f t="shared" si="1072"/>
        <v>0</v>
      </c>
      <c r="CN356" s="144">
        <f t="shared" si="1072"/>
        <v>0</v>
      </c>
      <c r="CO356" s="9">
        <f t="shared" si="1072"/>
        <v>0</v>
      </c>
      <c r="CP356" s="144">
        <f t="shared" si="1072"/>
        <v>0</v>
      </c>
      <c r="CQ356" s="144">
        <f t="shared" si="1072"/>
        <v>0</v>
      </c>
      <c r="CR356" s="144">
        <f t="shared" si="1072"/>
        <v>0</v>
      </c>
      <c r="CS356" s="144">
        <f t="shared" si="1072"/>
        <v>0</v>
      </c>
      <c r="CT356" s="144">
        <f t="shared" si="1072"/>
        <v>0</v>
      </c>
      <c r="CU356" s="144">
        <f t="shared" ref="CU356:EB356" si="1073">CU144/CU$211</f>
        <v>0</v>
      </c>
      <c r="CV356" s="144">
        <f t="shared" si="1073"/>
        <v>0</v>
      </c>
      <c r="CW356" s="144">
        <f t="shared" si="1073"/>
        <v>0</v>
      </c>
      <c r="CX356" s="144">
        <f t="shared" si="1073"/>
        <v>0</v>
      </c>
      <c r="CY356" s="144">
        <f t="shared" si="1073"/>
        <v>0</v>
      </c>
      <c r="CZ356" s="144">
        <f t="shared" si="1073"/>
        <v>0</v>
      </c>
      <c r="DA356" s="144">
        <f t="shared" si="1073"/>
        <v>0</v>
      </c>
      <c r="DB356" s="9">
        <f t="shared" si="1073"/>
        <v>0</v>
      </c>
      <c r="DC356" s="144">
        <f t="shared" si="1073"/>
        <v>0</v>
      </c>
      <c r="DD356" s="144">
        <f t="shared" si="1073"/>
        <v>0</v>
      </c>
      <c r="DE356" s="144">
        <f t="shared" si="1073"/>
        <v>0</v>
      </c>
      <c r="DF356" s="144">
        <f t="shared" si="1073"/>
        <v>0</v>
      </c>
      <c r="DG356" s="144">
        <f t="shared" si="1073"/>
        <v>0</v>
      </c>
      <c r="DH356" s="144">
        <f t="shared" si="1073"/>
        <v>0</v>
      </c>
      <c r="DI356" s="144">
        <f t="shared" si="1073"/>
        <v>0</v>
      </c>
      <c r="DJ356" s="144">
        <f t="shared" si="1073"/>
        <v>0</v>
      </c>
      <c r="DK356" s="144">
        <f t="shared" si="1073"/>
        <v>0</v>
      </c>
      <c r="DL356" s="144">
        <f t="shared" si="1073"/>
        <v>0</v>
      </c>
      <c r="DM356" s="144">
        <f t="shared" si="1073"/>
        <v>0</v>
      </c>
      <c r="DN356" s="144">
        <f t="shared" si="1073"/>
        <v>0</v>
      </c>
      <c r="DO356" s="9">
        <f t="shared" si="1073"/>
        <v>0</v>
      </c>
      <c r="DP356" s="144">
        <f t="shared" si="1073"/>
        <v>0</v>
      </c>
      <c r="DQ356" s="144">
        <f t="shared" si="1073"/>
        <v>0</v>
      </c>
      <c r="DR356" s="144">
        <f t="shared" si="1073"/>
        <v>0</v>
      </c>
      <c r="DS356" s="144">
        <f t="shared" si="1073"/>
        <v>0</v>
      </c>
      <c r="DT356" s="144">
        <f t="shared" si="1073"/>
        <v>0</v>
      </c>
      <c r="DU356" s="144">
        <f t="shared" si="1073"/>
        <v>0</v>
      </c>
      <c r="DV356" s="144">
        <f t="shared" si="1073"/>
        <v>0</v>
      </c>
      <c r="DW356" s="144">
        <f t="shared" si="1073"/>
        <v>0</v>
      </c>
      <c r="DX356" s="144">
        <f t="shared" si="1073"/>
        <v>0</v>
      </c>
      <c r="DY356" s="144">
        <f t="shared" si="1073"/>
        <v>0</v>
      </c>
      <c r="DZ356" s="144">
        <f t="shared" si="1073"/>
        <v>0</v>
      </c>
      <c r="EA356" s="144">
        <f t="shared" si="1073"/>
        <v>0</v>
      </c>
      <c r="EB356" s="117">
        <f t="shared" si="1073"/>
        <v>0</v>
      </c>
      <c r="EC356" s="118"/>
      <c r="ED356" s="117">
        <f t="shared" ref="ED356:FB356" si="1074">ED144/ED$211</f>
        <v>0</v>
      </c>
      <c r="EE356" s="117">
        <f t="shared" si="1074"/>
        <v>0</v>
      </c>
      <c r="EF356" s="117">
        <f t="shared" si="1074"/>
        <v>0</v>
      </c>
      <c r="EG356" s="117" t="e">
        <f t="shared" si="1074"/>
        <v>#DIV/0!</v>
      </c>
      <c r="EH356" s="117" t="e">
        <f t="shared" si="1074"/>
        <v>#DIV/0!</v>
      </c>
      <c r="EI356" s="117" t="e">
        <f t="shared" si="1074"/>
        <v>#DIV/0!</v>
      </c>
      <c r="EJ356" s="117" t="e">
        <f t="shared" si="1074"/>
        <v>#DIV/0!</v>
      </c>
      <c r="EK356" s="117" t="e">
        <f t="shared" si="1074"/>
        <v>#DIV/0!</v>
      </c>
      <c r="EL356" s="117" t="e">
        <f t="shared" si="1074"/>
        <v>#DIV/0!</v>
      </c>
      <c r="EM356" s="117" t="e">
        <f t="shared" si="1074"/>
        <v>#DIV/0!</v>
      </c>
      <c r="EN356" s="117" t="e">
        <f t="shared" si="1074"/>
        <v>#DIV/0!</v>
      </c>
      <c r="EO356" s="116">
        <f t="shared" si="1074"/>
        <v>0</v>
      </c>
      <c r="EP356" s="117">
        <f t="shared" si="1074"/>
        <v>0</v>
      </c>
      <c r="EQ356" s="117">
        <f t="shared" si="1074"/>
        <v>0</v>
      </c>
      <c r="ER356" s="117">
        <f t="shared" si="1074"/>
        <v>0</v>
      </c>
      <c r="ES356" s="117">
        <f t="shared" si="1074"/>
        <v>0</v>
      </c>
      <c r="ET356" s="117">
        <f t="shared" si="1074"/>
        <v>0</v>
      </c>
      <c r="EU356" s="117">
        <f t="shared" si="1074"/>
        <v>0</v>
      </c>
      <c r="EV356" s="117">
        <f t="shared" si="1074"/>
        <v>0</v>
      </c>
      <c r="EW356" s="117">
        <f t="shared" si="1074"/>
        <v>0</v>
      </c>
      <c r="EX356" s="117">
        <f t="shared" si="1074"/>
        <v>0</v>
      </c>
      <c r="EY356" s="117">
        <f t="shared" si="1074"/>
        <v>0</v>
      </c>
      <c r="EZ356" s="117">
        <f t="shared" si="1074"/>
        <v>0</v>
      </c>
      <c r="FA356" s="117">
        <f t="shared" si="1074"/>
        <v>0</v>
      </c>
      <c r="FB356" s="117">
        <f t="shared" si="1074"/>
        <v>0</v>
      </c>
      <c r="FC356" s="118"/>
      <c r="FD356" s="117"/>
      <c r="FE356" s="117"/>
      <c r="FF356" s="117"/>
      <c r="FG356" s="117"/>
      <c r="FH356" s="117"/>
      <c r="FI356" s="117"/>
      <c r="FJ356" s="117"/>
      <c r="FK356" s="117" t="e">
        <f t="shared" si="991"/>
        <v>#DIV/0!</v>
      </c>
      <c r="FL356" s="117" t="e">
        <f t="shared" si="992"/>
        <v>#DIV/0!</v>
      </c>
      <c r="FM356" s="117" t="e">
        <f t="shared" si="993"/>
        <v>#DIV/0!</v>
      </c>
      <c r="FN356" s="117" t="e">
        <f t="shared" si="994"/>
        <v>#DIV/0!</v>
      </c>
      <c r="FO356" s="9" t="e">
        <f t="shared" si="995"/>
        <v>#DIV/0!</v>
      </c>
      <c r="FP356" s="118">
        <f t="shared" ref="FP356:GB356" si="1075">FP144/FP$211</f>
        <v>0</v>
      </c>
      <c r="FQ356" s="117">
        <f t="shared" si="1075"/>
        <v>0</v>
      </c>
      <c r="FR356" s="117">
        <f t="shared" si="1075"/>
        <v>0</v>
      </c>
      <c r="FS356" s="117">
        <f t="shared" si="1075"/>
        <v>1.24173860110448e-5</v>
      </c>
      <c r="FT356" s="117">
        <f t="shared" si="1075"/>
        <v>0</v>
      </c>
      <c r="FU356" s="117">
        <f t="shared" si="1075"/>
        <v>0</v>
      </c>
      <c r="FV356" s="117">
        <f t="shared" si="1075"/>
        <v>0</v>
      </c>
      <c r="FW356" s="117">
        <f t="shared" si="1075"/>
        <v>0</v>
      </c>
      <c r="FX356" s="117">
        <f t="shared" si="1075"/>
        <v>0</v>
      </c>
      <c r="FY356" s="117">
        <f t="shared" si="1075"/>
        <v>0</v>
      </c>
      <c r="FZ356" s="117">
        <f t="shared" si="1075"/>
        <v>0</v>
      </c>
      <c r="GA356" s="117">
        <f t="shared" si="1075"/>
        <v>0</v>
      </c>
      <c r="GB356" s="116">
        <f t="shared" si="1075"/>
        <v>9.13509580267879e-7</v>
      </c>
    </row>
    <row r="357" spans="1:184">
      <c r="A357" s="147" t="s">
        <v>317</v>
      </c>
      <c r="B357" s="160" t="e">
        <f t="shared" si="997"/>
        <v>#DIV/0!</v>
      </c>
      <c r="C357" s="117">
        <f t="shared" ref="C357:AH357" si="1076">C145/C$211</f>
        <v>0</v>
      </c>
      <c r="D357" s="117">
        <f t="shared" si="1076"/>
        <v>0</v>
      </c>
      <c r="E357" s="117">
        <f t="shared" si="1076"/>
        <v>0</v>
      </c>
      <c r="F357" s="117">
        <f t="shared" si="1076"/>
        <v>0</v>
      </c>
      <c r="G357" s="117">
        <f t="shared" si="1076"/>
        <v>0</v>
      </c>
      <c r="H357" s="117">
        <f t="shared" si="1076"/>
        <v>0</v>
      </c>
      <c r="I357" s="117">
        <f t="shared" si="1076"/>
        <v>0</v>
      </c>
      <c r="J357" s="117">
        <f t="shared" si="1076"/>
        <v>0</v>
      </c>
      <c r="K357" s="117">
        <f t="shared" si="1076"/>
        <v>0</v>
      </c>
      <c r="L357" s="117">
        <f t="shared" si="1076"/>
        <v>0</v>
      </c>
      <c r="M357" s="117">
        <f t="shared" si="1076"/>
        <v>0</v>
      </c>
      <c r="N357" s="117">
        <f t="shared" si="1076"/>
        <v>0</v>
      </c>
      <c r="O357" s="9">
        <f t="shared" si="1076"/>
        <v>0</v>
      </c>
      <c r="P357" s="117">
        <f t="shared" si="1076"/>
        <v>0</v>
      </c>
      <c r="Q357" s="117">
        <f t="shared" si="1076"/>
        <v>0</v>
      </c>
      <c r="R357" s="117">
        <f t="shared" si="1076"/>
        <v>0</v>
      </c>
      <c r="S357" s="117">
        <f t="shared" si="1076"/>
        <v>0</v>
      </c>
      <c r="T357" s="117">
        <f t="shared" si="1076"/>
        <v>0</v>
      </c>
      <c r="U357" s="117">
        <f t="shared" si="1076"/>
        <v>0</v>
      </c>
      <c r="V357" s="117">
        <f t="shared" si="1076"/>
        <v>0</v>
      </c>
      <c r="W357" s="117">
        <f t="shared" si="1076"/>
        <v>0</v>
      </c>
      <c r="X357" s="117">
        <f t="shared" si="1076"/>
        <v>0</v>
      </c>
      <c r="Y357" s="117">
        <f t="shared" si="1076"/>
        <v>0</v>
      </c>
      <c r="Z357" s="117">
        <f t="shared" si="1076"/>
        <v>0</v>
      </c>
      <c r="AA357" s="117">
        <f t="shared" si="1076"/>
        <v>0</v>
      </c>
      <c r="AB357" s="9">
        <f t="shared" si="1076"/>
        <v>0</v>
      </c>
      <c r="AC357" s="117">
        <f t="shared" si="1076"/>
        <v>0</v>
      </c>
      <c r="AD357" s="117">
        <f t="shared" si="1076"/>
        <v>0</v>
      </c>
      <c r="AE357" s="117">
        <f t="shared" si="1076"/>
        <v>0</v>
      </c>
      <c r="AF357" s="117">
        <f t="shared" si="1076"/>
        <v>0</v>
      </c>
      <c r="AG357" s="117">
        <f t="shared" si="1076"/>
        <v>0</v>
      </c>
      <c r="AH357" s="117">
        <f t="shared" si="1076"/>
        <v>0</v>
      </c>
      <c r="AI357" s="117">
        <f t="shared" ref="AI357:BN357" si="1077">AI145/AI$211</f>
        <v>0</v>
      </c>
      <c r="AJ357" s="117">
        <f t="shared" si="1077"/>
        <v>0</v>
      </c>
      <c r="AK357" s="117">
        <f t="shared" si="1077"/>
        <v>0</v>
      </c>
      <c r="AL357" s="117">
        <f t="shared" si="1077"/>
        <v>0</v>
      </c>
      <c r="AM357" s="117">
        <f t="shared" si="1077"/>
        <v>0</v>
      </c>
      <c r="AN357" s="117">
        <f t="shared" si="1077"/>
        <v>0</v>
      </c>
      <c r="AO357" s="9">
        <f t="shared" si="1077"/>
        <v>0</v>
      </c>
      <c r="AP357" s="144">
        <f t="shared" si="1077"/>
        <v>0</v>
      </c>
      <c r="AQ357" s="144">
        <f t="shared" si="1077"/>
        <v>0</v>
      </c>
      <c r="AR357" s="144">
        <f t="shared" si="1077"/>
        <v>0</v>
      </c>
      <c r="AS357" s="144">
        <f t="shared" si="1077"/>
        <v>0</v>
      </c>
      <c r="AT357" s="144">
        <f t="shared" si="1077"/>
        <v>0</v>
      </c>
      <c r="AU357" s="144">
        <f t="shared" si="1077"/>
        <v>0</v>
      </c>
      <c r="AV357" s="144">
        <f t="shared" si="1077"/>
        <v>0</v>
      </c>
      <c r="AW357" s="144">
        <f t="shared" si="1077"/>
        <v>0</v>
      </c>
      <c r="AX357" s="144">
        <f t="shared" si="1077"/>
        <v>0</v>
      </c>
      <c r="AY357" s="144">
        <f t="shared" si="1077"/>
        <v>0</v>
      </c>
      <c r="AZ357" s="144">
        <f t="shared" si="1077"/>
        <v>0</v>
      </c>
      <c r="BA357" s="144">
        <f t="shared" si="1077"/>
        <v>0</v>
      </c>
      <c r="BB357" s="9">
        <f t="shared" si="1077"/>
        <v>0</v>
      </c>
      <c r="BC357" s="144">
        <f t="shared" si="1077"/>
        <v>0</v>
      </c>
      <c r="BD357" s="144">
        <f t="shared" si="1077"/>
        <v>0</v>
      </c>
      <c r="BE357" s="144">
        <f t="shared" si="1077"/>
        <v>0</v>
      </c>
      <c r="BF357" s="144">
        <f t="shared" si="1077"/>
        <v>0</v>
      </c>
      <c r="BG357" s="144">
        <f t="shared" si="1077"/>
        <v>0</v>
      </c>
      <c r="BH357" s="144">
        <f t="shared" si="1077"/>
        <v>0</v>
      </c>
      <c r="BI357" s="144">
        <f t="shared" si="1077"/>
        <v>0</v>
      </c>
      <c r="BJ357" s="144">
        <f t="shared" si="1077"/>
        <v>0</v>
      </c>
      <c r="BK357" s="144">
        <f t="shared" si="1077"/>
        <v>0</v>
      </c>
      <c r="BL357" s="144">
        <f t="shared" si="1077"/>
        <v>0</v>
      </c>
      <c r="BM357" s="144">
        <f t="shared" si="1077"/>
        <v>0</v>
      </c>
      <c r="BN357" s="144">
        <f t="shared" si="1077"/>
        <v>0</v>
      </c>
      <c r="BO357" s="9">
        <f t="shared" ref="BO357:CT357" si="1078">BO145/BO$211</f>
        <v>0</v>
      </c>
      <c r="BP357" s="144">
        <f t="shared" si="1078"/>
        <v>0</v>
      </c>
      <c r="BQ357" s="144">
        <f t="shared" si="1078"/>
        <v>0</v>
      </c>
      <c r="BR357" s="144">
        <f t="shared" si="1078"/>
        <v>0</v>
      </c>
      <c r="BS357" s="144">
        <f t="shared" si="1078"/>
        <v>0</v>
      </c>
      <c r="BT357" s="144">
        <f t="shared" si="1078"/>
        <v>0</v>
      </c>
      <c r="BU357" s="144">
        <f t="shared" si="1078"/>
        <v>0</v>
      </c>
      <c r="BV357" s="144">
        <f t="shared" si="1078"/>
        <v>0</v>
      </c>
      <c r="BW357" s="144">
        <f t="shared" si="1078"/>
        <v>0</v>
      </c>
      <c r="BX357" s="144">
        <f t="shared" si="1078"/>
        <v>0</v>
      </c>
      <c r="BY357" s="144">
        <f t="shared" si="1078"/>
        <v>0</v>
      </c>
      <c r="BZ357" s="144">
        <f t="shared" si="1078"/>
        <v>0</v>
      </c>
      <c r="CA357" s="144">
        <f t="shared" si="1078"/>
        <v>0</v>
      </c>
      <c r="CB357" s="9">
        <f t="shared" si="1078"/>
        <v>0</v>
      </c>
      <c r="CC357" s="144">
        <f t="shared" si="1078"/>
        <v>0</v>
      </c>
      <c r="CD357" s="144">
        <f t="shared" si="1078"/>
        <v>0</v>
      </c>
      <c r="CE357" s="144">
        <f t="shared" si="1078"/>
        <v>0</v>
      </c>
      <c r="CF357" s="144">
        <f t="shared" si="1078"/>
        <v>0</v>
      </c>
      <c r="CG357" s="144">
        <f t="shared" si="1078"/>
        <v>0</v>
      </c>
      <c r="CH357" s="144">
        <f t="shared" si="1078"/>
        <v>0</v>
      </c>
      <c r="CI357" s="144">
        <f t="shared" si="1078"/>
        <v>0</v>
      </c>
      <c r="CJ357" s="144">
        <f t="shared" si="1078"/>
        <v>0</v>
      </c>
      <c r="CK357" s="144">
        <f t="shared" si="1078"/>
        <v>0</v>
      </c>
      <c r="CL357" s="144">
        <f t="shared" si="1078"/>
        <v>0</v>
      </c>
      <c r="CM357" s="144">
        <f t="shared" si="1078"/>
        <v>0</v>
      </c>
      <c r="CN357" s="144">
        <f t="shared" si="1078"/>
        <v>0</v>
      </c>
      <c r="CO357" s="9">
        <f t="shared" si="1078"/>
        <v>0</v>
      </c>
      <c r="CP357" s="144">
        <f t="shared" si="1078"/>
        <v>0</v>
      </c>
      <c r="CQ357" s="144">
        <f t="shared" si="1078"/>
        <v>0</v>
      </c>
      <c r="CR357" s="144">
        <f t="shared" si="1078"/>
        <v>0</v>
      </c>
      <c r="CS357" s="144">
        <f t="shared" si="1078"/>
        <v>0</v>
      </c>
      <c r="CT357" s="144">
        <f t="shared" si="1078"/>
        <v>0</v>
      </c>
      <c r="CU357" s="144">
        <f t="shared" ref="CU357:EB357" si="1079">CU145/CU$211</f>
        <v>0</v>
      </c>
      <c r="CV357" s="144">
        <f t="shared" si="1079"/>
        <v>0</v>
      </c>
      <c r="CW357" s="144">
        <f t="shared" si="1079"/>
        <v>0</v>
      </c>
      <c r="CX357" s="144">
        <f t="shared" si="1079"/>
        <v>0</v>
      </c>
      <c r="CY357" s="144">
        <f t="shared" si="1079"/>
        <v>0</v>
      </c>
      <c r="CZ357" s="144">
        <f t="shared" si="1079"/>
        <v>0</v>
      </c>
      <c r="DA357" s="144">
        <f t="shared" si="1079"/>
        <v>0</v>
      </c>
      <c r="DB357" s="9">
        <f t="shared" si="1079"/>
        <v>0</v>
      </c>
      <c r="DC357" s="144">
        <f t="shared" si="1079"/>
        <v>0</v>
      </c>
      <c r="DD357" s="144">
        <f t="shared" si="1079"/>
        <v>0</v>
      </c>
      <c r="DE357" s="144">
        <f t="shared" si="1079"/>
        <v>0</v>
      </c>
      <c r="DF357" s="144">
        <f t="shared" si="1079"/>
        <v>0</v>
      </c>
      <c r="DG357" s="144">
        <f t="shared" si="1079"/>
        <v>0</v>
      </c>
      <c r="DH357" s="144">
        <f t="shared" si="1079"/>
        <v>0</v>
      </c>
      <c r="DI357" s="144">
        <f t="shared" si="1079"/>
        <v>0</v>
      </c>
      <c r="DJ357" s="144">
        <f t="shared" si="1079"/>
        <v>0</v>
      </c>
      <c r="DK357" s="144">
        <f t="shared" si="1079"/>
        <v>0</v>
      </c>
      <c r="DL357" s="144">
        <f t="shared" si="1079"/>
        <v>0</v>
      </c>
      <c r="DM357" s="144">
        <f t="shared" si="1079"/>
        <v>0</v>
      </c>
      <c r="DN357" s="144">
        <f t="shared" si="1079"/>
        <v>0</v>
      </c>
      <c r="DO357" s="9">
        <f t="shared" si="1079"/>
        <v>0</v>
      </c>
      <c r="DP357" s="144">
        <f t="shared" si="1079"/>
        <v>0</v>
      </c>
      <c r="DQ357" s="144">
        <f t="shared" si="1079"/>
        <v>0</v>
      </c>
      <c r="DR357" s="144">
        <f t="shared" si="1079"/>
        <v>0</v>
      </c>
      <c r="DS357" s="144">
        <f t="shared" si="1079"/>
        <v>0</v>
      </c>
      <c r="DT357" s="144">
        <f t="shared" si="1079"/>
        <v>0</v>
      </c>
      <c r="DU357" s="144">
        <f t="shared" si="1079"/>
        <v>0</v>
      </c>
      <c r="DV357" s="144">
        <f t="shared" si="1079"/>
        <v>0</v>
      </c>
      <c r="DW357" s="144">
        <f t="shared" si="1079"/>
        <v>0</v>
      </c>
      <c r="DX357" s="144">
        <f t="shared" si="1079"/>
        <v>0</v>
      </c>
      <c r="DY357" s="144">
        <f t="shared" si="1079"/>
        <v>0</v>
      </c>
      <c r="DZ357" s="144">
        <f t="shared" si="1079"/>
        <v>0</v>
      </c>
      <c r="EA357" s="144">
        <f t="shared" si="1079"/>
        <v>0</v>
      </c>
      <c r="EB357" s="117">
        <f t="shared" si="1079"/>
        <v>0</v>
      </c>
      <c r="EC357" s="118"/>
      <c r="ED357" s="117">
        <f t="shared" ref="ED357:FB357" si="1080">ED145/ED$211</f>
        <v>0</v>
      </c>
      <c r="EE357" s="117">
        <f t="shared" si="1080"/>
        <v>0</v>
      </c>
      <c r="EF357" s="117">
        <f t="shared" si="1080"/>
        <v>0</v>
      </c>
      <c r="EG357" s="117" t="e">
        <f t="shared" si="1080"/>
        <v>#DIV/0!</v>
      </c>
      <c r="EH357" s="117" t="e">
        <f t="shared" si="1080"/>
        <v>#DIV/0!</v>
      </c>
      <c r="EI357" s="117" t="e">
        <f t="shared" si="1080"/>
        <v>#DIV/0!</v>
      </c>
      <c r="EJ357" s="117" t="e">
        <f t="shared" si="1080"/>
        <v>#DIV/0!</v>
      </c>
      <c r="EK357" s="117" t="e">
        <f t="shared" si="1080"/>
        <v>#DIV/0!</v>
      </c>
      <c r="EL357" s="117" t="e">
        <f t="shared" si="1080"/>
        <v>#DIV/0!</v>
      </c>
      <c r="EM357" s="117" t="e">
        <f t="shared" si="1080"/>
        <v>#DIV/0!</v>
      </c>
      <c r="EN357" s="117" t="e">
        <f t="shared" si="1080"/>
        <v>#DIV/0!</v>
      </c>
      <c r="EO357" s="116">
        <f t="shared" si="1080"/>
        <v>0</v>
      </c>
      <c r="EP357" s="117">
        <f t="shared" si="1080"/>
        <v>0</v>
      </c>
      <c r="EQ357" s="117">
        <f t="shared" si="1080"/>
        <v>0</v>
      </c>
      <c r="ER357" s="117">
        <f t="shared" si="1080"/>
        <v>0</v>
      </c>
      <c r="ES357" s="117">
        <f t="shared" si="1080"/>
        <v>0</v>
      </c>
      <c r="ET357" s="117">
        <f t="shared" si="1080"/>
        <v>0</v>
      </c>
      <c r="EU357" s="117">
        <f t="shared" si="1080"/>
        <v>0</v>
      </c>
      <c r="EV357" s="117">
        <f t="shared" si="1080"/>
        <v>0</v>
      </c>
      <c r="EW357" s="117">
        <f t="shared" si="1080"/>
        <v>0</v>
      </c>
      <c r="EX357" s="117">
        <f t="shared" si="1080"/>
        <v>0</v>
      </c>
      <c r="EY357" s="117">
        <f t="shared" si="1080"/>
        <v>0</v>
      </c>
      <c r="EZ357" s="117">
        <f t="shared" si="1080"/>
        <v>0</v>
      </c>
      <c r="FA357" s="117">
        <f t="shared" si="1080"/>
        <v>0</v>
      </c>
      <c r="FB357" s="117">
        <f t="shared" si="1080"/>
        <v>0</v>
      </c>
      <c r="FC357" s="118"/>
      <c r="FD357" s="117"/>
      <c r="FE357" s="117"/>
      <c r="FF357" s="117"/>
      <c r="FG357" s="117"/>
      <c r="FH357" s="117"/>
      <c r="FI357" s="117"/>
      <c r="FJ357" s="117"/>
      <c r="FK357" s="117" t="e">
        <f t="shared" si="991"/>
        <v>#DIV/0!</v>
      </c>
      <c r="FL357" s="117" t="e">
        <f t="shared" si="992"/>
        <v>#DIV/0!</v>
      </c>
      <c r="FM357" s="117" t="e">
        <f t="shared" si="993"/>
        <v>#DIV/0!</v>
      </c>
      <c r="FN357" s="117" t="e">
        <f t="shared" si="994"/>
        <v>#DIV/0!</v>
      </c>
      <c r="FO357" s="9" t="e">
        <f t="shared" si="995"/>
        <v>#DIV/0!</v>
      </c>
      <c r="FP357" s="118">
        <f t="shared" ref="FP357:GB357" si="1081">FP145/FP$211</f>
        <v>0</v>
      </c>
      <c r="FQ357" s="117">
        <f t="shared" si="1081"/>
        <v>0</v>
      </c>
      <c r="FR357" s="117">
        <f t="shared" si="1081"/>
        <v>0</v>
      </c>
      <c r="FS357" s="117">
        <f t="shared" si="1081"/>
        <v>0</v>
      </c>
      <c r="FT357" s="117">
        <f t="shared" si="1081"/>
        <v>0</v>
      </c>
      <c r="FU357" s="117">
        <f t="shared" si="1081"/>
        <v>0</v>
      </c>
      <c r="FV357" s="117">
        <f t="shared" si="1081"/>
        <v>0</v>
      </c>
      <c r="FW357" s="117">
        <f t="shared" si="1081"/>
        <v>0</v>
      </c>
      <c r="FX357" s="117">
        <f t="shared" si="1081"/>
        <v>0</v>
      </c>
      <c r="FY357" s="117">
        <f t="shared" si="1081"/>
        <v>0</v>
      </c>
      <c r="FZ357" s="117">
        <f t="shared" si="1081"/>
        <v>0</v>
      </c>
      <c r="GA357" s="117">
        <f t="shared" si="1081"/>
        <v>0</v>
      </c>
      <c r="GB357" s="116">
        <f t="shared" si="1081"/>
        <v>0</v>
      </c>
    </row>
    <row r="358" spans="1:184">
      <c r="A358" s="147" t="s">
        <v>318</v>
      </c>
      <c r="B358" s="160">
        <f t="shared" si="997"/>
        <v>-0.754928406620456</v>
      </c>
      <c r="C358" s="117">
        <f t="shared" ref="C358:AH358" si="1082">C146/C$211</f>
        <v>0.000510645873240497</v>
      </c>
      <c r="D358" s="117">
        <f t="shared" si="1082"/>
        <v>0.000377140662447583</v>
      </c>
      <c r="E358" s="117">
        <f t="shared" si="1082"/>
        <v>0.000395573178764438</v>
      </c>
      <c r="F358" s="117">
        <f t="shared" si="1082"/>
        <v>0.000615857961083442</v>
      </c>
      <c r="G358" s="117">
        <f t="shared" si="1082"/>
        <v>0.000564526065198486</v>
      </c>
      <c r="H358" s="117">
        <f t="shared" si="1082"/>
        <v>0.000557193523928691</v>
      </c>
      <c r="I358" s="117">
        <f t="shared" si="1082"/>
        <v>0.000381520422359821</v>
      </c>
      <c r="J358" s="117">
        <f t="shared" si="1082"/>
        <v>0.000307954928901815</v>
      </c>
      <c r="K358" s="117">
        <f t="shared" si="1082"/>
        <v>0.000138610928744063</v>
      </c>
      <c r="L358" s="117">
        <f t="shared" si="1082"/>
        <v>1.82260501022227e-6</v>
      </c>
      <c r="M358" s="117">
        <f t="shared" si="1082"/>
        <v>1.77782474590172e-6</v>
      </c>
      <c r="N358" s="117">
        <f t="shared" si="1082"/>
        <v>1.84206745784893e-6</v>
      </c>
      <c r="O358" s="9">
        <f t="shared" si="1082"/>
        <v>0.000314591256556337</v>
      </c>
      <c r="P358" s="117">
        <f t="shared" si="1082"/>
        <v>0.00282789212787958</v>
      </c>
      <c r="Q358" s="117">
        <f t="shared" si="1082"/>
        <v>0.0016514925926555</v>
      </c>
      <c r="R358" s="117">
        <f t="shared" si="1082"/>
        <v>0.00165945549600251</v>
      </c>
      <c r="S358" s="117">
        <f t="shared" si="1082"/>
        <v>0.00349006435487975</v>
      </c>
      <c r="T358" s="117">
        <f t="shared" si="1082"/>
        <v>0.00266429888739947</v>
      </c>
      <c r="U358" s="117">
        <f t="shared" si="1082"/>
        <v>0.00278384838900218</v>
      </c>
      <c r="V358" s="117">
        <f t="shared" si="1082"/>
        <v>0.00178109711938027</v>
      </c>
      <c r="W358" s="117">
        <f t="shared" si="1082"/>
        <v>0.00147578619091705</v>
      </c>
      <c r="X358" s="117">
        <f t="shared" si="1082"/>
        <v>0.00100743162810888</v>
      </c>
      <c r="Y358" s="117">
        <f t="shared" si="1082"/>
        <v>0</v>
      </c>
      <c r="Z358" s="117">
        <f t="shared" si="1082"/>
        <v>0</v>
      </c>
      <c r="AA358" s="117">
        <f t="shared" si="1082"/>
        <v>0</v>
      </c>
      <c r="AB358" s="9">
        <f t="shared" si="1082"/>
        <v>0.0015456300149641</v>
      </c>
      <c r="AC358" s="117">
        <f t="shared" si="1082"/>
        <v>0.00189085739819576</v>
      </c>
      <c r="AD358" s="117">
        <f t="shared" si="1082"/>
        <v>0.00142970936272181</v>
      </c>
      <c r="AE358" s="117">
        <f t="shared" si="1082"/>
        <v>0.00145220916276888</v>
      </c>
      <c r="AF358" s="117">
        <f t="shared" si="1082"/>
        <v>0.00190041239282814</v>
      </c>
      <c r="AG358" s="117">
        <f t="shared" si="1082"/>
        <v>0.00195493635492722</v>
      </c>
      <c r="AH358" s="117">
        <f t="shared" si="1082"/>
        <v>0.00151300457583383</v>
      </c>
      <c r="AI358" s="117">
        <f t="shared" ref="AI358:BN358" si="1083">AI146/AI$211</f>
        <v>0.00135872894735921</v>
      </c>
      <c r="AJ358" s="117">
        <f t="shared" si="1083"/>
        <v>0.00107061512743833</v>
      </c>
      <c r="AK358" s="117">
        <f t="shared" si="1083"/>
        <v>0</v>
      </c>
      <c r="AL358" s="117">
        <f t="shared" si="1083"/>
        <v>0</v>
      </c>
      <c r="AM358" s="117">
        <f t="shared" si="1083"/>
        <v>0</v>
      </c>
      <c r="AN358" s="117">
        <f t="shared" si="1083"/>
        <v>0</v>
      </c>
      <c r="AO358" s="9">
        <f t="shared" si="1083"/>
        <v>0.000960435229573969</v>
      </c>
      <c r="AP358" s="144">
        <f t="shared" si="1083"/>
        <v>5.5729950002395e-6</v>
      </c>
      <c r="AQ358" s="144">
        <f t="shared" si="1083"/>
        <v>0</v>
      </c>
      <c r="AR358" s="144">
        <f t="shared" si="1083"/>
        <v>6.43219178615395e-6</v>
      </c>
      <c r="AS358" s="144">
        <f t="shared" si="1083"/>
        <v>0</v>
      </c>
      <c r="AT358" s="144">
        <f t="shared" si="1083"/>
        <v>9.53313252685487e-5</v>
      </c>
      <c r="AU358" s="144">
        <f t="shared" si="1083"/>
        <v>0</v>
      </c>
      <c r="AV358" s="144">
        <f t="shared" si="1083"/>
        <v>0</v>
      </c>
      <c r="AW358" s="144">
        <f t="shared" si="1083"/>
        <v>0</v>
      </c>
      <c r="AX358" s="144">
        <f t="shared" si="1083"/>
        <v>0</v>
      </c>
      <c r="AY358" s="144">
        <f t="shared" si="1083"/>
        <v>0</v>
      </c>
      <c r="AZ358" s="144">
        <f t="shared" si="1083"/>
        <v>0</v>
      </c>
      <c r="BA358" s="144">
        <f t="shared" si="1083"/>
        <v>0</v>
      </c>
      <c r="BB358" s="9">
        <f t="shared" si="1083"/>
        <v>7.01110673392753e-6</v>
      </c>
      <c r="BC358" s="144">
        <f t="shared" si="1083"/>
        <v>0.000226027267376986</v>
      </c>
      <c r="BD358" s="144">
        <f t="shared" si="1083"/>
        <v>0.000230758665683456</v>
      </c>
      <c r="BE358" s="144">
        <f t="shared" si="1083"/>
        <v>0.000202266354663965</v>
      </c>
      <c r="BF358" s="144">
        <f t="shared" si="1083"/>
        <v>3.27499118309307e-6</v>
      </c>
      <c r="BG358" s="144">
        <f t="shared" si="1083"/>
        <v>0</v>
      </c>
      <c r="BH358" s="144">
        <f t="shared" si="1083"/>
        <v>0</v>
      </c>
      <c r="BI358" s="144">
        <f t="shared" si="1083"/>
        <v>0</v>
      </c>
      <c r="BJ358" s="144">
        <f t="shared" si="1083"/>
        <v>0</v>
      </c>
      <c r="BK358" s="144">
        <f t="shared" si="1083"/>
        <v>0</v>
      </c>
      <c r="BL358" s="144">
        <f t="shared" si="1083"/>
        <v>0</v>
      </c>
      <c r="BM358" s="144">
        <f t="shared" si="1083"/>
        <v>0</v>
      </c>
      <c r="BN358" s="144">
        <f t="shared" si="1083"/>
        <v>0</v>
      </c>
      <c r="BO358" s="9">
        <f t="shared" ref="BO358:CT358" si="1084">BO146/BO$211</f>
        <v>6.55116725613839e-5</v>
      </c>
      <c r="BP358" s="144">
        <f t="shared" si="1084"/>
        <v>0</v>
      </c>
      <c r="BQ358" s="144">
        <f t="shared" si="1084"/>
        <v>0</v>
      </c>
      <c r="BR358" s="144">
        <f t="shared" si="1084"/>
        <v>0</v>
      </c>
      <c r="BS358" s="144">
        <f t="shared" si="1084"/>
        <v>0</v>
      </c>
      <c r="BT358" s="144">
        <f t="shared" si="1084"/>
        <v>0</v>
      </c>
      <c r="BU358" s="144">
        <f t="shared" si="1084"/>
        <v>0</v>
      </c>
      <c r="BV358" s="144">
        <f t="shared" si="1084"/>
        <v>0</v>
      </c>
      <c r="BW358" s="144">
        <f t="shared" si="1084"/>
        <v>0</v>
      </c>
      <c r="BX358" s="144">
        <f t="shared" si="1084"/>
        <v>0</v>
      </c>
      <c r="BY358" s="144">
        <f t="shared" si="1084"/>
        <v>0</v>
      </c>
      <c r="BZ358" s="144">
        <f t="shared" si="1084"/>
        <v>0</v>
      </c>
      <c r="CA358" s="144">
        <f t="shared" si="1084"/>
        <v>0</v>
      </c>
      <c r="CB358" s="9">
        <f t="shared" si="1084"/>
        <v>0</v>
      </c>
      <c r="CC358" s="144">
        <f t="shared" si="1084"/>
        <v>0.000347968798532082</v>
      </c>
      <c r="CD358" s="144">
        <f t="shared" si="1084"/>
        <v>0</v>
      </c>
      <c r="CE358" s="144">
        <f t="shared" si="1084"/>
        <v>0</v>
      </c>
      <c r="CF358" s="144">
        <f t="shared" si="1084"/>
        <v>0.00033856309050721</v>
      </c>
      <c r="CG358" s="144">
        <f t="shared" si="1084"/>
        <v>0.000606982124895904</v>
      </c>
      <c r="CH358" s="144">
        <f t="shared" si="1084"/>
        <v>0.000429965626736028</v>
      </c>
      <c r="CI358" s="144">
        <f t="shared" si="1084"/>
        <v>0.000560534461981141</v>
      </c>
      <c r="CJ358" s="144">
        <f t="shared" si="1084"/>
        <v>0</v>
      </c>
      <c r="CK358" s="144">
        <f t="shared" si="1084"/>
        <v>0</v>
      </c>
      <c r="CL358" s="144">
        <f t="shared" si="1084"/>
        <v>0</v>
      </c>
      <c r="CM358" s="144">
        <f t="shared" si="1084"/>
        <v>0</v>
      </c>
      <c r="CN358" s="144">
        <f t="shared" si="1084"/>
        <v>0</v>
      </c>
      <c r="CO358" s="9">
        <f t="shared" si="1084"/>
        <v>0.000212244385694486</v>
      </c>
      <c r="CP358" s="144">
        <f t="shared" si="1084"/>
        <v>0</v>
      </c>
      <c r="CQ358" s="144">
        <f t="shared" si="1084"/>
        <v>0</v>
      </c>
      <c r="CR358" s="144">
        <f t="shared" si="1084"/>
        <v>0</v>
      </c>
      <c r="CS358" s="144">
        <f t="shared" si="1084"/>
        <v>0</v>
      </c>
      <c r="CT358" s="144">
        <f t="shared" si="1084"/>
        <v>0</v>
      </c>
      <c r="CU358" s="144">
        <f t="shared" ref="CU358:EB358" si="1085">CU146/CU$211</f>
        <v>0</v>
      </c>
      <c r="CV358" s="144">
        <f t="shared" si="1085"/>
        <v>0</v>
      </c>
      <c r="CW358" s="144">
        <f t="shared" si="1085"/>
        <v>0</v>
      </c>
      <c r="CX358" s="144">
        <f t="shared" si="1085"/>
        <v>0</v>
      </c>
      <c r="CY358" s="144">
        <f t="shared" si="1085"/>
        <v>0</v>
      </c>
      <c r="CZ358" s="144">
        <f t="shared" si="1085"/>
        <v>0</v>
      </c>
      <c r="DA358" s="144">
        <f t="shared" si="1085"/>
        <v>0</v>
      </c>
      <c r="DB358" s="9">
        <f t="shared" si="1085"/>
        <v>0</v>
      </c>
      <c r="DC358" s="144">
        <f t="shared" si="1085"/>
        <v>0.00107350440590525</v>
      </c>
      <c r="DD358" s="144">
        <f t="shared" si="1085"/>
        <v>0.000765148908458725</v>
      </c>
      <c r="DE358" s="144">
        <f t="shared" si="1085"/>
        <v>0.00104345506202887</v>
      </c>
      <c r="DF358" s="144">
        <f t="shared" si="1085"/>
        <v>0.000889733663330442</v>
      </c>
      <c r="DG358" s="144">
        <f t="shared" si="1085"/>
        <v>0.00104322550968159</v>
      </c>
      <c r="DH358" s="144">
        <f t="shared" si="1085"/>
        <v>0.000683754033524868</v>
      </c>
      <c r="DI358" s="144">
        <f t="shared" si="1085"/>
        <v>0.000439593266507134</v>
      </c>
      <c r="DJ358" s="144">
        <f t="shared" si="1085"/>
        <v>0.000214683003778213</v>
      </c>
      <c r="DK358" s="144">
        <f t="shared" si="1085"/>
        <v>0.000214894805359289</v>
      </c>
      <c r="DL358" s="144">
        <f t="shared" si="1085"/>
        <v>0.000212322137471917</v>
      </c>
      <c r="DM358" s="144">
        <f t="shared" si="1085"/>
        <v>0.000236104526249234</v>
      </c>
      <c r="DN358" s="144">
        <f t="shared" si="1085"/>
        <v>0.000213977816599303</v>
      </c>
      <c r="DO358" s="9">
        <f t="shared" si="1085"/>
        <v>0.000617430892520614</v>
      </c>
      <c r="DP358" s="144">
        <f t="shared" si="1085"/>
        <v>7.69622862456421e-6</v>
      </c>
      <c r="DQ358" s="144">
        <f t="shared" si="1085"/>
        <v>2.70959642891272e-6</v>
      </c>
      <c r="DR358" s="144">
        <f t="shared" si="1085"/>
        <v>0</v>
      </c>
      <c r="DS358" s="144">
        <f t="shared" si="1085"/>
        <v>0</v>
      </c>
      <c r="DT358" s="144">
        <f t="shared" si="1085"/>
        <v>0</v>
      </c>
      <c r="DU358" s="144">
        <f t="shared" si="1085"/>
        <v>0</v>
      </c>
      <c r="DV358" s="144">
        <f t="shared" si="1085"/>
        <v>0</v>
      </c>
      <c r="DW358" s="144">
        <f t="shared" si="1085"/>
        <v>0</v>
      </c>
      <c r="DX358" s="144">
        <f t="shared" si="1085"/>
        <v>0</v>
      </c>
      <c r="DY358" s="144">
        <f t="shared" si="1085"/>
        <v>0</v>
      </c>
      <c r="DZ358" s="144">
        <f t="shared" si="1085"/>
        <v>0</v>
      </c>
      <c r="EA358" s="144">
        <f t="shared" si="1085"/>
        <v>0</v>
      </c>
      <c r="EB358" s="117">
        <f t="shared" si="1085"/>
        <v>1.23248991145139e-6</v>
      </c>
      <c r="EC358" s="118"/>
      <c r="ED358" s="117">
        <f t="shared" ref="ED358:FB358" si="1086">ED146/ED$211</f>
        <v>0</v>
      </c>
      <c r="EE358" s="117">
        <f t="shared" si="1086"/>
        <v>0</v>
      </c>
      <c r="EF358" s="117">
        <f t="shared" si="1086"/>
        <v>0</v>
      </c>
      <c r="EG358" s="117" t="e">
        <f t="shared" si="1086"/>
        <v>#DIV/0!</v>
      </c>
      <c r="EH358" s="117" t="e">
        <f t="shared" si="1086"/>
        <v>#DIV/0!</v>
      </c>
      <c r="EI358" s="117" t="e">
        <f t="shared" si="1086"/>
        <v>#DIV/0!</v>
      </c>
      <c r="EJ358" s="117" t="e">
        <f t="shared" si="1086"/>
        <v>#DIV/0!</v>
      </c>
      <c r="EK358" s="117" t="e">
        <f t="shared" si="1086"/>
        <v>#DIV/0!</v>
      </c>
      <c r="EL358" s="117" t="e">
        <f t="shared" si="1086"/>
        <v>#DIV/0!</v>
      </c>
      <c r="EM358" s="117" t="e">
        <f t="shared" si="1086"/>
        <v>#DIV/0!</v>
      </c>
      <c r="EN358" s="117" t="e">
        <f t="shared" si="1086"/>
        <v>#DIV/0!</v>
      </c>
      <c r="EO358" s="116">
        <f t="shared" si="1086"/>
        <v>0</v>
      </c>
      <c r="EP358" s="117">
        <f t="shared" si="1086"/>
        <v>0</v>
      </c>
      <c r="EQ358" s="117">
        <f t="shared" si="1086"/>
        <v>0.00199917259675778</v>
      </c>
      <c r="ER358" s="117">
        <f t="shared" si="1086"/>
        <v>0.00128729881895943</v>
      </c>
      <c r="ES358" s="117">
        <f t="shared" si="1086"/>
        <v>0.000838515539918602</v>
      </c>
      <c r="ET358" s="117">
        <f t="shared" si="1086"/>
        <v>0.000722746335142633</v>
      </c>
      <c r="EU358" s="117">
        <f t="shared" si="1086"/>
        <v>0.000757046908269374</v>
      </c>
      <c r="EV358" s="117">
        <f t="shared" si="1086"/>
        <v>0.0005087103022202</v>
      </c>
      <c r="EW358" s="117">
        <f t="shared" si="1086"/>
        <v>0</v>
      </c>
      <c r="EX358" s="117">
        <f t="shared" si="1086"/>
        <v>0</v>
      </c>
      <c r="EY358" s="117">
        <f t="shared" si="1086"/>
        <v>0</v>
      </c>
      <c r="EZ358" s="117">
        <f t="shared" si="1086"/>
        <v>0</v>
      </c>
      <c r="FA358" s="117">
        <f t="shared" si="1086"/>
        <v>0</v>
      </c>
      <c r="FB358" s="117">
        <f t="shared" si="1086"/>
        <v>0.000499963122275699</v>
      </c>
      <c r="FC358" s="118"/>
      <c r="FD358" s="117"/>
      <c r="FE358" s="117"/>
      <c r="FF358" s="117"/>
      <c r="FG358" s="117"/>
      <c r="FH358" s="117"/>
      <c r="FI358" s="117"/>
      <c r="FJ358" s="117"/>
      <c r="FK358" s="117" t="e">
        <f t="shared" si="991"/>
        <v>#DIV/0!</v>
      </c>
      <c r="FL358" s="117" t="e">
        <f t="shared" si="992"/>
        <v>#DIV/0!</v>
      </c>
      <c r="FM358" s="117" t="e">
        <f t="shared" si="993"/>
        <v>#DIV/0!</v>
      </c>
      <c r="FN358" s="117" t="e">
        <f t="shared" si="994"/>
        <v>#DIV/0!</v>
      </c>
      <c r="FO358" s="9" t="e">
        <f t="shared" si="995"/>
        <v>#DIV/0!</v>
      </c>
      <c r="FP358" s="118">
        <f t="shared" ref="FP358:GB358" si="1087">FP146/FP$211</f>
        <v>5.91662347441571e-5</v>
      </c>
      <c r="FQ358" s="117">
        <f t="shared" si="1087"/>
        <v>6.23270149031067e-5</v>
      </c>
      <c r="FR358" s="117">
        <f t="shared" si="1087"/>
        <v>0.000100235958813476</v>
      </c>
      <c r="FS358" s="117">
        <f t="shared" si="1087"/>
        <v>9.27707316853666e-5</v>
      </c>
      <c r="FT358" s="117">
        <f t="shared" si="1087"/>
        <v>0.000104973843649153</v>
      </c>
      <c r="FU358" s="117">
        <f t="shared" si="1087"/>
        <v>0</v>
      </c>
      <c r="FV358" s="117">
        <f t="shared" si="1087"/>
        <v>0</v>
      </c>
      <c r="FW358" s="117">
        <f t="shared" si="1087"/>
        <v>0</v>
      </c>
      <c r="FX358" s="117">
        <f t="shared" si="1087"/>
        <v>0</v>
      </c>
      <c r="FY358" s="117">
        <f t="shared" si="1087"/>
        <v>0</v>
      </c>
      <c r="FZ358" s="117">
        <f t="shared" si="1087"/>
        <v>0</v>
      </c>
      <c r="GA358" s="117">
        <f t="shared" si="1087"/>
        <v>0</v>
      </c>
      <c r="GB358" s="116">
        <f t="shared" si="1087"/>
        <v>3.56331983432692e-5</v>
      </c>
    </row>
    <row r="359" spans="1:184">
      <c r="A359" s="147" t="s">
        <v>319</v>
      </c>
      <c r="B359" s="160">
        <f t="shared" si="997"/>
        <v>-1</v>
      </c>
      <c r="C359" s="117">
        <f t="shared" ref="C359:AH359" si="1088">C147/C$211</f>
        <v>0</v>
      </c>
      <c r="D359" s="117">
        <f t="shared" si="1088"/>
        <v>0</v>
      </c>
      <c r="E359" s="117">
        <f t="shared" si="1088"/>
        <v>0</v>
      </c>
      <c r="F359" s="117">
        <f t="shared" si="1088"/>
        <v>0</v>
      </c>
      <c r="G359" s="117">
        <f t="shared" si="1088"/>
        <v>0</v>
      </c>
      <c r="H359" s="117">
        <f t="shared" si="1088"/>
        <v>0</v>
      </c>
      <c r="I359" s="117">
        <f t="shared" si="1088"/>
        <v>0</v>
      </c>
      <c r="J359" s="117">
        <f t="shared" si="1088"/>
        <v>0</v>
      </c>
      <c r="K359" s="117">
        <f t="shared" si="1088"/>
        <v>0</v>
      </c>
      <c r="L359" s="117">
        <f t="shared" si="1088"/>
        <v>0</v>
      </c>
      <c r="M359" s="117">
        <f t="shared" si="1088"/>
        <v>0</v>
      </c>
      <c r="N359" s="117">
        <f t="shared" si="1088"/>
        <v>0</v>
      </c>
      <c r="O359" s="9">
        <f t="shared" si="1088"/>
        <v>0</v>
      </c>
      <c r="P359" s="117">
        <f t="shared" si="1088"/>
        <v>0</v>
      </c>
      <c r="Q359" s="117">
        <f t="shared" si="1088"/>
        <v>0</v>
      </c>
      <c r="R359" s="117">
        <f t="shared" si="1088"/>
        <v>0</v>
      </c>
      <c r="S359" s="117">
        <f t="shared" si="1088"/>
        <v>0</v>
      </c>
      <c r="T359" s="117">
        <f t="shared" si="1088"/>
        <v>0</v>
      </c>
      <c r="U359" s="117">
        <f t="shared" si="1088"/>
        <v>0</v>
      </c>
      <c r="V359" s="117">
        <f t="shared" si="1088"/>
        <v>0</v>
      </c>
      <c r="W359" s="117">
        <f t="shared" si="1088"/>
        <v>0</v>
      </c>
      <c r="X359" s="117">
        <f t="shared" si="1088"/>
        <v>0</v>
      </c>
      <c r="Y359" s="117">
        <f t="shared" si="1088"/>
        <v>0</v>
      </c>
      <c r="Z359" s="117">
        <f t="shared" si="1088"/>
        <v>0</v>
      </c>
      <c r="AA359" s="117">
        <f t="shared" si="1088"/>
        <v>0</v>
      </c>
      <c r="AB359" s="9">
        <f t="shared" si="1088"/>
        <v>0</v>
      </c>
      <c r="AC359" s="117">
        <f t="shared" si="1088"/>
        <v>0</v>
      </c>
      <c r="AD359" s="117">
        <f t="shared" si="1088"/>
        <v>0</v>
      </c>
      <c r="AE359" s="117">
        <f t="shared" si="1088"/>
        <v>0</v>
      </c>
      <c r="AF359" s="117">
        <f t="shared" si="1088"/>
        <v>0</v>
      </c>
      <c r="AG359" s="117">
        <f t="shared" si="1088"/>
        <v>0</v>
      </c>
      <c r="AH359" s="117">
        <f t="shared" si="1088"/>
        <v>0</v>
      </c>
      <c r="AI359" s="117">
        <f t="shared" ref="AI359:BN359" si="1089">AI147/AI$211</f>
        <v>0</v>
      </c>
      <c r="AJ359" s="117">
        <f t="shared" si="1089"/>
        <v>0</v>
      </c>
      <c r="AK359" s="117">
        <f t="shared" si="1089"/>
        <v>0</v>
      </c>
      <c r="AL359" s="117">
        <f t="shared" si="1089"/>
        <v>0</v>
      </c>
      <c r="AM359" s="117">
        <f t="shared" si="1089"/>
        <v>0</v>
      </c>
      <c r="AN359" s="117">
        <f t="shared" si="1089"/>
        <v>0</v>
      </c>
      <c r="AO359" s="9">
        <f t="shared" si="1089"/>
        <v>0</v>
      </c>
      <c r="AP359" s="144">
        <f t="shared" si="1089"/>
        <v>0</v>
      </c>
      <c r="AQ359" s="144">
        <f t="shared" si="1089"/>
        <v>0</v>
      </c>
      <c r="AR359" s="144">
        <f t="shared" si="1089"/>
        <v>0</v>
      </c>
      <c r="AS359" s="144">
        <f t="shared" si="1089"/>
        <v>0</v>
      </c>
      <c r="AT359" s="144">
        <f t="shared" si="1089"/>
        <v>0</v>
      </c>
      <c r="AU359" s="144">
        <f t="shared" si="1089"/>
        <v>0</v>
      </c>
      <c r="AV359" s="144">
        <f t="shared" si="1089"/>
        <v>0</v>
      </c>
      <c r="AW359" s="144">
        <f t="shared" si="1089"/>
        <v>0</v>
      </c>
      <c r="AX359" s="144">
        <f t="shared" si="1089"/>
        <v>0</v>
      </c>
      <c r="AY359" s="144">
        <f t="shared" si="1089"/>
        <v>0</v>
      </c>
      <c r="AZ359" s="144">
        <f t="shared" si="1089"/>
        <v>0</v>
      </c>
      <c r="BA359" s="144">
        <f t="shared" si="1089"/>
        <v>0</v>
      </c>
      <c r="BB359" s="9">
        <f t="shared" si="1089"/>
        <v>0</v>
      </c>
      <c r="BC359" s="144">
        <f t="shared" si="1089"/>
        <v>0</v>
      </c>
      <c r="BD359" s="144">
        <f t="shared" si="1089"/>
        <v>0</v>
      </c>
      <c r="BE359" s="144">
        <f t="shared" si="1089"/>
        <v>0</v>
      </c>
      <c r="BF359" s="144">
        <f t="shared" si="1089"/>
        <v>0</v>
      </c>
      <c r="BG359" s="144">
        <f t="shared" si="1089"/>
        <v>0</v>
      </c>
      <c r="BH359" s="144">
        <f t="shared" si="1089"/>
        <v>0</v>
      </c>
      <c r="BI359" s="144">
        <f t="shared" si="1089"/>
        <v>0</v>
      </c>
      <c r="BJ359" s="144">
        <f t="shared" si="1089"/>
        <v>0</v>
      </c>
      <c r="BK359" s="144">
        <f t="shared" si="1089"/>
        <v>0</v>
      </c>
      <c r="BL359" s="144">
        <f t="shared" si="1089"/>
        <v>0</v>
      </c>
      <c r="BM359" s="144">
        <f t="shared" si="1089"/>
        <v>0</v>
      </c>
      <c r="BN359" s="144">
        <f t="shared" si="1089"/>
        <v>0</v>
      </c>
      <c r="BO359" s="9">
        <f t="shared" ref="BO359:CT359" si="1090">BO147/BO$211</f>
        <v>0</v>
      </c>
      <c r="BP359" s="144">
        <f t="shared" si="1090"/>
        <v>0</v>
      </c>
      <c r="BQ359" s="144">
        <f t="shared" si="1090"/>
        <v>0</v>
      </c>
      <c r="BR359" s="144">
        <f t="shared" si="1090"/>
        <v>0</v>
      </c>
      <c r="BS359" s="144">
        <f t="shared" si="1090"/>
        <v>0</v>
      </c>
      <c r="BT359" s="144">
        <f t="shared" si="1090"/>
        <v>0</v>
      </c>
      <c r="BU359" s="144">
        <f t="shared" si="1090"/>
        <v>0</v>
      </c>
      <c r="BV359" s="144">
        <f t="shared" si="1090"/>
        <v>0</v>
      </c>
      <c r="BW359" s="144">
        <f t="shared" si="1090"/>
        <v>0</v>
      </c>
      <c r="BX359" s="144">
        <f t="shared" si="1090"/>
        <v>0</v>
      </c>
      <c r="BY359" s="144">
        <f t="shared" si="1090"/>
        <v>0</v>
      </c>
      <c r="BZ359" s="144">
        <f t="shared" si="1090"/>
        <v>0</v>
      </c>
      <c r="CA359" s="144">
        <f t="shared" si="1090"/>
        <v>0</v>
      </c>
      <c r="CB359" s="9">
        <f t="shared" si="1090"/>
        <v>0</v>
      </c>
      <c r="CC359" s="144">
        <f t="shared" si="1090"/>
        <v>0</v>
      </c>
      <c r="CD359" s="144">
        <f t="shared" si="1090"/>
        <v>0</v>
      </c>
      <c r="CE359" s="144">
        <f t="shared" si="1090"/>
        <v>0</v>
      </c>
      <c r="CF359" s="144">
        <f t="shared" si="1090"/>
        <v>0</v>
      </c>
      <c r="CG359" s="144">
        <f t="shared" si="1090"/>
        <v>0</v>
      </c>
      <c r="CH359" s="144">
        <f t="shared" si="1090"/>
        <v>0</v>
      </c>
      <c r="CI359" s="144">
        <f t="shared" si="1090"/>
        <v>0</v>
      </c>
      <c r="CJ359" s="144">
        <f t="shared" si="1090"/>
        <v>0</v>
      </c>
      <c r="CK359" s="144">
        <f t="shared" si="1090"/>
        <v>0</v>
      </c>
      <c r="CL359" s="144">
        <f t="shared" si="1090"/>
        <v>0</v>
      </c>
      <c r="CM359" s="144">
        <f t="shared" si="1090"/>
        <v>0</v>
      </c>
      <c r="CN359" s="144">
        <f t="shared" si="1090"/>
        <v>0</v>
      </c>
      <c r="CO359" s="9">
        <f t="shared" si="1090"/>
        <v>0</v>
      </c>
      <c r="CP359" s="144">
        <f t="shared" si="1090"/>
        <v>0</v>
      </c>
      <c r="CQ359" s="144">
        <f t="shared" si="1090"/>
        <v>0</v>
      </c>
      <c r="CR359" s="144">
        <f t="shared" si="1090"/>
        <v>0</v>
      </c>
      <c r="CS359" s="144">
        <f t="shared" si="1090"/>
        <v>0</v>
      </c>
      <c r="CT359" s="144">
        <f t="shared" si="1090"/>
        <v>0</v>
      </c>
      <c r="CU359" s="144">
        <f t="shared" ref="CU359:EB359" si="1091">CU147/CU$211</f>
        <v>0</v>
      </c>
      <c r="CV359" s="144">
        <f t="shared" si="1091"/>
        <v>0</v>
      </c>
      <c r="CW359" s="144">
        <f t="shared" si="1091"/>
        <v>0</v>
      </c>
      <c r="CX359" s="144">
        <f t="shared" si="1091"/>
        <v>0</v>
      </c>
      <c r="CY359" s="144">
        <f t="shared" si="1091"/>
        <v>0</v>
      </c>
      <c r="CZ359" s="144">
        <f t="shared" si="1091"/>
        <v>0</v>
      </c>
      <c r="DA359" s="144">
        <f t="shared" si="1091"/>
        <v>0</v>
      </c>
      <c r="DB359" s="9">
        <f t="shared" si="1091"/>
        <v>0</v>
      </c>
      <c r="DC359" s="144">
        <f t="shared" si="1091"/>
        <v>0</v>
      </c>
      <c r="DD359" s="144">
        <f t="shared" si="1091"/>
        <v>0</v>
      </c>
      <c r="DE359" s="144">
        <f t="shared" si="1091"/>
        <v>0</v>
      </c>
      <c r="DF359" s="144">
        <f t="shared" si="1091"/>
        <v>0</v>
      </c>
      <c r="DG359" s="144">
        <f t="shared" si="1091"/>
        <v>0</v>
      </c>
      <c r="DH359" s="144">
        <f t="shared" si="1091"/>
        <v>0</v>
      </c>
      <c r="DI359" s="144">
        <f t="shared" si="1091"/>
        <v>0</v>
      </c>
      <c r="DJ359" s="144">
        <f t="shared" si="1091"/>
        <v>0</v>
      </c>
      <c r="DK359" s="144">
        <f t="shared" si="1091"/>
        <v>0</v>
      </c>
      <c r="DL359" s="144">
        <f t="shared" si="1091"/>
        <v>0</v>
      </c>
      <c r="DM359" s="144">
        <f t="shared" si="1091"/>
        <v>0</v>
      </c>
      <c r="DN359" s="144">
        <f t="shared" si="1091"/>
        <v>0</v>
      </c>
      <c r="DO359" s="9">
        <f t="shared" si="1091"/>
        <v>0</v>
      </c>
      <c r="DP359" s="144">
        <f t="shared" si="1091"/>
        <v>0</v>
      </c>
      <c r="DQ359" s="144">
        <f t="shared" si="1091"/>
        <v>0</v>
      </c>
      <c r="DR359" s="144">
        <f t="shared" si="1091"/>
        <v>0</v>
      </c>
      <c r="DS359" s="144">
        <f t="shared" si="1091"/>
        <v>0</v>
      </c>
      <c r="DT359" s="144">
        <f t="shared" si="1091"/>
        <v>0</v>
      </c>
      <c r="DU359" s="144">
        <f t="shared" si="1091"/>
        <v>0</v>
      </c>
      <c r="DV359" s="144">
        <f t="shared" si="1091"/>
        <v>0</v>
      </c>
      <c r="DW359" s="144">
        <f t="shared" si="1091"/>
        <v>0</v>
      </c>
      <c r="DX359" s="144">
        <f t="shared" si="1091"/>
        <v>0</v>
      </c>
      <c r="DY359" s="144">
        <f t="shared" si="1091"/>
        <v>0</v>
      </c>
      <c r="DZ359" s="144">
        <f t="shared" si="1091"/>
        <v>0</v>
      </c>
      <c r="EA359" s="144">
        <f t="shared" si="1091"/>
        <v>0</v>
      </c>
      <c r="EB359" s="117">
        <f t="shared" si="1091"/>
        <v>0</v>
      </c>
      <c r="EC359" s="118"/>
      <c r="ED359" s="117">
        <f t="shared" ref="ED359:FB359" si="1092">ED147/ED$211</f>
        <v>0</v>
      </c>
      <c r="EE359" s="117">
        <f t="shared" si="1092"/>
        <v>0</v>
      </c>
      <c r="EF359" s="117">
        <f t="shared" si="1092"/>
        <v>0</v>
      </c>
      <c r="EG359" s="117" t="e">
        <f t="shared" si="1092"/>
        <v>#DIV/0!</v>
      </c>
      <c r="EH359" s="117" t="e">
        <f t="shared" si="1092"/>
        <v>#DIV/0!</v>
      </c>
      <c r="EI359" s="117" t="e">
        <f t="shared" si="1092"/>
        <v>#DIV/0!</v>
      </c>
      <c r="EJ359" s="117" t="e">
        <f t="shared" si="1092"/>
        <v>#DIV/0!</v>
      </c>
      <c r="EK359" s="117" t="e">
        <f t="shared" si="1092"/>
        <v>#DIV/0!</v>
      </c>
      <c r="EL359" s="117" t="e">
        <f t="shared" si="1092"/>
        <v>#DIV/0!</v>
      </c>
      <c r="EM359" s="117" t="e">
        <f t="shared" si="1092"/>
        <v>#DIV/0!</v>
      </c>
      <c r="EN359" s="117" t="e">
        <f t="shared" si="1092"/>
        <v>#DIV/0!</v>
      </c>
      <c r="EO359" s="116">
        <f t="shared" si="1092"/>
        <v>0</v>
      </c>
      <c r="EP359" s="117">
        <f t="shared" si="1092"/>
        <v>0</v>
      </c>
      <c r="EQ359" s="117">
        <f t="shared" si="1092"/>
        <v>0</v>
      </c>
      <c r="ER359" s="117">
        <f t="shared" si="1092"/>
        <v>0</v>
      </c>
      <c r="ES359" s="117">
        <f t="shared" si="1092"/>
        <v>0</v>
      </c>
      <c r="ET359" s="117">
        <f t="shared" si="1092"/>
        <v>0</v>
      </c>
      <c r="EU359" s="117">
        <f t="shared" si="1092"/>
        <v>0</v>
      </c>
      <c r="EV359" s="117">
        <f t="shared" si="1092"/>
        <v>0</v>
      </c>
      <c r="EW359" s="117">
        <f t="shared" si="1092"/>
        <v>0</v>
      </c>
      <c r="EX359" s="117">
        <f t="shared" si="1092"/>
        <v>0</v>
      </c>
      <c r="EY359" s="117">
        <f t="shared" si="1092"/>
        <v>0</v>
      </c>
      <c r="EZ359" s="117">
        <f t="shared" si="1092"/>
        <v>0</v>
      </c>
      <c r="FA359" s="117">
        <f t="shared" si="1092"/>
        <v>0</v>
      </c>
      <c r="FB359" s="117">
        <f t="shared" si="1092"/>
        <v>0</v>
      </c>
      <c r="FC359" s="118"/>
      <c r="FD359" s="117"/>
      <c r="FE359" s="117"/>
      <c r="FF359" s="117"/>
      <c r="FG359" s="117"/>
      <c r="FH359" s="117"/>
      <c r="FI359" s="117"/>
      <c r="FJ359" s="117"/>
      <c r="FK359" s="117" t="e">
        <f t="shared" si="991"/>
        <v>#DIV/0!</v>
      </c>
      <c r="FL359" s="117" t="e">
        <f t="shared" si="992"/>
        <v>#DIV/0!</v>
      </c>
      <c r="FM359" s="117" t="e">
        <f t="shared" si="993"/>
        <v>#DIV/0!</v>
      </c>
      <c r="FN359" s="117" t="e">
        <f t="shared" si="994"/>
        <v>#DIV/0!</v>
      </c>
      <c r="FO359" s="9" t="e">
        <f t="shared" si="995"/>
        <v>#DIV/0!</v>
      </c>
      <c r="FP359" s="118">
        <f t="shared" ref="FP359:GB359" si="1093">FP147/FP$211</f>
        <v>0</v>
      </c>
      <c r="FQ359" s="117">
        <f t="shared" si="1093"/>
        <v>0</v>
      </c>
      <c r="FR359" s="117">
        <f t="shared" si="1093"/>
        <v>0</v>
      </c>
      <c r="FS359" s="117">
        <f t="shared" si="1093"/>
        <v>0</v>
      </c>
      <c r="FT359" s="117">
        <f t="shared" si="1093"/>
        <v>0</v>
      </c>
      <c r="FU359" s="117">
        <f t="shared" si="1093"/>
        <v>0</v>
      </c>
      <c r="FV359" s="117">
        <f t="shared" si="1093"/>
        <v>0</v>
      </c>
      <c r="FW359" s="117">
        <f t="shared" si="1093"/>
        <v>0</v>
      </c>
      <c r="FX359" s="117">
        <f t="shared" si="1093"/>
        <v>0</v>
      </c>
      <c r="FY359" s="117">
        <f t="shared" si="1093"/>
        <v>0</v>
      </c>
      <c r="FZ359" s="117">
        <f t="shared" si="1093"/>
        <v>0</v>
      </c>
      <c r="GA359" s="117">
        <f t="shared" si="1093"/>
        <v>0</v>
      </c>
      <c r="GB359" s="116">
        <f t="shared" si="1093"/>
        <v>0</v>
      </c>
    </row>
    <row r="360" spans="1:184">
      <c r="A360" s="147" t="s">
        <v>320</v>
      </c>
      <c r="B360" s="160">
        <f t="shared" si="997"/>
        <v>0.677825177872882</v>
      </c>
      <c r="C360" s="117">
        <f t="shared" ref="C360:AH360" si="1094">C148/C$211</f>
        <v>6.71134616826555e-5</v>
      </c>
      <c r="D360" s="117">
        <f t="shared" si="1094"/>
        <v>0.000516075682936696</v>
      </c>
      <c r="E360" s="117">
        <f t="shared" si="1094"/>
        <v>4.21435838150369e-5</v>
      </c>
      <c r="F360" s="117">
        <f t="shared" si="1094"/>
        <v>0.000384568481264866</v>
      </c>
      <c r="G360" s="117">
        <f t="shared" si="1094"/>
        <v>0.00014415289706408</v>
      </c>
      <c r="H360" s="117">
        <f t="shared" si="1094"/>
        <v>0.00012761984149873</v>
      </c>
      <c r="I360" s="117">
        <f t="shared" si="1094"/>
        <v>6.15527207151477e-5</v>
      </c>
      <c r="J360" s="117">
        <f t="shared" si="1094"/>
        <v>1.21495043060684e-5</v>
      </c>
      <c r="K360" s="117">
        <f t="shared" si="1094"/>
        <v>0</v>
      </c>
      <c r="L360" s="117">
        <f t="shared" si="1094"/>
        <v>0</v>
      </c>
      <c r="M360" s="117">
        <f t="shared" si="1094"/>
        <v>0</v>
      </c>
      <c r="N360" s="117">
        <f t="shared" si="1094"/>
        <v>0</v>
      </c>
      <c r="O360" s="9">
        <f t="shared" si="1094"/>
        <v>0.000111993109646129</v>
      </c>
      <c r="P360" s="117">
        <f t="shared" si="1094"/>
        <v>0</v>
      </c>
      <c r="Q360" s="117">
        <f t="shared" si="1094"/>
        <v>0</v>
      </c>
      <c r="R360" s="117">
        <f t="shared" si="1094"/>
        <v>0</v>
      </c>
      <c r="S360" s="117">
        <f t="shared" si="1094"/>
        <v>0</v>
      </c>
      <c r="T360" s="117">
        <f t="shared" si="1094"/>
        <v>0</v>
      </c>
      <c r="U360" s="117">
        <f t="shared" si="1094"/>
        <v>0</v>
      </c>
      <c r="V360" s="117">
        <f t="shared" si="1094"/>
        <v>0</v>
      </c>
      <c r="W360" s="117">
        <f t="shared" si="1094"/>
        <v>0</v>
      </c>
      <c r="X360" s="117">
        <f t="shared" si="1094"/>
        <v>0</v>
      </c>
      <c r="Y360" s="117">
        <f t="shared" si="1094"/>
        <v>0</v>
      </c>
      <c r="Z360" s="117">
        <f t="shared" si="1094"/>
        <v>0</v>
      </c>
      <c r="AA360" s="117">
        <f t="shared" si="1094"/>
        <v>0</v>
      </c>
      <c r="AB360" s="9">
        <f t="shared" si="1094"/>
        <v>0</v>
      </c>
      <c r="AC360" s="117">
        <f t="shared" si="1094"/>
        <v>5.84182071390965e-6</v>
      </c>
      <c r="AD360" s="117">
        <f t="shared" si="1094"/>
        <v>0</v>
      </c>
      <c r="AE360" s="117">
        <f t="shared" si="1094"/>
        <v>0</v>
      </c>
      <c r="AF360" s="117">
        <f t="shared" si="1094"/>
        <v>0</v>
      </c>
      <c r="AG360" s="117">
        <f t="shared" si="1094"/>
        <v>0</v>
      </c>
      <c r="AH360" s="117">
        <f t="shared" si="1094"/>
        <v>0</v>
      </c>
      <c r="AI360" s="117">
        <f t="shared" ref="AI360:BN360" si="1095">AI148/AI$211</f>
        <v>0</v>
      </c>
      <c r="AJ360" s="117">
        <f t="shared" si="1095"/>
        <v>0</v>
      </c>
      <c r="AK360" s="117">
        <f t="shared" si="1095"/>
        <v>0</v>
      </c>
      <c r="AL360" s="117">
        <f t="shared" si="1095"/>
        <v>0</v>
      </c>
      <c r="AM360" s="117">
        <f t="shared" si="1095"/>
        <v>0</v>
      </c>
      <c r="AN360" s="117">
        <f t="shared" si="1095"/>
        <v>0</v>
      </c>
      <c r="AO360" s="9">
        <f t="shared" si="1095"/>
        <v>4.89480822802661e-7</v>
      </c>
      <c r="AP360" s="144">
        <f t="shared" si="1095"/>
        <v>0</v>
      </c>
      <c r="AQ360" s="144">
        <f t="shared" si="1095"/>
        <v>0</v>
      </c>
      <c r="AR360" s="144">
        <f t="shared" si="1095"/>
        <v>0</v>
      </c>
      <c r="AS360" s="144">
        <f t="shared" si="1095"/>
        <v>0</v>
      </c>
      <c r="AT360" s="144">
        <f t="shared" si="1095"/>
        <v>0</v>
      </c>
      <c r="AU360" s="144">
        <f t="shared" si="1095"/>
        <v>0</v>
      </c>
      <c r="AV360" s="144">
        <f t="shared" si="1095"/>
        <v>0</v>
      </c>
      <c r="AW360" s="144">
        <f t="shared" si="1095"/>
        <v>0</v>
      </c>
      <c r="AX360" s="144">
        <f t="shared" si="1095"/>
        <v>0</v>
      </c>
      <c r="AY360" s="144">
        <f t="shared" si="1095"/>
        <v>0</v>
      </c>
      <c r="AZ360" s="144">
        <f t="shared" si="1095"/>
        <v>0</v>
      </c>
      <c r="BA360" s="144">
        <f t="shared" si="1095"/>
        <v>0</v>
      </c>
      <c r="BB360" s="9">
        <f t="shared" si="1095"/>
        <v>0</v>
      </c>
      <c r="BC360" s="144">
        <f t="shared" si="1095"/>
        <v>0</v>
      </c>
      <c r="BD360" s="144">
        <f t="shared" si="1095"/>
        <v>0</v>
      </c>
      <c r="BE360" s="144">
        <f t="shared" si="1095"/>
        <v>0</v>
      </c>
      <c r="BF360" s="144">
        <f t="shared" si="1095"/>
        <v>0</v>
      </c>
      <c r="BG360" s="144">
        <f t="shared" si="1095"/>
        <v>0</v>
      </c>
      <c r="BH360" s="144">
        <f t="shared" si="1095"/>
        <v>0</v>
      </c>
      <c r="BI360" s="144">
        <f t="shared" si="1095"/>
        <v>0</v>
      </c>
      <c r="BJ360" s="144">
        <f t="shared" si="1095"/>
        <v>0</v>
      </c>
      <c r="BK360" s="144">
        <f t="shared" si="1095"/>
        <v>0</v>
      </c>
      <c r="BL360" s="144">
        <f t="shared" si="1095"/>
        <v>0</v>
      </c>
      <c r="BM360" s="144">
        <f t="shared" si="1095"/>
        <v>0</v>
      </c>
      <c r="BN360" s="144">
        <f t="shared" si="1095"/>
        <v>0</v>
      </c>
      <c r="BO360" s="9">
        <f t="shared" ref="BO360:CT360" si="1096">BO148/BO$211</f>
        <v>0</v>
      </c>
      <c r="BP360" s="144">
        <f t="shared" si="1096"/>
        <v>0</v>
      </c>
      <c r="BQ360" s="144">
        <f t="shared" si="1096"/>
        <v>0</v>
      </c>
      <c r="BR360" s="144">
        <f t="shared" si="1096"/>
        <v>0</v>
      </c>
      <c r="BS360" s="144">
        <f t="shared" si="1096"/>
        <v>0</v>
      </c>
      <c r="BT360" s="144">
        <f t="shared" si="1096"/>
        <v>0</v>
      </c>
      <c r="BU360" s="144">
        <f t="shared" si="1096"/>
        <v>0</v>
      </c>
      <c r="BV360" s="144">
        <f t="shared" si="1096"/>
        <v>0</v>
      </c>
      <c r="BW360" s="144">
        <f t="shared" si="1096"/>
        <v>0</v>
      </c>
      <c r="BX360" s="144">
        <f t="shared" si="1096"/>
        <v>0</v>
      </c>
      <c r="BY360" s="144">
        <f t="shared" si="1096"/>
        <v>0</v>
      </c>
      <c r="BZ360" s="144">
        <f t="shared" si="1096"/>
        <v>0</v>
      </c>
      <c r="CA360" s="144">
        <f t="shared" si="1096"/>
        <v>0</v>
      </c>
      <c r="CB360" s="9">
        <f t="shared" si="1096"/>
        <v>0</v>
      </c>
      <c r="CC360" s="144">
        <f t="shared" si="1096"/>
        <v>0</v>
      </c>
      <c r="CD360" s="144">
        <f t="shared" si="1096"/>
        <v>0</v>
      </c>
      <c r="CE360" s="144">
        <f t="shared" si="1096"/>
        <v>0</v>
      </c>
      <c r="CF360" s="144">
        <f t="shared" si="1096"/>
        <v>0</v>
      </c>
      <c r="CG360" s="144">
        <f t="shared" si="1096"/>
        <v>0</v>
      </c>
      <c r="CH360" s="144">
        <f t="shared" si="1096"/>
        <v>0</v>
      </c>
      <c r="CI360" s="144">
        <f t="shared" si="1096"/>
        <v>0</v>
      </c>
      <c r="CJ360" s="144">
        <f t="shared" si="1096"/>
        <v>0</v>
      </c>
      <c r="CK360" s="144">
        <f t="shared" si="1096"/>
        <v>0</v>
      </c>
      <c r="CL360" s="144">
        <f t="shared" si="1096"/>
        <v>0</v>
      </c>
      <c r="CM360" s="144">
        <f t="shared" si="1096"/>
        <v>0</v>
      </c>
      <c r="CN360" s="144">
        <f t="shared" si="1096"/>
        <v>0</v>
      </c>
      <c r="CO360" s="9">
        <f t="shared" si="1096"/>
        <v>0</v>
      </c>
      <c r="CP360" s="144">
        <f t="shared" si="1096"/>
        <v>0</v>
      </c>
      <c r="CQ360" s="144">
        <f t="shared" si="1096"/>
        <v>0</v>
      </c>
      <c r="CR360" s="144">
        <f t="shared" si="1096"/>
        <v>0</v>
      </c>
      <c r="CS360" s="144">
        <f t="shared" si="1096"/>
        <v>0</v>
      </c>
      <c r="CT360" s="144">
        <f t="shared" si="1096"/>
        <v>0</v>
      </c>
      <c r="CU360" s="144">
        <f t="shared" ref="CU360:EB360" si="1097">CU148/CU$211</f>
        <v>0</v>
      </c>
      <c r="CV360" s="144">
        <f t="shared" si="1097"/>
        <v>0</v>
      </c>
      <c r="CW360" s="144">
        <f t="shared" si="1097"/>
        <v>0</v>
      </c>
      <c r="CX360" s="144">
        <f t="shared" si="1097"/>
        <v>0</v>
      </c>
      <c r="CY360" s="144">
        <f t="shared" si="1097"/>
        <v>0</v>
      </c>
      <c r="CZ360" s="144">
        <f t="shared" si="1097"/>
        <v>0</v>
      </c>
      <c r="DA360" s="144">
        <f t="shared" si="1097"/>
        <v>0</v>
      </c>
      <c r="DB360" s="9">
        <f t="shared" si="1097"/>
        <v>0</v>
      </c>
      <c r="DC360" s="144">
        <f t="shared" si="1097"/>
        <v>0</v>
      </c>
      <c r="DD360" s="144">
        <f t="shared" si="1097"/>
        <v>0</v>
      </c>
      <c r="DE360" s="144">
        <f t="shared" si="1097"/>
        <v>0</v>
      </c>
      <c r="DF360" s="144">
        <f t="shared" si="1097"/>
        <v>0.00627756228311448</v>
      </c>
      <c r="DG360" s="144">
        <f t="shared" si="1097"/>
        <v>0.00106641391395502</v>
      </c>
      <c r="DH360" s="144">
        <f t="shared" si="1097"/>
        <v>0.000151945340783304</v>
      </c>
      <c r="DI360" s="144">
        <f t="shared" si="1097"/>
        <v>0</v>
      </c>
      <c r="DJ360" s="144">
        <f t="shared" si="1097"/>
        <v>0</v>
      </c>
      <c r="DK360" s="144">
        <f t="shared" si="1097"/>
        <v>0</v>
      </c>
      <c r="DL360" s="144">
        <f t="shared" si="1097"/>
        <v>0</v>
      </c>
      <c r="DM360" s="144">
        <f t="shared" si="1097"/>
        <v>0</v>
      </c>
      <c r="DN360" s="144">
        <f t="shared" si="1097"/>
        <v>0</v>
      </c>
      <c r="DO360" s="9">
        <f t="shared" si="1097"/>
        <v>0.000546311680264031</v>
      </c>
      <c r="DP360" s="144">
        <f t="shared" si="1097"/>
        <v>0</v>
      </c>
      <c r="DQ360" s="144">
        <f t="shared" si="1097"/>
        <v>0</v>
      </c>
      <c r="DR360" s="144">
        <f t="shared" si="1097"/>
        <v>0</v>
      </c>
      <c r="DS360" s="144">
        <f t="shared" si="1097"/>
        <v>0.00290937570535524</v>
      </c>
      <c r="DT360" s="144">
        <f t="shared" si="1097"/>
        <v>0.00151006895646397</v>
      </c>
      <c r="DU360" s="144">
        <f t="shared" si="1097"/>
        <v>0.00141004134033937</v>
      </c>
      <c r="DV360" s="144">
        <f t="shared" si="1097"/>
        <v>0.000776828886817481</v>
      </c>
      <c r="DW360" s="144">
        <f t="shared" si="1097"/>
        <v>0.000170525917765592</v>
      </c>
      <c r="DX360" s="144">
        <f t="shared" si="1097"/>
        <v>0</v>
      </c>
      <c r="DY360" s="144">
        <f t="shared" si="1097"/>
        <v>0</v>
      </c>
      <c r="DZ360" s="144">
        <f t="shared" si="1097"/>
        <v>0</v>
      </c>
      <c r="EA360" s="144">
        <f t="shared" si="1097"/>
        <v>0</v>
      </c>
      <c r="EB360" s="117">
        <f t="shared" si="1097"/>
        <v>0.00055046931900279</v>
      </c>
      <c r="EC360" s="118"/>
      <c r="ED360" s="117">
        <f t="shared" ref="ED360:FB360" si="1098">ED148/ED$211</f>
        <v>0</v>
      </c>
      <c r="EE360" s="117">
        <f t="shared" si="1098"/>
        <v>0</v>
      </c>
      <c r="EF360" s="117">
        <f t="shared" si="1098"/>
        <v>0</v>
      </c>
      <c r="EG360" s="117" t="e">
        <f t="shared" si="1098"/>
        <v>#DIV/0!</v>
      </c>
      <c r="EH360" s="117" t="e">
        <f t="shared" si="1098"/>
        <v>#DIV/0!</v>
      </c>
      <c r="EI360" s="117" t="e">
        <f t="shared" si="1098"/>
        <v>#DIV/0!</v>
      </c>
      <c r="EJ360" s="117" t="e">
        <f t="shared" si="1098"/>
        <v>#DIV/0!</v>
      </c>
      <c r="EK360" s="117" t="e">
        <f t="shared" si="1098"/>
        <v>#DIV/0!</v>
      </c>
      <c r="EL360" s="117" t="e">
        <f t="shared" si="1098"/>
        <v>#DIV/0!</v>
      </c>
      <c r="EM360" s="117" t="e">
        <f t="shared" si="1098"/>
        <v>#DIV/0!</v>
      </c>
      <c r="EN360" s="117" t="e">
        <f t="shared" si="1098"/>
        <v>#DIV/0!</v>
      </c>
      <c r="EO360" s="116">
        <f t="shared" si="1098"/>
        <v>0</v>
      </c>
      <c r="EP360" s="117">
        <f t="shared" si="1098"/>
        <v>0</v>
      </c>
      <c r="EQ360" s="117">
        <f t="shared" si="1098"/>
        <v>0</v>
      </c>
      <c r="ER360" s="117">
        <f t="shared" si="1098"/>
        <v>0</v>
      </c>
      <c r="ES360" s="117">
        <f t="shared" si="1098"/>
        <v>0</v>
      </c>
      <c r="ET360" s="117">
        <f t="shared" si="1098"/>
        <v>0</v>
      </c>
      <c r="EU360" s="117">
        <f t="shared" si="1098"/>
        <v>0</v>
      </c>
      <c r="EV360" s="117">
        <f t="shared" si="1098"/>
        <v>0</v>
      </c>
      <c r="EW360" s="117">
        <f t="shared" si="1098"/>
        <v>0</v>
      </c>
      <c r="EX360" s="117">
        <f t="shared" si="1098"/>
        <v>0</v>
      </c>
      <c r="EY360" s="117">
        <f t="shared" si="1098"/>
        <v>0</v>
      </c>
      <c r="EZ360" s="117">
        <f t="shared" si="1098"/>
        <v>0</v>
      </c>
      <c r="FA360" s="117">
        <f t="shared" si="1098"/>
        <v>0</v>
      </c>
      <c r="FB360" s="117">
        <f t="shared" si="1098"/>
        <v>0</v>
      </c>
      <c r="FC360" s="118"/>
      <c r="FD360" s="117"/>
      <c r="FE360" s="117"/>
      <c r="FF360" s="117"/>
      <c r="FG360" s="117"/>
      <c r="FH360" s="117"/>
      <c r="FI360" s="117"/>
      <c r="FJ360" s="117"/>
      <c r="FK360" s="117" t="e">
        <f t="shared" si="991"/>
        <v>#DIV/0!</v>
      </c>
      <c r="FL360" s="117" t="e">
        <f t="shared" si="992"/>
        <v>#DIV/0!</v>
      </c>
      <c r="FM360" s="117" t="e">
        <f t="shared" si="993"/>
        <v>#DIV/0!</v>
      </c>
      <c r="FN360" s="117" t="e">
        <f t="shared" si="994"/>
        <v>#DIV/0!</v>
      </c>
      <c r="FO360" s="9" t="e">
        <f t="shared" si="995"/>
        <v>#DIV/0!</v>
      </c>
      <c r="FP360" s="118">
        <f t="shared" ref="FP360:GB360" si="1099">FP148/FP$211</f>
        <v>0.000252070247907933</v>
      </c>
      <c r="FQ360" s="117">
        <f t="shared" si="1099"/>
        <v>0.00212255270474161</v>
      </c>
      <c r="FR360" s="117">
        <f t="shared" si="1099"/>
        <v>0.000157699787422911</v>
      </c>
      <c r="FS360" s="117">
        <f t="shared" si="1099"/>
        <v>0.000198763399957757</v>
      </c>
      <c r="FT360" s="117">
        <f t="shared" si="1099"/>
        <v>0</v>
      </c>
      <c r="FU360" s="117">
        <f t="shared" si="1099"/>
        <v>0</v>
      </c>
      <c r="FV360" s="117">
        <f t="shared" si="1099"/>
        <v>0</v>
      </c>
      <c r="FW360" s="117">
        <f t="shared" si="1099"/>
        <v>0</v>
      </c>
      <c r="FX360" s="117">
        <f t="shared" si="1099"/>
        <v>0</v>
      </c>
      <c r="FY360" s="117">
        <f t="shared" si="1099"/>
        <v>0</v>
      </c>
      <c r="FZ360" s="117">
        <f t="shared" si="1099"/>
        <v>0</v>
      </c>
      <c r="GA360" s="117">
        <f t="shared" si="1099"/>
        <v>0</v>
      </c>
      <c r="GB360" s="116">
        <f t="shared" si="1099"/>
        <v>0.000264907659304536</v>
      </c>
    </row>
    <row r="361" spans="1:184">
      <c r="A361" s="147">
        <v>1001</v>
      </c>
      <c r="B361" s="160">
        <f t="shared" si="997"/>
        <v>4.10010794270634</v>
      </c>
      <c r="C361" s="117">
        <f t="shared" ref="C361:BN361" si="1100">C149/C$211</f>
        <v>0.000489167294179645</v>
      </c>
      <c r="D361" s="117">
        <f t="shared" si="1100"/>
        <v>0.000267005802834374</v>
      </c>
      <c r="E361" s="117">
        <f t="shared" si="1100"/>
        <v>0.000269679618305386</v>
      </c>
      <c r="F361" s="117">
        <f t="shared" si="1100"/>
        <v>0.000175853308368699</v>
      </c>
      <c r="G361" s="117">
        <f t="shared" si="1100"/>
        <v>0.000588159204486874</v>
      </c>
      <c r="H361" s="117">
        <f t="shared" si="1100"/>
        <v>0.00037319262519232</v>
      </c>
      <c r="I361" s="117">
        <f t="shared" si="1100"/>
        <v>0.000265650546253547</v>
      </c>
      <c r="J361" s="117">
        <f t="shared" si="1100"/>
        <v>0.000200504831366897</v>
      </c>
      <c r="K361" s="117">
        <f t="shared" si="1100"/>
        <v>0.000159464543597071</v>
      </c>
      <c r="L361" s="117">
        <f t="shared" si="1100"/>
        <v>0.00797164619932015</v>
      </c>
      <c r="M361" s="117">
        <f t="shared" si="1100"/>
        <v>0.00230151779143461</v>
      </c>
      <c r="N361" s="117">
        <f t="shared" si="1100"/>
        <v>0.00110863409907286</v>
      </c>
      <c r="O361" s="9">
        <f t="shared" si="1100"/>
        <v>0.00119377453015854</v>
      </c>
      <c r="P361" s="117">
        <f t="shared" si="1100"/>
        <v>0</v>
      </c>
      <c r="Q361" s="117">
        <f t="shared" si="1100"/>
        <v>0</v>
      </c>
      <c r="R361" s="117">
        <f t="shared" si="1100"/>
        <v>0</v>
      </c>
      <c r="S361" s="117">
        <f t="shared" si="1100"/>
        <v>0</v>
      </c>
      <c r="T361" s="117">
        <f t="shared" si="1100"/>
        <v>0</v>
      </c>
      <c r="U361" s="117">
        <f t="shared" si="1100"/>
        <v>0</v>
      </c>
      <c r="V361" s="117">
        <f t="shared" si="1100"/>
        <v>0</v>
      </c>
      <c r="W361" s="117">
        <f t="shared" si="1100"/>
        <v>0</v>
      </c>
      <c r="X361" s="117">
        <f t="shared" si="1100"/>
        <v>0</v>
      </c>
      <c r="Y361" s="117">
        <f t="shared" si="1100"/>
        <v>0.00429380255460902</v>
      </c>
      <c r="Z361" s="117">
        <f t="shared" si="1100"/>
        <v>0.0021448601273444</v>
      </c>
      <c r="AA361" s="117">
        <f t="shared" si="1100"/>
        <v>0.00113477496845294</v>
      </c>
      <c r="AB361" s="9">
        <f t="shared" si="1100"/>
        <v>0.000672705241564727</v>
      </c>
      <c r="AC361" s="117">
        <f t="shared" si="1100"/>
        <v>0</v>
      </c>
      <c r="AD361" s="117">
        <f t="shared" si="1100"/>
        <v>0</v>
      </c>
      <c r="AE361" s="117">
        <f t="shared" si="1100"/>
        <v>0</v>
      </c>
      <c r="AF361" s="117">
        <f t="shared" si="1100"/>
        <v>0</v>
      </c>
      <c r="AG361" s="117">
        <f t="shared" si="1100"/>
        <v>0</v>
      </c>
      <c r="AH361" s="117">
        <f t="shared" si="1100"/>
        <v>0</v>
      </c>
      <c r="AI361" s="117">
        <f t="shared" si="1100"/>
        <v>0</v>
      </c>
      <c r="AJ361" s="117">
        <f t="shared" si="1100"/>
        <v>0</v>
      </c>
      <c r="AK361" s="117">
        <f t="shared" si="1100"/>
        <v>0</v>
      </c>
      <c r="AL361" s="117">
        <f t="shared" si="1100"/>
        <v>0.00451776434678009</v>
      </c>
      <c r="AM361" s="117">
        <f t="shared" si="1100"/>
        <v>0.0015489421672363</v>
      </c>
      <c r="AN361" s="117">
        <f t="shared" si="1100"/>
        <v>0.00159162658396049</v>
      </c>
      <c r="AO361" s="9">
        <f t="shared" si="1100"/>
        <v>0.000711874212528923</v>
      </c>
      <c r="AP361" s="144">
        <f t="shared" si="1100"/>
        <v>0.000384298799530229</v>
      </c>
      <c r="AQ361" s="144">
        <f t="shared" si="1100"/>
        <v>0</v>
      </c>
      <c r="AR361" s="144">
        <f t="shared" si="1100"/>
        <v>0</v>
      </c>
      <c r="AS361" s="144">
        <f t="shared" si="1100"/>
        <v>0</v>
      </c>
      <c r="AT361" s="144">
        <f t="shared" si="1100"/>
        <v>0</v>
      </c>
      <c r="AU361" s="144">
        <f t="shared" si="1100"/>
        <v>0</v>
      </c>
      <c r="AV361" s="144">
        <f t="shared" si="1100"/>
        <v>0</v>
      </c>
      <c r="AW361" s="144">
        <f t="shared" si="1100"/>
        <v>0</v>
      </c>
      <c r="AX361" s="144">
        <f t="shared" si="1100"/>
        <v>0</v>
      </c>
      <c r="AY361" s="144">
        <f t="shared" si="1100"/>
        <v>0.00690850829539926</v>
      </c>
      <c r="AZ361" s="144">
        <f t="shared" si="1100"/>
        <v>0.00332224607364615</v>
      </c>
      <c r="BA361" s="144">
        <f t="shared" si="1100"/>
        <v>0.00155813388222975</v>
      </c>
      <c r="BB361" s="9">
        <f t="shared" si="1100"/>
        <v>0.00109811130505702</v>
      </c>
      <c r="BC361" s="144">
        <f t="shared" si="1100"/>
        <v>0.000722583257801527</v>
      </c>
      <c r="BD361" s="144">
        <f t="shared" si="1100"/>
        <v>0.000616689725406579</v>
      </c>
      <c r="BE361" s="144">
        <f t="shared" si="1100"/>
        <v>0.000702176081082011</v>
      </c>
      <c r="BF361" s="144">
        <f t="shared" si="1100"/>
        <v>0.000370064774895843</v>
      </c>
      <c r="BG361" s="144">
        <f t="shared" si="1100"/>
        <v>0.000287216830800306</v>
      </c>
      <c r="BH361" s="144">
        <f t="shared" si="1100"/>
        <v>0.000281324697112973</v>
      </c>
      <c r="BI361" s="144">
        <f t="shared" si="1100"/>
        <v>0.000231672915825062</v>
      </c>
      <c r="BJ361" s="144">
        <f t="shared" si="1100"/>
        <v>0.000205830700051625</v>
      </c>
      <c r="BK361" s="144">
        <f t="shared" si="1100"/>
        <v>0</v>
      </c>
      <c r="BL361" s="144">
        <f t="shared" si="1100"/>
        <v>0.00972497875328203</v>
      </c>
      <c r="BM361" s="144">
        <f t="shared" si="1100"/>
        <v>0.00464169656536137</v>
      </c>
      <c r="BN361" s="144">
        <f t="shared" si="1100"/>
        <v>0.00240706442935254</v>
      </c>
      <c r="BO361" s="9">
        <f t="shared" ref="BO361:DZ361" si="1101">BO149/BO$211</f>
        <v>0.00174637909133998</v>
      </c>
      <c r="BP361" s="144">
        <f t="shared" si="1101"/>
        <v>0</v>
      </c>
      <c r="BQ361" s="144">
        <f t="shared" si="1101"/>
        <v>0</v>
      </c>
      <c r="BR361" s="144">
        <f t="shared" si="1101"/>
        <v>0</v>
      </c>
      <c r="BS361" s="144">
        <f t="shared" si="1101"/>
        <v>0</v>
      </c>
      <c r="BT361" s="144">
        <f t="shared" si="1101"/>
        <v>0</v>
      </c>
      <c r="BU361" s="144">
        <f t="shared" si="1101"/>
        <v>0</v>
      </c>
      <c r="BV361" s="144">
        <f t="shared" si="1101"/>
        <v>0</v>
      </c>
      <c r="BW361" s="144">
        <f t="shared" si="1101"/>
        <v>0</v>
      </c>
      <c r="BX361" s="144">
        <f t="shared" si="1101"/>
        <v>0</v>
      </c>
      <c r="BY361" s="144">
        <f t="shared" si="1101"/>
        <v>0.00716104414976705</v>
      </c>
      <c r="BZ361" s="144">
        <f t="shared" si="1101"/>
        <v>0.00177934546396209</v>
      </c>
      <c r="CA361" s="144">
        <f t="shared" si="1101"/>
        <v>0.00103196240021326</v>
      </c>
      <c r="CB361" s="9">
        <f t="shared" si="1101"/>
        <v>0.000795570267402973</v>
      </c>
      <c r="CC361" s="144">
        <f t="shared" si="1101"/>
        <v>5.9271759813459e-5</v>
      </c>
      <c r="CD361" s="144">
        <f t="shared" si="1101"/>
        <v>9.64896433071952e-5</v>
      </c>
      <c r="CE361" s="144">
        <f t="shared" si="1101"/>
        <v>0.000125937926247374</v>
      </c>
      <c r="CF361" s="144">
        <f t="shared" si="1101"/>
        <v>2.80672037553009e-5</v>
      </c>
      <c r="CG361" s="144">
        <f t="shared" si="1101"/>
        <v>0</v>
      </c>
      <c r="CH361" s="144">
        <f t="shared" si="1101"/>
        <v>1.94590157928533e-5</v>
      </c>
      <c r="CI361" s="144">
        <f t="shared" si="1101"/>
        <v>0</v>
      </c>
      <c r="CJ361" s="144">
        <f t="shared" si="1101"/>
        <v>0</v>
      </c>
      <c r="CK361" s="144">
        <f t="shared" si="1101"/>
        <v>0</v>
      </c>
      <c r="CL361" s="144">
        <f t="shared" si="1101"/>
        <v>0.0051445932619284</v>
      </c>
      <c r="CM361" s="144">
        <f t="shared" si="1101"/>
        <v>0.00349104981540039</v>
      </c>
      <c r="CN361" s="144">
        <f t="shared" si="1101"/>
        <v>0</v>
      </c>
      <c r="CO361" s="9">
        <f t="shared" si="1101"/>
        <v>0.00077465449425634</v>
      </c>
      <c r="CP361" s="144">
        <f t="shared" si="1101"/>
        <v>0.000291453119491257</v>
      </c>
      <c r="CQ361" s="144">
        <f t="shared" si="1101"/>
        <v>0.000278368123594658</v>
      </c>
      <c r="CR361" s="144">
        <f t="shared" si="1101"/>
        <v>0.000618770124682881</v>
      </c>
      <c r="CS361" s="144">
        <f t="shared" si="1101"/>
        <v>0.000283442263579276</v>
      </c>
      <c r="CT361" s="144">
        <f t="shared" si="1101"/>
        <v>0.00025594491728393</v>
      </c>
      <c r="CU361" s="144">
        <f t="shared" si="1101"/>
        <v>0.000124801480913679</v>
      </c>
      <c r="CV361" s="144">
        <f t="shared" si="1101"/>
        <v>0.000115648172253115</v>
      </c>
      <c r="CW361" s="144">
        <f t="shared" si="1101"/>
        <v>0.000108349119207376</v>
      </c>
      <c r="CX361" s="144">
        <f t="shared" si="1101"/>
        <v>0</v>
      </c>
      <c r="CY361" s="144">
        <f t="shared" si="1101"/>
        <v>0.0110243401006499</v>
      </c>
      <c r="CZ361" s="144">
        <f t="shared" si="1101"/>
        <v>0.00441983334660184</v>
      </c>
      <c r="DA361" s="144">
        <f t="shared" si="1101"/>
        <v>0.00237654260871992</v>
      </c>
      <c r="DB361" s="9">
        <f t="shared" si="1101"/>
        <v>0.00154845660784379</v>
      </c>
      <c r="DC361" s="144">
        <f t="shared" si="1101"/>
        <v>0.00161026096511738</v>
      </c>
      <c r="DD361" s="144">
        <f t="shared" si="1101"/>
        <v>0.000780763816445698</v>
      </c>
      <c r="DE361" s="144">
        <f t="shared" si="1101"/>
        <v>0.00149997589012151</v>
      </c>
      <c r="DF361" s="144">
        <f t="shared" si="1101"/>
        <v>0.00103802184099241</v>
      </c>
      <c r="DG361" s="144">
        <f t="shared" si="1101"/>
        <v>0.00635910011538051</v>
      </c>
      <c r="DH361" s="144">
        <f t="shared" si="1101"/>
        <v>0.000303890681566608</v>
      </c>
      <c r="DI361" s="144">
        <f t="shared" si="1101"/>
        <v>0.000293062177671423</v>
      </c>
      <c r="DJ361" s="144">
        <f t="shared" si="1101"/>
        <v>0.000286244005037618</v>
      </c>
      <c r="DK361" s="144">
        <f t="shared" si="1101"/>
        <v>0.000286526407145719</v>
      </c>
      <c r="DL361" s="144">
        <f t="shared" si="1101"/>
        <v>0.00587322009258066</v>
      </c>
      <c r="DM361" s="144">
        <f t="shared" si="1101"/>
        <v>0.00653108462465273</v>
      </c>
      <c r="DN361" s="144">
        <f t="shared" si="1101"/>
        <v>0.000285303755465738</v>
      </c>
      <c r="DO361" s="9">
        <f t="shared" si="1101"/>
        <v>0.00201032251205094</v>
      </c>
      <c r="DP361" s="144">
        <f t="shared" si="1101"/>
        <v>0.00133913539631999</v>
      </c>
      <c r="DQ361" s="144">
        <f t="shared" si="1101"/>
        <v>0.00096188481284848</v>
      </c>
      <c r="DR361" s="144">
        <f t="shared" si="1101"/>
        <v>0.00106655552532905</v>
      </c>
      <c r="DS361" s="144">
        <f t="shared" si="1101"/>
        <v>0.000696498788927282</v>
      </c>
      <c r="DT361" s="144">
        <f t="shared" si="1101"/>
        <v>0.000558659681834366</v>
      </c>
      <c r="DU361" s="144">
        <f t="shared" si="1101"/>
        <v>0.000322295163506141</v>
      </c>
      <c r="DV361" s="144">
        <f t="shared" si="1101"/>
        <v>0.00019420722170437</v>
      </c>
      <c r="DW361" s="144">
        <f t="shared" si="1101"/>
        <v>0.000113683945177062</v>
      </c>
      <c r="DX361" s="144">
        <f t="shared" si="1101"/>
        <v>0</v>
      </c>
      <c r="DY361" s="144">
        <f t="shared" si="1101"/>
        <v>0.00903020229862373</v>
      </c>
      <c r="DZ361" s="144">
        <f t="shared" si="1101"/>
        <v>0.00300690940885402</v>
      </c>
      <c r="EA361" s="144">
        <f t="shared" ref="EA361:GB361" si="1102">EA149/EA$211</f>
        <v>0</v>
      </c>
      <c r="EB361" s="117">
        <f t="shared" si="1102"/>
        <v>0.00144693444071676</v>
      </c>
      <c r="EC361" s="118"/>
      <c r="ED361" s="117">
        <f t="shared" ref="ED361:FB361" si="1103">ED149/ED$211</f>
        <v>0</v>
      </c>
      <c r="EE361" s="117">
        <f t="shared" si="1103"/>
        <v>0</v>
      </c>
      <c r="EF361" s="117">
        <f t="shared" si="1103"/>
        <v>0</v>
      </c>
      <c r="EG361" s="117" t="e">
        <f t="shared" si="1103"/>
        <v>#DIV/0!</v>
      </c>
      <c r="EH361" s="117" t="e">
        <f t="shared" si="1103"/>
        <v>#DIV/0!</v>
      </c>
      <c r="EI361" s="117" t="e">
        <f t="shared" si="1103"/>
        <v>#DIV/0!</v>
      </c>
      <c r="EJ361" s="117" t="e">
        <f t="shared" si="1103"/>
        <v>#DIV/0!</v>
      </c>
      <c r="EK361" s="117" t="e">
        <f t="shared" si="1103"/>
        <v>#DIV/0!</v>
      </c>
      <c r="EL361" s="117" t="e">
        <f t="shared" si="1103"/>
        <v>#DIV/0!</v>
      </c>
      <c r="EM361" s="117" t="e">
        <f t="shared" si="1103"/>
        <v>#DIV/0!</v>
      </c>
      <c r="EN361" s="117" t="e">
        <f t="shared" si="1103"/>
        <v>#DIV/0!</v>
      </c>
      <c r="EO361" s="116">
        <f t="shared" si="1103"/>
        <v>0</v>
      </c>
      <c r="EP361" s="117">
        <f t="shared" si="1103"/>
        <v>0.00099922617276904</v>
      </c>
      <c r="EQ361" s="117">
        <f t="shared" si="1103"/>
        <v>0.000721925400462807</v>
      </c>
      <c r="ER361" s="117">
        <f t="shared" si="1103"/>
        <v>0.000443523486503625</v>
      </c>
      <c r="ES361" s="117">
        <f t="shared" si="1103"/>
        <v>0.000156915085234165</v>
      </c>
      <c r="ET361" s="117">
        <f t="shared" si="1103"/>
        <v>0.000182109106598016</v>
      </c>
      <c r="EU361" s="117">
        <f t="shared" si="1103"/>
        <v>0.000438781342866952</v>
      </c>
      <c r="EV361" s="117">
        <f t="shared" si="1103"/>
        <v>0.000344758743761351</v>
      </c>
      <c r="EW361" s="117">
        <f t="shared" si="1103"/>
        <v>7.25306466718707e-5</v>
      </c>
      <c r="EX361" s="117">
        <f t="shared" si="1103"/>
        <v>5.07056903187066e-5</v>
      </c>
      <c r="EY361" s="117">
        <f t="shared" si="1103"/>
        <v>0.00811581729457204</v>
      </c>
      <c r="EZ361" s="117">
        <f t="shared" si="1103"/>
        <v>0.00749550702480307</v>
      </c>
      <c r="FA361" s="117">
        <f t="shared" si="1103"/>
        <v>0.00239586153080536</v>
      </c>
      <c r="FB361" s="117">
        <f t="shared" si="1103"/>
        <v>0.00193295440584051</v>
      </c>
      <c r="FC361" s="118"/>
      <c r="FD361" s="117"/>
      <c r="FE361" s="117"/>
      <c r="FF361" s="117"/>
      <c r="FG361" s="117"/>
      <c r="FH361" s="117"/>
      <c r="FI361" s="117"/>
      <c r="FJ361" s="117"/>
      <c r="FK361" s="117" t="e">
        <f t="shared" si="991"/>
        <v>#DIV/0!</v>
      </c>
      <c r="FL361" s="117" t="e">
        <f t="shared" si="992"/>
        <v>#DIV/0!</v>
      </c>
      <c r="FM361" s="117" t="e">
        <f t="shared" si="993"/>
        <v>#DIV/0!</v>
      </c>
      <c r="FN361" s="117" t="e">
        <f t="shared" si="994"/>
        <v>#DIV/0!</v>
      </c>
      <c r="FO361" s="9" t="e">
        <f t="shared" si="995"/>
        <v>#DIV/0!</v>
      </c>
      <c r="FP361" s="118">
        <f t="shared" si="1102"/>
        <v>0.000939003605688504</v>
      </c>
      <c r="FQ361" s="117">
        <f t="shared" si="1102"/>
        <v>0.000378169524583142</v>
      </c>
      <c r="FR361" s="117">
        <f t="shared" si="1102"/>
        <v>0.000257106847788953</v>
      </c>
      <c r="FS361" s="117">
        <f t="shared" si="1102"/>
        <v>0.000194298165155966</v>
      </c>
      <c r="FT361" s="117">
        <f t="shared" si="1102"/>
        <v>0.00199887088002606</v>
      </c>
      <c r="FU361" s="117">
        <f t="shared" si="1102"/>
        <v>0.00151768543130126</v>
      </c>
      <c r="FV361" s="117">
        <f t="shared" si="1102"/>
        <v>0.000908647993346958</v>
      </c>
      <c r="FW361" s="117">
        <f t="shared" si="1102"/>
        <v>0.000680617411177663</v>
      </c>
      <c r="FX361" s="117">
        <f t="shared" si="1102"/>
        <v>0.000711284189498326</v>
      </c>
      <c r="FY361" s="117">
        <f t="shared" si="1102"/>
        <v>0.0109666041065077</v>
      </c>
      <c r="FZ361" s="117">
        <f t="shared" si="1102"/>
        <v>0.000376778235950526</v>
      </c>
      <c r="GA361" s="117">
        <f t="shared" si="1102"/>
        <v>0.000357955908442134</v>
      </c>
      <c r="GB361" s="116">
        <f t="shared" si="1102"/>
        <v>0.00153199135318904</v>
      </c>
    </row>
    <row r="362" spans="1:184">
      <c r="A362" s="147" t="s">
        <v>321</v>
      </c>
      <c r="B362" s="160" t="e">
        <f t="shared" si="997"/>
        <v>#DIV/0!</v>
      </c>
      <c r="C362" s="117">
        <f t="shared" ref="C362:BN362" si="1104">C150/C$211</f>
        <v>0</v>
      </c>
      <c r="D362" s="117">
        <f t="shared" si="1104"/>
        <v>0</v>
      </c>
      <c r="E362" s="117">
        <f t="shared" si="1104"/>
        <v>0</v>
      </c>
      <c r="F362" s="117">
        <f t="shared" si="1104"/>
        <v>0</v>
      </c>
      <c r="G362" s="117">
        <f t="shared" si="1104"/>
        <v>0</v>
      </c>
      <c r="H362" s="117">
        <f t="shared" si="1104"/>
        <v>0</v>
      </c>
      <c r="I362" s="117">
        <f t="shared" si="1104"/>
        <v>0</v>
      </c>
      <c r="J362" s="117">
        <f t="shared" si="1104"/>
        <v>0</v>
      </c>
      <c r="K362" s="117">
        <f t="shared" si="1104"/>
        <v>0</v>
      </c>
      <c r="L362" s="117">
        <f t="shared" si="1104"/>
        <v>0</v>
      </c>
      <c r="M362" s="117">
        <f t="shared" si="1104"/>
        <v>0</v>
      </c>
      <c r="N362" s="117">
        <f t="shared" si="1104"/>
        <v>0</v>
      </c>
      <c r="O362" s="9">
        <f t="shared" si="1104"/>
        <v>0</v>
      </c>
      <c r="P362" s="117">
        <f t="shared" si="1104"/>
        <v>0</v>
      </c>
      <c r="Q362" s="117">
        <f t="shared" si="1104"/>
        <v>0</v>
      </c>
      <c r="R362" s="117">
        <f t="shared" si="1104"/>
        <v>0</v>
      </c>
      <c r="S362" s="117">
        <f t="shared" si="1104"/>
        <v>0</v>
      </c>
      <c r="T362" s="117">
        <f t="shared" si="1104"/>
        <v>0</v>
      </c>
      <c r="U362" s="117">
        <f t="shared" si="1104"/>
        <v>0</v>
      </c>
      <c r="V362" s="117">
        <f t="shared" si="1104"/>
        <v>0</v>
      </c>
      <c r="W362" s="117">
        <f t="shared" si="1104"/>
        <v>0</v>
      </c>
      <c r="X362" s="117">
        <f t="shared" si="1104"/>
        <v>0</v>
      </c>
      <c r="Y362" s="117">
        <f t="shared" si="1104"/>
        <v>0</v>
      </c>
      <c r="Z362" s="117">
        <f t="shared" si="1104"/>
        <v>0</v>
      </c>
      <c r="AA362" s="117">
        <f t="shared" si="1104"/>
        <v>0</v>
      </c>
      <c r="AB362" s="9">
        <f t="shared" si="1104"/>
        <v>0</v>
      </c>
      <c r="AC362" s="117">
        <f t="shared" si="1104"/>
        <v>0</v>
      </c>
      <c r="AD362" s="117">
        <f t="shared" si="1104"/>
        <v>0</v>
      </c>
      <c r="AE362" s="117">
        <f t="shared" si="1104"/>
        <v>0</v>
      </c>
      <c r="AF362" s="117">
        <f t="shared" si="1104"/>
        <v>0</v>
      </c>
      <c r="AG362" s="117">
        <f t="shared" si="1104"/>
        <v>0</v>
      </c>
      <c r="AH362" s="117">
        <f t="shared" si="1104"/>
        <v>0</v>
      </c>
      <c r="AI362" s="117">
        <f t="shared" si="1104"/>
        <v>0</v>
      </c>
      <c r="AJ362" s="117">
        <f t="shared" si="1104"/>
        <v>0</v>
      </c>
      <c r="AK362" s="117">
        <f t="shared" si="1104"/>
        <v>0</v>
      </c>
      <c r="AL362" s="117">
        <f t="shared" si="1104"/>
        <v>0</v>
      </c>
      <c r="AM362" s="117">
        <f t="shared" si="1104"/>
        <v>0</v>
      </c>
      <c r="AN362" s="117">
        <f t="shared" si="1104"/>
        <v>0</v>
      </c>
      <c r="AO362" s="9">
        <f t="shared" si="1104"/>
        <v>0</v>
      </c>
      <c r="AP362" s="144">
        <f t="shared" si="1104"/>
        <v>0</v>
      </c>
      <c r="AQ362" s="144">
        <f t="shared" si="1104"/>
        <v>0</v>
      </c>
      <c r="AR362" s="144">
        <f t="shared" si="1104"/>
        <v>0</v>
      </c>
      <c r="AS362" s="144">
        <f t="shared" si="1104"/>
        <v>0</v>
      </c>
      <c r="AT362" s="144">
        <f t="shared" si="1104"/>
        <v>0</v>
      </c>
      <c r="AU362" s="144">
        <f t="shared" si="1104"/>
        <v>0</v>
      </c>
      <c r="AV362" s="144">
        <f t="shared" si="1104"/>
        <v>0</v>
      </c>
      <c r="AW362" s="144">
        <f t="shared" si="1104"/>
        <v>0</v>
      </c>
      <c r="AX362" s="144">
        <f t="shared" si="1104"/>
        <v>0</v>
      </c>
      <c r="AY362" s="144">
        <f t="shared" si="1104"/>
        <v>0</v>
      </c>
      <c r="AZ362" s="144">
        <f t="shared" si="1104"/>
        <v>0</v>
      </c>
      <c r="BA362" s="144">
        <f t="shared" si="1104"/>
        <v>0</v>
      </c>
      <c r="BB362" s="9">
        <f t="shared" si="1104"/>
        <v>0</v>
      </c>
      <c r="BC362" s="144">
        <f t="shared" si="1104"/>
        <v>0</v>
      </c>
      <c r="BD362" s="144">
        <f t="shared" si="1104"/>
        <v>0</v>
      </c>
      <c r="BE362" s="144">
        <f t="shared" si="1104"/>
        <v>0</v>
      </c>
      <c r="BF362" s="144">
        <f t="shared" si="1104"/>
        <v>0</v>
      </c>
      <c r="BG362" s="144">
        <f t="shared" si="1104"/>
        <v>0</v>
      </c>
      <c r="BH362" s="144">
        <f t="shared" si="1104"/>
        <v>0</v>
      </c>
      <c r="BI362" s="144">
        <f t="shared" si="1104"/>
        <v>0</v>
      </c>
      <c r="BJ362" s="144">
        <f t="shared" si="1104"/>
        <v>0</v>
      </c>
      <c r="BK362" s="144">
        <f t="shared" si="1104"/>
        <v>0</v>
      </c>
      <c r="BL362" s="144">
        <f t="shared" si="1104"/>
        <v>0</v>
      </c>
      <c r="BM362" s="144">
        <f t="shared" si="1104"/>
        <v>0</v>
      </c>
      <c r="BN362" s="144">
        <f t="shared" si="1104"/>
        <v>0</v>
      </c>
      <c r="BO362" s="9">
        <f t="shared" ref="BO362:DZ362" si="1105">BO150/BO$211</f>
        <v>0</v>
      </c>
      <c r="BP362" s="144">
        <f t="shared" si="1105"/>
        <v>0</v>
      </c>
      <c r="BQ362" s="144">
        <f t="shared" si="1105"/>
        <v>0</v>
      </c>
      <c r="BR362" s="144">
        <f t="shared" si="1105"/>
        <v>0</v>
      </c>
      <c r="BS362" s="144">
        <f t="shared" si="1105"/>
        <v>0</v>
      </c>
      <c r="BT362" s="144">
        <f t="shared" si="1105"/>
        <v>0</v>
      </c>
      <c r="BU362" s="144">
        <f t="shared" si="1105"/>
        <v>0</v>
      </c>
      <c r="BV362" s="144">
        <f t="shared" si="1105"/>
        <v>0</v>
      </c>
      <c r="BW362" s="144">
        <f t="shared" si="1105"/>
        <v>0</v>
      </c>
      <c r="BX362" s="144">
        <f t="shared" si="1105"/>
        <v>0</v>
      </c>
      <c r="BY362" s="144">
        <f t="shared" si="1105"/>
        <v>0</v>
      </c>
      <c r="BZ362" s="144">
        <f t="shared" si="1105"/>
        <v>0</v>
      </c>
      <c r="CA362" s="144">
        <f t="shared" si="1105"/>
        <v>0</v>
      </c>
      <c r="CB362" s="9">
        <f t="shared" si="1105"/>
        <v>0</v>
      </c>
      <c r="CC362" s="144">
        <f t="shared" si="1105"/>
        <v>0</v>
      </c>
      <c r="CD362" s="144">
        <f t="shared" si="1105"/>
        <v>0</v>
      </c>
      <c r="CE362" s="144">
        <f t="shared" si="1105"/>
        <v>0</v>
      </c>
      <c r="CF362" s="144">
        <f t="shared" si="1105"/>
        <v>0</v>
      </c>
      <c r="CG362" s="144">
        <f t="shared" si="1105"/>
        <v>0</v>
      </c>
      <c r="CH362" s="144">
        <f t="shared" si="1105"/>
        <v>0</v>
      </c>
      <c r="CI362" s="144">
        <f t="shared" si="1105"/>
        <v>0</v>
      </c>
      <c r="CJ362" s="144">
        <f t="shared" si="1105"/>
        <v>0</v>
      </c>
      <c r="CK362" s="144">
        <f t="shared" si="1105"/>
        <v>0</v>
      </c>
      <c r="CL362" s="144">
        <f t="shared" si="1105"/>
        <v>0</v>
      </c>
      <c r="CM362" s="144">
        <f t="shared" si="1105"/>
        <v>0</v>
      </c>
      <c r="CN362" s="144">
        <f t="shared" si="1105"/>
        <v>0</v>
      </c>
      <c r="CO362" s="9">
        <f t="shared" si="1105"/>
        <v>0</v>
      </c>
      <c r="CP362" s="144">
        <f t="shared" si="1105"/>
        <v>0</v>
      </c>
      <c r="CQ362" s="144">
        <f t="shared" si="1105"/>
        <v>0</v>
      </c>
      <c r="CR362" s="144">
        <f t="shared" si="1105"/>
        <v>0</v>
      </c>
      <c r="CS362" s="144">
        <f t="shared" si="1105"/>
        <v>0</v>
      </c>
      <c r="CT362" s="144">
        <f t="shared" si="1105"/>
        <v>0</v>
      </c>
      <c r="CU362" s="144">
        <f t="shared" si="1105"/>
        <v>0</v>
      </c>
      <c r="CV362" s="144">
        <f t="shared" si="1105"/>
        <v>0</v>
      </c>
      <c r="CW362" s="144">
        <f t="shared" si="1105"/>
        <v>0</v>
      </c>
      <c r="CX362" s="144">
        <f t="shared" si="1105"/>
        <v>0</v>
      </c>
      <c r="CY362" s="144">
        <f t="shared" si="1105"/>
        <v>0</v>
      </c>
      <c r="CZ362" s="144">
        <f t="shared" si="1105"/>
        <v>0</v>
      </c>
      <c r="DA362" s="144">
        <f t="shared" si="1105"/>
        <v>0</v>
      </c>
      <c r="DB362" s="9">
        <f t="shared" si="1105"/>
        <v>0</v>
      </c>
      <c r="DC362" s="144">
        <f t="shared" si="1105"/>
        <v>0</v>
      </c>
      <c r="DD362" s="144">
        <f t="shared" si="1105"/>
        <v>0</v>
      </c>
      <c r="DE362" s="144">
        <f t="shared" si="1105"/>
        <v>0</v>
      </c>
      <c r="DF362" s="144">
        <f t="shared" si="1105"/>
        <v>0</v>
      </c>
      <c r="DG362" s="144">
        <f t="shared" si="1105"/>
        <v>0</v>
      </c>
      <c r="DH362" s="144">
        <f t="shared" si="1105"/>
        <v>0</v>
      </c>
      <c r="DI362" s="144">
        <f t="shared" si="1105"/>
        <v>0</v>
      </c>
      <c r="DJ362" s="144">
        <f t="shared" si="1105"/>
        <v>0</v>
      </c>
      <c r="DK362" s="144">
        <f t="shared" si="1105"/>
        <v>0</v>
      </c>
      <c r="DL362" s="144">
        <f t="shared" si="1105"/>
        <v>0</v>
      </c>
      <c r="DM362" s="144">
        <f t="shared" si="1105"/>
        <v>0</v>
      </c>
      <c r="DN362" s="144">
        <f t="shared" si="1105"/>
        <v>0</v>
      </c>
      <c r="DO362" s="9">
        <f t="shared" si="1105"/>
        <v>0</v>
      </c>
      <c r="DP362" s="144">
        <f t="shared" si="1105"/>
        <v>0</v>
      </c>
      <c r="DQ362" s="144">
        <f t="shared" si="1105"/>
        <v>0</v>
      </c>
      <c r="DR362" s="144">
        <f t="shared" si="1105"/>
        <v>0</v>
      </c>
      <c r="DS362" s="144">
        <f t="shared" si="1105"/>
        <v>0</v>
      </c>
      <c r="DT362" s="144">
        <f t="shared" si="1105"/>
        <v>0</v>
      </c>
      <c r="DU362" s="144">
        <f t="shared" si="1105"/>
        <v>0</v>
      </c>
      <c r="DV362" s="144">
        <f t="shared" si="1105"/>
        <v>0</v>
      </c>
      <c r="DW362" s="144">
        <f t="shared" si="1105"/>
        <v>0</v>
      </c>
      <c r="DX362" s="144">
        <f t="shared" si="1105"/>
        <v>0</v>
      </c>
      <c r="DY362" s="144">
        <f t="shared" si="1105"/>
        <v>0</v>
      </c>
      <c r="DZ362" s="144">
        <f t="shared" si="1105"/>
        <v>0</v>
      </c>
      <c r="EA362" s="144">
        <f t="shared" ref="EA362:GB362" si="1106">EA150/EA$211</f>
        <v>0</v>
      </c>
      <c r="EB362" s="117">
        <f t="shared" si="1106"/>
        <v>0</v>
      </c>
      <c r="EC362" s="118"/>
      <c r="ED362" s="117">
        <f t="shared" ref="ED362:FB362" si="1107">ED150/ED$211</f>
        <v>0</v>
      </c>
      <c r="EE362" s="117">
        <f t="shared" si="1107"/>
        <v>0</v>
      </c>
      <c r="EF362" s="117">
        <f t="shared" si="1107"/>
        <v>0</v>
      </c>
      <c r="EG362" s="117" t="e">
        <f t="shared" si="1107"/>
        <v>#DIV/0!</v>
      </c>
      <c r="EH362" s="117" t="e">
        <f t="shared" si="1107"/>
        <v>#DIV/0!</v>
      </c>
      <c r="EI362" s="117" t="e">
        <f t="shared" si="1107"/>
        <v>#DIV/0!</v>
      </c>
      <c r="EJ362" s="117" t="e">
        <f t="shared" si="1107"/>
        <v>#DIV/0!</v>
      </c>
      <c r="EK362" s="117" t="e">
        <f t="shared" si="1107"/>
        <v>#DIV/0!</v>
      </c>
      <c r="EL362" s="117" t="e">
        <f t="shared" si="1107"/>
        <v>#DIV/0!</v>
      </c>
      <c r="EM362" s="117" t="e">
        <f t="shared" si="1107"/>
        <v>#DIV/0!</v>
      </c>
      <c r="EN362" s="117" t="e">
        <f t="shared" si="1107"/>
        <v>#DIV/0!</v>
      </c>
      <c r="EO362" s="116">
        <f t="shared" si="1107"/>
        <v>0</v>
      </c>
      <c r="EP362" s="117">
        <f t="shared" si="1107"/>
        <v>0</v>
      </c>
      <c r="EQ362" s="117">
        <f t="shared" si="1107"/>
        <v>0</v>
      </c>
      <c r="ER362" s="117">
        <f t="shared" si="1107"/>
        <v>0</v>
      </c>
      <c r="ES362" s="117">
        <f t="shared" si="1107"/>
        <v>0</v>
      </c>
      <c r="ET362" s="117">
        <f t="shared" si="1107"/>
        <v>0</v>
      </c>
      <c r="EU362" s="117">
        <f t="shared" si="1107"/>
        <v>0</v>
      </c>
      <c r="EV362" s="117">
        <f t="shared" si="1107"/>
        <v>0</v>
      </c>
      <c r="EW362" s="117">
        <f t="shared" si="1107"/>
        <v>0</v>
      </c>
      <c r="EX362" s="117">
        <f t="shared" si="1107"/>
        <v>0</v>
      </c>
      <c r="EY362" s="117">
        <f t="shared" si="1107"/>
        <v>0</v>
      </c>
      <c r="EZ362" s="117">
        <f t="shared" si="1107"/>
        <v>0</v>
      </c>
      <c r="FA362" s="117">
        <f t="shared" si="1107"/>
        <v>0</v>
      </c>
      <c r="FB362" s="117">
        <f t="shared" si="1107"/>
        <v>0</v>
      </c>
      <c r="FC362" s="118"/>
      <c r="FD362" s="117"/>
      <c r="FE362" s="117"/>
      <c r="FF362" s="117"/>
      <c r="FG362" s="117"/>
      <c r="FH362" s="117"/>
      <c r="FI362" s="117"/>
      <c r="FJ362" s="117"/>
      <c r="FK362" s="117" t="e">
        <f t="shared" si="991"/>
        <v>#DIV/0!</v>
      </c>
      <c r="FL362" s="117" t="e">
        <f t="shared" si="992"/>
        <v>#DIV/0!</v>
      </c>
      <c r="FM362" s="117" t="e">
        <f t="shared" si="993"/>
        <v>#DIV/0!</v>
      </c>
      <c r="FN362" s="117" t="e">
        <f t="shared" si="994"/>
        <v>#DIV/0!</v>
      </c>
      <c r="FO362" s="9" t="e">
        <f t="shared" si="995"/>
        <v>#DIV/0!</v>
      </c>
      <c r="FP362" s="118">
        <f t="shared" si="1106"/>
        <v>0</v>
      </c>
      <c r="FQ362" s="117">
        <f t="shared" si="1106"/>
        <v>0</v>
      </c>
      <c r="FR362" s="117">
        <f t="shared" si="1106"/>
        <v>0</v>
      </c>
      <c r="FS362" s="117">
        <f t="shared" si="1106"/>
        <v>0</v>
      </c>
      <c r="FT362" s="117">
        <f t="shared" si="1106"/>
        <v>0</v>
      </c>
      <c r="FU362" s="117">
        <f t="shared" si="1106"/>
        <v>0</v>
      </c>
      <c r="FV362" s="117">
        <f t="shared" si="1106"/>
        <v>0</v>
      </c>
      <c r="FW362" s="117">
        <f t="shared" si="1106"/>
        <v>0</v>
      </c>
      <c r="FX362" s="117">
        <f t="shared" si="1106"/>
        <v>0</v>
      </c>
      <c r="FY362" s="117">
        <f t="shared" si="1106"/>
        <v>0</v>
      </c>
      <c r="FZ362" s="117">
        <f t="shared" si="1106"/>
        <v>0</v>
      </c>
      <c r="GA362" s="117">
        <f t="shared" si="1106"/>
        <v>0</v>
      </c>
      <c r="GB362" s="116">
        <f t="shared" si="1106"/>
        <v>0</v>
      </c>
    </row>
    <row r="363" spans="1:184">
      <c r="A363" s="147" t="s">
        <v>322</v>
      </c>
      <c r="B363" s="160" t="e">
        <f t="shared" si="997"/>
        <v>#DIV/0!</v>
      </c>
      <c r="C363" s="117">
        <f t="shared" ref="C363:BN363" si="1108">C151/C$211</f>
        <v>0</v>
      </c>
      <c r="D363" s="117">
        <f t="shared" si="1108"/>
        <v>0</v>
      </c>
      <c r="E363" s="117">
        <f t="shared" si="1108"/>
        <v>0</v>
      </c>
      <c r="F363" s="117">
        <f t="shared" si="1108"/>
        <v>0</v>
      </c>
      <c r="G363" s="117">
        <f t="shared" si="1108"/>
        <v>0</v>
      </c>
      <c r="H363" s="117">
        <f t="shared" si="1108"/>
        <v>0</v>
      </c>
      <c r="I363" s="117">
        <f t="shared" si="1108"/>
        <v>0</v>
      </c>
      <c r="J363" s="117">
        <f t="shared" si="1108"/>
        <v>0</v>
      </c>
      <c r="K363" s="117">
        <f t="shared" si="1108"/>
        <v>0</v>
      </c>
      <c r="L363" s="117">
        <f t="shared" si="1108"/>
        <v>0</v>
      </c>
      <c r="M363" s="117">
        <f t="shared" si="1108"/>
        <v>0</v>
      </c>
      <c r="N363" s="117">
        <f t="shared" si="1108"/>
        <v>0</v>
      </c>
      <c r="O363" s="9">
        <f t="shared" si="1108"/>
        <v>0</v>
      </c>
      <c r="P363" s="117">
        <f t="shared" si="1108"/>
        <v>0</v>
      </c>
      <c r="Q363" s="117">
        <f t="shared" si="1108"/>
        <v>0</v>
      </c>
      <c r="R363" s="117">
        <f t="shared" si="1108"/>
        <v>0</v>
      </c>
      <c r="S363" s="117">
        <f t="shared" si="1108"/>
        <v>0</v>
      </c>
      <c r="T363" s="117">
        <f t="shared" si="1108"/>
        <v>0</v>
      </c>
      <c r="U363" s="117">
        <f t="shared" si="1108"/>
        <v>0</v>
      </c>
      <c r="V363" s="117">
        <f t="shared" si="1108"/>
        <v>0</v>
      </c>
      <c r="W363" s="117">
        <f t="shared" si="1108"/>
        <v>0</v>
      </c>
      <c r="X363" s="117">
        <f t="shared" si="1108"/>
        <v>0</v>
      </c>
      <c r="Y363" s="117">
        <f t="shared" si="1108"/>
        <v>0</v>
      </c>
      <c r="Z363" s="117">
        <f t="shared" si="1108"/>
        <v>0</v>
      </c>
      <c r="AA363" s="117">
        <f t="shared" si="1108"/>
        <v>0</v>
      </c>
      <c r="AB363" s="9">
        <f t="shared" si="1108"/>
        <v>0</v>
      </c>
      <c r="AC363" s="117">
        <f t="shared" si="1108"/>
        <v>0</v>
      </c>
      <c r="AD363" s="117">
        <f t="shared" si="1108"/>
        <v>0</v>
      </c>
      <c r="AE363" s="117">
        <f t="shared" si="1108"/>
        <v>0</v>
      </c>
      <c r="AF363" s="117">
        <f t="shared" si="1108"/>
        <v>0</v>
      </c>
      <c r="AG363" s="117">
        <f t="shared" si="1108"/>
        <v>0</v>
      </c>
      <c r="AH363" s="117">
        <f t="shared" si="1108"/>
        <v>0</v>
      </c>
      <c r="AI363" s="117">
        <f t="shared" si="1108"/>
        <v>0</v>
      </c>
      <c r="AJ363" s="117">
        <f t="shared" si="1108"/>
        <v>0</v>
      </c>
      <c r="AK363" s="117">
        <f t="shared" si="1108"/>
        <v>0</v>
      </c>
      <c r="AL363" s="117">
        <f t="shared" si="1108"/>
        <v>0</v>
      </c>
      <c r="AM363" s="117">
        <f t="shared" si="1108"/>
        <v>0</v>
      </c>
      <c r="AN363" s="117">
        <f t="shared" si="1108"/>
        <v>0</v>
      </c>
      <c r="AO363" s="9">
        <f t="shared" si="1108"/>
        <v>0</v>
      </c>
      <c r="AP363" s="144">
        <f t="shared" si="1108"/>
        <v>0</v>
      </c>
      <c r="AQ363" s="144">
        <f t="shared" si="1108"/>
        <v>0</v>
      </c>
      <c r="AR363" s="144">
        <f t="shared" si="1108"/>
        <v>0</v>
      </c>
      <c r="AS363" s="144">
        <f t="shared" si="1108"/>
        <v>0</v>
      </c>
      <c r="AT363" s="144">
        <f t="shared" si="1108"/>
        <v>0</v>
      </c>
      <c r="AU363" s="144">
        <f t="shared" si="1108"/>
        <v>0</v>
      </c>
      <c r="AV363" s="144">
        <f t="shared" si="1108"/>
        <v>0</v>
      </c>
      <c r="AW363" s="144">
        <f t="shared" si="1108"/>
        <v>0</v>
      </c>
      <c r="AX363" s="144">
        <f t="shared" si="1108"/>
        <v>0</v>
      </c>
      <c r="AY363" s="144">
        <f t="shared" si="1108"/>
        <v>0</v>
      </c>
      <c r="AZ363" s="144">
        <f t="shared" si="1108"/>
        <v>0</v>
      </c>
      <c r="BA363" s="144">
        <f t="shared" si="1108"/>
        <v>0</v>
      </c>
      <c r="BB363" s="9">
        <f t="shared" si="1108"/>
        <v>0</v>
      </c>
      <c r="BC363" s="144">
        <f t="shared" si="1108"/>
        <v>0</v>
      </c>
      <c r="BD363" s="144">
        <f t="shared" si="1108"/>
        <v>0</v>
      </c>
      <c r="BE363" s="144">
        <f t="shared" si="1108"/>
        <v>0</v>
      </c>
      <c r="BF363" s="144">
        <f t="shared" si="1108"/>
        <v>0</v>
      </c>
      <c r="BG363" s="144">
        <f t="shared" si="1108"/>
        <v>0</v>
      </c>
      <c r="BH363" s="144">
        <f t="shared" si="1108"/>
        <v>0</v>
      </c>
      <c r="BI363" s="144">
        <f t="shared" si="1108"/>
        <v>0</v>
      </c>
      <c r="BJ363" s="144">
        <f t="shared" si="1108"/>
        <v>0</v>
      </c>
      <c r="BK363" s="144">
        <f t="shared" si="1108"/>
        <v>0</v>
      </c>
      <c r="BL363" s="144">
        <f t="shared" si="1108"/>
        <v>0</v>
      </c>
      <c r="BM363" s="144">
        <f t="shared" si="1108"/>
        <v>0</v>
      </c>
      <c r="BN363" s="144">
        <f t="shared" si="1108"/>
        <v>0</v>
      </c>
      <c r="BO363" s="9">
        <f t="shared" ref="BO363:DZ363" si="1109">BO151/BO$211</f>
        <v>0</v>
      </c>
      <c r="BP363" s="144">
        <f t="shared" si="1109"/>
        <v>0</v>
      </c>
      <c r="BQ363" s="144">
        <f t="shared" si="1109"/>
        <v>0</v>
      </c>
      <c r="BR363" s="144">
        <f t="shared" si="1109"/>
        <v>0</v>
      </c>
      <c r="BS363" s="144">
        <f t="shared" si="1109"/>
        <v>0</v>
      </c>
      <c r="BT363" s="144">
        <f t="shared" si="1109"/>
        <v>0</v>
      </c>
      <c r="BU363" s="144">
        <f t="shared" si="1109"/>
        <v>0</v>
      </c>
      <c r="BV363" s="144">
        <f t="shared" si="1109"/>
        <v>0</v>
      </c>
      <c r="BW363" s="144">
        <f t="shared" si="1109"/>
        <v>0</v>
      </c>
      <c r="BX363" s="144">
        <f t="shared" si="1109"/>
        <v>0</v>
      </c>
      <c r="BY363" s="144">
        <f t="shared" si="1109"/>
        <v>0</v>
      </c>
      <c r="BZ363" s="144">
        <f t="shared" si="1109"/>
        <v>0</v>
      </c>
      <c r="CA363" s="144">
        <f t="shared" si="1109"/>
        <v>0</v>
      </c>
      <c r="CB363" s="9">
        <f t="shared" si="1109"/>
        <v>0</v>
      </c>
      <c r="CC363" s="144">
        <f t="shared" si="1109"/>
        <v>0</v>
      </c>
      <c r="CD363" s="144">
        <f t="shared" si="1109"/>
        <v>0</v>
      </c>
      <c r="CE363" s="144">
        <f t="shared" si="1109"/>
        <v>0</v>
      </c>
      <c r="CF363" s="144">
        <f t="shared" si="1109"/>
        <v>0</v>
      </c>
      <c r="CG363" s="144">
        <f t="shared" si="1109"/>
        <v>0</v>
      </c>
      <c r="CH363" s="144">
        <f t="shared" si="1109"/>
        <v>0</v>
      </c>
      <c r="CI363" s="144">
        <f t="shared" si="1109"/>
        <v>0</v>
      </c>
      <c r="CJ363" s="144">
        <f t="shared" si="1109"/>
        <v>0</v>
      </c>
      <c r="CK363" s="144">
        <f t="shared" si="1109"/>
        <v>0</v>
      </c>
      <c r="CL363" s="144">
        <f t="shared" si="1109"/>
        <v>0</v>
      </c>
      <c r="CM363" s="144">
        <f t="shared" si="1109"/>
        <v>0</v>
      </c>
      <c r="CN363" s="144">
        <f t="shared" si="1109"/>
        <v>0</v>
      </c>
      <c r="CO363" s="9">
        <f t="shared" si="1109"/>
        <v>0</v>
      </c>
      <c r="CP363" s="144">
        <f t="shared" si="1109"/>
        <v>0</v>
      </c>
      <c r="CQ363" s="144">
        <f t="shared" si="1109"/>
        <v>0</v>
      </c>
      <c r="CR363" s="144">
        <f t="shared" si="1109"/>
        <v>0</v>
      </c>
      <c r="CS363" s="144">
        <f t="shared" si="1109"/>
        <v>0</v>
      </c>
      <c r="CT363" s="144">
        <f t="shared" si="1109"/>
        <v>0</v>
      </c>
      <c r="CU363" s="144">
        <f t="shared" si="1109"/>
        <v>0</v>
      </c>
      <c r="CV363" s="144">
        <f t="shared" si="1109"/>
        <v>0</v>
      </c>
      <c r="CW363" s="144">
        <f t="shared" si="1109"/>
        <v>0</v>
      </c>
      <c r="CX363" s="144">
        <f t="shared" si="1109"/>
        <v>0</v>
      </c>
      <c r="CY363" s="144">
        <f t="shared" si="1109"/>
        <v>0</v>
      </c>
      <c r="CZ363" s="144">
        <f t="shared" si="1109"/>
        <v>0</v>
      </c>
      <c r="DA363" s="144">
        <f t="shared" si="1109"/>
        <v>0</v>
      </c>
      <c r="DB363" s="9">
        <f t="shared" si="1109"/>
        <v>0</v>
      </c>
      <c r="DC363" s="144">
        <f t="shared" si="1109"/>
        <v>0</v>
      </c>
      <c r="DD363" s="144">
        <f t="shared" si="1109"/>
        <v>0</v>
      </c>
      <c r="DE363" s="144">
        <f t="shared" si="1109"/>
        <v>0</v>
      </c>
      <c r="DF363" s="144">
        <f t="shared" si="1109"/>
        <v>0</v>
      </c>
      <c r="DG363" s="144">
        <f t="shared" si="1109"/>
        <v>0</v>
      </c>
      <c r="DH363" s="144">
        <f t="shared" si="1109"/>
        <v>0</v>
      </c>
      <c r="DI363" s="144">
        <f t="shared" si="1109"/>
        <v>0</v>
      </c>
      <c r="DJ363" s="144">
        <f t="shared" si="1109"/>
        <v>0</v>
      </c>
      <c r="DK363" s="144">
        <f t="shared" si="1109"/>
        <v>0</v>
      </c>
      <c r="DL363" s="144">
        <f t="shared" si="1109"/>
        <v>0</v>
      </c>
      <c r="DM363" s="144">
        <f t="shared" si="1109"/>
        <v>0</v>
      </c>
      <c r="DN363" s="144">
        <f t="shared" si="1109"/>
        <v>0</v>
      </c>
      <c r="DO363" s="9">
        <f t="shared" si="1109"/>
        <v>0</v>
      </c>
      <c r="DP363" s="144">
        <f t="shared" si="1109"/>
        <v>0</v>
      </c>
      <c r="DQ363" s="144">
        <f t="shared" si="1109"/>
        <v>0</v>
      </c>
      <c r="DR363" s="144">
        <f t="shared" si="1109"/>
        <v>0</v>
      </c>
      <c r="DS363" s="144">
        <f t="shared" si="1109"/>
        <v>0</v>
      </c>
      <c r="DT363" s="144">
        <f t="shared" si="1109"/>
        <v>0</v>
      </c>
      <c r="DU363" s="144">
        <f t="shared" si="1109"/>
        <v>0</v>
      </c>
      <c r="DV363" s="144">
        <f t="shared" si="1109"/>
        <v>0</v>
      </c>
      <c r="DW363" s="144">
        <f t="shared" si="1109"/>
        <v>0</v>
      </c>
      <c r="DX363" s="144">
        <f t="shared" si="1109"/>
        <v>0</v>
      </c>
      <c r="DY363" s="144">
        <f t="shared" si="1109"/>
        <v>0</v>
      </c>
      <c r="DZ363" s="144">
        <f t="shared" si="1109"/>
        <v>0</v>
      </c>
      <c r="EA363" s="144">
        <f t="shared" ref="EA363:GB363" si="1110">EA151/EA$211</f>
        <v>0</v>
      </c>
      <c r="EB363" s="117">
        <f t="shared" si="1110"/>
        <v>0</v>
      </c>
      <c r="EC363" s="118"/>
      <c r="ED363" s="117">
        <f t="shared" ref="ED363:FB363" si="1111">ED151/ED$211</f>
        <v>0</v>
      </c>
      <c r="EE363" s="117">
        <f t="shared" si="1111"/>
        <v>0</v>
      </c>
      <c r="EF363" s="117">
        <f t="shared" si="1111"/>
        <v>0</v>
      </c>
      <c r="EG363" s="117" t="e">
        <f t="shared" si="1111"/>
        <v>#DIV/0!</v>
      </c>
      <c r="EH363" s="117" t="e">
        <f t="shared" si="1111"/>
        <v>#DIV/0!</v>
      </c>
      <c r="EI363" s="117" t="e">
        <f t="shared" si="1111"/>
        <v>#DIV/0!</v>
      </c>
      <c r="EJ363" s="117" t="e">
        <f t="shared" si="1111"/>
        <v>#DIV/0!</v>
      </c>
      <c r="EK363" s="117" t="e">
        <f t="shared" si="1111"/>
        <v>#DIV/0!</v>
      </c>
      <c r="EL363" s="117" t="e">
        <f t="shared" si="1111"/>
        <v>#DIV/0!</v>
      </c>
      <c r="EM363" s="117" t="e">
        <f t="shared" si="1111"/>
        <v>#DIV/0!</v>
      </c>
      <c r="EN363" s="117" t="e">
        <f t="shared" si="1111"/>
        <v>#DIV/0!</v>
      </c>
      <c r="EO363" s="116">
        <f t="shared" si="1111"/>
        <v>0</v>
      </c>
      <c r="EP363" s="117">
        <f t="shared" si="1111"/>
        <v>0</v>
      </c>
      <c r="EQ363" s="117">
        <f t="shared" si="1111"/>
        <v>0</v>
      </c>
      <c r="ER363" s="117">
        <f t="shared" si="1111"/>
        <v>0</v>
      </c>
      <c r="ES363" s="117">
        <f t="shared" si="1111"/>
        <v>0</v>
      </c>
      <c r="ET363" s="117">
        <f t="shared" si="1111"/>
        <v>0</v>
      </c>
      <c r="EU363" s="117">
        <f t="shared" si="1111"/>
        <v>0</v>
      </c>
      <c r="EV363" s="117">
        <f t="shared" si="1111"/>
        <v>0</v>
      </c>
      <c r="EW363" s="117">
        <f t="shared" si="1111"/>
        <v>0</v>
      </c>
      <c r="EX363" s="117">
        <f t="shared" si="1111"/>
        <v>0</v>
      </c>
      <c r="EY363" s="117">
        <f t="shared" si="1111"/>
        <v>0</v>
      </c>
      <c r="EZ363" s="117">
        <f t="shared" si="1111"/>
        <v>0</v>
      </c>
      <c r="FA363" s="117">
        <f t="shared" si="1111"/>
        <v>0</v>
      </c>
      <c r="FB363" s="117">
        <f t="shared" si="1111"/>
        <v>0</v>
      </c>
      <c r="FC363" s="118"/>
      <c r="FD363" s="117"/>
      <c r="FE363" s="117"/>
      <c r="FF363" s="117"/>
      <c r="FG363" s="117"/>
      <c r="FH363" s="117"/>
      <c r="FI363" s="117"/>
      <c r="FJ363" s="117"/>
      <c r="FK363" s="117" t="e">
        <f t="shared" si="991"/>
        <v>#DIV/0!</v>
      </c>
      <c r="FL363" s="117" t="e">
        <f t="shared" si="992"/>
        <v>#DIV/0!</v>
      </c>
      <c r="FM363" s="117" t="e">
        <f t="shared" si="993"/>
        <v>#DIV/0!</v>
      </c>
      <c r="FN363" s="117" t="e">
        <f t="shared" si="994"/>
        <v>#DIV/0!</v>
      </c>
      <c r="FO363" s="9" t="e">
        <f t="shared" si="995"/>
        <v>#DIV/0!</v>
      </c>
      <c r="FP363" s="118">
        <f t="shared" si="1110"/>
        <v>0</v>
      </c>
      <c r="FQ363" s="117">
        <f t="shared" si="1110"/>
        <v>0</v>
      </c>
      <c r="FR363" s="117">
        <f t="shared" si="1110"/>
        <v>0</v>
      </c>
      <c r="FS363" s="117">
        <f t="shared" si="1110"/>
        <v>0</v>
      </c>
      <c r="FT363" s="117">
        <f t="shared" si="1110"/>
        <v>0</v>
      </c>
      <c r="FU363" s="117">
        <f t="shared" si="1110"/>
        <v>0</v>
      </c>
      <c r="FV363" s="117">
        <f t="shared" si="1110"/>
        <v>0</v>
      </c>
      <c r="FW363" s="117">
        <f t="shared" si="1110"/>
        <v>0</v>
      </c>
      <c r="FX363" s="117">
        <f t="shared" si="1110"/>
        <v>0</v>
      </c>
      <c r="FY363" s="117">
        <f t="shared" si="1110"/>
        <v>0</v>
      </c>
      <c r="FZ363" s="117">
        <f t="shared" si="1110"/>
        <v>0</v>
      </c>
      <c r="GA363" s="117">
        <f t="shared" si="1110"/>
        <v>0</v>
      </c>
      <c r="GB363" s="116">
        <f t="shared" si="1110"/>
        <v>0</v>
      </c>
    </row>
    <row r="364" spans="1:184">
      <c r="A364" s="147" t="s">
        <v>323</v>
      </c>
      <c r="B364" s="160">
        <f t="shared" si="997"/>
        <v>0.983760070328404</v>
      </c>
      <c r="C364" s="117">
        <f t="shared" ref="C364:BN364" si="1112">C152/C$211</f>
        <v>0.000953844137061436</v>
      </c>
      <c r="D364" s="117">
        <f t="shared" si="1112"/>
        <v>0.00103665801423757</v>
      </c>
      <c r="E364" s="117">
        <f t="shared" si="1112"/>
        <v>0.000741877607382297</v>
      </c>
      <c r="F364" s="117">
        <f t="shared" si="1112"/>
        <v>0.000514816416157634</v>
      </c>
      <c r="G364" s="117">
        <f t="shared" si="1112"/>
        <v>0.00045381978188211</v>
      </c>
      <c r="H364" s="117">
        <f t="shared" si="1112"/>
        <v>0.000348728156916262</v>
      </c>
      <c r="I364" s="117">
        <f t="shared" si="1112"/>
        <v>0.000228320550660596</v>
      </c>
      <c r="J364" s="117">
        <f t="shared" si="1112"/>
        <v>5.26487973715416e-5</v>
      </c>
      <c r="K364" s="117">
        <f t="shared" si="1112"/>
        <v>2.46538265363713e-5</v>
      </c>
      <c r="L364" s="117">
        <f t="shared" si="1112"/>
        <v>2.05897732884226e-5</v>
      </c>
      <c r="M364" s="117">
        <f t="shared" si="1112"/>
        <v>1.11481347692293e-5</v>
      </c>
      <c r="N364" s="117">
        <f t="shared" si="1112"/>
        <v>1.05585584447881e-5</v>
      </c>
      <c r="O364" s="9">
        <f t="shared" si="1112"/>
        <v>0.000390283105244707</v>
      </c>
      <c r="P364" s="117">
        <f t="shared" si="1112"/>
        <v>0</v>
      </c>
      <c r="Q364" s="117">
        <f t="shared" si="1112"/>
        <v>0</v>
      </c>
      <c r="R364" s="117">
        <f t="shared" si="1112"/>
        <v>0</v>
      </c>
      <c r="S364" s="117">
        <f t="shared" si="1112"/>
        <v>0</v>
      </c>
      <c r="T364" s="117">
        <f t="shared" si="1112"/>
        <v>0</v>
      </c>
      <c r="U364" s="117">
        <f t="shared" si="1112"/>
        <v>0</v>
      </c>
      <c r="V364" s="117">
        <f t="shared" si="1112"/>
        <v>0</v>
      </c>
      <c r="W364" s="117">
        <f t="shared" si="1112"/>
        <v>0</v>
      </c>
      <c r="X364" s="117">
        <f t="shared" si="1112"/>
        <v>0</v>
      </c>
      <c r="Y364" s="117">
        <f t="shared" si="1112"/>
        <v>0</v>
      </c>
      <c r="Z364" s="117">
        <f t="shared" si="1112"/>
        <v>0</v>
      </c>
      <c r="AA364" s="117">
        <f t="shared" si="1112"/>
        <v>0</v>
      </c>
      <c r="AB364" s="9">
        <f t="shared" si="1112"/>
        <v>0</v>
      </c>
      <c r="AC364" s="117">
        <f t="shared" si="1112"/>
        <v>0.00475295604540092</v>
      </c>
      <c r="AD364" s="117">
        <f t="shared" si="1112"/>
        <v>0.00596187969649907</v>
      </c>
      <c r="AE364" s="117">
        <f t="shared" si="1112"/>
        <v>0.00474261046581497</v>
      </c>
      <c r="AF364" s="117">
        <f t="shared" si="1112"/>
        <v>0.00303961936088371</v>
      </c>
      <c r="AG364" s="117">
        <f t="shared" si="1112"/>
        <v>0.00263653716042161</v>
      </c>
      <c r="AH364" s="117">
        <f t="shared" si="1112"/>
        <v>0.00216535075164624</v>
      </c>
      <c r="AI364" s="117">
        <f t="shared" si="1112"/>
        <v>0.00155564618610692</v>
      </c>
      <c r="AJ364" s="117">
        <f t="shared" si="1112"/>
        <v>0</v>
      </c>
      <c r="AK364" s="117">
        <f t="shared" si="1112"/>
        <v>0</v>
      </c>
      <c r="AL364" s="117">
        <f t="shared" si="1112"/>
        <v>0</v>
      </c>
      <c r="AM364" s="117">
        <f t="shared" si="1112"/>
        <v>0</v>
      </c>
      <c r="AN364" s="117">
        <f t="shared" si="1112"/>
        <v>0</v>
      </c>
      <c r="AO364" s="9">
        <f t="shared" si="1112"/>
        <v>0.00186775261188088</v>
      </c>
      <c r="AP364" s="144">
        <f t="shared" si="1112"/>
        <v>0.00127924446747044</v>
      </c>
      <c r="AQ364" s="144">
        <f t="shared" si="1112"/>
        <v>0.00110640424825269</v>
      </c>
      <c r="AR364" s="144">
        <f t="shared" si="1112"/>
        <v>0.000206895933527238</v>
      </c>
      <c r="AS364" s="144">
        <f t="shared" si="1112"/>
        <v>6.13094838103331e-5</v>
      </c>
      <c r="AT364" s="144">
        <f t="shared" si="1112"/>
        <v>0.000282665515256995</v>
      </c>
      <c r="AU364" s="144">
        <f t="shared" si="1112"/>
        <v>0.000161846315450829</v>
      </c>
      <c r="AV364" s="144">
        <f t="shared" si="1112"/>
        <v>0.000133400900608055</v>
      </c>
      <c r="AW364" s="144">
        <f t="shared" si="1112"/>
        <v>0</v>
      </c>
      <c r="AX364" s="144">
        <f t="shared" si="1112"/>
        <v>0</v>
      </c>
      <c r="AY364" s="144">
        <f t="shared" si="1112"/>
        <v>0</v>
      </c>
      <c r="AZ364" s="144">
        <f t="shared" si="1112"/>
        <v>0</v>
      </c>
      <c r="BA364" s="144">
        <f t="shared" si="1112"/>
        <v>0</v>
      </c>
      <c r="BB364" s="9">
        <f t="shared" si="1112"/>
        <v>0.000270569819357726</v>
      </c>
      <c r="BC364" s="144">
        <f t="shared" si="1112"/>
        <v>0.00112548400366975</v>
      </c>
      <c r="BD364" s="144">
        <f t="shared" si="1112"/>
        <v>0.000769284630780337</v>
      </c>
      <c r="BE364" s="144">
        <f t="shared" si="1112"/>
        <v>0.000447887010119778</v>
      </c>
      <c r="BF364" s="144">
        <f t="shared" si="1112"/>
        <v>0.000328127387575091</v>
      </c>
      <c r="BG364" s="144">
        <f t="shared" si="1112"/>
        <v>0.000275393533254817</v>
      </c>
      <c r="BH364" s="144">
        <f t="shared" si="1112"/>
        <v>0.000207061966508617</v>
      </c>
      <c r="BI364" s="144">
        <f t="shared" si="1112"/>
        <v>0.000170517021896086</v>
      </c>
      <c r="BJ364" s="144">
        <f t="shared" si="1112"/>
        <v>0.000151496509044209</v>
      </c>
      <c r="BK364" s="144">
        <f t="shared" si="1112"/>
        <v>8.5591598129375e-5</v>
      </c>
      <c r="BL364" s="144">
        <f t="shared" si="1112"/>
        <v>8.81047387051928e-5</v>
      </c>
      <c r="BM364" s="144">
        <f t="shared" si="1112"/>
        <v>8.41041350145752e-5</v>
      </c>
      <c r="BN364" s="144">
        <f t="shared" si="1112"/>
        <v>8.72284816141518e-5</v>
      </c>
      <c r="BO364" s="9">
        <f t="shared" ref="BO364:DZ364" si="1113">BO152/BO$211</f>
        <v>0.000352170337934868</v>
      </c>
      <c r="BP364" s="144">
        <f t="shared" si="1113"/>
        <v>0</v>
      </c>
      <c r="BQ364" s="144">
        <f t="shared" si="1113"/>
        <v>0</v>
      </c>
      <c r="BR364" s="144">
        <f t="shared" si="1113"/>
        <v>0</v>
      </c>
      <c r="BS364" s="144">
        <f t="shared" si="1113"/>
        <v>0</v>
      </c>
      <c r="BT364" s="144">
        <f t="shared" si="1113"/>
        <v>0</v>
      </c>
      <c r="BU364" s="144">
        <f t="shared" si="1113"/>
        <v>0</v>
      </c>
      <c r="BV364" s="144">
        <f t="shared" si="1113"/>
        <v>0</v>
      </c>
      <c r="BW364" s="144">
        <f t="shared" si="1113"/>
        <v>0</v>
      </c>
      <c r="BX364" s="144">
        <f t="shared" si="1113"/>
        <v>0</v>
      </c>
      <c r="BY364" s="144">
        <f t="shared" si="1113"/>
        <v>0</v>
      </c>
      <c r="BZ364" s="144">
        <f t="shared" si="1113"/>
        <v>0</v>
      </c>
      <c r="CA364" s="144">
        <f t="shared" si="1113"/>
        <v>0</v>
      </c>
      <c r="CB364" s="9">
        <f t="shared" si="1113"/>
        <v>0</v>
      </c>
      <c r="CC364" s="144">
        <f t="shared" si="1113"/>
        <v>0.000381027305536224</v>
      </c>
      <c r="CD364" s="144">
        <f t="shared" si="1113"/>
        <v>0.00091710496517109</v>
      </c>
      <c r="CE364" s="144">
        <f t="shared" si="1113"/>
        <v>0.00088858280911789</v>
      </c>
      <c r="CF364" s="144">
        <f t="shared" si="1113"/>
        <v>0.000652223973145266</v>
      </c>
      <c r="CG364" s="144">
        <f t="shared" si="1113"/>
        <v>4.15672549672265e-5</v>
      </c>
      <c r="CH364" s="144">
        <f t="shared" si="1113"/>
        <v>0</v>
      </c>
      <c r="CI364" s="144">
        <f t="shared" si="1113"/>
        <v>0</v>
      </c>
      <c r="CJ364" s="144">
        <f t="shared" si="1113"/>
        <v>0</v>
      </c>
      <c r="CK364" s="144">
        <f t="shared" si="1113"/>
        <v>0</v>
      </c>
      <c r="CL364" s="144">
        <f t="shared" si="1113"/>
        <v>0</v>
      </c>
      <c r="CM364" s="144">
        <f t="shared" si="1113"/>
        <v>0</v>
      </c>
      <c r="CN364" s="144">
        <f t="shared" si="1113"/>
        <v>0</v>
      </c>
      <c r="CO364" s="9">
        <f t="shared" si="1113"/>
        <v>0.000202436619900725</v>
      </c>
      <c r="CP364" s="144">
        <f t="shared" si="1113"/>
        <v>0.00112505260140967</v>
      </c>
      <c r="CQ364" s="144">
        <f t="shared" si="1113"/>
        <v>0.000649240655534025</v>
      </c>
      <c r="CR364" s="144">
        <f t="shared" si="1113"/>
        <v>0.00052746577090091</v>
      </c>
      <c r="CS364" s="144">
        <f t="shared" si="1113"/>
        <v>0.000283568743839687</v>
      </c>
      <c r="CT364" s="144">
        <f t="shared" si="1113"/>
        <v>0.000224745395120332</v>
      </c>
      <c r="CU364" s="144">
        <f t="shared" si="1113"/>
        <v>0.000125027570553016</v>
      </c>
      <c r="CV364" s="144">
        <f t="shared" si="1113"/>
        <v>0.000115857679811544</v>
      </c>
      <c r="CW364" s="144">
        <f t="shared" si="1113"/>
        <v>0.000108545403843622</v>
      </c>
      <c r="CX364" s="144">
        <f t="shared" si="1113"/>
        <v>0</v>
      </c>
      <c r="CY364" s="144">
        <f t="shared" si="1113"/>
        <v>0</v>
      </c>
      <c r="CZ364" s="144">
        <f t="shared" si="1113"/>
        <v>0</v>
      </c>
      <c r="DA364" s="144">
        <f t="shared" si="1113"/>
        <v>0</v>
      </c>
      <c r="DB364" s="9">
        <f t="shared" si="1113"/>
        <v>0.000301146500206593</v>
      </c>
      <c r="DC364" s="144">
        <f t="shared" si="1113"/>
        <v>0</v>
      </c>
      <c r="DD364" s="144">
        <f t="shared" si="1113"/>
        <v>0.00879897511108587</v>
      </c>
      <c r="DE364" s="144">
        <f t="shared" si="1113"/>
        <v>0.00200105831593722</v>
      </c>
      <c r="DF364" s="144">
        <f t="shared" si="1113"/>
        <v>0.00109075069992514</v>
      </c>
      <c r="DG364" s="144">
        <f t="shared" si="1113"/>
        <v>0</v>
      </c>
      <c r="DH364" s="144">
        <f t="shared" si="1113"/>
        <v>0</v>
      </c>
      <c r="DI364" s="144">
        <f t="shared" si="1113"/>
        <v>0</v>
      </c>
      <c r="DJ364" s="144">
        <f t="shared" si="1113"/>
        <v>0</v>
      </c>
      <c r="DK364" s="144">
        <f t="shared" si="1113"/>
        <v>0</v>
      </c>
      <c r="DL364" s="144">
        <f t="shared" si="1113"/>
        <v>0</v>
      </c>
      <c r="DM364" s="144">
        <f t="shared" si="1113"/>
        <v>0</v>
      </c>
      <c r="DN364" s="144">
        <f t="shared" si="1113"/>
        <v>0</v>
      </c>
      <c r="DO364" s="9">
        <f t="shared" si="1113"/>
        <v>0.00127678067428951</v>
      </c>
      <c r="DP364" s="144">
        <f t="shared" si="1113"/>
        <v>0.00381642872477293</v>
      </c>
      <c r="DQ364" s="144">
        <f t="shared" si="1113"/>
        <v>0.00299994858111081</v>
      </c>
      <c r="DR364" s="144">
        <f t="shared" si="1113"/>
        <v>0.00216399316268844</v>
      </c>
      <c r="DS364" s="144">
        <f t="shared" si="1113"/>
        <v>0.00175730919361425</v>
      </c>
      <c r="DT364" s="144">
        <f t="shared" si="1113"/>
        <v>0.00129726907259059</v>
      </c>
      <c r="DU364" s="144">
        <f t="shared" si="1113"/>
        <v>0.000922511518731346</v>
      </c>
      <c r="DV364" s="144">
        <f t="shared" si="1113"/>
        <v>0.000444706391728848</v>
      </c>
      <c r="DW364" s="144">
        <f t="shared" si="1113"/>
        <v>0.000325399698151734</v>
      </c>
      <c r="DX364" s="144">
        <f t="shared" si="1113"/>
        <v>0.000173886263526283</v>
      </c>
      <c r="DY364" s="144">
        <f t="shared" si="1113"/>
        <v>0.000109080425319767</v>
      </c>
      <c r="DZ364" s="144">
        <f t="shared" si="1113"/>
        <v>0</v>
      </c>
      <c r="EA364" s="144">
        <f t="shared" ref="EA364:GB364" si="1114">EA152/EA$211</f>
        <v>0</v>
      </c>
      <c r="EB364" s="117">
        <f t="shared" si="1114"/>
        <v>0.00134779365620004</v>
      </c>
      <c r="EC364" s="118"/>
      <c r="ED364" s="117">
        <f t="shared" ref="ED364:FB364" si="1115">ED152/ED$211</f>
        <v>0</v>
      </c>
      <c r="EE364" s="117">
        <f t="shared" si="1115"/>
        <v>0</v>
      </c>
      <c r="EF364" s="117">
        <f t="shared" si="1115"/>
        <v>0</v>
      </c>
      <c r="EG364" s="117" t="e">
        <f t="shared" si="1115"/>
        <v>#DIV/0!</v>
      </c>
      <c r="EH364" s="117" t="e">
        <f t="shared" si="1115"/>
        <v>#DIV/0!</v>
      </c>
      <c r="EI364" s="117" t="e">
        <f t="shared" si="1115"/>
        <v>#DIV/0!</v>
      </c>
      <c r="EJ364" s="117" t="e">
        <f t="shared" si="1115"/>
        <v>#DIV/0!</v>
      </c>
      <c r="EK364" s="117" t="e">
        <f t="shared" si="1115"/>
        <v>#DIV/0!</v>
      </c>
      <c r="EL364" s="117" t="e">
        <f t="shared" si="1115"/>
        <v>#DIV/0!</v>
      </c>
      <c r="EM364" s="117" t="e">
        <f t="shared" si="1115"/>
        <v>#DIV/0!</v>
      </c>
      <c r="EN364" s="117" t="e">
        <f t="shared" si="1115"/>
        <v>#DIV/0!</v>
      </c>
      <c r="EO364" s="116">
        <f t="shared" si="1115"/>
        <v>0</v>
      </c>
      <c r="EP364" s="117">
        <f t="shared" si="1115"/>
        <v>0.00191852552111489</v>
      </c>
      <c r="EQ364" s="117">
        <f t="shared" si="1115"/>
        <v>0.00115004776099078</v>
      </c>
      <c r="ER364" s="117">
        <f t="shared" si="1115"/>
        <v>0.00132246266277647</v>
      </c>
      <c r="ES364" s="117">
        <f t="shared" si="1115"/>
        <v>0.000713477270349973</v>
      </c>
      <c r="ET364" s="117">
        <f t="shared" si="1115"/>
        <v>0.00124631581213802</v>
      </c>
      <c r="EU364" s="117">
        <f t="shared" si="1115"/>
        <v>0.000894493138799607</v>
      </c>
      <c r="EV364" s="117">
        <f t="shared" si="1115"/>
        <v>0.000751336987844105</v>
      </c>
      <c r="EW364" s="117">
        <f t="shared" si="1115"/>
        <v>0.000357776602404055</v>
      </c>
      <c r="EX364" s="117">
        <f t="shared" si="1115"/>
        <v>0.000175977221427649</v>
      </c>
      <c r="EY364" s="117">
        <f t="shared" si="1115"/>
        <v>0.000184010467911933</v>
      </c>
      <c r="EZ364" s="117">
        <f t="shared" si="1115"/>
        <v>0.000181275873823153</v>
      </c>
      <c r="FA364" s="117">
        <f t="shared" si="1115"/>
        <v>0.000139063113233735</v>
      </c>
      <c r="FB364" s="117">
        <f t="shared" si="1115"/>
        <v>0.000695730674809406</v>
      </c>
      <c r="FC364" s="118"/>
      <c r="FD364" s="117"/>
      <c r="FE364" s="117"/>
      <c r="FF364" s="117"/>
      <c r="FG364" s="117"/>
      <c r="FH364" s="117"/>
      <c r="FI364" s="117"/>
      <c r="FJ364" s="117"/>
      <c r="FK364" s="117" t="e">
        <f t="shared" si="991"/>
        <v>#DIV/0!</v>
      </c>
      <c r="FL364" s="117" t="e">
        <f t="shared" si="992"/>
        <v>#DIV/0!</v>
      </c>
      <c r="FM364" s="117" t="e">
        <f t="shared" si="993"/>
        <v>#DIV/0!</v>
      </c>
      <c r="FN364" s="117" t="e">
        <f t="shared" si="994"/>
        <v>#DIV/0!</v>
      </c>
      <c r="FO364" s="9" t="e">
        <f t="shared" si="995"/>
        <v>#DIV/0!</v>
      </c>
      <c r="FP364" s="118">
        <f t="shared" si="1114"/>
        <v>0.000259005242089946</v>
      </c>
      <c r="FQ364" s="117">
        <f t="shared" si="1114"/>
        <v>0.000347608738962816</v>
      </c>
      <c r="FR364" s="117">
        <f t="shared" si="1114"/>
        <v>0.000254534447440194</v>
      </c>
      <c r="FS364" s="117">
        <f t="shared" si="1114"/>
        <v>4.08313713529672e-5</v>
      </c>
      <c r="FT364" s="117">
        <f t="shared" si="1114"/>
        <v>3.83479627581741e-5</v>
      </c>
      <c r="FU364" s="117">
        <f t="shared" si="1114"/>
        <v>0</v>
      </c>
      <c r="FV364" s="117">
        <f t="shared" si="1114"/>
        <v>0</v>
      </c>
      <c r="FW364" s="117">
        <f t="shared" si="1114"/>
        <v>0</v>
      </c>
      <c r="FX364" s="117">
        <f t="shared" si="1114"/>
        <v>0</v>
      </c>
      <c r="FY364" s="117">
        <f t="shared" si="1114"/>
        <v>0</v>
      </c>
      <c r="FZ364" s="117">
        <f t="shared" si="1114"/>
        <v>0</v>
      </c>
      <c r="GA364" s="117">
        <f t="shared" si="1114"/>
        <v>0</v>
      </c>
      <c r="GB364" s="116">
        <f t="shared" si="1114"/>
        <v>9.54341841593988e-5</v>
      </c>
    </row>
    <row r="365" spans="1:184">
      <c r="A365" s="147" t="s">
        <v>324</v>
      </c>
      <c r="B365" s="160" t="e">
        <f t="shared" si="997"/>
        <v>#DIV/0!</v>
      </c>
      <c r="C365" s="117">
        <f t="shared" ref="C365:BN365" si="1116">C153/C$211</f>
        <v>0</v>
      </c>
      <c r="D365" s="117">
        <f t="shared" si="1116"/>
        <v>0</v>
      </c>
      <c r="E365" s="117">
        <f t="shared" si="1116"/>
        <v>0</v>
      </c>
      <c r="F365" s="117">
        <f t="shared" si="1116"/>
        <v>0</v>
      </c>
      <c r="G365" s="117">
        <f t="shared" si="1116"/>
        <v>0</v>
      </c>
      <c r="H365" s="117">
        <f t="shared" si="1116"/>
        <v>0</v>
      </c>
      <c r="I365" s="117">
        <f t="shared" si="1116"/>
        <v>0</v>
      </c>
      <c r="J365" s="117">
        <f t="shared" si="1116"/>
        <v>0</v>
      </c>
      <c r="K365" s="117">
        <f t="shared" si="1116"/>
        <v>0</v>
      </c>
      <c r="L365" s="117">
        <f t="shared" si="1116"/>
        <v>0</v>
      </c>
      <c r="M365" s="117">
        <f t="shared" si="1116"/>
        <v>0</v>
      </c>
      <c r="N365" s="117">
        <f t="shared" si="1116"/>
        <v>0</v>
      </c>
      <c r="O365" s="9">
        <f t="shared" si="1116"/>
        <v>0</v>
      </c>
      <c r="P365" s="117">
        <f t="shared" si="1116"/>
        <v>0</v>
      </c>
      <c r="Q365" s="117">
        <f t="shared" si="1116"/>
        <v>0</v>
      </c>
      <c r="R365" s="117">
        <f t="shared" si="1116"/>
        <v>0</v>
      </c>
      <c r="S365" s="117">
        <f t="shared" si="1116"/>
        <v>0</v>
      </c>
      <c r="T365" s="117">
        <f t="shared" si="1116"/>
        <v>0</v>
      </c>
      <c r="U365" s="117">
        <f t="shared" si="1116"/>
        <v>0</v>
      </c>
      <c r="V365" s="117">
        <f t="shared" si="1116"/>
        <v>0</v>
      </c>
      <c r="W365" s="117">
        <f t="shared" si="1116"/>
        <v>0</v>
      </c>
      <c r="X365" s="117">
        <f t="shared" si="1116"/>
        <v>0</v>
      </c>
      <c r="Y365" s="117">
        <f t="shared" si="1116"/>
        <v>0</v>
      </c>
      <c r="Z365" s="117">
        <f t="shared" si="1116"/>
        <v>0</v>
      </c>
      <c r="AA365" s="117">
        <f t="shared" si="1116"/>
        <v>0</v>
      </c>
      <c r="AB365" s="9">
        <f t="shared" si="1116"/>
        <v>0</v>
      </c>
      <c r="AC365" s="117">
        <f t="shared" si="1116"/>
        <v>0</v>
      </c>
      <c r="AD365" s="117">
        <f t="shared" si="1116"/>
        <v>0</v>
      </c>
      <c r="AE365" s="117">
        <f t="shared" si="1116"/>
        <v>0</v>
      </c>
      <c r="AF365" s="117">
        <f t="shared" si="1116"/>
        <v>0</v>
      </c>
      <c r="AG365" s="117">
        <f t="shared" si="1116"/>
        <v>0</v>
      </c>
      <c r="AH365" s="117">
        <f t="shared" si="1116"/>
        <v>0</v>
      </c>
      <c r="AI365" s="117">
        <f t="shared" si="1116"/>
        <v>0</v>
      </c>
      <c r="AJ365" s="117">
        <f t="shared" si="1116"/>
        <v>0</v>
      </c>
      <c r="AK365" s="117">
        <f t="shared" si="1116"/>
        <v>0</v>
      </c>
      <c r="AL365" s="117">
        <f t="shared" si="1116"/>
        <v>0</v>
      </c>
      <c r="AM365" s="117">
        <f t="shared" si="1116"/>
        <v>0</v>
      </c>
      <c r="AN365" s="117">
        <f t="shared" si="1116"/>
        <v>0</v>
      </c>
      <c r="AO365" s="9">
        <f t="shared" si="1116"/>
        <v>0</v>
      </c>
      <c r="AP365" s="144">
        <f t="shared" si="1116"/>
        <v>0</v>
      </c>
      <c r="AQ365" s="144">
        <f t="shared" si="1116"/>
        <v>0</v>
      </c>
      <c r="AR365" s="144">
        <f t="shared" si="1116"/>
        <v>0</v>
      </c>
      <c r="AS365" s="144">
        <f t="shared" si="1116"/>
        <v>0</v>
      </c>
      <c r="AT365" s="144">
        <f t="shared" si="1116"/>
        <v>0</v>
      </c>
      <c r="AU365" s="144">
        <f t="shared" si="1116"/>
        <v>0</v>
      </c>
      <c r="AV365" s="144">
        <f t="shared" si="1116"/>
        <v>0</v>
      </c>
      <c r="AW365" s="144">
        <f t="shared" si="1116"/>
        <v>0</v>
      </c>
      <c r="AX365" s="144">
        <f t="shared" si="1116"/>
        <v>0</v>
      </c>
      <c r="AY365" s="144">
        <f t="shared" si="1116"/>
        <v>0</v>
      </c>
      <c r="AZ365" s="144">
        <f t="shared" si="1116"/>
        <v>0</v>
      </c>
      <c r="BA365" s="144">
        <f t="shared" si="1116"/>
        <v>0</v>
      </c>
      <c r="BB365" s="9">
        <f t="shared" si="1116"/>
        <v>0</v>
      </c>
      <c r="BC365" s="144">
        <f t="shared" si="1116"/>
        <v>0</v>
      </c>
      <c r="BD365" s="144">
        <f t="shared" si="1116"/>
        <v>0</v>
      </c>
      <c r="BE365" s="144">
        <f t="shared" si="1116"/>
        <v>0</v>
      </c>
      <c r="BF365" s="144">
        <f t="shared" si="1116"/>
        <v>0</v>
      </c>
      <c r="BG365" s="144">
        <f t="shared" si="1116"/>
        <v>0</v>
      </c>
      <c r="BH365" s="144">
        <f t="shared" si="1116"/>
        <v>0</v>
      </c>
      <c r="BI365" s="144">
        <f t="shared" si="1116"/>
        <v>0</v>
      </c>
      <c r="BJ365" s="144">
        <f t="shared" si="1116"/>
        <v>0</v>
      </c>
      <c r="BK365" s="144">
        <f t="shared" si="1116"/>
        <v>0</v>
      </c>
      <c r="BL365" s="144">
        <f t="shared" si="1116"/>
        <v>0</v>
      </c>
      <c r="BM365" s="144">
        <f t="shared" si="1116"/>
        <v>0</v>
      </c>
      <c r="BN365" s="144">
        <f t="shared" si="1116"/>
        <v>0</v>
      </c>
      <c r="BO365" s="9">
        <f t="shared" ref="BO365:DZ365" si="1117">BO153/BO$211</f>
        <v>0</v>
      </c>
      <c r="BP365" s="144">
        <f t="shared" si="1117"/>
        <v>0</v>
      </c>
      <c r="BQ365" s="144">
        <f t="shared" si="1117"/>
        <v>0</v>
      </c>
      <c r="BR365" s="144">
        <f t="shared" si="1117"/>
        <v>0</v>
      </c>
      <c r="BS365" s="144">
        <f t="shared" si="1117"/>
        <v>0</v>
      </c>
      <c r="BT365" s="144">
        <f t="shared" si="1117"/>
        <v>0</v>
      </c>
      <c r="BU365" s="144">
        <f t="shared" si="1117"/>
        <v>0</v>
      </c>
      <c r="BV365" s="144">
        <f t="shared" si="1117"/>
        <v>0</v>
      </c>
      <c r="BW365" s="144">
        <f t="shared" si="1117"/>
        <v>0</v>
      </c>
      <c r="BX365" s="144">
        <f t="shared" si="1117"/>
        <v>0</v>
      </c>
      <c r="BY365" s="144">
        <f t="shared" si="1117"/>
        <v>0</v>
      </c>
      <c r="BZ365" s="144">
        <f t="shared" si="1117"/>
        <v>0</v>
      </c>
      <c r="CA365" s="144">
        <f t="shared" si="1117"/>
        <v>0</v>
      </c>
      <c r="CB365" s="9">
        <f t="shared" si="1117"/>
        <v>0</v>
      </c>
      <c r="CC365" s="144">
        <f t="shared" si="1117"/>
        <v>0</v>
      </c>
      <c r="CD365" s="144">
        <f t="shared" si="1117"/>
        <v>0</v>
      </c>
      <c r="CE365" s="144">
        <f t="shared" si="1117"/>
        <v>0</v>
      </c>
      <c r="CF365" s="144">
        <f t="shared" si="1117"/>
        <v>0</v>
      </c>
      <c r="CG365" s="144">
        <f t="shared" si="1117"/>
        <v>0</v>
      </c>
      <c r="CH365" s="144">
        <f t="shared" si="1117"/>
        <v>0</v>
      </c>
      <c r="CI365" s="144">
        <f t="shared" si="1117"/>
        <v>0</v>
      </c>
      <c r="CJ365" s="144">
        <f t="shared" si="1117"/>
        <v>0</v>
      </c>
      <c r="CK365" s="144">
        <f t="shared" si="1117"/>
        <v>0</v>
      </c>
      <c r="CL365" s="144">
        <f t="shared" si="1117"/>
        <v>0</v>
      </c>
      <c r="CM365" s="144">
        <f t="shared" si="1117"/>
        <v>0</v>
      </c>
      <c r="CN365" s="144">
        <f t="shared" si="1117"/>
        <v>0</v>
      </c>
      <c r="CO365" s="9">
        <f t="shared" si="1117"/>
        <v>0</v>
      </c>
      <c r="CP365" s="144">
        <f t="shared" si="1117"/>
        <v>0</v>
      </c>
      <c r="CQ365" s="144">
        <f t="shared" si="1117"/>
        <v>0</v>
      </c>
      <c r="CR365" s="144">
        <f t="shared" si="1117"/>
        <v>0</v>
      </c>
      <c r="CS365" s="144">
        <f t="shared" si="1117"/>
        <v>0</v>
      </c>
      <c r="CT365" s="144">
        <f t="shared" si="1117"/>
        <v>0</v>
      </c>
      <c r="CU365" s="144">
        <f t="shared" si="1117"/>
        <v>0</v>
      </c>
      <c r="CV365" s="144">
        <f t="shared" si="1117"/>
        <v>0</v>
      </c>
      <c r="CW365" s="144">
        <f t="shared" si="1117"/>
        <v>0</v>
      </c>
      <c r="CX365" s="144">
        <f t="shared" si="1117"/>
        <v>0</v>
      </c>
      <c r="CY365" s="144">
        <f t="shared" si="1117"/>
        <v>0</v>
      </c>
      <c r="CZ365" s="144">
        <f t="shared" si="1117"/>
        <v>0</v>
      </c>
      <c r="DA365" s="144">
        <f t="shared" si="1117"/>
        <v>0</v>
      </c>
      <c r="DB365" s="9">
        <f t="shared" si="1117"/>
        <v>0</v>
      </c>
      <c r="DC365" s="144">
        <f t="shared" si="1117"/>
        <v>0</v>
      </c>
      <c r="DD365" s="144">
        <f t="shared" si="1117"/>
        <v>0</v>
      </c>
      <c r="DE365" s="144">
        <f t="shared" si="1117"/>
        <v>0</v>
      </c>
      <c r="DF365" s="144">
        <f t="shared" si="1117"/>
        <v>0</v>
      </c>
      <c r="DG365" s="144">
        <f t="shared" si="1117"/>
        <v>0</v>
      </c>
      <c r="DH365" s="144">
        <f t="shared" si="1117"/>
        <v>0</v>
      </c>
      <c r="DI365" s="144">
        <f t="shared" si="1117"/>
        <v>0</v>
      </c>
      <c r="DJ365" s="144">
        <f t="shared" si="1117"/>
        <v>0</v>
      </c>
      <c r="DK365" s="144">
        <f t="shared" si="1117"/>
        <v>0</v>
      </c>
      <c r="DL365" s="144">
        <f t="shared" si="1117"/>
        <v>0</v>
      </c>
      <c r="DM365" s="144">
        <f t="shared" si="1117"/>
        <v>0</v>
      </c>
      <c r="DN365" s="144">
        <f t="shared" si="1117"/>
        <v>0</v>
      </c>
      <c r="DO365" s="9">
        <f t="shared" si="1117"/>
        <v>0</v>
      </c>
      <c r="DP365" s="144">
        <f t="shared" si="1117"/>
        <v>0</v>
      </c>
      <c r="DQ365" s="144">
        <f t="shared" si="1117"/>
        <v>0</v>
      </c>
      <c r="DR365" s="144">
        <f t="shared" si="1117"/>
        <v>0</v>
      </c>
      <c r="DS365" s="144">
        <f t="shared" si="1117"/>
        <v>0</v>
      </c>
      <c r="DT365" s="144">
        <f t="shared" si="1117"/>
        <v>0</v>
      </c>
      <c r="DU365" s="144">
        <f t="shared" si="1117"/>
        <v>0</v>
      </c>
      <c r="DV365" s="144">
        <f t="shared" si="1117"/>
        <v>0</v>
      </c>
      <c r="DW365" s="144">
        <f t="shared" si="1117"/>
        <v>0</v>
      </c>
      <c r="DX365" s="144">
        <f t="shared" si="1117"/>
        <v>0</v>
      </c>
      <c r="DY365" s="144">
        <f t="shared" si="1117"/>
        <v>0</v>
      </c>
      <c r="DZ365" s="144">
        <f t="shared" si="1117"/>
        <v>0</v>
      </c>
      <c r="EA365" s="144">
        <f t="shared" ref="EA365:GB365" si="1118">EA153/EA$211</f>
        <v>0</v>
      </c>
      <c r="EB365" s="117">
        <f t="shared" si="1118"/>
        <v>0</v>
      </c>
      <c r="EC365" s="118"/>
      <c r="ED365" s="117">
        <f t="shared" ref="ED365:FB365" si="1119">ED153/ED$211</f>
        <v>0</v>
      </c>
      <c r="EE365" s="117">
        <f t="shared" si="1119"/>
        <v>0</v>
      </c>
      <c r="EF365" s="117">
        <f t="shared" si="1119"/>
        <v>0</v>
      </c>
      <c r="EG365" s="117" t="e">
        <f t="shared" si="1119"/>
        <v>#DIV/0!</v>
      </c>
      <c r="EH365" s="117" t="e">
        <f t="shared" si="1119"/>
        <v>#DIV/0!</v>
      </c>
      <c r="EI365" s="117" t="e">
        <f t="shared" si="1119"/>
        <v>#DIV/0!</v>
      </c>
      <c r="EJ365" s="117" t="e">
        <f t="shared" si="1119"/>
        <v>#DIV/0!</v>
      </c>
      <c r="EK365" s="117" t="e">
        <f t="shared" si="1119"/>
        <v>#DIV/0!</v>
      </c>
      <c r="EL365" s="117" t="e">
        <f t="shared" si="1119"/>
        <v>#DIV/0!</v>
      </c>
      <c r="EM365" s="117" t="e">
        <f t="shared" si="1119"/>
        <v>#DIV/0!</v>
      </c>
      <c r="EN365" s="117" t="e">
        <f t="shared" si="1119"/>
        <v>#DIV/0!</v>
      </c>
      <c r="EO365" s="116">
        <f t="shared" si="1119"/>
        <v>0</v>
      </c>
      <c r="EP365" s="117">
        <f t="shared" si="1119"/>
        <v>0</v>
      </c>
      <c r="EQ365" s="117">
        <f t="shared" si="1119"/>
        <v>0</v>
      </c>
      <c r="ER365" s="117">
        <f t="shared" si="1119"/>
        <v>0</v>
      </c>
      <c r="ES365" s="117">
        <f t="shared" si="1119"/>
        <v>0</v>
      </c>
      <c r="ET365" s="117">
        <f t="shared" si="1119"/>
        <v>0</v>
      </c>
      <c r="EU365" s="117">
        <f t="shared" si="1119"/>
        <v>0</v>
      </c>
      <c r="EV365" s="117">
        <f t="shared" si="1119"/>
        <v>0</v>
      </c>
      <c r="EW365" s="117">
        <f t="shared" si="1119"/>
        <v>0</v>
      </c>
      <c r="EX365" s="117">
        <f t="shared" si="1119"/>
        <v>0</v>
      </c>
      <c r="EY365" s="117">
        <f t="shared" si="1119"/>
        <v>0</v>
      </c>
      <c r="EZ365" s="117">
        <f t="shared" si="1119"/>
        <v>0</v>
      </c>
      <c r="FA365" s="117">
        <f t="shared" si="1119"/>
        <v>0</v>
      </c>
      <c r="FB365" s="117">
        <f t="shared" si="1119"/>
        <v>0</v>
      </c>
      <c r="FC365" s="118"/>
      <c r="FD365" s="117"/>
      <c r="FE365" s="117"/>
      <c r="FF365" s="117"/>
      <c r="FG365" s="117"/>
      <c r="FH365" s="117"/>
      <c r="FI365" s="117"/>
      <c r="FJ365" s="117"/>
      <c r="FK365" s="117" t="e">
        <f t="shared" si="991"/>
        <v>#DIV/0!</v>
      </c>
      <c r="FL365" s="117" t="e">
        <f t="shared" si="992"/>
        <v>#DIV/0!</v>
      </c>
      <c r="FM365" s="117" t="e">
        <f t="shared" si="993"/>
        <v>#DIV/0!</v>
      </c>
      <c r="FN365" s="117" t="e">
        <f t="shared" si="994"/>
        <v>#DIV/0!</v>
      </c>
      <c r="FO365" s="9" t="e">
        <f t="shared" si="995"/>
        <v>#DIV/0!</v>
      </c>
      <c r="FP365" s="118">
        <f t="shared" si="1118"/>
        <v>0</v>
      </c>
      <c r="FQ365" s="117">
        <f t="shared" si="1118"/>
        <v>0</v>
      </c>
      <c r="FR365" s="117">
        <f t="shared" si="1118"/>
        <v>0</v>
      </c>
      <c r="FS365" s="117">
        <f t="shared" si="1118"/>
        <v>0</v>
      </c>
      <c r="FT365" s="117">
        <f t="shared" si="1118"/>
        <v>0</v>
      </c>
      <c r="FU365" s="117">
        <f t="shared" si="1118"/>
        <v>0</v>
      </c>
      <c r="FV365" s="117">
        <f t="shared" si="1118"/>
        <v>0</v>
      </c>
      <c r="FW365" s="117">
        <f t="shared" si="1118"/>
        <v>0</v>
      </c>
      <c r="FX365" s="117">
        <f t="shared" si="1118"/>
        <v>0</v>
      </c>
      <c r="FY365" s="117">
        <f t="shared" si="1118"/>
        <v>0</v>
      </c>
      <c r="FZ365" s="117">
        <f t="shared" si="1118"/>
        <v>0</v>
      </c>
      <c r="GA365" s="117">
        <f t="shared" si="1118"/>
        <v>0</v>
      </c>
      <c r="GB365" s="116">
        <f t="shared" si="1118"/>
        <v>0</v>
      </c>
    </row>
    <row r="366" spans="1:184">
      <c r="A366" s="147" t="s">
        <v>325</v>
      </c>
      <c r="B366" s="160" t="e">
        <f t="shared" si="997"/>
        <v>#DIV/0!</v>
      </c>
      <c r="C366" s="117">
        <f t="shared" ref="C366:BN366" si="1120">C154/C$211</f>
        <v>0</v>
      </c>
      <c r="D366" s="117">
        <f t="shared" si="1120"/>
        <v>0</v>
      </c>
      <c r="E366" s="117">
        <f t="shared" si="1120"/>
        <v>0</v>
      </c>
      <c r="F366" s="117">
        <f t="shared" si="1120"/>
        <v>0</v>
      </c>
      <c r="G366" s="117">
        <f t="shared" si="1120"/>
        <v>0</v>
      </c>
      <c r="H366" s="117">
        <f t="shared" si="1120"/>
        <v>0.000194580122713818</v>
      </c>
      <c r="I366" s="117">
        <f t="shared" si="1120"/>
        <v>0.000104648018521665</v>
      </c>
      <c r="J366" s="117">
        <f t="shared" si="1120"/>
        <v>7.49513619598077e-5</v>
      </c>
      <c r="K366" s="117">
        <f t="shared" si="1120"/>
        <v>4.20100583127231e-5</v>
      </c>
      <c r="L366" s="117">
        <f t="shared" si="1120"/>
        <v>2.87398437758135e-5</v>
      </c>
      <c r="M366" s="117">
        <f t="shared" si="1120"/>
        <v>1.81971662040439e-5</v>
      </c>
      <c r="N366" s="117">
        <f t="shared" si="1120"/>
        <v>1.88547311914796e-5</v>
      </c>
      <c r="O366" s="9">
        <f t="shared" si="1120"/>
        <v>3.61287957033985e-5</v>
      </c>
      <c r="P366" s="117">
        <f t="shared" si="1120"/>
        <v>0</v>
      </c>
      <c r="Q366" s="117">
        <f t="shared" si="1120"/>
        <v>0</v>
      </c>
      <c r="R366" s="117">
        <f t="shared" si="1120"/>
        <v>0</v>
      </c>
      <c r="S366" s="117">
        <f t="shared" si="1120"/>
        <v>0</v>
      </c>
      <c r="T366" s="117">
        <f t="shared" si="1120"/>
        <v>0</v>
      </c>
      <c r="U366" s="117">
        <f t="shared" si="1120"/>
        <v>0</v>
      </c>
      <c r="V366" s="117">
        <f t="shared" si="1120"/>
        <v>0</v>
      </c>
      <c r="W366" s="117">
        <f t="shared" si="1120"/>
        <v>0</v>
      </c>
      <c r="X366" s="117">
        <f t="shared" si="1120"/>
        <v>0</v>
      </c>
      <c r="Y366" s="117">
        <f t="shared" si="1120"/>
        <v>0</v>
      </c>
      <c r="Z366" s="117">
        <f t="shared" si="1120"/>
        <v>0</v>
      </c>
      <c r="AA366" s="117">
        <f t="shared" si="1120"/>
        <v>0</v>
      </c>
      <c r="AB366" s="9">
        <f t="shared" si="1120"/>
        <v>0</v>
      </c>
      <c r="AC366" s="117">
        <f t="shared" si="1120"/>
        <v>0</v>
      </c>
      <c r="AD366" s="117">
        <f t="shared" si="1120"/>
        <v>0</v>
      </c>
      <c r="AE366" s="117">
        <f t="shared" si="1120"/>
        <v>0</v>
      </c>
      <c r="AF366" s="117">
        <f t="shared" si="1120"/>
        <v>0</v>
      </c>
      <c r="AG366" s="117">
        <f t="shared" si="1120"/>
        <v>0</v>
      </c>
      <c r="AH366" s="117">
        <f t="shared" si="1120"/>
        <v>0</v>
      </c>
      <c r="AI366" s="117">
        <f t="shared" si="1120"/>
        <v>0</v>
      </c>
      <c r="AJ366" s="117">
        <f t="shared" si="1120"/>
        <v>0</v>
      </c>
      <c r="AK366" s="117">
        <f t="shared" si="1120"/>
        <v>0</v>
      </c>
      <c r="AL366" s="117">
        <f t="shared" si="1120"/>
        <v>0</v>
      </c>
      <c r="AM366" s="117">
        <f t="shared" si="1120"/>
        <v>0</v>
      </c>
      <c r="AN366" s="117">
        <f t="shared" si="1120"/>
        <v>0</v>
      </c>
      <c r="AO366" s="9">
        <f t="shared" si="1120"/>
        <v>0</v>
      </c>
      <c r="AP366" s="144">
        <f t="shared" si="1120"/>
        <v>0</v>
      </c>
      <c r="AQ366" s="144">
        <f t="shared" si="1120"/>
        <v>0</v>
      </c>
      <c r="AR366" s="144">
        <f t="shared" si="1120"/>
        <v>0</v>
      </c>
      <c r="AS366" s="144">
        <f t="shared" si="1120"/>
        <v>0</v>
      </c>
      <c r="AT366" s="144">
        <f t="shared" si="1120"/>
        <v>0</v>
      </c>
      <c r="AU366" s="144">
        <f t="shared" si="1120"/>
        <v>0.000273499786236528</v>
      </c>
      <c r="AV366" s="144">
        <f t="shared" si="1120"/>
        <v>0.000225430635837662</v>
      </c>
      <c r="AW366" s="144">
        <f t="shared" si="1120"/>
        <v>0.000198615799135503</v>
      </c>
      <c r="AX366" s="144">
        <f t="shared" si="1120"/>
        <v>0.000197645519252458</v>
      </c>
      <c r="AY366" s="144">
        <f t="shared" si="1120"/>
        <v>0.000211533453540321</v>
      </c>
      <c r="AZ366" s="144">
        <f t="shared" si="1120"/>
        <v>0.000203449472858606</v>
      </c>
      <c r="BA366" s="144">
        <f t="shared" si="1120"/>
        <v>0.000190835663557497</v>
      </c>
      <c r="BB366" s="9">
        <f t="shared" si="1120"/>
        <v>0.000129927474274405</v>
      </c>
      <c r="BC366" s="144">
        <f t="shared" si="1120"/>
        <v>0</v>
      </c>
      <c r="BD366" s="144">
        <f t="shared" si="1120"/>
        <v>0</v>
      </c>
      <c r="BE366" s="144">
        <f t="shared" si="1120"/>
        <v>0</v>
      </c>
      <c r="BF366" s="144">
        <f t="shared" si="1120"/>
        <v>0</v>
      </c>
      <c r="BG366" s="144">
        <f t="shared" si="1120"/>
        <v>0</v>
      </c>
      <c r="BH366" s="144">
        <f t="shared" si="1120"/>
        <v>0.000388787236693395</v>
      </c>
      <c r="BI366" s="144">
        <f t="shared" si="1120"/>
        <v>0.000160084545872908</v>
      </c>
      <c r="BJ366" s="144">
        <f t="shared" si="1120"/>
        <v>0.00014222773528412</v>
      </c>
      <c r="BK366" s="144">
        <f t="shared" si="1120"/>
        <v>0</v>
      </c>
      <c r="BL366" s="144">
        <f t="shared" si="1120"/>
        <v>0</v>
      </c>
      <c r="BM366" s="144">
        <f t="shared" si="1120"/>
        <v>0</v>
      </c>
      <c r="BN366" s="144">
        <f t="shared" si="1120"/>
        <v>0</v>
      </c>
      <c r="BO366" s="9">
        <f t="shared" ref="BO366:DZ366" si="1121">BO154/BO$211</f>
        <v>5.07623049450377e-5</v>
      </c>
      <c r="BP366" s="144">
        <f t="shared" si="1121"/>
        <v>0</v>
      </c>
      <c r="BQ366" s="144">
        <f t="shared" si="1121"/>
        <v>0</v>
      </c>
      <c r="BR366" s="144">
        <f t="shared" si="1121"/>
        <v>0</v>
      </c>
      <c r="BS366" s="144">
        <f t="shared" si="1121"/>
        <v>0</v>
      </c>
      <c r="BT366" s="144">
        <f t="shared" si="1121"/>
        <v>0</v>
      </c>
      <c r="BU366" s="144">
        <f t="shared" si="1121"/>
        <v>0</v>
      </c>
      <c r="BV366" s="144">
        <f t="shared" si="1121"/>
        <v>0</v>
      </c>
      <c r="BW366" s="144">
        <f t="shared" si="1121"/>
        <v>0</v>
      </c>
      <c r="BX366" s="144">
        <f t="shared" si="1121"/>
        <v>0</v>
      </c>
      <c r="BY366" s="144">
        <f t="shared" si="1121"/>
        <v>0</v>
      </c>
      <c r="BZ366" s="144">
        <f t="shared" si="1121"/>
        <v>0</v>
      </c>
      <c r="CA366" s="144">
        <f t="shared" si="1121"/>
        <v>0</v>
      </c>
      <c r="CB366" s="9">
        <f t="shared" si="1121"/>
        <v>0</v>
      </c>
      <c r="CC366" s="144">
        <f t="shared" si="1121"/>
        <v>0</v>
      </c>
      <c r="CD366" s="144">
        <f t="shared" si="1121"/>
        <v>0</v>
      </c>
      <c r="CE366" s="144">
        <f t="shared" si="1121"/>
        <v>0</v>
      </c>
      <c r="CF366" s="144">
        <f t="shared" si="1121"/>
        <v>0</v>
      </c>
      <c r="CG366" s="144">
        <f t="shared" si="1121"/>
        <v>0</v>
      </c>
      <c r="CH366" s="144">
        <f t="shared" si="1121"/>
        <v>0</v>
      </c>
      <c r="CI366" s="144">
        <f t="shared" si="1121"/>
        <v>0</v>
      </c>
      <c r="CJ366" s="144">
        <f t="shared" si="1121"/>
        <v>0</v>
      </c>
      <c r="CK366" s="144">
        <f t="shared" si="1121"/>
        <v>0</v>
      </c>
      <c r="CL366" s="144">
        <f t="shared" si="1121"/>
        <v>0</v>
      </c>
      <c r="CM366" s="144">
        <f t="shared" si="1121"/>
        <v>0</v>
      </c>
      <c r="CN366" s="144">
        <f t="shared" si="1121"/>
        <v>0</v>
      </c>
      <c r="CO366" s="9">
        <f t="shared" si="1121"/>
        <v>0</v>
      </c>
      <c r="CP366" s="144">
        <f t="shared" si="1121"/>
        <v>0</v>
      </c>
      <c r="CQ366" s="144">
        <f t="shared" si="1121"/>
        <v>0</v>
      </c>
      <c r="CR366" s="144">
        <f t="shared" si="1121"/>
        <v>0</v>
      </c>
      <c r="CS366" s="144">
        <f t="shared" si="1121"/>
        <v>0</v>
      </c>
      <c r="CT366" s="144">
        <f t="shared" si="1121"/>
        <v>0</v>
      </c>
      <c r="CU366" s="144">
        <f t="shared" si="1121"/>
        <v>6.03659337028123e-5</v>
      </c>
      <c r="CV366" s="144">
        <f t="shared" si="1121"/>
        <v>5.59385181006913e-5</v>
      </c>
      <c r="CW366" s="144">
        <f t="shared" si="1121"/>
        <v>5.2407997877481e-5</v>
      </c>
      <c r="CX366" s="144">
        <f t="shared" si="1121"/>
        <v>0</v>
      </c>
      <c r="CY366" s="144">
        <f t="shared" si="1121"/>
        <v>0</v>
      </c>
      <c r="CZ366" s="144">
        <f t="shared" si="1121"/>
        <v>0</v>
      </c>
      <c r="DA366" s="144">
        <f t="shared" si="1121"/>
        <v>0</v>
      </c>
      <c r="DB366" s="9">
        <f t="shared" si="1121"/>
        <v>1.34063839949054e-5</v>
      </c>
      <c r="DC366" s="144">
        <f t="shared" si="1121"/>
        <v>0</v>
      </c>
      <c r="DD366" s="144">
        <f t="shared" si="1121"/>
        <v>0</v>
      </c>
      <c r="DE366" s="144">
        <f t="shared" si="1121"/>
        <v>0</v>
      </c>
      <c r="DF366" s="144">
        <f t="shared" si="1121"/>
        <v>0</v>
      </c>
      <c r="DG366" s="144">
        <f t="shared" si="1121"/>
        <v>0</v>
      </c>
      <c r="DH366" s="144">
        <f t="shared" si="1121"/>
        <v>0.000881943608459612</v>
      </c>
      <c r="DI366" s="144">
        <f t="shared" si="1121"/>
        <v>0.000567011604625144</v>
      </c>
      <c r="DJ366" s="144">
        <f t="shared" si="1121"/>
        <v>0.000276909961395087</v>
      </c>
      <c r="DK366" s="144">
        <f t="shared" si="1121"/>
        <v>0.000277183154738794</v>
      </c>
      <c r="DL366" s="144">
        <f t="shared" si="1121"/>
        <v>0.000273864786014501</v>
      </c>
      <c r="DM366" s="144">
        <f t="shared" si="1121"/>
        <v>0.00030454062081423</v>
      </c>
      <c r="DN366" s="144">
        <f t="shared" si="1121"/>
        <v>0.000276000372135333</v>
      </c>
      <c r="DO366" s="9">
        <f t="shared" si="1121"/>
        <v>0.000214041872551493</v>
      </c>
      <c r="DP366" s="144">
        <f t="shared" si="1121"/>
        <v>0</v>
      </c>
      <c r="DQ366" s="144">
        <f t="shared" si="1121"/>
        <v>0</v>
      </c>
      <c r="DR366" s="144">
        <f t="shared" si="1121"/>
        <v>0</v>
      </c>
      <c r="DS366" s="144">
        <f t="shared" si="1121"/>
        <v>0</v>
      </c>
      <c r="DT366" s="144">
        <f t="shared" si="1121"/>
        <v>0</v>
      </c>
      <c r="DU366" s="144">
        <f t="shared" si="1121"/>
        <v>0.00116919576978451</v>
      </c>
      <c r="DV366" s="144">
        <f t="shared" si="1121"/>
        <v>0.000563623132555074</v>
      </c>
      <c r="DW366" s="144">
        <f t="shared" si="1121"/>
        <v>0.000366589533360815</v>
      </c>
      <c r="DX366" s="144">
        <f t="shared" si="1121"/>
        <v>0.000183653609024991</v>
      </c>
      <c r="DY366" s="144">
        <f t="shared" si="1121"/>
        <v>0</v>
      </c>
      <c r="DZ366" s="144">
        <f t="shared" si="1121"/>
        <v>0</v>
      </c>
      <c r="EA366" s="144">
        <f t="shared" ref="EA366:GB366" si="1122">EA154/EA$211</f>
        <v>0</v>
      </c>
      <c r="EB366" s="117">
        <f t="shared" si="1122"/>
        <v>0.000173952221407273</v>
      </c>
      <c r="EC366" s="118"/>
      <c r="ED366" s="117">
        <f t="shared" ref="ED366:FB366" si="1123">ED154/ED$211</f>
        <v>0</v>
      </c>
      <c r="EE366" s="117">
        <f t="shared" si="1123"/>
        <v>0</v>
      </c>
      <c r="EF366" s="117">
        <f t="shared" si="1123"/>
        <v>0</v>
      </c>
      <c r="EG366" s="117" t="e">
        <f t="shared" si="1123"/>
        <v>#DIV/0!</v>
      </c>
      <c r="EH366" s="117" t="e">
        <f t="shared" si="1123"/>
        <v>#DIV/0!</v>
      </c>
      <c r="EI366" s="117" t="e">
        <f t="shared" si="1123"/>
        <v>#DIV/0!</v>
      </c>
      <c r="EJ366" s="117" t="e">
        <f t="shared" si="1123"/>
        <v>#DIV/0!</v>
      </c>
      <c r="EK366" s="117" t="e">
        <f t="shared" si="1123"/>
        <v>#DIV/0!</v>
      </c>
      <c r="EL366" s="117" t="e">
        <f t="shared" si="1123"/>
        <v>#DIV/0!</v>
      </c>
      <c r="EM366" s="117" t="e">
        <f t="shared" si="1123"/>
        <v>#DIV/0!</v>
      </c>
      <c r="EN366" s="117" t="e">
        <f t="shared" si="1123"/>
        <v>#DIV/0!</v>
      </c>
      <c r="EO366" s="116">
        <f t="shared" si="1123"/>
        <v>0</v>
      </c>
      <c r="EP366" s="117">
        <f t="shared" si="1123"/>
        <v>0</v>
      </c>
      <c r="EQ366" s="117">
        <f t="shared" si="1123"/>
        <v>0</v>
      </c>
      <c r="ER366" s="117">
        <f t="shared" si="1123"/>
        <v>0</v>
      </c>
      <c r="ES366" s="117">
        <f t="shared" si="1123"/>
        <v>0</v>
      </c>
      <c r="ET366" s="117">
        <f t="shared" si="1123"/>
        <v>0</v>
      </c>
      <c r="EU366" s="117">
        <f t="shared" si="1123"/>
        <v>0.00043970187832613</v>
      </c>
      <c r="EV366" s="117">
        <f t="shared" si="1123"/>
        <v>0.000295465014078738</v>
      </c>
      <c r="EW366" s="117">
        <f t="shared" si="1123"/>
        <v>0.000225114366685839</v>
      </c>
      <c r="EX366" s="117">
        <f t="shared" si="1123"/>
        <v>0</v>
      </c>
      <c r="EY366" s="117">
        <f t="shared" si="1123"/>
        <v>0</v>
      </c>
      <c r="EZ366" s="117">
        <f t="shared" si="1123"/>
        <v>0</v>
      </c>
      <c r="FA366" s="117">
        <f t="shared" si="1123"/>
        <v>0</v>
      </c>
      <c r="FB366" s="117">
        <f t="shared" si="1123"/>
        <v>7.2996453925525e-5</v>
      </c>
      <c r="FC366" s="118"/>
      <c r="FD366" s="117"/>
      <c r="FE366" s="117"/>
      <c r="FF366" s="117"/>
      <c r="FG366" s="117"/>
      <c r="FH366" s="117"/>
      <c r="FI366" s="117"/>
      <c r="FJ366" s="117"/>
      <c r="FK366" s="117" t="e">
        <f t="shared" si="991"/>
        <v>#DIV/0!</v>
      </c>
      <c r="FL366" s="117" t="e">
        <f t="shared" si="992"/>
        <v>#DIV/0!</v>
      </c>
      <c r="FM366" s="117" t="e">
        <f t="shared" si="993"/>
        <v>#DIV/0!</v>
      </c>
      <c r="FN366" s="117" t="e">
        <f t="shared" si="994"/>
        <v>#DIV/0!</v>
      </c>
      <c r="FO366" s="9" t="e">
        <f t="shared" si="995"/>
        <v>#DIV/0!</v>
      </c>
      <c r="FP366" s="118">
        <f t="shared" si="1122"/>
        <v>0</v>
      </c>
      <c r="FQ366" s="117">
        <f t="shared" si="1122"/>
        <v>0</v>
      </c>
      <c r="FR366" s="117">
        <f t="shared" si="1122"/>
        <v>0</v>
      </c>
      <c r="FS366" s="117">
        <f t="shared" si="1122"/>
        <v>0</v>
      </c>
      <c r="FT366" s="117">
        <f t="shared" si="1122"/>
        <v>0</v>
      </c>
      <c r="FU366" s="117">
        <f t="shared" si="1122"/>
        <v>6.71475459265322e-5</v>
      </c>
      <c r="FV366" s="117">
        <f t="shared" si="1122"/>
        <v>4.84004789774241e-5</v>
      </c>
      <c r="FW366" s="117">
        <f t="shared" si="1122"/>
        <v>4.07406099684124e-5</v>
      </c>
      <c r="FX366" s="117">
        <f t="shared" si="1122"/>
        <v>4.59911717620406e-5</v>
      </c>
      <c r="FY366" s="117">
        <f t="shared" si="1122"/>
        <v>4.28560202082668e-5</v>
      </c>
      <c r="FZ366" s="117">
        <f t="shared" si="1122"/>
        <v>0</v>
      </c>
      <c r="GA366" s="117">
        <f t="shared" si="1122"/>
        <v>0</v>
      </c>
      <c r="GB366" s="116">
        <f t="shared" si="1122"/>
        <v>1.75591379062349e-5</v>
      </c>
    </row>
    <row r="367" spans="1:184">
      <c r="A367" s="147" t="s">
        <v>326</v>
      </c>
      <c r="B367" s="160" t="e">
        <f t="shared" si="997"/>
        <v>#DIV/0!</v>
      </c>
      <c r="C367" s="117">
        <f t="shared" ref="C367:BN367" si="1124">C155/C$211</f>
        <v>0</v>
      </c>
      <c r="D367" s="117">
        <f t="shared" si="1124"/>
        <v>0.000615988662785015</v>
      </c>
      <c r="E367" s="117">
        <f t="shared" si="1124"/>
        <v>0.00212026423704732</v>
      </c>
      <c r="F367" s="117">
        <f t="shared" si="1124"/>
        <v>0.00116125322542738</v>
      </c>
      <c r="G367" s="117">
        <f t="shared" si="1124"/>
        <v>0.00082597924850035</v>
      </c>
      <c r="H367" s="117">
        <f t="shared" si="1124"/>
        <v>0.000677544997976325</v>
      </c>
      <c r="I367" s="117">
        <f t="shared" si="1124"/>
        <v>0.000510162359535623</v>
      </c>
      <c r="J367" s="117">
        <f t="shared" si="1124"/>
        <v>0.000284867422985656</v>
      </c>
      <c r="K367" s="117">
        <f t="shared" si="1124"/>
        <v>9.90991630050608e-5</v>
      </c>
      <c r="L367" s="117">
        <f t="shared" si="1124"/>
        <v>0.00129614817963754</v>
      </c>
      <c r="M367" s="117">
        <f t="shared" si="1124"/>
        <v>0.000451569967507629</v>
      </c>
      <c r="N367" s="117">
        <f t="shared" si="1124"/>
        <v>4.64653849415584e-5</v>
      </c>
      <c r="O367" s="9">
        <f t="shared" si="1124"/>
        <v>0.00064298604443113</v>
      </c>
      <c r="P367" s="117">
        <f t="shared" si="1124"/>
        <v>0</v>
      </c>
      <c r="Q367" s="117">
        <f t="shared" si="1124"/>
        <v>0.000124036392578795</v>
      </c>
      <c r="R367" s="117">
        <f t="shared" si="1124"/>
        <v>0.00101679013613238</v>
      </c>
      <c r="S367" s="117">
        <f t="shared" si="1124"/>
        <v>0.000777955725254053</v>
      </c>
      <c r="T367" s="117">
        <f t="shared" si="1124"/>
        <v>0.000361579856768555</v>
      </c>
      <c r="U367" s="117">
        <f t="shared" si="1124"/>
        <v>0.000264836252010718</v>
      </c>
      <c r="V367" s="117">
        <f t="shared" si="1124"/>
        <v>0.000237479615917369</v>
      </c>
      <c r="W367" s="117">
        <f t="shared" si="1124"/>
        <v>0</v>
      </c>
      <c r="X367" s="117">
        <f t="shared" si="1124"/>
        <v>0</v>
      </c>
      <c r="Y367" s="117">
        <f t="shared" si="1124"/>
        <v>0</v>
      </c>
      <c r="Z367" s="117">
        <f t="shared" si="1124"/>
        <v>0</v>
      </c>
      <c r="AA367" s="117">
        <f t="shared" si="1124"/>
        <v>0</v>
      </c>
      <c r="AB367" s="9">
        <f t="shared" si="1124"/>
        <v>0.000202735786827523</v>
      </c>
      <c r="AC367" s="117">
        <f t="shared" si="1124"/>
        <v>0</v>
      </c>
      <c r="AD367" s="117">
        <f t="shared" si="1124"/>
        <v>0.000168732077604081</v>
      </c>
      <c r="AE367" s="117">
        <f t="shared" si="1124"/>
        <v>0.000726103784870303</v>
      </c>
      <c r="AF367" s="117">
        <f t="shared" si="1124"/>
        <v>3.00549763376837e-5</v>
      </c>
      <c r="AG367" s="117">
        <f t="shared" si="1124"/>
        <v>0</v>
      </c>
      <c r="AH367" s="117">
        <f t="shared" si="1124"/>
        <v>0</v>
      </c>
      <c r="AI367" s="117">
        <f t="shared" si="1124"/>
        <v>0</v>
      </c>
      <c r="AJ367" s="117">
        <f t="shared" si="1124"/>
        <v>0</v>
      </c>
      <c r="AK367" s="117">
        <f t="shared" si="1124"/>
        <v>0</v>
      </c>
      <c r="AL367" s="117">
        <f t="shared" si="1124"/>
        <v>0</v>
      </c>
      <c r="AM367" s="117">
        <f t="shared" si="1124"/>
        <v>0</v>
      </c>
      <c r="AN367" s="117">
        <f t="shared" si="1124"/>
        <v>0</v>
      </c>
      <c r="AO367" s="9">
        <f t="shared" si="1124"/>
        <v>6.92507688495068e-5</v>
      </c>
      <c r="AP367" s="144">
        <f t="shared" si="1124"/>
        <v>0</v>
      </c>
      <c r="AQ367" s="144">
        <f t="shared" si="1124"/>
        <v>0</v>
      </c>
      <c r="AR367" s="144">
        <f t="shared" si="1124"/>
        <v>0</v>
      </c>
      <c r="AS367" s="144">
        <f t="shared" si="1124"/>
        <v>0</v>
      </c>
      <c r="AT367" s="144">
        <f t="shared" si="1124"/>
        <v>0</v>
      </c>
      <c r="AU367" s="144">
        <f t="shared" si="1124"/>
        <v>0</v>
      </c>
      <c r="AV367" s="144">
        <f t="shared" si="1124"/>
        <v>0</v>
      </c>
      <c r="AW367" s="144">
        <f t="shared" si="1124"/>
        <v>0</v>
      </c>
      <c r="AX367" s="144">
        <f t="shared" si="1124"/>
        <v>0</v>
      </c>
      <c r="AY367" s="144">
        <f t="shared" si="1124"/>
        <v>0</v>
      </c>
      <c r="AZ367" s="144">
        <f t="shared" si="1124"/>
        <v>0</v>
      </c>
      <c r="BA367" s="144">
        <f t="shared" si="1124"/>
        <v>0</v>
      </c>
      <c r="BB367" s="9">
        <f t="shared" si="1124"/>
        <v>0</v>
      </c>
      <c r="BC367" s="144">
        <f t="shared" si="1124"/>
        <v>0</v>
      </c>
      <c r="BD367" s="144">
        <f t="shared" si="1124"/>
        <v>0.00124726738369619</v>
      </c>
      <c r="BE367" s="144">
        <f t="shared" si="1124"/>
        <v>0.00611444160953266</v>
      </c>
      <c r="BF367" s="144">
        <f t="shared" si="1124"/>
        <v>0.00254777285074306</v>
      </c>
      <c r="BG367" s="144">
        <f t="shared" si="1124"/>
        <v>0.00205891895762722</v>
      </c>
      <c r="BH367" s="144">
        <f t="shared" si="1124"/>
        <v>0.00204965136468023</v>
      </c>
      <c r="BI367" s="144">
        <f t="shared" si="1124"/>
        <v>0.00168790267243974</v>
      </c>
      <c r="BJ367" s="144">
        <f t="shared" si="1124"/>
        <v>0.000294043857216607</v>
      </c>
      <c r="BK367" s="144">
        <f t="shared" si="1124"/>
        <v>0</v>
      </c>
      <c r="BL367" s="144">
        <f t="shared" si="1124"/>
        <v>0</v>
      </c>
      <c r="BM367" s="144">
        <f t="shared" si="1124"/>
        <v>0</v>
      </c>
      <c r="BN367" s="144">
        <f t="shared" si="1124"/>
        <v>0</v>
      </c>
      <c r="BO367" s="9">
        <f t="shared" ref="BO367:DZ367" si="1125">BO155/BO$211</f>
        <v>0.00115518415440637</v>
      </c>
      <c r="BP367" s="144">
        <f t="shared" si="1125"/>
        <v>0</v>
      </c>
      <c r="BQ367" s="144">
        <f t="shared" si="1125"/>
        <v>0.000663032803717998</v>
      </c>
      <c r="BR367" s="144">
        <f t="shared" si="1125"/>
        <v>0.00199729582945503</v>
      </c>
      <c r="BS367" s="144">
        <f t="shared" si="1125"/>
        <v>0.00106299713707625</v>
      </c>
      <c r="BT367" s="144">
        <f t="shared" si="1125"/>
        <v>0.000946625341775595</v>
      </c>
      <c r="BU367" s="144">
        <f t="shared" si="1125"/>
        <v>0.000703292471918025</v>
      </c>
      <c r="BV367" s="144">
        <f t="shared" si="1125"/>
        <v>0.000629454069752995</v>
      </c>
      <c r="BW367" s="144">
        <f t="shared" si="1125"/>
        <v>0.000482153633538607</v>
      </c>
      <c r="BX367" s="144">
        <f t="shared" si="1125"/>
        <v>0</v>
      </c>
      <c r="BY367" s="144">
        <f t="shared" si="1125"/>
        <v>0</v>
      </c>
      <c r="BZ367" s="144">
        <f t="shared" si="1125"/>
        <v>0</v>
      </c>
      <c r="CA367" s="144">
        <f t="shared" si="1125"/>
        <v>0</v>
      </c>
      <c r="CB367" s="9">
        <f t="shared" si="1125"/>
        <v>0.00052223329213689</v>
      </c>
      <c r="CC367" s="144">
        <f t="shared" si="1125"/>
        <v>0</v>
      </c>
      <c r="CD367" s="144">
        <f t="shared" si="1125"/>
        <v>0.000110345074868964</v>
      </c>
      <c r="CE367" s="144">
        <f t="shared" si="1125"/>
        <v>0.000537909200099003</v>
      </c>
      <c r="CF367" s="144">
        <f t="shared" si="1125"/>
        <v>0.000280726211304853</v>
      </c>
      <c r="CG367" s="144">
        <f t="shared" si="1125"/>
        <v>0.000449014125645379</v>
      </c>
      <c r="CH367" s="144">
        <f t="shared" si="1125"/>
        <v>0.000324316929880889</v>
      </c>
      <c r="CI367" s="144">
        <f t="shared" si="1125"/>
        <v>0.000335558045267621</v>
      </c>
      <c r="CJ367" s="144">
        <f t="shared" si="1125"/>
        <v>0.000317507772944445</v>
      </c>
      <c r="CK367" s="144">
        <f t="shared" si="1125"/>
        <v>8.54286017525934e-5</v>
      </c>
      <c r="CL367" s="144">
        <f t="shared" si="1125"/>
        <v>8.1416728227766e-5</v>
      </c>
      <c r="CM367" s="144">
        <f t="shared" si="1125"/>
        <v>8.83972246835329e-5</v>
      </c>
      <c r="CN367" s="144">
        <f t="shared" si="1125"/>
        <v>0.000102846080824811</v>
      </c>
      <c r="CO367" s="9">
        <f t="shared" si="1125"/>
        <v>0.000216001338920785</v>
      </c>
      <c r="CP367" s="144">
        <f t="shared" si="1125"/>
        <v>0</v>
      </c>
      <c r="CQ367" s="144">
        <f t="shared" si="1125"/>
        <v>0.000808755958738869</v>
      </c>
      <c r="CR367" s="144">
        <f t="shared" si="1125"/>
        <v>0.00368620420101445</v>
      </c>
      <c r="CS367" s="144">
        <f t="shared" si="1125"/>
        <v>0.00164161891992919</v>
      </c>
      <c r="CT367" s="144">
        <f t="shared" si="1125"/>
        <v>0.00104636304419018</v>
      </c>
      <c r="CU367" s="144">
        <f t="shared" si="1125"/>
        <v>0.000936011106852595</v>
      </c>
      <c r="CV367" s="144">
        <f t="shared" si="1125"/>
        <v>0.00086736129189836</v>
      </c>
      <c r="CW367" s="144">
        <f t="shared" si="1125"/>
        <v>0.000812618394055323</v>
      </c>
      <c r="CX367" s="144">
        <f t="shared" si="1125"/>
        <v>0</v>
      </c>
      <c r="CY367" s="144">
        <f t="shared" si="1125"/>
        <v>0</v>
      </c>
      <c r="CZ367" s="144">
        <f t="shared" si="1125"/>
        <v>0</v>
      </c>
      <c r="DA367" s="144">
        <f t="shared" si="1125"/>
        <v>0</v>
      </c>
      <c r="DB367" s="9">
        <f t="shared" si="1125"/>
        <v>0.000795546875178831</v>
      </c>
      <c r="DC367" s="144">
        <f t="shared" si="1125"/>
        <v>0</v>
      </c>
      <c r="DD367" s="144">
        <f t="shared" si="1125"/>
        <v>0.000593373720219178</v>
      </c>
      <c r="DE367" s="144">
        <f t="shared" si="1125"/>
        <v>0.00352167843112886</v>
      </c>
      <c r="DF367" s="144">
        <f t="shared" si="1125"/>
        <v>0.00217490030851791</v>
      </c>
      <c r="DG367" s="144">
        <f t="shared" si="1125"/>
        <v>0.000880948204027976</v>
      </c>
      <c r="DH367" s="144">
        <f t="shared" si="1125"/>
        <v>0.000911672044699824</v>
      </c>
      <c r="DI367" s="144">
        <f t="shared" si="1125"/>
        <v>0.000586124355342846</v>
      </c>
      <c r="DJ367" s="144">
        <f t="shared" si="1125"/>
        <v>0.000286244005037618</v>
      </c>
      <c r="DK367" s="144">
        <f t="shared" si="1125"/>
        <v>0.000286526407145719</v>
      </c>
      <c r="DL367" s="144">
        <f t="shared" si="1125"/>
        <v>0.000283096183295889</v>
      </c>
      <c r="DM367" s="144">
        <f t="shared" si="1125"/>
        <v>0.000314806034998979</v>
      </c>
      <c r="DN367" s="144">
        <f t="shared" si="1125"/>
        <v>0.000285303755465738</v>
      </c>
      <c r="DO367" s="9">
        <f t="shared" si="1125"/>
        <v>0.000802547517835027</v>
      </c>
      <c r="DP367" s="144">
        <f t="shared" si="1125"/>
        <v>0</v>
      </c>
      <c r="DQ367" s="144">
        <f t="shared" si="1125"/>
        <v>0</v>
      </c>
      <c r="DR367" s="144">
        <f t="shared" si="1125"/>
        <v>0.00285270047615055</v>
      </c>
      <c r="DS367" s="144">
        <f t="shared" si="1125"/>
        <v>0.00412688296430161</v>
      </c>
      <c r="DT367" s="144">
        <f t="shared" si="1125"/>
        <v>0.00259352902454833</v>
      </c>
      <c r="DU367" s="144">
        <f t="shared" si="1125"/>
        <v>0.00181291029472204</v>
      </c>
      <c r="DV367" s="144">
        <f t="shared" si="1125"/>
        <v>0.000971036108521851</v>
      </c>
      <c r="DW367" s="144">
        <f t="shared" si="1125"/>
        <v>0.000568419725885308</v>
      </c>
      <c r="DX367" s="144">
        <f t="shared" si="1125"/>
        <v>0.000303750688185153</v>
      </c>
      <c r="DY367" s="144">
        <f t="shared" si="1125"/>
        <v>0.000190545553090225</v>
      </c>
      <c r="DZ367" s="144">
        <f t="shared" si="1125"/>
        <v>0</v>
      </c>
      <c r="EA367" s="144">
        <f t="shared" ref="EA367:GB367" si="1126">EA155/EA$211</f>
        <v>0</v>
      </c>
      <c r="EB367" s="117">
        <f t="shared" si="1126"/>
        <v>0.00109350744884193</v>
      </c>
      <c r="EC367" s="118"/>
      <c r="ED367" s="117">
        <f t="shared" ref="ED367:FB367" si="1127">ED155/ED$211</f>
        <v>0</v>
      </c>
      <c r="EE367" s="117">
        <f t="shared" si="1127"/>
        <v>0</v>
      </c>
      <c r="EF367" s="117">
        <f t="shared" si="1127"/>
        <v>0</v>
      </c>
      <c r="EG367" s="117" t="e">
        <f t="shared" si="1127"/>
        <v>#DIV/0!</v>
      </c>
      <c r="EH367" s="117" t="e">
        <f t="shared" si="1127"/>
        <v>#DIV/0!</v>
      </c>
      <c r="EI367" s="117" t="e">
        <f t="shared" si="1127"/>
        <v>#DIV/0!</v>
      </c>
      <c r="EJ367" s="117" t="e">
        <f t="shared" si="1127"/>
        <v>#DIV/0!</v>
      </c>
      <c r="EK367" s="117" t="e">
        <f t="shared" si="1127"/>
        <v>#DIV/0!</v>
      </c>
      <c r="EL367" s="117" t="e">
        <f t="shared" si="1127"/>
        <v>#DIV/0!</v>
      </c>
      <c r="EM367" s="117" t="e">
        <f t="shared" si="1127"/>
        <v>#DIV/0!</v>
      </c>
      <c r="EN367" s="117" t="e">
        <f t="shared" si="1127"/>
        <v>#DIV/0!</v>
      </c>
      <c r="EO367" s="116">
        <f t="shared" si="1127"/>
        <v>0</v>
      </c>
      <c r="EP367" s="117">
        <f t="shared" si="1127"/>
        <v>0</v>
      </c>
      <c r="EQ367" s="117">
        <f t="shared" si="1127"/>
        <v>0.00120031521844199</v>
      </c>
      <c r="ER367" s="117">
        <f t="shared" si="1127"/>
        <v>0.00123862059692892</v>
      </c>
      <c r="ES367" s="117">
        <f t="shared" si="1127"/>
        <v>0</v>
      </c>
      <c r="ET367" s="117">
        <f t="shared" si="1127"/>
        <v>0</v>
      </c>
      <c r="EU367" s="117">
        <f t="shared" si="1127"/>
        <v>0</v>
      </c>
      <c r="EV367" s="117">
        <f t="shared" si="1127"/>
        <v>0</v>
      </c>
      <c r="EW367" s="117">
        <f t="shared" si="1127"/>
        <v>0</v>
      </c>
      <c r="EX367" s="117">
        <f t="shared" si="1127"/>
        <v>0</v>
      </c>
      <c r="EY367" s="117">
        <f t="shared" si="1127"/>
        <v>0</v>
      </c>
      <c r="EZ367" s="117">
        <f t="shared" si="1127"/>
        <v>0</v>
      </c>
      <c r="FA367" s="117">
        <f t="shared" si="1127"/>
        <v>0</v>
      </c>
      <c r="FB367" s="117">
        <f t="shared" si="1127"/>
        <v>0.000204729429245421</v>
      </c>
      <c r="FC367" s="118"/>
      <c r="FD367" s="117"/>
      <c r="FE367" s="117"/>
      <c r="FF367" s="117"/>
      <c r="FG367" s="117"/>
      <c r="FH367" s="117"/>
      <c r="FI367" s="117"/>
      <c r="FJ367" s="117"/>
      <c r="FK367" s="117" t="e">
        <f t="shared" si="991"/>
        <v>#DIV/0!</v>
      </c>
      <c r="FL367" s="117" t="e">
        <f t="shared" si="992"/>
        <v>#DIV/0!</v>
      </c>
      <c r="FM367" s="117" t="e">
        <f t="shared" si="993"/>
        <v>#DIV/0!</v>
      </c>
      <c r="FN367" s="117" t="e">
        <f t="shared" si="994"/>
        <v>#DIV/0!</v>
      </c>
      <c r="FO367" s="9" t="e">
        <f t="shared" si="995"/>
        <v>#DIV/0!</v>
      </c>
      <c r="FP367" s="118">
        <f t="shared" si="1126"/>
        <v>0</v>
      </c>
      <c r="FQ367" s="117">
        <f t="shared" si="1126"/>
        <v>0.000961717263397515</v>
      </c>
      <c r="FR367" s="117">
        <f t="shared" si="1126"/>
        <v>0.0022091568940299</v>
      </c>
      <c r="FS367" s="117">
        <f t="shared" si="1126"/>
        <v>0.000633144428065593</v>
      </c>
      <c r="FT367" s="117">
        <f t="shared" si="1126"/>
        <v>0.000539334932481286</v>
      </c>
      <c r="FU367" s="117">
        <f t="shared" si="1126"/>
        <v>0.000513641002997563</v>
      </c>
      <c r="FV367" s="117">
        <f t="shared" si="1126"/>
        <v>0.000350223690578215</v>
      </c>
      <c r="FW367" s="117">
        <f t="shared" si="1126"/>
        <v>0.000294797222692782</v>
      </c>
      <c r="FX367" s="117">
        <f t="shared" si="1126"/>
        <v>0.00033279005185117</v>
      </c>
      <c r="FY367" s="117">
        <f t="shared" si="1126"/>
        <v>0.00543125419250655</v>
      </c>
      <c r="FZ367" s="117">
        <f t="shared" si="1126"/>
        <v>0.00178763271263546</v>
      </c>
      <c r="GA367" s="117">
        <f t="shared" si="1126"/>
        <v>0.000154393614684727</v>
      </c>
      <c r="GB367" s="116">
        <f t="shared" si="1126"/>
        <v>0.00109684305947746</v>
      </c>
    </row>
    <row r="368" spans="1:184">
      <c r="A368" s="147" t="s">
        <v>327</v>
      </c>
      <c r="B368" s="160" t="e">
        <f t="shared" si="997"/>
        <v>#DIV/0!</v>
      </c>
      <c r="C368" s="117">
        <f t="shared" ref="C368:BN368" si="1128">C156/C$211</f>
        <v>0</v>
      </c>
      <c r="D368" s="117">
        <f t="shared" si="1128"/>
        <v>0</v>
      </c>
      <c r="E368" s="117">
        <f t="shared" si="1128"/>
        <v>0</v>
      </c>
      <c r="F368" s="117">
        <f t="shared" si="1128"/>
        <v>0</v>
      </c>
      <c r="G368" s="117">
        <f t="shared" si="1128"/>
        <v>0</v>
      </c>
      <c r="H368" s="117">
        <f t="shared" si="1128"/>
        <v>0</v>
      </c>
      <c r="I368" s="117">
        <f t="shared" si="1128"/>
        <v>0</v>
      </c>
      <c r="J368" s="117">
        <f t="shared" si="1128"/>
        <v>0</v>
      </c>
      <c r="K368" s="117">
        <f t="shared" si="1128"/>
        <v>0</v>
      </c>
      <c r="L368" s="117">
        <f t="shared" si="1128"/>
        <v>0</v>
      </c>
      <c r="M368" s="117">
        <f t="shared" si="1128"/>
        <v>0</v>
      </c>
      <c r="N368" s="117">
        <f t="shared" si="1128"/>
        <v>0</v>
      </c>
      <c r="O368" s="9">
        <f t="shared" si="1128"/>
        <v>0</v>
      </c>
      <c r="P368" s="117">
        <f t="shared" si="1128"/>
        <v>0</v>
      </c>
      <c r="Q368" s="117">
        <f t="shared" si="1128"/>
        <v>0</v>
      </c>
      <c r="R368" s="117">
        <f t="shared" si="1128"/>
        <v>0</v>
      </c>
      <c r="S368" s="117">
        <f t="shared" si="1128"/>
        <v>0</v>
      </c>
      <c r="T368" s="117">
        <f t="shared" si="1128"/>
        <v>0</v>
      </c>
      <c r="U368" s="117">
        <f t="shared" si="1128"/>
        <v>0</v>
      </c>
      <c r="V368" s="117">
        <f t="shared" si="1128"/>
        <v>0</v>
      </c>
      <c r="W368" s="117">
        <f t="shared" si="1128"/>
        <v>0</v>
      </c>
      <c r="X368" s="117">
        <f t="shared" si="1128"/>
        <v>0</v>
      </c>
      <c r="Y368" s="117">
        <f t="shared" si="1128"/>
        <v>0</v>
      </c>
      <c r="Z368" s="117">
        <f t="shared" si="1128"/>
        <v>0</v>
      </c>
      <c r="AA368" s="117">
        <f t="shared" si="1128"/>
        <v>0</v>
      </c>
      <c r="AB368" s="9">
        <f t="shared" si="1128"/>
        <v>0</v>
      </c>
      <c r="AC368" s="117">
        <f t="shared" si="1128"/>
        <v>0</v>
      </c>
      <c r="AD368" s="117">
        <f t="shared" si="1128"/>
        <v>0</v>
      </c>
      <c r="AE368" s="117">
        <f t="shared" si="1128"/>
        <v>0</v>
      </c>
      <c r="AF368" s="117">
        <f t="shared" si="1128"/>
        <v>0</v>
      </c>
      <c r="AG368" s="117">
        <f t="shared" si="1128"/>
        <v>0</v>
      </c>
      <c r="AH368" s="117">
        <f t="shared" si="1128"/>
        <v>0</v>
      </c>
      <c r="AI368" s="117">
        <f t="shared" si="1128"/>
        <v>0</v>
      </c>
      <c r="AJ368" s="117">
        <f t="shared" si="1128"/>
        <v>0</v>
      </c>
      <c r="AK368" s="117">
        <f t="shared" si="1128"/>
        <v>0</v>
      </c>
      <c r="AL368" s="117">
        <f t="shared" si="1128"/>
        <v>0</v>
      </c>
      <c r="AM368" s="117">
        <f t="shared" si="1128"/>
        <v>0</v>
      </c>
      <c r="AN368" s="117">
        <f t="shared" si="1128"/>
        <v>0</v>
      </c>
      <c r="AO368" s="9">
        <f t="shared" si="1128"/>
        <v>0</v>
      </c>
      <c r="AP368" s="144">
        <f t="shared" si="1128"/>
        <v>0</v>
      </c>
      <c r="AQ368" s="144">
        <f t="shared" si="1128"/>
        <v>0</v>
      </c>
      <c r="AR368" s="144">
        <f t="shared" si="1128"/>
        <v>0</v>
      </c>
      <c r="AS368" s="144">
        <f t="shared" si="1128"/>
        <v>0</v>
      </c>
      <c r="AT368" s="144">
        <f t="shared" si="1128"/>
        <v>0</v>
      </c>
      <c r="AU368" s="144">
        <f t="shared" si="1128"/>
        <v>0</v>
      </c>
      <c r="AV368" s="144">
        <f t="shared" si="1128"/>
        <v>0</v>
      </c>
      <c r="AW368" s="144">
        <f t="shared" si="1128"/>
        <v>0</v>
      </c>
      <c r="AX368" s="144">
        <f t="shared" si="1128"/>
        <v>0</v>
      </c>
      <c r="AY368" s="144">
        <f t="shared" si="1128"/>
        <v>0</v>
      </c>
      <c r="AZ368" s="144">
        <f t="shared" si="1128"/>
        <v>0</v>
      </c>
      <c r="BA368" s="144">
        <f t="shared" si="1128"/>
        <v>0</v>
      </c>
      <c r="BB368" s="9">
        <f t="shared" si="1128"/>
        <v>0</v>
      </c>
      <c r="BC368" s="144">
        <f t="shared" si="1128"/>
        <v>0</v>
      </c>
      <c r="BD368" s="144">
        <f t="shared" si="1128"/>
        <v>0</v>
      </c>
      <c r="BE368" s="144">
        <f t="shared" si="1128"/>
        <v>0</v>
      </c>
      <c r="BF368" s="144">
        <f t="shared" si="1128"/>
        <v>0</v>
      </c>
      <c r="BG368" s="144">
        <f t="shared" si="1128"/>
        <v>0</v>
      </c>
      <c r="BH368" s="144">
        <f t="shared" si="1128"/>
        <v>0</v>
      </c>
      <c r="BI368" s="144">
        <f t="shared" si="1128"/>
        <v>0</v>
      </c>
      <c r="BJ368" s="144">
        <f t="shared" si="1128"/>
        <v>0</v>
      </c>
      <c r="BK368" s="144">
        <f t="shared" si="1128"/>
        <v>0</v>
      </c>
      <c r="BL368" s="144">
        <f t="shared" si="1128"/>
        <v>0</v>
      </c>
      <c r="BM368" s="144">
        <f t="shared" si="1128"/>
        <v>0</v>
      </c>
      <c r="BN368" s="144">
        <f t="shared" si="1128"/>
        <v>0</v>
      </c>
      <c r="BO368" s="9">
        <f t="shared" ref="BO368:DZ368" si="1129">BO156/BO$211</f>
        <v>0</v>
      </c>
      <c r="BP368" s="144">
        <f t="shared" si="1129"/>
        <v>0</v>
      </c>
      <c r="BQ368" s="144">
        <f t="shared" si="1129"/>
        <v>0</v>
      </c>
      <c r="BR368" s="144">
        <f t="shared" si="1129"/>
        <v>0</v>
      </c>
      <c r="BS368" s="144">
        <f t="shared" si="1129"/>
        <v>0</v>
      </c>
      <c r="BT368" s="144">
        <f t="shared" si="1129"/>
        <v>0</v>
      </c>
      <c r="BU368" s="144">
        <f t="shared" si="1129"/>
        <v>0</v>
      </c>
      <c r="BV368" s="144">
        <f t="shared" si="1129"/>
        <v>0</v>
      </c>
      <c r="BW368" s="144">
        <f t="shared" si="1129"/>
        <v>0</v>
      </c>
      <c r="BX368" s="144">
        <f t="shared" si="1129"/>
        <v>0</v>
      </c>
      <c r="BY368" s="144">
        <f t="shared" si="1129"/>
        <v>0</v>
      </c>
      <c r="BZ368" s="144">
        <f t="shared" si="1129"/>
        <v>0</v>
      </c>
      <c r="CA368" s="144">
        <f t="shared" si="1129"/>
        <v>0</v>
      </c>
      <c r="CB368" s="9">
        <f t="shared" si="1129"/>
        <v>0</v>
      </c>
      <c r="CC368" s="144">
        <f t="shared" si="1129"/>
        <v>0</v>
      </c>
      <c r="CD368" s="144">
        <f t="shared" si="1129"/>
        <v>0</v>
      </c>
      <c r="CE368" s="144">
        <f t="shared" si="1129"/>
        <v>0</v>
      </c>
      <c r="CF368" s="144">
        <f t="shared" si="1129"/>
        <v>0</v>
      </c>
      <c r="CG368" s="144">
        <f t="shared" si="1129"/>
        <v>0</v>
      </c>
      <c r="CH368" s="144">
        <f t="shared" si="1129"/>
        <v>0</v>
      </c>
      <c r="CI368" s="144">
        <f t="shared" si="1129"/>
        <v>0</v>
      </c>
      <c r="CJ368" s="144">
        <f t="shared" si="1129"/>
        <v>0</v>
      </c>
      <c r="CK368" s="144">
        <f t="shared" si="1129"/>
        <v>0</v>
      </c>
      <c r="CL368" s="144">
        <f t="shared" si="1129"/>
        <v>0</v>
      </c>
      <c r="CM368" s="144">
        <f t="shared" si="1129"/>
        <v>0</v>
      </c>
      <c r="CN368" s="144">
        <f t="shared" si="1129"/>
        <v>0</v>
      </c>
      <c r="CO368" s="9">
        <f t="shared" si="1129"/>
        <v>0</v>
      </c>
      <c r="CP368" s="144">
        <f t="shared" si="1129"/>
        <v>0</v>
      </c>
      <c r="CQ368" s="144">
        <f t="shared" si="1129"/>
        <v>0</v>
      </c>
      <c r="CR368" s="144">
        <f t="shared" si="1129"/>
        <v>0</v>
      </c>
      <c r="CS368" s="144">
        <f t="shared" si="1129"/>
        <v>0</v>
      </c>
      <c r="CT368" s="144">
        <f t="shared" si="1129"/>
        <v>0</v>
      </c>
      <c r="CU368" s="144">
        <f t="shared" si="1129"/>
        <v>0</v>
      </c>
      <c r="CV368" s="144">
        <f t="shared" si="1129"/>
        <v>0</v>
      </c>
      <c r="CW368" s="144">
        <f t="shared" si="1129"/>
        <v>0</v>
      </c>
      <c r="CX368" s="144">
        <f t="shared" si="1129"/>
        <v>0</v>
      </c>
      <c r="CY368" s="144">
        <f t="shared" si="1129"/>
        <v>0</v>
      </c>
      <c r="CZ368" s="144">
        <f t="shared" si="1129"/>
        <v>0</v>
      </c>
      <c r="DA368" s="144">
        <f t="shared" si="1129"/>
        <v>0</v>
      </c>
      <c r="DB368" s="9">
        <f t="shared" si="1129"/>
        <v>0</v>
      </c>
      <c r="DC368" s="144">
        <f t="shared" si="1129"/>
        <v>0</v>
      </c>
      <c r="DD368" s="144">
        <f t="shared" si="1129"/>
        <v>0</v>
      </c>
      <c r="DE368" s="144">
        <f t="shared" si="1129"/>
        <v>0</v>
      </c>
      <c r="DF368" s="144">
        <f t="shared" si="1129"/>
        <v>0</v>
      </c>
      <c r="DG368" s="144">
        <f t="shared" si="1129"/>
        <v>0</v>
      </c>
      <c r="DH368" s="144">
        <f t="shared" si="1129"/>
        <v>0</v>
      </c>
      <c r="DI368" s="144">
        <f t="shared" si="1129"/>
        <v>0</v>
      </c>
      <c r="DJ368" s="144">
        <f t="shared" si="1129"/>
        <v>0</v>
      </c>
      <c r="DK368" s="144">
        <f t="shared" si="1129"/>
        <v>0</v>
      </c>
      <c r="DL368" s="144">
        <f t="shared" si="1129"/>
        <v>0</v>
      </c>
      <c r="DM368" s="144">
        <f t="shared" si="1129"/>
        <v>0</v>
      </c>
      <c r="DN368" s="144">
        <f t="shared" si="1129"/>
        <v>0</v>
      </c>
      <c r="DO368" s="9">
        <f t="shared" si="1129"/>
        <v>0</v>
      </c>
      <c r="DP368" s="144">
        <f t="shared" si="1129"/>
        <v>0</v>
      </c>
      <c r="DQ368" s="144">
        <f t="shared" si="1129"/>
        <v>0</v>
      </c>
      <c r="DR368" s="144">
        <f t="shared" si="1129"/>
        <v>0</v>
      </c>
      <c r="DS368" s="144">
        <f t="shared" si="1129"/>
        <v>0</v>
      </c>
      <c r="DT368" s="144">
        <f t="shared" si="1129"/>
        <v>0</v>
      </c>
      <c r="DU368" s="144">
        <f t="shared" si="1129"/>
        <v>0</v>
      </c>
      <c r="DV368" s="144">
        <f t="shared" si="1129"/>
        <v>0</v>
      </c>
      <c r="DW368" s="144">
        <f t="shared" si="1129"/>
        <v>0</v>
      </c>
      <c r="DX368" s="144">
        <f t="shared" si="1129"/>
        <v>0</v>
      </c>
      <c r="DY368" s="144">
        <f t="shared" si="1129"/>
        <v>0</v>
      </c>
      <c r="DZ368" s="144">
        <f t="shared" si="1129"/>
        <v>0</v>
      </c>
      <c r="EA368" s="144">
        <f t="shared" ref="EA368:GB368" si="1130">EA156/EA$211</f>
        <v>0</v>
      </c>
      <c r="EB368" s="117">
        <f t="shared" si="1130"/>
        <v>0</v>
      </c>
      <c r="EC368" s="118"/>
      <c r="ED368" s="117">
        <f t="shared" ref="ED368:FB368" si="1131">ED156/ED$211</f>
        <v>0</v>
      </c>
      <c r="EE368" s="117">
        <f t="shared" si="1131"/>
        <v>0</v>
      </c>
      <c r="EF368" s="117">
        <f t="shared" si="1131"/>
        <v>0</v>
      </c>
      <c r="EG368" s="117" t="e">
        <f t="shared" si="1131"/>
        <v>#DIV/0!</v>
      </c>
      <c r="EH368" s="117" t="e">
        <f t="shared" si="1131"/>
        <v>#DIV/0!</v>
      </c>
      <c r="EI368" s="117" t="e">
        <f t="shared" si="1131"/>
        <v>#DIV/0!</v>
      </c>
      <c r="EJ368" s="117" t="e">
        <f t="shared" si="1131"/>
        <v>#DIV/0!</v>
      </c>
      <c r="EK368" s="117" t="e">
        <f t="shared" si="1131"/>
        <v>#DIV/0!</v>
      </c>
      <c r="EL368" s="117" t="e">
        <f t="shared" si="1131"/>
        <v>#DIV/0!</v>
      </c>
      <c r="EM368" s="117" t="e">
        <f t="shared" si="1131"/>
        <v>#DIV/0!</v>
      </c>
      <c r="EN368" s="117" t="e">
        <f t="shared" si="1131"/>
        <v>#DIV/0!</v>
      </c>
      <c r="EO368" s="116">
        <f t="shared" si="1131"/>
        <v>0</v>
      </c>
      <c r="EP368" s="117">
        <f t="shared" si="1131"/>
        <v>0</v>
      </c>
      <c r="EQ368" s="117">
        <f t="shared" si="1131"/>
        <v>0</v>
      </c>
      <c r="ER368" s="117">
        <f t="shared" si="1131"/>
        <v>0</v>
      </c>
      <c r="ES368" s="117">
        <f t="shared" si="1131"/>
        <v>0</v>
      </c>
      <c r="ET368" s="117">
        <f t="shared" si="1131"/>
        <v>0</v>
      </c>
      <c r="EU368" s="117">
        <f t="shared" si="1131"/>
        <v>0</v>
      </c>
      <c r="EV368" s="117">
        <f t="shared" si="1131"/>
        <v>0</v>
      </c>
      <c r="EW368" s="117">
        <f t="shared" si="1131"/>
        <v>0</v>
      </c>
      <c r="EX368" s="117">
        <f t="shared" si="1131"/>
        <v>0</v>
      </c>
      <c r="EY368" s="117">
        <f t="shared" si="1131"/>
        <v>0</v>
      </c>
      <c r="EZ368" s="117">
        <f t="shared" si="1131"/>
        <v>0</v>
      </c>
      <c r="FA368" s="117">
        <f t="shared" si="1131"/>
        <v>0</v>
      </c>
      <c r="FB368" s="117">
        <f t="shared" si="1131"/>
        <v>0</v>
      </c>
      <c r="FC368" s="118"/>
      <c r="FD368" s="117"/>
      <c r="FE368" s="117"/>
      <c r="FF368" s="117"/>
      <c r="FG368" s="117"/>
      <c r="FH368" s="117"/>
      <c r="FI368" s="117"/>
      <c r="FJ368" s="117"/>
      <c r="FK368" s="117" t="e">
        <f t="shared" si="991"/>
        <v>#DIV/0!</v>
      </c>
      <c r="FL368" s="117" t="e">
        <f t="shared" si="992"/>
        <v>#DIV/0!</v>
      </c>
      <c r="FM368" s="117" t="e">
        <f t="shared" si="993"/>
        <v>#DIV/0!</v>
      </c>
      <c r="FN368" s="117" t="e">
        <f t="shared" si="994"/>
        <v>#DIV/0!</v>
      </c>
      <c r="FO368" s="9" t="e">
        <f t="shared" si="995"/>
        <v>#DIV/0!</v>
      </c>
      <c r="FP368" s="118">
        <f t="shared" si="1130"/>
        <v>0</v>
      </c>
      <c r="FQ368" s="117">
        <f t="shared" si="1130"/>
        <v>0</v>
      </c>
      <c r="FR368" s="117">
        <f t="shared" si="1130"/>
        <v>0</v>
      </c>
      <c r="FS368" s="117">
        <f t="shared" si="1130"/>
        <v>0</v>
      </c>
      <c r="FT368" s="117">
        <f t="shared" si="1130"/>
        <v>0</v>
      </c>
      <c r="FU368" s="117">
        <f t="shared" si="1130"/>
        <v>0</v>
      </c>
      <c r="FV368" s="117">
        <f t="shared" si="1130"/>
        <v>0</v>
      </c>
      <c r="FW368" s="117">
        <f t="shared" si="1130"/>
        <v>0</v>
      </c>
      <c r="FX368" s="117">
        <f t="shared" si="1130"/>
        <v>0</v>
      </c>
      <c r="FY368" s="117">
        <f t="shared" si="1130"/>
        <v>0</v>
      </c>
      <c r="FZ368" s="117">
        <f t="shared" si="1130"/>
        <v>0</v>
      </c>
      <c r="GA368" s="117">
        <f t="shared" si="1130"/>
        <v>0</v>
      </c>
      <c r="GB368" s="116">
        <f t="shared" si="1130"/>
        <v>0</v>
      </c>
    </row>
    <row r="369" spans="1:184">
      <c r="A369" s="147" t="s">
        <v>328</v>
      </c>
      <c r="B369" s="160" t="e">
        <f t="shared" si="997"/>
        <v>#DIV/0!</v>
      </c>
      <c r="C369" s="117">
        <f t="shared" ref="C369:BN369" si="1132">C157/C$211</f>
        <v>0</v>
      </c>
      <c r="D369" s="117">
        <f t="shared" si="1132"/>
        <v>0</v>
      </c>
      <c r="E369" s="117">
        <f t="shared" si="1132"/>
        <v>0</v>
      </c>
      <c r="F369" s="117">
        <f t="shared" si="1132"/>
        <v>0</v>
      </c>
      <c r="G369" s="117">
        <f t="shared" si="1132"/>
        <v>0</v>
      </c>
      <c r="H369" s="117">
        <f t="shared" si="1132"/>
        <v>0</v>
      </c>
      <c r="I369" s="117">
        <f t="shared" si="1132"/>
        <v>0</v>
      </c>
      <c r="J369" s="117">
        <f t="shared" si="1132"/>
        <v>0</v>
      </c>
      <c r="K369" s="117">
        <f t="shared" si="1132"/>
        <v>0</v>
      </c>
      <c r="L369" s="117">
        <f t="shared" si="1132"/>
        <v>0</v>
      </c>
      <c r="M369" s="117">
        <f t="shared" si="1132"/>
        <v>0</v>
      </c>
      <c r="N369" s="117">
        <f t="shared" si="1132"/>
        <v>0</v>
      </c>
      <c r="O369" s="9">
        <f t="shared" si="1132"/>
        <v>0</v>
      </c>
      <c r="P369" s="117">
        <f t="shared" si="1132"/>
        <v>0</v>
      </c>
      <c r="Q369" s="117">
        <f t="shared" si="1132"/>
        <v>0</v>
      </c>
      <c r="R369" s="117">
        <f t="shared" si="1132"/>
        <v>0</v>
      </c>
      <c r="S369" s="117">
        <f t="shared" si="1132"/>
        <v>0</v>
      </c>
      <c r="T369" s="117">
        <f t="shared" si="1132"/>
        <v>0</v>
      </c>
      <c r="U369" s="117">
        <f t="shared" si="1132"/>
        <v>0</v>
      </c>
      <c r="V369" s="117">
        <f t="shared" si="1132"/>
        <v>0</v>
      </c>
      <c r="W369" s="117">
        <f t="shared" si="1132"/>
        <v>0</v>
      </c>
      <c r="X369" s="117">
        <f t="shared" si="1132"/>
        <v>0</v>
      </c>
      <c r="Y369" s="117">
        <f t="shared" si="1132"/>
        <v>0</v>
      </c>
      <c r="Z369" s="117">
        <f t="shared" si="1132"/>
        <v>0</v>
      </c>
      <c r="AA369" s="117">
        <f t="shared" si="1132"/>
        <v>0</v>
      </c>
      <c r="AB369" s="9">
        <f t="shared" si="1132"/>
        <v>0</v>
      </c>
      <c r="AC369" s="117">
        <f t="shared" si="1132"/>
        <v>0</v>
      </c>
      <c r="AD369" s="117">
        <f t="shared" si="1132"/>
        <v>0</v>
      </c>
      <c r="AE369" s="117">
        <f t="shared" si="1132"/>
        <v>0</v>
      </c>
      <c r="AF369" s="117">
        <f t="shared" si="1132"/>
        <v>0</v>
      </c>
      <c r="AG369" s="117">
        <f t="shared" si="1132"/>
        <v>0</v>
      </c>
      <c r="AH369" s="117">
        <f t="shared" si="1132"/>
        <v>0</v>
      </c>
      <c r="AI369" s="117">
        <f t="shared" si="1132"/>
        <v>0</v>
      </c>
      <c r="AJ369" s="117">
        <f t="shared" si="1132"/>
        <v>0</v>
      </c>
      <c r="AK369" s="117">
        <f t="shared" si="1132"/>
        <v>0</v>
      </c>
      <c r="AL369" s="117">
        <f t="shared" si="1132"/>
        <v>0</v>
      </c>
      <c r="AM369" s="117">
        <f t="shared" si="1132"/>
        <v>0</v>
      </c>
      <c r="AN369" s="117">
        <f t="shared" si="1132"/>
        <v>0</v>
      </c>
      <c r="AO369" s="9">
        <f t="shared" si="1132"/>
        <v>0</v>
      </c>
      <c r="AP369" s="144">
        <f t="shared" si="1132"/>
        <v>0</v>
      </c>
      <c r="AQ369" s="144">
        <f t="shared" si="1132"/>
        <v>0</v>
      </c>
      <c r="AR369" s="144">
        <f t="shared" si="1132"/>
        <v>0</v>
      </c>
      <c r="AS369" s="144">
        <f t="shared" si="1132"/>
        <v>0</v>
      </c>
      <c r="AT369" s="144">
        <f t="shared" si="1132"/>
        <v>0</v>
      </c>
      <c r="AU369" s="144">
        <f t="shared" si="1132"/>
        <v>0</v>
      </c>
      <c r="AV369" s="144">
        <f t="shared" si="1132"/>
        <v>0</v>
      </c>
      <c r="AW369" s="144">
        <f t="shared" si="1132"/>
        <v>0</v>
      </c>
      <c r="AX369" s="144">
        <f t="shared" si="1132"/>
        <v>0</v>
      </c>
      <c r="AY369" s="144">
        <f t="shared" si="1132"/>
        <v>0</v>
      </c>
      <c r="AZ369" s="144">
        <f t="shared" si="1132"/>
        <v>0</v>
      </c>
      <c r="BA369" s="144">
        <f t="shared" si="1132"/>
        <v>0</v>
      </c>
      <c r="BB369" s="9">
        <f t="shared" si="1132"/>
        <v>0</v>
      </c>
      <c r="BC369" s="144">
        <f t="shared" si="1132"/>
        <v>0</v>
      </c>
      <c r="BD369" s="144">
        <f t="shared" si="1132"/>
        <v>0</v>
      </c>
      <c r="BE369" s="144">
        <f t="shared" si="1132"/>
        <v>0</v>
      </c>
      <c r="BF369" s="144">
        <f t="shared" si="1132"/>
        <v>0</v>
      </c>
      <c r="BG369" s="144">
        <f t="shared" si="1132"/>
        <v>0</v>
      </c>
      <c r="BH369" s="144">
        <f t="shared" si="1132"/>
        <v>0</v>
      </c>
      <c r="BI369" s="144">
        <f t="shared" si="1132"/>
        <v>0</v>
      </c>
      <c r="BJ369" s="144">
        <f t="shared" si="1132"/>
        <v>0</v>
      </c>
      <c r="BK369" s="144">
        <f t="shared" si="1132"/>
        <v>0</v>
      </c>
      <c r="BL369" s="144">
        <f t="shared" si="1132"/>
        <v>0</v>
      </c>
      <c r="BM369" s="144">
        <f t="shared" si="1132"/>
        <v>0</v>
      </c>
      <c r="BN369" s="144">
        <f t="shared" si="1132"/>
        <v>0</v>
      </c>
      <c r="BO369" s="9">
        <f t="shared" ref="BO369:DZ369" si="1133">BO157/BO$211</f>
        <v>0</v>
      </c>
      <c r="BP369" s="144">
        <f t="shared" si="1133"/>
        <v>0</v>
      </c>
      <c r="BQ369" s="144">
        <f t="shared" si="1133"/>
        <v>0</v>
      </c>
      <c r="BR369" s="144">
        <f t="shared" si="1133"/>
        <v>0</v>
      </c>
      <c r="BS369" s="144">
        <f t="shared" si="1133"/>
        <v>0</v>
      </c>
      <c r="BT369" s="144">
        <f t="shared" si="1133"/>
        <v>0</v>
      </c>
      <c r="BU369" s="144">
        <f t="shared" si="1133"/>
        <v>0</v>
      </c>
      <c r="BV369" s="144">
        <f t="shared" si="1133"/>
        <v>0</v>
      </c>
      <c r="BW369" s="144">
        <f t="shared" si="1133"/>
        <v>0</v>
      </c>
      <c r="BX369" s="144">
        <f t="shared" si="1133"/>
        <v>0</v>
      </c>
      <c r="BY369" s="144">
        <f t="shared" si="1133"/>
        <v>0</v>
      </c>
      <c r="BZ369" s="144">
        <f t="shared" si="1133"/>
        <v>0</v>
      </c>
      <c r="CA369" s="144">
        <f t="shared" si="1133"/>
        <v>0</v>
      </c>
      <c r="CB369" s="9">
        <f t="shared" si="1133"/>
        <v>0</v>
      </c>
      <c r="CC369" s="144">
        <f t="shared" si="1133"/>
        <v>0</v>
      </c>
      <c r="CD369" s="144">
        <f t="shared" si="1133"/>
        <v>0</v>
      </c>
      <c r="CE369" s="144">
        <f t="shared" si="1133"/>
        <v>0</v>
      </c>
      <c r="CF369" s="144">
        <f t="shared" si="1133"/>
        <v>0</v>
      </c>
      <c r="CG369" s="144">
        <f t="shared" si="1133"/>
        <v>0</v>
      </c>
      <c r="CH369" s="144">
        <f t="shared" si="1133"/>
        <v>0</v>
      </c>
      <c r="CI369" s="144">
        <f t="shared" si="1133"/>
        <v>0</v>
      </c>
      <c r="CJ369" s="144">
        <f t="shared" si="1133"/>
        <v>0</v>
      </c>
      <c r="CK369" s="144">
        <f t="shared" si="1133"/>
        <v>0</v>
      </c>
      <c r="CL369" s="144">
        <f t="shared" si="1133"/>
        <v>0</v>
      </c>
      <c r="CM369" s="144">
        <f t="shared" si="1133"/>
        <v>0</v>
      </c>
      <c r="CN369" s="144">
        <f t="shared" si="1133"/>
        <v>0</v>
      </c>
      <c r="CO369" s="9">
        <f t="shared" si="1133"/>
        <v>0</v>
      </c>
      <c r="CP369" s="144">
        <f t="shared" si="1133"/>
        <v>0</v>
      </c>
      <c r="CQ369" s="144">
        <f t="shared" si="1133"/>
        <v>0</v>
      </c>
      <c r="CR369" s="144">
        <f t="shared" si="1133"/>
        <v>0</v>
      </c>
      <c r="CS369" s="144">
        <f t="shared" si="1133"/>
        <v>0</v>
      </c>
      <c r="CT369" s="144">
        <f t="shared" si="1133"/>
        <v>0</v>
      </c>
      <c r="CU369" s="144">
        <f t="shared" si="1133"/>
        <v>0</v>
      </c>
      <c r="CV369" s="144">
        <f t="shared" si="1133"/>
        <v>0</v>
      </c>
      <c r="CW369" s="144">
        <f t="shared" si="1133"/>
        <v>0</v>
      </c>
      <c r="CX369" s="144">
        <f t="shared" si="1133"/>
        <v>0</v>
      </c>
      <c r="CY369" s="144">
        <f t="shared" si="1133"/>
        <v>0</v>
      </c>
      <c r="CZ369" s="144">
        <f t="shared" si="1133"/>
        <v>0</v>
      </c>
      <c r="DA369" s="144">
        <f t="shared" si="1133"/>
        <v>0</v>
      </c>
      <c r="DB369" s="9">
        <f t="shared" si="1133"/>
        <v>0</v>
      </c>
      <c r="DC369" s="144">
        <f t="shared" si="1133"/>
        <v>0</v>
      </c>
      <c r="DD369" s="144">
        <f t="shared" si="1133"/>
        <v>0</v>
      </c>
      <c r="DE369" s="144">
        <f t="shared" si="1133"/>
        <v>0</v>
      </c>
      <c r="DF369" s="144">
        <f t="shared" si="1133"/>
        <v>0</v>
      </c>
      <c r="DG369" s="144">
        <f t="shared" si="1133"/>
        <v>0</v>
      </c>
      <c r="DH369" s="144">
        <f t="shared" si="1133"/>
        <v>0</v>
      </c>
      <c r="DI369" s="144">
        <f t="shared" si="1133"/>
        <v>0</v>
      </c>
      <c r="DJ369" s="144">
        <f t="shared" si="1133"/>
        <v>0</v>
      </c>
      <c r="DK369" s="144">
        <f t="shared" si="1133"/>
        <v>0</v>
      </c>
      <c r="DL369" s="144">
        <f t="shared" si="1133"/>
        <v>0</v>
      </c>
      <c r="DM369" s="144">
        <f t="shared" si="1133"/>
        <v>0</v>
      </c>
      <c r="DN369" s="144">
        <f t="shared" si="1133"/>
        <v>0</v>
      </c>
      <c r="DO369" s="9">
        <f t="shared" si="1133"/>
        <v>0</v>
      </c>
      <c r="DP369" s="144">
        <f t="shared" si="1133"/>
        <v>0</v>
      </c>
      <c r="DQ369" s="144">
        <f t="shared" si="1133"/>
        <v>0</v>
      </c>
      <c r="DR369" s="144">
        <f t="shared" si="1133"/>
        <v>0</v>
      </c>
      <c r="DS369" s="144">
        <f t="shared" si="1133"/>
        <v>0</v>
      </c>
      <c r="DT369" s="144">
        <f t="shared" si="1133"/>
        <v>0</v>
      </c>
      <c r="DU369" s="144">
        <f t="shared" si="1133"/>
        <v>0</v>
      </c>
      <c r="DV369" s="144">
        <f t="shared" si="1133"/>
        <v>0</v>
      </c>
      <c r="DW369" s="144">
        <f t="shared" si="1133"/>
        <v>0</v>
      </c>
      <c r="DX369" s="144">
        <f t="shared" si="1133"/>
        <v>0</v>
      </c>
      <c r="DY369" s="144">
        <f t="shared" si="1133"/>
        <v>0</v>
      </c>
      <c r="DZ369" s="144">
        <f t="shared" si="1133"/>
        <v>0</v>
      </c>
      <c r="EA369" s="144">
        <f t="shared" ref="EA369:GB369" si="1134">EA157/EA$211</f>
        <v>0</v>
      </c>
      <c r="EB369" s="117">
        <f t="shared" si="1134"/>
        <v>0</v>
      </c>
      <c r="EC369" s="118"/>
      <c r="ED369" s="117">
        <f t="shared" ref="ED369:FB369" si="1135">ED157/ED$211</f>
        <v>0</v>
      </c>
      <c r="EE369" s="117">
        <f t="shared" si="1135"/>
        <v>0</v>
      </c>
      <c r="EF369" s="117">
        <f t="shared" si="1135"/>
        <v>0</v>
      </c>
      <c r="EG369" s="117" t="e">
        <f t="shared" si="1135"/>
        <v>#DIV/0!</v>
      </c>
      <c r="EH369" s="117" t="e">
        <f t="shared" si="1135"/>
        <v>#DIV/0!</v>
      </c>
      <c r="EI369" s="117" t="e">
        <f t="shared" si="1135"/>
        <v>#DIV/0!</v>
      </c>
      <c r="EJ369" s="117" t="e">
        <f t="shared" si="1135"/>
        <v>#DIV/0!</v>
      </c>
      <c r="EK369" s="117" t="e">
        <f t="shared" si="1135"/>
        <v>#DIV/0!</v>
      </c>
      <c r="EL369" s="117" t="e">
        <f t="shared" si="1135"/>
        <v>#DIV/0!</v>
      </c>
      <c r="EM369" s="117" t="e">
        <f t="shared" si="1135"/>
        <v>#DIV/0!</v>
      </c>
      <c r="EN369" s="117" t="e">
        <f t="shared" si="1135"/>
        <v>#DIV/0!</v>
      </c>
      <c r="EO369" s="116">
        <f t="shared" si="1135"/>
        <v>0</v>
      </c>
      <c r="EP369" s="117">
        <f t="shared" si="1135"/>
        <v>0</v>
      </c>
      <c r="EQ369" s="117">
        <f t="shared" si="1135"/>
        <v>0</v>
      </c>
      <c r="ER369" s="117">
        <f t="shared" si="1135"/>
        <v>0</v>
      </c>
      <c r="ES369" s="117">
        <f t="shared" si="1135"/>
        <v>0</v>
      </c>
      <c r="ET369" s="117">
        <f t="shared" si="1135"/>
        <v>0</v>
      </c>
      <c r="EU369" s="117">
        <f t="shared" si="1135"/>
        <v>0</v>
      </c>
      <c r="EV369" s="117">
        <f t="shared" si="1135"/>
        <v>0</v>
      </c>
      <c r="EW369" s="117">
        <f t="shared" si="1135"/>
        <v>0</v>
      </c>
      <c r="EX369" s="117">
        <f t="shared" si="1135"/>
        <v>0</v>
      </c>
      <c r="EY369" s="117">
        <f t="shared" si="1135"/>
        <v>0</v>
      </c>
      <c r="EZ369" s="117">
        <f t="shared" si="1135"/>
        <v>0</v>
      </c>
      <c r="FA369" s="117">
        <f t="shared" si="1135"/>
        <v>0</v>
      </c>
      <c r="FB369" s="117">
        <f t="shared" si="1135"/>
        <v>0</v>
      </c>
      <c r="FC369" s="118"/>
      <c r="FD369" s="117"/>
      <c r="FE369" s="117"/>
      <c r="FF369" s="117"/>
      <c r="FG369" s="117"/>
      <c r="FH369" s="117"/>
      <c r="FI369" s="117"/>
      <c r="FJ369" s="117"/>
      <c r="FK369" s="117" t="e">
        <f t="shared" si="991"/>
        <v>#DIV/0!</v>
      </c>
      <c r="FL369" s="117" t="e">
        <f t="shared" si="992"/>
        <v>#DIV/0!</v>
      </c>
      <c r="FM369" s="117" t="e">
        <f t="shared" si="993"/>
        <v>#DIV/0!</v>
      </c>
      <c r="FN369" s="117" t="e">
        <f t="shared" si="994"/>
        <v>#DIV/0!</v>
      </c>
      <c r="FO369" s="9" t="e">
        <f t="shared" si="995"/>
        <v>#DIV/0!</v>
      </c>
      <c r="FP369" s="118">
        <f t="shared" si="1134"/>
        <v>0</v>
      </c>
      <c r="FQ369" s="117">
        <f t="shared" si="1134"/>
        <v>0</v>
      </c>
      <c r="FR369" s="117">
        <f t="shared" si="1134"/>
        <v>0</v>
      </c>
      <c r="FS369" s="117">
        <f t="shared" si="1134"/>
        <v>0</v>
      </c>
      <c r="FT369" s="117">
        <f t="shared" si="1134"/>
        <v>0</v>
      </c>
      <c r="FU369" s="117">
        <f t="shared" si="1134"/>
        <v>0</v>
      </c>
      <c r="FV369" s="117">
        <f t="shared" si="1134"/>
        <v>0</v>
      </c>
      <c r="FW369" s="117">
        <f t="shared" si="1134"/>
        <v>0</v>
      </c>
      <c r="FX369" s="117">
        <f t="shared" si="1134"/>
        <v>0</v>
      </c>
      <c r="FY369" s="117">
        <f t="shared" si="1134"/>
        <v>0</v>
      </c>
      <c r="FZ369" s="117">
        <f t="shared" si="1134"/>
        <v>0</v>
      </c>
      <c r="GA369" s="117">
        <f t="shared" si="1134"/>
        <v>0</v>
      </c>
      <c r="GB369" s="116">
        <f t="shared" si="1134"/>
        <v>0</v>
      </c>
    </row>
    <row r="370" spans="1:184">
      <c r="A370" s="147" t="s">
        <v>329</v>
      </c>
      <c r="B370" s="160" t="e">
        <f t="shared" si="997"/>
        <v>#DIV/0!</v>
      </c>
      <c r="C370" s="117">
        <f t="shared" ref="C370:BN370" si="1136">C158/C$211</f>
        <v>0</v>
      </c>
      <c r="D370" s="117">
        <f t="shared" si="1136"/>
        <v>0</v>
      </c>
      <c r="E370" s="117">
        <f t="shared" si="1136"/>
        <v>0</v>
      </c>
      <c r="F370" s="117">
        <f t="shared" si="1136"/>
        <v>0</v>
      </c>
      <c r="G370" s="117">
        <f t="shared" si="1136"/>
        <v>0</v>
      </c>
      <c r="H370" s="117">
        <f t="shared" si="1136"/>
        <v>0</v>
      </c>
      <c r="I370" s="117">
        <f t="shared" si="1136"/>
        <v>0</v>
      </c>
      <c r="J370" s="117">
        <f t="shared" si="1136"/>
        <v>0</v>
      </c>
      <c r="K370" s="117">
        <f t="shared" si="1136"/>
        <v>0</v>
      </c>
      <c r="L370" s="117">
        <f t="shared" si="1136"/>
        <v>0</v>
      </c>
      <c r="M370" s="117">
        <f t="shared" si="1136"/>
        <v>0</v>
      </c>
      <c r="N370" s="117">
        <f t="shared" si="1136"/>
        <v>0</v>
      </c>
      <c r="O370" s="9">
        <f t="shared" si="1136"/>
        <v>0</v>
      </c>
      <c r="P370" s="117">
        <f t="shared" si="1136"/>
        <v>0</v>
      </c>
      <c r="Q370" s="117">
        <f t="shared" si="1136"/>
        <v>0</v>
      </c>
      <c r="R370" s="117">
        <f t="shared" si="1136"/>
        <v>0</v>
      </c>
      <c r="S370" s="117">
        <f t="shared" si="1136"/>
        <v>0</v>
      </c>
      <c r="T370" s="117">
        <f t="shared" si="1136"/>
        <v>0</v>
      </c>
      <c r="U370" s="117">
        <f t="shared" si="1136"/>
        <v>0</v>
      </c>
      <c r="V370" s="117">
        <f t="shared" si="1136"/>
        <v>0</v>
      </c>
      <c r="W370" s="117">
        <f t="shared" si="1136"/>
        <v>0</v>
      </c>
      <c r="X370" s="117">
        <f t="shared" si="1136"/>
        <v>0</v>
      </c>
      <c r="Y370" s="117">
        <f t="shared" si="1136"/>
        <v>0</v>
      </c>
      <c r="Z370" s="117">
        <f t="shared" si="1136"/>
        <v>0</v>
      </c>
      <c r="AA370" s="117">
        <f t="shared" si="1136"/>
        <v>0</v>
      </c>
      <c r="AB370" s="9">
        <f t="shared" si="1136"/>
        <v>0</v>
      </c>
      <c r="AC370" s="117">
        <f t="shared" si="1136"/>
        <v>0</v>
      </c>
      <c r="AD370" s="117">
        <f t="shared" si="1136"/>
        <v>0</v>
      </c>
      <c r="AE370" s="117">
        <f t="shared" si="1136"/>
        <v>0</v>
      </c>
      <c r="AF370" s="117">
        <f t="shared" si="1136"/>
        <v>0</v>
      </c>
      <c r="AG370" s="117">
        <f t="shared" si="1136"/>
        <v>0</v>
      </c>
      <c r="AH370" s="117">
        <f t="shared" si="1136"/>
        <v>0</v>
      </c>
      <c r="AI370" s="117">
        <f t="shared" si="1136"/>
        <v>0</v>
      </c>
      <c r="AJ370" s="117">
        <f t="shared" si="1136"/>
        <v>0</v>
      </c>
      <c r="AK370" s="117">
        <f t="shared" si="1136"/>
        <v>0</v>
      </c>
      <c r="AL370" s="117">
        <f t="shared" si="1136"/>
        <v>0</v>
      </c>
      <c r="AM370" s="117">
        <f t="shared" si="1136"/>
        <v>0</v>
      </c>
      <c r="AN370" s="117">
        <f t="shared" si="1136"/>
        <v>0</v>
      </c>
      <c r="AO370" s="9">
        <f t="shared" si="1136"/>
        <v>0</v>
      </c>
      <c r="AP370" s="144">
        <f t="shared" si="1136"/>
        <v>0</v>
      </c>
      <c r="AQ370" s="144">
        <f t="shared" si="1136"/>
        <v>0</v>
      </c>
      <c r="AR370" s="144">
        <f t="shared" si="1136"/>
        <v>0</v>
      </c>
      <c r="AS370" s="144">
        <f t="shared" si="1136"/>
        <v>0</v>
      </c>
      <c r="AT370" s="144">
        <f t="shared" si="1136"/>
        <v>0</v>
      </c>
      <c r="AU370" s="144">
        <f t="shared" si="1136"/>
        <v>0</v>
      </c>
      <c r="AV370" s="144">
        <f t="shared" si="1136"/>
        <v>0</v>
      </c>
      <c r="AW370" s="144">
        <f t="shared" si="1136"/>
        <v>0</v>
      </c>
      <c r="AX370" s="144">
        <f t="shared" si="1136"/>
        <v>0</v>
      </c>
      <c r="AY370" s="144">
        <f t="shared" si="1136"/>
        <v>0</v>
      </c>
      <c r="AZ370" s="144">
        <f t="shared" si="1136"/>
        <v>0</v>
      </c>
      <c r="BA370" s="144">
        <f t="shared" si="1136"/>
        <v>0</v>
      </c>
      <c r="BB370" s="9">
        <f t="shared" si="1136"/>
        <v>0</v>
      </c>
      <c r="BC370" s="144">
        <f t="shared" si="1136"/>
        <v>0</v>
      </c>
      <c r="BD370" s="144">
        <f t="shared" si="1136"/>
        <v>0</v>
      </c>
      <c r="BE370" s="144">
        <f t="shared" si="1136"/>
        <v>0</v>
      </c>
      <c r="BF370" s="144">
        <f t="shared" si="1136"/>
        <v>0</v>
      </c>
      <c r="BG370" s="144">
        <f t="shared" si="1136"/>
        <v>0</v>
      </c>
      <c r="BH370" s="144">
        <f t="shared" si="1136"/>
        <v>0</v>
      </c>
      <c r="BI370" s="144">
        <f t="shared" si="1136"/>
        <v>0</v>
      </c>
      <c r="BJ370" s="144">
        <f t="shared" si="1136"/>
        <v>0</v>
      </c>
      <c r="BK370" s="144">
        <f t="shared" si="1136"/>
        <v>0</v>
      </c>
      <c r="BL370" s="144">
        <f t="shared" si="1136"/>
        <v>0</v>
      </c>
      <c r="BM370" s="144">
        <f t="shared" si="1136"/>
        <v>0</v>
      </c>
      <c r="BN370" s="144">
        <f t="shared" si="1136"/>
        <v>0</v>
      </c>
      <c r="BO370" s="9">
        <f t="shared" ref="BO370:DZ370" si="1137">BO158/BO$211</f>
        <v>0</v>
      </c>
      <c r="BP370" s="144">
        <f t="shared" si="1137"/>
        <v>0</v>
      </c>
      <c r="BQ370" s="144">
        <f t="shared" si="1137"/>
        <v>0</v>
      </c>
      <c r="BR370" s="144">
        <f t="shared" si="1137"/>
        <v>0</v>
      </c>
      <c r="BS370" s="144">
        <f t="shared" si="1137"/>
        <v>0</v>
      </c>
      <c r="BT370" s="144">
        <f t="shared" si="1137"/>
        <v>0</v>
      </c>
      <c r="BU370" s="144">
        <f t="shared" si="1137"/>
        <v>0</v>
      </c>
      <c r="BV370" s="144">
        <f t="shared" si="1137"/>
        <v>0</v>
      </c>
      <c r="BW370" s="144">
        <f t="shared" si="1137"/>
        <v>0</v>
      </c>
      <c r="BX370" s="144">
        <f t="shared" si="1137"/>
        <v>0</v>
      </c>
      <c r="BY370" s="144">
        <f t="shared" si="1137"/>
        <v>0</v>
      </c>
      <c r="BZ370" s="144">
        <f t="shared" si="1137"/>
        <v>0</v>
      </c>
      <c r="CA370" s="144">
        <f t="shared" si="1137"/>
        <v>0</v>
      </c>
      <c r="CB370" s="9">
        <f t="shared" si="1137"/>
        <v>0</v>
      </c>
      <c r="CC370" s="144">
        <f t="shared" si="1137"/>
        <v>0</v>
      </c>
      <c r="CD370" s="144">
        <f t="shared" si="1137"/>
        <v>0</v>
      </c>
      <c r="CE370" s="144">
        <f t="shared" si="1137"/>
        <v>0</v>
      </c>
      <c r="CF370" s="144">
        <f t="shared" si="1137"/>
        <v>0</v>
      </c>
      <c r="CG370" s="144">
        <f t="shared" si="1137"/>
        <v>0</v>
      </c>
      <c r="CH370" s="144">
        <f t="shared" si="1137"/>
        <v>0</v>
      </c>
      <c r="CI370" s="144">
        <f t="shared" si="1137"/>
        <v>0</v>
      </c>
      <c r="CJ370" s="144">
        <f t="shared" si="1137"/>
        <v>0</v>
      </c>
      <c r="CK370" s="144">
        <f t="shared" si="1137"/>
        <v>0</v>
      </c>
      <c r="CL370" s="144">
        <f t="shared" si="1137"/>
        <v>0</v>
      </c>
      <c r="CM370" s="144">
        <f t="shared" si="1137"/>
        <v>0</v>
      </c>
      <c r="CN370" s="144">
        <f t="shared" si="1137"/>
        <v>0</v>
      </c>
      <c r="CO370" s="9">
        <f t="shared" si="1137"/>
        <v>0</v>
      </c>
      <c r="CP370" s="144">
        <f t="shared" si="1137"/>
        <v>0</v>
      </c>
      <c r="CQ370" s="144">
        <f t="shared" si="1137"/>
        <v>0</v>
      </c>
      <c r="CR370" s="144">
        <f t="shared" si="1137"/>
        <v>0</v>
      </c>
      <c r="CS370" s="144">
        <f t="shared" si="1137"/>
        <v>0</v>
      </c>
      <c r="CT370" s="144">
        <f t="shared" si="1137"/>
        <v>0</v>
      </c>
      <c r="CU370" s="144">
        <f t="shared" si="1137"/>
        <v>0</v>
      </c>
      <c r="CV370" s="144">
        <f t="shared" si="1137"/>
        <v>0</v>
      </c>
      <c r="CW370" s="144">
        <f t="shared" si="1137"/>
        <v>0</v>
      </c>
      <c r="CX370" s="144">
        <f t="shared" si="1137"/>
        <v>0</v>
      </c>
      <c r="CY370" s="144">
        <f t="shared" si="1137"/>
        <v>0</v>
      </c>
      <c r="CZ370" s="144">
        <f t="shared" si="1137"/>
        <v>0</v>
      </c>
      <c r="DA370" s="144">
        <f t="shared" si="1137"/>
        <v>0</v>
      </c>
      <c r="DB370" s="9">
        <f t="shared" si="1137"/>
        <v>0</v>
      </c>
      <c r="DC370" s="144">
        <f t="shared" si="1137"/>
        <v>0</v>
      </c>
      <c r="DD370" s="144">
        <f t="shared" si="1137"/>
        <v>0</v>
      </c>
      <c r="DE370" s="144">
        <f t="shared" si="1137"/>
        <v>0</v>
      </c>
      <c r="DF370" s="144">
        <f t="shared" si="1137"/>
        <v>0</v>
      </c>
      <c r="DG370" s="144">
        <f t="shared" si="1137"/>
        <v>0</v>
      </c>
      <c r="DH370" s="144">
        <f t="shared" si="1137"/>
        <v>0</v>
      </c>
      <c r="DI370" s="144">
        <f t="shared" si="1137"/>
        <v>0</v>
      </c>
      <c r="DJ370" s="144">
        <f t="shared" si="1137"/>
        <v>0</v>
      </c>
      <c r="DK370" s="144">
        <f t="shared" si="1137"/>
        <v>0</v>
      </c>
      <c r="DL370" s="144">
        <f t="shared" si="1137"/>
        <v>0</v>
      </c>
      <c r="DM370" s="144">
        <f t="shared" si="1137"/>
        <v>0</v>
      </c>
      <c r="DN370" s="144">
        <f t="shared" si="1137"/>
        <v>0</v>
      </c>
      <c r="DO370" s="9">
        <f t="shared" si="1137"/>
        <v>0</v>
      </c>
      <c r="DP370" s="144">
        <f t="shared" si="1137"/>
        <v>0</v>
      </c>
      <c r="DQ370" s="144">
        <f t="shared" si="1137"/>
        <v>0</v>
      </c>
      <c r="DR370" s="144">
        <f t="shared" si="1137"/>
        <v>0</v>
      </c>
      <c r="DS370" s="144">
        <f t="shared" si="1137"/>
        <v>0</v>
      </c>
      <c r="DT370" s="144">
        <f t="shared" si="1137"/>
        <v>0</v>
      </c>
      <c r="DU370" s="144">
        <f t="shared" si="1137"/>
        <v>0</v>
      </c>
      <c r="DV370" s="144">
        <f t="shared" si="1137"/>
        <v>0</v>
      </c>
      <c r="DW370" s="144">
        <f t="shared" si="1137"/>
        <v>0</v>
      </c>
      <c r="DX370" s="144">
        <f t="shared" si="1137"/>
        <v>0</v>
      </c>
      <c r="DY370" s="144">
        <f t="shared" si="1137"/>
        <v>0</v>
      </c>
      <c r="DZ370" s="144">
        <f t="shared" si="1137"/>
        <v>0</v>
      </c>
      <c r="EA370" s="144">
        <f t="shared" ref="EA370:GB370" si="1138">EA158/EA$211</f>
        <v>0</v>
      </c>
      <c r="EB370" s="117">
        <f t="shared" si="1138"/>
        <v>0</v>
      </c>
      <c r="EC370" s="118"/>
      <c r="ED370" s="117">
        <f t="shared" ref="ED370:FB370" si="1139">ED158/ED$211</f>
        <v>0</v>
      </c>
      <c r="EE370" s="117">
        <f t="shared" si="1139"/>
        <v>0</v>
      </c>
      <c r="EF370" s="117">
        <f t="shared" si="1139"/>
        <v>0</v>
      </c>
      <c r="EG370" s="117" t="e">
        <f t="shared" si="1139"/>
        <v>#DIV/0!</v>
      </c>
      <c r="EH370" s="117" t="e">
        <f t="shared" si="1139"/>
        <v>#DIV/0!</v>
      </c>
      <c r="EI370" s="117" t="e">
        <f t="shared" si="1139"/>
        <v>#DIV/0!</v>
      </c>
      <c r="EJ370" s="117" t="e">
        <f t="shared" si="1139"/>
        <v>#DIV/0!</v>
      </c>
      <c r="EK370" s="117" t="e">
        <f t="shared" si="1139"/>
        <v>#DIV/0!</v>
      </c>
      <c r="EL370" s="117" t="e">
        <f t="shared" si="1139"/>
        <v>#DIV/0!</v>
      </c>
      <c r="EM370" s="117" t="e">
        <f t="shared" si="1139"/>
        <v>#DIV/0!</v>
      </c>
      <c r="EN370" s="117" t="e">
        <f t="shared" si="1139"/>
        <v>#DIV/0!</v>
      </c>
      <c r="EO370" s="116">
        <f t="shared" si="1139"/>
        <v>0</v>
      </c>
      <c r="EP370" s="117">
        <f t="shared" si="1139"/>
        <v>0</v>
      </c>
      <c r="EQ370" s="117">
        <f t="shared" si="1139"/>
        <v>0</v>
      </c>
      <c r="ER370" s="117">
        <f t="shared" si="1139"/>
        <v>0</v>
      </c>
      <c r="ES370" s="117">
        <f t="shared" si="1139"/>
        <v>0</v>
      </c>
      <c r="ET370" s="117">
        <f t="shared" si="1139"/>
        <v>0</v>
      </c>
      <c r="EU370" s="117">
        <f t="shared" si="1139"/>
        <v>0</v>
      </c>
      <c r="EV370" s="117">
        <f t="shared" si="1139"/>
        <v>0</v>
      </c>
      <c r="EW370" s="117">
        <f t="shared" si="1139"/>
        <v>0</v>
      </c>
      <c r="EX370" s="117">
        <f t="shared" si="1139"/>
        <v>0</v>
      </c>
      <c r="EY370" s="117">
        <f t="shared" si="1139"/>
        <v>0</v>
      </c>
      <c r="EZ370" s="117">
        <f t="shared" si="1139"/>
        <v>0</v>
      </c>
      <c r="FA370" s="117">
        <f t="shared" si="1139"/>
        <v>0</v>
      </c>
      <c r="FB370" s="117">
        <f t="shared" si="1139"/>
        <v>0</v>
      </c>
      <c r="FC370" s="118"/>
      <c r="FD370" s="117"/>
      <c r="FE370" s="117"/>
      <c r="FF370" s="117"/>
      <c r="FG370" s="117"/>
      <c r="FH370" s="117"/>
      <c r="FI370" s="117"/>
      <c r="FJ370" s="117"/>
      <c r="FK370" s="117" t="e">
        <f t="shared" si="991"/>
        <v>#DIV/0!</v>
      </c>
      <c r="FL370" s="117" t="e">
        <f t="shared" si="992"/>
        <v>#DIV/0!</v>
      </c>
      <c r="FM370" s="117" t="e">
        <f t="shared" si="993"/>
        <v>#DIV/0!</v>
      </c>
      <c r="FN370" s="117" t="e">
        <f t="shared" si="994"/>
        <v>#DIV/0!</v>
      </c>
      <c r="FO370" s="9" t="e">
        <f t="shared" si="995"/>
        <v>#DIV/0!</v>
      </c>
      <c r="FP370" s="118">
        <f t="shared" si="1138"/>
        <v>0</v>
      </c>
      <c r="FQ370" s="117">
        <f t="shared" si="1138"/>
        <v>0</v>
      </c>
      <c r="FR370" s="117">
        <f t="shared" si="1138"/>
        <v>0</v>
      </c>
      <c r="FS370" s="117">
        <f t="shared" si="1138"/>
        <v>0</v>
      </c>
      <c r="FT370" s="117">
        <f t="shared" si="1138"/>
        <v>0</v>
      </c>
      <c r="FU370" s="117">
        <f t="shared" si="1138"/>
        <v>0</v>
      </c>
      <c r="FV370" s="117">
        <f t="shared" si="1138"/>
        <v>0</v>
      </c>
      <c r="FW370" s="117">
        <f t="shared" si="1138"/>
        <v>0</v>
      </c>
      <c r="FX370" s="117">
        <f t="shared" si="1138"/>
        <v>0</v>
      </c>
      <c r="FY370" s="117">
        <f t="shared" si="1138"/>
        <v>0</v>
      </c>
      <c r="FZ370" s="117">
        <f t="shared" si="1138"/>
        <v>0</v>
      </c>
      <c r="GA370" s="117">
        <f t="shared" si="1138"/>
        <v>0</v>
      </c>
      <c r="GB370" s="116">
        <f t="shared" si="1138"/>
        <v>0</v>
      </c>
    </row>
    <row r="371" spans="1:184">
      <c r="A371" s="147" t="s">
        <v>330</v>
      </c>
      <c r="B371" s="160" t="e">
        <f t="shared" si="997"/>
        <v>#DIV/0!</v>
      </c>
      <c r="C371" s="117">
        <f t="shared" ref="C371:BN371" si="1140">C159/C$211</f>
        <v>0</v>
      </c>
      <c r="D371" s="117">
        <f t="shared" si="1140"/>
        <v>0</v>
      </c>
      <c r="E371" s="117">
        <f t="shared" si="1140"/>
        <v>0</v>
      </c>
      <c r="F371" s="117">
        <f t="shared" si="1140"/>
        <v>0</v>
      </c>
      <c r="G371" s="117">
        <f t="shared" si="1140"/>
        <v>0</v>
      </c>
      <c r="H371" s="117">
        <f t="shared" si="1140"/>
        <v>0</v>
      </c>
      <c r="I371" s="117">
        <f t="shared" si="1140"/>
        <v>0</v>
      </c>
      <c r="J371" s="117">
        <f t="shared" si="1140"/>
        <v>0</v>
      </c>
      <c r="K371" s="117">
        <f t="shared" si="1140"/>
        <v>0</v>
      </c>
      <c r="L371" s="117">
        <f t="shared" si="1140"/>
        <v>0</v>
      </c>
      <c r="M371" s="117">
        <f t="shared" si="1140"/>
        <v>0</v>
      </c>
      <c r="N371" s="117">
        <f t="shared" si="1140"/>
        <v>0</v>
      </c>
      <c r="O371" s="9">
        <f t="shared" si="1140"/>
        <v>0</v>
      </c>
      <c r="P371" s="117">
        <f t="shared" si="1140"/>
        <v>0</v>
      </c>
      <c r="Q371" s="117">
        <f t="shared" si="1140"/>
        <v>0</v>
      </c>
      <c r="R371" s="117">
        <f t="shared" si="1140"/>
        <v>0</v>
      </c>
      <c r="S371" s="117">
        <f t="shared" si="1140"/>
        <v>0</v>
      </c>
      <c r="T371" s="117">
        <f t="shared" si="1140"/>
        <v>0</v>
      </c>
      <c r="U371" s="117">
        <f t="shared" si="1140"/>
        <v>0</v>
      </c>
      <c r="V371" s="117">
        <f t="shared" si="1140"/>
        <v>0</v>
      </c>
      <c r="W371" s="117">
        <f t="shared" si="1140"/>
        <v>0</v>
      </c>
      <c r="X371" s="117">
        <f t="shared" si="1140"/>
        <v>0</v>
      </c>
      <c r="Y371" s="117">
        <f t="shared" si="1140"/>
        <v>0</v>
      </c>
      <c r="Z371" s="117">
        <f t="shared" si="1140"/>
        <v>0</v>
      </c>
      <c r="AA371" s="117">
        <f t="shared" si="1140"/>
        <v>0</v>
      </c>
      <c r="AB371" s="9">
        <f t="shared" si="1140"/>
        <v>0</v>
      </c>
      <c r="AC371" s="117">
        <f t="shared" si="1140"/>
        <v>0</v>
      </c>
      <c r="AD371" s="117">
        <f t="shared" si="1140"/>
        <v>0</v>
      </c>
      <c r="AE371" s="117">
        <f t="shared" si="1140"/>
        <v>0</v>
      </c>
      <c r="AF371" s="117">
        <f t="shared" si="1140"/>
        <v>0</v>
      </c>
      <c r="AG371" s="117">
        <f t="shared" si="1140"/>
        <v>0</v>
      </c>
      <c r="AH371" s="117">
        <f t="shared" si="1140"/>
        <v>0</v>
      </c>
      <c r="AI371" s="117">
        <f t="shared" si="1140"/>
        <v>0</v>
      </c>
      <c r="AJ371" s="117">
        <f t="shared" si="1140"/>
        <v>0</v>
      </c>
      <c r="AK371" s="117">
        <f t="shared" si="1140"/>
        <v>0</v>
      </c>
      <c r="AL371" s="117">
        <f t="shared" si="1140"/>
        <v>0</v>
      </c>
      <c r="AM371" s="117">
        <f t="shared" si="1140"/>
        <v>0</v>
      </c>
      <c r="AN371" s="117">
        <f t="shared" si="1140"/>
        <v>0</v>
      </c>
      <c r="AO371" s="9">
        <f t="shared" si="1140"/>
        <v>0</v>
      </c>
      <c r="AP371" s="144">
        <f t="shared" si="1140"/>
        <v>0</v>
      </c>
      <c r="AQ371" s="144">
        <f t="shared" si="1140"/>
        <v>0</v>
      </c>
      <c r="AR371" s="144">
        <f t="shared" si="1140"/>
        <v>0</v>
      </c>
      <c r="AS371" s="144">
        <f t="shared" si="1140"/>
        <v>0</v>
      </c>
      <c r="AT371" s="144">
        <f t="shared" si="1140"/>
        <v>0</v>
      </c>
      <c r="AU371" s="144">
        <f t="shared" si="1140"/>
        <v>0</v>
      </c>
      <c r="AV371" s="144">
        <f t="shared" si="1140"/>
        <v>0</v>
      </c>
      <c r="AW371" s="144">
        <f t="shared" si="1140"/>
        <v>0</v>
      </c>
      <c r="AX371" s="144">
        <f t="shared" si="1140"/>
        <v>0</v>
      </c>
      <c r="AY371" s="144">
        <f t="shared" si="1140"/>
        <v>0</v>
      </c>
      <c r="AZ371" s="144">
        <f t="shared" si="1140"/>
        <v>0</v>
      </c>
      <c r="BA371" s="144">
        <f t="shared" si="1140"/>
        <v>0</v>
      </c>
      <c r="BB371" s="9">
        <f t="shared" si="1140"/>
        <v>0</v>
      </c>
      <c r="BC371" s="144">
        <f t="shared" si="1140"/>
        <v>0</v>
      </c>
      <c r="BD371" s="144">
        <f t="shared" si="1140"/>
        <v>0</v>
      </c>
      <c r="BE371" s="144">
        <f t="shared" si="1140"/>
        <v>0</v>
      </c>
      <c r="BF371" s="144">
        <f t="shared" si="1140"/>
        <v>0</v>
      </c>
      <c r="BG371" s="144">
        <f t="shared" si="1140"/>
        <v>0</v>
      </c>
      <c r="BH371" s="144">
        <f t="shared" si="1140"/>
        <v>0</v>
      </c>
      <c r="BI371" s="144">
        <f t="shared" si="1140"/>
        <v>0</v>
      </c>
      <c r="BJ371" s="144">
        <f t="shared" si="1140"/>
        <v>0</v>
      </c>
      <c r="BK371" s="144">
        <f t="shared" si="1140"/>
        <v>0</v>
      </c>
      <c r="BL371" s="144">
        <f t="shared" si="1140"/>
        <v>0</v>
      </c>
      <c r="BM371" s="144">
        <f t="shared" si="1140"/>
        <v>0</v>
      </c>
      <c r="BN371" s="144">
        <f t="shared" si="1140"/>
        <v>0</v>
      </c>
      <c r="BO371" s="9">
        <f t="shared" ref="BO371:DZ371" si="1141">BO159/BO$211</f>
        <v>0</v>
      </c>
      <c r="BP371" s="144">
        <f t="shared" si="1141"/>
        <v>0</v>
      </c>
      <c r="BQ371" s="144">
        <f t="shared" si="1141"/>
        <v>0</v>
      </c>
      <c r="BR371" s="144">
        <f t="shared" si="1141"/>
        <v>0</v>
      </c>
      <c r="BS371" s="144">
        <f t="shared" si="1141"/>
        <v>0</v>
      </c>
      <c r="BT371" s="144">
        <f t="shared" si="1141"/>
        <v>0</v>
      </c>
      <c r="BU371" s="144">
        <f t="shared" si="1141"/>
        <v>0</v>
      </c>
      <c r="BV371" s="144">
        <f t="shared" si="1141"/>
        <v>0</v>
      </c>
      <c r="BW371" s="144">
        <f t="shared" si="1141"/>
        <v>0</v>
      </c>
      <c r="BX371" s="144">
        <f t="shared" si="1141"/>
        <v>0</v>
      </c>
      <c r="BY371" s="144">
        <f t="shared" si="1141"/>
        <v>0</v>
      </c>
      <c r="BZ371" s="144">
        <f t="shared" si="1141"/>
        <v>0</v>
      </c>
      <c r="CA371" s="144">
        <f t="shared" si="1141"/>
        <v>0</v>
      </c>
      <c r="CB371" s="9">
        <f t="shared" si="1141"/>
        <v>0</v>
      </c>
      <c r="CC371" s="144">
        <f t="shared" si="1141"/>
        <v>0</v>
      </c>
      <c r="CD371" s="144">
        <f t="shared" si="1141"/>
        <v>0</v>
      </c>
      <c r="CE371" s="144">
        <f t="shared" si="1141"/>
        <v>0</v>
      </c>
      <c r="CF371" s="144">
        <f t="shared" si="1141"/>
        <v>0</v>
      </c>
      <c r="CG371" s="144">
        <f t="shared" si="1141"/>
        <v>0</v>
      </c>
      <c r="CH371" s="144">
        <f t="shared" si="1141"/>
        <v>0</v>
      </c>
      <c r="CI371" s="144">
        <f t="shared" si="1141"/>
        <v>0</v>
      </c>
      <c r="CJ371" s="144">
        <f t="shared" si="1141"/>
        <v>0</v>
      </c>
      <c r="CK371" s="144">
        <f t="shared" si="1141"/>
        <v>0</v>
      </c>
      <c r="CL371" s="144">
        <f t="shared" si="1141"/>
        <v>0</v>
      </c>
      <c r="CM371" s="144">
        <f t="shared" si="1141"/>
        <v>0</v>
      </c>
      <c r="CN371" s="144">
        <f t="shared" si="1141"/>
        <v>0</v>
      </c>
      <c r="CO371" s="9">
        <f t="shared" si="1141"/>
        <v>0</v>
      </c>
      <c r="CP371" s="144">
        <f t="shared" si="1141"/>
        <v>0</v>
      </c>
      <c r="CQ371" s="144">
        <f t="shared" si="1141"/>
        <v>0</v>
      </c>
      <c r="CR371" s="144">
        <f t="shared" si="1141"/>
        <v>0</v>
      </c>
      <c r="CS371" s="144">
        <f t="shared" si="1141"/>
        <v>0</v>
      </c>
      <c r="CT371" s="144">
        <f t="shared" si="1141"/>
        <v>0</v>
      </c>
      <c r="CU371" s="144">
        <f t="shared" si="1141"/>
        <v>0</v>
      </c>
      <c r="CV371" s="144">
        <f t="shared" si="1141"/>
        <v>0</v>
      </c>
      <c r="CW371" s="144">
        <f t="shared" si="1141"/>
        <v>0</v>
      </c>
      <c r="CX371" s="144">
        <f t="shared" si="1141"/>
        <v>0</v>
      </c>
      <c r="CY371" s="144">
        <f t="shared" si="1141"/>
        <v>0</v>
      </c>
      <c r="CZ371" s="144">
        <f t="shared" si="1141"/>
        <v>0</v>
      </c>
      <c r="DA371" s="144">
        <f t="shared" si="1141"/>
        <v>0</v>
      </c>
      <c r="DB371" s="9">
        <f t="shared" si="1141"/>
        <v>0</v>
      </c>
      <c r="DC371" s="144">
        <f t="shared" si="1141"/>
        <v>0</v>
      </c>
      <c r="DD371" s="144">
        <f t="shared" si="1141"/>
        <v>0</v>
      </c>
      <c r="DE371" s="144">
        <f t="shared" si="1141"/>
        <v>0</v>
      </c>
      <c r="DF371" s="144">
        <f t="shared" si="1141"/>
        <v>0</v>
      </c>
      <c r="DG371" s="144">
        <f t="shared" si="1141"/>
        <v>0</v>
      </c>
      <c r="DH371" s="144">
        <f t="shared" si="1141"/>
        <v>0</v>
      </c>
      <c r="DI371" s="144">
        <f t="shared" si="1141"/>
        <v>0</v>
      </c>
      <c r="DJ371" s="144">
        <f t="shared" si="1141"/>
        <v>0</v>
      </c>
      <c r="DK371" s="144">
        <f t="shared" si="1141"/>
        <v>0</v>
      </c>
      <c r="DL371" s="144">
        <f t="shared" si="1141"/>
        <v>0</v>
      </c>
      <c r="DM371" s="144">
        <f t="shared" si="1141"/>
        <v>0</v>
      </c>
      <c r="DN371" s="144">
        <f t="shared" si="1141"/>
        <v>0</v>
      </c>
      <c r="DO371" s="9">
        <f t="shared" si="1141"/>
        <v>0</v>
      </c>
      <c r="DP371" s="144">
        <f t="shared" si="1141"/>
        <v>0</v>
      </c>
      <c r="DQ371" s="144">
        <f t="shared" si="1141"/>
        <v>0</v>
      </c>
      <c r="DR371" s="144">
        <f t="shared" si="1141"/>
        <v>0</v>
      </c>
      <c r="DS371" s="144">
        <f t="shared" si="1141"/>
        <v>0</v>
      </c>
      <c r="DT371" s="144">
        <f t="shared" si="1141"/>
        <v>0</v>
      </c>
      <c r="DU371" s="144">
        <f t="shared" si="1141"/>
        <v>0</v>
      </c>
      <c r="DV371" s="144">
        <f t="shared" si="1141"/>
        <v>0</v>
      </c>
      <c r="DW371" s="144">
        <f t="shared" si="1141"/>
        <v>0</v>
      </c>
      <c r="DX371" s="144">
        <f t="shared" si="1141"/>
        <v>0</v>
      </c>
      <c r="DY371" s="144">
        <f t="shared" si="1141"/>
        <v>0</v>
      </c>
      <c r="DZ371" s="144">
        <f t="shared" si="1141"/>
        <v>0</v>
      </c>
      <c r="EA371" s="144">
        <f t="shared" ref="EA371:GB371" si="1142">EA159/EA$211</f>
        <v>0</v>
      </c>
      <c r="EB371" s="117">
        <f t="shared" si="1142"/>
        <v>0</v>
      </c>
      <c r="EC371" s="118"/>
      <c r="ED371" s="117">
        <f t="shared" ref="ED371:FB371" si="1143">ED159/ED$211</f>
        <v>0</v>
      </c>
      <c r="EE371" s="117">
        <f t="shared" si="1143"/>
        <v>0</v>
      </c>
      <c r="EF371" s="117">
        <f t="shared" si="1143"/>
        <v>0</v>
      </c>
      <c r="EG371" s="117" t="e">
        <f t="shared" si="1143"/>
        <v>#DIV/0!</v>
      </c>
      <c r="EH371" s="117" t="e">
        <f t="shared" si="1143"/>
        <v>#DIV/0!</v>
      </c>
      <c r="EI371" s="117" t="e">
        <f t="shared" si="1143"/>
        <v>#DIV/0!</v>
      </c>
      <c r="EJ371" s="117" t="e">
        <f t="shared" si="1143"/>
        <v>#DIV/0!</v>
      </c>
      <c r="EK371" s="117" t="e">
        <f t="shared" si="1143"/>
        <v>#DIV/0!</v>
      </c>
      <c r="EL371" s="117" t="e">
        <f t="shared" si="1143"/>
        <v>#DIV/0!</v>
      </c>
      <c r="EM371" s="117" t="e">
        <f t="shared" si="1143"/>
        <v>#DIV/0!</v>
      </c>
      <c r="EN371" s="117" t="e">
        <f t="shared" si="1143"/>
        <v>#DIV/0!</v>
      </c>
      <c r="EO371" s="116">
        <f t="shared" si="1143"/>
        <v>0</v>
      </c>
      <c r="EP371" s="117">
        <f t="shared" si="1143"/>
        <v>0</v>
      </c>
      <c r="EQ371" s="117">
        <f t="shared" si="1143"/>
        <v>0</v>
      </c>
      <c r="ER371" s="117">
        <f t="shared" si="1143"/>
        <v>0</v>
      </c>
      <c r="ES371" s="117">
        <f t="shared" si="1143"/>
        <v>0</v>
      </c>
      <c r="ET371" s="117">
        <f t="shared" si="1143"/>
        <v>0</v>
      </c>
      <c r="EU371" s="117">
        <f t="shared" si="1143"/>
        <v>0</v>
      </c>
      <c r="EV371" s="117">
        <f t="shared" si="1143"/>
        <v>0</v>
      </c>
      <c r="EW371" s="117">
        <f t="shared" si="1143"/>
        <v>0</v>
      </c>
      <c r="EX371" s="117">
        <f t="shared" si="1143"/>
        <v>0</v>
      </c>
      <c r="EY371" s="117">
        <f t="shared" si="1143"/>
        <v>0</v>
      </c>
      <c r="EZ371" s="117">
        <f t="shared" si="1143"/>
        <v>0</v>
      </c>
      <c r="FA371" s="117">
        <f t="shared" si="1143"/>
        <v>0</v>
      </c>
      <c r="FB371" s="117">
        <f t="shared" si="1143"/>
        <v>0</v>
      </c>
      <c r="FC371" s="118"/>
      <c r="FD371" s="117"/>
      <c r="FE371" s="117"/>
      <c r="FF371" s="117"/>
      <c r="FG371" s="117"/>
      <c r="FH371" s="117"/>
      <c r="FI371" s="117"/>
      <c r="FJ371" s="117"/>
      <c r="FK371" s="117" t="e">
        <f t="shared" si="991"/>
        <v>#DIV/0!</v>
      </c>
      <c r="FL371" s="117" t="e">
        <f t="shared" si="992"/>
        <v>#DIV/0!</v>
      </c>
      <c r="FM371" s="117" t="e">
        <f t="shared" si="993"/>
        <v>#DIV/0!</v>
      </c>
      <c r="FN371" s="117" t="e">
        <f t="shared" si="994"/>
        <v>#DIV/0!</v>
      </c>
      <c r="FO371" s="9" t="e">
        <f t="shared" si="995"/>
        <v>#DIV/0!</v>
      </c>
      <c r="FP371" s="118">
        <f t="shared" si="1142"/>
        <v>0</v>
      </c>
      <c r="FQ371" s="117">
        <f t="shared" si="1142"/>
        <v>0</v>
      </c>
      <c r="FR371" s="117">
        <f t="shared" si="1142"/>
        <v>0</v>
      </c>
      <c r="FS371" s="117">
        <f t="shared" si="1142"/>
        <v>0</v>
      </c>
      <c r="FT371" s="117">
        <f t="shared" si="1142"/>
        <v>0</v>
      </c>
      <c r="FU371" s="117">
        <f t="shared" si="1142"/>
        <v>0</v>
      </c>
      <c r="FV371" s="117">
        <f t="shared" si="1142"/>
        <v>0</v>
      </c>
      <c r="FW371" s="117">
        <f t="shared" si="1142"/>
        <v>0</v>
      </c>
      <c r="FX371" s="117">
        <f t="shared" si="1142"/>
        <v>0</v>
      </c>
      <c r="FY371" s="117">
        <f t="shared" si="1142"/>
        <v>0</v>
      </c>
      <c r="FZ371" s="117">
        <f t="shared" si="1142"/>
        <v>0</v>
      </c>
      <c r="GA371" s="117">
        <f t="shared" si="1142"/>
        <v>0</v>
      </c>
      <c r="GB371" s="116">
        <f t="shared" si="1142"/>
        <v>0</v>
      </c>
    </row>
    <row r="372" spans="1:184">
      <c r="A372" s="147" t="s">
        <v>331</v>
      </c>
      <c r="B372" s="160" t="e">
        <f t="shared" si="997"/>
        <v>#DIV/0!</v>
      </c>
      <c r="C372" s="117">
        <f t="shared" ref="C372:BN372" si="1144">C160/C$211</f>
        <v>0</v>
      </c>
      <c r="D372" s="117">
        <f t="shared" si="1144"/>
        <v>0</v>
      </c>
      <c r="E372" s="117">
        <f t="shared" si="1144"/>
        <v>0</v>
      </c>
      <c r="F372" s="117">
        <f t="shared" si="1144"/>
        <v>0</v>
      </c>
      <c r="G372" s="117">
        <f t="shared" si="1144"/>
        <v>0</v>
      </c>
      <c r="H372" s="117">
        <f t="shared" si="1144"/>
        <v>0</v>
      </c>
      <c r="I372" s="117">
        <f t="shared" si="1144"/>
        <v>0</v>
      </c>
      <c r="J372" s="117">
        <f t="shared" si="1144"/>
        <v>0</v>
      </c>
      <c r="K372" s="117">
        <f t="shared" si="1144"/>
        <v>0</v>
      </c>
      <c r="L372" s="117">
        <f t="shared" si="1144"/>
        <v>0</v>
      </c>
      <c r="M372" s="117">
        <f t="shared" si="1144"/>
        <v>0</v>
      </c>
      <c r="N372" s="117">
        <f t="shared" si="1144"/>
        <v>0</v>
      </c>
      <c r="O372" s="9">
        <f t="shared" si="1144"/>
        <v>0</v>
      </c>
      <c r="P372" s="117">
        <f t="shared" si="1144"/>
        <v>0</v>
      </c>
      <c r="Q372" s="117">
        <f t="shared" si="1144"/>
        <v>0</v>
      </c>
      <c r="R372" s="117">
        <f t="shared" si="1144"/>
        <v>0</v>
      </c>
      <c r="S372" s="117">
        <f t="shared" si="1144"/>
        <v>0</v>
      </c>
      <c r="T372" s="117">
        <f t="shared" si="1144"/>
        <v>0</v>
      </c>
      <c r="U372" s="117">
        <f t="shared" si="1144"/>
        <v>0</v>
      </c>
      <c r="V372" s="117">
        <f t="shared" si="1144"/>
        <v>0</v>
      </c>
      <c r="W372" s="117">
        <f t="shared" si="1144"/>
        <v>0</v>
      </c>
      <c r="X372" s="117">
        <f t="shared" si="1144"/>
        <v>0</v>
      </c>
      <c r="Y372" s="117">
        <f t="shared" si="1144"/>
        <v>0</v>
      </c>
      <c r="Z372" s="117">
        <f t="shared" si="1144"/>
        <v>0</v>
      </c>
      <c r="AA372" s="117">
        <f t="shared" si="1144"/>
        <v>0</v>
      </c>
      <c r="AB372" s="9">
        <f t="shared" si="1144"/>
        <v>0</v>
      </c>
      <c r="AC372" s="117">
        <f t="shared" si="1144"/>
        <v>0</v>
      </c>
      <c r="AD372" s="117">
        <f t="shared" si="1144"/>
        <v>0</v>
      </c>
      <c r="AE372" s="117">
        <f t="shared" si="1144"/>
        <v>0</v>
      </c>
      <c r="AF372" s="117">
        <f t="shared" si="1144"/>
        <v>0</v>
      </c>
      <c r="AG372" s="117">
        <f t="shared" si="1144"/>
        <v>0</v>
      </c>
      <c r="AH372" s="117">
        <f t="shared" si="1144"/>
        <v>0</v>
      </c>
      <c r="AI372" s="117">
        <f t="shared" si="1144"/>
        <v>0</v>
      </c>
      <c r="AJ372" s="117">
        <f t="shared" si="1144"/>
        <v>0</v>
      </c>
      <c r="AK372" s="117">
        <f t="shared" si="1144"/>
        <v>0</v>
      </c>
      <c r="AL372" s="117">
        <f t="shared" si="1144"/>
        <v>0</v>
      </c>
      <c r="AM372" s="117">
        <f t="shared" si="1144"/>
        <v>0</v>
      </c>
      <c r="AN372" s="117">
        <f t="shared" si="1144"/>
        <v>0</v>
      </c>
      <c r="AO372" s="9">
        <f t="shared" si="1144"/>
        <v>0</v>
      </c>
      <c r="AP372" s="144">
        <f t="shared" si="1144"/>
        <v>0</v>
      </c>
      <c r="AQ372" s="144">
        <f t="shared" si="1144"/>
        <v>0</v>
      </c>
      <c r="AR372" s="144">
        <f t="shared" si="1144"/>
        <v>0</v>
      </c>
      <c r="AS372" s="144">
        <f t="shared" si="1144"/>
        <v>0</v>
      </c>
      <c r="AT372" s="144">
        <f t="shared" si="1144"/>
        <v>0</v>
      </c>
      <c r="AU372" s="144">
        <f t="shared" si="1144"/>
        <v>0</v>
      </c>
      <c r="AV372" s="144">
        <f t="shared" si="1144"/>
        <v>0</v>
      </c>
      <c r="AW372" s="144">
        <f t="shared" si="1144"/>
        <v>0</v>
      </c>
      <c r="AX372" s="144">
        <f t="shared" si="1144"/>
        <v>0</v>
      </c>
      <c r="AY372" s="144">
        <f t="shared" si="1144"/>
        <v>0</v>
      </c>
      <c r="AZ372" s="144">
        <f t="shared" si="1144"/>
        <v>0</v>
      </c>
      <c r="BA372" s="144">
        <f t="shared" si="1144"/>
        <v>0</v>
      </c>
      <c r="BB372" s="9">
        <f t="shared" si="1144"/>
        <v>0</v>
      </c>
      <c r="BC372" s="144">
        <f t="shared" si="1144"/>
        <v>0</v>
      </c>
      <c r="BD372" s="144">
        <f t="shared" si="1144"/>
        <v>0</v>
      </c>
      <c r="BE372" s="144">
        <f t="shared" si="1144"/>
        <v>0</v>
      </c>
      <c r="BF372" s="144">
        <f t="shared" si="1144"/>
        <v>0</v>
      </c>
      <c r="BG372" s="144">
        <f t="shared" si="1144"/>
        <v>0</v>
      </c>
      <c r="BH372" s="144">
        <f t="shared" si="1144"/>
        <v>0</v>
      </c>
      <c r="BI372" s="144">
        <f t="shared" si="1144"/>
        <v>0</v>
      </c>
      <c r="BJ372" s="144">
        <f t="shared" si="1144"/>
        <v>0</v>
      </c>
      <c r="BK372" s="144">
        <f t="shared" si="1144"/>
        <v>0</v>
      </c>
      <c r="BL372" s="144">
        <f t="shared" si="1144"/>
        <v>0</v>
      </c>
      <c r="BM372" s="144">
        <f t="shared" si="1144"/>
        <v>0</v>
      </c>
      <c r="BN372" s="144">
        <f t="shared" si="1144"/>
        <v>0</v>
      </c>
      <c r="BO372" s="9">
        <f t="shared" ref="BO372:DZ372" si="1145">BO160/BO$211</f>
        <v>0</v>
      </c>
      <c r="BP372" s="144">
        <f t="shared" si="1145"/>
        <v>0</v>
      </c>
      <c r="BQ372" s="144">
        <f t="shared" si="1145"/>
        <v>0</v>
      </c>
      <c r="BR372" s="144">
        <f t="shared" si="1145"/>
        <v>0</v>
      </c>
      <c r="BS372" s="144">
        <f t="shared" si="1145"/>
        <v>0</v>
      </c>
      <c r="BT372" s="144">
        <f t="shared" si="1145"/>
        <v>0</v>
      </c>
      <c r="BU372" s="144">
        <f t="shared" si="1145"/>
        <v>0</v>
      </c>
      <c r="BV372" s="144">
        <f t="shared" si="1145"/>
        <v>0</v>
      </c>
      <c r="BW372" s="144">
        <f t="shared" si="1145"/>
        <v>0</v>
      </c>
      <c r="BX372" s="144">
        <f t="shared" si="1145"/>
        <v>0</v>
      </c>
      <c r="BY372" s="144">
        <f t="shared" si="1145"/>
        <v>0</v>
      </c>
      <c r="BZ372" s="144">
        <f t="shared" si="1145"/>
        <v>0</v>
      </c>
      <c r="CA372" s="144">
        <f t="shared" si="1145"/>
        <v>0</v>
      </c>
      <c r="CB372" s="9">
        <f t="shared" si="1145"/>
        <v>0</v>
      </c>
      <c r="CC372" s="144">
        <f t="shared" si="1145"/>
        <v>0</v>
      </c>
      <c r="CD372" s="144">
        <f t="shared" si="1145"/>
        <v>0</v>
      </c>
      <c r="CE372" s="144">
        <f t="shared" si="1145"/>
        <v>0</v>
      </c>
      <c r="CF372" s="144">
        <f t="shared" si="1145"/>
        <v>0</v>
      </c>
      <c r="CG372" s="144">
        <f t="shared" si="1145"/>
        <v>0</v>
      </c>
      <c r="CH372" s="144">
        <f t="shared" si="1145"/>
        <v>0</v>
      </c>
      <c r="CI372" s="144">
        <f t="shared" si="1145"/>
        <v>0</v>
      </c>
      <c r="CJ372" s="144">
        <f t="shared" si="1145"/>
        <v>0</v>
      </c>
      <c r="CK372" s="144">
        <f t="shared" si="1145"/>
        <v>0</v>
      </c>
      <c r="CL372" s="144">
        <f t="shared" si="1145"/>
        <v>0</v>
      </c>
      <c r="CM372" s="144">
        <f t="shared" si="1145"/>
        <v>0</v>
      </c>
      <c r="CN372" s="144">
        <f t="shared" si="1145"/>
        <v>0</v>
      </c>
      <c r="CO372" s="9">
        <f t="shared" si="1145"/>
        <v>0</v>
      </c>
      <c r="CP372" s="144">
        <f t="shared" si="1145"/>
        <v>0</v>
      </c>
      <c r="CQ372" s="144">
        <f t="shared" si="1145"/>
        <v>0</v>
      </c>
      <c r="CR372" s="144">
        <f t="shared" si="1145"/>
        <v>0</v>
      </c>
      <c r="CS372" s="144">
        <f t="shared" si="1145"/>
        <v>0</v>
      </c>
      <c r="CT372" s="144">
        <f t="shared" si="1145"/>
        <v>0</v>
      </c>
      <c r="CU372" s="144">
        <f t="shared" si="1145"/>
        <v>0</v>
      </c>
      <c r="CV372" s="144">
        <f t="shared" si="1145"/>
        <v>0</v>
      </c>
      <c r="CW372" s="144">
        <f t="shared" si="1145"/>
        <v>0</v>
      </c>
      <c r="CX372" s="144">
        <f t="shared" si="1145"/>
        <v>0</v>
      </c>
      <c r="CY372" s="144">
        <f t="shared" si="1145"/>
        <v>0</v>
      </c>
      <c r="CZ372" s="144">
        <f t="shared" si="1145"/>
        <v>0</v>
      </c>
      <c r="DA372" s="144">
        <f t="shared" si="1145"/>
        <v>0</v>
      </c>
      <c r="DB372" s="9">
        <f t="shared" si="1145"/>
        <v>0</v>
      </c>
      <c r="DC372" s="144">
        <f t="shared" si="1145"/>
        <v>0</v>
      </c>
      <c r="DD372" s="144">
        <f t="shared" si="1145"/>
        <v>0</v>
      </c>
      <c r="DE372" s="144">
        <f t="shared" si="1145"/>
        <v>0</v>
      </c>
      <c r="DF372" s="144">
        <f t="shared" si="1145"/>
        <v>0</v>
      </c>
      <c r="DG372" s="144">
        <f t="shared" si="1145"/>
        <v>0</v>
      </c>
      <c r="DH372" s="144">
        <f t="shared" si="1145"/>
        <v>0</v>
      </c>
      <c r="DI372" s="144">
        <f t="shared" si="1145"/>
        <v>0</v>
      </c>
      <c r="DJ372" s="144">
        <f t="shared" si="1145"/>
        <v>0</v>
      </c>
      <c r="DK372" s="144">
        <f t="shared" si="1145"/>
        <v>0</v>
      </c>
      <c r="DL372" s="144">
        <f t="shared" si="1145"/>
        <v>0</v>
      </c>
      <c r="DM372" s="144">
        <f t="shared" si="1145"/>
        <v>0</v>
      </c>
      <c r="DN372" s="144">
        <f t="shared" si="1145"/>
        <v>0</v>
      </c>
      <c r="DO372" s="9">
        <f t="shared" si="1145"/>
        <v>0</v>
      </c>
      <c r="DP372" s="144">
        <f t="shared" si="1145"/>
        <v>0</v>
      </c>
      <c r="DQ372" s="144">
        <f t="shared" si="1145"/>
        <v>0</v>
      </c>
      <c r="DR372" s="144">
        <f t="shared" si="1145"/>
        <v>0</v>
      </c>
      <c r="DS372" s="144">
        <f t="shared" si="1145"/>
        <v>0</v>
      </c>
      <c r="DT372" s="144">
        <f t="shared" si="1145"/>
        <v>0</v>
      </c>
      <c r="DU372" s="144">
        <f t="shared" si="1145"/>
        <v>0</v>
      </c>
      <c r="DV372" s="144">
        <f t="shared" si="1145"/>
        <v>0</v>
      </c>
      <c r="DW372" s="144">
        <f t="shared" si="1145"/>
        <v>0</v>
      </c>
      <c r="DX372" s="144">
        <f t="shared" si="1145"/>
        <v>0</v>
      </c>
      <c r="DY372" s="144">
        <f t="shared" si="1145"/>
        <v>0</v>
      </c>
      <c r="DZ372" s="144">
        <f t="shared" si="1145"/>
        <v>0</v>
      </c>
      <c r="EA372" s="144">
        <f t="shared" ref="EA372:GB372" si="1146">EA160/EA$211</f>
        <v>0</v>
      </c>
      <c r="EB372" s="117">
        <f t="shared" si="1146"/>
        <v>0</v>
      </c>
      <c r="EC372" s="118"/>
      <c r="ED372" s="117">
        <f t="shared" ref="ED372:FB372" si="1147">ED160/ED$211</f>
        <v>0</v>
      </c>
      <c r="EE372" s="117">
        <f t="shared" si="1147"/>
        <v>0</v>
      </c>
      <c r="EF372" s="117">
        <f t="shared" si="1147"/>
        <v>0</v>
      </c>
      <c r="EG372" s="117" t="e">
        <f t="shared" si="1147"/>
        <v>#DIV/0!</v>
      </c>
      <c r="EH372" s="117" t="e">
        <f t="shared" si="1147"/>
        <v>#DIV/0!</v>
      </c>
      <c r="EI372" s="117" t="e">
        <f t="shared" si="1147"/>
        <v>#DIV/0!</v>
      </c>
      <c r="EJ372" s="117" t="e">
        <f t="shared" si="1147"/>
        <v>#DIV/0!</v>
      </c>
      <c r="EK372" s="117" t="e">
        <f t="shared" si="1147"/>
        <v>#DIV/0!</v>
      </c>
      <c r="EL372" s="117" t="e">
        <f t="shared" si="1147"/>
        <v>#DIV/0!</v>
      </c>
      <c r="EM372" s="117" t="e">
        <f t="shared" si="1147"/>
        <v>#DIV/0!</v>
      </c>
      <c r="EN372" s="117" t="e">
        <f t="shared" si="1147"/>
        <v>#DIV/0!</v>
      </c>
      <c r="EO372" s="116">
        <f t="shared" si="1147"/>
        <v>0</v>
      </c>
      <c r="EP372" s="117">
        <f t="shared" si="1147"/>
        <v>0</v>
      </c>
      <c r="EQ372" s="117">
        <f t="shared" si="1147"/>
        <v>0</v>
      </c>
      <c r="ER372" s="117">
        <f t="shared" si="1147"/>
        <v>0</v>
      </c>
      <c r="ES372" s="117">
        <f t="shared" si="1147"/>
        <v>0</v>
      </c>
      <c r="ET372" s="117">
        <f t="shared" si="1147"/>
        <v>0</v>
      </c>
      <c r="EU372" s="117">
        <f t="shared" si="1147"/>
        <v>0</v>
      </c>
      <c r="EV372" s="117">
        <f t="shared" si="1147"/>
        <v>0</v>
      </c>
      <c r="EW372" s="117">
        <f t="shared" si="1147"/>
        <v>0</v>
      </c>
      <c r="EX372" s="117">
        <f t="shared" si="1147"/>
        <v>0</v>
      </c>
      <c r="EY372" s="117">
        <f t="shared" si="1147"/>
        <v>0</v>
      </c>
      <c r="EZ372" s="117">
        <f t="shared" si="1147"/>
        <v>0</v>
      </c>
      <c r="FA372" s="117">
        <f t="shared" si="1147"/>
        <v>0</v>
      </c>
      <c r="FB372" s="117">
        <f t="shared" si="1147"/>
        <v>0</v>
      </c>
      <c r="FC372" s="118"/>
      <c r="FD372" s="117"/>
      <c r="FE372" s="117"/>
      <c r="FF372" s="117"/>
      <c r="FG372" s="117"/>
      <c r="FH372" s="117"/>
      <c r="FI372" s="117"/>
      <c r="FJ372" s="117"/>
      <c r="FK372" s="117" t="e">
        <f t="shared" si="991"/>
        <v>#DIV/0!</v>
      </c>
      <c r="FL372" s="117" t="e">
        <f t="shared" si="992"/>
        <v>#DIV/0!</v>
      </c>
      <c r="FM372" s="117" t="e">
        <f t="shared" si="993"/>
        <v>#DIV/0!</v>
      </c>
      <c r="FN372" s="117" t="e">
        <f t="shared" si="994"/>
        <v>#DIV/0!</v>
      </c>
      <c r="FO372" s="9" t="e">
        <f t="shared" si="995"/>
        <v>#DIV/0!</v>
      </c>
      <c r="FP372" s="118">
        <f t="shared" si="1146"/>
        <v>0</v>
      </c>
      <c r="FQ372" s="117">
        <f t="shared" si="1146"/>
        <v>0</v>
      </c>
      <c r="FR372" s="117">
        <f t="shared" si="1146"/>
        <v>0</v>
      </c>
      <c r="FS372" s="117">
        <f t="shared" si="1146"/>
        <v>0</v>
      </c>
      <c r="FT372" s="117">
        <f t="shared" si="1146"/>
        <v>0</v>
      </c>
      <c r="FU372" s="117">
        <f t="shared" si="1146"/>
        <v>0</v>
      </c>
      <c r="FV372" s="117">
        <f t="shared" si="1146"/>
        <v>0</v>
      </c>
      <c r="FW372" s="117">
        <f t="shared" si="1146"/>
        <v>0</v>
      </c>
      <c r="FX372" s="117">
        <f t="shared" si="1146"/>
        <v>0</v>
      </c>
      <c r="FY372" s="117">
        <f t="shared" si="1146"/>
        <v>0</v>
      </c>
      <c r="FZ372" s="117">
        <f t="shared" si="1146"/>
        <v>0</v>
      </c>
      <c r="GA372" s="117">
        <f t="shared" si="1146"/>
        <v>0</v>
      </c>
      <c r="GB372" s="116">
        <f t="shared" si="1146"/>
        <v>0</v>
      </c>
    </row>
    <row r="373" spans="1:184">
      <c r="A373" s="147" t="s">
        <v>332</v>
      </c>
      <c r="B373" s="160" t="e">
        <f t="shared" si="997"/>
        <v>#DIV/0!</v>
      </c>
      <c r="C373" s="117">
        <f t="shared" ref="C373:BN373" si="1148">C161/C$211</f>
        <v>0</v>
      </c>
      <c r="D373" s="117">
        <f t="shared" si="1148"/>
        <v>0</v>
      </c>
      <c r="E373" s="117">
        <f t="shared" si="1148"/>
        <v>0</v>
      </c>
      <c r="F373" s="117">
        <f t="shared" si="1148"/>
        <v>0</v>
      </c>
      <c r="G373" s="117">
        <f t="shared" si="1148"/>
        <v>0</v>
      </c>
      <c r="H373" s="117">
        <f t="shared" si="1148"/>
        <v>0</v>
      </c>
      <c r="I373" s="117">
        <f t="shared" si="1148"/>
        <v>0</v>
      </c>
      <c r="J373" s="117">
        <f t="shared" si="1148"/>
        <v>0</v>
      </c>
      <c r="K373" s="117">
        <f t="shared" si="1148"/>
        <v>0</v>
      </c>
      <c r="L373" s="117">
        <f t="shared" si="1148"/>
        <v>0</v>
      </c>
      <c r="M373" s="117">
        <f t="shared" si="1148"/>
        <v>0.00129420285601955</v>
      </c>
      <c r="N373" s="117">
        <f t="shared" si="1148"/>
        <v>0.00193344953644481</v>
      </c>
      <c r="O373" s="9">
        <f t="shared" si="1148"/>
        <v>0.000272753020152762</v>
      </c>
      <c r="P373" s="117">
        <f t="shared" si="1148"/>
        <v>0</v>
      </c>
      <c r="Q373" s="117">
        <f t="shared" si="1148"/>
        <v>0</v>
      </c>
      <c r="R373" s="117">
        <f t="shared" si="1148"/>
        <v>0</v>
      </c>
      <c r="S373" s="117">
        <f t="shared" si="1148"/>
        <v>0</v>
      </c>
      <c r="T373" s="117">
        <f t="shared" si="1148"/>
        <v>0</v>
      </c>
      <c r="U373" s="117">
        <f t="shared" si="1148"/>
        <v>0</v>
      </c>
      <c r="V373" s="117">
        <f t="shared" si="1148"/>
        <v>0</v>
      </c>
      <c r="W373" s="117">
        <f t="shared" si="1148"/>
        <v>0</v>
      </c>
      <c r="X373" s="117">
        <f t="shared" si="1148"/>
        <v>0</v>
      </c>
      <c r="Y373" s="117">
        <f t="shared" si="1148"/>
        <v>0</v>
      </c>
      <c r="Z373" s="117">
        <f t="shared" si="1148"/>
        <v>0.00583699660672898</v>
      </c>
      <c r="AA373" s="117">
        <f t="shared" si="1148"/>
        <v>0.00583760734247359</v>
      </c>
      <c r="AB373" s="9">
        <f t="shared" si="1148"/>
        <v>0.00101742461565744</v>
      </c>
      <c r="AC373" s="117">
        <f t="shared" si="1148"/>
        <v>0</v>
      </c>
      <c r="AD373" s="117">
        <f t="shared" si="1148"/>
        <v>0</v>
      </c>
      <c r="AE373" s="117">
        <f t="shared" si="1148"/>
        <v>0</v>
      </c>
      <c r="AF373" s="117">
        <f t="shared" si="1148"/>
        <v>0</v>
      </c>
      <c r="AG373" s="117">
        <f t="shared" si="1148"/>
        <v>0</v>
      </c>
      <c r="AH373" s="117">
        <f t="shared" si="1148"/>
        <v>0</v>
      </c>
      <c r="AI373" s="117">
        <f t="shared" si="1148"/>
        <v>0</v>
      </c>
      <c r="AJ373" s="117">
        <f t="shared" si="1148"/>
        <v>0</v>
      </c>
      <c r="AK373" s="117">
        <f t="shared" si="1148"/>
        <v>0</v>
      </c>
      <c r="AL373" s="117">
        <f t="shared" si="1148"/>
        <v>0</v>
      </c>
      <c r="AM373" s="117">
        <f t="shared" si="1148"/>
        <v>0.00093552317440113</v>
      </c>
      <c r="AN373" s="117">
        <f t="shared" si="1148"/>
        <v>0.0028839105535064</v>
      </c>
      <c r="AO373" s="9">
        <f t="shared" si="1148"/>
        <v>0.000343963686787675</v>
      </c>
      <c r="AP373" s="144">
        <f t="shared" si="1148"/>
        <v>0</v>
      </c>
      <c r="AQ373" s="144">
        <f t="shared" si="1148"/>
        <v>0</v>
      </c>
      <c r="AR373" s="144">
        <f t="shared" si="1148"/>
        <v>0</v>
      </c>
      <c r="AS373" s="144">
        <f t="shared" si="1148"/>
        <v>0</v>
      </c>
      <c r="AT373" s="144">
        <f t="shared" si="1148"/>
        <v>0</v>
      </c>
      <c r="AU373" s="144">
        <f t="shared" si="1148"/>
        <v>0</v>
      </c>
      <c r="AV373" s="144">
        <f t="shared" si="1148"/>
        <v>0</v>
      </c>
      <c r="AW373" s="144">
        <f t="shared" si="1148"/>
        <v>0</v>
      </c>
      <c r="AX373" s="144">
        <f t="shared" si="1148"/>
        <v>0</v>
      </c>
      <c r="AY373" s="144">
        <f t="shared" si="1148"/>
        <v>0</v>
      </c>
      <c r="AZ373" s="144">
        <f t="shared" si="1148"/>
        <v>0.00100327767514544</v>
      </c>
      <c r="BA373" s="144">
        <f t="shared" si="1148"/>
        <v>0.000376429898153365</v>
      </c>
      <c r="BB373" s="9">
        <f t="shared" si="1148"/>
        <v>0.00012814320184367</v>
      </c>
      <c r="BC373" s="144">
        <f t="shared" si="1148"/>
        <v>0</v>
      </c>
      <c r="BD373" s="144">
        <f t="shared" si="1148"/>
        <v>0</v>
      </c>
      <c r="BE373" s="144">
        <f t="shared" si="1148"/>
        <v>0</v>
      </c>
      <c r="BF373" s="144">
        <f t="shared" si="1148"/>
        <v>0</v>
      </c>
      <c r="BG373" s="144">
        <f t="shared" si="1148"/>
        <v>0</v>
      </c>
      <c r="BH373" s="144">
        <f t="shared" si="1148"/>
        <v>0</v>
      </c>
      <c r="BI373" s="144">
        <f t="shared" si="1148"/>
        <v>0</v>
      </c>
      <c r="BJ373" s="144">
        <f t="shared" si="1148"/>
        <v>0</v>
      </c>
      <c r="BK373" s="144">
        <f t="shared" si="1148"/>
        <v>0</v>
      </c>
      <c r="BL373" s="144">
        <f t="shared" si="1148"/>
        <v>0</v>
      </c>
      <c r="BM373" s="144">
        <f t="shared" si="1148"/>
        <v>0</v>
      </c>
      <c r="BN373" s="144">
        <f t="shared" si="1148"/>
        <v>0</v>
      </c>
      <c r="BO373" s="9">
        <f t="shared" ref="BO373:DZ373" si="1149">BO161/BO$211</f>
        <v>0</v>
      </c>
      <c r="BP373" s="144">
        <f t="shared" si="1149"/>
        <v>0</v>
      </c>
      <c r="BQ373" s="144">
        <f t="shared" si="1149"/>
        <v>0</v>
      </c>
      <c r="BR373" s="144">
        <f t="shared" si="1149"/>
        <v>0</v>
      </c>
      <c r="BS373" s="144">
        <f t="shared" si="1149"/>
        <v>0</v>
      </c>
      <c r="BT373" s="144">
        <f t="shared" si="1149"/>
        <v>0</v>
      </c>
      <c r="BU373" s="144">
        <f t="shared" si="1149"/>
        <v>0</v>
      </c>
      <c r="BV373" s="144">
        <f t="shared" si="1149"/>
        <v>0</v>
      </c>
      <c r="BW373" s="144">
        <f t="shared" si="1149"/>
        <v>0</v>
      </c>
      <c r="BX373" s="144">
        <f t="shared" si="1149"/>
        <v>0</v>
      </c>
      <c r="BY373" s="144">
        <f t="shared" si="1149"/>
        <v>0</v>
      </c>
      <c r="BZ373" s="144">
        <f t="shared" si="1149"/>
        <v>0</v>
      </c>
      <c r="CA373" s="144">
        <f t="shared" si="1149"/>
        <v>0</v>
      </c>
      <c r="CB373" s="9">
        <f t="shared" si="1149"/>
        <v>0</v>
      </c>
      <c r="CC373" s="144">
        <f t="shared" si="1149"/>
        <v>0</v>
      </c>
      <c r="CD373" s="144">
        <f t="shared" si="1149"/>
        <v>0</v>
      </c>
      <c r="CE373" s="144">
        <f t="shared" si="1149"/>
        <v>0</v>
      </c>
      <c r="CF373" s="144">
        <f t="shared" si="1149"/>
        <v>0</v>
      </c>
      <c r="CG373" s="144">
        <f t="shared" si="1149"/>
        <v>0</v>
      </c>
      <c r="CH373" s="144">
        <f t="shared" si="1149"/>
        <v>0</v>
      </c>
      <c r="CI373" s="144">
        <f t="shared" si="1149"/>
        <v>0</v>
      </c>
      <c r="CJ373" s="144">
        <f t="shared" si="1149"/>
        <v>0</v>
      </c>
      <c r="CK373" s="144">
        <f t="shared" si="1149"/>
        <v>0</v>
      </c>
      <c r="CL373" s="144">
        <f t="shared" si="1149"/>
        <v>0</v>
      </c>
      <c r="CM373" s="144">
        <f t="shared" si="1149"/>
        <v>0.00126510520833317</v>
      </c>
      <c r="CN373" s="144">
        <f t="shared" si="1149"/>
        <v>0.00294378274824641</v>
      </c>
      <c r="CO373" s="9">
        <f t="shared" si="1149"/>
        <v>0.000314220546315038</v>
      </c>
      <c r="CP373" s="144">
        <f t="shared" si="1149"/>
        <v>0</v>
      </c>
      <c r="CQ373" s="144">
        <f t="shared" si="1149"/>
        <v>0</v>
      </c>
      <c r="CR373" s="144">
        <f t="shared" si="1149"/>
        <v>0</v>
      </c>
      <c r="CS373" s="144">
        <f t="shared" si="1149"/>
        <v>0</v>
      </c>
      <c r="CT373" s="144">
        <f t="shared" si="1149"/>
        <v>0</v>
      </c>
      <c r="CU373" s="144">
        <f t="shared" si="1149"/>
        <v>0</v>
      </c>
      <c r="CV373" s="144">
        <f t="shared" si="1149"/>
        <v>0</v>
      </c>
      <c r="CW373" s="144">
        <f t="shared" si="1149"/>
        <v>0</v>
      </c>
      <c r="CX373" s="144">
        <f t="shared" si="1149"/>
        <v>0</v>
      </c>
      <c r="CY373" s="144">
        <f t="shared" si="1149"/>
        <v>0</v>
      </c>
      <c r="CZ373" s="144">
        <f t="shared" si="1149"/>
        <v>0.00213557696869447</v>
      </c>
      <c r="DA373" s="144">
        <f t="shared" si="1149"/>
        <v>0.00114829887516131</v>
      </c>
      <c r="DB373" s="9">
        <f t="shared" si="1149"/>
        <v>0.000264445526990643</v>
      </c>
      <c r="DC373" s="144">
        <f t="shared" si="1149"/>
        <v>0</v>
      </c>
      <c r="DD373" s="144">
        <f t="shared" si="1149"/>
        <v>0</v>
      </c>
      <c r="DE373" s="144">
        <f t="shared" si="1149"/>
        <v>0</v>
      </c>
      <c r="DF373" s="144">
        <f t="shared" si="1149"/>
        <v>0</v>
      </c>
      <c r="DG373" s="144">
        <f t="shared" si="1149"/>
        <v>0</v>
      </c>
      <c r="DH373" s="144">
        <f t="shared" si="1149"/>
        <v>0</v>
      </c>
      <c r="DI373" s="144">
        <f t="shared" si="1149"/>
        <v>0</v>
      </c>
      <c r="DJ373" s="144">
        <f t="shared" si="1149"/>
        <v>0</v>
      </c>
      <c r="DK373" s="144">
        <f t="shared" si="1149"/>
        <v>0</v>
      </c>
      <c r="DL373" s="144">
        <f t="shared" si="1149"/>
        <v>0</v>
      </c>
      <c r="DM373" s="144">
        <f t="shared" si="1149"/>
        <v>0</v>
      </c>
      <c r="DN373" s="144">
        <f t="shared" si="1149"/>
        <v>0</v>
      </c>
      <c r="DO373" s="9">
        <f t="shared" si="1149"/>
        <v>0</v>
      </c>
      <c r="DP373" s="144">
        <f t="shared" si="1149"/>
        <v>0</v>
      </c>
      <c r="DQ373" s="144">
        <f t="shared" si="1149"/>
        <v>0</v>
      </c>
      <c r="DR373" s="144">
        <f t="shared" si="1149"/>
        <v>0</v>
      </c>
      <c r="DS373" s="144">
        <f t="shared" si="1149"/>
        <v>0</v>
      </c>
      <c r="DT373" s="144">
        <f t="shared" si="1149"/>
        <v>0</v>
      </c>
      <c r="DU373" s="144">
        <f t="shared" si="1149"/>
        <v>0</v>
      </c>
      <c r="DV373" s="144">
        <f t="shared" si="1149"/>
        <v>0</v>
      </c>
      <c r="DW373" s="144">
        <f t="shared" si="1149"/>
        <v>0</v>
      </c>
      <c r="DX373" s="144">
        <f t="shared" si="1149"/>
        <v>0</v>
      </c>
      <c r="DY373" s="144">
        <f t="shared" si="1149"/>
        <v>0</v>
      </c>
      <c r="DZ373" s="144">
        <f t="shared" si="1149"/>
        <v>0.00181609971941489</v>
      </c>
      <c r="EA373" s="144">
        <f t="shared" ref="EA373:GB373" si="1150">EA161/EA$211</f>
        <v>0.0106871496305926</v>
      </c>
      <c r="EB373" s="117">
        <f t="shared" si="1150"/>
        <v>0.000857816822170699</v>
      </c>
      <c r="EC373" s="118"/>
      <c r="ED373" s="117">
        <f t="shared" ref="ED373:FB373" si="1151">ED161/ED$211</f>
        <v>0</v>
      </c>
      <c r="EE373" s="117">
        <f t="shared" si="1151"/>
        <v>0</v>
      </c>
      <c r="EF373" s="117">
        <f t="shared" si="1151"/>
        <v>0</v>
      </c>
      <c r="EG373" s="117" t="e">
        <f t="shared" si="1151"/>
        <v>#DIV/0!</v>
      </c>
      <c r="EH373" s="117" t="e">
        <f t="shared" si="1151"/>
        <v>#DIV/0!</v>
      </c>
      <c r="EI373" s="117" t="e">
        <f t="shared" si="1151"/>
        <v>#DIV/0!</v>
      </c>
      <c r="EJ373" s="117" t="e">
        <f t="shared" si="1151"/>
        <v>#DIV/0!</v>
      </c>
      <c r="EK373" s="117" t="e">
        <f t="shared" si="1151"/>
        <v>#DIV/0!</v>
      </c>
      <c r="EL373" s="117" t="e">
        <f t="shared" si="1151"/>
        <v>#DIV/0!</v>
      </c>
      <c r="EM373" s="117" t="e">
        <f t="shared" si="1151"/>
        <v>#DIV/0!</v>
      </c>
      <c r="EN373" s="117" t="e">
        <f t="shared" si="1151"/>
        <v>#DIV/0!</v>
      </c>
      <c r="EO373" s="116">
        <f t="shared" si="1151"/>
        <v>0</v>
      </c>
      <c r="EP373" s="117">
        <f t="shared" si="1151"/>
        <v>0</v>
      </c>
      <c r="EQ373" s="117">
        <f t="shared" si="1151"/>
        <v>0</v>
      </c>
      <c r="ER373" s="117">
        <f t="shared" si="1151"/>
        <v>0</v>
      </c>
      <c r="ES373" s="117">
        <f t="shared" si="1151"/>
        <v>0</v>
      </c>
      <c r="ET373" s="117">
        <f t="shared" si="1151"/>
        <v>0</v>
      </c>
      <c r="EU373" s="117">
        <f t="shared" si="1151"/>
        <v>0</v>
      </c>
      <c r="EV373" s="117">
        <f t="shared" si="1151"/>
        <v>0</v>
      </c>
      <c r="EW373" s="117">
        <f t="shared" si="1151"/>
        <v>0</v>
      </c>
      <c r="EX373" s="117">
        <f t="shared" si="1151"/>
        <v>0</v>
      </c>
      <c r="EY373" s="117">
        <f t="shared" si="1151"/>
        <v>0</v>
      </c>
      <c r="EZ373" s="117">
        <f t="shared" si="1151"/>
        <v>0.00181084114666496</v>
      </c>
      <c r="FA373" s="117">
        <f t="shared" si="1151"/>
        <v>0.00289408350051412</v>
      </c>
      <c r="FB373" s="117">
        <f t="shared" si="1151"/>
        <v>0.000405732101653421</v>
      </c>
      <c r="FC373" s="118"/>
      <c r="FD373" s="117"/>
      <c r="FE373" s="117"/>
      <c r="FF373" s="117"/>
      <c r="FG373" s="117"/>
      <c r="FH373" s="117"/>
      <c r="FI373" s="117"/>
      <c r="FJ373" s="117"/>
      <c r="FK373" s="117" t="e">
        <f t="shared" si="991"/>
        <v>#DIV/0!</v>
      </c>
      <c r="FL373" s="117" t="e">
        <f t="shared" si="992"/>
        <v>#DIV/0!</v>
      </c>
      <c r="FM373" s="117" t="e">
        <f t="shared" si="993"/>
        <v>#DIV/0!</v>
      </c>
      <c r="FN373" s="117" t="e">
        <f t="shared" si="994"/>
        <v>#DIV/0!</v>
      </c>
      <c r="FO373" s="9" t="e">
        <f t="shared" si="995"/>
        <v>#DIV/0!</v>
      </c>
      <c r="FP373" s="118">
        <f t="shared" si="1150"/>
        <v>0</v>
      </c>
      <c r="FQ373" s="117">
        <f t="shared" si="1150"/>
        <v>0</v>
      </c>
      <c r="FR373" s="117">
        <f t="shared" si="1150"/>
        <v>0</v>
      </c>
      <c r="FS373" s="117">
        <f t="shared" si="1150"/>
        <v>0</v>
      </c>
      <c r="FT373" s="117">
        <f t="shared" si="1150"/>
        <v>0</v>
      </c>
      <c r="FU373" s="117">
        <f t="shared" si="1150"/>
        <v>0</v>
      </c>
      <c r="FV373" s="117">
        <f t="shared" si="1150"/>
        <v>0</v>
      </c>
      <c r="FW373" s="117">
        <f t="shared" si="1150"/>
        <v>0</v>
      </c>
      <c r="FX373" s="117">
        <f t="shared" si="1150"/>
        <v>0</v>
      </c>
      <c r="FY373" s="117">
        <f t="shared" si="1150"/>
        <v>0</v>
      </c>
      <c r="FZ373" s="117">
        <f t="shared" si="1150"/>
        <v>0</v>
      </c>
      <c r="GA373" s="117">
        <f t="shared" si="1150"/>
        <v>0</v>
      </c>
      <c r="GB373" s="116">
        <f t="shared" si="1150"/>
        <v>0</v>
      </c>
    </row>
    <row r="374" spans="1:184">
      <c r="A374" s="147" t="s">
        <v>333</v>
      </c>
      <c r="B374" s="160" t="e">
        <f t="shared" si="997"/>
        <v>#DIV/0!</v>
      </c>
      <c r="C374" s="117">
        <f t="shared" ref="C374:BN374" si="1152">C162/C$211</f>
        <v>0</v>
      </c>
      <c r="D374" s="117">
        <f t="shared" si="1152"/>
        <v>0</v>
      </c>
      <c r="E374" s="117">
        <f t="shared" si="1152"/>
        <v>0</v>
      </c>
      <c r="F374" s="117">
        <f t="shared" si="1152"/>
        <v>0</v>
      </c>
      <c r="G374" s="117">
        <f t="shared" si="1152"/>
        <v>0</v>
      </c>
      <c r="H374" s="117">
        <f t="shared" si="1152"/>
        <v>0.00494661290762295</v>
      </c>
      <c r="I374" s="117">
        <f t="shared" si="1152"/>
        <v>0.00297256948010405</v>
      </c>
      <c r="J374" s="117">
        <f t="shared" si="1152"/>
        <v>0.000754683197707844</v>
      </c>
      <c r="K374" s="117">
        <f t="shared" si="1152"/>
        <v>0</v>
      </c>
      <c r="L374" s="117">
        <f t="shared" si="1152"/>
        <v>0</v>
      </c>
      <c r="M374" s="117">
        <f t="shared" si="1152"/>
        <v>0</v>
      </c>
      <c r="N374" s="117">
        <f t="shared" si="1152"/>
        <v>0</v>
      </c>
      <c r="O374" s="9">
        <f t="shared" si="1152"/>
        <v>0.000611118429971661</v>
      </c>
      <c r="P374" s="117">
        <f t="shared" si="1152"/>
        <v>0</v>
      </c>
      <c r="Q374" s="117">
        <f t="shared" si="1152"/>
        <v>0</v>
      </c>
      <c r="R374" s="117">
        <f t="shared" si="1152"/>
        <v>0</v>
      </c>
      <c r="S374" s="117">
        <f t="shared" si="1152"/>
        <v>0</v>
      </c>
      <c r="T374" s="117">
        <f t="shared" si="1152"/>
        <v>0</v>
      </c>
      <c r="U374" s="117">
        <f t="shared" si="1152"/>
        <v>0.00287672875400687</v>
      </c>
      <c r="V374" s="117">
        <f t="shared" si="1152"/>
        <v>0.00205815667128386</v>
      </c>
      <c r="W374" s="117">
        <f t="shared" si="1152"/>
        <v>0.00131180994748182</v>
      </c>
      <c r="X374" s="117">
        <f t="shared" si="1152"/>
        <v>0</v>
      </c>
      <c r="Y374" s="117">
        <f t="shared" si="1152"/>
        <v>0</v>
      </c>
      <c r="Z374" s="117">
        <f t="shared" si="1152"/>
        <v>0</v>
      </c>
      <c r="AA374" s="117">
        <f t="shared" si="1152"/>
        <v>0</v>
      </c>
      <c r="AB374" s="9">
        <f t="shared" si="1152"/>
        <v>0.000478078697566012</v>
      </c>
      <c r="AC374" s="117">
        <f t="shared" si="1152"/>
        <v>0</v>
      </c>
      <c r="AD374" s="117">
        <f t="shared" si="1152"/>
        <v>0</v>
      </c>
      <c r="AE374" s="117">
        <f t="shared" si="1152"/>
        <v>0</v>
      </c>
      <c r="AF374" s="117">
        <f t="shared" si="1152"/>
        <v>0</v>
      </c>
      <c r="AG374" s="117">
        <f t="shared" si="1152"/>
        <v>0</v>
      </c>
      <c r="AH374" s="117">
        <f t="shared" si="1152"/>
        <v>0.000756502287916913</v>
      </c>
      <c r="AI374" s="117">
        <f t="shared" si="1152"/>
        <v>0.00181163859647895</v>
      </c>
      <c r="AJ374" s="117">
        <f t="shared" si="1152"/>
        <v>0.000535307563719163</v>
      </c>
      <c r="AK374" s="117">
        <f t="shared" si="1152"/>
        <v>0</v>
      </c>
      <c r="AL374" s="117">
        <f t="shared" si="1152"/>
        <v>0</v>
      </c>
      <c r="AM374" s="117">
        <f t="shared" si="1152"/>
        <v>0</v>
      </c>
      <c r="AN374" s="117">
        <f t="shared" si="1152"/>
        <v>0</v>
      </c>
      <c r="AO374" s="9">
        <f t="shared" si="1152"/>
        <v>0.000252356142863464</v>
      </c>
      <c r="AP374" s="144">
        <f t="shared" si="1152"/>
        <v>0</v>
      </c>
      <c r="AQ374" s="144">
        <f t="shared" si="1152"/>
        <v>0</v>
      </c>
      <c r="AR374" s="144">
        <f t="shared" si="1152"/>
        <v>0</v>
      </c>
      <c r="AS374" s="144">
        <f t="shared" si="1152"/>
        <v>0</v>
      </c>
      <c r="AT374" s="144">
        <f t="shared" si="1152"/>
        <v>0</v>
      </c>
      <c r="AU374" s="144">
        <f t="shared" si="1152"/>
        <v>0.00415596753827281</v>
      </c>
      <c r="AV374" s="144">
        <f t="shared" si="1152"/>
        <v>0.00153799418068122</v>
      </c>
      <c r="AW374" s="144">
        <f t="shared" si="1152"/>
        <v>0.000615932141139313</v>
      </c>
      <c r="AX374" s="144">
        <f t="shared" si="1152"/>
        <v>0</v>
      </c>
      <c r="AY374" s="144">
        <f t="shared" si="1152"/>
        <v>0</v>
      </c>
      <c r="AZ374" s="144">
        <f t="shared" si="1152"/>
        <v>0</v>
      </c>
      <c r="BA374" s="144">
        <f t="shared" si="1152"/>
        <v>0</v>
      </c>
      <c r="BB374" s="9">
        <f t="shared" si="1152"/>
        <v>0.000466237337861734</v>
      </c>
      <c r="BC374" s="144">
        <f t="shared" si="1152"/>
        <v>0</v>
      </c>
      <c r="BD374" s="144">
        <f t="shared" si="1152"/>
        <v>0</v>
      </c>
      <c r="BE374" s="144">
        <f t="shared" si="1152"/>
        <v>0</v>
      </c>
      <c r="BF374" s="144">
        <f t="shared" si="1152"/>
        <v>0</v>
      </c>
      <c r="BG374" s="144">
        <f t="shared" si="1152"/>
        <v>0</v>
      </c>
      <c r="BH374" s="144">
        <f t="shared" si="1152"/>
        <v>0.00401892424447105</v>
      </c>
      <c r="BI374" s="144">
        <f t="shared" si="1152"/>
        <v>0.00132384523328607</v>
      </c>
      <c r="BJ374" s="144">
        <f t="shared" si="1152"/>
        <v>0.000588087714433214</v>
      </c>
      <c r="BK374" s="144">
        <f t="shared" si="1152"/>
        <v>0</v>
      </c>
      <c r="BL374" s="144">
        <f t="shared" si="1152"/>
        <v>0</v>
      </c>
      <c r="BM374" s="144">
        <f t="shared" si="1152"/>
        <v>0</v>
      </c>
      <c r="BN374" s="144">
        <f t="shared" si="1152"/>
        <v>0</v>
      </c>
      <c r="BO374" s="9">
        <f t="shared" ref="BO374:DZ374" si="1153">BO162/BO$211</f>
        <v>0.000419787151006154</v>
      </c>
      <c r="BP374" s="144">
        <f t="shared" si="1153"/>
        <v>0</v>
      </c>
      <c r="BQ374" s="144">
        <f t="shared" si="1153"/>
        <v>0</v>
      </c>
      <c r="BR374" s="144">
        <f t="shared" si="1153"/>
        <v>0</v>
      </c>
      <c r="BS374" s="144">
        <f t="shared" si="1153"/>
        <v>0</v>
      </c>
      <c r="BT374" s="144">
        <f t="shared" si="1153"/>
        <v>0</v>
      </c>
      <c r="BU374" s="144">
        <f t="shared" si="1153"/>
        <v>0.00177288310629336</v>
      </c>
      <c r="BV374" s="144">
        <f t="shared" si="1153"/>
        <v>0.00363247452753291</v>
      </c>
      <c r="BW374" s="144">
        <f t="shared" si="1153"/>
        <v>0.00101252263043107</v>
      </c>
      <c r="BX374" s="144">
        <f t="shared" si="1153"/>
        <v>0</v>
      </c>
      <c r="BY374" s="144">
        <f t="shared" si="1153"/>
        <v>0</v>
      </c>
      <c r="BZ374" s="144">
        <f t="shared" si="1153"/>
        <v>0</v>
      </c>
      <c r="CA374" s="144">
        <f t="shared" si="1153"/>
        <v>0</v>
      </c>
      <c r="CB374" s="9">
        <f t="shared" si="1153"/>
        <v>0.000441352392882203</v>
      </c>
      <c r="CC374" s="144">
        <f t="shared" si="1153"/>
        <v>0</v>
      </c>
      <c r="CD374" s="144">
        <f t="shared" si="1153"/>
        <v>0</v>
      </c>
      <c r="CE374" s="144">
        <f t="shared" si="1153"/>
        <v>0</v>
      </c>
      <c r="CF374" s="144">
        <f t="shared" si="1153"/>
        <v>0</v>
      </c>
      <c r="CG374" s="144">
        <f t="shared" si="1153"/>
        <v>0</v>
      </c>
      <c r="CH374" s="144">
        <f t="shared" si="1153"/>
        <v>0.00278805085878927</v>
      </c>
      <c r="CI374" s="144">
        <f t="shared" si="1153"/>
        <v>0.00125834266975358</v>
      </c>
      <c r="CJ374" s="144">
        <f t="shared" si="1153"/>
        <v>0</v>
      </c>
      <c r="CK374" s="144">
        <f t="shared" si="1153"/>
        <v>0</v>
      </c>
      <c r="CL374" s="144">
        <f t="shared" si="1153"/>
        <v>0</v>
      </c>
      <c r="CM374" s="144">
        <f t="shared" si="1153"/>
        <v>0</v>
      </c>
      <c r="CN374" s="144">
        <f t="shared" si="1153"/>
        <v>0</v>
      </c>
      <c r="CO374" s="9">
        <f t="shared" si="1153"/>
        <v>0.000361439581709747</v>
      </c>
      <c r="CP374" s="144">
        <f t="shared" si="1153"/>
        <v>0</v>
      </c>
      <c r="CQ374" s="144">
        <f t="shared" si="1153"/>
        <v>0</v>
      </c>
      <c r="CR374" s="144">
        <f t="shared" si="1153"/>
        <v>0</v>
      </c>
      <c r="CS374" s="144">
        <f t="shared" si="1153"/>
        <v>0</v>
      </c>
      <c r="CT374" s="144">
        <f t="shared" si="1153"/>
        <v>0</v>
      </c>
      <c r="CU374" s="144">
        <f t="shared" si="1153"/>
        <v>0</v>
      </c>
      <c r="CV374" s="144">
        <f t="shared" si="1153"/>
        <v>0</v>
      </c>
      <c r="CW374" s="144">
        <f t="shared" si="1153"/>
        <v>0</v>
      </c>
      <c r="CX374" s="144">
        <f t="shared" si="1153"/>
        <v>0</v>
      </c>
      <c r="CY374" s="144">
        <f t="shared" si="1153"/>
        <v>0</v>
      </c>
      <c r="CZ374" s="144">
        <f t="shared" si="1153"/>
        <v>0</v>
      </c>
      <c r="DA374" s="144">
        <f t="shared" si="1153"/>
        <v>0</v>
      </c>
      <c r="DB374" s="9">
        <f t="shared" si="1153"/>
        <v>0</v>
      </c>
      <c r="DC374" s="144">
        <f t="shared" si="1153"/>
        <v>0</v>
      </c>
      <c r="DD374" s="144">
        <f t="shared" si="1153"/>
        <v>0</v>
      </c>
      <c r="DE374" s="144">
        <f t="shared" si="1153"/>
        <v>0</v>
      </c>
      <c r="DF374" s="144">
        <f t="shared" si="1153"/>
        <v>0</v>
      </c>
      <c r="DG374" s="144">
        <f t="shared" si="1153"/>
        <v>0</v>
      </c>
      <c r="DH374" s="144">
        <f t="shared" si="1153"/>
        <v>0</v>
      </c>
      <c r="DI374" s="144">
        <f t="shared" si="1153"/>
        <v>0</v>
      </c>
      <c r="DJ374" s="144">
        <f t="shared" si="1153"/>
        <v>0</v>
      </c>
      <c r="DK374" s="144">
        <f t="shared" si="1153"/>
        <v>0</v>
      </c>
      <c r="DL374" s="144">
        <f t="shared" si="1153"/>
        <v>0</v>
      </c>
      <c r="DM374" s="144">
        <f t="shared" si="1153"/>
        <v>0</v>
      </c>
      <c r="DN374" s="144">
        <f t="shared" si="1153"/>
        <v>0</v>
      </c>
      <c r="DO374" s="9">
        <f t="shared" si="1153"/>
        <v>0</v>
      </c>
      <c r="DP374" s="144">
        <f t="shared" si="1153"/>
        <v>0</v>
      </c>
      <c r="DQ374" s="144">
        <f t="shared" si="1153"/>
        <v>0</v>
      </c>
      <c r="DR374" s="144">
        <f t="shared" si="1153"/>
        <v>0</v>
      </c>
      <c r="DS374" s="144">
        <f t="shared" si="1153"/>
        <v>0</v>
      </c>
      <c r="DT374" s="144">
        <f t="shared" si="1153"/>
        <v>0</v>
      </c>
      <c r="DU374" s="144">
        <f t="shared" si="1153"/>
        <v>0.00604303431574015</v>
      </c>
      <c r="DV374" s="144">
        <f t="shared" si="1153"/>
        <v>0.0058262166511311</v>
      </c>
      <c r="DW374" s="144">
        <f t="shared" si="1153"/>
        <v>0.00303157187138831</v>
      </c>
      <c r="DX374" s="144">
        <f t="shared" si="1153"/>
        <v>0</v>
      </c>
      <c r="DY374" s="144">
        <f t="shared" si="1153"/>
        <v>0</v>
      </c>
      <c r="DZ374" s="144">
        <f t="shared" si="1153"/>
        <v>0</v>
      </c>
      <c r="EA374" s="144">
        <f t="shared" ref="EA374:GB374" si="1154">EA162/EA$211</f>
        <v>0</v>
      </c>
      <c r="EB374" s="117">
        <f t="shared" si="1154"/>
        <v>0.00113883326973751</v>
      </c>
      <c r="EC374" s="118"/>
      <c r="ED374" s="117">
        <f t="shared" ref="ED374:FB374" si="1155">ED162/ED$211</f>
        <v>0</v>
      </c>
      <c r="EE374" s="117">
        <f t="shared" si="1155"/>
        <v>0</v>
      </c>
      <c r="EF374" s="117">
        <f t="shared" si="1155"/>
        <v>0</v>
      </c>
      <c r="EG374" s="117" t="e">
        <f t="shared" si="1155"/>
        <v>#DIV/0!</v>
      </c>
      <c r="EH374" s="117" t="e">
        <f t="shared" si="1155"/>
        <v>#DIV/0!</v>
      </c>
      <c r="EI374" s="117" t="e">
        <f t="shared" si="1155"/>
        <v>#DIV/0!</v>
      </c>
      <c r="EJ374" s="117" t="e">
        <f t="shared" si="1155"/>
        <v>#DIV/0!</v>
      </c>
      <c r="EK374" s="117" t="e">
        <f t="shared" si="1155"/>
        <v>#DIV/0!</v>
      </c>
      <c r="EL374" s="117" t="e">
        <f t="shared" si="1155"/>
        <v>#DIV/0!</v>
      </c>
      <c r="EM374" s="117" t="e">
        <f t="shared" si="1155"/>
        <v>#DIV/0!</v>
      </c>
      <c r="EN374" s="117" t="e">
        <f t="shared" si="1155"/>
        <v>#DIV/0!</v>
      </c>
      <c r="EO374" s="116">
        <f t="shared" si="1155"/>
        <v>0</v>
      </c>
      <c r="EP374" s="117">
        <f t="shared" si="1155"/>
        <v>0</v>
      </c>
      <c r="EQ374" s="117">
        <f t="shared" si="1155"/>
        <v>0</v>
      </c>
      <c r="ER374" s="117">
        <f t="shared" si="1155"/>
        <v>0</v>
      </c>
      <c r="ES374" s="117">
        <f t="shared" si="1155"/>
        <v>0</v>
      </c>
      <c r="ET374" s="117">
        <f t="shared" si="1155"/>
        <v>0</v>
      </c>
      <c r="EU374" s="117">
        <f t="shared" si="1155"/>
        <v>0.00312506463681888</v>
      </c>
      <c r="EV374" s="117">
        <f t="shared" si="1155"/>
        <v>0.00196869312004721</v>
      </c>
      <c r="EW374" s="117">
        <f t="shared" si="1155"/>
        <v>0.00187493054930733</v>
      </c>
      <c r="EX374" s="117">
        <f t="shared" si="1155"/>
        <v>0</v>
      </c>
      <c r="EY374" s="117">
        <f t="shared" si="1155"/>
        <v>0</v>
      </c>
      <c r="EZ374" s="117">
        <f t="shared" si="1155"/>
        <v>0</v>
      </c>
      <c r="FA374" s="117">
        <f t="shared" si="1155"/>
        <v>0</v>
      </c>
      <c r="FB374" s="117">
        <f t="shared" si="1155"/>
        <v>0.000531560411659862</v>
      </c>
      <c r="FC374" s="118"/>
      <c r="FD374" s="117"/>
      <c r="FE374" s="117"/>
      <c r="FF374" s="117"/>
      <c r="FG374" s="117"/>
      <c r="FH374" s="117"/>
      <c r="FI374" s="117"/>
      <c r="FJ374" s="117"/>
      <c r="FK374" s="117" t="e">
        <f t="shared" si="991"/>
        <v>#DIV/0!</v>
      </c>
      <c r="FL374" s="117" t="e">
        <f t="shared" si="992"/>
        <v>#DIV/0!</v>
      </c>
      <c r="FM374" s="117" t="e">
        <f t="shared" si="993"/>
        <v>#DIV/0!</v>
      </c>
      <c r="FN374" s="117" t="e">
        <f t="shared" si="994"/>
        <v>#DIV/0!</v>
      </c>
      <c r="FO374" s="9" t="e">
        <f t="shared" si="995"/>
        <v>#DIV/0!</v>
      </c>
      <c r="FP374" s="118">
        <f t="shared" si="1154"/>
        <v>0</v>
      </c>
      <c r="FQ374" s="117">
        <f t="shared" si="1154"/>
        <v>0</v>
      </c>
      <c r="FR374" s="117">
        <f t="shared" si="1154"/>
        <v>0</v>
      </c>
      <c r="FS374" s="117">
        <f t="shared" si="1154"/>
        <v>0</v>
      </c>
      <c r="FT374" s="117">
        <f t="shared" si="1154"/>
        <v>0</v>
      </c>
      <c r="FU374" s="117">
        <f t="shared" si="1154"/>
        <v>0.0145762987337146</v>
      </c>
      <c r="FV374" s="117">
        <f t="shared" si="1154"/>
        <v>0.00500319557968879</v>
      </c>
      <c r="FW374" s="117">
        <f t="shared" si="1154"/>
        <v>0</v>
      </c>
      <c r="FX374" s="117">
        <f t="shared" si="1154"/>
        <v>0</v>
      </c>
      <c r="FY374" s="117">
        <f t="shared" si="1154"/>
        <v>0</v>
      </c>
      <c r="FZ374" s="117">
        <f t="shared" si="1154"/>
        <v>0</v>
      </c>
      <c r="GA374" s="117">
        <f t="shared" si="1154"/>
        <v>0</v>
      </c>
      <c r="GB374" s="116">
        <f t="shared" si="1154"/>
        <v>0.00112536317547375</v>
      </c>
    </row>
    <row r="375" spans="1:184">
      <c r="A375" s="147" t="s">
        <v>334</v>
      </c>
      <c r="B375" s="160" t="e">
        <f t="shared" si="997"/>
        <v>#DIV/0!</v>
      </c>
      <c r="C375" s="117">
        <f t="shared" ref="C375:BN375" si="1156">C163/C$211</f>
        <v>0</v>
      </c>
      <c r="D375" s="117">
        <f t="shared" si="1156"/>
        <v>0</v>
      </c>
      <c r="E375" s="117">
        <f t="shared" si="1156"/>
        <v>0</v>
      </c>
      <c r="F375" s="117">
        <f t="shared" si="1156"/>
        <v>0</v>
      </c>
      <c r="G375" s="117">
        <f t="shared" si="1156"/>
        <v>0</v>
      </c>
      <c r="H375" s="117">
        <f t="shared" si="1156"/>
        <v>0</v>
      </c>
      <c r="I375" s="117">
        <f t="shared" si="1156"/>
        <v>0</v>
      </c>
      <c r="J375" s="117">
        <f t="shared" si="1156"/>
        <v>0</v>
      </c>
      <c r="K375" s="117">
        <f t="shared" si="1156"/>
        <v>0</v>
      </c>
      <c r="L375" s="117">
        <f t="shared" si="1156"/>
        <v>0</v>
      </c>
      <c r="M375" s="117">
        <f t="shared" si="1156"/>
        <v>0</v>
      </c>
      <c r="N375" s="117">
        <f t="shared" si="1156"/>
        <v>0</v>
      </c>
      <c r="O375" s="9">
        <f t="shared" si="1156"/>
        <v>0</v>
      </c>
      <c r="P375" s="117">
        <f t="shared" si="1156"/>
        <v>0</v>
      </c>
      <c r="Q375" s="117">
        <f t="shared" si="1156"/>
        <v>0</v>
      </c>
      <c r="R375" s="117">
        <f t="shared" si="1156"/>
        <v>0</v>
      </c>
      <c r="S375" s="117">
        <f t="shared" si="1156"/>
        <v>0</v>
      </c>
      <c r="T375" s="117">
        <f t="shared" si="1156"/>
        <v>0</v>
      </c>
      <c r="U375" s="117">
        <f t="shared" si="1156"/>
        <v>0</v>
      </c>
      <c r="V375" s="117">
        <f t="shared" si="1156"/>
        <v>0</v>
      </c>
      <c r="W375" s="117">
        <f t="shared" si="1156"/>
        <v>0</v>
      </c>
      <c r="X375" s="117">
        <f t="shared" si="1156"/>
        <v>0</v>
      </c>
      <c r="Y375" s="117">
        <f t="shared" si="1156"/>
        <v>0</v>
      </c>
      <c r="Z375" s="117">
        <f t="shared" si="1156"/>
        <v>0</v>
      </c>
      <c r="AA375" s="117">
        <f t="shared" si="1156"/>
        <v>0</v>
      </c>
      <c r="AB375" s="9">
        <f t="shared" si="1156"/>
        <v>0</v>
      </c>
      <c r="AC375" s="117">
        <f t="shared" si="1156"/>
        <v>0</v>
      </c>
      <c r="AD375" s="117">
        <f t="shared" si="1156"/>
        <v>0</v>
      </c>
      <c r="AE375" s="117">
        <f t="shared" si="1156"/>
        <v>0</v>
      </c>
      <c r="AF375" s="117">
        <f t="shared" si="1156"/>
        <v>0</v>
      </c>
      <c r="AG375" s="117">
        <f t="shared" si="1156"/>
        <v>0</v>
      </c>
      <c r="AH375" s="117">
        <f t="shared" si="1156"/>
        <v>0</v>
      </c>
      <c r="AI375" s="117">
        <f t="shared" si="1156"/>
        <v>0</v>
      </c>
      <c r="AJ375" s="117">
        <f t="shared" si="1156"/>
        <v>0</v>
      </c>
      <c r="AK375" s="117">
        <f t="shared" si="1156"/>
        <v>0</v>
      </c>
      <c r="AL375" s="117">
        <f t="shared" si="1156"/>
        <v>0</v>
      </c>
      <c r="AM375" s="117">
        <f t="shared" si="1156"/>
        <v>0</v>
      </c>
      <c r="AN375" s="117">
        <f t="shared" si="1156"/>
        <v>0</v>
      </c>
      <c r="AO375" s="9">
        <f t="shared" si="1156"/>
        <v>0</v>
      </c>
      <c r="AP375" s="144">
        <f t="shared" si="1156"/>
        <v>0</v>
      </c>
      <c r="AQ375" s="144">
        <f t="shared" si="1156"/>
        <v>0</v>
      </c>
      <c r="AR375" s="144">
        <f t="shared" si="1156"/>
        <v>0</v>
      </c>
      <c r="AS375" s="144">
        <f t="shared" si="1156"/>
        <v>0</v>
      </c>
      <c r="AT375" s="144">
        <f t="shared" si="1156"/>
        <v>0</v>
      </c>
      <c r="AU375" s="144">
        <f t="shared" si="1156"/>
        <v>0</v>
      </c>
      <c r="AV375" s="144">
        <f t="shared" si="1156"/>
        <v>0</v>
      </c>
      <c r="AW375" s="144">
        <f t="shared" si="1156"/>
        <v>0</v>
      </c>
      <c r="AX375" s="144">
        <f t="shared" si="1156"/>
        <v>0</v>
      </c>
      <c r="AY375" s="144">
        <f t="shared" si="1156"/>
        <v>0</v>
      </c>
      <c r="AZ375" s="144">
        <f t="shared" si="1156"/>
        <v>0</v>
      </c>
      <c r="BA375" s="144">
        <f t="shared" si="1156"/>
        <v>0</v>
      </c>
      <c r="BB375" s="9">
        <f t="shared" si="1156"/>
        <v>0</v>
      </c>
      <c r="BC375" s="144">
        <f t="shared" si="1156"/>
        <v>0</v>
      </c>
      <c r="BD375" s="144">
        <f t="shared" si="1156"/>
        <v>0</v>
      </c>
      <c r="BE375" s="144">
        <f t="shared" si="1156"/>
        <v>0</v>
      </c>
      <c r="BF375" s="144">
        <f t="shared" si="1156"/>
        <v>0</v>
      </c>
      <c r="BG375" s="144">
        <f t="shared" si="1156"/>
        <v>0</v>
      </c>
      <c r="BH375" s="144">
        <f t="shared" si="1156"/>
        <v>0</v>
      </c>
      <c r="BI375" s="144">
        <f t="shared" si="1156"/>
        <v>0</v>
      </c>
      <c r="BJ375" s="144">
        <f t="shared" si="1156"/>
        <v>0</v>
      </c>
      <c r="BK375" s="144">
        <f t="shared" si="1156"/>
        <v>0</v>
      </c>
      <c r="BL375" s="144">
        <f t="shared" si="1156"/>
        <v>0</v>
      </c>
      <c r="BM375" s="144">
        <f t="shared" si="1156"/>
        <v>0</v>
      </c>
      <c r="BN375" s="144">
        <f t="shared" si="1156"/>
        <v>0</v>
      </c>
      <c r="BO375" s="9">
        <f t="shared" ref="BO375:DZ375" si="1157">BO163/BO$211</f>
        <v>0</v>
      </c>
      <c r="BP375" s="144">
        <f t="shared" si="1157"/>
        <v>0</v>
      </c>
      <c r="BQ375" s="144">
        <f t="shared" si="1157"/>
        <v>0</v>
      </c>
      <c r="BR375" s="144">
        <f t="shared" si="1157"/>
        <v>0</v>
      </c>
      <c r="BS375" s="144">
        <f t="shared" si="1157"/>
        <v>0</v>
      </c>
      <c r="BT375" s="144">
        <f t="shared" si="1157"/>
        <v>0</v>
      </c>
      <c r="BU375" s="144">
        <f t="shared" si="1157"/>
        <v>0</v>
      </c>
      <c r="BV375" s="144">
        <f t="shared" si="1157"/>
        <v>0</v>
      </c>
      <c r="BW375" s="144">
        <f t="shared" si="1157"/>
        <v>0</v>
      </c>
      <c r="BX375" s="144">
        <f t="shared" si="1157"/>
        <v>0</v>
      </c>
      <c r="BY375" s="144">
        <f t="shared" si="1157"/>
        <v>0</v>
      </c>
      <c r="BZ375" s="144">
        <f t="shared" si="1157"/>
        <v>0</v>
      </c>
      <c r="CA375" s="144">
        <f t="shared" si="1157"/>
        <v>0</v>
      </c>
      <c r="CB375" s="9">
        <f t="shared" si="1157"/>
        <v>0</v>
      </c>
      <c r="CC375" s="144">
        <f t="shared" si="1157"/>
        <v>0</v>
      </c>
      <c r="CD375" s="144">
        <f t="shared" si="1157"/>
        <v>0</v>
      </c>
      <c r="CE375" s="144">
        <f t="shared" si="1157"/>
        <v>0</v>
      </c>
      <c r="CF375" s="144">
        <f t="shared" si="1157"/>
        <v>0</v>
      </c>
      <c r="CG375" s="144">
        <f t="shared" si="1157"/>
        <v>0</v>
      </c>
      <c r="CH375" s="144">
        <f t="shared" si="1157"/>
        <v>0</v>
      </c>
      <c r="CI375" s="144">
        <f t="shared" si="1157"/>
        <v>0</v>
      </c>
      <c r="CJ375" s="144">
        <f t="shared" si="1157"/>
        <v>0</v>
      </c>
      <c r="CK375" s="144">
        <f t="shared" si="1157"/>
        <v>0</v>
      </c>
      <c r="CL375" s="144">
        <f t="shared" si="1157"/>
        <v>0</v>
      </c>
      <c r="CM375" s="144">
        <f t="shared" si="1157"/>
        <v>0</v>
      </c>
      <c r="CN375" s="144">
        <f t="shared" si="1157"/>
        <v>0</v>
      </c>
      <c r="CO375" s="9">
        <f t="shared" si="1157"/>
        <v>0</v>
      </c>
      <c r="CP375" s="144">
        <f t="shared" si="1157"/>
        <v>0</v>
      </c>
      <c r="CQ375" s="144">
        <f t="shared" si="1157"/>
        <v>0</v>
      </c>
      <c r="CR375" s="144">
        <f t="shared" si="1157"/>
        <v>0</v>
      </c>
      <c r="CS375" s="144">
        <f t="shared" si="1157"/>
        <v>0</v>
      </c>
      <c r="CT375" s="144">
        <f t="shared" si="1157"/>
        <v>0</v>
      </c>
      <c r="CU375" s="144">
        <f t="shared" si="1157"/>
        <v>0</v>
      </c>
      <c r="CV375" s="144">
        <f t="shared" si="1157"/>
        <v>0</v>
      </c>
      <c r="CW375" s="144">
        <f t="shared" si="1157"/>
        <v>0</v>
      </c>
      <c r="CX375" s="144">
        <f t="shared" si="1157"/>
        <v>0</v>
      </c>
      <c r="CY375" s="144">
        <f t="shared" si="1157"/>
        <v>0</v>
      </c>
      <c r="CZ375" s="144">
        <f t="shared" si="1157"/>
        <v>0</v>
      </c>
      <c r="DA375" s="144">
        <f t="shared" si="1157"/>
        <v>0</v>
      </c>
      <c r="DB375" s="9">
        <f t="shared" si="1157"/>
        <v>0</v>
      </c>
      <c r="DC375" s="144">
        <f t="shared" si="1157"/>
        <v>0</v>
      </c>
      <c r="DD375" s="144">
        <f t="shared" si="1157"/>
        <v>0</v>
      </c>
      <c r="DE375" s="144">
        <f t="shared" si="1157"/>
        <v>0</v>
      </c>
      <c r="DF375" s="144">
        <f t="shared" si="1157"/>
        <v>0</v>
      </c>
      <c r="DG375" s="144">
        <f t="shared" si="1157"/>
        <v>0</v>
      </c>
      <c r="DH375" s="144">
        <f t="shared" si="1157"/>
        <v>0</v>
      </c>
      <c r="DI375" s="144">
        <f t="shared" si="1157"/>
        <v>0</v>
      </c>
      <c r="DJ375" s="144">
        <f t="shared" si="1157"/>
        <v>0</v>
      </c>
      <c r="DK375" s="144">
        <f t="shared" si="1157"/>
        <v>0</v>
      </c>
      <c r="DL375" s="144">
        <f t="shared" si="1157"/>
        <v>0</v>
      </c>
      <c r="DM375" s="144">
        <f t="shared" si="1157"/>
        <v>0</v>
      </c>
      <c r="DN375" s="144">
        <f t="shared" si="1157"/>
        <v>0</v>
      </c>
      <c r="DO375" s="9">
        <f t="shared" si="1157"/>
        <v>0</v>
      </c>
      <c r="DP375" s="144">
        <f t="shared" si="1157"/>
        <v>0</v>
      </c>
      <c r="DQ375" s="144">
        <f t="shared" si="1157"/>
        <v>0</v>
      </c>
      <c r="DR375" s="144">
        <f t="shared" si="1157"/>
        <v>0</v>
      </c>
      <c r="DS375" s="144">
        <f t="shared" si="1157"/>
        <v>0</v>
      </c>
      <c r="DT375" s="144">
        <f t="shared" si="1157"/>
        <v>0</v>
      </c>
      <c r="DU375" s="144">
        <f t="shared" si="1157"/>
        <v>0</v>
      </c>
      <c r="DV375" s="144">
        <f t="shared" si="1157"/>
        <v>0</v>
      </c>
      <c r="DW375" s="144">
        <f t="shared" si="1157"/>
        <v>0</v>
      </c>
      <c r="DX375" s="144">
        <f t="shared" si="1157"/>
        <v>0</v>
      </c>
      <c r="DY375" s="144">
        <f t="shared" si="1157"/>
        <v>0</v>
      </c>
      <c r="DZ375" s="144">
        <f t="shared" si="1157"/>
        <v>0</v>
      </c>
      <c r="EA375" s="144">
        <f t="shared" ref="EA375:GB375" si="1158">EA163/EA$211</f>
        <v>0</v>
      </c>
      <c r="EB375" s="117">
        <f t="shared" si="1158"/>
        <v>0</v>
      </c>
      <c r="EC375" s="118"/>
      <c r="ED375" s="117">
        <f t="shared" ref="ED375:FB375" si="1159">ED163/ED$211</f>
        <v>0</v>
      </c>
      <c r="EE375" s="117">
        <f t="shared" si="1159"/>
        <v>0</v>
      </c>
      <c r="EF375" s="117">
        <f t="shared" si="1159"/>
        <v>0</v>
      </c>
      <c r="EG375" s="117" t="e">
        <f t="shared" si="1159"/>
        <v>#DIV/0!</v>
      </c>
      <c r="EH375" s="117" t="e">
        <f t="shared" si="1159"/>
        <v>#DIV/0!</v>
      </c>
      <c r="EI375" s="117" t="e">
        <f t="shared" si="1159"/>
        <v>#DIV/0!</v>
      </c>
      <c r="EJ375" s="117" t="e">
        <f t="shared" si="1159"/>
        <v>#DIV/0!</v>
      </c>
      <c r="EK375" s="117" t="e">
        <f t="shared" si="1159"/>
        <v>#DIV/0!</v>
      </c>
      <c r="EL375" s="117" t="e">
        <f t="shared" si="1159"/>
        <v>#DIV/0!</v>
      </c>
      <c r="EM375" s="117" t="e">
        <f t="shared" si="1159"/>
        <v>#DIV/0!</v>
      </c>
      <c r="EN375" s="117" t="e">
        <f t="shared" si="1159"/>
        <v>#DIV/0!</v>
      </c>
      <c r="EO375" s="116">
        <f t="shared" si="1159"/>
        <v>0</v>
      </c>
      <c r="EP375" s="117">
        <f t="shared" si="1159"/>
        <v>0</v>
      </c>
      <c r="EQ375" s="117">
        <f t="shared" si="1159"/>
        <v>0</v>
      </c>
      <c r="ER375" s="117">
        <f t="shared" si="1159"/>
        <v>0</v>
      </c>
      <c r="ES375" s="117">
        <f t="shared" si="1159"/>
        <v>0</v>
      </c>
      <c r="ET375" s="117">
        <f t="shared" si="1159"/>
        <v>0</v>
      </c>
      <c r="EU375" s="117">
        <f t="shared" si="1159"/>
        <v>0</v>
      </c>
      <c r="EV375" s="117">
        <f t="shared" si="1159"/>
        <v>0</v>
      </c>
      <c r="EW375" s="117">
        <f t="shared" si="1159"/>
        <v>0</v>
      </c>
      <c r="EX375" s="117">
        <f t="shared" si="1159"/>
        <v>0</v>
      </c>
      <c r="EY375" s="117">
        <f t="shared" si="1159"/>
        <v>0</v>
      </c>
      <c r="EZ375" s="117">
        <f t="shared" si="1159"/>
        <v>0</v>
      </c>
      <c r="FA375" s="117">
        <f t="shared" si="1159"/>
        <v>0</v>
      </c>
      <c r="FB375" s="117">
        <f t="shared" si="1159"/>
        <v>0</v>
      </c>
      <c r="FC375" s="118"/>
      <c r="FD375" s="117"/>
      <c r="FE375" s="117"/>
      <c r="FF375" s="117"/>
      <c r="FG375" s="117"/>
      <c r="FH375" s="117"/>
      <c r="FI375" s="117"/>
      <c r="FJ375" s="117"/>
      <c r="FK375" s="117" t="e">
        <f t="shared" si="991"/>
        <v>#DIV/0!</v>
      </c>
      <c r="FL375" s="117" t="e">
        <f t="shared" si="992"/>
        <v>#DIV/0!</v>
      </c>
      <c r="FM375" s="117" t="e">
        <f t="shared" si="993"/>
        <v>#DIV/0!</v>
      </c>
      <c r="FN375" s="117" t="e">
        <f t="shared" si="994"/>
        <v>#DIV/0!</v>
      </c>
      <c r="FO375" s="9" t="e">
        <f t="shared" si="995"/>
        <v>#DIV/0!</v>
      </c>
      <c r="FP375" s="118">
        <f t="shared" si="1158"/>
        <v>0</v>
      </c>
      <c r="FQ375" s="117">
        <f t="shared" si="1158"/>
        <v>0</v>
      </c>
      <c r="FR375" s="117">
        <f t="shared" si="1158"/>
        <v>0</v>
      </c>
      <c r="FS375" s="117">
        <f t="shared" si="1158"/>
        <v>0</v>
      </c>
      <c r="FT375" s="117">
        <f t="shared" si="1158"/>
        <v>0</v>
      </c>
      <c r="FU375" s="117">
        <f t="shared" si="1158"/>
        <v>0</v>
      </c>
      <c r="FV375" s="117">
        <f t="shared" si="1158"/>
        <v>0</v>
      </c>
      <c r="FW375" s="117">
        <f t="shared" si="1158"/>
        <v>0</v>
      </c>
      <c r="FX375" s="117">
        <f t="shared" si="1158"/>
        <v>0</v>
      </c>
      <c r="FY375" s="117">
        <f t="shared" si="1158"/>
        <v>0</v>
      </c>
      <c r="FZ375" s="117">
        <f t="shared" si="1158"/>
        <v>0</v>
      </c>
      <c r="GA375" s="117">
        <f t="shared" si="1158"/>
        <v>0</v>
      </c>
      <c r="GB375" s="116">
        <f t="shared" si="1158"/>
        <v>0</v>
      </c>
    </row>
    <row r="376" spans="1:184">
      <c r="A376" s="147" t="s">
        <v>335</v>
      </c>
      <c r="B376" s="160">
        <f t="shared" si="997"/>
        <v>-1</v>
      </c>
      <c r="C376" s="117">
        <f t="shared" ref="C376:BN376" si="1160">C164/C$211</f>
        <v>0</v>
      </c>
      <c r="D376" s="117">
        <f t="shared" si="1160"/>
        <v>0</v>
      </c>
      <c r="E376" s="117">
        <f t="shared" si="1160"/>
        <v>0</v>
      </c>
      <c r="F376" s="117">
        <f t="shared" si="1160"/>
        <v>0</v>
      </c>
      <c r="G376" s="117">
        <f t="shared" si="1160"/>
        <v>0</v>
      </c>
      <c r="H376" s="117">
        <f t="shared" si="1160"/>
        <v>0</v>
      </c>
      <c r="I376" s="117">
        <f t="shared" si="1160"/>
        <v>0</v>
      </c>
      <c r="J376" s="117">
        <f t="shared" si="1160"/>
        <v>0</v>
      </c>
      <c r="K376" s="117">
        <f t="shared" si="1160"/>
        <v>0</v>
      </c>
      <c r="L376" s="117">
        <f t="shared" si="1160"/>
        <v>0</v>
      </c>
      <c r="M376" s="117">
        <f t="shared" si="1160"/>
        <v>0</v>
      </c>
      <c r="N376" s="117">
        <f t="shared" si="1160"/>
        <v>0</v>
      </c>
      <c r="O376" s="9">
        <f t="shared" si="1160"/>
        <v>0</v>
      </c>
      <c r="P376" s="117">
        <f t="shared" si="1160"/>
        <v>0</v>
      </c>
      <c r="Q376" s="117">
        <f t="shared" si="1160"/>
        <v>0</v>
      </c>
      <c r="R376" s="117">
        <f t="shared" si="1160"/>
        <v>0</v>
      </c>
      <c r="S376" s="117">
        <f t="shared" si="1160"/>
        <v>0</v>
      </c>
      <c r="T376" s="117">
        <f t="shared" si="1160"/>
        <v>0</v>
      </c>
      <c r="U376" s="117">
        <f t="shared" si="1160"/>
        <v>0</v>
      </c>
      <c r="V376" s="117">
        <f t="shared" si="1160"/>
        <v>0</v>
      </c>
      <c r="W376" s="117">
        <f t="shared" si="1160"/>
        <v>0</v>
      </c>
      <c r="X376" s="117">
        <f t="shared" si="1160"/>
        <v>0</v>
      </c>
      <c r="Y376" s="117">
        <f t="shared" si="1160"/>
        <v>0</v>
      </c>
      <c r="Z376" s="117">
        <f t="shared" si="1160"/>
        <v>0</v>
      </c>
      <c r="AA376" s="117">
        <f t="shared" si="1160"/>
        <v>0</v>
      </c>
      <c r="AB376" s="9">
        <f t="shared" si="1160"/>
        <v>0</v>
      </c>
      <c r="AC376" s="117">
        <f t="shared" si="1160"/>
        <v>0</v>
      </c>
      <c r="AD376" s="117">
        <f t="shared" si="1160"/>
        <v>0</v>
      </c>
      <c r="AE376" s="117">
        <f t="shared" si="1160"/>
        <v>0</v>
      </c>
      <c r="AF376" s="117">
        <f t="shared" si="1160"/>
        <v>0</v>
      </c>
      <c r="AG376" s="117">
        <f t="shared" si="1160"/>
        <v>0</v>
      </c>
      <c r="AH376" s="117">
        <f t="shared" si="1160"/>
        <v>0</v>
      </c>
      <c r="AI376" s="117">
        <f t="shared" si="1160"/>
        <v>0</v>
      </c>
      <c r="AJ376" s="117">
        <f t="shared" si="1160"/>
        <v>0</v>
      </c>
      <c r="AK376" s="117">
        <f t="shared" si="1160"/>
        <v>0</v>
      </c>
      <c r="AL376" s="117">
        <f t="shared" si="1160"/>
        <v>0</v>
      </c>
      <c r="AM376" s="117">
        <f t="shared" si="1160"/>
        <v>0</v>
      </c>
      <c r="AN376" s="117">
        <f t="shared" si="1160"/>
        <v>0</v>
      </c>
      <c r="AO376" s="9">
        <f t="shared" si="1160"/>
        <v>0</v>
      </c>
      <c r="AP376" s="144">
        <f t="shared" si="1160"/>
        <v>0</v>
      </c>
      <c r="AQ376" s="144">
        <f t="shared" si="1160"/>
        <v>0</v>
      </c>
      <c r="AR376" s="144">
        <f t="shared" si="1160"/>
        <v>0</v>
      </c>
      <c r="AS376" s="144">
        <f t="shared" si="1160"/>
        <v>0</v>
      </c>
      <c r="AT376" s="144">
        <f t="shared" si="1160"/>
        <v>0</v>
      </c>
      <c r="AU376" s="144">
        <f t="shared" si="1160"/>
        <v>0</v>
      </c>
      <c r="AV376" s="144">
        <f t="shared" si="1160"/>
        <v>0</v>
      </c>
      <c r="AW376" s="144">
        <f t="shared" si="1160"/>
        <v>0</v>
      </c>
      <c r="AX376" s="144">
        <f t="shared" si="1160"/>
        <v>0</v>
      </c>
      <c r="AY376" s="144">
        <f t="shared" si="1160"/>
        <v>0</v>
      </c>
      <c r="AZ376" s="144">
        <f t="shared" si="1160"/>
        <v>0</v>
      </c>
      <c r="BA376" s="144">
        <f t="shared" si="1160"/>
        <v>0</v>
      </c>
      <c r="BB376" s="9">
        <f t="shared" si="1160"/>
        <v>0</v>
      </c>
      <c r="BC376" s="144">
        <f t="shared" si="1160"/>
        <v>0</v>
      </c>
      <c r="BD376" s="144">
        <f t="shared" si="1160"/>
        <v>0</v>
      </c>
      <c r="BE376" s="144">
        <f t="shared" si="1160"/>
        <v>0</v>
      </c>
      <c r="BF376" s="144">
        <f t="shared" si="1160"/>
        <v>0</v>
      </c>
      <c r="BG376" s="144">
        <f t="shared" si="1160"/>
        <v>0</v>
      </c>
      <c r="BH376" s="144">
        <f t="shared" si="1160"/>
        <v>0</v>
      </c>
      <c r="BI376" s="144">
        <f t="shared" si="1160"/>
        <v>0</v>
      </c>
      <c r="BJ376" s="144">
        <f t="shared" si="1160"/>
        <v>0</v>
      </c>
      <c r="BK376" s="144">
        <f t="shared" si="1160"/>
        <v>0</v>
      </c>
      <c r="BL376" s="144">
        <f t="shared" si="1160"/>
        <v>0</v>
      </c>
      <c r="BM376" s="144">
        <f t="shared" si="1160"/>
        <v>0</v>
      </c>
      <c r="BN376" s="144">
        <f t="shared" si="1160"/>
        <v>0</v>
      </c>
      <c r="BO376" s="9">
        <f t="shared" ref="BO376:DZ376" si="1161">BO164/BO$211</f>
        <v>0</v>
      </c>
      <c r="BP376" s="144">
        <f t="shared" si="1161"/>
        <v>0</v>
      </c>
      <c r="BQ376" s="144">
        <f t="shared" si="1161"/>
        <v>0</v>
      </c>
      <c r="BR376" s="144">
        <f t="shared" si="1161"/>
        <v>0</v>
      </c>
      <c r="BS376" s="144">
        <f t="shared" si="1161"/>
        <v>0</v>
      </c>
      <c r="BT376" s="144">
        <f t="shared" si="1161"/>
        <v>0</v>
      </c>
      <c r="BU376" s="144">
        <f t="shared" si="1161"/>
        <v>0</v>
      </c>
      <c r="BV376" s="144">
        <f t="shared" si="1161"/>
        <v>0</v>
      </c>
      <c r="BW376" s="144">
        <f t="shared" si="1161"/>
        <v>0</v>
      </c>
      <c r="BX376" s="144">
        <f t="shared" si="1161"/>
        <v>0</v>
      </c>
      <c r="BY376" s="144">
        <f t="shared" si="1161"/>
        <v>0</v>
      </c>
      <c r="BZ376" s="144">
        <f t="shared" si="1161"/>
        <v>0</v>
      </c>
      <c r="CA376" s="144">
        <f t="shared" si="1161"/>
        <v>0</v>
      </c>
      <c r="CB376" s="9">
        <f t="shared" si="1161"/>
        <v>0</v>
      </c>
      <c r="CC376" s="144">
        <f t="shared" si="1161"/>
        <v>0</v>
      </c>
      <c r="CD376" s="144">
        <f t="shared" si="1161"/>
        <v>0</v>
      </c>
      <c r="CE376" s="144">
        <f t="shared" si="1161"/>
        <v>0</v>
      </c>
      <c r="CF376" s="144">
        <f t="shared" si="1161"/>
        <v>0</v>
      </c>
      <c r="CG376" s="144">
        <f t="shared" si="1161"/>
        <v>0</v>
      </c>
      <c r="CH376" s="144">
        <f t="shared" si="1161"/>
        <v>0</v>
      </c>
      <c r="CI376" s="144">
        <f t="shared" si="1161"/>
        <v>0</v>
      </c>
      <c r="CJ376" s="144">
        <f t="shared" si="1161"/>
        <v>0</v>
      </c>
      <c r="CK376" s="144">
        <f t="shared" si="1161"/>
        <v>0</v>
      </c>
      <c r="CL376" s="144">
        <f t="shared" si="1161"/>
        <v>0</v>
      </c>
      <c r="CM376" s="144">
        <f t="shared" si="1161"/>
        <v>0</v>
      </c>
      <c r="CN376" s="144">
        <f t="shared" si="1161"/>
        <v>0</v>
      </c>
      <c r="CO376" s="9">
        <f t="shared" si="1161"/>
        <v>0</v>
      </c>
      <c r="CP376" s="144">
        <f t="shared" si="1161"/>
        <v>0</v>
      </c>
      <c r="CQ376" s="144">
        <f t="shared" si="1161"/>
        <v>0</v>
      </c>
      <c r="CR376" s="144">
        <f t="shared" si="1161"/>
        <v>0</v>
      </c>
      <c r="CS376" s="144">
        <f t="shared" si="1161"/>
        <v>0</v>
      </c>
      <c r="CT376" s="144">
        <f t="shared" si="1161"/>
        <v>0</v>
      </c>
      <c r="CU376" s="144">
        <f t="shared" si="1161"/>
        <v>0</v>
      </c>
      <c r="CV376" s="144">
        <f t="shared" si="1161"/>
        <v>0</v>
      </c>
      <c r="CW376" s="144">
        <f t="shared" si="1161"/>
        <v>0</v>
      </c>
      <c r="CX376" s="144">
        <f t="shared" si="1161"/>
        <v>0</v>
      </c>
      <c r="CY376" s="144">
        <f t="shared" si="1161"/>
        <v>0</v>
      </c>
      <c r="CZ376" s="144">
        <f t="shared" si="1161"/>
        <v>0</v>
      </c>
      <c r="DA376" s="144">
        <f t="shared" si="1161"/>
        <v>0</v>
      </c>
      <c r="DB376" s="9">
        <f t="shared" si="1161"/>
        <v>0</v>
      </c>
      <c r="DC376" s="144">
        <f t="shared" si="1161"/>
        <v>0</v>
      </c>
      <c r="DD376" s="144">
        <f t="shared" si="1161"/>
        <v>0</v>
      </c>
      <c r="DE376" s="144">
        <f t="shared" si="1161"/>
        <v>0</v>
      </c>
      <c r="DF376" s="144">
        <f t="shared" si="1161"/>
        <v>0</v>
      </c>
      <c r="DG376" s="144">
        <f t="shared" si="1161"/>
        <v>0</v>
      </c>
      <c r="DH376" s="144">
        <f t="shared" si="1161"/>
        <v>0</v>
      </c>
      <c r="DI376" s="144">
        <f t="shared" si="1161"/>
        <v>0</v>
      </c>
      <c r="DJ376" s="144">
        <f t="shared" si="1161"/>
        <v>0</v>
      </c>
      <c r="DK376" s="144">
        <f t="shared" si="1161"/>
        <v>0</v>
      </c>
      <c r="DL376" s="144">
        <f t="shared" si="1161"/>
        <v>0</v>
      </c>
      <c r="DM376" s="144">
        <f t="shared" si="1161"/>
        <v>0</v>
      </c>
      <c r="DN376" s="144">
        <f t="shared" si="1161"/>
        <v>0</v>
      </c>
      <c r="DO376" s="9">
        <f t="shared" si="1161"/>
        <v>0</v>
      </c>
      <c r="DP376" s="144">
        <f t="shared" si="1161"/>
        <v>0</v>
      </c>
      <c r="DQ376" s="144">
        <f t="shared" si="1161"/>
        <v>0</v>
      </c>
      <c r="DR376" s="144">
        <f t="shared" si="1161"/>
        <v>0</v>
      </c>
      <c r="DS376" s="144">
        <f t="shared" si="1161"/>
        <v>0</v>
      </c>
      <c r="DT376" s="144">
        <f t="shared" si="1161"/>
        <v>0</v>
      </c>
      <c r="DU376" s="144">
        <f t="shared" si="1161"/>
        <v>0</v>
      </c>
      <c r="DV376" s="144">
        <f t="shared" si="1161"/>
        <v>0</v>
      </c>
      <c r="DW376" s="144">
        <f t="shared" si="1161"/>
        <v>0</v>
      </c>
      <c r="DX376" s="144">
        <f t="shared" si="1161"/>
        <v>0</v>
      </c>
      <c r="DY376" s="144">
        <f t="shared" si="1161"/>
        <v>0</v>
      </c>
      <c r="DZ376" s="144">
        <f t="shared" si="1161"/>
        <v>0</v>
      </c>
      <c r="EA376" s="144">
        <f t="shared" ref="EA376:GB376" si="1162">EA164/EA$211</f>
        <v>0</v>
      </c>
      <c r="EB376" s="117">
        <f t="shared" si="1162"/>
        <v>0</v>
      </c>
      <c r="EC376" s="118"/>
      <c r="ED376" s="117">
        <f t="shared" ref="ED376:FB376" si="1163">ED164/ED$211</f>
        <v>0</v>
      </c>
      <c r="EE376" s="117">
        <f t="shared" si="1163"/>
        <v>0</v>
      </c>
      <c r="EF376" s="117">
        <f t="shared" si="1163"/>
        <v>0</v>
      </c>
      <c r="EG376" s="117" t="e">
        <f t="shared" si="1163"/>
        <v>#DIV/0!</v>
      </c>
      <c r="EH376" s="117" t="e">
        <f t="shared" si="1163"/>
        <v>#DIV/0!</v>
      </c>
      <c r="EI376" s="117" t="e">
        <f t="shared" si="1163"/>
        <v>#DIV/0!</v>
      </c>
      <c r="EJ376" s="117" t="e">
        <f t="shared" si="1163"/>
        <v>#DIV/0!</v>
      </c>
      <c r="EK376" s="117" t="e">
        <f t="shared" si="1163"/>
        <v>#DIV/0!</v>
      </c>
      <c r="EL376" s="117" t="e">
        <f t="shared" si="1163"/>
        <v>#DIV/0!</v>
      </c>
      <c r="EM376" s="117" t="e">
        <f t="shared" si="1163"/>
        <v>#DIV/0!</v>
      </c>
      <c r="EN376" s="117" t="e">
        <f t="shared" si="1163"/>
        <v>#DIV/0!</v>
      </c>
      <c r="EO376" s="116">
        <f t="shared" si="1163"/>
        <v>0</v>
      </c>
      <c r="EP376" s="117">
        <f t="shared" si="1163"/>
        <v>0</v>
      </c>
      <c r="EQ376" s="117">
        <f t="shared" si="1163"/>
        <v>0</v>
      </c>
      <c r="ER376" s="117">
        <f t="shared" si="1163"/>
        <v>0</v>
      </c>
      <c r="ES376" s="117">
        <f t="shared" si="1163"/>
        <v>0</v>
      </c>
      <c r="ET376" s="117">
        <f t="shared" si="1163"/>
        <v>0</v>
      </c>
      <c r="EU376" s="117">
        <f t="shared" si="1163"/>
        <v>0</v>
      </c>
      <c r="EV376" s="117">
        <f t="shared" si="1163"/>
        <v>0</v>
      </c>
      <c r="EW376" s="117">
        <f t="shared" si="1163"/>
        <v>0</v>
      </c>
      <c r="EX376" s="117">
        <f t="shared" si="1163"/>
        <v>0</v>
      </c>
      <c r="EY376" s="117">
        <f t="shared" si="1163"/>
        <v>0</v>
      </c>
      <c r="EZ376" s="117">
        <f t="shared" si="1163"/>
        <v>0</v>
      </c>
      <c r="FA376" s="117">
        <f t="shared" si="1163"/>
        <v>0</v>
      </c>
      <c r="FB376" s="117">
        <f t="shared" si="1163"/>
        <v>0</v>
      </c>
      <c r="FC376" s="118"/>
      <c r="FD376" s="117"/>
      <c r="FE376" s="117"/>
      <c r="FF376" s="117"/>
      <c r="FG376" s="117"/>
      <c r="FH376" s="117"/>
      <c r="FI376" s="117"/>
      <c r="FJ376" s="117"/>
      <c r="FK376" s="117" t="e">
        <f t="shared" si="991"/>
        <v>#DIV/0!</v>
      </c>
      <c r="FL376" s="117" t="e">
        <f t="shared" si="992"/>
        <v>#DIV/0!</v>
      </c>
      <c r="FM376" s="117" t="e">
        <f t="shared" si="993"/>
        <v>#DIV/0!</v>
      </c>
      <c r="FN376" s="117" t="e">
        <f t="shared" si="994"/>
        <v>#DIV/0!</v>
      </c>
      <c r="FO376" s="9" t="e">
        <f t="shared" si="995"/>
        <v>#DIV/0!</v>
      </c>
      <c r="FP376" s="118">
        <f t="shared" si="1162"/>
        <v>0</v>
      </c>
      <c r="FQ376" s="117">
        <f t="shared" si="1162"/>
        <v>0</v>
      </c>
      <c r="FR376" s="117">
        <f t="shared" si="1162"/>
        <v>0</v>
      </c>
      <c r="FS376" s="117">
        <f t="shared" si="1162"/>
        <v>0</v>
      </c>
      <c r="FT376" s="117">
        <f t="shared" si="1162"/>
        <v>0</v>
      </c>
      <c r="FU376" s="117">
        <f t="shared" si="1162"/>
        <v>0</v>
      </c>
      <c r="FV376" s="117">
        <f t="shared" si="1162"/>
        <v>0</v>
      </c>
      <c r="FW376" s="117">
        <f t="shared" si="1162"/>
        <v>0</v>
      </c>
      <c r="FX376" s="117">
        <f t="shared" si="1162"/>
        <v>0</v>
      </c>
      <c r="FY376" s="117">
        <f t="shared" si="1162"/>
        <v>0</v>
      </c>
      <c r="FZ376" s="117">
        <f t="shared" si="1162"/>
        <v>0</v>
      </c>
      <c r="GA376" s="117">
        <f t="shared" si="1162"/>
        <v>0</v>
      </c>
      <c r="GB376" s="116">
        <f t="shared" si="1162"/>
        <v>0</v>
      </c>
    </row>
    <row r="377" spans="1:184">
      <c r="A377" s="147" t="s">
        <v>336</v>
      </c>
      <c r="B377" s="160" t="e">
        <f t="shared" si="997"/>
        <v>#DIV/0!</v>
      </c>
      <c r="C377" s="117">
        <f t="shared" ref="C377:BN377" si="1164">C165/C$211</f>
        <v>0</v>
      </c>
      <c r="D377" s="117">
        <f t="shared" si="1164"/>
        <v>0</v>
      </c>
      <c r="E377" s="117">
        <f t="shared" si="1164"/>
        <v>0</v>
      </c>
      <c r="F377" s="117">
        <f t="shared" si="1164"/>
        <v>0</v>
      </c>
      <c r="G377" s="117">
        <f t="shared" si="1164"/>
        <v>0</v>
      </c>
      <c r="H377" s="117">
        <f t="shared" si="1164"/>
        <v>0</v>
      </c>
      <c r="I377" s="117">
        <f t="shared" si="1164"/>
        <v>0</v>
      </c>
      <c r="J377" s="117">
        <f t="shared" si="1164"/>
        <v>0</v>
      </c>
      <c r="K377" s="117">
        <f t="shared" si="1164"/>
        <v>0</v>
      </c>
      <c r="L377" s="117">
        <f t="shared" si="1164"/>
        <v>0</v>
      </c>
      <c r="M377" s="117">
        <f t="shared" si="1164"/>
        <v>0</v>
      </c>
      <c r="N377" s="117">
        <f t="shared" si="1164"/>
        <v>0</v>
      </c>
      <c r="O377" s="9">
        <f t="shared" si="1164"/>
        <v>0</v>
      </c>
      <c r="P377" s="117">
        <f t="shared" si="1164"/>
        <v>0</v>
      </c>
      <c r="Q377" s="117">
        <f t="shared" si="1164"/>
        <v>0</v>
      </c>
      <c r="R377" s="117">
        <f t="shared" si="1164"/>
        <v>0</v>
      </c>
      <c r="S377" s="117">
        <f t="shared" si="1164"/>
        <v>0</v>
      </c>
      <c r="T377" s="117">
        <f t="shared" si="1164"/>
        <v>0</v>
      </c>
      <c r="U377" s="117">
        <f t="shared" si="1164"/>
        <v>0</v>
      </c>
      <c r="V377" s="117">
        <f t="shared" si="1164"/>
        <v>0</v>
      </c>
      <c r="W377" s="117">
        <f t="shared" si="1164"/>
        <v>0</v>
      </c>
      <c r="X377" s="117">
        <f t="shared" si="1164"/>
        <v>0</v>
      </c>
      <c r="Y377" s="117">
        <f t="shared" si="1164"/>
        <v>0</v>
      </c>
      <c r="Z377" s="117">
        <f t="shared" si="1164"/>
        <v>0</v>
      </c>
      <c r="AA377" s="117">
        <f t="shared" si="1164"/>
        <v>0</v>
      </c>
      <c r="AB377" s="9">
        <f t="shared" si="1164"/>
        <v>0</v>
      </c>
      <c r="AC377" s="117">
        <f t="shared" si="1164"/>
        <v>0</v>
      </c>
      <c r="AD377" s="117">
        <f t="shared" si="1164"/>
        <v>0</v>
      </c>
      <c r="AE377" s="117">
        <f t="shared" si="1164"/>
        <v>0</v>
      </c>
      <c r="AF377" s="117">
        <f t="shared" si="1164"/>
        <v>0</v>
      </c>
      <c r="AG377" s="117">
        <f t="shared" si="1164"/>
        <v>0</v>
      </c>
      <c r="AH377" s="117">
        <f t="shared" si="1164"/>
        <v>0</v>
      </c>
      <c r="AI377" s="117">
        <f t="shared" si="1164"/>
        <v>0</v>
      </c>
      <c r="AJ377" s="117">
        <f t="shared" si="1164"/>
        <v>0</v>
      </c>
      <c r="AK377" s="117">
        <f t="shared" si="1164"/>
        <v>0</v>
      </c>
      <c r="AL377" s="117">
        <f t="shared" si="1164"/>
        <v>0</v>
      </c>
      <c r="AM377" s="117">
        <f t="shared" si="1164"/>
        <v>0</v>
      </c>
      <c r="AN377" s="117">
        <f t="shared" si="1164"/>
        <v>0</v>
      </c>
      <c r="AO377" s="9">
        <f t="shared" si="1164"/>
        <v>0</v>
      </c>
      <c r="AP377" s="144">
        <f t="shared" si="1164"/>
        <v>0</v>
      </c>
      <c r="AQ377" s="144">
        <f t="shared" si="1164"/>
        <v>0</v>
      </c>
      <c r="AR377" s="144">
        <f t="shared" si="1164"/>
        <v>0</v>
      </c>
      <c r="AS377" s="144">
        <f t="shared" si="1164"/>
        <v>0</v>
      </c>
      <c r="AT377" s="144">
        <f t="shared" si="1164"/>
        <v>0</v>
      </c>
      <c r="AU377" s="144">
        <f t="shared" si="1164"/>
        <v>0</v>
      </c>
      <c r="AV377" s="144">
        <f t="shared" si="1164"/>
        <v>0</v>
      </c>
      <c r="AW377" s="144">
        <f t="shared" si="1164"/>
        <v>0</v>
      </c>
      <c r="AX377" s="144">
        <f t="shared" si="1164"/>
        <v>0</v>
      </c>
      <c r="AY377" s="144">
        <f t="shared" si="1164"/>
        <v>0</v>
      </c>
      <c r="AZ377" s="144">
        <f t="shared" si="1164"/>
        <v>0</v>
      </c>
      <c r="BA377" s="144">
        <f t="shared" si="1164"/>
        <v>0</v>
      </c>
      <c r="BB377" s="9">
        <f t="shared" si="1164"/>
        <v>0</v>
      </c>
      <c r="BC377" s="144">
        <f t="shared" si="1164"/>
        <v>0</v>
      </c>
      <c r="BD377" s="144">
        <f t="shared" si="1164"/>
        <v>0</v>
      </c>
      <c r="BE377" s="144">
        <f t="shared" si="1164"/>
        <v>0</v>
      </c>
      <c r="BF377" s="144">
        <f t="shared" si="1164"/>
        <v>0</v>
      </c>
      <c r="BG377" s="144">
        <f t="shared" si="1164"/>
        <v>0</v>
      </c>
      <c r="BH377" s="144">
        <f t="shared" si="1164"/>
        <v>0</v>
      </c>
      <c r="BI377" s="144">
        <f t="shared" si="1164"/>
        <v>0</v>
      </c>
      <c r="BJ377" s="144">
        <f t="shared" si="1164"/>
        <v>0</v>
      </c>
      <c r="BK377" s="144">
        <f t="shared" si="1164"/>
        <v>0</v>
      </c>
      <c r="BL377" s="144">
        <f t="shared" si="1164"/>
        <v>0</v>
      </c>
      <c r="BM377" s="144">
        <f t="shared" si="1164"/>
        <v>0</v>
      </c>
      <c r="BN377" s="144">
        <f t="shared" si="1164"/>
        <v>0</v>
      </c>
      <c r="BO377" s="9">
        <f t="shared" ref="BO377:DZ377" si="1165">BO165/BO$211</f>
        <v>0</v>
      </c>
      <c r="BP377" s="144">
        <f t="shared" si="1165"/>
        <v>0</v>
      </c>
      <c r="BQ377" s="144">
        <f t="shared" si="1165"/>
        <v>0</v>
      </c>
      <c r="BR377" s="144">
        <f t="shared" si="1165"/>
        <v>0</v>
      </c>
      <c r="BS377" s="144">
        <f t="shared" si="1165"/>
        <v>0</v>
      </c>
      <c r="BT377" s="144">
        <f t="shared" si="1165"/>
        <v>0</v>
      </c>
      <c r="BU377" s="144">
        <f t="shared" si="1165"/>
        <v>0</v>
      </c>
      <c r="BV377" s="144">
        <f t="shared" si="1165"/>
        <v>0</v>
      </c>
      <c r="BW377" s="144">
        <f t="shared" si="1165"/>
        <v>0</v>
      </c>
      <c r="BX377" s="144">
        <f t="shared" si="1165"/>
        <v>0</v>
      </c>
      <c r="BY377" s="144">
        <f t="shared" si="1165"/>
        <v>0</v>
      </c>
      <c r="BZ377" s="144">
        <f t="shared" si="1165"/>
        <v>0</v>
      </c>
      <c r="CA377" s="144">
        <f t="shared" si="1165"/>
        <v>0</v>
      </c>
      <c r="CB377" s="9">
        <f t="shared" si="1165"/>
        <v>0</v>
      </c>
      <c r="CC377" s="144">
        <f t="shared" si="1165"/>
        <v>0</v>
      </c>
      <c r="CD377" s="144">
        <f t="shared" si="1165"/>
        <v>0</v>
      </c>
      <c r="CE377" s="144">
        <f t="shared" si="1165"/>
        <v>0</v>
      </c>
      <c r="CF377" s="144">
        <f t="shared" si="1165"/>
        <v>0</v>
      </c>
      <c r="CG377" s="144">
        <f t="shared" si="1165"/>
        <v>0</v>
      </c>
      <c r="CH377" s="144">
        <f t="shared" si="1165"/>
        <v>0</v>
      </c>
      <c r="CI377" s="144">
        <f t="shared" si="1165"/>
        <v>0</v>
      </c>
      <c r="CJ377" s="144">
        <f t="shared" si="1165"/>
        <v>0</v>
      </c>
      <c r="CK377" s="144">
        <f t="shared" si="1165"/>
        <v>0</v>
      </c>
      <c r="CL377" s="144">
        <f t="shared" si="1165"/>
        <v>0</v>
      </c>
      <c r="CM377" s="144">
        <f t="shared" si="1165"/>
        <v>0</v>
      </c>
      <c r="CN377" s="144">
        <f t="shared" si="1165"/>
        <v>0</v>
      </c>
      <c r="CO377" s="9">
        <f t="shared" si="1165"/>
        <v>0</v>
      </c>
      <c r="CP377" s="144">
        <f t="shared" si="1165"/>
        <v>0</v>
      </c>
      <c r="CQ377" s="144">
        <f t="shared" si="1165"/>
        <v>0</v>
      </c>
      <c r="CR377" s="144">
        <f t="shared" si="1165"/>
        <v>0</v>
      </c>
      <c r="CS377" s="144">
        <f t="shared" si="1165"/>
        <v>0</v>
      </c>
      <c r="CT377" s="144">
        <f t="shared" si="1165"/>
        <v>0</v>
      </c>
      <c r="CU377" s="144">
        <f t="shared" si="1165"/>
        <v>0</v>
      </c>
      <c r="CV377" s="144">
        <f t="shared" si="1165"/>
        <v>0</v>
      </c>
      <c r="CW377" s="144">
        <f t="shared" si="1165"/>
        <v>0</v>
      </c>
      <c r="CX377" s="144">
        <f t="shared" si="1165"/>
        <v>0</v>
      </c>
      <c r="CY377" s="144">
        <f t="shared" si="1165"/>
        <v>0</v>
      </c>
      <c r="CZ377" s="144">
        <f t="shared" si="1165"/>
        <v>0</v>
      </c>
      <c r="DA377" s="144">
        <f t="shared" si="1165"/>
        <v>0</v>
      </c>
      <c r="DB377" s="9">
        <f t="shared" si="1165"/>
        <v>0</v>
      </c>
      <c r="DC377" s="144">
        <f t="shared" si="1165"/>
        <v>0</v>
      </c>
      <c r="DD377" s="144">
        <f t="shared" si="1165"/>
        <v>0</v>
      </c>
      <c r="DE377" s="144">
        <f t="shared" si="1165"/>
        <v>0</v>
      </c>
      <c r="DF377" s="144">
        <f t="shared" si="1165"/>
        <v>0</v>
      </c>
      <c r="DG377" s="144">
        <f t="shared" si="1165"/>
        <v>0</v>
      </c>
      <c r="DH377" s="144">
        <f t="shared" si="1165"/>
        <v>0</v>
      </c>
      <c r="DI377" s="144">
        <f t="shared" si="1165"/>
        <v>0</v>
      </c>
      <c r="DJ377" s="144">
        <f t="shared" si="1165"/>
        <v>0</v>
      </c>
      <c r="DK377" s="144">
        <f t="shared" si="1165"/>
        <v>0</v>
      </c>
      <c r="DL377" s="144">
        <f t="shared" si="1165"/>
        <v>0</v>
      </c>
      <c r="DM377" s="144">
        <f t="shared" si="1165"/>
        <v>0</v>
      </c>
      <c r="DN377" s="144">
        <f t="shared" si="1165"/>
        <v>0</v>
      </c>
      <c r="DO377" s="9">
        <f t="shared" si="1165"/>
        <v>0</v>
      </c>
      <c r="DP377" s="144">
        <f t="shared" si="1165"/>
        <v>0</v>
      </c>
      <c r="DQ377" s="144">
        <f t="shared" si="1165"/>
        <v>0</v>
      </c>
      <c r="DR377" s="144">
        <f t="shared" si="1165"/>
        <v>0</v>
      </c>
      <c r="DS377" s="144">
        <f t="shared" si="1165"/>
        <v>0</v>
      </c>
      <c r="DT377" s="144">
        <f t="shared" si="1165"/>
        <v>0</v>
      </c>
      <c r="DU377" s="144">
        <f t="shared" si="1165"/>
        <v>0</v>
      </c>
      <c r="DV377" s="144">
        <f t="shared" si="1165"/>
        <v>0</v>
      </c>
      <c r="DW377" s="144">
        <f t="shared" si="1165"/>
        <v>0</v>
      </c>
      <c r="DX377" s="144">
        <f t="shared" si="1165"/>
        <v>0</v>
      </c>
      <c r="DY377" s="144">
        <f t="shared" si="1165"/>
        <v>0</v>
      </c>
      <c r="DZ377" s="144">
        <f t="shared" si="1165"/>
        <v>0</v>
      </c>
      <c r="EA377" s="144">
        <f t="shared" ref="EA377:GB377" si="1166">EA165/EA$211</f>
        <v>0</v>
      </c>
      <c r="EB377" s="117">
        <f t="shared" si="1166"/>
        <v>0</v>
      </c>
      <c r="EC377" s="118"/>
      <c r="ED377" s="117">
        <f t="shared" ref="ED377:FB377" si="1167">ED165/ED$211</f>
        <v>0</v>
      </c>
      <c r="EE377" s="117">
        <f t="shared" si="1167"/>
        <v>0</v>
      </c>
      <c r="EF377" s="117">
        <f t="shared" si="1167"/>
        <v>0</v>
      </c>
      <c r="EG377" s="117" t="e">
        <f t="shared" si="1167"/>
        <v>#DIV/0!</v>
      </c>
      <c r="EH377" s="117" t="e">
        <f t="shared" si="1167"/>
        <v>#DIV/0!</v>
      </c>
      <c r="EI377" s="117" t="e">
        <f t="shared" si="1167"/>
        <v>#DIV/0!</v>
      </c>
      <c r="EJ377" s="117" t="e">
        <f t="shared" si="1167"/>
        <v>#DIV/0!</v>
      </c>
      <c r="EK377" s="117" t="e">
        <f t="shared" si="1167"/>
        <v>#DIV/0!</v>
      </c>
      <c r="EL377" s="117" t="e">
        <f t="shared" si="1167"/>
        <v>#DIV/0!</v>
      </c>
      <c r="EM377" s="117" t="e">
        <f t="shared" si="1167"/>
        <v>#DIV/0!</v>
      </c>
      <c r="EN377" s="117" t="e">
        <f t="shared" si="1167"/>
        <v>#DIV/0!</v>
      </c>
      <c r="EO377" s="116">
        <f t="shared" si="1167"/>
        <v>0</v>
      </c>
      <c r="EP377" s="117">
        <f t="shared" si="1167"/>
        <v>0</v>
      </c>
      <c r="EQ377" s="117">
        <f t="shared" si="1167"/>
        <v>0</v>
      </c>
      <c r="ER377" s="117">
        <f t="shared" si="1167"/>
        <v>0</v>
      </c>
      <c r="ES377" s="117">
        <f t="shared" si="1167"/>
        <v>0</v>
      </c>
      <c r="ET377" s="117">
        <f t="shared" si="1167"/>
        <v>0</v>
      </c>
      <c r="EU377" s="117">
        <f t="shared" si="1167"/>
        <v>0</v>
      </c>
      <c r="EV377" s="117">
        <f t="shared" si="1167"/>
        <v>0</v>
      </c>
      <c r="EW377" s="117">
        <f t="shared" si="1167"/>
        <v>0</v>
      </c>
      <c r="EX377" s="117">
        <f t="shared" si="1167"/>
        <v>0</v>
      </c>
      <c r="EY377" s="117">
        <f t="shared" si="1167"/>
        <v>0</v>
      </c>
      <c r="EZ377" s="117">
        <f t="shared" si="1167"/>
        <v>0</v>
      </c>
      <c r="FA377" s="117">
        <f t="shared" si="1167"/>
        <v>0</v>
      </c>
      <c r="FB377" s="117">
        <f t="shared" si="1167"/>
        <v>0</v>
      </c>
      <c r="FC377" s="118"/>
      <c r="FD377" s="117"/>
      <c r="FE377" s="117"/>
      <c r="FF377" s="117"/>
      <c r="FG377" s="117"/>
      <c r="FH377" s="117"/>
      <c r="FI377" s="117"/>
      <c r="FJ377" s="117"/>
      <c r="FK377" s="117" t="e">
        <f t="shared" si="991"/>
        <v>#DIV/0!</v>
      </c>
      <c r="FL377" s="117" t="e">
        <f t="shared" si="992"/>
        <v>#DIV/0!</v>
      </c>
      <c r="FM377" s="117" t="e">
        <f t="shared" si="993"/>
        <v>#DIV/0!</v>
      </c>
      <c r="FN377" s="117" t="e">
        <f t="shared" si="994"/>
        <v>#DIV/0!</v>
      </c>
      <c r="FO377" s="9" t="e">
        <f t="shared" si="995"/>
        <v>#DIV/0!</v>
      </c>
      <c r="FP377" s="118">
        <f t="shared" si="1166"/>
        <v>0</v>
      </c>
      <c r="FQ377" s="117">
        <f t="shared" si="1166"/>
        <v>0</v>
      </c>
      <c r="FR377" s="117">
        <f t="shared" si="1166"/>
        <v>0</v>
      </c>
      <c r="FS377" s="117">
        <f t="shared" si="1166"/>
        <v>0</v>
      </c>
      <c r="FT377" s="117">
        <f t="shared" si="1166"/>
        <v>0</v>
      </c>
      <c r="FU377" s="117">
        <f t="shared" si="1166"/>
        <v>0</v>
      </c>
      <c r="FV377" s="117">
        <f t="shared" si="1166"/>
        <v>0</v>
      </c>
      <c r="FW377" s="117">
        <f t="shared" si="1166"/>
        <v>0</v>
      </c>
      <c r="FX377" s="117">
        <f t="shared" si="1166"/>
        <v>0</v>
      </c>
      <c r="FY377" s="117">
        <f t="shared" si="1166"/>
        <v>0</v>
      </c>
      <c r="FZ377" s="117">
        <f t="shared" si="1166"/>
        <v>0</v>
      </c>
      <c r="GA377" s="117">
        <f t="shared" si="1166"/>
        <v>0</v>
      </c>
      <c r="GB377" s="116">
        <f t="shared" si="1166"/>
        <v>0</v>
      </c>
    </row>
    <row r="378" spans="1:184">
      <c r="A378" s="147" t="s">
        <v>337</v>
      </c>
      <c r="B378" s="160" t="e">
        <f t="shared" si="997"/>
        <v>#DIV/0!</v>
      </c>
      <c r="C378" s="117">
        <f t="shared" ref="C378:BN378" si="1168">C166/C$211</f>
        <v>0</v>
      </c>
      <c r="D378" s="117">
        <f t="shared" si="1168"/>
        <v>0</v>
      </c>
      <c r="E378" s="117">
        <f t="shared" si="1168"/>
        <v>0</v>
      </c>
      <c r="F378" s="117">
        <f t="shared" si="1168"/>
        <v>0</v>
      </c>
      <c r="G378" s="117">
        <f t="shared" si="1168"/>
        <v>0</v>
      </c>
      <c r="H378" s="117">
        <f t="shared" si="1168"/>
        <v>0</v>
      </c>
      <c r="I378" s="117">
        <f t="shared" si="1168"/>
        <v>0</v>
      </c>
      <c r="J378" s="117">
        <f t="shared" si="1168"/>
        <v>0</v>
      </c>
      <c r="K378" s="117">
        <f t="shared" si="1168"/>
        <v>0</v>
      </c>
      <c r="L378" s="117">
        <f t="shared" si="1168"/>
        <v>0</v>
      </c>
      <c r="M378" s="117">
        <f t="shared" si="1168"/>
        <v>0</v>
      </c>
      <c r="N378" s="117">
        <f t="shared" si="1168"/>
        <v>0</v>
      </c>
      <c r="O378" s="9">
        <f t="shared" si="1168"/>
        <v>0</v>
      </c>
      <c r="P378" s="117">
        <f t="shared" si="1168"/>
        <v>0</v>
      </c>
      <c r="Q378" s="117">
        <f t="shared" si="1168"/>
        <v>0</v>
      </c>
      <c r="R378" s="117">
        <f t="shared" si="1168"/>
        <v>0</v>
      </c>
      <c r="S378" s="117">
        <f t="shared" si="1168"/>
        <v>0</v>
      </c>
      <c r="T378" s="117">
        <f t="shared" si="1168"/>
        <v>0</v>
      </c>
      <c r="U378" s="117">
        <f t="shared" si="1168"/>
        <v>0</v>
      </c>
      <c r="V378" s="117">
        <f t="shared" si="1168"/>
        <v>0</v>
      </c>
      <c r="W378" s="117">
        <f t="shared" si="1168"/>
        <v>0</v>
      </c>
      <c r="X378" s="117">
        <f t="shared" si="1168"/>
        <v>0</v>
      </c>
      <c r="Y378" s="117">
        <f t="shared" si="1168"/>
        <v>0</v>
      </c>
      <c r="Z378" s="117">
        <f t="shared" si="1168"/>
        <v>0</v>
      </c>
      <c r="AA378" s="117">
        <f t="shared" si="1168"/>
        <v>0</v>
      </c>
      <c r="AB378" s="9">
        <f t="shared" si="1168"/>
        <v>0</v>
      </c>
      <c r="AC378" s="117">
        <f t="shared" si="1168"/>
        <v>0</v>
      </c>
      <c r="AD378" s="117">
        <f t="shared" si="1168"/>
        <v>0</v>
      </c>
      <c r="AE378" s="117">
        <f t="shared" si="1168"/>
        <v>0</v>
      </c>
      <c r="AF378" s="117">
        <f t="shared" si="1168"/>
        <v>0</v>
      </c>
      <c r="AG378" s="117">
        <f t="shared" si="1168"/>
        <v>0</v>
      </c>
      <c r="AH378" s="117">
        <f t="shared" si="1168"/>
        <v>0</v>
      </c>
      <c r="AI378" s="117">
        <f t="shared" si="1168"/>
        <v>0</v>
      </c>
      <c r="AJ378" s="117">
        <f t="shared" si="1168"/>
        <v>0</v>
      </c>
      <c r="AK378" s="117">
        <f t="shared" si="1168"/>
        <v>0</v>
      </c>
      <c r="AL378" s="117">
        <f t="shared" si="1168"/>
        <v>0</v>
      </c>
      <c r="AM378" s="117">
        <f t="shared" si="1168"/>
        <v>0</v>
      </c>
      <c r="AN378" s="117">
        <f t="shared" si="1168"/>
        <v>0</v>
      </c>
      <c r="AO378" s="9">
        <f t="shared" si="1168"/>
        <v>0</v>
      </c>
      <c r="AP378" s="144">
        <f t="shared" si="1168"/>
        <v>0</v>
      </c>
      <c r="AQ378" s="144">
        <f t="shared" si="1168"/>
        <v>0</v>
      </c>
      <c r="AR378" s="144">
        <f t="shared" si="1168"/>
        <v>0</v>
      </c>
      <c r="AS378" s="144">
        <f t="shared" si="1168"/>
        <v>0</v>
      </c>
      <c r="AT378" s="144">
        <f t="shared" si="1168"/>
        <v>0</v>
      </c>
      <c r="AU378" s="144">
        <f t="shared" si="1168"/>
        <v>0</v>
      </c>
      <c r="AV378" s="144">
        <f t="shared" si="1168"/>
        <v>0</v>
      </c>
      <c r="AW378" s="144">
        <f t="shared" si="1168"/>
        <v>0</v>
      </c>
      <c r="AX378" s="144">
        <f t="shared" si="1168"/>
        <v>0</v>
      </c>
      <c r="AY378" s="144">
        <f t="shared" si="1168"/>
        <v>0</v>
      </c>
      <c r="AZ378" s="144">
        <f t="shared" si="1168"/>
        <v>0</v>
      </c>
      <c r="BA378" s="144">
        <f t="shared" si="1168"/>
        <v>0</v>
      </c>
      <c r="BB378" s="9">
        <f t="shared" si="1168"/>
        <v>0</v>
      </c>
      <c r="BC378" s="144">
        <f t="shared" si="1168"/>
        <v>0</v>
      </c>
      <c r="BD378" s="144">
        <f t="shared" si="1168"/>
        <v>0</v>
      </c>
      <c r="BE378" s="144">
        <f t="shared" si="1168"/>
        <v>0</v>
      </c>
      <c r="BF378" s="144">
        <f t="shared" si="1168"/>
        <v>0</v>
      </c>
      <c r="BG378" s="144">
        <f t="shared" si="1168"/>
        <v>0</v>
      </c>
      <c r="BH378" s="144">
        <f t="shared" si="1168"/>
        <v>0</v>
      </c>
      <c r="BI378" s="144">
        <f t="shared" si="1168"/>
        <v>0</v>
      </c>
      <c r="BJ378" s="144">
        <f t="shared" si="1168"/>
        <v>0</v>
      </c>
      <c r="BK378" s="144">
        <f t="shared" si="1168"/>
        <v>0</v>
      </c>
      <c r="BL378" s="144">
        <f t="shared" si="1168"/>
        <v>0</v>
      </c>
      <c r="BM378" s="144">
        <f t="shared" si="1168"/>
        <v>0</v>
      </c>
      <c r="BN378" s="144">
        <f t="shared" si="1168"/>
        <v>0</v>
      </c>
      <c r="BO378" s="9">
        <f t="shared" ref="BO378:DZ378" si="1169">BO166/BO$211</f>
        <v>0</v>
      </c>
      <c r="BP378" s="144">
        <f t="shared" si="1169"/>
        <v>0</v>
      </c>
      <c r="BQ378" s="144">
        <f t="shared" si="1169"/>
        <v>0</v>
      </c>
      <c r="BR378" s="144">
        <f t="shared" si="1169"/>
        <v>0</v>
      </c>
      <c r="BS378" s="144">
        <f t="shared" si="1169"/>
        <v>0</v>
      </c>
      <c r="BT378" s="144">
        <f t="shared" si="1169"/>
        <v>0</v>
      </c>
      <c r="BU378" s="144">
        <f t="shared" si="1169"/>
        <v>0</v>
      </c>
      <c r="BV378" s="144">
        <f t="shared" si="1169"/>
        <v>0</v>
      </c>
      <c r="BW378" s="144">
        <f t="shared" si="1169"/>
        <v>0</v>
      </c>
      <c r="BX378" s="144">
        <f t="shared" si="1169"/>
        <v>0</v>
      </c>
      <c r="BY378" s="144">
        <f t="shared" si="1169"/>
        <v>0</v>
      </c>
      <c r="BZ378" s="144">
        <f t="shared" si="1169"/>
        <v>0</v>
      </c>
      <c r="CA378" s="144">
        <f t="shared" si="1169"/>
        <v>0</v>
      </c>
      <c r="CB378" s="9">
        <f t="shared" si="1169"/>
        <v>0</v>
      </c>
      <c r="CC378" s="144">
        <f t="shared" si="1169"/>
        <v>0</v>
      </c>
      <c r="CD378" s="144">
        <f t="shared" si="1169"/>
        <v>0</v>
      </c>
      <c r="CE378" s="144">
        <f t="shared" si="1169"/>
        <v>0</v>
      </c>
      <c r="CF378" s="144">
        <f t="shared" si="1169"/>
        <v>0</v>
      </c>
      <c r="CG378" s="144">
        <f t="shared" si="1169"/>
        <v>0</v>
      </c>
      <c r="CH378" s="144">
        <f t="shared" si="1169"/>
        <v>0</v>
      </c>
      <c r="CI378" s="144">
        <f t="shared" si="1169"/>
        <v>0</v>
      </c>
      <c r="CJ378" s="144">
        <f t="shared" si="1169"/>
        <v>0</v>
      </c>
      <c r="CK378" s="144">
        <f t="shared" si="1169"/>
        <v>0</v>
      </c>
      <c r="CL378" s="144">
        <f t="shared" si="1169"/>
        <v>0</v>
      </c>
      <c r="CM378" s="144">
        <f t="shared" si="1169"/>
        <v>0</v>
      </c>
      <c r="CN378" s="144">
        <f t="shared" si="1169"/>
        <v>0</v>
      </c>
      <c r="CO378" s="9">
        <f t="shared" si="1169"/>
        <v>0</v>
      </c>
      <c r="CP378" s="144">
        <f t="shared" si="1169"/>
        <v>0</v>
      </c>
      <c r="CQ378" s="144">
        <f t="shared" si="1169"/>
        <v>0</v>
      </c>
      <c r="CR378" s="144">
        <f t="shared" si="1169"/>
        <v>0</v>
      </c>
      <c r="CS378" s="144">
        <f t="shared" si="1169"/>
        <v>0</v>
      </c>
      <c r="CT378" s="144">
        <f t="shared" si="1169"/>
        <v>0</v>
      </c>
      <c r="CU378" s="144">
        <f t="shared" si="1169"/>
        <v>0</v>
      </c>
      <c r="CV378" s="144">
        <f t="shared" si="1169"/>
        <v>0</v>
      </c>
      <c r="CW378" s="144">
        <f t="shared" si="1169"/>
        <v>0</v>
      </c>
      <c r="CX378" s="144">
        <f t="shared" si="1169"/>
        <v>0</v>
      </c>
      <c r="CY378" s="144">
        <f t="shared" si="1169"/>
        <v>0</v>
      </c>
      <c r="CZ378" s="144">
        <f t="shared" si="1169"/>
        <v>0</v>
      </c>
      <c r="DA378" s="144">
        <f t="shared" si="1169"/>
        <v>0</v>
      </c>
      <c r="DB378" s="9">
        <f t="shared" si="1169"/>
        <v>0</v>
      </c>
      <c r="DC378" s="144">
        <f t="shared" si="1169"/>
        <v>0</v>
      </c>
      <c r="DD378" s="144">
        <f t="shared" si="1169"/>
        <v>0</v>
      </c>
      <c r="DE378" s="144">
        <f t="shared" si="1169"/>
        <v>0</v>
      </c>
      <c r="DF378" s="144">
        <f t="shared" si="1169"/>
        <v>0</v>
      </c>
      <c r="DG378" s="144">
        <f t="shared" si="1169"/>
        <v>0</v>
      </c>
      <c r="DH378" s="144">
        <f t="shared" si="1169"/>
        <v>0</v>
      </c>
      <c r="DI378" s="144">
        <f t="shared" si="1169"/>
        <v>0</v>
      </c>
      <c r="DJ378" s="144">
        <f t="shared" si="1169"/>
        <v>0</v>
      </c>
      <c r="DK378" s="144">
        <f t="shared" si="1169"/>
        <v>0</v>
      </c>
      <c r="DL378" s="144">
        <f t="shared" si="1169"/>
        <v>0</v>
      </c>
      <c r="DM378" s="144">
        <f t="shared" si="1169"/>
        <v>0</v>
      </c>
      <c r="DN378" s="144">
        <f t="shared" si="1169"/>
        <v>0</v>
      </c>
      <c r="DO378" s="9">
        <f t="shared" si="1169"/>
        <v>0</v>
      </c>
      <c r="DP378" s="144">
        <f t="shared" si="1169"/>
        <v>0</v>
      </c>
      <c r="DQ378" s="144">
        <f t="shared" si="1169"/>
        <v>0</v>
      </c>
      <c r="DR378" s="144">
        <f t="shared" si="1169"/>
        <v>0</v>
      </c>
      <c r="DS378" s="144">
        <f t="shared" si="1169"/>
        <v>0</v>
      </c>
      <c r="DT378" s="144">
        <f t="shared" si="1169"/>
        <v>0</v>
      </c>
      <c r="DU378" s="144">
        <f t="shared" si="1169"/>
        <v>0</v>
      </c>
      <c r="DV378" s="144">
        <f t="shared" si="1169"/>
        <v>0</v>
      </c>
      <c r="DW378" s="144">
        <f t="shared" si="1169"/>
        <v>0</v>
      </c>
      <c r="DX378" s="144">
        <f t="shared" si="1169"/>
        <v>0</v>
      </c>
      <c r="DY378" s="144">
        <f t="shared" si="1169"/>
        <v>0</v>
      </c>
      <c r="DZ378" s="144">
        <f t="shared" si="1169"/>
        <v>0</v>
      </c>
      <c r="EA378" s="144">
        <f t="shared" ref="EA378:GB378" si="1170">EA166/EA$211</f>
        <v>0</v>
      </c>
      <c r="EB378" s="117">
        <f t="shared" si="1170"/>
        <v>0</v>
      </c>
      <c r="EC378" s="118"/>
      <c r="ED378" s="117">
        <f t="shared" ref="ED378:FB378" si="1171">ED166/ED$211</f>
        <v>0</v>
      </c>
      <c r="EE378" s="117">
        <f t="shared" si="1171"/>
        <v>0</v>
      </c>
      <c r="EF378" s="117">
        <f t="shared" si="1171"/>
        <v>0</v>
      </c>
      <c r="EG378" s="117" t="e">
        <f t="shared" si="1171"/>
        <v>#DIV/0!</v>
      </c>
      <c r="EH378" s="117" t="e">
        <f t="shared" si="1171"/>
        <v>#DIV/0!</v>
      </c>
      <c r="EI378" s="117" t="e">
        <f t="shared" si="1171"/>
        <v>#DIV/0!</v>
      </c>
      <c r="EJ378" s="117" t="e">
        <f t="shared" si="1171"/>
        <v>#DIV/0!</v>
      </c>
      <c r="EK378" s="117" t="e">
        <f t="shared" si="1171"/>
        <v>#DIV/0!</v>
      </c>
      <c r="EL378" s="117" t="e">
        <f t="shared" si="1171"/>
        <v>#DIV/0!</v>
      </c>
      <c r="EM378" s="117" t="e">
        <f t="shared" si="1171"/>
        <v>#DIV/0!</v>
      </c>
      <c r="EN378" s="117" t="e">
        <f t="shared" si="1171"/>
        <v>#DIV/0!</v>
      </c>
      <c r="EO378" s="116">
        <f t="shared" si="1171"/>
        <v>0</v>
      </c>
      <c r="EP378" s="117">
        <f t="shared" si="1171"/>
        <v>0</v>
      </c>
      <c r="EQ378" s="117">
        <f t="shared" si="1171"/>
        <v>0</v>
      </c>
      <c r="ER378" s="117">
        <f t="shared" si="1171"/>
        <v>0</v>
      </c>
      <c r="ES378" s="117">
        <f t="shared" si="1171"/>
        <v>0</v>
      </c>
      <c r="ET378" s="117">
        <f t="shared" si="1171"/>
        <v>0</v>
      </c>
      <c r="EU378" s="117">
        <f t="shared" si="1171"/>
        <v>0</v>
      </c>
      <c r="EV378" s="117">
        <f t="shared" si="1171"/>
        <v>0</v>
      </c>
      <c r="EW378" s="117">
        <f t="shared" si="1171"/>
        <v>0</v>
      </c>
      <c r="EX378" s="117">
        <f t="shared" si="1171"/>
        <v>0</v>
      </c>
      <c r="EY378" s="117">
        <f t="shared" si="1171"/>
        <v>0</v>
      </c>
      <c r="EZ378" s="117">
        <f t="shared" si="1171"/>
        <v>0</v>
      </c>
      <c r="FA378" s="117">
        <f t="shared" si="1171"/>
        <v>0</v>
      </c>
      <c r="FB378" s="117">
        <f t="shared" si="1171"/>
        <v>0</v>
      </c>
      <c r="FC378" s="118"/>
      <c r="FD378" s="117"/>
      <c r="FE378" s="117"/>
      <c r="FF378" s="117"/>
      <c r="FG378" s="117"/>
      <c r="FH378" s="117"/>
      <c r="FI378" s="117"/>
      <c r="FJ378" s="117"/>
      <c r="FK378" s="117" t="e">
        <f t="shared" si="991"/>
        <v>#DIV/0!</v>
      </c>
      <c r="FL378" s="117" t="e">
        <f t="shared" si="992"/>
        <v>#DIV/0!</v>
      </c>
      <c r="FM378" s="117" t="e">
        <f t="shared" si="993"/>
        <v>#DIV/0!</v>
      </c>
      <c r="FN378" s="117" t="e">
        <f t="shared" si="994"/>
        <v>#DIV/0!</v>
      </c>
      <c r="FO378" s="9" t="e">
        <f t="shared" si="995"/>
        <v>#DIV/0!</v>
      </c>
      <c r="FP378" s="118">
        <f t="shared" si="1170"/>
        <v>0</v>
      </c>
      <c r="FQ378" s="117">
        <f t="shared" si="1170"/>
        <v>0</v>
      </c>
      <c r="FR378" s="117">
        <f t="shared" si="1170"/>
        <v>0</v>
      </c>
      <c r="FS378" s="117">
        <f t="shared" si="1170"/>
        <v>0</v>
      </c>
      <c r="FT378" s="117">
        <f t="shared" si="1170"/>
        <v>0</v>
      </c>
      <c r="FU378" s="117">
        <f t="shared" si="1170"/>
        <v>0</v>
      </c>
      <c r="FV378" s="117">
        <f t="shared" si="1170"/>
        <v>0</v>
      </c>
      <c r="FW378" s="117">
        <f t="shared" si="1170"/>
        <v>0</v>
      </c>
      <c r="FX378" s="117">
        <f t="shared" si="1170"/>
        <v>0</v>
      </c>
      <c r="FY378" s="117">
        <f t="shared" si="1170"/>
        <v>0</v>
      </c>
      <c r="FZ378" s="117">
        <f t="shared" si="1170"/>
        <v>0</v>
      </c>
      <c r="GA378" s="117">
        <f t="shared" si="1170"/>
        <v>0</v>
      </c>
      <c r="GB378" s="116">
        <f t="shared" si="1170"/>
        <v>0</v>
      </c>
    </row>
    <row r="379" spans="1:184">
      <c r="A379" s="147" t="s">
        <v>338</v>
      </c>
      <c r="B379" s="160" t="e">
        <f t="shared" si="997"/>
        <v>#DIV/0!</v>
      </c>
      <c r="C379" s="117">
        <f t="shared" ref="C379:BN379" si="1172">C167/C$211</f>
        <v>0</v>
      </c>
      <c r="D379" s="117">
        <f t="shared" si="1172"/>
        <v>0</v>
      </c>
      <c r="E379" s="117">
        <f t="shared" si="1172"/>
        <v>0</v>
      </c>
      <c r="F379" s="117">
        <f t="shared" si="1172"/>
        <v>0</v>
      </c>
      <c r="G379" s="117">
        <f t="shared" si="1172"/>
        <v>0</v>
      </c>
      <c r="H379" s="117">
        <f t="shared" si="1172"/>
        <v>0</v>
      </c>
      <c r="I379" s="117">
        <f t="shared" si="1172"/>
        <v>0</v>
      </c>
      <c r="J379" s="117">
        <f t="shared" si="1172"/>
        <v>0</v>
      </c>
      <c r="K379" s="117">
        <f t="shared" si="1172"/>
        <v>0</v>
      </c>
      <c r="L379" s="117">
        <f t="shared" si="1172"/>
        <v>0</v>
      </c>
      <c r="M379" s="117">
        <f t="shared" si="1172"/>
        <v>0</v>
      </c>
      <c r="N379" s="117">
        <f t="shared" si="1172"/>
        <v>0</v>
      </c>
      <c r="O379" s="9">
        <f t="shared" si="1172"/>
        <v>0</v>
      </c>
      <c r="P379" s="117">
        <f t="shared" si="1172"/>
        <v>0</v>
      </c>
      <c r="Q379" s="117">
        <f t="shared" si="1172"/>
        <v>0</v>
      </c>
      <c r="R379" s="117">
        <f t="shared" si="1172"/>
        <v>0</v>
      </c>
      <c r="S379" s="117">
        <f t="shared" si="1172"/>
        <v>0</v>
      </c>
      <c r="T379" s="117">
        <f t="shared" si="1172"/>
        <v>0</v>
      </c>
      <c r="U379" s="117">
        <f t="shared" si="1172"/>
        <v>0</v>
      </c>
      <c r="V379" s="117">
        <f t="shared" si="1172"/>
        <v>0</v>
      </c>
      <c r="W379" s="117">
        <f t="shared" si="1172"/>
        <v>0</v>
      </c>
      <c r="X379" s="117">
        <f t="shared" si="1172"/>
        <v>0</v>
      </c>
      <c r="Y379" s="117">
        <f t="shared" si="1172"/>
        <v>0</v>
      </c>
      <c r="Z379" s="117">
        <f t="shared" si="1172"/>
        <v>0</v>
      </c>
      <c r="AA379" s="117">
        <f t="shared" si="1172"/>
        <v>0</v>
      </c>
      <c r="AB379" s="9">
        <f t="shared" si="1172"/>
        <v>0</v>
      </c>
      <c r="AC379" s="117">
        <f t="shared" si="1172"/>
        <v>0</v>
      </c>
      <c r="AD379" s="117">
        <f t="shared" si="1172"/>
        <v>0</v>
      </c>
      <c r="AE379" s="117">
        <f t="shared" si="1172"/>
        <v>0</v>
      </c>
      <c r="AF379" s="117">
        <f t="shared" si="1172"/>
        <v>0</v>
      </c>
      <c r="AG379" s="117">
        <f t="shared" si="1172"/>
        <v>0</v>
      </c>
      <c r="AH379" s="117">
        <f t="shared" si="1172"/>
        <v>0</v>
      </c>
      <c r="AI379" s="117">
        <f t="shared" si="1172"/>
        <v>0</v>
      </c>
      <c r="AJ379" s="117">
        <f t="shared" si="1172"/>
        <v>0</v>
      </c>
      <c r="AK379" s="117">
        <f t="shared" si="1172"/>
        <v>0</v>
      </c>
      <c r="AL379" s="117">
        <f t="shared" si="1172"/>
        <v>0</v>
      </c>
      <c r="AM379" s="117">
        <f t="shared" si="1172"/>
        <v>0</v>
      </c>
      <c r="AN379" s="117">
        <f t="shared" si="1172"/>
        <v>0</v>
      </c>
      <c r="AO379" s="9">
        <f t="shared" si="1172"/>
        <v>0</v>
      </c>
      <c r="AP379" s="144">
        <f t="shared" si="1172"/>
        <v>0</v>
      </c>
      <c r="AQ379" s="144">
        <f t="shared" si="1172"/>
        <v>0</v>
      </c>
      <c r="AR379" s="144">
        <f t="shared" si="1172"/>
        <v>0</v>
      </c>
      <c r="AS379" s="144">
        <f t="shared" si="1172"/>
        <v>0</v>
      </c>
      <c r="AT379" s="144">
        <f t="shared" si="1172"/>
        <v>0</v>
      </c>
      <c r="AU379" s="144">
        <f t="shared" si="1172"/>
        <v>0</v>
      </c>
      <c r="AV379" s="144">
        <f t="shared" si="1172"/>
        <v>0</v>
      </c>
      <c r="AW379" s="144">
        <f t="shared" si="1172"/>
        <v>0</v>
      </c>
      <c r="AX379" s="144">
        <f t="shared" si="1172"/>
        <v>0</v>
      </c>
      <c r="AY379" s="144">
        <f t="shared" si="1172"/>
        <v>0</v>
      </c>
      <c r="AZ379" s="144">
        <f t="shared" si="1172"/>
        <v>0</v>
      </c>
      <c r="BA379" s="144">
        <f t="shared" si="1172"/>
        <v>0</v>
      </c>
      <c r="BB379" s="9">
        <f t="shared" si="1172"/>
        <v>0</v>
      </c>
      <c r="BC379" s="144">
        <f t="shared" si="1172"/>
        <v>0</v>
      </c>
      <c r="BD379" s="144">
        <f t="shared" si="1172"/>
        <v>0</v>
      </c>
      <c r="BE379" s="144">
        <f t="shared" si="1172"/>
        <v>0</v>
      </c>
      <c r="BF379" s="144">
        <f t="shared" si="1172"/>
        <v>0</v>
      </c>
      <c r="BG379" s="144">
        <f t="shared" si="1172"/>
        <v>0</v>
      </c>
      <c r="BH379" s="144">
        <f t="shared" si="1172"/>
        <v>0</v>
      </c>
      <c r="BI379" s="144">
        <f t="shared" si="1172"/>
        <v>0</v>
      </c>
      <c r="BJ379" s="144">
        <f t="shared" si="1172"/>
        <v>0</v>
      </c>
      <c r="BK379" s="144">
        <f t="shared" si="1172"/>
        <v>0</v>
      </c>
      <c r="BL379" s="144">
        <f t="shared" si="1172"/>
        <v>0</v>
      </c>
      <c r="BM379" s="144">
        <f t="shared" si="1172"/>
        <v>0</v>
      </c>
      <c r="BN379" s="144">
        <f t="shared" si="1172"/>
        <v>0</v>
      </c>
      <c r="BO379" s="9">
        <f t="shared" ref="BO379:DZ379" si="1173">BO167/BO$211</f>
        <v>0</v>
      </c>
      <c r="BP379" s="144">
        <f t="shared" si="1173"/>
        <v>0</v>
      </c>
      <c r="BQ379" s="144">
        <f t="shared" si="1173"/>
        <v>0</v>
      </c>
      <c r="BR379" s="144">
        <f t="shared" si="1173"/>
        <v>0</v>
      </c>
      <c r="BS379" s="144">
        <f t="shared" si="1173"/>
        <v>0</v>
      </c>
      <c r="BT379" s="144">
        <f t="shared" si="1173"/>
        <v>0</v>
      </c>
      <c r="BU379" s="144">
        <f t="shared" si="1173"/>
        <v>0</v>
      </c>
      <c r="BV379" s="144">
        <f t="shared" si="1173"/>
        <v>0</v>
      </c>
      <c r="BW379" s="144">
        <f t="shared" si="1173"/>
        <v>0</v>
      </c>
      <c r="BX379" s="144">
        <f t="shared" si="1173"/>
        <v>0</v>
      </c>
      <c r="BY379" s="144">
        <f t="shared" si="1173"/>
        <v>0</v>
      </c>
      <c r="BZ379" s="144">
        <f t="shared" si="1173"/>
        <v>0</v>
      </c>
      <c r="CA379" s="144">
        <f t="shared" si="1173"/>
        <v>0</v>
      </c>
      <c r="CB379" s="9">
        <f t="shared" si="1173"/>
        <v>0</v>
      </c>
      <c r="CC379" s="144">
        <f t="shared" si="1173"/>
        <v>0</v>
      </c>
      <c r="CD379" s="144">
        <f t="shared" si="1173"/>
        <v>0</v>
      </c>
      <c r="CE379" s="144">
        <f t="shared" si="1173"/>
        <v>0</v>
      </c>
      <c r="CF379" s="144">
        <f t="shared" si="1173"/>
        <v>0</v>
      </c>
      <c r="CG379" s="144">
        <f t="shared" si="1173"/>
        <v>0</v>
      </c>
      <c r="CH379" s="144">
        <f t="shared" si="1173"/>
        <v>0</v>
      </c>
      <c r="CI379" s="144">
        <f t="shared" si="1173"/>
        <v>0</v>
      </c>
      <c r="CJ379" s="144">
        <f t="shared" si="1173"/>
        <v>0</v>
      </c>
      <c r="CK379" s="144">
        <f t="shared" si="1173"/>
        <v>0</v>
      </c>
      <c r="CL379" s="144">
        <f t="shared" si="1173"/>
        <v>0</v>
      </c>
      <c r="CM379" s="144">
        <f t="shared" si="1173"/>
        <v>0</v>
      </c>
      <c r="CN379" s="144">
        <f t="shared" si="1173"/>
        <v>0</v>
      </c>
      <c r="CO379" s="9">
        <f t="shared" si="1173"/>
        <v>0</v>
      </c>
      <c r="CP379" s="144">
        <f t="shared" si="1173"/>
        <v>0</v>
      </c>
      <c r="CQ379" s="144">
        <f t="shared" si="1173"/>
        <v>0</v>
      </c>
      <c r="CR379" s="144">
        <f t="shared" si="1173"/>
        <v>0</v>
      </c>
      <c r="CS379" s="144">
        <f t="shared" si="1173"/>
        <v>0</v>
      </c>
      <c r="CT379" s="144">
        <f t="shared" si="1173"/>
        <v>0</v>
      </c>
      <c r="CU379" s="144">
        <f t="shared" si="1173"/>
        <v>0</v>
      </c>
      <c r="CV379" s="144">
        <f t="shared" si="1173"/>
        <v>0</v>
      </c>
      <c r="CW379" s="144">
        <f t="shared" si="1173"/>
        <v>0</v>
      </c>
      <c r="CX379" s="144">
        <f t="shared" si="1173"/>
        <v>0</v>
      </c>
      <c r="CY379" s="144">
        <f t="shared" si="1173"/>
        <v>0</v>
      </c>
      <c r="CZ379" s="144">
        <f t="shared" si="1173"/>
        <v>0</v>
      </c>
      <c r="DA379" s="144">
        <f t="shared" si="1173"/>
        <v>0</v>
      </c>
      <c r="DB379" s="9">
        <f t="shared" si="1173"/>
        <v>0</v>
      </c>
      <c r="DC379" s="144">
        <f t="shared" si="1173"/>
        <v>0</v>
      </c>
      <c r="DD379" s="144">
        <f t="shared" si="1173"/>
        <v>0</v>
      </c>
      <c r="DE379" s="144">
        <f t="shared" si="1173"/>
        <v>0</v>
      </c>
      <c r="DF379" s="144">
        <f t="shared" si="1173"/>
        <v>0</v>
      </c>
      <c r="DG379" s="144">
        <f t="shared" si="1173"/>
        <v>0</v>
      </c>
      <c r="DH379" s="144">
        <f t="shared" si="1173"/>
        <v>0</v>
      </c>
      <c r="DI379" s="144">
        <f t="shared" si="1173"/>
        <v>0</v>
      </c>
      <c r="DJ379" s="144">
        <f t="shared" si="1173"/>
        <v>0</v>
      </c>
      <c r="DK379" s="144">
        <f t="shared" si="1173"/>
        <v>0</v>
      </c>
      <c r="DL379" s="144">
        <f t="shared" si="1173"/>
        <v>0</v>
      </c>
      <c r="DM379" s="144">
        <f t="shared" si="1173"/>
        <v>0</v>
      </c>
      <c r="DN379" s="144">
        <f t="shared" si="1173"/>
        <v>0</v>
      </c>
      <c r="DO379" s="9">
        <f t="shared" si="1173"/>
        <v>0</v>
      </c>
      <c r="DP379" s="144">
        <f t="shared" si="1173"/>
        <v>0</v>
      </c>
      <c r="DQ379" s="144">
        <f t="shared" si="1173"/>
        <v>0</v>
      </c>
      <c r="DR379" s="144">
        <f t="shared" si="1173"/>
        <v>0</v>
      </c>
      <c r="DS379" s="144">
        <f t="shared" si="1173"/>
        <v>0</v>
      </c>
      <c r="DT379" s="144">
        <f t="shared" si="1173"/>
        <v>0</v>
      </c>
      <c r="DU379" s="144">
        <f t="shared" si="1173"/>
        <v>0</v>
      </c>
      <c r="DV379" s="144">
        <f t="shared" si="1173"/>
        <v>0</v>
      </c>
      <c r="DW379" s="144">
        <f t="shared" si="1173"/>
        <v>0</v>
      </c>
      <c r="DX379" s="144">
        <f t="shared" si="1173"/>
        <v>0</v>
      </c>
      <c r="DY379" s="144">
        <f t="shared" si="1173"/>
        <v>0</v>
      </c>
      <c r="DZ379" s="144">
        <f t="shared" si="1173"/>
        <v>0</v>
      </c>
      <c r="EA379" s="144">
        <f t="shared" ref="EA379:GB379" si="1174">EA167/EA$211</f>
        <v>0</v>
      </c>
      <c r="EB379" s="117">
        <f t="shared" si="1174"/>
        <v>0</v>
      </c>
      <c r="EC379" s="118"/>
      <c r="ED379" s="117">
        <f t="shared" ref="ED379:FB379" si="1175">ED167/ED$211</f>
        <v>0</v>
      </c>
      <c r="EE379" s="117">
        <f t="shared" si="1175"/>
        <v>0</v>
      </c>
      <c r="EF379" s="117">
        <f t="shared" si="1175"/>
        <v>0</v>
      </c>
      <c r="EG379" s="117" t="e">
        <f t="shared" si="1175"/>
        <v>#DIV/0!</v>
      </c>
      <c r="EH379" s="117" t="e">
        <f t="shared" si="1175"/>
        <v>#DIV/0!</v>
      </c>
      <c r="EI379" s="117" t="e">
        <f t="shared" si="1175"/>
        <v>#DIV/0!</v>
      </c>
      <c r="EJ379" s="117" t="e">
        <f t="shared" si="1175"/>
        <v>#DIV/0!</v>
      </c>
      <c r="EK379" s="117" t="e">
        <f t="shared" si="1175"/>
        <v>#DIV/0!</v>
      </c>
      <c r="EL379" s="117" t="e">
        <f t="shared" si="1175"/>
        <v>#DIV/0!</v>
      </c>
      <c r="EM379" s="117" t="e">
        <f t="shared" si="1175"/>
        <v>#DIV/0!</v>
      </c>
      <c r="EN379" s="117" t="e">
        <f t="shared" si="1175"/>
        <v>#DIV/0!</v>
      </c>
      <c r="EO379" s="116">
        <f t="shared" si="1175"/>
        <v>0</v>
      </c>
      <c r="EP379" s="117">
        <f t="shared" si="1175"/>
        <v>0</v>
      </c>
      <c r="EQ379" s="117">
        <f t="shared" si="1175"/>
        <v>0</v>
      </c>
      <c r="ER379" s="117">
        <f t="shared" si="1175"/>
        <v>0</v>
      </c>
      <c r="ES379" s="117">
        <f t="shared" si="1175"/>
        <v>0</v>
      </c>
      <c r="ET379" s="117">
        <f t="shared" si="1175"/>
        <v>0</v>
      </c>
      <c r="EU379" s="117">
        <f t="shared" si="1175"/>
        <v>0</v>
      </c>
      <c r="EV379" s="117">
        <f t="shared" si="1175"/>
        <v>0</v>
      </c>
      <c r="EW379" s="117">
        <f t="shared" si="1175"/>
        <v>0</v>
      </c>
      <c r="EX379" s="117">
        <f t="shared" si="1175"/>
        <v>0</v>
      </c>
      <c r="EY379" s="117">
        <f t="shared" si="1175"/>
        <v>0</v>
      </c>
      <c r="EZ379" s="117">
        <f t="shared" si="1175"/>
        <v>0</v>
      </c>
      <c r="FA379" s="117">
        <f t="shared" si="1175"/>
        <v>0</v>
      </c>
      <c r="FB379" s="117">
        <f t="shared" si="1175"/>
        <v>0</v>
      </c>
      <c r="FC379" s="118"/>
      <c r="FD379" s="117"/>
      <c r="FE379" s="117"/>
      <c r="FF379" s="117"/>
      <c r="FG379" s="117"/>
      <c r="FH379" s="117"/>
      <c r="FI379" s="117"/>
      <c r="FJ379" s="117"/>
      <c r="FK379" s="117" t="e">
        <f t="shared" si="991"/>
        <v>#DIV/0!</v>
      </c>
      <c r="FL379" s="117" t="e">
        <f t="shared" si="992"/>
        <v>#DIV/0!</v>
      </c>
      <c r="FM379" s="117" t="e">
        <f t="shared" si="993"/>
        <v>#DIV/0!</v>
      </c>
      <c r="FN379" s="117" t="e">
        <f t="shared" si="994"/>
        <v>#DIV/0!</v>
      </c>
      <c r="FO379" s="9" t="e">
        <f t="shared" si="995"/>
        <v>#DIV/0!</v>
      </c>
      <c r="FP379" s="118">
        <f t="shared" si="1174"/>
        <v>0</v>
      </c>
      <c r="FQ379" s="117">
        <f t="shared" si="1174"/>
        <v>0</v>
      </c>
      <c r="FR379" s="117">
        <f t="shared" si="1174"/>
        <v>0</v>
      </c>
      <c r="FS379" s="117">
        <f t="shared" si="1174"/>
        <v>0</v>
      </c>
      <c r="FT379" s="117">
        <f t="shared" si="1174"/>
        <v>0</v>
      </c>
      <c r="FU379" s="117">
        <f t="shared" si="1174"/>
        <v>0</v>
      </c>
      <c r="FV379" s="117">
        <f t="shared" si="1174"/>
        <v>0</v>
      </c>
      <c r="FW379" s="117">
        <f t="shared" si="1174"/>
        <v>0</v>
      </c>
      <c r="FX379" s="117">
        <f t="shared" si="1174"/>
        <v>0</v>
      </c>
      <c r="FY379" s="117">
        <f t="shared" si="1174"/>
        <v>0</v>
      </c>
      <c r="FZ379" s="117">
        <f t="shared" si="1174"/>
        <v>0</v>
      </c>
      <c r="GA379" s="117">
        <f t="shared" si="1174"/>
        <v>0</v>
      </c>
      <c r="GB379" s="116">
        <f t="shared" si="1174"/>
        <v>0</v>
      </c>
    </row>
    <row r="380" spans="1:184">
      <c r="A380" s="147" t="s">
        <v>339</v>
      </c>
      <c r="B380" s="160" t="e">
        <f t="shared" si="997"/>
        <v>#DIV/0!</v>
      </c>
      <c r="C380" s="117">
        <f t="shared" ref="C380:BN380" si="1176">C168/C$211</f>
        <v>0</v>
      </c>
      <c r="D380" s="117">
        <f t="shared" si="1176"/>
        <v>0</v>
      </c>
      <c r="E380" s="117">
        <f t="shared" si="1176"/>
        <v>0</v>
      </c>
      <c r="F380" s="117">
        <f t="shared" si="1176"/>
        <v>0</v>
      </c>
      <c r="G380" s="117">
        <f t="shared" si="1176"/>
        <v>0</v>
      </c>
      <c r="H380" s="117">
        <f t="shared" si="1176"/>
        <v>0</v>
      </c>
      <c r="I380" s="117">
        <f t="shared" si="1176"/>
        <v>0</v>
      </c>
      <c r="J380" s="117">
        <f t="shared" si="1176"/>
        <v>0</v>
      </c>
      <c r="K380" s="117">
        <f t="shared" si="1176"/>
        <v>0</v>
      </c>
      <c r="L380" s="117">
        <f t="shared" si="1176"/>
        <v>0</v>
      </c>
      <c r="M380" s="117">
        <f t="shared" si="1176"/>
        <v>0</v>
      </c>
      <c r="N380" s="117">
        <f t="shared" si="1176"/>
        <v>0.0115378188621114</v>
      </c>
      <c r="O380" s="9">
        <f t="shared" si="1176"/>
        <v>0.000961078834178261</v>
      </c>
      <c r="P380" s="117">
        <f t="shared" si="1176"/>
        <v>0</v>
      </c>
      <c r="Q380" s="117">
        <f t="shared" si="1176"/>
        <v>0</v>
      </c>
      <c r="R380" s="117">
        <f t="shared" si="1176"/>
        <v>0</v>
      </c>
      <c r="S380" s="117">
        <f t="shared" si="1176"/>
        <v>0</v>
      </c>
      <c r="T380" s="117">
        <f t="shared" si="1176"/>
        <v>0</v>
      </c>
      <c r="U380" s="117">
        <f t="shared" si="1176"/>
        <v>0</v>
      </c>
      <c r="V380" s="117">
        <f t="shared" si="1176"/>
        <v>0</v>
      </c>
      <c r="W380" s="117">
        <f t="shared" si="1176"/>
        <v>0</v>
      </c>
      <c r="X380" s="117">
        <f t="shared" si="1176"/>
        <v>0</v>
      </c>
      <c r="Y380" s="117">
        <f t="shared" si="1176"/>
        <v>0</v>
      </c>
      <c r="Z380" s="117">
        <f t="shared" si="1176"/>
        <v>0</v>
      </c>
      <c r="AA380" s="117">
        <f t="shared" si="1176"/>
        <v>0.00838067751930837</v>
      </c>
      <c r="AB380" s="9">
        <f t="shared" si="1176"/>
        <v>0.000709734887889391</v>
      </c>
      <c r="AC380" s="117">
        <f t="shared" si="1176"/>
        <v>0</v>
      </c>
      <c r="AD380" s="117">
        <f t="shared" si="1176"/>
        <v>0</v>
      </c>
      <c r="AE380" s="117">
        <f t="shared" si="1176"/>
        <v>0</v>
      </c>
      <c r="AF380" s="117">
        <f t="shared" si="1176"/>
        <v>0</v>
      </c>
      <c r="AG380" s="117">
        <f t="shared" si="1176"/>
        <v>0</v>
      </c>
      <c r="AH380" s="117">
        <f t="shared" si="1176"/>
        <v>0</v>
      </c>
      <c r="AI380" s="117">
        <f t="shared" si="1176"/>
        <v>0</v>
      </c>
      <c r="AJ380" s="117">
        <f t="shared" si="1176"/>
        <v>0</v>
      </c>
      <c r="AK380" s="117">
        <f t="shared" si="1176"/>
        <v>0</v>
      </c>
      <c r="AL380" s="117">
        <f t="shared" si="1176"/>
        <v>0</v>
      </c>
      <c r="AM380" s="117">
        <f t="shared" si="1176"/>
        <v>0</v>
      </c>
      <c r="AN380" s="117">
        <f t="shared" si="1176"/>
        <v>0.00335847811294416</v>
      </c>
      <c r="AO380" s="9">
        <f t="shared" si="1176"/>
        <v>0.000300423979599362</v>
      </c>
      <c r="AP380" s="144">
        <f t="shared" si="1176"/>
        <v>0</v>
      </c>
      <c r="AQ380" s="144">
        <f t="shared" si="1176"/>
        <v>0</v>
      </c>
      <c r="AR380" s="144">
        <f t="shared" si="1176"/>
        <v>0</v>
      </c>
      <c r="AS380" s="144">
        <f t="shared" si="1176"/>
        <v>0</v>
      </c>
      <c r="AT380" s="144">
        <f t="shared" si="1176"/>
        <v>0</v>
      </c>
      <c r="AU380" s="144">
        <f t="shared" si="1176"/>
        <v>0</v>
      </c>
      <c r="AV380" s="144">
        <f t="shared" si="1176"/>
        <v>0</v>
      </c>
      <c r="AW380" s="144">
        <f t="shared" si="1176"/>
        <v>0</v>
      </c>
      <c r="AX380" s="144">
        <f t="shared" si="1176"/>
        <v>0</v>
      </c>
      <c r="AY380" s="144">
        <f t="shared" si="1176"/>
        <v>0</v>
      </c>
      <c r="AZ380" s="144">
        <f t="shared" si="1176"/>
        <v>0</v>
      </c>
      <c r="BA380" s="144">
        <f t="shared" si="1176"/>
        <v>0.00657561087913473</v>
      </c>
      <c r="BB380" s="9">
        <f t="shared" si="1176"/>
        <v>0.000639557390756836</v>
      </c>
      <c r="BC380" s="144">
        <f t="shared" si="1176"/>
        <v>0</v>
      </c>
      <c r="BD380" s="144">
        <f t="shared" si="1176"/>
        <v>0</v>
      </c>
      <c r="BE380" s="144">
        <f t="shared" si="1176"/>
        <v>0</v>
      </c>
      <c r="BF380" s="144">
        <f t="shared" si="1176"/>
        <v>0</v>
      </c>
      <c r="BG380" s="144">
        <f t="shared" si="1176"/>
        <v>0</v>
      </c>
      <c r="BH380" s="144">
        <f t="shared" si="1176"/>
        <v>0</v>
      </c>
      <c r="BI380" s="144">
        <f t="shared" si="1176"/>
        <v>0</v>
      </c>
      <c r="BJ380" s="144">
        <f t="shared" si="1176"/>
        <v>0</v>
      </c>
      <c r="BK380" s="144">
        <f t="shared" si="1176"/>
        <v>0</v>
      </c>
      <c r="BL380" s="144">
        <f t="shared" si="1176"/>
        <v>0</v>
      </c>
      <c r="BM380" s="144">
        <f t="shared" si="1176"/>
        <v>0</v>
      </c>
      <c r="BN380" s="144">
        <f t="shared" si="1176"/>
        <v>0.0101582535550658</v>
      </c>
      <c r="BO380" s="9">
        <f t="shared" ref="BO380:DZ380" si="1177">BO168/BO$211</f>
        <v>0.000874556564596155</v>
      </c>
      <c r="BP380" s="144">
        <f t="shared" si="1177"/>
        <v>0</v>
      </c>
      <c r="BQ380" s="144">
        <f t="shared" si="1177"/>
        <v>0</v>
      </c>
      <c r="BR380" s="144">
        <f t="shared" si="1177"/>
        <v>0</v>
      </c>
      <c r="BS380" s="144">
        <f t="shared" si="1177"/>
        <v>0</v>
      </c>
      <c r="BT380" s="144">
        <f t="shared" si="1177"/>
        <v>0</v>
      </c>
      <c r="BU380" s="144">
        <f t="shared" si="1177"/>
        <v>0</v>
      </c>
      <c r="BV380" s="144">
        <f t="shared" si="1177"/>
        <v>0</v>
      </c>
      <c r="BW380" s="144">
        <f t="shared" si="1177"/>
        <v>0</v>
      </c>
      <c r="BX380" s="144">
        <f t="shared" si="1177"/>
        <v>0</v>
      </c>
      <c r="BY380" s="144">
        <f t="shared" si="1177"/>
        <v>0</v>
      </c>
      <c r="BZ380" s="144">
        <f t="shared" si="1177"/>
        <v>0</v>
      </c>
      <c r="CA380" s="144">
        <f t="shared" si="1177"/>
        <v>0.00185090503891461</v>
      </c>
      <c r="CB380" s="9">
        <f t="shared" si="1177"/>
        <v>0.000129719755860952</v>
      </c>
      <c r="CC380" s="144">
        <f t="shared" si="1177"/>
        <v>0</v>
      </c>
      <c r="CD380" s="144">
        <f t="shared" si="1177"/>
        <v>0</v>
      </c>
      <c r="CE380" s="144">
        <f t="shared" si="1177"/>
        <v>0</v>
      </c>
      <c r="CF380" s="144">
        <f t="shared" si="1177"/>
        <v>0</v>
      </c>
      <c r="CG380" s="144">
        <f t="shared" si="1177"/>
        <v>0</v>
      </c>
      <c r="CH380" s="144">
        <f t="shared" si="1177"/>
        <v>0</v>
      </c>
      <c r="CI380" s="144">
        <f t="shared" si="1177"/>
        <v>0</v>
      </c>
      <c r="CJ380" s="144">
        <f t="shared" si="1177"/>
        <v>0</v>
      </c>
      <c r="CK380" s="144">
        <f t="shared" si="1177"/>
        <v>0</v>
      </c>
      <c r="CL380" s="144">
        <f t="shared" si="1177"/>
        <v>0</v>
      </c>
      <c r="CM380" s="144">
        <f t="shared" si="1177"/>
        <v>0</v>
      </c>
      <c r="CN380" s="144">
        <f t="shared" si="1177"/>
        <v>0.00342820269416037</v>
      </c>
      <c r="CO380" s="9">
        <f t="shared" si="1177"/>
        <v>0.000243951816548384</v>
      </c>
      <c r="CP380" s="144">
        <f t="shared" si="1177"/>
        <v>0</v>
      </c>
      <c r="CQ380" s="144">
        <f t="shared" si="1177"/>
        <v>0</v>
      </c>
      <c r="CR380" s="144">
        <f t="shared" si="1177"/>
        <v>0</v>
      </c>
      <c r="CS380" s="144">
        <f t="shared" si="1177"/>
        <v>0</v>
      </c>
      <c r="CT380" s="144">
        <f t="shared" si="1177"/>
        <v>0</v>
      </c>
      <c r="CU380" s="144">
        <f t="shared" si="1177"/>
        <v>0</v>
      </c>
      <c r="CV380" s="144">
        <f t="shared" si="1177"/>
        <v>0</v>
      </c>
      <c r="CW380" s="144">
        <f t="shared" si="1177"/>
        <v>0</v>
      </c>
      <c r="CX380" s="144">
        <f t="shared" si="1177"/>
        <v>0</v>
      </c>
      <c r="CY380" s="144">
        <f t="shared" si="1177"/>
        <v>0</v>
      </c>
      <c r="CZ380" s="144">
        <f t="shared" si="1177"/>
        <v>0</v>
      </c>
      <c r="DA380" s="144">
        <f t="shared" si="1177"/>
        <v>0.0150441688074931</v>
      </c>
      <c r="DB380" s="9">
        <f t="shared" si="1177"/>
        <v>0.00115485704825028</v>
      </c>
      <c r="DC380" s="144">
        <f t="shared" si="1177"/>
        <v>0</v>
      </c>
      <c r="DD380" s="144">
        <f t="shared" si="1177"/>
        <v>0</v>
      </c>
      <c r="DE380" s="144">
        <f t="shared" si="1177"/>
        <v>0</v>
      </c>
      <c r="DF380" s="144">
        <f t="shared" si="1177"/>
        <v>0</v>
      </c>
      <c r="DG380" s="144">
        <f t="shared" si="1177"/>
        <v>0</v>
      </c>
      <c r="DH380" s="144">
        <f t="shared" si="1177"/>
        <v>0</v>
      </c>
      <c r="DI380" s="144">
        <f t="shared" si="1177"/>
        <v>0</v>
      </c>
      <c r="DJ380" s="144">
        <f t="shared" si="1177"/>
        <v>0</v>
      </c>
      <c r="DK380" s="144">
        <f t="shared" si="1177"/>
        <v>0</v>
      </c>
      <c r="DL380" s="144">
        <f t="shared" si="1177"/>
        <v>0</v>
      </c>
      <c r="DM380" s="144">
        <f t="shared" si="1177"/>
        <v>0</v>
      </c>
      <c r="DN380" s="144">
        <f t="shared" si="1177"/>
        <v>0</v>
      </c>
      <c r="DO380" s="9">
        <f t="shared" si="1177"/>
        <v>0</v>
      </c>
      <c r="DP380" s="144">
        <f t="shared" si="1177"/>
        <v>0</v>
      </c>
      <c r="DQ380" s="144">
        <f t="shared" si="1177"/>
        <v>0</v>
      </c>
      <c r="DR380" s="144">
        <f t="shared" si="1177"/>
        <v>0</v>
      </c>
      <c r="DS380" s="144">
        <f t="shared" si="1177"/>
        <v>0</v>
      </c>
      <c r="DT380" s="144">
        <f t="shared" si="1177"/>
        <v>0</v>
      </c>
      <c r="DU380" s="144">
        <f t="shared" si="1177"/>
        <v>0</v>
      </c>
      <c r="DV380" s="144">
        <f t="shared" si="1177"/>
        <v>0</v>
      </c>
      <c r="DW380" s="144">
        <f t="shared" si="1177"/>
        <v>0</v>
      </c>
      <c r="DX380" s="144">
        <f t="shared" si="1177"/>
        <v>0</v>
      </c>
      <c r="DY380" s="144">
        <f t="shared" si="1177"/>
        <v>0</v>
      </c>
      <c r="DZ380" s="144">
        <f t="shared" si="1177"/>
        <v>0</v>
      </c>
      <c r="EA380" s="144">
        <f t="shared" ref="EA380:GB380" si="1178">EA168/EA$211</f>
        <v>0.00373373835195387</v>
      </c>
      <c r="EB380" s="117">
        <f t="shared" si="1178"/>
        <v>0.00024974413810033</v>
      </c>
      <c r="EC380" s="118"/>
      <c r="ED380" s="117">
        <f t="shared" ref="ED380:FB380" si="1179">ED168/ED$211</f>
        <v>0</v>
      </c>
      <c r="EE380" s="117">
        <f t="shared" si="1179"/>
        <v>0</v>
      </c>
      <c r="EF380" s="117">
        <f t="shared" si="1179"/>
        <v>0</v>
      </c>
      <c r="EG380" s="117" t="e">
        <f t="shared" si="1179"/>
        <v>#DIV/0!</v>
      </c>
      <c r="EH380" s="117" t="e">
        <f t="shared" si="1179"/>
        <v>#DIV/0!</v>
      </c>
      <c r="EI380" s="117" t="e">
        <f t="shared" si="1179"/>
        <v>#DIV/0!</v>
      </c>
      <c r="EJ380" s="117" t="e">
        <f t="shared" si="1179"/>
        <v>#DIV/0!</v>
      </c>
      <c r="EK380" s="117" t="e">
        <f t="shared" si="1179"/>
        <v>#DIV/0!</v>
      </c>
      <c r="EL380" s="117" t="e">
        <f t="shared" si="1179"/>
        <v>#DIV/0!</v>
      </c>
      <c r="EM380" s="117" t="e">
        <f t="shared" si="1179"/>
        <v>#DIV/0!</v>
      </c>
      <c r="EN380" s="117" t="e">
        <f t="shared" si="1179"/>
        <v>#DIV/0!</v>
      </c>
      <c r="EO380" s="116">
        <f t="shared" si="1179"/>
        <v>0</v>
      </c>
      <c r="EP380" s="117">
        <f t="shared" si="1179"/>
        <v>0</v>
      </c>
      <c r="EQ380" s="117">
        <f t="shared" si="1179"/>
        <v>0</v>
      </c>
      <c r="ER380" s="117">
        <f t="shared" si="1179"/>
        <v>0</v>
      </c>
      <c r="ES380" s="117">
        <f t="shared" si="1179"/>
        <v>0</v>
      </c>
      <c r="ET380" s="117">
        <f t="shared" si="1179"/>
        <v>0</v>
      </c>
      <c r="EU380" s="117">
        <f t="shared" si="1179"/>
        <v>0</v>
      </c>
      <c r="EV380" s="117">
        <f t="shared" si="1179"/>
        <v>0</v>
      </c>
      <c r="EW380" s="117">
        <f t="shared" si="1179"/>
        <v>0</v>
      </c>
      <c r="EX380" s="117">
        <f t="shared" si="1179"/>
        <v>0</v>
      </c>
      <c r="EY380" s="117">
        <f t="shared" si="1179"/>
        <v>0</v>
      </c>
      <c r="EZ380" s="117">
        <f t="shared" si="1179"/>
        <v>0</v>
      </c>
      <c r="FA380" s="117">
        <f t="shared" si="1179"/>
        <v>0.00404439010704757</v>
      </c>
      <c r="FB380" s="117">
        <f t="shared" si="1179"/>
        <v>0.000354373607773242</v>
      </c>
      <c r="FC380" s="118"/>
      <c r="FD380" s="117"/>
      <c r="FE380" s="117"/>
      <c r="FF380" s="117"/>
      <c r="FG380" s="117"/>
      <c r="FH380" s="117"/>
      <c r="FI380" s="117"/>
      <c r="FJ380" s="117"/>
      <c r="FK380" s="117" t="e">
        <f t="shared" si="991"/>
        <v>#DIV/0!</v>
      </c>
      <c r="FL380" s="117" t="e">
        <f t="shared" si="992"/>
        <v>#DIV/0!</v>
      </c>
      <c r="FM380" s="117" t="e">
        <f t="shared" si="993"/>
        <v>#DIV/0!</v>
      </c>
      <c r="FN380" s="117" t="e">
        <f t="shared" si="994"/>
        <v>#DIV/0!</v>
      </c>
      <c r="FO380" s="9" t="e">
        <f t="shared" si="995"/>
        <v>#DIV/0!</v>
      </c>
      <c r="FP380" s="118">
        <f t="shared" si="1178"/>
        <v>0</v>
      </c>
      <c r="FQ380" s="117">
        <f t="shared" si="1178"/>
        <v>0</v>
      </c>
      <c r="FR380" s="117">
        <f t="shared" si="1178"/>
        <v>0</v>
      </c>
      <c r="FS380" s="117">
        <f t="shared" si="1178"/>
        <v>0</v>
      </c>
      <c r="FT380" s="117">
        <f t="shared" si="1178"/>
        <v>0</v>
      </c>
      <c r="FU380" s="117">
        <f t="shared" si="1178"/>
        <v>0</v>
      </c>
      <c r="FV380" s="117">
        <f t="shared" si="1178"/>
        <v>0</v>
      </c>
      <c r="FW380" s="117">
        <f t="shared" si="1178"/>
        <v>0</v>
      </c>
      <c r="FX380" s="117">
        <f t="shared" si="1178"/>
        <v>0</v>
      </c>
      <c r="FY380" s="117">
        <f t="shared" si="1178"/>
        <v>0</v>
      </c>
      <c r="FZ380" s="117">
        <f t="shared" si="1178"/>
        <v>0</v>
      </c>
      <c r="GA380" s="117">
        <f t="shared" si="1178"/>
        <v>0.0257322691141212</v>
      </c>
      <c r="GB380" s="116">
        <f t="shared" si="1178"/>
        <v>0.00242013586123387</v>
      </c>
    </row>
    <row r="381" spans="1:184">
      <c r="A381" s="147" t="s">
        <v>340</v>
      </c>
      <c r="B381" s="160">
        <f t="shared" si="997"/>
        <v>0.309462430690961</v>
      </c>
      <c r="C381" s="117">
        <f t="shared" ref="C381:BN381" si="1180">C169/C$211</f>
        <v>0.000395951999508456</v>
      </c>
      <c r="D381" s="117">
        <f t="shared" si="1180"/>
        <v>0.00031167537028302</v>
      </c>
      <c r="E381" s="117">
        <f t="shared" si="1180"/>
        <v>0.000314067604903223</v>
      </c>
      <c r="F381" s="117">
        <f t="shared" si="1180"/>
        <v>0.000239134776304477</v>
      </c>
      <c r="G381" s="117">
        <f t="shared" si="1180"/>
        <v>0.000194901856639521</v>
      </c>
      <c r="H381" s="117">
        <f t="shared" si="1180"/>
        <v>0.00019279463947282</v>
      </c>
      <c r="I381" s="117">
        <f t="shared" si="1180"/>
        <v>0.000152731599430364</v>
      </c>
      <c r="J381" s="117">
        <f t="shared" si="1180"/>
        <v>5.08733466870135e-5</v>
      </c>
      <c r="K381" s="117">
        <f t="shared" si="1180"/>
        <v>2.78498242501754e-5</v>
      </c>
      <c r="L381" s="117">
        <f t="shared" si="1180"/>
        <v>2.74211974383788e-5</v>
      </c>
      <c r="M381" s="117">
        <f t="shared" si="1180"/>
        <v>2.62918905405752e-5</v>
      </c>
      <c r="N381" s="117">
        <f t="shared" si="1180"/>
        <v>2.72419630122511e-5</v>
      </c>
      <c r="O381" s="9">
        <f t="shared" si="1180"/>
        <v>0.00017037758703</v>
      </c>
      <c r="P381" s="117">
        <f t="shared" si="1180"/>
        <v>0.000595801767026684</v>
      </c>
      <c r="Q381" s="117">
        <f t="shared" si="1180"/>
        <v>0.000467220288770626</v>
      </c>
      <c r="R381" s="117">
        <f t="shared" si="1180"/>
        <v>0.000705407196163263</v>
      </c>
      <c r="S381" s="117">
        <f t="shared" si="1180"/>
        <v>0.000819022959829114</v>
      </c>
      <c r="T381" s="117">
        <f t="shared" si="1180"/>
        <v>0.000795294346871618</v>
      </c>
      <c r="U381" s="117">
        <f t="shared" si="1180"/>
        <v>0.000742692967595274</v>
      </c>
      <c r="V381" s="117">
        <f t="shared" si="1180"/>
        <v>0.000665975444637839</v>
      </c>
      <c r="W381" s="117">
        <f t="shared" si="1180"/>
        <v>0</v>
      </c>
      <c r="X381" s="117">
        <f t="shared" si="1180"/>
        <v>0</v>
      </c>
      <c r="Y381" s="117">
        <f t="shared" si="1180"/>
        <v>0</v>
      </c>
      <c r="Z381" s="117">
        <f t="shared" si="1180"/>
        <v>0</v>
      </c>
      <c r="AA381" s="117">
        <f t="shared" si="1180"/>
        <v>0</v>
      </c>
      <c r="AB381" s="9">
        <f t="shared" si="1180"/>
        <v>0.000369412457394544</v>
      </c>
      <c r="AC381" s="117">
        <f t="shared" si="1180"/>
        <v>0</v>
      </c>
      <c r="AD381" s="117">
        <f t="shared" si="1180"/>
        <v>0</v>
      </c>
      <c r="AE381" s="117">
        <f t="shared" si="1180"/>
        <v>0</v>
      </c>
      <c r="AF381" s="117">
        <f t="shared" si="1180"/>
        <v>0</v>
      </c>
      <c r="AG381" s="117">
        <f t="shared" si="1180"/>
        <v>0</v>
      </c>
      <c r="AH381" s="117">
        <f t="shared" si="1180"/>
        <v>0</v>
      </c>
      <c r="AI381" s="117">
        <f t="shared" si="1180"/>
        <v>0</v>
      </c>
      <c r="AJ381" s="117">
        <f t="shared" si="1180"/>
        <v>0</v>
      </c>
      <c r="AK381" s="117">
        <f t="shared" si="1180"/>
        <v>0</v>
      </c>
      <c r="AL381" s="117">
        <f t="shared" si="1180"/>
        <v>0</v>
      </c>
      <c r="AM381" s="117">
        <f t="shared" si="1180"/>
        <v>0</v>
      </c>
      <c r="AN381" s="117">
        <f t="shared" si="1180"/>
        <v>0</v>
      </c>
      <c r="AO381" s="9">
        <f t="shared" si="1180"/>
        <v>0</v>
      </c>
      <c r="AP381" s="144">
        <f t="shared" si="1180"/>
        <v>0.000599311784960676</v>
      </c>
      <c r="AQ381" s="144">
        <f t="shared" si="1180"/>
        <v>0.000174134615236437</v>
      </c>
      <c r="AR381" s="144">
        <f t="shared" si="1180"/>
        <v>8.14264033771224e-5</v>
      </c>
      <c r="AS381" s="144">
        <f t="shared" si="1180"/>
        <v>7.36760934902593e-5</v>
      </c>
      <c r="AT381" s="144">
        <f t="shared" si="1180"/>
        <v>7.16612610018169e-5</v>
      </c>
      <c r="AU381" s="144">
        <f t="shared" si="1180"/>
        <v>7.92842076955328e-5</v>
      </c>
      <c r="AV381" s="144">
        <f t="shared" si="1180"/>
        <v>6.53495551079965e-5</v>
      </c>
      <c r="AW381" s="144">
        <f t="shared" si="1180"/>
        <v>5.75762653673705e-5</v>
      </c>
      <c r="AX381" s="144">
        <f t="shared" si="1180"/>
        <v>5.72949932214989e-5</v>
      </c>
      <c r="AY381" s="144">
        <f t="shared" si="1180"/>
        <v>6.13209337229246e-5</v>
      </c>
      <c r="AZ381" s="144">
        <f t="shared" si="1180"/>
        <v>5.89774876376633e-5</v>
      </c>
      <c r="BA381" s="144">
        <f t="shared" si="1180"/>
        <v>5.53209002222857e-5</v>
      </c>
      <c r="BB381" s="9">
        <f t="shared" si="1180"/>
        <v>0.000125407256391753</v>
      </c>
      <c r="BC381" s="144">
        <f t="shared" si="1180"/>
        <v>0.000696704533280941</v>
      </c>
      <c r="BD381" s="144">
        <f t="shared" si="1180"/>
        <v>0.000489974748820177</v>
      </c>
      <c r="BE381" s="144">
        <f t="shared" si="1180"/>
        <v>0.000206453362260882</v>
      </c>
      <c r="BF381" s="144">
        <f t="shared" si="1180"/>
        <v>0.000172402243344973</v>
      </c>
      <c r="BG381" s="144">
        <f t="shared" si="1180"/>
        <v>0.000136625943528215</v>
      </c>
      <c r="BH381" s="144">
        <f t="shared" si="1180"/>
        <v>0.000169056922022858</v>
      </c>
      <c r="BI381" s="144">
        <f t="shared" si="1180"/>
        <v>0.000139219593826551</v>
      </c>
      <c r="BJ381" s="144">
        <f t="shared" si="1180"/>
        <v>0.000123690187763942</v>
      </c>
      <c r="BK381" s="144">
        <f t="shared" si="1180"/>
        <v>0</v>
      </c>
      <c r="BL381" s="144">
        <f t="shared" si="1180"/>
        <v>0</v>
      </c>
      <c r="BM381" s="144">
        <f t="shared" si="1180"/>
        <v>0</v>
      </c>
      <c r="BN381" s="144">
        <f t="shared" si="1180"/>
        <v>0</v>
      </c>
      <c r="BO381" s="9">
        <f t="shared" ref="BO381:DZ381" si="1181">BO169/BO$211</f>
        <v>0.000199769764609513</v>
      </c>
      <c r="BP381" s="144">
        <f t="shared" si="1181"/>
        <v>0</v>
      </c>
      <c r="BQ381" s="144">
        <f t="shared" si="1181"/>
        <v>0</v>
      </c>
      <c r="BR381" s="144">
        <f t="shared" si="1181"/>
        <v>0</v>
      </c>
      <c r="BS381" s="144">
        <f t="shared" si="1181"/>
        <v>0</v>
      </c>
      <c r="BT381" s="144">
        <f t="shared" si="1181"/>
        <v>0</v>
      </c>
      <c r="BU381" s="144">
        <f t="shared" si="1181"/>
        <v>0</v>
      </c>
      <c r="BV381" s="144">
        <f t="shared" si="1181"/>
        <v>0</v>
      </c>
      <c r="BW381" s="144">
        <f t="shared" si="1181"/>
        <v>0</v>
      </c>
      <c r="BX381" s="144">
        <f t="shared" si="1181"/>
        <v>0</v>
      </c>
      <c r="BY381" s="144">
        <f t="shared" si="1181"/>
        <v>0</v>
      </c>
      <c r="BZ381" s="144">
        <f t="shared" si="1181"/>
        <v>0</v>
      </c>
      <c r="CA381" s="144">
        <f t="shared" si="1181"/>
        <v>0</v>
      </c>
      <c r="CB381" s="9">
        <f t="shared" si="1181"/>
        <v>0</v>
      </c>
      <c r="CC381" s="144">
        <f t="shared" si="1181"/>
        <v>0</v>
      </c>
      <c r="CD381" s="144">
        <f t="shared" si="1181"/>
        <v>0</v>
      </c>
      <c r="CE381" s="144">
        <f t="shared" si="1181"/>
        <v>0</v>
      </c>
      <c r="CF381" s="144">
        <f t="shared" si="1181"/>
        <v>0</v>
      </c>
      <c r="CG381" s="144">
        <f t="shared" si="1181"/>
        <v>0</v>
      </c>
      <c r="CH381" s="144">
        <f t="shared" si="1181"/>
        <v>0</v>
      </c>
      <c r="CI381" s="144">
        <f t="shared" si="1181"/>
        <v>0</v>
      </c>
      <c r="CJ381" s="144">
        <f t="shared" si="1181"/>
        <v>0</v>
      </c>
      <c r="CK381" s="144">
        <f t="shared" si="1181"/>
        <v>0</v>
      </c>
      <c r="CL381" s="144">
        <f t="shared" si="1181"/>
        <v>0</v>
      </c>
      <c r="CM381" s="144">
        <f t="shared" si="1181"/>
        <v>0</v>
      </c>
      <c r="CN381" s="144">
        <f t="shared" si="1181"/>
        <v>0</v>
      </c>
      <c r="CO381" s="9">
        <f t="shared" si="1181"/>
        <v>0</v>
      </c>
      <c r="CP381" s="144">
        <f t="shared" si="1181"/>
        <v>0.000212911459869318</v>
      </c>
      <c r="CQ381" s="144">
        <f t="shared" si="1181"/>
        <v>0.000143498742139158</v>
      </c>
      <c r="CR381" s="144">
        <f t="shared" si="1181"/>
        <v>4.6046310235381e-5</v>
      </c>
      <c r="CS381" s="144">
        <f t="shared" si="1181"/>
        <v>6.56327151311972e-5</v>
      </c>
      <c r="CT381" s="144">
        <f t="shared" si="1181"/>
        <v>3.86164628329797e-5</v>
      </c>
      <c r="CU381" s="144">
        <f t="shared" si="1181"/>
        <v>4.37483452115887e-5</v>
      </c>
      <c r="CV381" s="144">
        <f t="shared" si="1181"/>
        <v>4.0539712556119e-5</v>
      </c>
      <c r="CW381" s="144">
        <f t="shared" si="1181"/>
        <v>3.79810771134553e-5</v>
      </c>
      <c r="CX381" s="144">
        <f t="shared" si="1181"/>
        <v>0</v>
      </c>
      <c r="CY381" s="144">
        <f t="shared" si="1181"/>
        <v>0</v>
      </c>
      <c r="CZ381" s="144">
        <f t="shared" si="1181"/>
        <v>0</v>
      </c>
      <c r="DA381" s="144">
        <f t="shared" si="1181"/>
        <v>0</v>
      </c>
      <c r="DB381" s="9">
        <f t="shared" si="1181"/>
        <v>5.99622919393185e-5</v>
      </c>
      <c r="DC381" s="144">
        <f t="shared" si="1181"/>
        <v>0.000143351158981269</v>
      </c>
      <c r="DD381" s="144">
        <f t="shared" si="1181"/>
        <v>0.00143046020540109</v>
      </c>
      <c r="DE381" s="144">
        <f t="shared" si="1181"/>
        <v>0.00235718552956836</v>
      </c>
      <c r="DF381" s="144">
        <f t="shared" si="1181"/>
        <v>0.00129373509661571</v>
      </c>
      <c r="DG381" s="144">
        <f t="shared" si="1181"/>
        <v>0.000823469000294489</v>
      </c>
      <c r="DH381" s="144">
        <f t="shared" si="1181"/>
        <v>0.0004261075861097</v>
      </c>
      <c r="DI381" s="144">
        <f t="shared" si="1181"/>
        <v>0.000410924140430582</v>
      </c>
      <c r="DJ381" s="144">
        <f t="shared" si="1181"/>
        <v>0.000401363876628834</v>
      </c>
      <c r="DK381" s="144">
        <f t="shared" si="1181"/>
        <v>0.000401759853497802</v>
      </c>
      <c r="DL381" s="144">
        <f t="shared" si="1181"/>
        <v>0.000396950083099671</v>
      </c>
      <c r="DM381" s="144">
        <f t="shared" si="1181"/>
        <v>0.000441412809944221</v>
      </c>
      <c r="DN381" s="144">
        <f t="shared" si="1181"/>
        <v>0.000400045483207393</v>
      </c>
      <c r="DO381" s="9">
        <f t="shared" si="1181"/>
        <v>0.000751974200839844</v>
      </c>
      <c r="DP381" s="144">
        <f t="shared" si="1181"/>
        <v>0.00148758012980368</v>
      </c>
      <c r="DQ381" s="144">
        <f t="shared" si="1181"/>
        <v>0.00171727990715366</v>
      </c>
      <c r="DR381" s="144">
        <f t="shared" si="1181"/>
        <v>0.001710138992316</v>
      </c>
      <c r="DS381" s="144">
        <f t="shared" si="1181"/>
        <v>0.000848028164727722</v>
      </c>
      <c r="DT381" s="144">
        <f t="shared" si="1181"/>
        <v>0.000517083853434862</v>
      </c>
      <c r="DU381" s="144">
        <f t="shared" si="1181"/>
        <v>0.000451913870568393</v>
      </c>
      <c r="DV381" s="144">
        <f t="shared" si="1181"/>
        <v>0.000272312299998519</v>
      </c>
      <c r="DW381" s="144">
        <f t="shared" si="1181"/>
        <v>0.000159404662259141</v>
      </c>
      <c r="DX381" s="144">
        <f t="shared" si="1181"/>
        <v>0</v>
      </c>
      <c r="DY381" s="144">
        <f t="shared" si="1181"/>
        <v>0</v>
      </c>
      <c r="DZ381" s="144">
        <f t="shared" si="1181"/>
        <v>0</v>
      </c>
      <c r="EA381" s="144">
        <f t="shared" ref="EA381:GB381" si="1182">EA169/EA$211</f>
        <v>0</v>
      </c>
      <c r="EB381" s="117">
        <f t="shared" si="1182"/>
        <v>0.000671961394974869</v>
      </c>
      <c r="EC381" s="118"/>
      <c r="ED381" s="117">
        <f t="shared" ref="ED381:FB381" si="1183">ED169/ED$211</f>
        <v>0</v>
      </c>
      <c r="EE381" s="117">
        <f t="shared" si="1183"/>
        <v>0</v>
      </c>
      <c r="EF381" s="117">
        <f t="shared" si="1183"/>
        <v>0</v>
      </c>
      <c r="EG381" s="117" t="e">
        <f t="shared" si="1183"/>
        <v>#DIV/0!</v>
      </c>
      <c r="EH381" s="117" t="e">
        <f t="shared" si="1183"/>
        <v>#DIV/0!</v>
      </c>
      <c r="EI381" s="117" t="e">
        <f t="shared" si="1183"/>
        <v>#DIV/0!</v>
      </c>
      <c r="EJ381" s="117" t="e">
        <f t="shared" si="1183"/>
        <v>#DIV/0!</v>
      </c>
      <c r="EK381" s="117" t="e">
        <f t="shared" si="1183"/>
        <v>#DIV/0!</v>
      </c>
      <c r="EL381" s="117" t="e">
        <f t="shared" si="1183"/>
        <v>#DIV/0!</v>
      </c>
      <c r="EM381" s="117" t="e">
        <f t="shared" si="1183"/>
        <v>#DIV/0!</v>
      </c>
      <c r="EN381" s="117" t="e">
        <f t="shared" si="1183"/>
        <v>#DIV/0!</v>
      </c>
      <c r="EO381" s="116">
        <f t="shared" si="1183"/>
        <v>0</v>
      </c>
      <c r="EP381" s="117">
        <f t="shared" si="1183"/>
        <v>1.5321636255871e-5</v>
      </c>
      <c r="EQ381" s="117">
        <f t="shared" si="1183"/>
        <v>0.000482686750015375</v>
      </c>
      <c r="ER381" s="117">
        <f t="shared" si="1183"/>
        <v>0.000590918863193499</v>
      </c>
      <c r="ES381" s="117">
        <f t="shared" si="1183"/>
        <v>0.000281960066104476</v>
      </c>
      <c r="ET381" s="117">
        <f t="shared" si="1183"/>
        <v>0.000490846182196571</v>
      </c>
      <c r="EU381" s="117">
        <f t="shared" si="1183"/>
        <v>0.000292125607354808</v>
      </c>
      <c r="EV381" s="117">
        <f t="shared" si="1183"/>
        <v>0.00022083601085747</v>
      </c>
      <c r="EW381" s="117">
        <f t="shared" si="1183"/>
        <v>0.000189286466760505</v>
      </c>
      <c r="EX381" s="117">
        <f t="shared" si="1183"/>
        <v>0.000165411129734257</v>
      </c>
      <c r="EY381" s="117">
        <f t="shared" si="1183"/>
        <v>0.000140040288843825</v>
      </c>
      <c r="EZ381" s="117">
        <f t="shared" si="1183"/>
        <v>0.000155204031439157</v>
      </c>
      <c r="FA381" s="117">
        <f t="shared" si="1183"/>
        <v>0.000148828104804859</v>
      </c>
      <c r="FB381" s="117">
        <f t="shared" si="1183"/>
        <v>0.000264630425241904</v>
      </c>
      <c r="FC381" s="118"/>
      <c r="FD381" s="117"/>
      <c r="FE381" s="117"/>
      <c r="FF381" s="117"/>
      <c r="FG381" s="117"/>
      <c r="FH381" s="117"/>
      <c r="FI381" s="117"/>
      <c r="FJ381" s="117"/>
      <c r="FK381" s="117" t="e">
        <f t="shared" si="991"/>
        <v>#DIV/0!</v>
      </c>
      <c r="FL381" s="117" t="e">
        <f t="shared" si="992"/>
        <v>#DIV/0!</v>
      </c>
      <c r="FM381" s="117" t="e">
        <f t="shared" si="993"/>
        <v>#DIV/0!</v>
      </c>
      <c r="FN381" s="117" t="e">
        <f t="shared" si="994"/>
        <v>#DIV/0!</v>
      </c>
      <c r="FO381" s="9" t="e">
        <f t="shared" si="995"/>
        <v>#DIV/0!</v>
      </c>
      <c r="FP381" s="118">
        <f t="shared" si="1182"/>
        <v>0.000351961882228533</v>
      </c>
      <c r="FQ381" s="117">
        <f t="shared" si="1182"/>
        <v>0.000155767486777648</v>
      </c>
      <c r="FR381" s="117">
        <f t="shared" si="1182"/>
        <v>0.000135145663603282</v>
      </c>
      <c r="FS381" s="117">
        <f t="shared" si="1182"/>
        <v>8.86878401918509e-5</v>
      </c>
      <c r="FT381" s="117">
        <f t="shared" si="1182"/>
        <v>6.39855483387144e-5</v>
      </c>
      <c r="FU381" s="117">
        <f t="shared" si="1182"/>
        <v>8.75935964277572e-5</v>
      </c>
      <c r="FV381" s="117">
        <f t="shared" si="1182"/>
        <v>7.01535032369406e-5</v>
      </c>
      <c r="FW381" s="117">
        <f t="shared" si="1182"/>
        <v>5.90509964710697e-5</v>
      </c>
      <c r="FX381" s="117">
        <f t="shared" si="1182"/>
        <v>6.6661361318014e-5</v>
      </c>
      <c r="FY381" s="117">
        <f t="shared" si="1182"/>
        <v>6.21171528861395e-5</v>
      </c>
      <c r="FZ381" s="117">
        <f t="shared" si="1182"/>
        <v>5.69675444491044e-5</v>
      </c>
      <c r="GA381" s="117">
        <f t="shared" si="1182"/>
        <v>5.41216747128528e-5</v>
      </c>
      <c r="GB381" s="116">
        <f t="shared" si="1182"/>
        <v>0.000118013721852651</v>
      </c>
    </row>
    <row r="382" spans="1:184">
      <c r="A382" s="147" t="s">
        <v>341</v>
      </c>
      <c r="B382" s="160" t="e">
        <f t="shared" si="997"/>
        <v>#DIV/0!</v>
      </c>
      <c r="C382" s="117">
        <f t="shared" ref="C382:BN382" si="1184">C170/C$211</f>
        <v>0</v>
      </c>
      <c r="D382" s="117">
        <f t="shared" si="1184"/>
        <v>0</v>
      </c>
      <c r="E382" s="117">
        <f t="shared" si="1184"/>
        <v>0</v>
      </c>
      <c r="F382" s="117">
        <f t="shared" si="1184"/>
        <v>0</v>
      </c>
      <c r="G382" s="117">
        <f t="shared" si="1184"/>
        <v>0</v>
      </c>
      <c r="H382" s="117">
        <f t="shared" si="1184"/>
        <v>0</v>
      </c>
      <c r="I382" s="117">
        <f t="shared" si="1184"/>
        <v>0</v>
      </c>
      <c r="J382" s="117">
        <f t="shared" si="1184"/>
        <v>0</v>
      </c>
      <c r="K382" s="117">
        <f t="shared" si="1184"/>
        <v>0</v>
      </c>
      <c r="L382" s="117">
        <f t="shared" si="1184"/>
        <v>0</v>
      </c>
      <c r="M382" s="117">
        <f t="shared" si="1184"/>
        <v>0</v>
      </c>
      <c r="N382" s="117">
        <f t="shared" si="1184"/>
        <v>0</v>
      </c>
      <c r="O382" s="9">
        <f t="shared" si="1184"/>
        <v>0</v>
      </c>
      <c r="P382" s="117">
        <f t="shared" si="1184"/>
        <v>0</v>
      </c>
      <c r="Q382" s="117">
        <f t="shared" si="1184"/>
        <v>0</v>
      </c>
      <c r="R382" s="117">
        <f t="shared" si="1184"/>
        <v>0</v>
      </c>
      <c r="S382" s="117">
        <f t="shared" si="1184"/>
        <v>0</v>
      </c>
      <c r="T382" s="117">
        <f t="shared" si="1184"/>
        <v>0</v>
      </c>
      <c r="U382" s="117">
        <f t="shared" si="1184"/>
        <v>0</v>
      </c>
      <c r="V382" s="117">
        <f t="shared" si="1184"/>
        <v>0</v>
      </c>
      <c r="W382" s="117">
        <f t="shared" si="1184"/>
        <v>0</v>
      </c>
      <c r="X382" s="117">
        <f t="shared" si="1184"/>
        <v>0</v>
      </c>
      <c r="Y382" s="117">
        <f t="shared" si="1184"/>
        <v>0</v>
      </c>
      <c r="Z382" s="117">
        <f t="shared" si="1184"/>
        <v>0</v>
      </c>
      <c r="AA382" s="117">
        <f t="shared" si="1184"/>
        <v>0</v>
      </c>
      <c r="AB382" s="9">
        <f t="shared" si="1184"/>
        <v>0</v>
      </c>
      <c r="AC382" s="117">
        <f t="shared" si="1184"/>
        <v>0</v>
      </c>
      <c r="AD382" s="117">
        <f t="shared" si="1184"/>
        <v>0</v>
      </c>
      <c r="AE382" s="117">
        <f t="shared" si="1184"/>
        <v>0</v>
      </c>
      <c r="AF382" s="117">
        <f t="shared" si="1184"/>
        <v>0</v>
      </c>
      <c r="AG382" s="117">
        <f t="shared" si="1184"/>
        <v>0</v>
      </c>
      <c r="AH382" s="117">
        <f t="shared" si="1184"/>
        <v>0</v>
      </c>
      <c r="AI382" s="117">
        <f t="shared" si="1184"/>
        <v>0</v>
      </c>
      <c r="AJ382" s="117">
        <f t="shared" si="1184"/>
        <v>0</v>
      </c>
      <c r="AK382" s="117">
        <f t="shared" si="1184"/>
        <v>0</v>
      </c>
      <c r="AL382" s="117">
        <f t="shared" si="1184"/>
        <v>0</v>
      </c>
      <c r="AM382" s="117">
        <f t="shared" si="1184"/>
        <v>0</v>
      </c>
      <c r="AN382" s="117">
        <f t="shared" si="1184"/>
        <v>0</v>
      </c>
      <c r="AO382" s="9">
        <f t="shared" si="1184"/>
        <v>0</v>
      </c>
      <c r="AP382" s="144">
        <f t="shared" si="1184"/>
        <v>0</v>
      </c>
      <c r="AQ382" s="144">
        <f t="shared" si="1184"/>
        <v>0</v>
      </c>
      <c r="AR382" s="144">
        <f t="shared" si="1184"/>
        <v>0</v>
      </c>
      <c r="AS382" s="144">
        <f t="shared" si="1184"/>
        <v>0</v>
      </c>
      <c r="AT382" s="144">
        <f t="shared" si="1184"/>
        <v>0</v>
      </c>
      <c r="AU382" s="144">
        <f t="shared" si="1184"/>
        <v>0</v>
      </c>
      <c r="AV382" s="144">
        <f t="shared" si="1184"/>
        <v>0</v>
      </c>
      <c r="AW382" s="144">
        <f t="shared" si="1184"/>
        <v>0</v>
      </c>
      <c r="AX382" s="144">
        <f t="shared" si="1184"/>
        <v>0</v>
      </c>
      <c r="AY382" s="144">
        <f t="shared" si="1184"/>
        <v>0</v>
      </c>
      <c r="AZ382" s="144">
        <f t="shared" si="1184"/>
        <v>0</v>
      </c>
      <c r="BA382" s="144">
        <f t="shared" si="1184"/>
        <v>0</v>
      </c>
      <c r="BB382" s="9">
        <f t="shared" si="1184"/>
        <v>0</v>
      </c>
      <c r="BC382" s="144">
        <f t="shared" si="1184"/>
        <v>0</v>
      </c>
      <c r="BD382" s="144">
        <f t="shared" si="1184"/>
        <v>0</v>
      </c>
      <c r="BE382" s="144">
        <f t="shared" si="1184"/>
        <v>0</v>
      </c>
      <c r="BF382" s="144">
        <f t="shared" si="1184"/>
        <v>0</v>
      </c>
      <c r="BG382" s="144">
        <f t="shared" si="1184"/>
        <v>0</v>
      </c>
      <c r="BH382" s="144">
        <f t="shared" si="1184"/>
        <v>0</v>
      </c>
      <c r="BI382" s="144">
        <f t="shared" si="1184"/>
        <v>0</v>
      </c>
      <c r="BJ382" s="144">
        <f t="shared" si="1184"/>
        <v>0</v>
      </c>
      <c r="BK382" s="144">
        <f t="shared" si="1184"/>
        <v>0</v>
      </c>
      <c r="BL382" s="144">
        <f t="shared" si="1184"/>
        <v>0</v>
      </c>
      <c r="BM382" s="144">
        <f t="shared" si="1184"/>
        <v>0</v>
      </c>
      <c r="BN382" s="144">
        <f t="shared" si="1184"/>
        <v>0</v>
      </c>
      <c r="BO382" s="9">
        <f t="shared" ref="BO382:DZ382" si="1185">BO170/BO$211</f>
        <v>0</v>
      </c>
      <c r="BP382" s="144">
        <f t="shared" si="1185"/>
        <v>0</v>
      </c>
      <c r="BQ382" s="144">
        <f t="shared" si="1185"/>
        <v>0</v>
      </c>
      <c r="BR382" s="144">
        <f t="shared" si="1185"/>
        <v>0</v>
      </c>
      <c r="BS382" s="144">
        <f t="shared" si="1185"/>
        <v>0</v>
      </c>
      <c r="BT382" s="144">
        <f t="shared" si="1185"/>
        <v>0</v>
      </c>
      <c r="BU382" s="144">
        <f t="shared" si="1185"/>
        <v>0</v>
      </c>
      <c r="BV382" s="144">
        <f t="shared" si="1185"/>
        <v>0</v>
      </c>
      <c r="BW382" s="144">
        <f t="shared" si="1185"/>
        <v>0</v>
      </c>
      <c r="BX382" s="144">
        <f t="shared" si="1185"/>
        <v>0</v>
      </c>
      <c r="BY382" s="144">
        <f t="shared" si="1185"/>
        <v>0</v>
      </c>
      <c r="BZ382" s="144">
        <f t="shared" si="1185"/>
        <v>0</v>
      </c>
      <c r="CA382" s="144">
        <f t="shared" si="1185"/>
        <v>0</v>
      </c>
      <c r="CB382" s="9">
        <f t="shared" si="1185"/>
        <v>0</v>
      </c>
      <c r="CC382" s="144">
        <f t="shared" si="1185"/>
        <v>0</v>
      </c>
      <c r="CD382" s="144">
        <f t="shared" si="1185"/>
        <v>0</v>
      </c>
      <c r="CE382" s="144">
        <f t="shared" si="1185"/>
        <v>0</v>
      </c>
      <c r="CF382" s="144">
        <f t="shared" si="1185"/>
        <v>0</v>
      </c>
      <c r="CG382" s="144">
        <f t="shared" si="1185"/>
        <v>0</v>
      </c>
      <c r="CH382" s="144">
        <f t="shared" si="1185"/>
        <v>0</v>
      </c>
      <c r="CI382" s="144">
        <f t="shared" si="1185"/>
        <v>0</v>
      </c>
      <c r="CJ382" s="144">
        <f t="shared" si="1185"/>
        <v>0</v>
      </c>
      <c r="CK382" s="144">
        <f t="shared" si="1185"/>
        <v>0</v>
      </c>
      <c r="CL382" s="144">
        <f t="shared" si="1185"/>
        <v>0</v>
      </c>
      <c r="CM382" s="144">
        <f t="shared" si="1185"/>
        <v>0</v>
      </c>
      <c r="CN382" s="144">
        <f t="shared" si="1185"/>
        <v>0</v>
      </c>
      <c r="CO382" s="9">
        <f t="shared" si="1185"/>
        <v>0</v>
      </c>
      <c r="CP382" s="144">
        <f t="shared" si="1185"/>
        <v>0</v>
      </c>
      <c r="CQ382" s="144">
        <f t="shared" si="1185"/>
        <v>0</v>
      </c>
      <c r="CR382" s="144">
        <f t="shared" si="1185"/>
        <v>0</v>
      </c>
      <c r="CS382" s="144">
        <f t="shared" si="1185"/>
        <v>0</v>
      </c>
      <c r="CT382" s="144">
        <f t="shared" si="1185"/>
        <v>0</v>
      </c>
      <c r="CU382" s="144">
        <f t="shared" si="1185"/>
        <v>0</v>
      </c>
      <c r="CV382" s="144">
        <f t="shared" si="1185"/>
        <v>0</v>
      </c>
      <c r="CW382" s="144">
        <f t="shared" si="1185"/>
        <v>0</v>
      </c>
      <c r="CX382" s="144">
        <f t="shared" si="1185"/>
        <v>0</v>
      </c>
      <c r="CY382" s="144">
        <f t="shared" si="1185"/>
        <v>0</v>
      </c>
      <c r="CZ382" s="144">
        <f t="shared" si="1185"/>
        <v>0</v>
      </c>
      <c r="DA382" s="144">
        <f t="shared" si="1185"/>
        <v>0</v>
      </c>
      <c r="DB382" s="9">
        <f t="shared" si="1185"/>
        <v>0</v>
      </c>
      <c r="DC382" s="144">
        <f t="shared" si="1185"/>
        <v>0</v>
      </c>
      <c r="DD382" s="144">
        <f t="shared" si="1185"/>
        <v>0</v>
      </c>
      <c r="DE382" s="144">
        <f t="shared" si="1185"/>
        <v>0</v>
      </c>
      <c r="DF382" s="144">
        <f t="shared" si="1185"/>
        <v>0</v>
      </c>
      <c r="DG382" s="144">
        <f t="shared" si="1185"/>
        <v>0</v>
      </c>
      <c r="DH382" s="144">
        <f t="shared" si="1185"/>
        <v>0</v>
      </c>
      <c r="DI382" s="144">
        <f t="shared" si="1185"/>
        <v>0</v>
      </c>
      <c r="DJ382" s="144">
        <f t="shared" si="1185"/>
        <v>0</v>
      </c>
      <c r="DK382" s="144">
        <f t="shared" si="1185"/>
        <v>0</v>
      </c>
      <c r="DL382" s="144">
        <f t="shared" si="1185"/>
        <v>0</v>
      </c>
      <c r="DM382" s="144">
        <f t="shared" si="1185"/>
        <v>0</v>
      </c>
      <c r="DN382" s="144">
        <f t="shared" si="1185"/>
        <v>0</v>
      </c>
      <c r="DO382" s="9">
        <f t="shared" si="1185"/>
        <v>0</v>
      </c>
      <c r="DP382" s="144">
        <f t="shared" si="1185"/>
        <v>0</v>
      </c>
      <c r="DQ382" s="144">
        <f t="shared" si="1185"/>
        <v>0</v>
      </c>
      <c r="DR382" s="144">
        <f t="shared" si="1185"/>
        <v>0</v>
      </c>
      <c r="DS382" s="144">
        <f t="shared" si="1185"/>
        <v>0</v>
      </c>
      <c r="DT382" s="144">
        <f t="shared" si="1185"/>
        <v>0</v>
      </c>
      <c r="DU382" s="144">
        <f t="shared" si="1185"/>
        <v>0</v>
      </c>
      <c r="DV382" s="144">
        <f t="shared" si="1185"/>
        <v>0</v>
      </c>
      <c r="DW382" s="144">
        <f t="shared" si="1185"/>
        <v>0</v>
      </c>
      <c r="DX382" s="144">
        <f t="shared" si="1185"/>
        <v>0</v>
      </c>
      <c r="DY382" s="144">
        <f t="shared" si="1185"/>
        <v>0</v>
      </c>
      <c r="DZ382" s="144">
        <f t="shared" si="1185"/>
        <v>0</v>
      </c>
      <c r="EA382" s="144">
        <f t="shared" ref="EA382:GB382" si="1186">EA170/EA$211</f>
        <v>0</v>
      </c>
      <c r="EB382" s="117">
        <f t="shared" si="1186"/>
        <v>0</v>
      </c>
      <c r="EC382" s="118"/>
      <c r="ED382" s="117">
        <f t="shared" ref="ED382:FB382" si="1187">ED170/ED$211</f>
        <v>0</v>
      </c>
      <c r="EE382" s="117">
        <f t="shared" si="1187"/>
        <v>0</v>
      </c>
      <c r="EF382" s="117">
        <f t="shared" si="1187"/>
        <v>0</v>
      </c>
      <c r="EG382" s="117" t="e">
        <f t="shared" si="1187"/>
        <v>#DIV/0!</v>
      </c>
      <c r="EH382" s="117" t="e">
        <f t="shared" si="1187"/>
        <v>#DIV/0!</v>
      </c>
      <c r="EI382" s="117" t="e">
        <f t="shared" si="1187"/>
        <v>#DIV/0!</v>
      </c>
      <c r="EJ382" s="117" t="e">
        <f t="shared" si="1187"/>
        <v>#DIV/0!</v>
      </c>
      <c r="EK382" s="117" t="e">
        <f t="shared" si="1187"/>
        <v>#DIV/0!</v>
      </c>
      <c r="EL382" s="117" t="e">
        <f t="shared" si="1187"/>
        <v>#DIV/0!</v>
      </c>
      <c r="EM382" s="117" t="e">
        <f t="shared" si="1187"/>
        <v>#DIV/0!</v>
      </c>
      <c r="EN382" s="117" t="e">
        <f t="shared" si="1187"/>
        <v>#DIV/0!</v>
      </c>
      <c r="EO382" s="116">
        <f t="shared" si="1187"/>
        <v>0</v>
      </c>
      <c r="EP382" s="117">
        <f t="shared" si="1187"/>
        <v>0</v>
      </c>
      <c r="EQ382" s="117">
        <f t="shared" si="1187"/>
        <v>0</v>
      </c>
      <c r="ER382" s="117">
        <f t="shared" si="1187"/>
        <v>0</v>
      </c>
      <c r="ES382" s="117">
        <f t="shared" si="1187"/>
        <v>0</v>
      </c>
      <c r="ET382" s="117">
        <f t="shared" si="1187"/>
        <v>0</v>
      </c>
      <c r="EU382" s="117">
        <f t="shared" si="1187"/>
        <v>0</v>
      </c>
      <c r="EV382" s="117">
        <f t="shared" si="1187"/>
        <v>0</v>
      </c>
      <c r="EW382" s="117">
        <f t="shared" si="1187"/>
        <v>0</v>
      </c>
      <c r="EX382" s="117">
        <f t="shared" si="1187"/>
        <v>0</v>
      </c>
      <c r="EY382" s="117">
        <f t="shared" si="1187"/>
        <v>0</v>
      </c>
      <c r="EZ382" s="117">
        <f t="shared" si="1187"/>
        <v>0</v>
      </c>
      <c r="FA382" s="117">
        <f t="shared" si="1187"/>
        <v>0</v>
      </c>
      <c r="FB382" s="117">
        <f t="shared" si="1187"/>
        <v>0</v>
      </c>
      <c r="FC382" s="118"/>
      <c r="FD382" s="117"/>
      <c r="FE382" s="117"/>
      <c r="FF382" s="117"/>
      <c r="FG382" s="117"/>
      <c r="FH382" s="117"/>
      <c r="FI382" s="117"/>
      <c r="FJ382" s="117"/>
      <c r="FK382" s="117" t="e">
        <f t="shared" si="991"/>
        <v>#DIV/0!</v>
      </c>
      <c r="FL382" s="117" t="e">
        <f t="shared" si="992"/>
        <v>#DIV/0!</v>
      </c>
      <c r="FM382" s="117" t="e">
        <f t="shared" si="993"/>
        <v>#DIV/0!</v>
      </c>
      <c r="FN382" s="117" t="e">
        <f t="shared" si="994"/>
        <v>#DIV/0!</v>
      </c>
      <c r="FO382" s="9" t="e">
        <f t="shared" si="995"/>
        <v>#DIV/0!</v>
      </c>
      <c r="FP382" s="118">
        <f t="shared" si="1186"/>
        <v>0</v>
      </c>
      <c r="FQ382" s="117">
        <f t="shared" si="1186"/>
        <v>0</v>
      </c>
      <c r="FR382" s="117">
        <f t="shared" si="1186"/>
        <v>0</v>
      </c>
      <c r="FS382" s="117">
        <f t="shared" si="1186"/>
        <v>0</v>
      </c>
      <c r="FT382" s="117">
        <f t="shared" si="1186"/>
        <v>0</v>
      </c>
      <c r="FU382" s="117">
        <f t="shared" si="1186"/>
        <v>0</v>
      </c>
      <c r="FV382" s="117">
        <f t="shared" si="1186"/>
        <v>0</v>
      </c>
      <c r="FW382" s="117">
        <f t="shared" si="1186"/>
        <v>0</v>
      </c>
      <c r="FX382" s="117">
        <f t="shared" si="1186"/>
        <v>0</v>
      </c>
      <c r="FY382" s="117">
        <f t="shared" si="1186"/>
        <v>0</v>
      </c>
      <c r="FZ382" s="117">
        <f t="shared" si="1186"/>
        <v>0</v>
      </c>
      <c r="GA382" s="117">
        <f t="shared" si="1186"/>
        <v>0</v>
      </c>
      <c r="GB382" s="116">
        <f t="shared" si="1186"/>
        <v>0</v>
      </c>
    </row>
    <row r="383" spans="1:184">
      <c r="A383" s="147" t="s">
        <v>342</v>
      </c>
      <c r="B383" s="160">
        <f t="shared" si="997"/>
        <v>-0.706880098904851</v>
      </c>
      <c r="C383" s="117">
        <f t="shared" ref="C383:BN383" si="1188">C171/C$211</f>
        <v>0.00156161454529788</v>
      </c>
      <c r="D383" s="117">
        <f t="shared" si="1188"/>
        <v>0.000459838547966591</v>
      </c>
      <c r="E383" s="117">
        <f t="shared" si="1188"/>
        <v>0.000353239085036402</v>
      </c>
      <c r="F383" s="117">
        <f t="shared" si="1188"/>
        <v>0.000214592027248239</v>
      </c>
      <c r="G383" s="117">
        <f t="shared" si="1188"/>
        <v>0.000184233235290463</v>
      </c>
      <c r="H383" s="117">
        <f t="shared" si="1188"/>
        <v>0.000152102340565164</v>
      </c>
      <c r="I383" s="117">
        <f t="shared" si="1188"/>
        <v>0.000108840539810724</v>
      </c>
      <c r="J383" s="117">
        <f t="shared" si="1188"/>
        <v>9.04692767170122e-5</v>
      </c>
      <c r="K383" s="117">
        <f t="shared" si="1188"/>
        <v>7.03339734690821e-5</v>
      </c>
      <c r="L383" s="117">
        <f t="shared" si="1188"/>
        <v>5.26466090992969e-5</v>
      </c>
      <c r="M383" s="117">
        <f t="shared" si="1188"/>
        <v>3.9420689243623e-5</v>
      </c>
      <c r="N383" s="117">
        <f t="shared" si="1188"/>
        <v>3.85624030812412e-5</v>
      </c>
      <c r="O383" s="9">
        <f t="shared" si="1188"/>
        <v>0.000327436288341082</v>
      </c>
      <c r="P383" s="117">
        <f t="shared" si="1188"/>
        <v>0</v>
      </c>
      <c r="Q383" s="117">
        <f t="shared" si="1188"/>
        <v>0</v>
      </c>
      <c r="R383" s="117">
        <f t="shared" si="1188"/>
        <v>0</v>
      </c>
      <c r="S383" s="117">
        <f t="shared" si="1188"/>
        <v>0</v>
      </c>
      <c r="T383" s="117">
        <f t="shared" si="1188"/>
        <v>0</v>
      </c>
      <c r="U383" s="117">
        <f t="shared" si="1188"/>
        <v>0</v>
      </c>
      <c r="V383" s="117">
        <f t="shared" si="1188"/>
        <v>0</v>
      </c>
      <c r="W383" s="117">
        <f t="shared" si="1188"/>
        <v>0</v>
      </c>
      <c r="X383" s="117">
        <f t="shared" si="1188"/>
        <v>0</v>
      </c>
      <c r="Y383" s="117">
        <f t="shared" si="1188"/>
        <v>0</v>
      </c>
      <c r="Z383" s="117">
        <f t="shared" si="1188"/>
        <v>0</v>
      </c>
      <c r="AA383" s="117">
        <f t="shared" si="1188"/>
        <v>0</v>
      </c>
      <c r="AB383" s="9">
        <f t="shared" si="1188"/>
        <v>0</v>
      </c>
      <c r="AC383" s="117">
        <f t="shared" si="1188"/>
        <v>0</v>
      </c>
      <c r="AD383" s="117">
        <f t="shared" si="1188"/>
        <v>0</v>
      </c>
      <c r="AE383" s="117">
        <f t="shared" si="1188"/>
        <v>0</v>
      </c>
      <c r="AF383" s="117">
        <f t="shared" si="1188"/>
        <v>0</v>
      </c>
      <c r="AG383" s="117">
        <f t="shared" si="1188"/>
        <v>0</v>
      </c>
      <c r="AH383" s="117">
        <f t="shared" si="1188"/>
        <v>0</v>
      </c>
      <c r="AI383" s="117">
        <f t="shared" si="1188"/>
        <v>0</v>
      </c>
      <c r="AJ383" s="117">
        <f t="shared" si="1188"/>
        <v>0</v>
      </c>
      <c r="AK383" s="117">
        <f t="shared" si="1188"/>
        <v>0</v>
      </c>
      <c r="AL383" s="117">
        <f t="shared" si="1188"/>
        <v>0</v>
      </c>
      <c r="AM383" s="117">
        <f t="shared" si="1188"/>
        <v>0</v>
      </c>
      <c r="AN383" s="117">
        <f t="shared" si="1188"/>
        <v>0</v>
      </c>
      <c r="AO383" s="9">
        <f t="shared" si="1188"/>
        <v>0</v>
      </c>
      <c r="AP383" s="144">
        <f t="shared" si="1188"/>
        <v>0.0022018072550294</v>
      </c>
      <c r="AQ383" s="144">
        <f t="shared" si="1188"/>
        <v>0.0017209402783488</v>
      </c>
      <c r="AR383" s="144">
        <f t="shared" si="1188"/>
        <v>0.000923913662188018</v>
      </c>
      <c r="AS383" s="144">
        <f t="shared" si="1188"/>
        <v>0.000501676385664185</v>
      </c>
      <c r="AT383" s="144">
        <f t="shared" si="1188"/>
        <v>0.000529579324076487</v>
      </c>
      <c r="AU383" s="144">
        <f t="shared" si="1188"/>
        <v>0.000396421038477664</v>
      </c>
      <c r="AV383" s="144">
        <f t="shared" si="1188"/>
        <v>0.000326747775539982</v>
      </c>
      <c r="AW383" s="144">
        <f t="shared" si="1188"/>
        <v>0.000287881326836853</v>
      </c>
      <c r="AX383" s="144">
        <f t="shared" si="1188"/>
        <v>0.000286474966107495</v>
      </c>
      <c r="AY383" s="144">
        <f t="shared" si="1188"/>
        <v>0.000306604668614623</v>
      </c>
      <c r="AZ383" s="144">
        <f t="shared" si="1188"/>
        <v>0.000294887438188317</v>
      </c>
      <c r="BA383" s="144">
        <f t="shared" si="1188"/>
        <v>0.000276604501111428</v>
      </c>
      <c r="BB383" s="9">
        <f t="shared" si="1188"/>
        <v>0.00067797054331069</v>
      </c>
      <c r="BC383" s="144">
        <f t="shared" si="1188"/>
        <v>0.0033407204336956</v>
      </c>
      <c r="BD383" s="144">
        <f t="shared" si="1188"/>
        <v>0.0018589112998513</v>
      </c>
      <c r="BE383" s="144">
        <f t="shared" si="1188"/>
        <v>0.00111920308153257</v>
      </c>
      <c r="BF383" s="144">
        <f t="shared" si="1188"/>
        <v>0.000726553445858896</v>
      </c>
      <c r="BG383" s="144">
        <f t="shared" si="1188"/>
        <v>0.000273251537371695</v>
      </c>
      <c r="BH383" s="144">
        <f t="shared" si="1188"/>
        <v>0.000338113844045717</v>
      </c>
      <c r="BI383" s="144">
        <f t="shared" si="1188"/>
        <v>0.000278439187653102</v>
      </c>
      <c r="BJ383" s="144">
        <f t="shared" si="1188"/>
        <v>0.000247380375527885</v>
      </c>
      <c r="BK383" s="144">
        <f t="shared" si="1188"/>
        <v>0</v>
      </c>
      <c r="BL383" s="144">
        <f t="shared" si="1188"/>
        <v>0</v>
      </c>
      <c r="BM383" s="144">
        <f t="shared" si="1188"/>
        <v>0</v>
      </c>
      <c r="BN383" s="144">
        <f t="shared" si="1188"/>
        <v>0</v>
      </c>
      <c r="BO383" s="9">
        <f t="shared" ref="BO383:DZ383" si="1189">BO171/BO$211</f>
        <v>0.000793218013060284</v>
      </c>
      <c r="BP383" s="144">
        <f t="shared" si="1189"/>
        <v>0</v>
      </c>
      <c r="BQ383" s="144">
        <f t="shared" si="1189"/>
        <v>0</v>
      </c>
      <c r="BR383" s="144">
        <f t="shared" si="1189"/>
        <v>0</v>
      </c>
      <c r="BS383" s="144">
        <f t="shared" si="1189"/>
        <v>0</v>
      </c>
      <c r="BT383" s="144">
        <f t="shared" si="1189"/>
        <v>0</v>
      </c>
      <c r="BU383" s="144">
        <f t="shared" si="1189"/>
        <v>0</v>
      </c>
      <c r="BV383" s="144">
        <f t="shared" si="1189"/>
        <v>0</v>
      </c>
      <c r="BW383" s="144">
        <f t="shared" si="1189"/>
        <v>0</v>
      </c>
      <c r="BX383" s="144">
        <f t="shared" si="1189"/>
        <v>0</v>
      </c>
      <c r="BY383" s="144">
        <f t="shared" si="1189"/>
        <v>0</v>
      </c>
      <c r="BZ383" s="144">
        <f t="shared" si="1189"/>
        <v>0</v>
      </c>
      <c r="CA383" s="144">
        <f t="shared" si="1189"/>
        <v>0</v>
      </c>
      <c r="CB383" s="9">
        <f t="shared" si="1189"/>
        <v>0</v>
      </c>
      <c r="CC383" s="144">
        <f t="shared" si="1189"/>
        <v>0.00268785959610543</v>
      </c>
      <c r="CD383" s="144">
        <f t="shared" si="1189"/>
        <v>0.00469079400420292</v>
      </c>
      <c r="CE383" s="144">
        <f t="shared" si="1189"/>
        <v>0.00484677187415188</v>
      </c>
      <c r="CF383" s="144">
        <f t="shared" si="1189"/>
        <v>0.00208476814765746</v>
      </c>
      <c r="CG383" s="144">
        <f t="shared" si="1189"/>
        <v>0.00226080410304306</v>
      </c>
      <c r="CH383" s="144">
        <f t="shared" si="1189"/>
        <v>0.00146067043883922</v>
      </c>
      <c r="CI383" s="144">
        <f t="shared" si="1189"/>
        <v>0.000838738307301932</v>
      </c>
      <c r="CJ383" s="144">
        <f t="shared" si="1189"/>
        <v>0.000818629414708878</v>
      </c>
      <c r="CK383" s="144">
        <f t="shared" si="1189"/>
        <v>0.000803023745871627</v>
      </c>
      <c r="CL383" s="144">
        <f t="shared" si="1189"/>
        <v>0.000663252692661013</v>
      </c>
      <c r="CM383" s="144">
        <f t="shared" si="1189"/>
        <v>0.000134755919591467</v>
      </c>
      <c r="CN383" s="144">
        <f t="shared" si="1189"/>
        <v>0.000139536226847761</v>
      </c>
      <c r="CO383" s="9">
        <f t="shared" si="1189"/>
        <v>0.00163216542056397</v>
      </c>
      <c r="CP383" s="144">
        <f t="shared" si="1189"/>
        <v>0</v>
      </c>
      <c r="CQ383" s="144">
        <f t="shared" si="1189"/>
        <v>0</v>
      </c>
      <c r="CR383" s="144">
        <f t="shared" si="1189"/>
        <v>0</v>
      </c>
      <c r="CS383" s="144">
        <f t="shared" si="1189"/>
        <v>0</v>
      </c>
      <c r="CT383" s="144">
        <f t="shared" si="1189"/>
        <v>0</v>
      </c>
      <c r="CU383" s="144">
        <f t="shared" si="1189"/>
        <v>0</v>
      </c>
      <c r="CV383" s="144">
        <f t="shared" si="1189"/>
        <v>0</v>
      </c>
      <c r="CW383" s="144">
        <f t="shared" si="1189"/>
        <v>0</v>
      </c>
      <c r="CX383" s="144">
        <f t="shared" si="1189"/>
        <v>0</v>
      </c>
      <c r="CY383" s="144">
        <f t="shared" si="1189"/>
        <v>0</v>
      </c>
      <c r="CZ383" s="144">
        <f t="shared" si="1189"/>
        <v>0</v>
      </c>
      <c r="DA383" s="144">
        <f t="shared" si="1189"/>
        <v>0</v>
      </c>
      <c r="DB383" s="9">
        <f t="shared" si="1189"/>
        <v>0</v>
      </c>
      <c r="DC383" s="144">
        <f t="shared" si="1189"/>
        <v>0</v>
      </c>
      <c r="DD383" s="144">
        <f t="shared" si="1189"/>
        <v>0.0010801381162598</v>
      </c>
      <c r="DE383" s="144">
        <f t="shared" si="1189"/>
        <v>0.00101602484097539</v>
      </c>
      <c r="DF383" s="144">
        <f t="shared" si="1189"/>
        <v>0.00069306329917809</v>
      </c>
      <c r="DG383" s="144">
        <f t="shared" si="1189"/>
        <v>0.000303380684327306</v>
      </c>
      <c r="DH383" s="144">
        <f t="shared" si="1189"/>
        <v>0.000284071724073133</v>
      </c>
      <c r="DI383" s="144">
        <f t="shared" si="1189"/>
        <v>0.000273949426953721</v>
      </c>
      <c r="DJ383" s="144">
        <f t="shared" si="1189"/>
        <v>0.000267575917752556</v>
      </c>
      <c r="DK383" s="144">
        <f t="shared" si="1189"/>
        <v>0.000267839902331868</v>
      </c>
      <c r="DL383" s="144">
        <f t="shared" si="1189"/>
        <v>0.000264633388733114</v>
      </c>
      <c r="DM383" s="144">
        <f t="shared" si="1189"/>
        <v>0.00029427520662948</v>
      </c>
      <c r="DN383" s="144">
        <f t="shared" si="1189"/>
        <v>0.000266696988804929</v>
      </c>
      <c r="DO383" s="9">
        <f t="shared" si="1189"/>
        <v>0.000428038037529766</v>
      </c>
      <c r="DP383" s="144">
        <f t="shared" si="1189"/>
        <v>0</v>
      </c>
      <c r="DQ383" s="144">
        <f t="shared" si="1189"/>
        <v>0</v>
      </c>
      <c r="DR383" s="144">
        <f t="shared" si="1189"/>
        <v>0</v>
      </c>
      <c r="DS383" s="144">
        <f t="shared" si="1189"/>
        <v>0</v>
      </c>
      <c r="DT383" s="144">
        <f t="shared" si="1189"/>
        <v>0</v>
      </c>
      <c r="DU383" s="144">
        <f t="shared" si="1189"/>
        <v>0</v>
      </c>
      <c r="DV383" s="144">
        <f t="shared" si="1189"/>
        <v>0</v>
      </c>
      <c r="DW383" s="144">
        <f t="shared" si="1189"/>
        <v>0</v>
      </c>
      <c r="DX383" s="144">
        <f t="shared" si="1189"/>
        <v>0</v>
      </c>
      <c r="DY383" s="144">
        <f t="shared" si="1189"/>
        <v>0</v>
      </c>
      <c r="DZ383" s="144">
        <f t="shared" si="1189"/>
        <v>0</v>
      </c>
      <c r="EA383" s="144">
        <f t="shared" ref="EA383:GB383" si="1190">EA171/EA$211</f>
        <v>0</v>
      </c>
      <c r="EB383" s="117">
        <f t="shared" si="1190"/>
        <v>0</v>
      </c>
      <c r="EC383" s="118"/>
      <c r="ED383" s="117">
        <f t="shared" ref="ED383:FB383" si="1191">ED171/ED$211</f>
        <v>0</v>
      </c>
      <c r="EE383" s="117">
        <f t="shared" si="1191"/>
        <v>0</v>
      </c>
      <c r="EF383" s="117">
        <f t="shared" si="1191"/>
        <v>0</v>
      </c>
      <c r="EG383" s="117" t="e">
        <f t="shared" si="1191"/>
        <v>#DIV/0!</v>
      </c>
      <c r="EH383" s="117" t="e">
        <f t="shared" si="1191"/>
        <v>#DIV/0!</v>
      </c>
      <c r="EI383" s="117" t="e">
        <f t="shared" si="1191"/>
        <v>#DIV/0!</v>
      </c>
      <c r="EJ383" s="117" t="e">
        <f t="shared" si="1191"/>
        <v>#DIV/0!</v>
      </c>
      <c r="EK383" s="117" t="e">
        <f t="shared" si="1191"/>
        <v>#DIV/0!</v>
      </c>
      <c r="EL383" s="117" t="e">
        <f t="shared" si="1191"/>
        <v>#DIV/0!</v>
      </c>
      <c r="EM383" s="117" t="e">
        <f t="shared" si="1191"/>
        <v>#DIV/0!</v>
      </c>
      <c r="EN383" s="117" t="e">
        <f t="shared" si="1191"/>
        <v>#DIV/0!</v>
      </c>
      <c r="EO383" s="116">
        <f t="shared" si="1191"/>
        <v>0.0535436748526861</v>
      </c>
      <c r="EP383" s="117">
        <f t="shared" si="1191"/>
        <v>7.6608188267558e-5</v>
      </c>
      <c r="EQ383" s="117">
        <f t="shared" si="1191"/>
        <v>0.000793751254340929</v>
      </c>
      <c r="ER383" s="117">
        <f t="shared" si="1191"/>
        <v>0.00110926954683377</v>
      </c>
      <c r="ES383" s="117">
        <f t="shared" si="1191"/>
        <v>0.000592116046375885</v>
      </c>
      <c r="ET383" s="117">
        <f t="shared" si="1191"/>
        <v>0.000545383444597964</v>
      </c>
      <c r="EU383" s="117">
        <f t="shared" si="1191"/>
        <v>0.000521444209128333</v>
      </c>
      <c r="EV383" s="117">
        <f t="shared" si="1191"/>
        <v>0.000350393137227186</v>
      </c>
      <c r="EW383" s="117">
        <f t="shared" si="1191"/>
        <v>0.000266964024231112</v>
      </c>
      <c r="EX383" s="117">
        <f t="shared" si="1191"/>
        <v>0.000186632765045348</v>
      </c>
      <c r="EY383" s="117">
        <f t="shared" si="1191"/>
        <v>0</v>
      </c>
      <c r="EZ383" s="117">
        <f t="shared" si="1191"/>
        <v>0</v>
      </c>
      <c r="FA383" s="117">
        <f t="shared" si="1191"/>
        <v>0</v>
      </c>
      <c r="FB383" s="117">
        <f t="shared" si="1191"/>
        <v>0.000364128508327179</v>
      </c>
      <c r="FC383" s="118"/>
      <c r="FD383" s="117"/>
      <c r="FE383" s="117"/>
      <c r="FF383" s="117"/>
      <c r="FG383" s="117"/>
      <c r="FH383" s="117"/>
      <c r="FI383" s="117"/>
      <c r="FJ383" s="117"/>
      <c r="FK383" s="117" t="e">
        <f t="shared" si="991"/>
        <v>#DIV/0!</v>
      </c>
      <c r="FL383" s="117" t="e">
        <f t="shared" si="992"/>
        <v>#DIV/0!</v>
      </c>
      <c r="FM383" s="117" t="e">
        <f t="shared" si="993"/>
        <v>#DIV/0!</v>
      </c>
      <c r="FN383" s="117" t="e">
        <f t="shared" si="994"/>
        <v>#DIV/0!</v>
      </c>
      <c r="FO383" s="9" t="e">
        <f t="shared" si="995"/>
        <v>#DIV/0!</v>
      </c>
      <c r="FP383" s="118">
        <f t="shared" si="1190"/>
        <v>0.00262432072867426</v>
      </c>
      <c r="FQ383" s="117">
        <f t="shared" si="1190"/>
        <v>0.000507820906085245</v>
      </c>
      <c r="FR383" s="117">
        <f t="shared" si="1190"/>
        <v>0.000404233490616632</v>
      </c>
      <c r="FS383" s="117">
        <f t="shared" si="1190"/>
        <v>0.000218283984348886</v>
      </c>
      <c r="FT383" s="117">
        <f t="shared" si="1190"/>
        <v>0.00021316006090456</v>
      </c>
      <c r="FU383" s="117">
        <f t="shared" si="1190"/>
        <v>0.000181675607405719</v>
      </c>
      <c r="FV383" s="117">
        <f t="shared" si="1190"/>
        <v>0.000121599405610697</v>
      </c>
      <c r="FW383" s="117">
        <f t="shared" si="1190"/>
        <v>8.66081281575689e-5</v>
      </c>
      <c r="FX383" s="117">
        <f t="shared" si="1190"/>
        <v>9.77699965997538e-5</v>
      </c>
      <c r="FY383" s="117">
        <f t="shared" si="1190"/>
        <v>4.96937223089116e-5</v>
      </c>
      <c r="FZ383" s="117">
        <f t="shared" si="1190"/>
        <v>4.55740355592835e-5</v>
      </c>
      <c r="GA383" s="117">
        <f t="shared" si="1190"/>
        <v>3.60811164752352e-5</v>
      </c>
      <c r="GB383" s="116">
        <f t="shared" si="1190"/>
        <v>0.000496724438525841</v>
      </c>
    </row>
    <row r="384" spans="1:184">
      <c r="A384" s="147" t="s">
        <v>343</v>
      </c>
      <c r="B384" s="160" t="e">
        <f t="shared" si="997"/>
        <v>#DIV/0!</v>
      </c>
      <c r="C384" s="117">
        <f t="shared" ref="C384:BN384" si="1192">C172/C$211</f>
        <v>0</v>
      </c>
      <c r="D384" s="117">
        <f t="shared" si="1192"/>
        <v>0.000159664413458013</v>
      </c>
      <c r="E384" s="117">
        <f t="shared" si="1192"/>
        <v>0.000232348758529754</v>
      </c>
      <c r="F384" s="117">
        <f t="shared" si="1192"/>
        <v>8.58944691556899e-5</v>
      </c>
      <c r="G384" s="117">
        <f t="shared" si="1192"/>
        <v>0.00659959649751107</v>
      </c>
      <c r="H384" s="117">
        <f t="shared" si="1192"/>
        <v>0.00517431525676278</v>
      </c>
      <c r="I384" s="117">
        <f t="shared" si="1192"/>
        <v>0.000749160483927084</v>
      </c>
      <c r="J384" s="117">
        <f t="shared" si="1192"/>
        <v>0.00895381895745334</v>
      </c>
      <c r="K384" s="117">
        <f t="shared" si="1192"/>
        <v>0.00409845199646526</v>
      </c>
      <c r="L384" s="117">
        <f t="shared" si="1192"/>
        <v>0.00452504851452047</v>
      </c>
      <c r="M384" s="117">
        <f t="shared" si="1192"/>
        <v>0.0032910837578737</v>
      </c>
      <c r="N384" s="117">
        <f t="shared" si="1192"/>
        <v>0.003227306185989</v>
      </c>
      <c r="O384" s="9">
        <f t="shared" si="1192"/>
        <v>0.00291499401016763</v>
      </c>
      <c r="P384" s="117">
        <f t="shared" si="1192"/>
        <v>0</v>
      </c>
      <c r="Q384" s="117">
        <f t="shared" si="1192"/>
        <v>0</v>
      </c>
      <c r="R384" s="117">
        <f t="shared" si="1192"/>
        <v>0</v>
      </c>
      <c r="S384" s="117">
        <f t="shared" si="1192"/>
        <v>0</v>
      </c>
      <c r="T384" s="117">
        <f t="shared" si="1192"/>
        <v>0.029326490187719</v>
      </c>
      <c r="U384" s="117">
        <f t="shared" si="1192"/>
        <v>0.024718050187667</v>
      </c>
      <c r="V384" s="117">
        <f t="shared" si="1192"/>
        <v>0</v>
      </c>
      <c r="W384" s="117">
        <f t="shared" si="1192"/>
        <v>0.0144299094223</v>
      </c>
      <c r="X384" s="117">
        <f t="shared" si="1192"/>
        <v>0.0201486325621776</v>
      </c>
      <c r="Y384" s="117">
        <f t="shared" si="1192"/>
        <v>0.0234553780006081</v>
      </c>
      <c r="Z384" s="117">
        <f t="shared" si="1192"/>
        <v>0.0162930659214786</v>
      </c>
      <c r="AA384" s="117">
        <f t="shared" si="1192"/>
        <v>0.0172402508968629</v>
      </c>
      <c r="AB384" s="9">
        <f t="shared" si="1192"/>
        <v>0.0116496670398861</v>
      </c>
      <c r="AC384" s="117">
        <f t="shared" si="1192"/>
        <v>0</v>
      </c>
      <c r="AD384" s="117">
        <f t="shared" si="1192"/>
        <v>0</v>
      </c>
      <c r="AE384" s="117">
        <f t="shared" si="1192"/>
        <v>0</v>
      </c>
      <c r="AF384" s="117">
        <f t="shared" si="1192"/>
        <v>0</v>
      </c>
      <c r="AG384" s="117">
        <f t="shared" si="1192"/>
        <v>0.0224094943731578</v>
      </c>
      <c r="AH384" s="117">
        <f t="shared" si="1192"/>
        <v>0.00698503779176617</v>
      </c>
      <c r="AI384" s="117">
        <f t="shared" si="1192"/>
        <v>0</v>
      </c>
      <c r="AJ384" s="117">
        <f t="shared" si="1192"/>
        <v>0.0124905098201138</v>
      </c>
      <c r="AK384" s="117">
        <f t="shared" si="1192"/>
        <v>0.0105634436213832</v>
      </c>
      <c r="AL384" s="117">
        <f t="shared" si="1192"/>
        <v>0.0114394766945991</v>
      </c>
      <c r="AM384" s="117">
        <f t="shared" si="1192"/>
        <v>0.0117662762795565</v>
      </c>
      <c r="AN384" s="117">
        <f t="shared" si="1192"/>
        <v>0.0100754343388325</v>
      </c>
      <c r="AO384" s="9">
        <f t="shared" si="1192"/>
        <v>0.00741684824052268</v>
      </c>
      <c r="AP384" s="144">
        <f t="shared" si="1192"/>
        <v>0</v>
      </c>
      <c r="AQ384" s="144">
        <f t="shared" si="1192"/>
        <v>0</v>
      </c>
      <c r="AR384" s="144">
        <f t="shared" si="1192"/>
        <v>0.00273767321004653</v>
      </c>
      <c r="AS384" s="144">
        <f t="shared" si="1192"/>
        <v>0.00126533355053737</v>
      </c>
      <c r="AT384" s="144">
        <f t="shared" si="1192"/>
        <v>0.00738303315915872</v>
      </c>
      <c r="AU384" s="144">
        <f t="shared" si="1192"/>
        <v>0.00452350208247381</v>
      </c>
      <c r="AV384" s="144">
        <f t="shared" si="1192"/>
        <v>0.0025633236344687</v>
      </c>
      <c r="AW384" s="144">
        <f t="shared" si="1192"/>
        <v>0.00225841785084415</v>
      </c>
      <c r="AX384" s="144">
        <f t="shared" si="1192"/>
        <v>0.00224738500543244</v>
      </c>
      <c r="AY384" s="144">
        <f t="shared" si="1192"/>
        <v>0.00240530174137983</v>
      </c>
      <c r="AZ384" s="144">
        <f t="shared" si="1192"/>
        <v>0.000525768300645836</v>
      </c>
      <c r="BA384" s="144">
        <f t="shared" si="1192"/>
        <v>0.000493170815935105</v>
      </c>
      <c r="BB384" s="9">
        <f t="shared" si="1192"/>
        <v>0.00201737659902556</v>
      </c>
      <c r="BC384" s="144">
        <f t="shared" si="1192"/>
        <v>0</v>
      </c>
      <c r="BD384" s="144">
        <f t="shared" si="1192"/>
        <v>0.00195145167302404</v>
      </c>
      <c r="BE384" s="144">
        <f t="shared" si="1192"/>
        <v>0.000546130785331828</v>
      </c>
      <c r="BF384" s="144">
        <f t="shared" si="1192"/>
        <v>0</v>
      </c>
      <c r="BG384" s="144">
        <f t="shared" si="1192"/>
        <v>0.00467414735220834</v>
      </c>
      <c r="BH384" s="144">
        <f t="shared" si="1192"/>
        <v>0.00281324697112973</v>
      </c>
      <c r="BI384" s="144">
        <f t="shared" si="1192"/>
        <v>0.000992883924964551</v>
      </c>
      <c r="BJ384" s="144">
        <f t="shared" si="1192"/>
        <v>0.000588087714433214</v>
      </c>
      <c r="BK384" s="144">
        <f t="shared" si="1192"/>
        <v>0.00059805774895462</v>
      </c>
      <c r="BL384" s="144">
        <f t="shared" si="1192"/>
        <v>0.000615617921079321</v>
      </c>
      <c r="BM384" s="144">
        <f t="shared" si="1192"/>
        <v>0</v>
      </c>
      <c r="BN384" s="144">
        <f t="shared" si="1192"/>
        <v>0</v>
      </c>
      <c r="BO384" s="9">
        <f t="shared" ref="BO384:DZ384" si="1193">BO172/BO$211</f>
        <v>0.000947077010653934</v>
      </c>
      <c r="BP384" s="144">
        <f t="shared" si="1193"/>
        <v>0</v>
      </c>
      <c r="BQ384" s="144">
        <f t="shared" si="1193"/>
        <v>0</v>
      </c>
      <c r="BR384" s="144">
        <f t="shared" si="1193"/>
        <v>0</v>
      </c>
      <c r="BS384" s="144">
        <f t="shared" si="1193"/>
        <v>0</v>
      </c>
      <c r="BT384" s="144">
        <f t="shared" si="1193"/>
        <v>0</v>
      </c>
      <c r="BU384" s="144">
        <f t="shared" si="1193"/>
        <v>0</v>
      </c>
      <c r="BV384" s="144">
        <f t="shared" si="1193"/>
        <v>0</v>
      </c>
      <c r="BW384" s="144">
        <f t="shared" si="1193"/>
        <v>0</v>
      </c>
      <c r="BX384" s="144">
        <f t="shared" si="1193"/>
        <v>0</v>
      </c>
      <c r="BY384" s="144">
        <f t="shared" si="1193"/>
        <v>0</v>
      </c>
      <c r="BZ384" s="144">
        <f t="shared" si="1193"/>
        <v>0</v>
      </c>
      <c r="CA384" s="144">
        <f t="shared" si="1193"/>
        <v>0</v>
      </c>
      <c r="CB384" s="9">
        <f t="shared" si="1193"/>
        <v>0</v>
      </c>
      <c r="CC384" s="144">
        <f t="shared" si="1193"/>
        <v>0</v>
      </c>
      <c r="CD384" s="144">
        <f t="shared" si="1193"/>
        <v>0</v>
      </c>
      <c r="CE384" s="144">
        <f t="shared" si="1193"/>
        <v>0</v>
      </c>
      <c r="CF384" s="144">
        <f t="shared" si="1193"/>
        <v>0</v>
      </c>
      <c r="CG384" s="144">
        <f t="shared" si="1193"/>
        <v>0.000207137937317022</v>
      </c>
      <c r="CH384" s="144">
        <f t="shared" si="1193"/>
        <v>0.000810792324702222</v>
      </c>
      <c r="CI384" s="144">
        <f t="shared" si="1193"/>
        <v>0.000419447556584527</v>
      </c>
      <c r="CJ384" s="144">
        <f t="shared" si="1193"/>
        <v>0</v>
      </c>
      <c r="CK384" s="144">
        <f t="shared" si="1193"/>
        <v>0</v>
      </c>
      <c r="CL384" s="144">
        <f t="shared" si="1193"/>
        <v>0</v>
      </c>
      <c r="CM384" s="144">
        <f t="shared" si="1193"/>
        <v>0</v>
      </c>
      <c r="CN384" s="144">
        <f t="shared" si="1193"/>
        <v>0</v>
      </c>
      <c r="CO384" s="9">
        <f t="shared" si="1193"/>
        <v>0.000127275655382918</v>
      </c>
      <c r="CP384" s="144">
        <f t="shared" si="1193"/>
        <v>0</v>
      </c>
      <c r="CQ384" s="144">
        <f t="shared" si="1193"/>
        <v>0</v>
      </c>
      <c r="CR384" s="144">
        <f t="shared" si="1193"/>
        <v>0</v>
      </c>
      <c r="CS384" s="144">
        <f t="shared" si="1193"/>
        <v>0</v>
      </c>
      <c r="CT384" s="144">
        <f t="shared" si="1193"/>
        <v>0</v>
      </c>
      <c r="CU384" s="144">
        <f t="shared" si="1193"/>
        <v>0</v>
      </c>
      <c r="CV384" s="144">
        <f t="shared" si="1193"/>
        <v>0</v>
      </c>
      <c r="CW384" s="144">
        <f t="shared" si="1193"/>
        <v>0</v>
      </c>
      <c r="CX384" s="144">
        <f t="shared" si="1193"/>
        <v>0</v>
      </c>
      <c r="CY384" s="144">
        <f t="shared" si="1193"/>
        <v>0</v>
      </c>
      <c r="CZ384" s="144">
        <f t="shared" si="1193"/>
        <v>0</v>
      </c>
      <c r="DA384" s="144">
        <f t="shared" si="1193"/>
        <v>0</v>
      </c>
      <c r="DB384" s="9">
        <f t="shared" si="1193"/>
        <v>0</v>
      </c>
      <c r="DC384" s="144">
        <f t="shared" si="1193"/>
        <v>0</v>
      </c>
      <c r="DD384" s="144">
        <f t="shared" si="1193"/>
        <v>0</v>
      </c>
      <c r="DE384" s="144">
        <f t="shared" si="1193"/>
        <v>0</v>
      </c>
      <c r="DF384" s="144">
        <f t="shared" si="1193"/>
        <v>0</v>
      </c>
      <c r="DG384" s="144">
        <f t="shared" si="1193"/>
        <v>0</v>
      </c>
      <c r="DH384" s="144">
        <f t="shared" si="1193"/>
        <v>0</v>
      </c>
      <c r="DI384" s="144">
        <f t="shared" si="1193"/>
        <v>0</v>
      </c>
      <c r="DJ384" s="144">
        <f t="shared" si="1193"/>
        <v>0</v>
      </c>
      <c r="DK384" s="144">
        <f t="shared" si="1193"/>
        <v>0</v>
      </c>
      <c r="DL384" s="144">
        <f t="shared" si="1193"/>
        <v>0</v>
      </c>
      <c r="DM384" s="144">
        <f t="shared" si="1193"/>
        <v>0</v>
      </c>
      <c r="DN384" s="144">
        <f t="shared" si="1193"/>
        <v>0</v>
      </c>
      <c r="DO384" s="9">
        <f t="shared" si="1193"/>
        <v>0</v>
      </c>
      <c r="DP384" s="144">
        <f t="shared" si="1193"/>
        <v>0</v>
      </c>
      <c r="DQ384" s="144">
        <f t="shared" si="1193"/>
        <v>0</v>
      </c>
      <c r="DR384" s="144">
        <f t="shared" si="1193"/>
        <v>0</v>
      </c>
      <c r="DS384" s="144">
        <f t="shared" si="1193"/>
        <v>0</v>
      </c>
      <c r="DT384" s="144">
        <f t="shared" si="1193"/>
        <v>0</v>
      </c>
      <c r="DU384" s="144">
        <f t="shared" si="1193"/>
        <v>0.00604303431574015</v>
      </c>
      <c r="DV384" s="144">
        <f t="shared" si="1193"/>
        <v>0.00504938776431362</v>
      </c>
      <c r="DW384" s="144">
        <f t="shared" si="1193"/>
        <v>0.00265262538746477</v>
      </c>
      <c r="DX384" s="144">
        <f t="shared" si="1193"/>
        <v>0</v>
      </c>
      <c r="DY384" s="144">
        <f t="shared" si="1193"/>
        <v>0</v>
      </c>
      <c r="DZ384" s="144">
        <f t="shared" si="1193"/>
        <v>0</v>
      </c>
      <c r="EA384" s="144">
        <f t="shared" ref="EA384:GB384" si="1194">EA172/EA$211</f>
        <v>0</v>
      </c>
      <c r="EB384" s="117">
        <f t="shared" si="1194"/>
        <v>0.00104892538002139</v>
      </c>
      <c r="EC384" s="118"/>
      <c r="ED384" s="117">
        <f t="shared" ref="ED384:FB384" si="1195">ED172/ED$211</f>
        <v>0</v>
      </c>
      <c r="EE384" s="117">
        <f t="shared" si="1195"/>
        <v>0</v>
      </c>
      <c r="EF384" s="117">
        <f t="shared" si="1195"/>
        <v>0</v>
      </c>
      <c r="EG384" s="117" t="e">
        <f t="shared" si="1195"/>
        <v>#DIV/0!</v>
      </c>
      <c r="EH384" s="117" t="e">
        <f t="shared" si="1195"/>
        <v>#DIV/0!</v>
      </c>
      <c r="EI384" s="117" t="e">
        <f t="shared" si="1195"/>
        <v>#DIV/0!</v>
      </c>
      <c r="EJ384" s="117" t="e">
        <f t="shared" si="1195"/>
        <v>#DIV/0!</v>
      </c>
      <c r="EK384" s="117" t="e">
        <f t="shared" si="1195"/>
        <v>#DIV/0!</v>
      </c>
      <c r="EL384" s="117" t="e">
        <f t="shared" si="1195"/>
        <v>#DIV/0!</v>
      </c>
      <c r="EM384" s="117" t="e">
        <f t="shared" si="1195"/>
        <v>#DIV/0!</v>
      </c>
      <c r="EN384" s="117" t="e">
        <f t="shared" si="1195"/>
        <v>#DIV/0!</v>
      </c>
      <c r="EO384" s="116">
        <f t="shared" si="1195"/>
        <v>0</v>
      </c>
      <c r="EP384" s="117">
        <f t="shared" si="1195"/>
        <v>0</v>
      </c>
      <c r="EQ384" s="117">
        <f t="shared" si="1195"/>
        <v>0</v>
      </c>
      <c r="ER384" s="117">
        <f t="shared" si="1195"/>
        <v>0</v>
      </c>
      <c r="ES384" s="117">
        <f t="shared" si="1195"/>
        <v>0</v>
      </c>
      <c r="ET384" s="117">
        <f t="shared" si="1195"/>
        <v>0.00307310590542813</v>
      </c>
      <c r="EU384" s="117">
        <f t="shared" si="1195"/>
        <v>0.00258148787441242</v>
      </c>
      <c r="EV384" s="117">
        <f t="shared" si="1195"/>
        <v>0.00196869312004721</v>
      </c>
      <c r="EW384" s="117">
        <f t="shared" si="1195"/>
        <v>0.00187493054930733</v>
      </c>
      <c r="EX384" s="117">
        <f t="shared" si="1195"/>
        <v>0.0016384392695469</v>
      </c>
      <c r="EY384" s="117">
        <f t="shared" si="1195"/>
        <v>0.00154126071557469</v>
      </c>
      <c r="EZ384" s="117">
        <f t="shared" si="1195"/>
        <v>0.00189794489802353</v>
      </c>
      <c r="FA384" s="117">
        <f t="shared" si="1195"/>
        <v>0.00181997554817141</v>
      </c>
      <c r="FB384" s="117">
        <f t="shared" si="1195"/>
        <v>0.00136840496802486</v>
      </c>
      <c r="FC384" s="118"/>
      <c r="FD384" s="117"/>
      <c r="FE384" s="117"/>
      <c r="FF384" s="117"/>
      <c r="FG384" s="117"/>
      <c r="FH384" s="117"/>
      <c r="FI384" s="117"/>
      <c r="FJ384" s="117"/>
      <c r="FK384" s="117" t="e">
        <f t="shared" si="991"/>
        <v>#DIV/0!</v>
      </c>
      <c r="FL384" s="117" t="e">
        <f t="shared" si="992"/>
        <v>#DIV/0!</v>
      </c>
      <c r="FM384" s="117" t="e">
        <f t="shared" si="993"/>
        <v>#DIV/0!</v>
      </c>
      <c r="FN384" s="117" t="e">
        <f t="shared" si="994"/>
        <v>#DIV/0!</v>
      </c>
      <c r="FO384" s="9" t="e">
        <f t="shared" si="995"/>
        <v>#DIV/0!</v>
      </c>
      <c r="FP384" s="118">
        <f t="shared" si="1194"/>
        <v>0</v>
      </c>
      <c r="FQ384" s="117">
        <f t="shared" si="1194"/>
        <v>0</v>
      </c>
      <c r="FR384" s="117">
        <f t="shared" si="1194"/>
        <v>0</v>
      </c>
      <c r="FS384" s="117">
        <f t="shared" si="1194"/>
        <v>0</v>
      </c>
      <c r="FT384" s="117">
        <f t="shared" si="1194"/>
        <v>0.00118441054892075</v>
      </c>
      <c r="FU384" s="117">
        <f t="shared" si="1194"/>
        <v>0</v>
      </c>
      <c r="FV384" s="117">
        <f t="shared" si="1194"/>
        <v>0</v>
      </c>
      <c r="FW384" s="117">
        <f t="shared" si="1194"/>
        <v>0.0219666044795079</v>
      </c>
      <c r="FX384" s="117">
        <f t="shared" si="1194"/>
        <v>0</v>
      </c>
      <c r="FY384" s="117">
        <f t="shared" si="1194"/>
        <v>0</v>
      </c>
      <c r="FZ384" s="117">
        <f t="shared" si="1194"/>
        <v>0</v>
      </c>
      <c r="GA384" s="117">
        <f t="shared" si="1194"/>
        <v>0</v>
      </c>
      <c r="GB384" s="116">
        <f t="shared" si="1194"/>
        <v>0.00196016930963825</v>
      </c>
    </row>
    <row r="385" spans="1:184">
      <c r="A385" s="147" t="s">
        <v>344</v>
      </c>
      <c r="B385" s="160" t="e">
        <f t="shared" si="997"/>
        <v>#DIV/0!</v>
      </c>
      <c r="C385" s="117">
        <f t="shared" ref="C385:BN385" si="1196">C173/C$211</f>
        <v>0</v>
      </c>
      <c r="D385" s="117">
        <f t="shared" si="1196"/>
        <v>0</v>
      </c>
      <c r="E385" s="117">
        <f t="shared" si="1196"/>
        <v>0</v>
      </c>
      <c r="F385" s="117">
        <f t="shared" si="1196"/>
        <v>0</v>
      </c>
      <c r="G385" s="117">
        <f t="shared" si="1196"/>
        <v>0.000568562590688369</v>
      </c>
      <c r="H385" s="117">
        <f t="shared" si="1196"/>
        <v>0.00147362562262109</v>
      </c>
      <c r="I385" s="117">
        <f t="shared" si="1196"/>
        <v>0.000815341999441145</v>
      </c>
      <c r="J385" s="117">
        <f t="shared" si="1196"/>
        <v>0.0004109295582018</v>
      </c>
      <c r="K385" s="117">
        <f t="shared" si="1196"/>
        <v>0.000277119575662294</v>
      </c>
      <c r="L385" s="117">
        <f t="shared" si="1196"/>
        <v>0.000119350041248792</v>
      </c>
      <c r="M385" s="117">
        <f t="shared" si="1196"/>
        <v>0.000116417685437295</v>
      </c>
      <c r="N385" s="117">
        <f t="shared" si="1196"/>
        <v>0.000120624504949932</v>
      </c>
      <c r="O385" s="9">
        <f t="shared" si="1196"/>
        <v>0.000283245129669289</v>
      </c>
      <c r="P385" s="117">
        <f t="shared" si="1196"/>
        <v>0</v>
      </c>
      <c r="Q385" s="117">
        <f t="shared" si="1196"/>
        <v>0</v>
      </c>
      <c r="R385" s="117">
        <f t="shared" si="1196"/>
        <v>0</v>
      </c>
      <c r="S385" s="117">
        <f t="shared" si="1196"/>
        <v>0</v>
      </c>
      <c r="T385" s="117">
        <f t="shared" si="1196"/>
        <v>0</v>
      </c>
      <c r="U385" s="117">
        <f t="shared" si="1196"/>
        <v>0</v>
      </c>
      <c r="V385" s="117">
        <f t="shared" si="1196"/>
        <v>0</v>
      </c>
      <c r="W385" s="117">
        <f t="shared" si="1196"/>
        <v>0</v>
      </c>
      <c r="X385" s="117">
        <f t="shared" si="1196"/>
        <v>0</v>
      </c>
      <c r="Y385" s="117">
        <f t="shared" si="1196"/>
        <v>0</v>
      </c>
      <c r="Z385" s="117">
        <f t="shared" si="1196"/>
        <v>0</v>
      </c>
      <c r="AA385" s="117">
        <f t="shared" si="1196"/>
        <v>0</v>
      </c>
      <c r="AB385" s="9">
        <f t="shared" si="1196"/>
        <v>0</v>
      </c>
      <c r="AC385" s="117">
        <f t="shared" si="1196"/>
        <v>0</v>
      </c>
      <c r="AD385" s="117">
        <f t="shared" si="1196"/>
        <v>0</v>
      </c>
      <c r="AE385" s="117">
        <f t="shared" si="1196"/>
        <v>0</v>
      </c>
      <c r="AF385" s="117">
        <f t="shared" si="1196"/>
        <v>0</v>
      </c>
      <c r="AG385" s="117">
        <f t="shared" si="1196"/>
        <v>0</v>
      </c>
      <c r="AH385" s="117">
        <f t="shared" si="1196"/>
        <v>0</v>
      </c>
      <c r="AI385" s="117">
        <f t="shared" si="1196"/>
        <v>0</v>
      </c>
      <c r="AJ385" s="117">
        <f t="shared" si="1196"/>
        <v>0</v>
      </c>
      <c r="AK385" s="117">
        <f t="shared" si="1196"/>
        <v>0</v>
      </c>
      <c r="AL385" s="117">
        <f t="shared" si="1196"/>
        <v>0</v>
      </c>
      <c r="AM385" s="117">
        <f t="shared" si="1196"/>
        <v>0</v>
      </c>
      <c r="AN385" s="117">
        <f t="shared" si="1196"/>
        <v>0</v>
      </c>
      <c r="AO385" s="9">
        <f t="shared" si="1196"/>
        <v>0</v>
      </c>
      <c r="AP385" s="144">
        <f t="shared" si="1196"/>
        <v>0</v>
      </c>
      <c r="AQ385" s="144">
        <f t="shared" si="1196"/>
        <v>0</v>
      </c>
      <c r="AR385" s="144">
        <f t="shared" si="1196"/>
        <v>0</v>
      </c>
      <c r="AS385" s="144">
        <f t="shared" si="1196"/>
        <v>0</v>
      </c>
      <c r="AT385" s="144">
        <f t="shared" si="1196"/>
        <v>0</v>
      </c>
      <c r="AU385" s="144">
        <f t="shared" si="1196"/>
        <v>0.000809231577254146</v>
      </c>
      <c r="AV385" s="144">
        <f t="shared" si="1196"/>
        <v>0.000533603602432219</v>
      </c>
      <c r="AW385" s="144">
        <f t="shared" si="1196"/>
        <v>0</v>
      </c>
      <c r="AX385" s="144">
        <f t="shared" si="1196"/>
        <v>0</v>
      </c>
      <c r="AY385" s="144">
        <f t="shared" si="1196"/>
        <v>0</v>
      </c>
      <c r="AZ385" s="144">
        <f t="shared" si="1196"/>
        <v>0</v>
      </c>
      <c r="BA385" s="144">
        <f t="shared" si="1196"/>
        <v>0</v>
      </c>
      <c r="BB385" s="9">
        <f t="shared" si="1196"/>
        <v>9.88533271365458e-5</v>
      </c>
      <c r="BC385" s="144">
        <f t="shared" si="1196"/>
        <v>0</v>
      </c>
      <c r="BD385" s="144">
        <f t="shared" si="1196"/>
        <v>0</v>
      </c>
      <c r="BE385" s="144">
        <f t="shared" si="1196"/>
        <v>0</v>
      </c>
      <c r="BF385" s="144">
        <f t="shared" si="1196"/>
        <v>0</v>
      </c>
      <c r="BG385" s="144">
        <f t="shared" si="1196"/>
        <v>0</v>
      </c>
      <c r="BH385" s="144">
        <f t="shared" si="1196"/>
        <v>0</v>
      </c>
      <c r="BI385" s="144">
        <f t="shared" si="1196"/>
        <v>0</v>
      </c>
      <c r="BJ385" s="144">
        <f t="shared" si="1196"/>
        <v>0</v>
      </c>
      <c r="BK385" s="144">
        <f t="shared" si="1196"/>
        <v>0</v>
      </c>
      <c r="BL385" s="144">
        <f t="shared" si="1196"/>
        <v>0</v>
      </c>
      <c r="BM385" s="144">
        <f t="shared" si="1196"/>
        <v>0</v>
      </c>
      <c r="BN385" s="144">
        <f t="shared" si="1196"/>
        <v>0</v>
      </c>
      <c r="BO385" s="9">
        <f t="shared" ref="BO385:DZ385" si="1197">BO173/BO$211</f>
        <v>0</v>
      </c>
      <c r="BP385" s="144">
        <f t="shared" si="1197"/>
        <v>0</v>
      </c>
      <c r="BQ385" s="144">
        <f t="shared" si="1197"/>
        <v>0</v>
      </c>
      <c r="BR385" s="144">
        <f t="shared" si="1197"/>
        <v>0</v>
      </c>
      <c r="BS385" s="144">
        <f t="shared" si="1197"/>
        <v>0</v>
      </c>
      <c r="BT385" s="144">
        <f t="shared" si="1197"/>
        <v>0</v>
      </c>
      <c r="BU385" s="144">
        <f t="shared" si="1197"/>
        <v>0</v>
      </c>
      <c r="BV385" s="144">
        <f t="shared" si="1197"/>
        <v>0</v>
      </c>
      <c r="BW385" s="144">
        <f t="shared" si="1197"/>
        <v>0</v>
      </c>
      <c r="BX385" s="144">
        <f t="shared" si="1197"/>
        <v>0</v>
      </c>
      <c r="BY385" s="144">
        <f t="shared" si="1197"/>
        <v>0</v>
      </c>
      <c r="BZ385" s="144">
        <f t="shared" si="1197"/>
        <v>0</v>
      </c>
      <c r="CA385" s="144">
        <f t="shared" si="1197"/>
        <v>0</v>
      </c>
      <c r="CB385" s="9">
        <f t="shared" si="1197"/>
        <v>0</v>
      </c>
      <c r="CC385" s="144">
        <f t="shared" si="1197"/>
        <v>0</v>
      </c>
      <c r="CD385" s="144">
        <f t="shared" si="1197"/>
        <v>0</v>
      </c>
      <c r="CE385" s="144">
        <f t="shared" si="1197"/>
        <v>0</v>
      </c>
      <c r="CF385" s="144">
        <f t="shared" si="1197"/>
        <v>0</v>
      </c>
      <c r="CG385" s="144">
        <f t="shared" si="1197"/>
        <v>0</v>
      </c>
      <c r="CH385" s="144">
        <f t="shared" si="1197"/>
        <v>0.00123155295609004</v>
      </c>
      <c r="CI385" s="144">
        <f t="shared" si="1197"/>
        <v>0.000672331880554328</v>
      </c>
      <c r="CJ385" s="144">
        <f t="shared" si="1197"/>
        <v>0.000454404240264694</v>
      </c>
      <c r="CK385" s="144">
        <f t="shared" si="1197"/>
        <v>0</v>
      </c>
      <c r="CL385" s="144">
        <f t="shared" si="1197"/>
        <v>0</v>
      </c>
      <c r="CM385" s="144">
        <f t="shared" si="1197"/>
        <v>0</v>
      </c>
      <c r="CN385" s="144">
        <f t="shared" si="1197"/>
        <v>0</v>
      </c>
      <c r="CO385" s="9">
        <f t="shared" si="1197"/>
        <v>0.000211715754236159</v>
      </c>
      <c r="CP385" s="144">
        <f t="shared" si="1197"/>
        <v>0</v>
      </c>
      <c r="CQ385" s="144">
        <f t="shared" si="1197"/>
        <v>0</v>
      </c>
      <c r="CR385" s="144">
        <f t="shared" si="1197"/>
        <v>0</v>
      </c>
      <c r="CS385" s="144">
        <f t="shared" si="1197"/>
        <v>0</v>
      </c>
      <c r="CT385" s="144">
        <f t="shared" si="1197"/>
        <v>0</v>
      </c>
      <c r="CU385" s="144">
        <f t="shared" si="1197"/>
        <v>0</v>
      </c>
      <c r="CV385" s="144">
        <f t="shared" si="1197"/>
        <v>0</v>
      </c>
      <c r="CW385" s="144">
        <f t="shared" si="1197"/>
        <v>0</v>
      </c>
      <c r="CX385" s="144">
        <f t="shared" si="1197"/>
        <v>0</v>
      </c>
      <c r="CY385" s="144">
        <f t="shared" si="1197"/>
        <v>0</v>
      </c>
      <c r="CZ385" s="144">
        <f t="shared" si="1197"/>
        <v>0</v>
      </c>
      <c r="DA385" s="144">
        <f t="shared" si="1197"/>
        <v>0</v>
      </c>
      <c r="DB385" s="9">
        <f t="shared" si="1197"/>
        <v>0</v>
      </c>
      <c r="DC385" s="144">
        <f t="shared" si="1197"/>
        <v>0</v>
      </c>
      <c r="DD385" s="144">
        <f t="shared" si="1197"/>
        <v>0</v>
      </c>
      <c r="DE385" s="144">
        <f t="shared" si="1197"/>
        <v>0</v>
      </c>
      <c r="DF385" s="144">
        <f t="shared" si="1197"/>
        <v>0</v>
      </c>
      <c r="DG385" s="144">
        <f t="shared" si="1197"/>
        <v>0</v>
      </c>
      <c r="DH385" s="144">
        <f t="shared" si="1197"/>
        <v>0.00139173123731954</v>
      </c>
      <c r="DI385" s="144">
        <f t="shared" si="1197"/>
        <v>0.0025165121778307</v>
      </c>
      <c r="DJ385" s="144">
        <f t="shared" si="1197"/>
        <v>0.00163864321724433</v>
      </c>
      <c r="DK385" s="144">
        <f t="shared" si="1197"/>
        <v>0</v>
      </c>
      <c r="DL385" s="144">
        <f t="shared" si="1197"/>
        <v>0</v>
      </c>
      <c r="DM385" s="144">
        <f t="shared" si="1197"/>
        <v>0</v>
      </c>
      <c r="DN385" s="144">
        <f t="shared" si="1197"/>
        <v>0</v>
      </c>
      <c r="DO385" s="9">
        <f t="shared" si="1197"/>
        <v>0.000417982892690444</v>
      </c>
      <c r="DP385" s="144">
        <f t="shared" si="1197"/>
        <v>0</v>
      </c>
      <c r="DQ385" s="144">
        <f t="shared" si="1197"/>
        <v>0</v>
      </c>
      <c r="DR385" s="144">
        <f t="shared" si="1197"/>
        <v>0</v>
      </c>
      <c r="DS385" s="144">
        <f t="shared" si="1197"/>
        <v>0</v>
      </c>
      <c r="DT385" s="144">
        <f t="shared" si="1197"/>
        <v>0</v>
      </c>
      <c r="DU385" s="144">
        <f t="shared" si="1197"/>
        <v>0.00576569699207091</v>
      </c>
      <c r="DV385" s="144">
        <f t="shared" si="1197"/>
        <v>0.00333529793796636</v>
      </c>
      <c r="DW385" s="144">
        <f t="shared" si="1197"/>
        <v>0.00216933132101156</v>
      </c>
      <c r="DX385" s="144">
        <f t="shared" si="1197"/>
        <v>0.00217357829407854</v>
      </c>
      <c r="DY385" s="144">
        <f t="shared" si="1197"/>
        <v>0</v>
      </c>
      <c r="DZ385" s="144">
        <f t="shared" si="1197"/>
        <v>0</v>
      </c>
      <c r="EA385" s="144">
        <f t="shared" ref="EA385:GB385" si="1198">EA173/EA$211</f>
        <v>0</v>
      </c>
      <c r="EB385" s="117">
        <f t="shared" si="1198"/>
        <v>0.00102938018660484</v>
      </c>
      <c r="EC385" s="118"/>
      <c r="ED385" s="117">
        <f t="shared" ref="ED385:FB385" si="1199">ED173/ED$211</f>
        <v>0</v>
      </c>
      <c r="EE385" s="117">
        <f t="shared" si="1199"/>
        <v>0</v>
      </c>
      <c r="EF385" s="117">
        <f t="shared" si="1199"/>
        <v>0</v>
      </c>
      <c r="EG385" s="117" t="e">
        <f t="shared" si="1199"/>
        <v>#DIV/0!</v>
      </c>
      <c r="EH385" s="117" t="e">
        <f t="shared" si="1199"/>
        <v>#DIV/0!</v>
      </c>
      <c r="EI385" s="117" t="e">
        <f t="shared" si="1199"/>
        <v>#DIV/0!</v>
      </c>
      <c r="EJ385" s="117" t="e">
        <f t="shared" si="1199"/>
        <v>#DIV/0!</v>
      </c>
      <c r="EK385" s="117" t="e">
        <f t="shared" si="1199"/>
        <v>#DIV/0!</v>
      </c>
      <c r="EL385" s="117" t="e">
        <f t="shared" si="1199"/>
        <v>#DIV/0!</v>
      </c>
      <c r="EM385" s="117" t="e">
        <f t="shared" si="1199"/>
        <v>#DIV/0!</v>
      </c>
      <c r="EN385" s="117" t="e">
        <f t="shared" si="1199"/>
        <v>#DIV/0!</v>
      </c>
      <c r="EO385" s="116">
        <f t="shared" si="1199"/>
        <v>0</v>
      </c>
      <c r="EP385" s="117">
        <f t="shared" si="1199"/>
        <v>0</v>
      </c>
      <c r="EQ385" s="117">
        <f t="shared" si="1199"/>
        <v>0</v>
      </c>
      <c r="ER385" s="117">
        <f t="shared" si="1199"/>
        <v>0</v>
      </c>
      <c r="ES385" s="117">
        <f t="shared" si="1199"/>
        <v>0</v>
      </c>
      <c r="ET385" s="117">
        <f t="shared" si="1199"/>
        <v>0.00242999971911126</v>
      </c>
      <c r="EU385" s="117">
        <f t="shared" si="1199"/>
        <v>0.00515280853265973</v>
      </c>
      <c r="EV385" s="117">
        <f t="shared" si="1199"/>
        <v>0.00244980212304859</v>
      </c>
      <c r="EW385" s="117">
        <f t="shared" si="1199"/>
        <v>0</v>
      </c>
      <c r="EX385" s="117">
        <f t="shared" si="1199"/>
        <v>0</v>
      </c>
      <c r="EY385" s="117">
        <f t="shared" si="1199"/>
        <v>0</v>
      </c>
      <c r="EZ385" s="117">
        <f t="shared" si="1199"/>
        <v>0</v>
      </c>
      <c r="FA385" s="117">
        <f t="shared" si="1199"/>
        <v>0</v>
      </c>
      <c r="FB385" s="117">
        <f t="shared" si="1199"/>
        <v>0.000735605174343352</v>
      </c>
      <c r="FC385" s="118"/>
      <c r="FD385" s="117"/>
      <c r="FE385" s="117"/>
      <c r="FF385" s="117"/>
      <c r="FG385" s="117"/>
      <c r="FH385" s="117"/>
      <c r="FI385" s="117"/>
      <c r="FJ385" s="117"/>
      <c r="FK385" s="117" t="e">
        <f t="shared" si="991"/>
        <v>#DIV/0!</v>
      </c>
      <c r="FL385" s="117" t="e">
        <f t="shared" si="992"/>
        <v>#DIV/0!</v>
      </c>
      <c r="FM385" s="117" t="e">
        <f t="shared" si="993"/>
        <v>#DIV/0!</v>
      </c>
      <c r="FN385" s="117" t="e">
        <f t="shared" si="994"/>
        <v>#DIV/0!</v>
      </c>
      <c r="FO385" s="9" t="e">
        <f t="shared" si="995"/>
        <v>#DIV/0!</v>
      </c>
      <c r="FP385" s="118">
        <f t="shared" si="1198"/>
        <v>0</v>
      </c>
      <c r="FQ385" s="117">
        <f t="shared" si="1198"/>
        <v>0</v>
      </c>
      <c r="FR385" s="117">
        <f t="shared" si="1198"/>
        <v>0</v>
      </c>
      <c r="FS385" s="117">
        <f t="shared" si="1198"/>
        <v>0</v>
      </c>
      <c r="FT385" s="117">
        <f t="shared" si="1198"/>
        <v>0.00233853922174988</v>
      </c>
      <c r="FU385" s="117">
        <f t="shared" si="1198"/>
        <v>0.00357617267069396</v>
      </c>
      <c r="FV385" s="117">
        <f t="shared" si="1198"/>
        <v>0.0017184889165018</v>
      </c>
      <c r="FW385" s="117">
        <f t="shared" si="1198"/>
        <v>0.000964347022473283</v>
      </c>
      <c r="FX385" s="117">
        <f t="shared" si="1198"/>
        <v>0.000544314991640631</v>
      </c>
      <c r="FY385" s="117">
        <f t="shared" si="1198"/>
        <v>0.000507209827183981</v>
      </c>
      <c r="FZ385" s="117">
        <f t="shared" si="1198"/>
        <v>0.000465161344855736</v>
      </c>
      <c r="GA385" s="117">
        <f t="shared" si="1198"/>
        <v>0.000441923752177299</v>
      </c>
      <c r="GB385" s="116">
        <f t="shared" si="1198"/>
        <v>0.000692709090289807</v>
      </c>
    </row>
    <row r="386" spans="1:184">
      <c r="A386" s="147" t="s">
        <v>345</v>
      </c>
      <c r="B386" s="160">
        <f t="shared" si="997"/>
        <v>1.85502466600713</v>
      </c>
      <c r="C386" s="117">
        <f t="shared" ref="C386:BN386" si="1200">C174/C$211</f>
        <v>0.00133642646523472</v>
      </c>
      <c r="D386" s="117">
        <f t="shared" si="1200"/>
        <v>0.00166827273029325</v>
      </c>
      <c r="E386" s="117">
        <f t="shared" si="1200"/>
        <v>0.000751755538792152</v>
      </c>
      <c r="F386" s="117">
        <f t="shared" si="1200"/>
        <v>0.00130967645291032</v>
      </c>
      <c r="G386" s="117">
        <f t="shared" si="1200"/>
        <v>0.00117448276543825</v>
      </c>
      <c r="H386" s="117">
        <f t="shared" si="1200"/>
        <v>0.000471995304317941</v>
      </c>
      <c r="I386" s="117">
        <f t="shared" si="1200"/>
        <v>0.000168907078169282</v>
      </c>
      <c r="J386" s="117">
        <f t="shared" si="1200"/>
        <v>8.37760337539088e-5</v>
      </c>
      <c r="K386" s="117">
        <f t="shared" si="1200"/>
        <v>7.25458273602535e-5</v>
      </c>
      <c r="L386" s="117">
        <f t="shared" si="1200"/>
        <v>6.28352891659811e-5</v>
      </c>
      <c r="M386" s="117">
        <f t="shared" si="1200"/>
        <v>3.54964696133201e-5</v>
      </c>
      <c r="N386" s="117">
        <f t="shared" si="1200"/>
        <v>1.0052042079161e-5</v>
      </c>
      <c r="O386" s="9">
        <f t="shared" si="1200"/>
        <v>0.00061684075053198</v>
      </c>
      <c r="P386" s="117">
        <f t="shared" si="1200"/>
        <v>0.00226369161945264</v>
      </c>
      <c r="Q386" s="117">
        <f t="shared" si="1200"/>
        <v>0.00300621904401913</v>
      </c>
      <c r="R386" s="117">
        <f t="shared" si="1200"/>
        <v>0.0032111336548448</v>
      </c>
      <c r="S386" s="117">
        <f t="shared" si="1200"/>
        <v>0.000871637609238062</v>
      </c>
      <c r="T386" s="117">
        <f t="shared" si="1200"/>
        <v>3.01685584622692e-5</v>
      </c>
      <c r="U386" s="117">
        <f t="shared" si="1200"/>
        <v>0</v>
      </c>
      <c r="V386" s="117">
        <f t="shared" si="1200"/>
        <v>0</v>
      </c>
      <c r="W386" s="117">
        <f t="shared" si="1200"/>
        <v>0</v>
      </c>
      <c r="X386" s="117">
        <f t="shared" si="1200"/>
        <v>0</v>
      </c>
      <c r="Y386" s="117">
        <f t="shared" si="1200"/>
        <v>0</v>
      </c>
      <c r="Z386" s="117">
        <f t="shared" si="1200"/>
        <v>0</v>
      </c>
      <c r="AA386" s="117">
        <f t="shared" si="1200"/>
        <v>0</v>
      </c>
      <c r="AB386" s="9">
        <f t="shared" si="1200"/>
        <v>0.00083619676898927</v>
      </c>
      <c r="AC386" s="117">
        <f t="shared" si="1200"/>
        <v>0.00407187391958877</v>
      </c>
      <c r="AD386" s="117">
        <f t="shared" si="1200"/>
        <v>0.0081019227761095</v>
      </c>
      <c r="AE386" s="117">
        <f t="shared" si="1200"/>
        <v>0.000531928572436293</v>
      </c>
      <c r="AF386" s="117">
        <f t="shared" si="1200"/>
        <v>0.000528161997749828</v>
      </c>
      <c r="AG386" s="117">
        <f t="shared" si="1200"/>
        <v>0.00602431023121895</v>
      </c>
      <c r="AH386" s="117">
        <f t="shared" si="1200"/>
        <v>0.000962378111842772</v>
      </c>
      <c r="AI386" s="117">
        <f t="shared" si="1200"/>
        <v>0</v>
      </c>
      <c r="AJ386" s="117">
        <f t="shared" si="1200"/>
        <v>0</v>
      </c>
      <c r="AK386" s="117">
        <f t="shared" si="1200"/>
        <v>0</v>
      </c>
      <c r="AL386" s="117">
        <f t="shared" si="1200"/>
        <v>0</v>
      </c>
      <c r="AM386" s="117">
        <f t="shared" si="1200"/>
        <v>0</v>
      </c>
      <c r="AN386" s="117">
        <f t="shared" si="1200"/>
        <v>0</v>
      </c>
      <c r="AO386" s="9">
        <f t="shared" si="1200"/>
        <v>0.00150600175718465</v>
      </c>
      <c r="AP386" s="144">
        <f t="shared" si="1200"/>
        <v>0</v>
      </c>
      <c r="AQ386" s="144">
        <f t="shared" si="1200"/>
        <v>0</v>
      </c>
      <c r="AR386" s="144">
        <f t="shared" si="1200"/>
        <v>0</v>
      </c>
      <c r="AS386" s="144">
        <f t="shared" si="1200"/>
        <v>0</v>
      </c>
      <c r="AT386" s="144">
        <f t="shared" si="1200"/>
        <v>0</v>
      </c>
      <c r="AU386" s="144">
        <f t="shared" si="1200"/>
        <v>0</v>
      </c>
      <c r="AV386" s="144">
        <f t="shared" si="1200"/>
        <v>0</v>
      </c>
      <c r="AW386" s="144">
        <f t="shared" si="1200"/>
        <v>0</v>
      </c>
      <c r="AX386" s="144">
        <f t="shared" si="1200"/>
        <v>0</v>
      </c>
      <c r="AY386" s="144">
        <f t="shared" si="1200"/>
        <v>0</v>
      </c>
      <c r="AZ386" s="144">
        <f t="shared" si="1200"/>
        <v>0</v>
      </c>
      <c r="BA386" s="144">
        <f t="shared" si="1200"/>
        <v>0</v>
      </c>
      <c r="BB386" s="9">
        <f t="shared" si="1200"/>
        <v>0</v>
      </c>
      <c r="BC386" s="144">
        <f t="shared" si="1200"/>
        <v>0</v>
      </c>
      <c r="BD386" s="144">
        <f t="shared" si="1200"/>
        <v>0</v>
      </c>
      <c r="BE386" s="144">
        <f t="shared" si="1200"/>
        <v>0</v>
      </c>
      <c r="BF386" s="144">
        <f t="shared" si="1200"/>
        <v>0</v>
      </c>
      <c r="BG386" s="144">
        <f t="shared" si="1200"/>
        <v>0</v>
      </c>
      <c r="BH386" s="144">
        <f t="shared" si="1200"/>
        <v>0</v>
      </c>
      <c r="BI386" s="144">
        <f t="shared" si="1200"/>
        <v>0</v>
      </c>
      <c r="BJ386" s="144">
        <f t="shared" si="1200"/>
        <v>0</v>
      </c>
      <c r="BK386" s="144">
        <f t="shared" si="1200"/>
        <v>0</v>
      </c>
      <c r="BL386" s="144">
        <f t="shared" si="1200"/>
        <v>0</v>
      </c>
      <c r="BM386" s="144">
        <f t="shared" si="1200"/>
        <v>0</v>
      </c>
      <c r="BN386" s="144">
        <f t="shared" si="1200"/>
        <v>0</v>
      </c>
      <c r="BO386" s="9">
        <f t="shared" ref="BO386:DZ386" si="1201">BO174/BO$211</f>
        <v>0</v>
      </c>
      <c r="BP386" s="144">
        <f t="shared" si="1201"/>
        <v>0</v>
      </c>
      <c r="BQ386" s="144">
        <f t="shared" si="1201"/>
        <v>0</v>
      </c>
      <c r="BR386" s="144">
        <f t="shared" si="1201"/>
        <v>0</v>
      </c>
      <c r="BS386" s="144">
        <f t="shared" si="1201"/>
        <v>0</v>
      </c>
      <c r="BT386" s="144">
        <f t="shared" si="1201"/>
        <v>0</v>
      </c>
      <c r="BU386" s="144">
        <f t="shared" si="1201"/>
        <v>0</v>
      </c>
      <c r="BV386" s="144">
        <f t="shared" si="1201"/>
        <v>0</v>
      </c>
      <c r="BW386" s="144">
        <f t="shared" si="1201"/>
        <v>0</v>
      </c>
      <c r="BX386" s="144">
        <f t="shared" si="1201"/>
        <v>0</v>
      </c>
      <c r="BY386" s="144">
        <f t="shared" si="1201"/>
        <v>0</v>
      </c>
      <c r="BZ386" s="144">
        <f t="shared" si="1201"/>
        <v>0</v>
      </c>
      <c r="CA386" s="144">
        <f t="shared" si="1201"/>
        <v>0</v>
      </c>
      <c r="CB386" s="9">
        <f t="shared" si="1201"/>
        <v>0</v>
      </c>
      <c r="CC386" s="144">
        <f t="shared" si="1201"/>
        <v>0</v>
      </c>
      <c r="CD386" s="144">
        <f t="shared" si="1201"/>
        <v>0</v>
      </c>
      <c r="CE386" s="144">
        <f t="shared" si="1201"/>
        <v>0</v>
      </c>
      <c r="CF386" s="144">
        <f t="shared" si="1201"/>
        <v>0</v>
      </c>
      <c r="CG386" s="144">
        <f t="shared" si="1201"/>
        <v>0</v>
      </c>
      <c r="CH386" s="144">
        <f t="shared" si="1201"/>
        <v>0</v>
      </c>
      <c r="CI386" s="144">
        <f t="shared" si="1201"/>
        <v>0</v>
      </c>
      <c r="CJ386" s="144">
        <f t="shared" si="1201"/>
        <v>0</v>
      </c>
      <c r="CK386" s="144">
        <f t="shared" si="1201"/>
        <v>0</v>
      </c>
      <c r="CL386" s="144">
        <f t="shared" si="1201"/>
        <v>0</v>
      </c>
      <c r="CM386" s="144">
        <f t="shared" si="1201"/>
        <v>0</v>
      </c>
      <c r="CN386" s="144">
        <f t="shared" si="1201"/>
        <v>0</v>
      </c>
      <c r="CO386" s="9">
        <f t="shared" si="1201"/>
        <v>0</v>
      </c>
      <c r="CP386" s="144">
        <f t="shared" si="1201"/>
        <v>0.00132694067045485</v>
      </c>
      <c r="CQ386" s="144">
        <f t="shared" si="1201"/>
        <v>8.56213789086333e-5</v>
      </c>
      <c r="CR386" s="144">
        <f t="shared" si="1201"/>
        <v>2.41382640920755e-5</v>
      </c>
      <c r="CS386" s="144">
        <f t="shared" si="1201"/>
        <v>2.94066605453734e-6</v>
      </c>
      <c r="CT386" s="144">
        <f t="shared" si="1201"/>
        <v>0</v>
      </c>
      <c r="CU386" s="144">
        <f t="shared" si="1201"/>
        <v>0</v>
      </c>
      <c r="CV386" s="144">
        <f t="shared" si="1201"/>
        <v>0</v>
      </c>
      <c r="CW386" s="144">
        <f t="shared" si="1201"/>
        <v>0</v>
      </c>
      <c r="CX386" s="144">
        <f t="shared" si="1201"/>
        <v>0</v>
      </c>
      <c r="CY386" s="144">
        <f t="shared" si="1201"/>
        <v>0</v>
      </c>
      <c r="CZ386" s="144">
        <f t="shared" si="1201"/>
        <v>0</v>
      </c>
      <c r="DA386" s="144">
        <f t="shared" si="1201"/>
        <v>0</v>
      </c>
      <c r="DB386" s="9">
        <f t="shared" si="1201"/>
        <v>0.000154872061067697</v>
      </c>
      <c r="DC386" s="144">
        <f t="shared" si="1201"/>
        <v>0</v>
      </c>
      <c r="DD386" s="144">
        <f t="shared" si="1201"/>
        <v>0.0028747872823674</v>
      </c>
      <c r="DE386" s="144">
        <f t="shared" si="1201"/>
        <v>0.00581139742228542</v>
      </c>
      <c r="DF386" s="144">
        <f t="shared" si="1201"/>
        <v>0.00507982373934842</v>
      </c>
      <c r="DG386" s="144">
        <f t="shared" si="1201"/>
        <v>0.00058466798565572</v>
      </c>
      <c r="DH386" s="144">
        <f t="shared" si="1201"/>
        <v>0</v>
      </c>
      <c r="DI386" s="144">
        <f t="shared" si="1201"/>
        <v>0</v>
      </c>
      <c r="DJ386" s="144">
        <f t="shared" si="1201"/>
        <v>0</v>
      </c>
      <c r="DK386" s="144">
        <f t="shared" si="1201"/>
        <v>0</v>
      </c>
      <c r="DL386" s="144">
        <f t="shared" si="1201"/>
        <v>0</v>
      </c>
      <c r="DM386" s="144">
        <f t="shared" si="1201"/>
        <v>0</v>
      </c>
      <c r="DN386" s="144">
        <f t="shared" si="1201"/>
        <v>0</v>
      </c>
      <c r="DO386" s="9">
        <f t="shared" si="1201"/>
        <v>0.00122186334489721</v>
      </c>
      <c r="DP386" s="144">
        <f t="shared" si="1201"/>
        <v>0.00300915370900183</v>
      </c>
      <c r="DQ386" s="144">
        <f t="shared" si="1201"/>
        <v>0.00555471342289337</v>
      </c>
      <c r="DR386" s="144">
        <f t="shared" si="1201"/>
        <v>0.000153401515234558</v>
      </c>
      <c r="DS386" s="144">
        <f t="shared" si="1201"/>
        <v>0.0105461611146053</v>
      </c>
      <c r="DT386" s="144">
        <f t="shared" si="1201"/>
        <v>0.0065619609772136</v>
      </c>
      <c r="DU386" s="144">
        <f t="shared" si="1201"/>
        <v>0.00384379799471394</v>
      </c>
      <c r="DV386" s="144">
        <f t="shared" si="1201"/>
        <v>0.0018529432988702</v>
      </c>
      <c r="DW386" s="144">
        <f t="shared" si="1201"/>
        <v>0.000903888050421484</v>
      </c>
      <c r="DX386" s="144">
        <f t="shared" si="1201"/>
        <v>0.00072452609802618</v>
      </c>
      <c r="DY386" s="144">
        <f t="shared" si="1201"/>
        <v>0.000727202835465112</v>
      </c>
      <c r="DZ386" s="144">
        <f t="shared" si="1201"/>
        <v>0.000363219943882978</v>
      </c>
      <c r="EA386" s="144">
        <f t="shared" ref="EA386:GB386" si="1202">EA174/EA$211</f>
        <v>0</v>
      </c>
      <c r="EB386" s="117">
        <f t="shared" si="1202"/>
        <v>0.00297764208798656</v>
      </c>
      <c r="EC386" s="118"/>
      <c r="ED386" s="117">
        <f t="shared" ref="ED386:FB386" si="1203">ED174/ED$211</f>
        <v>0</v>
      </c>
      <c r="EE386" s="117">
        <f t="shared" si="1203"/>
        <v>0</v>
      </c>
      <c r="EF386" s="117">
        <f t="shared" si="1203"/>
        <v>0</v>
      </c>
      <c r="EG386" s="117" t="e">
        <f t="shared" si="1203"/>
        <v>#DIV/0!</v>
      </c>
      <c r="EH386" s="117" t="e">
        <f t="shared" si="1203"/>
        <v>#DIV/0!</v>
      </c>
      <c r="EI386" s="117" t="e">
        <f t="shared" si="1203"/>
        <v>#DIV/0!</v>
      </c>
      <c r="EJ386" s="117" t="e">
        <f t="shared" si="1203"/>
        <v>#DIV/0!</v>
      </c>
      <c r="EK386" s="117" t="e">
        <f t="shared" si="1203"/>
        <v>#DIV/0!</v>
      </c>
      <c r="EL386" s="117" t="e">
        <f t="shared" si="1203"/>
        <v>#DIV/0!</v>
      </c>
      <c r="EM386" s="117" t="e">
        <f t="shared" si="1203"/>
        <v>#DIV/0!</v>
      </c>
      <c r="EN386" s="117" t="e">
        <f t="shared" si="1203"/>
        <v>#DIV/0!</v>
      </c>
      <c r="EO386" s="116">
        <f t="shared" si="1203"/>
        <v>0</v>
      </c>
      <c r="EP386" s="117">
        <f t="shared" si="1203"/>
        <v>0.000997900716336053</v>
      </c>
      <c r="EQ386" s="117">
        <f t="shared" si="1203"/>
        <v>0.00180855272994717</v>
      </c>
      <c r="ER386" s="117">
        <f t="shared" si="1203"/>
        <v>0.00214551173968136</v>
      </c>
      <c r="ES386" s="117">
        <f t="shared" si="1203"/>
        <v>0.00133869166436304</v>
      </c>
      <c r="ET386" s="117">
        <f t="shared" si="1203"/>
        <v>0.000172625451142513</v>
      </c>
      <c r="EU386" s="117">
        <f t="shared" si="1203"/>
        <v>0</v>
      </c>
      <c r="EV386" s="117">
        <f t="shared" si="1203"/>
        <v>0</v>
      </c>
      <c r="EW386" s="117">
        <f t="shared" si="1203"/>
        <v>0</v>
      </c>
      <c r="EX386" s="117">
        <f t="shared" si="1203"/>
        <v>0</v>
      </c>
      <c r="EY386" s="117">
        <f t="shared" si="1203"/>
        <v>0</v>
      </c>
      <c r="EZ386" s="117">
        <f t="shared" si="1203"/>
        <v>0</v>
      </c>
      <c r="FA386" s="117">
        <f t="shared" si="1203"/>
        <v>0</v>
      </c>
      <c r="FB386" s="117">
        <f t="shared" si="1203"/>
        <v>0.000524276552280213</v>
      </c>
      <c r="FC386" s="118"/>
      <c r="FD386" s="117"/>
      <c r="FE386" s="117"/>
      <c r="FF386" s="117"/>
      <c r="FG386" s="117"/>
      <c r="FH386" s="117"/>
      <c r="FI386" s="117"/>
      <c r="FJ386" s="117"/>
      <c r="FK386" s="117" t="e">
        <f t="shared" si="991"/>
        <v>#DIV/0!</v>
      </c>
      <c r="FL386" s="117" t="e">
        <f t="shared" si="992"/>
        <v>#DIV/0!</v>
      </c>
      <c r="FM386" s="117" t="e">
        <f t="shared" si="993"/>
        <v>#DIV/0!</v>
      </c>
      <c r="FN386" s="117" t="e">
        <f t="shared" si="994"/>
        <v>#DIV/0!</v>
      </c>
      <c r="FO386" s="9" t="e">
        <f t="shared" si="995"/>
        <v>#DIV/0!</v>
      </c>
      <c r="FP386" s="118">
        <f t="shared" si="1202"/>
        <v>0.00169500211398331</v>
      </c>
      <c r="FQ386" s="117">
        <f t="shared" si="1202"/>
        <v>0.00114237450139477</v>
      </c>
      <c r="FR386" s="117">
        <f t="shared" si="1202"/>
        <v>0.000736265776410132</v>
      </c>
      <c r="FS386" s="117">
        <f t="shared" si="1202"/>
        <v>0.000270745158509244</v>
      </c>
      <c r="FT386" s="117">
        <f t="shared" si="1202"/>
        <v>0.000265528631597604</v>
      </c>
      <c r="FU386" s="117">
        <f t="shared" si="1202"/>
        <v>0.000198676259482998</v>
      </c>
      <c r="FV386" s="117">
        <f t="shared" si="1202"/>
        <v>9.54716064723223e-5</v>
      </c>
      <c r="FW386" s="117">
        <f t="shared" si="1202"/>
        <v>8.03622518727736e-5</v>
      </c>
      <c r="FX386" s="117">
        <f t="shared" si="1202"/>
        <v>9.07191652734385e-5</v>
      </c>
      <c r="FY386" s="117">
        <f t="shared" si="1202"/>
        <v>4.22674855986651e-5</v>
      </c>
      <c r="FZ386" s="117">
        <f t="shared" si="1202"/>
        <v>3.87634454046447e-5</v>
      </c>
      <c r="GA386" s="117">
        <f t="shared" si="1202"/>
        <v>3.68269793481082e-5</v>
      </c>
      <c r="GB386" s="116">
        <f t="shared" si="1202"/>
        <v>0.000472345955680657</v>
      </c>
    </row>
    <row r="387" spans="1:184">
      <c r="A387" s="147" t="s">
        <v>346</v>
      </c>
      <c r="B387" s="160" t="e">
        <f t="shared" si="997"/>
        <v>#DIV/0!</v>
      </c>
      <c r="C387" s="117">
        <f t="shared" ref="C387:BN387" si="1204">C175/C$211</f>
        <v>0</v>
      </c>
      <c r="D387" s="117">
        <f t="shared" si="1204"/>
        <v>0</v>
      </c>
      <c r="E387" s="117">
        <f t="shared" si="1204"/>
        <v>0</v>
      </c>
      <c r="F387" s="117">
        <f t="shared" si="1204"/>
        <v>0</v>
      </c>
      <c r="G387" s="117">
        <f t="shared" si="1204"/>
        <v>0</v>
      </c>
      <c r="H387" s="117">
        <f t="shared" si="1204"/>
        <v>0</v>
      </c>
      <c r="I387" s="117">
        <f t="shared" si="1204"/>
        <v>0</v>
      </c>
      <c r="J387" s="117">
        <f t="shared" si="1204"/>
        <v>0</v>
      </c>
      <c r="K387" s="117">
        <f t="shared" si="1204"/>
        <v>0</v>
      </c>
      <c r="L387" s="117">
        <f t="shared" si="1204"/>
        <v>0</v>
      </c>
      <c r="M387" s="117">
        <f t="shared" si="1204"/>
        <v>0</v>
      </c>
      <c r="N387" s="117">
        <f t="shared" si="1204"/>
        <v>0</v>
      </c>
      <c r="O387" s="9">
        <f t="shared" si="1204"/>
        <v>0</v>
      </c>
      <c r="P387" s="117">
        <f t="shared" si="1204"/>
        <v>0</v>
      </c>
      <c r="Q387" s="117">
        <f t="shared" si="1204"/>
        <v>0</v>
      </c>
      <c r="R387" s="117">
        <f t="shared" si="1204"/>
        <v>0</v>
      </c>
      <c r="S387" s="117">
        <f t="shared" si="1204"/>
        <v>0</v>
      </c>
      <c r="T387" s="117">
        <f t="shared" si="1204"/>
        <v>0</v>
      </c>
      <c r="U387" s="117">
        <f t="shared" si="1204"/>
        <v>0</v>
      </c>
      <c r="V387" s="117">
        <f t="shared" si="1204"/>
        <v>0</v>
      </c>
      <c r="W387" s="117">
        <f t="shared" si="1204"/>
        <v>0</v>
      </c>
      <c r="X387" s="117">
        <f t="shared" si="1204"/>
        <v>0</v>
      </c>
      <c r="Y387" s="117">
        <f t="shared" si="1204"/>
        <v>0</v>
      </c>
      <c r="Z387" s="117">
        <f t="shared" si="1204"/>
        <v>0</v>
      </c>
      <c r="AA387" s="117">
        <f t="shared" si="1204"/>
        <v>0</v>
      </c>
      <c r="AB387" s="9">
        <f t="shared" si="1204"/>
        <v>0</v>
      </c>
      <c r="AC387" s="117">
        <f t="shared" si="1204"/>
        <v>0</v>
      </c>
      <c r="AD387" s="117">
        <f t="shared" si="1204"/>
        <v>0</v>
      </c>
      <c r="AE387" s="117">
        <f t="shared" si="1204"/>
        <v>0</v>
      </c>
      <c r="AF387" s="117">
        <f t="shared" si="1204"/>
        <v>0</v>
      </c>
      <c r="AG387" s="117">
        <f t="shared" si="1204"/>
        <v>0</v>
      </c>
      <c r="AH387" s="117">
        <f t="shared" si="1204"/>
        <v>0</v>
      </c>
      <c r="AI387" s="117">
        <f t="shared" si="1204"/>
        <v>0</v>
      </c>
      <c r="AJ387" s="117">
        <f t="shared" si="1204"/>
        <v>0</v>
      </c>
      <c r="AK387" s="117">
        <f t="shared" si="1204"/>
        <v>0</v>
      </c>
      <c r="AL387" s="117">
        <f t="shared" si="1204"/>
        <v>0</v>
      </c>
      <c r="AM387" s="117">
        <f t="shared" si="1204"/>
        <v>0</v>
      </c>
      <c r="AN387" s="117">
        <f t="shared" si="1204"/>
        <v>0</v>
      </c>
      <c r="AO387" s="9">
        <f t="shared" si="1204"/>
        <v>0</v>
      </c>
      <c r="AP387" s="144">
        <f t="shared" si="1204"/>
        <v>0</v>
      </c>
      <c r="AQ387" s="144">
        <f t="shared" si="1204"/>
        <v>0</v>
      </c>
      <c r="AR387" s="144">
        <f t="shared" si="1204"/>
        <v>0</v>
      </c>
      <c r="AS387" s="144">
        <f t="shared" si="1204"/>
        <v>0</v>
      </c>
      <c r="AT387" s="144">
        <f t="shared" si="1204"/>
        <v>0</v>
      </c>
      <c r="AU387" s="144">
        <f t="shared" si="1204"/>
        <v>0</v>
      </c>
      <c r="AV387" s="144">
        <f t="shared" si="1204"/>
        <v>0</v>
      </c>
      <c r="AW387" s="144">
        <f t="shared" si="1204"/>
        <v>0</v>
      </c>
      <c r="AX387" s="144">
        <f t="shared" si="1204"/>
        <v>0</v>
      </c>
      <c r="AY387" s="144">
        <f t="shared" si="1204"/>
        <v>0</v>
      </c>
      <c r="AZ387" s="144">
        <f t="shared" si="1204"/>
        <v>0</v>
      </c>
      <c r="BA387" s="144">
        <f t="shared" si="1204"/>
        <v>0</v>
      </c>
      <c r="BB387" s="9">
        <f t="shared" si="1204"/>
        <v>0</v>
      </c>
      <c r="BC387" s="144">
        <f t="shared" si="1204"/>
        <v>0</v>
      </c>
      <c r="BD387" s="144">
        <f t="shared" si="1204"/>
        <v>0</v>
      </c>
      <c r="BE387" s="144">
        <f t="shared" si="1204"/>
        <v>0</v>
      </c>
      <c r="BF387" s="144">
        <f t="shared" si="1204"/>
        <v>0</v>
      </c>
      <c r="BG387" s="144">
        <f t="shared" si="1204"/>
        <v>0</v>
      </c>
      <c r="BH387" s="144">
        <f t="shared" si="1204"/>
        <v>0</v>
      </c>
      <c r="BI387" s="144">
        <f t="shared" si="1204"/>
        <v>0</v>
      </c>
      <c r="BJ387" s="144">
        <f t="shared" si="1204"/>
        <v>0</v>
      </c>
      <c r="BK387" s="144">
        <f t="shared" si="1204"/>
        <v>0</v>
      </c>
      <c r="BL387" s="144">
        <f t="shared" si="1204"/>
        <v>0</v>
      </c>
      <c r="BM387" s="144">
        <f t="shared" si="1204"/>
        <v>0</v>
      </c>
      <c r="BN387" s="144">
        <f t="shared" si="1204"/>
        <v>0</v>
      </c>
      <c r="BO387" s="9">
        <f t="shared" ref="BO387:DZ387" si="1205">BO175/BO$211</f>
        <v>0</v>
      </c>
      <c r="BP387" s="144">
        <f t="shared" si="1205"/>
        <v>0</v>
      </c>
      <c r="BQ387" s="144">
        <f t="shared" si="1205"/>
        <v>0</v>
      </c>
      <c r="BR387" s="144">
        <f t="shared" si="1205"/>
        <v>0</v>
      </c>
      <c r="BS387" s="144">
        <f t="shared" si="1205"/>
        <v>0</v>
      </c>
      <c r="BT387" s="144">
        <f t="shared" si="1205"/>
        <v>0</v>
      </c>
      <c r="BU387" s="144">
        <f t="shared" si="1205"/>
        <v>0</v>
      </c>
      <c r="BV387" s="144">
        <f t="shared" si="1205"/>
        <v>0</v>
      </c>
      <c r="BW387" s="144">
        <f t="shared" si="1205"/>
        <v>0</v>
      </c>
      <c r="BX387" s="144">
        <f t="shared" si="1205"/>
        <v>0</v>
      </c>
      <c r="BY387" s="144">
        <f t="shared" si="1205"/>
        <v>0</v>
      </c>
      <c r="BZ387" s="144">
        <f t="shared" si="1205"/>
        <v>0</v>
      </c>
      <c r="CA387" s="144">
        <f t="shared" si="1205"/>
        <v>0</v>
      </c>
      <c r="CB387" s="9">
        <f t="shared" si="1205"/>
        <v>0</v>
      </c>
      <c r="CC387" s="144">
        <f t="shared" si="1205"/>
        <v>0</v>
      </c>
      <c r="CD387" s="144">
        <f t="shared" si="1205"/>
        <v>0</v>
      </c>
      <c r="CE387" s="144">
        <f t="shared" si="1205"/>
        <v>0</v>
      </c>
      <c r="CF387" s="144">
        <f t="shared" si="1205"/>
        <v>0</v>
      </c>
      <c r="CG387" s="144">
        <f t="shared" si="1205"/>
        <v>0</v>
      </c>
      <c r="CH387" s="144">
        <f t="shared" si="1205"/>
        <v>0</v>
      </c>
      <c r="CI387" s="144">
        <f t="shared" si="1205"/>
        <v>0</v>
      </c>
      <c r="CJ387" s="144">
        <f t="shared" si="1205"/>
        <v>0</v>
      </c>
      <c r="CK387" s="144">
        <f t="shared" si="1205"/>
        <v>0</v>
      </c>
      <c r="CL387" s="144">
        <f t="shared" si="1205"/>
        <v>0</v>
      </c>
      <c r="CM387" s="144">
        <f t="shared" si="1205"/>
        <v>0</v>
      </c>
      <c r="CN387" s="144">
        <f t="shared" si="1205"/>
        <v>0</v>
      </c>
      <c r="CO387" s="9">
        <f t="shared" si="1205"/>
        <v>0</v>
      </c>
      <c r="CP387" s="144">
        <f t="shared" si="1205"/>
        <v>0</v>
      </c>
      <c r="CQ387" s="144">
        <f t="shared" si="1205"/>
        <v>0</v>
      </c>
      <c r="CR387" s="144">
        <f t="shared" si="1205"/>
        <v>0</v>
      </c>
      <c r="CS387" s="144">
        <f t="shared" si="1205"/>
        <v>0</v>
      </c>
      <c r="CT387" s="144">
        <f t="shared" si="1205"/>
        <v>0</v>
      </c>
      <c r="CU387" s="144">
        <f t="shared" si="1205"/>
        <v>0</v>
      </c>
      <c r="CV387" s="144">
        <f t="shared" si="1205"/>
        <v>0</v>
      </c>
      <c r="CW387" s="144">
        <f t="shared" si="1205"/>
        <v>0</v>
      </c>
      <c r="CX387" s="144">
        <f t="shared" si="1205"/>
        <v>0</v>
      </c>
      <c r="CY387" s="144">
        <f t="shared" si="1205"/>
        <v>0</v>
      </c>
      <c r="CZ387" s="144">
        <f t="shared" si="1205"/>
        <v>0</v>
      </c>
      <c r="DA387" s="144">
        <f t="shared" si="1205"/>
        <v>0</v>
      </c>
      <c r="DB387" s="9">
        <f t="shared" si="1205"/>
        <v>0</v>
      </c>
      <c r="DC387" s="144">
        <f t="shared" si="1205"/>
        <v>0</v>
      </c>
      <c r="DD387" s="144">
        <f t="shared" si="1205"/>
        <v>0</v>
      </c>
      <c r="DE387" s="144">
        <f t="shared" si="1205"/>
        <v>0</v>
      </c>
      <c r="DF387" s="144">
        <f t="shared" si="1205"/>
        <v>0</v>
      </c>
      <c r="DG387" s="144">
        <f t="shared" si="1205"/>
        <v>0</v>
      </c>
      <c r="DH387" s="144">
        <f t="shared" si="1205"/>
        <v>0</v>
      </c>
      <c r="DI387" s="144">
        <f t="shared" si="1205"/>
        <v>0</v>
      </c>
      <c r="DJ387" s="144">
        <f t="shared" si="1205"/>
        <v>0</v>
      </c>
      <c r="DK387" s="144">
        <f t="shared" si="1205"/>
        <v>0</v>
      </c>
      <c r="DL387" s="144">
        <f t="shared" si="1205"/>
        <v>0</v>
      </c>
      <c r="DM387" s="144">
        <f t="shared" si="1205"/>
        <v>0</v>
      </c>
      <c r="DN387" s="144">
        <f t="shared" si="1205"/>
        <v>0</v>
      </c>
      <c r="DO387" s="9">
        <f t="shared" si="1205"/>
        <v>0</v>
      </c>
      <c r="DP387" s="144">
        <f t="shared" si="1205"/>
        <v>0</v>
      </c>
      <c r="DQ387" s="144">
        <f t="shared" si="1205"/>
        <v>0</v>
      </c>
      <c r="DR387" s="144">
        <f t="shared" si="1205"/>
        <v>0</v>
      </c>
      <c r="DS387" s="144">
        <f t="shared" si="1205"/>
        <v>0</v>
      </c>
      <c r="DT387" s="144">
        <f t="shared" si="1205"/>
        <v>0</v>
      </c>
      <c r="DU387" s="144">
        <f t="shared" si="1205"/>
        <v>0</v>
      </c>
      <c r="DV387" s="144">
        <f t="shared" si="1205"/>
        <v>0</v>
      </c>
      <c r="DW387" s="144">
        <f t="shared" si="1205"/>
        <v>0</v>
      </c>
      <c r="DX387" s="144">
        <f t="shared" si="1205"/>
        <v>0</v>
      </c>
      <c r="DY387" s="144">
        <f t="shared" si="1205"/>
        <v>0</v>
      </c>
      <c r="DZ387" s="144">
        <f t="shared" si="1205"/>
        <v>0</v>
      </c>
      <c r="EA387" s="144">
        <f t="shared" ref="EA387:GB387" si="1206">EA175/EA$211</f>
        <v>0</v>
      </c>
      <c r="EB387" s="117">
        <f t="shared" si="1206"/>
        <v>0</v>
      </c>
      <c r="EC387" s="118"/>
      <c r="ED387" s="117">
        <f t="shared" ref="ED387:FB387" si="1207">ED175/ED$211</f>
        <v>0</v>
      </c>
      <c r="EE387" s="117">
        <f t="shared" si="1207"/>
        <v>0</v>
      </c>
      <c r="EF387" s="117">
        <f t="shared" si="1207"/>
        <v>0</v>
      </c>
      <c r="EG387" s="117" t="e">
        <f t="shared" si="1207"/>
        <v>#DIV/0!</v>
      </c>
      <c r="EH387" s="117" t="e">
        <f t="shared" si="1207"/>
        <v>#DIV/0!</v>
      </c>
      <c r="EI387" s="117" t="e">
        <f t="shared" si="1207"/>
        <v>#DIV/0!</v>
      </c>
      <c r="EJ387" s="117" t="e">
        <f t="shared" si="1207"/>
        <v>#DIV/0!</v>
      </c>
      <c r="EK387" s="117" t="e">
        <f t="shared" si="1207"/>
        <v>#DIV/0!</v>
      </c>
      <c r="EL387" s="117" t="e">
        <f t="shared" si="1207"/>
        <v>#DIV/0!</v>
      </c>
      <c r="EM387" s="117" t="e">
        <f t="shared" si="1207"/>
        <v>#DIV/0!</v>
      </c>
      <c r="EN387" s="117" t="e">
        <f t="shared" si="1207"/>
        <v>#DIV/0!</v>
      </c>
      <c r="EO387" s="116">
        <f t="shared" si="1207"/>
        <v>0</v>
      </c>
      <c r="EP387" s="117">
        <f t="shared" si="1207"/>
        <v>0</v>
      </c>
      <c r="EQ387" s="117">
        <f t="shared" si="1207"/>
        <v>0</v>
      </c>
      <c r="ER387" s="117">
        <f t="shared" si="1207"/>
        <v>0</v>
      </c>
      <c r="ES387" s="117">
        <f t="shared" si="1207"/>
        <v>0</v>
      </c>
      <c r="ET387" s="117">
        <f t="shared" si="1207"/>
        <v>0</v>
      </c>
      <c r="EU387" s="117">
        <f t="shared" si="1207"/>
        <v>0</v>
      </c>
      <c r="EV387" s="117">
        <f t="shared" si="1207"/>
        <v>0</v>
      </c>
      <c r="EW387" s="117">
        <f t="shared" si="1207"/>
        <v>0</v>
      </c>
      <c r="EX387" s="117">
        <f t="shared" si="1207"/>
        <v>0</v>
      </c>
      <c r="EY387" s="117">
        <f t="shared" si="1207"/>
        <v>0</v>
      </c>
      <c r="EZ387" s="117">
        <f t="shared" si="1207"/>
        <v>0</v>
      </c>
      <c r="FA387" s="117">
        <f t="shared" si="1207"/>
        <v>0</v>
      </c>
      <c r="FB387" s="117">
        <f t="shared" si="1207"/>
        <v>0</v>
      </c>
      <c r="FC387" s="118"/>
      <c r="FD387" s="117"/>
      <c r="FE387" s="117"/>
      <c r="FF387" s="117"/>
      <c r="FG387" s="117"/>
      <c r="FH387" s="117"/>
      <c r="FI387" s="117"/>
      <c r="FJ387" s="117"/>
      <c r="FK387" s="117" t="e">
        <f t="shared" si="991"/>
        <v>#DIV/0!</v>
      </c>
      <c r="FL387" s="117" t="e">
        <f t="shared" si="992"/>
        <v>#DIV/0!</v>
      </c>
      <c r="FM387" s="117" t="e">
        <f t="shared" si="993"/>
        <v>#DIV/0!</v>
      </c>
      <c r="FN387" s="117" t="e">
        <f t="shared" si="994"/>
        <v>#DIV/0!</v>
      </c>
      <c r="FO387" s="9" t="e">
        <f t="shared" si="995"/>
        <v>#DIV/0!</v>
      </c>
      <c r="FP387" s="118">
        <f t="shared" si="1206"/>
        <v>0</v>
      </c>
      <c r="FQ387" s="117">
        <f t="shared" si="1206"/>
        <v>0</v>
      </c>
      <c r="FR387" s="117">
        <f t="shared" si="1206"/>
        <v>0</v>
      </c>
      <c r="FS387" s="117">
        <f t="shared" si="1206"/>
        <v>0</v>
      </c>
      <c r="FT387" s="117">
        <f t="shared" si="1206"/>
        <v>0</v>
      </c>
      <c r="FU387" s="117">
        <f t="shared" si="1206"/>
        <v>0</v>
      </c>
      <c r="FV387" s="117">
        <f t="shared" si="1206"/>
        <v>0</v>
      </c>
      <c r="FW387" s="117">
        <f t="shared" si="1206"/>
        <v>0</v>
      </c>
      <c r="FX387" s="117">
        <f t="shared" si="1206"/>
        <v>0</v>
      </c>
      <c r="FY387" s="117">
        <f t="shared" si="1206"/>
        <v>0</v>
      </c>
      <c r="FZ387" s="117">
        <f t="shared" si="1206"/>
        <v>0</v>
      </c>
      <c r="GA387" s="117">
        <f t="shared" si="1206"/>
        <v>0</v>
      </c>
      <c r="GB387" s="116">
        <f t="shared" si="1206"/>
        <v>0</v>
      </c>
    </row>
    <row r="388" spans="1:184">
      <c r="A388" s="147" t="s">
        <v>347</v>
      </c>
      <c r="B388" s="160" t="e">
        <f t="shared" si="997"/>
        <v>#DIV/0!</v>
      </c>
      <c r="C388" s="117">
        <f t="shared" ref="C388:BN388" si="1208">C176/C$211</f>
        <v>0.000127291632464102</v>
      </c>
      <c r="D388" s="117">
        <f t="shared" si="1208"/>
        <v>0.00212604895706772</v>
      </c>
      <c r="E388" s="117">
        <f t="shared" si="1208"/>
        <v>0.00137706470872617</v>
      </c>
      <c r="F388" s="117">
        <f t="shared" si="1208"/>
        <v>0.00155616434520846</v>
      </c>
      <c r="G388" s="117">
        <f t="shared" si="1208"/>
        <v>0.0019721651428897</v>
      </c>
      <c r="H388" s="117">
        <f t="shared" si="1208"/>
        <v>0.00221602350849902</v>
      </c>
      <c r="I388" s="117">
        <f t="shared" si="1208"/>
        <v>0.00160969255764801</v>
      </c>
      <c r="J388" s="117">
        <f t="shared" si="1208"/>
        <v>0.00120135827192676</v>
      </c>
      <c r="K388" s="117">
        <f t="shared" si="1208"/>
        <v>0.000803740922901797</v>
      </c>
      <c r="L388" s="117">
        <f t="shared" si="1208"/>
        <v>0.000798032789022547</v>
      </c>
      <c r="M388" s="117">
        <f t="shared" si="1208"/>
        <v>0.000764907739001278</v>
      </c>
      <c r="N388" s="117">
        <f t="shared" si="1208"/>
        <v>0.000792548116747241</v>
      </c>
      <c r="O388" s="9">
        <f t="shared" si="1208"/>
        <v>0.00121138237993696</v>
      </c>
      <c r="P388" s="117">
        <f t="shared" si="1208"/>
        <v>0</v>
      </c>
      <c r="Q388" s="117">
        <f t="shared" si="1208"/>
        <v>0</v>
      </c>
      <c r="R388" s="117">
        <f t="shared" si="1208"/>
        <v>0</v>
      </c>
      <c r="S388" s="117">
        <f t="shared" si="1208"/>
        <v>0</v>
      </c>
      <c r="T388" s="117">
        <f t="shared" si="1208"/>
        <v>0.00469229295086077</v>
      </c>
      <c r="U388" s="117">
        <f t="shared" si="1208"/>
        <v>0.010613901699693</v>
      </c>
      <c r="V388" s="117">
        <f t="shared" si="1208"/>
        <v>0.00761035113351143</v>
      </c>
      <c r="W388" s="117">
        <f t="shared" si="1208"/>
        <v>0.00512061741841333</v>
      </c>
      <c r="X388" s="117">
        <f t="shared" si="1208"/>
        <v>0.00268648434162368</v>
      </c>
      <c r="Y388" s="117">
        <f t="shared" si="1208"/>
        <v>0.00271809519511947</v>
      </c>
      <c r="Z388" s="117">
        <f t="shared" si="1208"/>
        <v>0.0027155109869131</v>
      </c>
      <c r="AA388" s="117">
        <f t="shared" si="1208"/>
        <v>0.00287337514947716</v>
      </c>
      <c r="AB388" s="9">
        <f t="shared" si="1208"/>
        <v>0.00304664638656443</v>
      </c>
      <c r="AC388" s="117">
        <f t="shared" si="1208"/>
        <v>0</v>
      </c>
      <c r="AD388" s="117">
        <f t="shared" si="1208"/>
        <v>0.0167642431922898</v>
      </c>
      <c r="AE388" s="117">
        <f t="shared" si="1208"/>
        <v>0.0100165497193499</v>
      </c>
      <c r="AF388" s="117">
        <f t="shared" si="1208"/>
        <v>0.00713234608026783</v>
      </c>
      <c r="AG388" s="117">
        <f t="shared" si="1208"/>
        <v>0.00736388991961011</v>
      </c>
      <c r="AH388" s="117">
        <f t="shared" si="1208"/>
        <v>0.00579985087402967</v>
      </c>
      <c r="AI388" s="117">
        <f t="shared" si="1208"/>
        <v>0.00520846096487697</v>
      </c>
      <c r="AJ388" s="117">
        <f t="shared" si="1208"/>
        <v>0.00410402465518025</v>
      </c>
      <c r="AK388" s="117">
        <f t="shared" si="1208"/>
        <v>0.00404932005486357</v>
      </c>
      <c r="AL388" s="117">
        <f t="shared" si="1208"/>
        <v>0.00438513273292967</v>
      </c>
      <c r="AM388" s="117">
        <f t="shared" si="1208"/>
        <v>0.00451040590716332</v>
      </c>
      <c r="AN388" s="117">
        <f t="shared" si="1208"/>
        <v>0.00463469979586294</v>
      </c>
      <c r="AO388" s="9">
        <f t="shared" si="1208"/>
        <v>0.00590296734076359</v>
      </c>
      <c r="AP388" s="144">
        <f t="shared" si="1208"/>
        <v>0</v>
      </c>
      <c r="AQ388" s="144">
        <f t="shared" si="1208"/>
        <v>0.00296207627897829</v>
      </c>
      <c r="AR388" s="144">
        <f t="shared" si="1208"/>
        <v>0.00131911836032516</v>
      </c>
      <c r="AS388" s="144">
        <f t="shared" si="1208"/>
        <v>0.00035657533998982</v>
      </c>
      <c r="AT388" s="144">
        <f t="shared" si="1208"/>
        <v>4.37897858669349e-5</v>
      </c>
      <c r="AU388" s="144">
        <f t="shared" si="1208"/>
        <v>0</v>
      </c>
      <c r="AV388" s="144">
        <f t="shared" si="1208"/>
        <v>0</v>
      </c>
      <c r="AW388" s="144">
        <f t="shared" si="1208"/>
        <v>0</v>
      </c>
      <c r="AX388" s="144">
        <f t="shared" si="1208"/>
        <v>0</v>
      </c>
      <c r="AY388" s="144">
        <f t="shared" si="1208"/>
        <v>0</v>
      </c>
      <c r="AZ388" s="144">
        <f t="shared" si="1208"/>
        <v>0</v>
      </c>
      <c r="BA388" s="144">
        <f t="shared" si="1208"/>
        <v>0</v>
      </c>
      <c r="BB388" s="9">
        <f t="shared" si="1208"/>
        <v>0.000364751600877445</v>
      </c>
      <c r="BC388" s="144">
        <f t="shared" si="1208"/>
        <v>0</v>
      </c>
      <c r="BD388" s="144">
        <f t="shared" si="1208"/>
        <v>0</v>
      </c>
      <c r="BE388" s="144">
        <f t="shared" si="1208"/>
        <v>0</v>
      </c>
      <c r="BF388" s="144">
        <f t="shared" si="1208"/>
        <v>0</v>
      </c>
      <c r="BG388" s="144">
        <f t="shared" si="1208"/>
        <v>0</v>
      </c>
      <c r="BH388" s="144">
        <f t="shared" si="1208"/>
        <v>0</v>
      </c>
      <c r="BI388" s="144">
        <f t="shared" si="1208"/>
        <v>0</v>
      </c>
      <c r="BJ388" s="144">
        <f t="shared" si="1208"/>
        <v>0</v>
      </c>
      <c r="BK388" s="144">
        <f t="shared" si="1208"/>
        <v>0</v>
      </c>
      <c r="BL388" s="144">
        <f t="shared" si="1208"/>
        <v>0</v>
      </c>
      <c r="BM388" s="144">
        <f t="shared" si="1208"/>
        <v>0</v>
      </c>
      <c r="BN388" s="144">
        <f t="shared" si="1208"/>
        <v>0</v>
      </c>
      <c r="BO388" s="9">
        <f t="shared" ref="BO388:DZ388" si="1209">BO176/BO$211</f>
        <v>0</v>
      </c>
      <c r="BP388" s="144">
        <f t="shared" si="1209"/>
        <v>0</v>
      </c>
      <c r="BQ388" s="144">
        <f t="shared" si="1209"/>
        <v>0</v>
      </c>
      <c r="BR388" s="144">
        <f t="shared" si="1209"/>
        <v>0</v>
      </c>
      <c r="BS388" s="144">
        <f t="shared" si="1209"/>
        <v>0</v>
      </c>
      <c r="BT388" s="144">
        <f t="shared" si="1209"/>
        <v>0</v>
      </c>
      <c r="BU388" s="144">
        <f t="shared" si="1209"/>
        <v>0</v>
      </c>
      <c r="BV388" s="144">
        <f t="shared" si="1209"/>
        <v>0</v>
      </c>
      <c r="BW388" s="144">
        <f t="shared" si="1209"/>
        <v>0</v>
      </c>
      <c r="BX388" s="144">
        <f t="shared" si="1209"/>
        <v>0</v>
      </c>
      <c r="BY388" s="144">
        <f t="shared" si="1209"/>
        <v>0</v>
      </c>
      <c r="BZ388" s="144">
        <f t="shared" si="1209"/>
        <v>0</v>
      </c>
      <c r="CA388" s="144">
        <f t="shared" si="1209"/>
        <v>0</v>
      </c>
      <c r="CB388" s="9">
        <f t="shared" si="1209"/>
        <v>0</v>
      </c>
      <c r="CC388" s="144">
        <f t="shared" si="1209"/>
        <v>0</v>
      </c>
      <c r="CD388" s="144">
        <f t="shared" si="1209"/>
        <v>0.000978547715217922</v>
      </c>
      <c r="CE388" s="144">
        <f t="shared" si="1209"/>
        <v>0.000572354793495318</v>
      </c>
      <c r="CF388" s="144">
        <f t="shared" si="1209"/>
        <v>0.000750823488506864</v>
      </c>
      <c r="CG388" s="144">
        <f t="shared" si="1209"/>
        <v>0.00101260513367968</v>
      </c>
      <c r="CH388" s="144">
        <f t="shared" si="1209"/>
        <v>0</v>
      </c>
      <c r="CI388" s="144">
        <f t="shared" si="1209"/>
        <v>0</v>
      </c>
      <c r="CJ388" s="144">
        <f t="shared" si="1209"/>
        <v>0</v>
      </c>
      <c r="CK388" s="144">
        <f t="shared" si="1209"/>
        <v>0</v>
      </c>
      <c r="CL388" s="144">
        <f t="shared" si="1209"/>
        <v>0</v>
      </c>
      <c r="CM388" s="144">
        <f t="shared" si="1209"/>
        <v>0</v>
      </c>
      <c r="CN388" s="144">
        <f t="shared" si="1209"/>
        <v>0</v>
      </c>
      <c r="CO388" s="9">
        <f t="shared" si="1209"/>
        <v>0.000231917060453899</v>
      </c>
      <c r="CP388" s="144">
        <f t="shared" si="1209"/>
        <v>0.000199221119652251</v>
      </c>
      <c r="CQ388" s="144">
        <f t="shared" si="1209"/>
        <v>0.00196859025966941</v>
      </c>
      <c r="CR388" s="144">
        <f t="shared" si="1209"/>
        <v>0.000916763772070475</v>
      </c>
      <c r="CS388" s="144">
        <f t="shared" si="1209"/>
        <v>0.000530142011509387</v>
      </c>
      <c r="CT388" s="144">
        <f t="shared" si="1209"/>
        <v>0.000572112168046431</v>
      </c>
      <c r="CU388" s="144">
        <f t="shared" si="1209"/>
        <v>0.000499205923654717</v>
      </c>
      <c r="CV388" s="144">
        <f t="shared" si="1209"/>
        <v>0.00063606494739213</v>
      </c>
      <c r="CW388" s="144">
        <f t="shared" si="1209"/>
        <v>0.000162523678811065</v>
      </c>
      <c r="CX388" s="144">
        <f t="shared" si="1209"/>
        <v>0</v>
      </c>
      <c r="CY388" s="144">
        <f t="shared" si="1209"/>
        <v>0</v>
      </c>
      <c r="CZ388" s="144">
        <f t="shared" si="1209"/>
        <v>0</v>
      </c>
      <c r="DA388" s="144">
        <f t="shared" si="1209"/>
        <v>0</v>
      </c>
      <c r="DB388" s="9">
        <f t="shared" si="1209"/>
        <v>0.000495724104157465</v>
      </c>
      <c r="DC388" s="144">
        <f t="shared" si="1209"/>
        <v>0</v>
      </c>
      <c r="DD388" s="144">
        <f t="shared" si="1209"/>
        <v>0</v>
      </c>
      <c r="DE388" s="144">
        <f t="shared" si="1209"/>
        <v>0.00147823211431836</v>
      </c>
      <c r="DF388" s="144">
        <f t="shared" si="1209"/>
        <v>0.00449809101634594</v>
      </c>
      <c r="DG388" s="144">
        <f t="shared" si="1209"/>
        <v>0.00236464357763402</v>
      </c>
      <c r="DH388" s="144">
        <f t="shared" si="1209"/>
        <v>0.00151945340783304</v>
      </c>
      <c r="DI388" s="144">
        <f t="shared" si="1209"/>
        <v>0.000879186533014268</v>
      </c>
      <c r="DJ388" s="144">
        <f t="shared" si="1209"/>
        <v>0.000572488010075236</v>
      </c>
      <c r="DK388" s="144">
        <f t="shared" si="1209"/>
        <v>0.000286526407145719</v>
      </c>
      <c r="DL388" s="144">
        <f t="shared" si="1209"/>
        <v>0.000283096183295889</v>
      </c>
      <c r="DM388" s="144">
        <f t="shared" si="1209"/>
        <v>0.000314806034998979</v>
      </c>
      <c r="DN388" s="144">
        <f t="shared" si="1209"/>
        <v>0.000285303755465738</v>
      </c>
      <c r="DO388" s="9">
        <f t="shared" si="1209"/>
        <v>0.000938306515035061</v>
      </c>
      <c r="DP388" s="144">
        <f t="shared" si="1209"/>
        <v>0</v>
      </c>
      <c r="DQ388" s="144">
        <f t="shared" si="1209"/>
        <v>0</v>
      </c>
      <c r="DR388" s="144">
        <f t="shared" si="1209"/>
        <v>0.00179942036178155</v>
      </c>
      <c r="DS388" s="144">
        <f t="shared" si="1209"/>
        <v>0.00749269758819262</v>
      </c>
      <c r="DT388" s="144">
        <f t="shared" si="1209"/>
        <v>0.00210258562058229</v>
      </c>
      <c r="DU388" s="144">
        <f t="shared" si="1209"/>
        <v>0.00141004134033937</v>
      </c>
      <c r="DV388" s="144">
        <f t="shared" si="1209"/>
        <v>0.000776828886817481</v>
      </c>
      <c r="DW388" s="144">
        <f t="shared" si="1209"/>
        <v>0.000568419725885308</v>
      </c>
      <c r="DX388" s="144">
        <f t="shared" si="1209"/>
        <v>0.000303750688185153</v>
      </c>
      <c r="DY388" s="144">
        <f t="shared" si="1209"/>
        <v>0.000190545553090225</v>
      </c>
      <c r="DZ388" s="144">
        <f t="shared" si="1209"/>
        <v>0</v>
      </c>
      <c r="EA388" s="144">
        <f t="shared" ref="EA388:GB388" si="1210">EA176/EA$211</f>
        <v>0</v>
      </c>
      <c r="EB388" s="117">
        <f t="shared" si="1210"/>
        <v>0.00122753756948244</v>
      </c>
      <c r="EC388" s="118"/>
      <c r="ED388" s="117">
        <f t="shared" ref="ED388:FB388" si="1211">ED176/ED$211</f>
        <v>0</v>
      </c>
      <c r="EE388" s="117">
        <f t="shared" si="1211"/>
        <v>0</v>
      </c>
      <c r="EF388" s="117">
        <f t="shared" si="1211"/>
        <v>0</v>
      </c>
      <c r="EG388" s="117" t="e">
        <f t="shared" si="1211"/>
        <v>#DIV/0!</v>
      </c>
      <c r="EH388" s="117" t="e">
        <f t="shared" si="1211"/>
        <v>#DIV/0!</v>
      </c>
      <c r="EI388" s="117" t="e">
        <f t="shared" si="1211"/>
        <v>#DIV/0!</v>
      </c>
      <c r="EJ388" s="117" t="e">
        <f t="shared" si="1211"/>
        <v>#DIV/0!</v>
      </c>
      <c r="EK388" s="117" t="e">
        <f t="shared" si="1211"/>
        <v>#DIV/0!</v>
      </c>
      <c r="EL388" s="117" t="e">
        <f t="shared" si="1211"/>
        <v>#DIV/0!</v>
      </c>
      <c r="EM388" s="117" t="e">
        <f t="shared" si="1211"/>
        <v>#DIV/0!</v>
      </c>
      <c r="EN388" s="117" t="e">
        <f t="shared" si="1211"/>
        <v>#DIV/0!</v>
      </c>
      <c r="EO388" s="116">
        <f t="shared" si="1211"/>
        <v>0</v>
      </c>
      <c r="EP388" s="117">
        <f t="shared" si="1211"/>
        <v>0.00744081383451846</v>
      </c>
      <c r="EQ388" s="117">
        <f t="shared" si="1211"/>
        <v>0.0041642257092103</v>
      </c>
      <c r="ER388" s="117">
        <f t="shared" si="1211"/>
        <v>0.00123321108621927</v>
      </c>
      <c r="ES388" s="117">
        <f t="shared" si="1211"/>
        <v>0.000735540150026741</v>
      </c>
      <c r="ET388" s="117">
        <f t="shared" si="1211"/>
        <v>0.00126338155619997</v>
      </c>
      <c r="EU388" s="117">
        <f t="shared" si="1211"/>
        <v>0</v>
      </c>
      <c r="EV388" s="117">
        <f t="shared" si="1211"/>
        <v>0</v>
      </c>
      <c r="EW388" s="117">
        <f t="shared" si="1211"/>
        <v>0</v>
      </c>
      <c r="EX388" s="117">
        <f t="shared" si="1211"/>
        <v>0</v>
      </c>
      <c r="EY388" s="117">
        <f t="shared" si="1211"/>
        <v>0</v>
      </c>
      <c r="EZ388" s="117">
        <f t="shared" si="1211"/>
        <v>0</v>
      </c>
      <c r="FA388" s="117">
        <f t="shared" si="1211"/>
        <v>0</v>
      </c>
      <c r="FB388" s="117">
        <f t="shared" si="1211"/>
        <v>0.00105369793411247</v>
      </c>
      <c r="FC388" s="118"/>
      <c r="FD388" s="117"/>
      <c r="FE388" s="117"/>
      <c r="FF388" s="117"/>
      <c r="FG388" s="117"/>
      <c r="FH388" s="117"/>
      <c r="FI388" s="117"/>
      <c r="FJ388" s="117"/>
      <c r="FK388" s="117" t="e">
        <f t="shared" si="991"/>
        <v>#DIV/0!</v>
      </c>
      <c r="FL388" s="117" t="e">
        <f t="shared" si="992"/>
        <v>#DIV/0!</v>
      </c>
      <c r="FM388" s="117" t="e">
        <f t="shared" si="993"/>
        <v>#DIV/0!</v>
      </c>
      <c r="FN388" s="117" t="e">
        <f t="shared" si="994"/>
        <v>#DIV/0!</v>
      </c>
      <c r="FO388" s="9" t="e">
        <f t="shared" si="995"/>
        <v>#DIV/0!</v>
      </c>
      <c r="FP388" s="118">
        <f t="shared" si="1210"/>
        <v>4.52684279331179e-5</v>
      </c>
      <c r="FQ388" s="117">
        <f t="shared" si="1210"/>
        <v>0.00218023736456494</v>
      </c>
      <c r="FR388" s="117">
        <f t="shared" si="1210"/>
        <v>0.000989982808669899</v>
      </c>
      <c r="FS388" s="117">
        <f t="shared" si="1210"/>
        <v>0.000526651516672894</v>
      </c>
      <c r="FT388" s="117">
        <f t="shared" si="1210"/>
        <v>0.00209714860149074</v>
      </c>
      <c r="FU388" s="117">
        <f t="shared" si="1210"/>
        <v>0.000305408163944497</v>
      </c>
      <c r="FV388" s="117">
        <f t="shared" si="1210"/>
        <v>0.000210134214346929</v>
      </c>
      <c r="FW388" s="117">
        <f t="shared" si="1210"/>
        <v>0.000176878333615669</v>
      </c>
      <c r="FX388" s="117">
        <f t="shared" si="1210"/>
        <v>0</v>
      </c>
      <c r="FY388" s="117">
        <f t="shared" si="1210"/>
        <v>0</v>
      </c>
      <c r="FZ388" s="117">
        <f t="shared" si="1210"/>
        <v>0</v>
      </c>
      <c r="GA388" s="117">
        <f t="shared" si="1210"/>
        <v>0</v>
      </c>
      <c r="GB388" s="116">
        <f t="shared" si="1210"/>
        <v>0.000509827541418932</v>
      </c>
    </row>
    <row r="389" spans="1:184">
      <c r="A389" s="147" t="s">
        <v>348</v>
      </c>
      <c r="B389" s="160" t="e">
        <f t="shared" si="997"/>
        <v>#DIV/0!</v>
      </c>
      <c r="C389" s="117">
        <f t="shared" ref="C389:BN389" si="1212">C177/C$211</f>
        <v>0</v>
      </c>
      <c r="D389" s="117">
        <f t="shared" si="1212"/>
        <v>0</v>
      </c>
      <c r="E389" s="117">
        <f t="shared" si="1212"/>
        <v>0</v>
      </c>
      <c r="F389" s="117">
        <f t="shared" si="1212"/>
        <v>0</v>
      </c>
      <c r="G389" s="117">
        <f t="shared" si="1212"/>
        <v>0</v>
      </c>
      <c r="H389" s="117">
        <f t="shared" si="1212"/>
        <v>0</v>
      </c>
      <c r="I389" s="117">
        <f t="shared" si="1212"/>
        <v>0</v>
      </c>
      <c r="J389" s="117">
        <f t="shared" si="1212"/>
        <v>0</v>
      </c>
      <c r="K389" s="117">
        <f t="shared" si="1212"/>
        <v>0</v>
      </c>
      <c r="L389" s="117">
        <f t="shared" si="1212"/>
        <v>0</v>
      </c>
      <c r="M389" s="117">
        <f t="shared" si="1212"/>
        <v>0</v>
      </c>
      <c r="N389" s="117">
        <f t="shared" si="1212"/>
        <v>0</v>
      </c>
      <c r="O389" s="9">
        <f t="shared" si="1212"/>
        <v>0</v>
      </c>
      <c r="P389" s="117">
        <f t="shared" si="1212"/>
        <v>0</v>
      </c>
      <c r="Q389" s="117">
        <f t="shared" si="1212"/>
        <v>0</v>
      </c>
      <c r="R389" s="117">
        <f t="shared" si="1212"/>
        <v>0</v>
      </c>
      <c r="S389" s="117">
        <f t="shared" si="1212"/>
        <v>0</v>
      </c>
      <c r="T389" s="117">
        <f t="shared" si="1212"/>
        <v>0</v>
      </c>
      <c r="U389" s="117">
        <f t="shared" si="1212"/>
        <v>0</v>
      </c>
      <c r="V389" s="117">
        <f t="shared" si="1212"/>
        <v>0</v>
      </c>
      <c r="W389" s="117">
        <f t="shared" si="1212"/>
        <v>0</v>
      </c>
      <c r="X389" s="117">
        <f t="shared" si="1212"/>
        <v>0</v>
      </c>
      <c r="Y389" s="117">
        <f t="shared" si="1212"/>
        <v>0</v>
      </c>
      <c r="Z389" s="117">
        <f t="shared" si="1212"/>
        <v>0</v>
      </c>
      <c r="AA389" s="117">
        <f t="shared" si="1212"/>
        <v>0</v>
      </c>
      <c r="AB389" s="9">
        <f t="shared" si="1212"/>
        <v>0</v>
      </c>
      <c r="AC389" s="117">
        <f t="shared" si="1212"/>
        <v>0</v>
      </c>
      <c r="AD389" s="117">
        <f t="shared" si="1212"/>
        <v>0</v>
      </c>
      <c r="AE389" s="117">
        <f t="shared" si="1212"/>
        <v>0</v>
      </c>
      <c r="AF389" s="117">
        <f t="shared" si="1212"/>
        <v>0</v>
      </c>
      <c r="AG389" s="117">
        <f t="shared" si="1212"/>
        <v>0</v>
      </c>
      <c r="AH389" s="117">
        <f t="shared" si="1212"/>
        <v>0</v>
      </c>
      <c r="AI389" s="117">
        <f t="shared" si="1212"/>
        <v>0</v>
      </c>
      <c r="AJ389" s="117">
        <f t="shared" si="1212"/>
        <v>0</v>
      </c>
      <c r="AK389" s="117">
        <f t="shared" si="1212"/>
        <v>0</v>
      </c>
      <c r="AL389" s="117">
        <f t="shared" si="1212"/>
        <v>0</v>
      </c>
      <c r="AM389" s="117">
        <f t="shared" si="1212"/>
        <v>0</v>
      </c>
      <c r="AN389" s="117">
        <f t="shared" si="1212"/>
        <v>0</v>
      </c>
      <c r="AO389" s="9">
        <f t="shared" si="1212"/>
        <v>0</v>
      </c>
      <c r="AP389" s="144">
        <f t="shared" si="1212"/>
        <v>0</v>
      </c>
      <c r="AQ389" s="144">
        <f t="shared" si="1212"/>
        <v>0</v>
      </c>
      <c r="AR389" s="144">
        <f t="shared" si="1212"/>
        <v>0</v>
      </c>
      <c r="AS389" s="144">
        <f t="shared" si="1212"/>
        <v>0</v>
      </c>
      <c r="AT389" s="144">
        <f t="shared" si="1212"/>
        <v>0</v>
      </c>
      <c r="AU389" s="144">
        <f t="shared" si="1212"/>
        <v>0</v>
      </c>
      <c r="AV389" s="144">
        <f t="shared" si="1212"/>
        <v>0</v>
      </c>
      <c r="AW389" s="144">
        <f t="shared" si="1212"/>
        <v>0</v>
      </c>
      <c r="AX389" s="144">
        <f t="shared" si="1212"/>
        <v>0</v>
      </c>
      <c r="AY389" s="144">
        <f t="shared" si="1212"/>
        <v>0</v>
      </c>
      <c r="AZ389" s="144">
        <f t="shared" si="1212"/>
        <v>0</v>
      </c>
      <c r="BA389" s="144">
        <f t="shared" si="1212"/>
        <v>0</v>
      </c>
      <c r="BB389" s="9">
        <f t="shared" si="1212"/>
        <v>0</v>
      </c>
      <c r="BC389" s="144">
        <f t="shared" si="1212"/>
        <v>0</v>
      </c>
      <c r="BD389" s="144">
        <f t="shared" si="1212"/>
        <v>0</v>
      </c>
      <c r="BE389" s="144">
        <f t="shared" si="1212"/>
        <v>0</v>
      </c>
      <c r="BF389" s="144">
        <f t="shared" si="1212"/>
        <v>0</v>
      </c>
      <c r="BG389" s="144">
        <f t="shared" si="1212"/>
        <v>0</v>
      </c>
      <c r="BH389" s="144">
        <f t="shared" si="1212"/>
        <v>0</v>
      </c>
      <c r="BI389" s="144">
        <f t="shared" si="1212"/>
        <v>0</v>
      </c>
      <c r="BJ389" s="144">
        <f t="shared" si="1212"/>
        <v>0</v>
      </c>
      <c r="BK389" s="144">
        <f t="shared" si="1212"/>
        <v>0</v>
      </c>
      <c r="BL389" s="144">
        <f t="shared" si="1212"/>
        <v>0</v>
      </c>
      <c r="BM389" s="144">
        <f t="shared" si="1212"/>
        <v>0</v>
      </c>
      <c r="BN389" s="144">
        <f t="shared" si="1212"/>
        <v>0</v>
      </c>
      <c r="BO389" s="9">
        <f t="shared" ref="BO389:DZ389" si="1213">BO177/BO$211</f>
        <v>0</v>
      </c>
      <c r="BP389" s="144">
        <f t="shared" si="1213"/>
        <v>0</v>
      </c>
      <c r="BQ389" s="144">
        <f t="shared" si="1213"/>
        <v>0</v>
      </c>
      <c r="BR389" s="144">
        <f t="shared" si="1213"/>
        <v>0</v>
      </c>
      <c r="BS389" s="144">
        <f t="shared" si="1213"/>
        <v>0</v>
      </c>
      <c r="BT389" s="144">
        <f t="shared" si="1213"/>
        <v>0</v>
      </c>
      <c r="BU389" s="144">
        <f t="shared" si="1213"/>
        <v>0</v>
      </c>
      <c r="BV389" s="144">
        <f t="shared" si="1213"/>
        <v>0</v>
      </c>
      <c r="BW389" s="144">
        <f t="shared" si="1213"/>
        <v>0</v>
      </c>
      <c r="BX389" s="144">
        <f t="shared" si="1213"/>
        <v>0</v>
      </c>
      <c r="BY389" s="144">
        <f t="shared" si="1213"/>
        <v>0</v>
      </c>
      <c r="BZ389" s="144">
        <f t="shared" si="1213"/>
        <v>0</v>
      </c>
      <c r="CA389" s="144">
        <f t="shared" si="1213"/>
        <v>0</v>
      </c>
      <c r="CB389" s="9">
        <f t="shared" si="1213"/>
        <v>0</v>
      </c>
      <c r="CC389" s="144">
        <f t="shared" si="1213"/>
        <v>0</v>
      </c>
      <c r="CD389" s="144">
        <f t="shared" si="1213"/>
        <v>0</v>
      </c>
      <c r="CE389" s="144">
        <f t="shared" si="1213"/>
        <v>0</v>
      </c>
      <c r="CF389" s="144">
        <f t="shared" si="1213"/>
        <v>0</v>
      </c>
      <c r="CG389" s="144">
        <f t="shared" si="1213"/>
        <v>0</v>
      </c>
      <c r="CH389" s="144">
        <f t="shared" si="1213"/>
        <v>0</v>
      </c>
      <c r="CI389" s="144">
        <f t="shared" si="1213"/>
        <v>0</v>
      </c>
      <c r="CJ389" s="144">
        <f t="shared" si="1213"/>
        <v>0</v>
      </c>
      <c r="CK389" s="144">
        <f t="shared" si="1213"/>
        <v>0</v>
      </c>
      <c r="CL389" s="144">
        <f t="shared" si="1213"/>
        <v>0</v>
      </c>
      <c r="CM389" s="144">
        <f t="shared" si="1213"/>
        <v>0</v>
      </c>
      <c r="CN389" s="144">
        <f t="shared" si="1213"/>
        <v>0</v>
      </c>
      <c r="CO389" s="9">
        <f t="shared" si="1213"/>
        <v>0</v>
      </c>
      <c r="CP389" s="144">
        <f t="shared" si="1213"/>
        <v>0</v>
      </c>
      <c r="CQ389" s="144">
        <f t="shared" si="1213"/>
        <v>0</v>
      </c>
      <c r="CR389" s="144">
        <f t="shared" si="1213"/>
        <v>0</v>
      </c>
      <c r="CS389" s="144">
        <f t="shared" si="1213"/>
        <v>0</v>
      </c>
      <c r="CT389" s="144">
        <f t="shared" si="1213"/>
        <v>0</v>
      </c>
      <c r="CU389" s="144">
        <f t="shared" si="1213"/>
        <v>0</v>
      </c>
      <c r="CV389" s="144">
        <f t="shared" si="1213"/>
        <v>0</v>
      </c>
      <c r="CW389" s="144">
        <f t="shared" si="1213"/>
        <v>0</v>
      </c>
      <c r="CX389" s="144">
        <f t="shared" si="1213"/>
        <v>0</v>
      </c>
      <c r="CY389" s="144">
        <f t="shared" si="1213"/>
        <v>0</v>
      </c>
      <c r="CZ389" s="144">
        <f t="shared" si="1213"/>
        <v>0</v>
      </c>
      <c r="DA389" s="144">
        <f t="shared" si="1213"/>
        <v>0</v>
      </c>
      <c r="DB389" s="9">
        <f t="shared" si="1213"/>
        <v>0</v>
      </c>
      <c r="DC389" s="144">
        <f t="shared" si="1213"/>
        <v>0</v>
      </c>
      <c r="DD389" s="144">
        <f t="shared" si="1213"/>
        <v>0</v>
      </c>
      <c r="DE389" s="144">
        <f t="shared" si="1213"/>
        <v>0</v>
      </c>
      <c r="DF389" s="144">
        <f t="shared" si="1213"/>
        <v>0</v>
      </c>
      <c r="DG389" s="144">
        <f t="shared" si="1213"/>
        <v>0</v>
      </c>
      <c r="DH389" s="144">
        <f t="shared" si="1213"/>
        <v>0</v>
      </c>
      <c r="DI389" s="144">
        <f t="shared" si="1213"/>
        <v>0</v>
      </c>
      <c r="DJ389" s="144">
        <f t="shared" si="1213"/>
        <v>0</v>
      </c>
      <c r="DK389" s="144">
        <f t="shared" si="1213"/>
        <v>0</v>
      </c>
      <c r="DL389" s="144">
        <f t="shared" si="1213"/>
        <v>0</v>
      </c>
      <c r="DM389" s="144">
        <f t="shared" si="1213"/>
        <v>0</v>
      </c>
      <c r="DN389" s="144">
        <f t="shared" si="1213"/>
        <v>0</v>
      </c>
      <c r="DO389" s="9">
        <f t="shared" si="1213"/>
        <v>0</v>
      </c>
      <c r="DP389" s="144">
        <f t="shared" si="1213"/>
        <v>0</v>
      </c>
      <c r="DQ389" s="144">
        <f t="shared" si="1213"/>
        <v>0</v>
      </c>
      <c r="DR389" s="144">
        <f t="shared" si="1213"/>
        <v>0</v>
      </c>
      <c r="DS389" s="144">
        <f t="shared" si="1213"/>
        <v>0</v>
      </c>
      <c r="DT389" s="144">
        <f t="shared" si="1213"/>
        <v>0</v>
      </c>
      <c r="DU389" s="144">
        <f t="shared" si="1213"/>
        <v>0</v>
      </c>
      <c r="DV389" s="144">
        <f t="shared" si="1213"/>
        <v>0</v>
      </c>
      <c r="DW389" s="144">
        <f t="shared" si="1213"/>
        <v>0</v>
      </c>
      <c r="DX389" s="144">
        <f t="shared" si="1213"/>
        <v>0</v>
      </c>
      <c r="DY389" s="144">
        <f t="shared" si="1213"/>
        <v>0</v>
      </c>
      <c r="DZ389" s="144">
        <f t="shared" si="1213"/>
        <v>0</v>
      </c>
      <c r="EA389" s="144">
        <f t="shared" ref="EA389:GB389" si="1214">EA177/EA$211</f>
        <v>0</v>
      </c>
      <c r="EB389" s="117">
        <f t="shared" si="1214"/>
        <v>0</v>
      </c>
      <c r="EC389" s="118"/>
      <c r="ED389" s="117">
        <f t="shared" ref="ED389:FB389" si="1215">ED177/ED$211</f>
        <v>0</v>
      </c>
      <c r="EE389" s="117">
        <f t="shared" si="1215"/>
        <v>0</v>
      </c>
      <c r="EF389" s="117">
        <f t="shared" si="1215"/>
        <v>0</v>
      </c>
      <c r="EG389" s="117" t="e">
        <f t="shared" si="1215"/>
        <v>#DIV/0!</v>
      </c>
      <c r="EH389" s="117" t="e">
        <f t="shared" si="1215"/>
        <v>#DIV/0!</v>
      </c>
      <c r="EI389" s="117" t="e">
        <f t="shared" si="1215"/>
        <v>#DIV/0!</v>
      </c>
      <c r="EJ389" s="117" t="e">
        <f t="shared" si="1215"/>
        <v>#DIV/0!</v>
      </c>
      <c r="EK389" s="117" t="e">
        <f t="shared" si="1215"/>
        <v>#DIV/0!</v>
      </c>
      <c r="EL389" s="117" t="e">
        <f t="shared" si="1215"/>
        <v>#DIV/0!</v>
      </c>
      <c r="EM389" s="117" t="e">
        <f t="shared" si="1215"/>
        <v>#DIV/0!</v>
      </c>
      <c r="EN389" s="117" t="e">
        <f t="shared" si="1215"/>
        <v>#DIV/0!</v>
      </c>
      <c r="EO389" s="116">
        <f t="shared" si="1215"/>
        <v>0</v>
      </c>
      <c r="EP389" s="117">
        <f t="shared" si="1215"/>
        <v>0</v>
      </c>
      <c r="EQ389" s="117">
        <f t="shared" si="1215"/>
        <v>0</v>
      </c>
      <c r="ER389" s="117">
        <f t="shared" si="1215"/>
        <v>0</v>
      </c>
      <c r="ES389" s="117">
        <f t="shared" si="1215"/>
        <v>0</v>
      </c>
      <c r="ET389" s="117">
        <f t="shared" si="1215"/>
        <v>0</v>
      </c>
      <c r="EU389" s="117">
        <f t="shared" si="1215"/>
        <v>0</v>
      </c>
      <c r="EV389" s="117">
        <f t="shared" si="1215"/>
        <v>0</v>
      </c>
      <c r="EW389" s="117">
        <f t="shared" si="1215"/>
        <v>0</v>
      </c>
      <c r="EX389" s="117">
        <f t="shared" si="1215"/>
        <v>0</v>
      </c>
      <c r="EY389" s="117">
        <f t="shared" si="1215"/>
        <v>0</v>
      </c>
      <c r="EZ389" s="117">
        <f t="shared" si="1215"/>
        <v>0</v>
      </c>
      <c r="FA389" s="117">
        <f t="shared" si="1215"/>
        <v>0</v>
      </c>
      <c r="FB389" s="117">
        <f t="shared" si="1215"/>
        <v>0</v>
      </c>
      <c r="FC389" s="118"/>
      <c r="FD389" s="117"/>
      <c r="FE389" s="117"/>
      <c r="FF389" s="117"/>
      <c r="FG389" s="117"/>
      <c r="FH389" s="117"/>
      <c r="FI389" s="117"/>
      <c r="FJ389" s="117"/>
      <c r="FK389" s="117" t="e">
        <f t="shared" si="991"/>
        <v>#DIV/0!</v>
      </c>
      <c r="FL389" s="117" t="e">
        <f t="shared" si="992"/>
        <v>#DIV/0!</v>
      </c>
      <c r="FM389" s="117" t="e">
        <f t="shared" si="993"/>
        <v>#DIV/0!</v>
      </c>
      <c r="FN389" s="117" t="e">
        <f t="shared" si="994"/>
        <v>#DIV/0!</v>
      </c>
      <c r="FO389" s="9" t="e">
        <f t="shared" si="995"/>
        <v>#DIV/0!</v>
      </c>
      <c r="FP389" s="118">
        <f t="shared" si="1214"/>
        <v>0</v>
      </c>
      <c r="FQ389" s="117">
        <f t="shared" si="1214"/>
        <v>0</v>
      </c>
      <c r="FR389" s="117">
        <f t="shared" si="1214"/>
        <v>0</v>
      </c>
      <c r="FS389" s="117">
        <f t="shared" si="1214"/>
        <v>0</v>
      </c>
      <c r="FT389" s="117">
        <f t="shared" si="1214"/>
        <v>0</v>
      </c>
      <c r="FU389" s="117">
        <f t="shared" si="1214"/>
        <v>0</v>
      </c>
      <c r="FV389" s="117">
        <f t="shared" si="1214"/>
        <v>0</v>
      </c>
      <c r="FW389" s="117">
        <f t="shared" si="1214"/>
        <v>0</v>
      </c>
      <c r="FX389" s="117">
        <f t="shared" si="1214"/>
        <v>0</v>
      </c>
      <c r="FY389" s="117">
        <f t="shared" si="1214"/>
        <v>0</v>
      </c>
      <c r="FZ389" s="117">
        <f t="shared" si="1214"/>
        <v>0</v>
      </c>
      <c r="GA389" s="117">
        <f t="shared" si="1214"/>
        <v>0</v>
      </c>
      <c r="GB389" s="116">
        <f t="shared" si="1214"/>
        <v>0</v>
      </c>
    </row>
    <row r="390" spans="1:184">
      <c r="A390" s="147" t="s">
        <v>349</v>
      </c>
      <c r="B390" s="160">
        <f t="shared" si="997"/>
        <v>-0.0340428984894497</v>
      </c>
      <c r="C390" s="117">
        <f t="shared" ref="C390:BN390" si="1216">C178/C$211</f>
        <v>9.79783773237608e-5</v>
      </c>
      <c r="D390" s="117">
        <f t="shared" si="1216"/>
        <v>0.0001374289442189</v>
      </c>
      <c r="E390" s="117">
        <f t="shared" si="1216"/>
        <v>8.56666472155049e-5</v>
      </c>
      <c r="F390" s="117">
        <f t="shared" si="1216"/>
        <v>3.70938929992412e-5</v>
      </c>
      <c r="G390" s="117">
        <f t="shared" si="1216"/>
        <v>1.80490663138708e-5</v>
      </c>
      <c r="H390" s="117">
        <f t="shared" si="1216"/>
        <v>1.72169080394003e-5</v>
      </c>
      <c r="I390" s="117">
        <f t="shared" si="1216"/>
        <v>1.10155458965931e-5</v>
      </c>
      <c r="J390" s="117">
        <f t="shared" si="1216"/>
        <v>7.71684831166117e-6</v>
      </c>
      <c r="K390" s="117">
        <f t="shared" si="1216"/>
        <v>5.98627537134452e-6</v>
      </c>
      <c r="L390" s="117">
        <f t="shared" si="1216"/>
        <v>2.04767091790645e-6</v>
      </c>
      <c r="M390" s="117">
        <f t="shared" si="1216"/>
        <v>1.13941102877437e-6</v>
      </c>
      <c r="N390" s="117">
        <f t="shared" si="1216"/>
        <v>1.1805842966568e-6</v>
      </c>
      <c r="O390" s="9">
        <f t="shared" si="1216"/>
        <v>3.91685211154238e-5</v>
      </c>
      <c r="P390" s="117">
        <f t="shared" si="1216"/>
        <v>9.64071409666783e-5</v>
      </c>
      <c r="Q390" s="117">
        <f t="shared" si="1216"/>
        <v>0.000342178812986845</v>
      </c>
      <c r="R390" s="117">
        <f t="shared" si="1216"/>
        <v>0.00023864735942558</v>
      </c>
      <c r="S390" s="117">
        <f t="shared" si="1216"/>
        <v>0.000119008931108235</v>
      </c>
      <c r="T390" s="117">
        <f t="shared" si="1216"/>
        <v>5.27814687333125e-5</v>
      </c>
      <c r="U390" s="117">
        <f t="shared" si="1216"/>
        <v>4.66768563326458e-5</v>
      </c>
      <c r="V390" s="117">
        <f t="shared" si="1216"/>
        <v>4.18553042868857e-5</v>
      </c>
      <c r="W390" s="117">
        <f t="shared" si="1216"/>
        <v>3.46805794086679e-5</v>
      </c>
      <c r="X390" s="117">
        <f t="shared" si="1216"/>
        <v>3.55115593225497e-5</v>
      </c>
      <c r="Y390" s="117">
        <f t="shared" si="1216"/>
        <v>6.53262009455042e-6</v>
      </c>
      <c r="Z390" s="117">
        <f t="shared" si="1216"/>
        <v>0</v>
      </c>
      <c r="AA390" s="117">
        <f t="shared" si="1216"/>
        <v>0</v>
      </c>
      <c r="AB390" s="9">
        <f t="shared" si="1216"/>
        <v>8.43354201163675e-5</v>
      </c>
      <c r="AC390" s="117">
        <f t="shared" si="1216"/>
        <v>0</v>
      </c>
      <c r="AD390" s="117">
        <f t="shared" si="1216"/>
        <v>0</v>
      </c>
      <c r="AE390" s="117">
        <f t="shared" si="1216"/>
        <v>0</v>
      </c>
      <c r="AF390" s="117">
        <f t="shared" si="1216"/>
        <v>0</v>
      </c>
      <c r="AG390" s="117">
        <f t="shared" si="1216"/>
        <v>0</v>
      </c>
      <c r="AH390" s="117">
        <f t="shared" si="1216"/>
        <v>0</v>
      </c>
      <c r="AI390" s="117">
        <f t="shared" si="1216"/>
        <v>0</v>
      </c>
      <c r="AJ390" s="117">
        <f t="shared" si="1216"/>
        <v>0</v>
      </c>
      <c r="AK390" s="117">
        <f t="shared" si="1216"/>
        <v>0</v>
      </c>
      <c r="AL390" s="117">
        <f t="shared" si="1216"/>
        <v>0</v>
      </c>
      <c r="AM390" s="117">
        <f t="shared" si="1216"/>
        <v>0</v>
      </c>
      <c r="AN390" s="117">
        <f t="shared" si="1216"/>
        <v>0</v>
      </c>
      <c r="AO390" s="9">
        <f t="shared" si="1216"/>
        <v>0</v>
      </c>
      <c r="AP390" s="144">
        <f t="shared" si="1216"/>
        <v>0.000230183333702202</v>
      </c>
      <c r="AQ390" s="144">
        <f t="shared" si="1216"/>
        <v>0.000623777598613314</v>
      </c>
      <c r="AR390" s="144">
        <f t="shared" si="1216"/>
        <v>0.000387295248332811</v>
      </c>
      <c r="AS390" s="144">
        <f t="shared" si="1216"/>
        <v>0.000147729588269981</v>
      </c>
      <c r="AT390" s="144">
        <f t="shared" si="1216"/>
        <v>3.6392800995234e-5</v>
      </c>
      <c r="AU390" s="144">
        <f t="shared" si="1216"/>
        <v>0</v>
      </c>
      <c r="AV390" s="144">
        <f t="shared" si="1216"/>
        <v>0</v>
      </c>
      <c r="AW390" s="144">
        <f t="shared" si="1216"/>
        <v>0</v>
      </c>
      <c r="AX390" s="144">
        <f t="shared" si="1216"/>
        <v>0</v>
      </c>
      <c r="AY390" s="144">
        <f t="shared" si="1216"/>
        <v>0</v>
      </c>
      <c r="AZ390" s="144">
        <f t="shared" si="1216"/>
        <v>0</v>
      </c>
      <c r="BA390" s="144">
        <f t="shared" si="1216"/>
        <v>0</v>
      </c>
      <c r="BB390" s="9">
        <f t="shared" si="1216"/>
        <v>0.000114717291176743</v>
      </c>
      <c r="BC390" s="144">
        <f t="shared" si="1216"/>
        <v>0</v>
      </c>
      <c r="BD390" s="144">
        <f t="shared" si="1216"/>
        <v>0</v>
      </c>
      <c r="BE390" s="144">
        <f t="shared" si="1216"/>
        <v>0</v>
      </c>
      <c r="BF390" s="144">
        <f t="shared" si="1216"/>
        <v>0</v>
      </c>
      <c r="BG390" s="144">
        <f t="shared" si="1216"/>
        <v>0</v>
      </c>
      <c r="BH390" s="144">
        <f t="shared" si="1216"/>
        <v>0</v>
      </c>
      <c r="BI390" s="144">
        <f t="shared" si="1216"/>
        <v>0</v>
      </c>
      <c r="BJ390" s="144">
        <f t="shared" si="1216"/>
        <v>0</v>
      </c>
      <c r="BK390" s="144">
        <f t="shared" si="1216"/>
        <v>0</v>
      </c>
      <c r="BL390" s="144">
        <f t="shared" si="1216"/>
        <v>0</v>
      </c>
      <c r="BM390" s="144">
        <f t="shared" si="1216"/>
        <v>0</v>
      </c>
      <c r="BN390" s="144">
        <f t="shared" si="1216"/>
        <v>0</v>
      </c>
      <c r="BO390" s="9">
        <f t="shared" ref="BO390:DZ390" si="1217">BO178/BO$211</f>
        <v>0</v>
      </c>
      <c r="BP390" s="144">
        <f t="shared" si="1217"/>
        <v>0</v>
      </c>
      <c r="BQ390" s="144">
        <f t="shared" si="1217"/>
        <v>0</v>
      </c>
      <c r="BR390" s="144">
        <f t="shared" si="1217"/>
        <v>0</v>
      </c>
      <c r="BS390" s="144">
        <f t="shared" si="1217"/>
        <v>0</v>
      </c>
      <c r="BT390" s="144">
        <f t="shared" si="1217"/>
        <v>0</v>
      </c>
      <c r="BU390" s="144">
        <f t="shared" si="1217"/>
        <v>0</v>
      </c>
      <c r="BV390" s="144">
        <f t="shared" si="1217"/>
        <v>0</v>
      </c>
      <c r="BW390" s="144">
        <f t="shared" si="1217"/>
        <v>0</v>
      </c>
      <c r="BX390" s="144">
        <f t="shared" si="1217"/>
        <v>0</v>
      </c>
      <c r="BY390" s="144">
        <f t="shared" si="1217"/>
        <v>0</v>
      </c>
      <c r="BZ390" s="144">
        <f t="shared" si="1217"/>
        <v>0</v>
      </c>
      <c r="CA390" s="144">
        <f t="shared" si="1217"/>
        <v>0</v>
      </c>
      <c r="CB390" s="9">
        <f t="shared" si="1217"/>
        <v>0</v>
      </c>
      <c r="CC390" s="144">
        <f t="shared" si="1217"/>
        <v>0</v>
      </c>
      <c r="CD390" s="144">
        <f t="shared" si="1217"/>
        <v>0</v>
      </c>
      <c r="CE390" s="144">
        <f t="shared" si="1217"/>
        <v>0</v>
      </c>
      <c r="CF390" s="144">
        <f t="shared" si="1217"/>
        <v>0</v>
      </c>
      <c r="CG390" s="144">
        <f t="shared" si="1217"/>
        <v>0</v>
      </c>
      <c r="CH390" s="144">
        <f t="shared" si="1217"/>
        <v>0</v>
      </c>
      <c r="CI390" s="144">
        <f t="shared" si="1217"/>
        <v>0</v>
      </c>
      <c r="CJ390" s="144">
        <f t="shared" si="1217"/>
        <v>0</v>
      </c>
      <c r="CK390" s="144">
        <f t="shared" si="1217"/>
        <v>0</v>
      </c>
      <c r="CL390" s="144">
        <f t="shared" si="1217"/>
        <v>0</v>
      </c>
      <c r="CM390" s="144">
        <f t="shared" si="1217"/>
        <v>0</v>
      </c>
      <c r="CN390" s="144">
        <f t="shared" si="1217"/>
        <v>0</v>
      </c>
      <c r="CO390" s="9">
        <f t="shared" si="1217"/>
        <v>0</v>
      </c>
      <c r="CP390" s="144">
        <f t="shared" si="1217"/>
        <v>0</v>
      </c>
      <c r="CQ390" s="144">
        <f t="shared" si="1217"/>
        <v>0</v>
      </c>
      <c r="CR390" s="144">
        <f t="shared" si="1217"/>
        <v>0</v>
      </c>
      <c r="CS390" s="144">
        <f t="shared" si="1217"/>
        <v>0</v>
      </c>
      <c r="CT390" s="144">
        <f t="shared" si="1217"/>
        <v>0</v>
      </c>
      <c r="CU390" s="144">
        <f t="shared" si="1217"/>
        <v>0</v>
      </c>
      <c r="CV390" s="144">
        <f t="shared" si="1217"/>
        <v>0</v>
      </c>
      <c r="CW390" s="144">
        <f t="shared" si="1217"/>
        <v>0</v>
      </c>
      <c r="CX390" s="144">
        <f t="shared" si="1217"/>
        <v>0</v>
      </c>
      <c r="CY390" s="144">
        <f t="shared" si="1217"/>
        <v>0</v>
      </c>
      <c r="CZ390" s="144">
        <f t="shared" si="1217"/>
        <v>0</v>
      </c>
      <c r="DA390" s="144">
        <f t="shared" si="1217"/>
        <v>0</v>
      </c>
      <c r="DB390" s="9">
        <f t="shared" si="1217"/>
        <v>0</v>
      </c>
      <c r="DC390" s="144">
        <f t="shared" si="1217"/>
        <v>0</v>
      </c>
      <c r="DD390" s="144">
        <f t="shared" si="1217"/>
        <v>8.01061688866172e-5</v>
      </c>
      <c r="DE390" s="144">
        <f t="shared" si="1217"/>
        <v>0.000501837411268649</v>
      </c>
      <c r="DF390" s="144">
        <f t="shared" si="1217"/>
        <v>6.3393803966781e-5</v>
      </c>
      <c r="DG390" s="144">
        <f t="shared" si="1217"/>
        <v>0</v>
      </c>
      <c r="DH390" s="144">
        <f t="shared" si="1217"/>
        <v>0.000219109585622301</v>
      </c>
      <c r="DI390" s="144">
        <f t="shared" si="1217"/>
        <v>0.000211302077379033</v>
      </c>
      <c r="DJ390" s="144">
        <f t="shared" si="1217"/>
        <v>0.000206386076095964</v>
      </c>
      <c r="DK390" s="144">
        <f t="shared" si="1217"/>
        <v>0.000137726461405793</v>
      </c>
      <c r="DL390" s="144">
        <f t="shared" si="1217"/>
        <v>0.000136077633999715</v>
      </c>
      <c r="DM390" s="144">
        <f t="shared" si="1217"/>
        <v>0.000151319809093712</v>
      </c>
      <c r="DN390" s="144">
        <f t="shared" si="1217"/>
        <v>0.000137138761685222</v>
      </c>
      <c r="DO390" s="9">
        <f t="shared" si="1217"/>
        <v>0.000145159636473738</v>
      </c>
      <c r="DP390" s="144">
        <f t="shared" si="1217"/>
        <v>0</v>
      </c>
      <c r="DQ390" s="144">
        <f t="shared" si="1217"/>
        <v>0.0004965922020248</v>
      </c>
      <c r="DR390" s="144">
        <f t="shared" si="1217"/>
        <v>0.000241078429675212</v>
      </c>
      <c r="DS390" s="144">
        <f t="shared" si="1217"/>
        <v>0.000104701363036156</v>
      </c>
      <c r="DT390" s="144">
        <f t="shared" si="1217"/>
        <v>9.48052693831405e-5</v>
      </c>
      <c r="DU390" s="144">
        <f t="shared" si="1217"/>
        <v>9.6824784930136e-5</v>
      </c>
      <c r="DV390" s="144">
        <f t="shared" si="1217"/>
        <v>4.66754071487556e-5</v>
      </c>
      <c r="DW390" s="144">
        <f t="shared" si="1217"/>
        <v>1.82150604591266e-5</v>
      </c>
      <c r="DX390" s="144">
        <f t="shared" si="1217"/>
        <v>0</v>
      </c>
      <c r="DY390" s="144">
        <f t="shared" si="1217"/>
        <v>0</v>
      </c>
      <c r="DZ390" s="144">
        <f t="shared" si="1217"/>
        <v>0</v>
      </c>
      <c r="EA390" s="144">
        <f t="shared" ref="EA390:EB390" si="1218">EA178/EA$211</f>
        <v>0</v>
      </c>
      <c r="EB390" s="117">
        <f t="shared" si="1218"/>
        <v>9.4201130126369e-5</v>
      </c>
      <c r="EC390" s="118"/>
      <c r="ED390" s="117">
        <f t="shared" ref="ED390:FB390" si="1219">ED178/ED$211</f>
        <v>0</v>
      </c>
      <c r="EE390" s="117">
        <f t="shared" si="1219"/>
        <v>0</v>
      </c>
      <c r="EF390" s="117">
        <f t="shared" si="1219"/>
        <v>0</v>
      </c>
      <c r="EG390" s="117" t="e">
        <f t="shared" si="1219"/>
        <v>#DIV/0!</v>
      </c>
      <c r="EH390" s="117" t="e">
        <f t="shared" si="1219"/>
        <v>#DIV/0!</v>
      </c>
      <c r="EI390" s="117" t="e">
        <f t="shared" si="1219"/>
        <v>#DIV/0!</v>
      </c>
      <c r="EJ390" s="117" t="e">
        <f t="shared" si="1219"/>
        <v>#DIV/0!</v>
      </c>
      <c r="EK390" s="117" t="e">
        <f t="shared" si="1219"/>
        <v>#DIV/0!</v>
      </c>
      <c r="EL390" s="117" t="e">
        <f t="shared" si="1219"/>
        <v>#DIV/0!</v>
      </c>
      <c r="EM390" s="117" t="e">
        <f t="shared" si="1219"/>
        <v>#DIV/0!</v>
      </c>
      <c r="EN390" s="117" t="e">
        <f t="shared" si="1219"/>
        <v>#DIV/0!</v>
      </c>
      <c r="EO390" s="116">
        <f t="shared" si="1219"/>
        <v>0</v>
      </c>
      <c r="EP390" s="117">
        <f t="shared" si="1219"/>
        <v>0</v>
      </c>
      <c r="EQ390" s="117">
        <f t="shared" si="1219"/>
        <v>0</v>
      </c>
      <c r="ER390" s="117">
        <f t="shared" si="1219"/>
        <v>0</v>
      </c>
      <c r="ES390" s="117">
        <f t="shared" si="1219"/>
        <v>0</v>
      </c>
      <c r="ET390" s="117">
        <f t="shared" si="1219"/>
        <v>0</v>
      </c>
      <c r="EU390" s="117">
        <f t="shared" si="1219"/>
        <v>0</v>
      </c>
      <c r="EV390" s="117">
        <f t="shared" si="1219"/>
        <v>0</v>
      </c>
      <c r="EW390" s="117">
        <f t="shared" si="1219"/>
        <v>0</v>
      </c>
      <c r="EX390" s="117">
        <f t="shared" si="1219"/>
        <v>0</v>
      </c>
      <c r="EY390" s="117">
        <f t="shared" si="1219"/>
        <v>0</v>
      </c>
      <c r="EZ390" s="117">
        <f t="shared" si="1219"/>
        <v>0</v>
      </c>
      <c r="FA390" s="117">
        <f t="shared" si="1219"/>
        <v>0</v>
      </c>
      <c r="FB390" s="117">
        <f t="shared" si="1219"/>
        <v>0</v>
      </c>
      <c r="FC390" s="118"/>
      <c r="FD390" s="117"/>
      <c r="FE390" s="117"/>
      <c r="FF390" s="117"/>
      <c r="FG390" s="117"/>
      <c r="FH390" s="117"/>
      <c r="FI390" s="117"/>
      <c r="FJ390" s="117"/>
      <c r="FK390" s="117" t="e">
        <f t="shared" ref="FK390:GB390" si="1220">FK178/FK$211</f>
        <v>#DIV/0!</v>
      </c>
      <c r="FL390" s="117" t="e">
        <f t="shared" si="1220"/>
        <v>#DIV/0!</v>
      </c>
      <c r="FM390" s="117" t="e">
        <f t="shared" si="1220"/>
        <v>#DIV/0!</v>
      </c>
      <c r="FN390" s="117" t="e">
        <f t="shared" si="1220"/>
        <v>#DIV/0!</v>
      </c>
      <c r="FO390" s="9" t="e">
        <f t="shared" si="1220"/>
        <v>#DIV/0!</v>
      </c>
      <c r="FP390" s="118">
        <f t="shared" si="1220"/>
        <v>0.000272329490933141</v>
      </c>
      <c r="FQ390" s="117">
        <f t="shared" si="1220"/>
        <v>9.23303116124219e-5</v>
      </c>
      <c r="FR390" s="117">
        <f t="shared" si="1220"/>
        <v>2.01672509462087e-5</v>
      </c>
      <c r="FS390" s="117">
        <f t="shared" si="1220"/>
        <v>1.16074093597497e-5</v>
      </c>
      <c r="FT390" s="117">
        <f t="shared" si="1220"/>
        <v>4.59622938740658e-6</v>
      </c>
      <c r="FU390" s="117">
        <f t="shared" si="1220"/>
        <v>0</v>
      </c>
      <c r="FV390" s="117">
        <f t="shared" si="1220"/>
        <v>0</v>
      </c>
      <c r="FW390" s="117">
        <f t="shared" si="1220"/>
        <v>0</v>
      </c>
      <c r="FX390" s="117">
        <f t="shared" si="1220"/>
        <v>0</v>
      </c>
      <c r="FY390" s="117">
        <f t="shared" si="1220"/>
        <v>0</v>
      </c>
      <c r="FZ390" s="117">
        <f t="shared" si="1220"/>
        <v>0</v>
      </c>
      <c r="GA390" s="117">
        <f t="shared" si="1220"/>
        <v>0</v>
      </c>
      <c r="GB390" s="116">
        <f t="shared" si="1220"/>
        <v>4.68673182888723e-5</v>
      </c>
    </row>
    <row r="391" spans="1:184">
      <c r="A391" s="147" t="s">
        <v>350</v>
      </c>
      <c r="B391" s="160">
        <f t="shared" si="997"/>
        <v>4.36339343027617</v>
      </c>
      <c r="C391" s="117">
        <f t="shared" ref="C391:BN391" si="1221">C179/C$211</f>
        <v>0.000605958719083053</v>
      </c>
      <c r="D391" s="117">
        <f t="shared" si="1221"/>
        <v>0.000240189714822417</v>
      </c>
      <c r="E391" s="117">
        <f t="shared" si="1221"/>
        <v>0.00016121222733582</v>
      </c>
      <c r="F391" s="117">
        <f t="shared" si="1221"/>
        <v>0.000110647771734214</v>
      </c>
      <c r="G391" s="117">
        <f t="shared" si="1221"/>
        <v>9.87178899375475e-5</v>
      </c>
      <c r="H391" s="117">
        <f t="shared" si="1221"/>
        <v>0.000113517528272807</v>
      </c>
      <c r="I391" s="117">
        <f t="shared" si="1221"/>
        <v>7.19469281230959e-5</v>
      </c>
      <c r="J391" s="117">
        <f t="shared" si="1221"/>
        <v>4.35004846494518e-5</v>
      </c>
      <c r="K391" s="117">
        <f t="shared" si="1221"/>
        <v>1.56149068004736e-5</v>
      </c>
      <c r="L391" s="117">
        <f t="shared" si="1221"/>
        <v>1.38182165789425e-5</v>
      </c>
      <c r="M391" s="117">
        <f t="shared" si="1221"/>
        <v>1.34787116465116e-5</v>
      </c>
      <c r="N391" s="117">
        <f t="shared" si="1221"/>
        <v>1.39657725852922e-5</v>
      </c>
      <c r="O391" s="9">
        <f t="shared" si="1221"/>
        <v>0.000143459442465164</v>
      </c>
      <c r="P391" s="117">
        <f t="shared" si="1221"/>
        <v>0</v>
      </c>
      <c r="Q391" s="117">
        <f t="shared" si="1221"/>
        <v>0</v>
      </c>
      <c r="R391" s="117">
        <f t="shared" si="1221"/>
        <v>0</v>
      </c>
      <c r="S391" s="117">
        <f t="shared" si="1221"/>
        <v>0</v>
      </c>
      <c r="T391" s="117">
        <f t="shared" si="1221"/>
        <v>0</v>
      </c>
      <c r="U391" s="117">
        <f t="shared" si="1221"/>
        <v>0</v>
      </c>
      <c r="V391" s="117">
        <f t="shared" si="1221"/>
        <v>0</v>
      </c>
      <c r="W391" s="117">
        <f t="shared" si="1221"/>
        <v>0</v>
      </c>
      <c r="X391" s="117">
        <f t="shared" si="1221"/>
        <v>0</v>
      </c>
      <c r="Y391" s="117">
        <f t="shared" si="1221"/>
        <v>0</v>
      </c>
      <c r="Z391" s="117">
        <f t="shared" si="1221"/>
        <v>0</v>
      </c>
      <c r="AA391" s="117">
        <f t="shared" si="1221"/>
        <v>0</v>
      </c>
      <c r="AB391" s="9">
        <f t="shared" si="1221"/>
        <v>0</v>
      </c>
      <c r="AC391" s="117">
        <f t="shared" si="1221"/>
        <v>0</v>
      </c>
      <c r="AD391" s="117">
        <f t="shared" si="1221"/>
        <v>0</v>
      </c>
      <c r="AE391" s="117">
        <f t="shared" si="1221"/>
        <v>0</v>
      </c>
      <c r="AF391" s="117">
        <f t="shared" si="1221"/>
        <v>0</v>
      </c>
      <c r="AG391" s="117">
        <f t="shared" si="1221"/>
        <v>0</v>
      </c>
      <c r="AH391" s="117">
        <f t="shared" si="1221"/>
        <v>0</v>
      </c>
      <c r="AI391" s="117">
        <f t="shared" si="1221"/>
        <v>0</v>
      </c>
      <c r="AJ391" s="117">
        <f t="shared" si="1221"/>
        <v>0</v>
      </c>
      <c r="AK391" s="117">
        <f t="shared" si="1221"/>
        <v>0</v>
      </c>
      <c r="AL391" s="117">
        <f t="shared" si="1221"/>
        <v>0</v>
      </c>
      <c r="AM391" s="117">
        <f t="shared" si="1221"/>
        <v>0</v>
      </c>
      <c r="AN391" s="117">
        <f t="shared" si="1221"/>
        <v>0</v>
      </c>
      <c r="AO391" s="9">
        <f t="shared" si="1221"/>
        <v>0</v>
      </c>
      <c r="AP391" s="144">
        <f t="shared" si="1221"/>
        <v>0.00025619919968682</v>
      </c>
      <c r="AQ391" s="144">
        <f t="shared" si="1221"/>
        <v>0</v>
      </c>
      <c r="AR391" s="144">
        <f t="shared" si="1221"/>
        <v>0</v>
      </c>
      <c r="AS391" s="144">
        <f t="shared" si="1221"/>
        <v>0</v>
      </c>
      <c r="AT391" s="144">
        <f t="shared" si="1221"/>
        <v>0</v>
      </c>
      <c r="AU391" s="144">
        <f t="shared" si="1221"/>
        <v>0</v>
      </c>
      <c r="AV391" s="144">
        <f t="shared" si="1221"/>
        <v>0</v>
      </c>
      <c r="AW391" s="144">
        <f t="shared" si="1221"/>
        <v>0</v>
      </c>
      <c r="AX391" s="144">
        <f t="shared" si="1221"/>
        <v>0</v>
      </c>
      <c r="AY391" s="144">
        <f t="shared" si="1221"/>
        <v>0</v>
      </c>
      <c r="AZ391" s="144">
        <f t="shared" si="1221"/>
        <v>0</v>
      </c>
      <c r="BA391" s="144">
        <f t="shared" si="1221"/>
        <v>0</v>
      </c>
      <c r="BB391" s="9">
        <f t="shared" si="1221"/>
        <v>2.4853494461975e-5</v>
      </c>
      <c r="BC391" s="144">
        <f t="shared" si="1221"/>
        <v>0.000781868221828343</v>
      </c>
      <c r="BD391" s="144">
        <f t="shared" si="1221"/>
        <v>0.000397861910635265</v>
      </c>
      <c r="BE391" s="144">
        <f t="shared" si="1221"/>
        <v>0.000433436020250137</v>
      </c>
      <c r="BF391" s="144">
        <f t="shared" si="1221"/>
        <v>0.000432276429572236</v>
      </c>
      <c r="BG391" s="144">
        <f t="shared" si="1221"/>
        <v>0.000411791025110036</v>
      </c>
      <c r="BH391" s="144">
        <f t="shared" si="1221"/>
        <v>0.000401892424447105</v>
      </c>
      <c r="BI391" s="144">
        <f t="shared" si="1221"/>
        <v>0.000330961308321517</v>
      </c>
      <c r="BJ391" s="144">
        <f t="shared" si="1221"/>
        <v>0.000294043857216607</v>
      </c>
      <c r="BK391" s="144">
        <f t="shared" si="1221"/>
        <v>0.000149514437238655</v>
      </c>
      <c r="BL391" s="144">
        <f t="shared" si="1221"/>
        <v>0.00015390448026983</v>
      </c>
      <c r="BM391" s="144">
        <f t="shared" si="1221"/>
        <v>0.000146916083949511</v>
      </c>
      <c r="BN391" s="144">
        <f t="shared" si="1221"/>
        <v>0.000152373803325987</v>
      </c>
      <c r="BO391" s="9">
        <f t="shared" ref="BO391:DZ391" si="1222">BO179/BO$211</f>
        <v>0.000347314261097249</v>
      </c>
      <c r="BP391" s="144">
        <f t="shared" si="1222"/>
        <v>0</v>
      </c>
      <c r="BQ391" s="144">
        <f t="shared" si="1222"/>
        <v>0</v>
      </c>
      <c r="BR391" s="144">
        <f t="shared" si="1222"/>
        <v>0</v>
      </c>
      <c r="BS391" s="144">
        <f t="shared" si="1222"/>
        <v>0</v>
      </c>
      <c r="BT391" s="144">
        <f t="shared" si="1222"/>
        <v>0</v>
      </c>
      <c r="BU391" s="144">
        <f t="shared" si="1222"/>
        <v>0</v>
      </c>
      <c r="BV391" s="144">
        <f t="shared" si="1222"/>
        <v>0</v>
      </c>
      <c r="BW391" s="144">
        <f t="shared" si="1222"/>
        <v>0</v>
      </c>
      <c r="BX391" s="144">
        <f t="shared" si="1222"/>
        <v>0</v>
      </c>
      <c r="BY391" s="144">
        <f t="shared" si="1222"/>
        <v>0</v>
      </c>
      <c r="BZ391" s="144">
        <f t="shared" si="1222"/>
        <v>0</v>
      </c>
      <c r="CA391" s="144">
        <f t="shared" si="1222"/>
        <v>0</v>
      </c>
      <c r="CB391" s="9">
        <f t="shared" si="1222"/>
        <v>0</v>
      </c>
      <c r="CC391" s="144">
        <f t="shared" si="1222"/>
        <v>3.23367884751363e-5</v>
      </c>
      <c r="CD391" s="144">
        <f t="shared" si="1222"/>
        <v>6.89340944527011e-5</v>
      </c>
      <c r="CE391" s="144">
        <f t="shared" si="1222"/>
        <v>0.00012594199875974</v>
      </c>
      <c r="CF391" s="144">
        <f t="shared" si="1222"/>
        <v>0.000126251701272194</v>
      </c>
      <c r="CG391" s="144">
        <f t="shared" si="1222"/>
        <v>0.000194634868603337</v>
      </c>
      <c r="CH391" s="144">
        <f t="shared" si="1222"/>
        <v>0.000162158464940444</v>
      </c>
      <c r="CI391" s="144">
        <f t="shared" si="1222"/>
        <v>8.38895113169054e-5</v>
      </c>
      <c r="CJ391" s="144">
        <f t="shared" si="1222"/>
        <v>7.93769432361111e-5</v>
      </c>
      <c r="CK391" s="144">
        <f t="shared" si="1222"/>
        <v>8.54286017525934e-5</v>
      </c>
      <c r="CL391" s="144">
        <f t="shared" si="1222"/>
        <v>0</v>
      </c>
      <c r="CM391" s="144">
        <f t="shared" si="1222"/>
        <v>0</v>
      </c>
      <c r="CN391" s="144">
        <f t="shared" si="1222"/>
        <v>0</v>
      </c>
      <c r="CO391" s="9">
        <f t="shared" si="1222"/>
        <v>7.87813416928629e-5</v>
      </c>
      <c r="CP391" s="144">
        <f t="shared" si="1222"/>
        <v>0.000726810383309636</v>
      </c>
      <c r="CQ391" s="144">
        <f t="shared" si="1222"/>
        <v>0.000298381518101463</v>
      </c>
      <c r="CR391" s="144">
        <f t="shared" si="1222"/>
        <v>0.000143618345494069</v>
      </c>
      <c r="CS391" s="144">
        <f t="shared" si="1222"/>
        <v>7.61094967018428e-5</v>
      </c>
      <c r="CT391" s="144">
        <f t="shared" si="1222"/>
        <v>0.000107898347482441</v>
      </c>
      <c r="CU391" s="144">
        <f t="shared" si="1222"/>
        <v>9.36011106852595e-5</v>
      </c>
      <c r="CV391" s="144">
        <f t="shared" si="1222"/>
        <v>8.67361291898359e-5</v>
      </c>
      <c r="CW391" s="144">
        <f t="shared" si="1222"/>
        <v>8.12618394055323e-5</v>
      </c>
      <c r="CX391" s="144">
        <f t="shared" si="1222"/>
        <v>0</v>
      </c>
      <c r="CY391" s="144">
        <f t="shared" si="1222"/>
        <v>0</v>
      </c>
      <c r="CZ391" s="144">
        <f t="shared" si="1222"/>
        <v>0</v>
      </c>
      <c r="DA391" s="144">
        <f t="shared" si="1222"/>
        <v>0</v>
      </c>
      <c r="DB391" s="9">
        <f t="shared" si="1222"/>
        <v>0.000157456372515312</v>
      </c>
      <c r="DC391" s="144">
        <f t="shared" si="1222"/>
        <v>0.00021470171025743</v>
      </c>
      <c r="DD391" s="144">
        <f t="shared" si="1222"/>
        <v>0.00640705338756401</v>
      </c>
      <c r="DE391" s="144">
        <f t="shared" si="1222"/>
        <v>0.000347819430973559</v>
      </c>
      <c r="DF391" s="144">
        <f t="shared" si="1222"/>
        <v>0.000568439694573864</v>
      </c>
      <c r="DG391" s="144">
        <f t="shared" si="1222"/>
        <v>0.00016228007225083</v>
      </c>
      <c r="DH391" s="144">
        <f t="shared" si="1222"/>
        <v>0.000303890681566608</v>
      </c>
      <c r="DI391" s="144">
        <f t="shared" si="1222"/>
        <v>0.000293062177671423</v>
      </c>
      <c r="DJ391" s="144">
        <f t="shared" si="1222"/>
        <v>0.000286244005037618</v>
      </c>
      <c r="DK391" s="144">
        <f t="shared" si="1222"/>
        <v>0.000286526407145719</v>
      </c>
      <c r="DL391" s="144">
        <f t="shared" si="1222"/>
        <v>0.000283096183295889</v>
      </c>
      <c r="DM391" s="144">
        <f t="shared" si="1222"/>
        <v>0.000314806034998979</v>
      </c>
      <c r="DN391" s="144">
        <f t="shared" si="1222"/>
        <v>0.000285303755465738</v>
      </c>
      <c r="DO391" s="9">
        <f t="shared" si="1222"/>
        <v>0.00101711113622844</v>
      </c>
      <c r="DP391" s="144">
        <f t="shared" si="1222"/>
        <v>0.000515641775897928</v>
      </c>
      <c r="DQ391" s="144">
        <f t="shared" si="1222"/>
        <v>0.000869758559887518</v>
      </c>
      <c r="DR391" s="144">
        <f t="shared" si="1222"/>
        <v>0.000932722565544565</v>
      </c>
      <c r="DS391" s="144">
        <f t="shared" si="1222"/>
        <v>0.000474383690618099</v>
      </c>
      <c r="DT391" s="144">
        <f t="shared" si="1222"/>
        <v>0.000436770812285466</v>
      </c>
      <c r="DU391" s="144">
        <f t="shared" si="1222"/>
        <v>0.000483442745259212</v>
      </c>
      <c r="DV391" s="144">
        <f t="shared" si="1222"/>
        <v>0.000233048666045244</v>
      </c>
      <c r="DW391" s="144">
        <f t="shared" si="1222"/>
        <v>0.000151578593569415</v>
      </c>
      <c r="DX391" s="144">
        <f t="shared" si="1222"/>
        <v>0</v>
      </c>
      <c r="DY391" s="144">
        <f t="shared" si="1222"/>
        <v>0</v>
      </c>
      <c r="DZ391" s="144">
        <f t="shared" si="1222"/>
        <v>0</v>
      </c>
      <c r="EA391" s="144">
        <f t="shared" ref="EA391:EB391" si="1223">EA179/EA$211</f>
        <v>0</v>
      </c>
      <c r="EB391" s="117">
        <f t="shared" si="1223"/>
        <v>0.000364169102747314</v>
      </c>
      <c r="EC391" s="118"/>
      <c r="ED391" s="117">
        <f t="shared" ref="ED391:FB391" si="1224">ED179/ED$211</f>
        <v>0</v>
      </c>
      <c r="EE391" s="117">
        <f t="shared" si="1224"/>
        <v>0</v>
      </c>
      <c r="EF391" s="117">
        <f t="shared" si="1224"/>
        <v>0</v>
      </c>
      <c r="EG391" s="117" t="e">
        <f t="shared" si="1224"/>
        <v>#DIV/0!</v>
      </c>
      <c r="EH391" s="117" t="e">
        <f t="shared" si="1224"/>
        <v>#DIV/0!</v>
      </c>
      <c r="EI391" s="117" t="e">
        <f t="shared" si="1224"/>
        <v>#DIV/0!</v>
      </c>
      <c r="EJ391" s="117" t="e">
        <f t="shared" si="1224"/>
        <v>#DIV/0!</v>
      </c>
      <c r="EK391" s="117" t="e">
        <f t="shared" si="1224"/>
        <v>#DIV/0!</v>
      </c>
      <c r="EL391" s="117" t="e">
        <f t="shared" si="1224"/>
        <v>#DIV/0!</v>
      </c>
      <c r="EM391" s="117" t="e">
        <f t="shared" si="1224"/>
        <v>#DIV/0!</v>
      </c>
      <c r="EN391" s="117" t="e">
        <f t="shared" si="1224"/>
        <v>#DIV/0!</v>
      </c>
      <c r="EO391" s="116">
        <f t="shared" si="1224"/>
        <v>0</v>
      </c>
      <c r="EP391" s="117">
        <f t="shared" si="1224"/>
        <v>0.00137830687555109</v>
      </c>
      <c r="EQ391" s="117">
        <f t="shared" si="1224"/>
        <v>0.000307797308521701</v>
      </c>
      <c r="ER391" s="117">
        <f t="shared" si="1224"/>
        <v>0.00023257945432002</v>
      </c>
      <c r="ES391" s="117">
        <f t="shared" si="1224"/>
        <v>3.43251600398801e-5</v>
      </c>
      <c r="ET391" s="117">
        <f t="shared" si="1224"/>
        <v>5.12181208780793e-5</v>
      </c>
      <c r="EU391" s="117">
        <f t="shared" si="1224"/>
        <v>0.000234379847761416</v>
      </c>
      <c r="EV391" s="117">
        <f t="shared" si="1224"/>
        <v>0</v>
      </c>
      <c r="EW391" s="117">
        <f t="shared" si="1224"/>
        <v>0</v>
      </c>
      <c r="EX391" s="117">
        <f t="shared" si="1224"/>
        <v>0</v>
      </c>
      <c r="EY391" s="117">
        <f t="shared" si="1224"/>
        <v>0</v>
      </c>
      <c r="EZ391" s="117">
        <f t="shared" si="1224"/>
        <v>0</v>
      </c>
      <c r="FA391" s="117">
        <f t="shared" si="1224"/>
        <v>0</v>
      </c>
      <c r="FB391" s="117">
        <f t="shared" si="1224"/>
        <v>0.000149167637174431</v>
      </c>
      <c r="FC391" s="118"/>
      <c r="FD391" s="117"/>
      <c r="FE391" s="117"/>
      <c r="FF391" s="117"/>
      <c r="FG391" s="117"/>
      <c r="FH391" s="117"/>
      <c r="FI391" s="117"/>
      <c r="FJ391" s="117"/>
      <c r="FK391" s="117" t="e">
        <f t="shared" ref="FK391:GB391" si="1225">FK179/FK$211</f>
        <v>#DIV/0!</v>
      </c>
      <c r="FL391" s="117" t="e">
        <f t="shared" si="1225"/>
        <v>#DIV/0!</v>
      </c>
      <c r="FM391" s="117" t="e">
        <f t="shared" si="1225"/>
        <v>#DIV/0!</v>
      </c>
      <c r="FN391" s="117" t="e">
        <f t="shared" si="1225"/>
        <v>#DIV/0!</v>
      </c>
      <c r="FO391" s="9" t="e">
        <f t="shared" si="1225"/>
        <v>#DIV/0!</v>
      </c>
      <c r="FP391" s="118">
        <f t="shared" si="1225"/>
        <v>0.00157102112251483</v>
      </c>
      <c r="FQ391" s="117">
        <f t="shared" si="1225"/>
        <v>0.000139889885319225</v>
      </c>
      <c r="FR391" s="117">
        <f t="shared" si="1225"/>
        <v>0.000148013420358783</v>
      </c>
      <c r="FS391" s="117">
        <f t="shared" si="1225"/>
        <v>8.98062772630282e-5</v>
      </c>
      <c r="FT391" s="117">
        <f t="shared" si="1225"/>
        <v>6.54945811858813e-5</v>
      </c>
      <c r="FU391" s="117">
        <f t="shared" si="1225"/>
        <v>9.02342302563287e-5</v>
      </c>
      <c r="FV391" s="117">
        <f t="shared" si="1225"/>
        <v>7.0044738115643e-5</v>
      </c>
      <c r="FW391" s="117">
        <f t="shared" si="1225"/>
        <v>0</v>
      </c>
      <c r="FX391" s="117">
        <f t="shared" si="1225"/>
        <v>0</v>
      </c>
      <c r="FY391" s="117">
        <f t="shared" si="1225"/>
        <v>0</v>
      </c>
      <c r="FZ391" s="117">
        <f t="shared" si="1225"/>
        <v>0</v>
      </c>
      <c r="GA391" s="117">
        <f t="shared" si="1225"/>
        <v>0</v>
      </c>
      <c r="GB391" s="116">
        <f t="shared" si="1225"/>
        <v>0.000249393918514154</v>
      </c>
    </row>
    <row r="392" spans="1:184">
      <c r="A392" s="147" t="s">
        <v>351</v>
      </c>
      <c r="B392" s="160" t="e">
        <f t="shared" si="997"/>
        <v>#DIV/0!</v>
      </c>
      <c r="C392" s="117">
        <f t="shared" ref="C392:BN392" si="1226">C180/C$211</f>
        <v>0</v>
      </c>
      <c r="D392" s="117">
        <f t="shared" si="1226"/>
        <v>0</v>
      </c>
      <c r="E392" s="117">
        <f t="shared" si="1226"/>
        <v>0</v>
      </c>
      <c r="F392" s="117">
        <f t="shared" si="1226"/>
        <v>0</v>
      </c>
      <c r="G392" s="117">
        <f t="shared" si="1226"/>
        <v>3.7829237396272e-5</v>
      </c>
      <c r="H392" s="117">
        <f t="shared" si="1226"/>
        <v>0.00121389984327998</v>
      </c>
      <c r="I392" s="117">
        <f t="shared" si="1226"/>
        <v>0.000975533317568596</v>
      </c>
      <c r="J392" s="117">
        <f t="shared" si="1226"/>
        <v>0.000466229774766764</v>
      </c>
      <c r="K392" s="117">
        <f t="shared" si="1226"/>
        <v>0.000302206677429796</v>
      </c>
      <c r="L392" s="117">
        <f t="shared" si="1226"/>
        <v>0.000262088309435211</v>
      </c>
      <c r="M392" s="117">
        <f t="shared" si="1226"/>
        <v>0</v>
      </c>
      <c r="N392" s="117">
        <f t="shared" si="1226"/>
        <v>0</v>
      </c>
      <c r="O392" s="9">
        <f t="shared" si="1226"/>
        <v>0.000242955953413734</v>
      </c>
      <c r="P392" s="117">
        <f t="shared" si="1226"/>
        <v>0</v>
      </c>
      <c r="Q392" s="117">
        <f t="shared" si="1226"/>
        <v>0</v>
      </c>
      <c r="R392" s="117">
        <f t="shared" si="1226"/>
        <v>0</v>
      </c>
      <c r="S392" s="117">
        <f t="shared" si="1226"/>
        <v>0</v>
      </c>
      <c r="T392" s="117">
        <f t="shared" si="1226"/>
        <v>0</v>
      </c>
      <c r="U392" s="117">
        <f t="shared" si="1226"/>
        <v>0.00430437368979756</v>
      </c>
      <c r="V392" s="117">
        <f t="shared" si="1226"/>
        <v>0.00385974730746675</v>
      </c>
      <c r="W392" s="117">
        <f t="shared" si="1226"/>
        <v>0.00203021154372012</v>
      </c>
      <c r="X392" s="117">
        <f t="shared" si="1226"/>
        <v>0.000999644716973738</v>
      </c>
      <c r="Y392" s="117">
        <f t="shared" si="1226"/>
        <v>0.00101140716137235</v>
      </c>
      <c r="Z392" s="117">
        <f t="shared" si="1226"/>
        <v>0</v>
      </c>
      <c r="AA392" s="117">
        <f t="shared" si="1226"/>
        <v>0</v>
      </c>
      <c r="AB392" s="9">
        <f t="shared" si="1226"/>
        <v>0.000962636069632271</v>
      </c>
      <c r="AC392" s="117">
        <f t="shared" si="1226"/>
        <v>0</v>
      </c>
      <c r="AD392" s="117">
        <f t="shared" si="1226"/>
        <v>0</v>
      </c>
      <c r="AE392" s="117">
        <f t="shared" si="1226"/>
        <v>0</v>
      </c>
      <c r="AF392" s="117">
        <f t="shared" si="1226"/>
        <v>0</v>
      </c>
      <c r="AG392" s="117">
        <f t="shared" si="1226"/>
        <v>0</v>
      </c>
      <c r="AH392" s="117">
        <f t="shared" si="1226"/>
        <v>0</v>
      </c>
      <c r="AI392" s="117">
        <f t="shared" si="1226"/>
        <v>0</v>
      </c>
      <c r="AJ392" s="117">
        <f t="shared" si="1226"/>
        <v>0</v>
      </c>
      <c r="AK392" s="117">
        <f t="shared" si="1226"/>
        <v>0</v>
      </c>
      <c r="AL392" s="117">
        <f t="shared" si="1226"/>
        <v>0</v>
      </c>
      <c r="AM392" s="117">
        <f t="shared" si="1226"/>
        <v>0</v>
      </c>
      <c r="AN392" s="117">
        <f t="shared" si="1226"/>
        <v>0</v>
      </c>
      <c r="AO392" s="9">
        <f t="shared" si="1226"/>
        <v>0</v>
      </c>
      <c r="AP392" s="144">
        <f t="shared" si="1226"/>
        <v>0</v>
      </c>
      <c r="AQ392" s="144">
        <f t="shared" si="1226"/>
        <v>0</v>
      </c>
      <c r="AR392" s="144">
        <f t="shared" si="1226"/>
        <v>0</v>
      </c>
      <c r="AS392" s="144">
        <f t="shared" si="1226"/>
        <v>0</v>
      </c>
      <c r="AT392" s="144">
        <f t="shared" si="1226"/>
        <v>0</v>
      </c>
      <c r="AU392" s="144">
        <f t="shared" si="1226"/>
        <v>0.00323692630901658</v>
      </c>
      <c r="AV392" s="144">
        <f t="shared" si="1226"/>
        <v>0.0026680180121611</v>
      </c>
      <c r="AW392" s="144">
        <f t="shared" si="1226"/>
        <v>0.00117532944806777</v>
      </c>
      <c r="AX392" s="144">
        <f t="shared" si="1226"/>
        <v>0.00116958771692465</v>
      </c>
      <c r="AY392" s="144">
        <f t="shared" si="1226"/>
        <v>0.00125177099847831</v>
      </c>
      <c r="AZ392" s="144">
        <f t="shared" si="1226"/>
        <v>0</v>
      </c>
      <c r="BA392" s="144">
        <f t="shared" si="1226"/>
        <v>0</v>
      </c>
      <c r="BB392" s="9">
        <f t="shared" si="1226"/>
        <v>0.000768859211062023</v>
      </c>
      <c r="BC392" s="144">
        <f t="shared" si="1226"/>
        <v>0</v>
      </c>
      <c r="BD392" s="144">
        <f t="shared" si="1226"/>
        <v>0</v>
      </c>
      <c r="BE392" s="144">
        <f t="shared" si="1226"/>
        <v>0</v>
      </c>
      <c r="BF392" s="144">
        <f t="shared" si="1226"/>
        <v>0</v>
      </c>
      <c r="BG392" s="144">
        <f t="shared" si="1226"/>
        <v>0</v>
      </c>
      <c r="BH392" s="144">
        <f t="shared" si="1226"/>
        <v>0</v>
      </c>
      <c r="BI392" s="144">
        <f t="shared" si="1226"/>
        <v>0</v>
      </c>
      <c r="BJ392" s="144">
        <f t="shared" si="1226"/>
        <v>0</v>
      </c>
      <c r="BK392" s="144">
        <f t="shared" si="1226"/>
        <v>0</v>
      </c>
      <c r="BL392" s="144">
        <f t="shared" si="1226"/>
        <v>0</v>
      </c>
      <c r="BM392" s="144">
        <f t="shared" si="1226"/>
        <v>0</v>
      </c>
      <c r="BN392" s="144">
        <f t="shared" si="1226"/>
        <v>0</v>
      </c>
      <c r="BO392" s="9">
        <f t="shared" ref="BO392:DZ392" si="1227">BO180/BO$211</f>
        <v>0</v>
      </c>
      <c r="BP392" s="144">
        <f t="shared" si="1227"/>
        <v>0</v>
      </c>
      <c r="BQ392" s="144">
        <f t="shared" si="1227"/>
        <v>0</v>
      </c>
      <c r="BR392" s="144">
        <f t="shared" si="1227"/>
        <v>0</v>
      </c>
      <c r="BS392" s="144">
        <f t="shared" si="1227"/>
        <v>0</v>
      </c>
      <c r="BT392" s="144">
        <f t="shared" si="1227"/>
        <v>0</v>
      </c>
      <c r="BU392" s="144">
        <f t="shared" si="1227"/>
        <v>0</v>
      </c>
      <c r="BV392" s="144">
        <f t="shared" si="1227"/>
        <v>0</v>
      </c>
      <c r="BW392" s="144">
        <f t="shared" si="1227"/>
        <v>0</v>
      </c>
      <c r="BX392" s="144">
        <f t="shared" si="1227"/>
        <v>0</v>
      </c>
      <c r="BY392" s="144">
        <f t="shared" si="1227"/>
        <v>0</v>
      </c>
      <c r="BZ392" s="144">
        <f t="shared" si="1227"/>
        <v>0</v>
      </c>
      <c r="CA392" s="144">
        <f t="shared" si="1227"/>
        <v>0</v>
      </c>
      <c r="CB392" s="9">
        <f t="shared" si="1227"/>
        <v>0</v>
      </c>
      <c r="CC392" s="144">
        <f t="shared" si="1227"/>
        <v>0</v>
      </c>
      <c r="CD392" s="144">
        <f t="shared" si="1227"/>
        <v>0</v>
      </c>
      <c r="CE392" s="144">
        <f t="shared" si="1227"/>
        <v>0</v>
      </c>
      <c r="CF392" s="144">
        <f t="shared" si="1227"/>
        <v>0</v>
      </c>
      <c r="CG392" s="144">
        <f t="shared" si="1227"/>
        <v>0</v>
      </c>
      <c r="CH392" s="144">
        <f t="shared" si="1227"/>
        <v>0.00174211710838441</v>
      </c>
      <c r="CI392" s="144">
        <f t="shared" si="1227"/>
        <v>0.00120059264384702</v>
      </c>
      <c r="CJ392" s="144">
        <f t="shared" si="1227"/>
        <v>0.000681606360397041</v>
      </c>
      <c r="CK392" s="144">
        <f t="shared" si="1227"/>
        <v>0.000244523896320829</v>
      </c>
      <c r="CL392" s="144">
        <f t="shared" si="1227"/>
        <v>0</v>
      </c>
      <c r="CM392" s="144">
        <f t="shared" si="1227"/>
        <v>0</v>
      </c>
      <c r="CN392" s="144">
        <f t="shared" si="1227"/>
        <v>0</v>
      </c>
      <c r="CO392" s="9">
        <f t="shared" si="1227"/>
        <v>0.000345783187330575</v>
      </c>
      <c r="CP392" s="144">
        <f t="shared" si="1227"/>
        <v>0</v>
      </c>
      <c r="CQ392" s="144">
        <f t="shared" si="1227"/>
        <v>0</v>
      </c>
      <c r="CR392" s="144">
        <f t="shared" si="1227"/>
        <v>0</v>
      </c>
      <c r="CS392" s="144">
        <f t="shared" si="1227"/>
        <v>0</v>
      </c>
      <c r="CT392" s="144">
        <f t="shared" si="1227"/>
        <v>0</v>
      </c>
      <c r="CU392" s="144">
        <f t="shared" si="1227"/>
        <v>0</v>
      </c>
      <c r="CV392" s="144">
        <f t="shared" si="1227"/>
        <v>0</v>
      </c>
      <c r="CW392" s="144">
        <f t="shared" si="1227"/>
        <v>0</v>
      </c>
      <c r="CX392" s="144">
        <f t="shared" si="1227"/>
        <v>0</v>
      </c>
      <c r="CY392" s="144">
        <f t="shared" si="1227"/>
        <v>0</v>
      </c>
      <c r="CZ392" s="144">
        <f t="shared" si="1227"/>
        <v>0</v>
      </c>
      <c r="DA392" s="144">
        <f t="shared" si="1227"/>
        <v>0</v>
      </c>
      <c r="DB392" s="9">
        <f t="shared" si="1227"/>
        <v>0</v>
      </c>
      <c r="DC392" s="144">
        <f t="shared" si="1227"/>
        <v>0</v>
      </c>
      <c r="DD392" s="144">
        <f t="shared" si="1227"/>
        <v>0</v>
      </c>
      <c r="DE392" s="144">
        <f t="shared" si="1227"/>
        <v>0</v>
      </c>
      <c r="DF392" s="144">
        <f t="shared" si="1227"/>
        <v>0</v>
      </c>
      <c r="DG392" s="144">
        <f t="shared" si="1227"/>
        <v>0</v>
      </c>
      <c r="DH392" s="144">
        <f t="shared" si="1227"/>
        <v>0.00434916011662355</v>
      </c>
      <c r="DI392" s="144">
        <f t="shared" si="1227"/>
        <v>0.0025165121778307</v>
      </c>
      <c r="DJ392" s="144">
        <f t="shared" si="1227"/>
        <v>0</v>
      </c>
      <c r="DK392" s="144">
        <f t="shared" si="1227"/>
        <v>0</v>
      </c>
      <c r="DL392" s="144">
        <f t="shared" si="1227"/>
        <v>0</v>
      </c>
      <c r="DM392" s="144">
        <f t="shared" si="1227"/>
        <v>0</v>
      </c>
      <c r="DN392" s="144">
        <f t="shared" si="1227"/>
        <v>0</v>
      </c>
      <c r="DO392" s="9">
        <f t="shared" si="1227"/>
        <v>0.000506645930533872</v>
      </c>
      <c r="DP392" s="144">
        <f t="shared" si="1227"/>
        <v>0</v>
      </c>
      <c r="DQ392" s="144">
        <f t="shared" si="1227"/>
        <v>0</v>
      </c>
      <c r="DR392" s="144">
        <f t="shared" si="1227"/>
        <v>0</v>
      </c>
      <c r="DS392" s="144">
        <f t="shared" si="1227"/>
        <v>0</v>
      </c>
      <c r="DT392" s="144">
        <f t="shared" si="1227"/>
        <v>0</v>
      </c>
      <c r="DU392" s="144">
        <f t="shared" si="1227"/>
        <v>0.00184502303746269</v>
      </c>
      <c r="DV392" s="144">
        <f t="shared" si="1227"/>
        <v>0.00177882556691539</v>
      </c>
      <c r="DW392" s="144">
        <f t="shared" si="1227"/>
        <v>0.000867732528404625</v>
      </c>
      <c r="DX392" s="144">
        <f t="shared" si="1227"/>
        <v>0</v>
      </c>
      <c r="DY392" s="144">
        <f t="shared" si="1227"/>
        <v>0</v>
      </c>
      <c r="DZ392" s="144">
        <f t="shared" si="1227"/>
        <v>0</v>
      </c>
      <c r="EA392" s="144">
        <f t="shared" ref="EA392:EB392" si="1228">EA180/EA$211</f>
        <v>0</v>
      </c>
      <c r="EB392" s="117">
        <f t="shared" si="1228"/>
        <v>0.00034312672886828</v>
      </c>
      <c r="EC392" s="118"/>
      <c r="ED392" s="117">
        <f t="shared" ref="ED392:FB392" si="1229">ED180/ED$211</f>
        <v>0</v>
      </c>
      <c r="EE392" s="117">
        <f t="shared" si="1229"/>
        <v>0</v>
      </c>
      <c r="EF392" s="117">
        <f t="shared" si="1229"/>
        <v>0</v>
      </c>
      <c r="EG392" s="117" t="e">
        <f t="shared" si="1229"/>
        <v>#DIV/0!</v>
      </c>
      <c r="EH392" s="117" t="e">
        <f t="shared" si="1229"/>
        <v>#DIV/0!</v>
      </c>
      <c r="EI392" s="117" t="e">
        <f t="shared" si="1229"/>
        <v>#DIV/0!</v>
      </c>
      <c r="EJ392" s="117" t="e">
        <f t="shared" si="1229"/>
        <v>#DIV/0!</v>
      </c>
      <c r="EK392" s="117" t="e">
        <f t="shared" si="1229"/>
        <v>#DIV/0!</v>
      </c>
      <c r="EL392" s="117" t="e">
        <f t="shared" si="1229"/>
        <v>#DIV/0!</v>
      </c>
      <c r="EM392" s="117" t="e">
        <f t="shared" si="1229"/>
        <v>#DIV/0!</v>
      </c>
      <c r="EN392" s="117" t="e">
        <f t="shared" si="1229"/>
        <v>#DIV/0!</v>
      </c>
      <c r="EO392" s="116">
        <f t="shared" si="1229"/>
        <v>0</v>
      </c>
      <c r="EP392" s="117">
        <f t="shared" si="1229"/>
        <v>0</v>
      </c>
      <c r="EQ392" s="117">
        <f t="shared" si="1229"/>
        <v>0</v>
      </c>
      <c r="ER392" s="117">
        <f t="shared" si="1229"/>
        <v>0</v>
      </c>
      <c r="ES392" s="117">
        <f t="shared" si="1229"/>
        <v>0</v>
      </c>
      <c r="ET392" s="117">
        <f t="shared" si="1229"/>
        <v>0.0011776052509859</v>
      </c>
      <c r="EU392" s="117">
        <f t="shared" si="1229"/>
        <v>0.0042772613629841</v>
      </c>
      <c r="EV392" s="117">
        <f t="shared" si="1229"/>
        <v>0.00249850865001815</v>
      </c>
      <c r="EW392" s="117">
        <f t="shared" si="1229"/>
        <v>0.00071555320480811</v>
      </c>
      <c r="EX392" s="117">
        <f t="shared" si="1229"/>
        <v>0.00207937674277755</v>
      </c>
      <c r="EY392" s="117">
        <f t="shared" si="1229"/>
        <v>0.00088231591688696</v>
      </c>
      <c r="EZ392" s="117">
        <f t="shared" si="1229"/>
        <v>0</v>
      </c>
      <c r="FA392" s="117">
        <f t="shared" si="1229"/>
        <v>0</v>
      </c>
      <c r="FB392" s="117">
        <f t="shared" si="1229"/>
        <v>0.000938353441500994</v>
      </c>
      <c r="FC392" s="118"/>
      <c r="FD392" s="117"/>
      <c r="FE392" s="117"/>
      <c r="FF392" s="117"/>
      <c r="FG392" s="117"/>
      <c r="FH392" s="117"/>
      <c r="FI392" s="117"/>
      <c r="FJ392" s="117"/>
      <c r="FK392" s="117" t="e">
        <f t="shared" ref="FK392:GB392" si="1230">FK180/FK$211</f>
        <v>#DIV/0!</v>
      </c>
      <c r="FL392" s="117" t="e">
        <f t="shared" si="1230"/>
        <v>#DIV/0!</v>
      </c>
      <c r="FM392" s="117" t="e">
        <f t="shared" si="1230"/>
        <v>#DIV/0!</v>
      </c>
      <c r="FN392" s="117" t="e">
        <f t="shared" si="1230"/>
        <v>#DIV/0!</v>
      </c>
      <c r="FO392" s="9" t="e">
        <f t="shared" si="1230"/>
        <v>#DIV/0!</v>
      </c>
      <c r="FP392" s="118">
        <f t="shared" si="1230"/>
        <v>0</v>
      </c>
      <c r="FQ392" s="117">
        <f t="shared" si="1230"/>
        <v>0</v>
      </c>
      <c r="FR392" s="117">
        <f t="shared" si="1230"/>
        <v>0</v>
      </c>
      <c r="FS392" s="117">
        <f t="shared" si="1230"/>
        <v>0</v>
      </c>
      <c r="FT392" s="117">
        <f t="shared" si="1230"/>
        <v>0</v>
      </c>
      <c r="FU392" s="117">
        <f t="shared" si="1230"/>
        <v>0</v>
      </c>
      <c r="FV392" s="117">
        <f t="shared" si="1230"/>
        <v>0</v>
      </c>
      <c r="FW392" s="117">
        <f t="shared" si="1230"/>
        <v>0</v>
      </c>
      <c r="FX392" s="117">
        <f t="shared" si="1230"/>
        <v>0</v>
      </c>
      <c r="FY392" s="117">
        <f t="shared" si="1230"/>
        <v>0</v>
      </c>
      <c r="FZ392" s="117">
        <f t="shared" si="1230"/>
        <v>0</v>
      </c>
      <c r="GA392" s="117">
        <f t="shared" si="1230"/>
        <v>0</v>
      </c>
      <c r="GB392" s="116">
        <f t="shared" si="1230"/>
        <v>0</v>
      </c>
    </row>
    <row r="393" spans="1:184">
      <c r="A393" s="147" t="s">
        <v>352</v>
      </c>
      <c r="B393" s="160" t="e">
        <f t="shared" si="997"/>
        <v>#DIV/0!</v>
      </c>
      <c r="C393" s="117">
        <f t="shared" ref="C393:BN393" si="1231">C181/C$211</f>
        <v>0</v>
      </c>
      <c r="D393" s="117">
        <f t="shared" si="1231"/>
        <v>0</v>
      </c>
      <c r="E393" s="117">
        <f t="shared" si="1231"/>
        <v>0</v>
      </c>
      <c r="F393" s="117">
        <f t="shared" si="1231"/>
        <v>0</v>
      </c>
      <c r="G393" s="117">
        <f t="shared" si="1231"/>
        <v>0</v>
      </c>
      <c r="H393" s="117">
        <f t="shared" si="1231"/>
        <v>0</v>
      </c>
      <c r="I393" s="117">
        <f t="shared" si="1231"/>
        <v>0</v>
      </c>
      <c r="J393" s="117">
        <f t="shared" si="1231"/>
        <v>0</v>
      </c>
      <c r="K393" s="117">
        <f t="shared" si="1231"/>
        <v>0</v>
      </c>
      <c r="L393" s="117">
        <f t="shared" si="1231"/>
        <v>0</v>
      </c>
      <c r="M393" s="117">
        <f t="shared" si="1231"/>
        <v>0</v>
      </c>
      <c r="N393" s="117">
        <f t="shared" si="1231"/>
        <v>0</v>
      </c>
      <c r="O393" s="9">
        <f t="shared" si="1231"/>
        <v>0</v>
      </c>
      <c r="P393" s="117">
        <f t="shared" si="1231"/>
        <v>0</v>
      </c>
      <c r="Q393" s="117">
        <f t="shared" si="1231"/>
        <v>0</v>
      </c>
      <c r="R393" s="117">
        <f t="shared" si="1231"/>
        <v>0</v>
      </c>
      <c r="S393" s="117">
        <f t="shared" si="1231"/>
        <v>0</v>
      </c>
      <c r="T393" s="117">
        <f t="shared" si="1231"/>
        <v>0</v>
      </c>
      <c r="U393" s="117">
        <f t="shared" si="1231"/>
        <v>0</v>
      </c>
      <c r="V393" s="117">
        <f t="shared" si="1231"/>
        <v>0</v>
      </c>
      <c r="W393" s="117">
        <f t="shared" si="1231"/>
        <v>0</v>
      </c>
      <c r="X393" s="117">
        <f t="shared" si="1231"/>
        <v>0</v>
      </c>
      <c r="Y393" s="117">
        <f t="shared" si="1231"/>
        <v>0</v>
      </c>
      <c r="Z393" s="117">
        <f t="shared" si="1231"/>
        <v>0</v>
      </c>
      <c r="AA393" s="117">
        <f t="shared" si="1231"/>
        <v>0</v>
      </c>
      <c r="AB393" s="9">
        <f t="shared" si="1231"/>
        <v>0</v>
      </c>
      <c r="AC393" s="117">
        <f t="shared" si="1231"/>
        <v>0</v>
      </c>
      <c r="AD393" s="117">
        <f t="shared" si="1231"/>
        <v>0</v>
      </c>
      <c r="AE393" s="117">
        <f t="shared" si="1231"/>
        <v>0</v>
      </c>
      <c r="AF393" s="117">
        <f t="shared" si="1231"/>
        <v>0</v>
      </c>
      <c r="AG393" s="117">
        <f t="shared" si="1231"/>
        <v>0</v>
      </c>
      <c r="AH393" s="117">
        <f t="shared" si="1231"/>
        <v>0</v>
      </c>
      <c r="AI393" s="117">
        <f t="shared" si="1231"/>
        <v>0</v>
      </c>
      <c r="AJ393" s="117">
        <f t="shared" si="1231"/>
        <v>0</v>
      </c>
      <c r="AK393" s="117">
        <f t="shared" si="1231"/>
        <v>0</v>
      </c>
      <c r="AL393" s="117">
        <f t="shared" si="1231"/>
        <v>0</v>
      </c>
      <c r="AM393" s="117">
        <f t="shared" si="1231"/>
        <v>0</v>
      </c>
      <c r="AN393" s="117">
        <f t="shared" si="1231"/>
        <v>0</v>
      </c>
      <c r="AO393" s="9">
        <f t="shared" si="1231"/>
        <v>0</v>
      </c>
      <c r="AP393" s="144">
        <f t="shared" si="1231"/>
        <v>0</v>
      </c>
      <c r="AQ393" s="144">
        <f t="shared" si="1231"/>
        <v>0</v>
      </c>
      <c r="AR393" s="144">
        <f t="shared" si="1231"/>
        <v>0</v>
      </c>
      <c r="AS393" s="144">
        <f t="shared" si="1231"/>
        <v>0</v>
      </c>
      <c r="AT393" s="144">
        <f t="shared" si="1231"/>
        <v>0</v>
      </c>
      <c r="AU393" s="144">
        <f t="shared" si="1231"/>
        <v>0</v>
      </c>
      <c r="AV393" s="144">
        <f t="shared" si="1231"/>
        <v>0</v>
      </c>
      <c r="AW393" s="144">
        <f t="shared" si="1231"/>
        <v>0</v>
      </c>
      <c r="AX393" s="144">
        <f t="shared" si="1231"/>
        <v>0</v>
      </c>
      <c r="AY393" s="144">
        <f t="shared" si="1231"/>
        <v>0</v>
      </c>
      <c r="AZ393" s="144">
        <f t="shared" si="1231"/>
        <v>0</v>
      </c>
      <c r="BA393" s="144">
        <f t="shared" si="1231"/>
        <v>0</v>
      </c>
      <c r="BB393" s="9">
        <f t="shared" si="1231"/>
        <v>0</v>
      </c>
      <c r="BC393" s="144">
        <f t="shared" si="1231"/>
        <v>0</v>
      </c>
      <c r="BD393" s="144">
        <f t="shared" si="1231"/>
        <v>0</v>
      </c>
      <c r="BE393" s="144">
        <f t="shared" si="1231"/>
        <v>0</v>
      </c>
      <c r="BF393" s="144">
        <f t="shared" si="1231"/>
        <v>0</v>
      </c>
      <c r="BG393" s="144">
        <f t="shared" si="1231"/>
        <v>0</v>
      </c>
      <c r="BH393" s="144">
        <f t="shared" si="1231"/>
        <v>0</v>
      </c>
      <c r="BI393" s="144">
        <f t="shared" si="1231"/>
        <v>0</v>
      </c>
      <c r="BJ393" s="144">
        <f t="shared" si="1231"/>
        <v>0</v>
      </c>
      <c r="BK393" s="144">
        <f t="shared" si="1231"/>
        <v>0</v>
      </c>
      <c r="BL393" s="144">
        <f t="shared" si="1231"/>
        <v>0</v>
      </c>
      <c r="BM393" s="144">
        <f t="shared" si="1231"/>
        <v>0</v>
      </c>
      <c r="BN393" s="144">
        <f t="shared" si="1231"/>
        <v>0</v>
      </c>
      <c r="BO393" s="9">
        <f t="shared" ref="BO393:DZ393" si="1232">BO181/BO$211</f>
        <v>0</v>
      </c>
      <c r="BP393" s="144">
        <f t="shared" si="1232"/>
        <v>0</v>
      </c>
      <c r="BQ393" s="144">
        <f t="shared" si="1232"/>
        <v>0</v>
      </c>
      <c r="BR393" s="144">
        <f t="shared" si="1232"/>
        <v>0</v>
      </c>
      <c r="BS393" s="144">
        <f t="shared" si="1232"/>
        <v>0</v>
      </c>
      <c r="BT393" s="144">
        <f t="shared" si="1232"/>
        <v>0</v>
      </c>
      <c r="BU393" s="144">
        <f t="shared" si="1232"/>
        <v>0</v>
      </c>
      <c r="BV393" s="144">
        <f t="shared" si="1232"/>
        <v>0</v>
      </c>
      <c r="BW393" s="144">
        <f t="shared" si="1232"/>
        <v>0</v>
      </c>
      <c r="BX393" s="144">
        <f t="shared" si="1232"/>
        <v>0</v>
      </c>
      <c r="BY393" s="144">
        <f t="shared" si="1232"/>
        <v>0</v>
      </c>
      <c r="BZ393" s="144">
        <f t="shared" si="1232"/>
        <v>0</v>
      </c>
      <c r="CA393" s="144">
        <f t="shared" si="1232"/>
        <v>0</v>
      </c>
      <c r="CB393" s="9">
        <f t="shared" si="1232"/>
        <v>0</v>
      </c>
      <c r="CC393" s="144">
        <f t="shared" si="1232"/>
        <v>0</v>
      </c>
      <c r="CD393" s="144">
        <f t="shared" si="1232"/>
        <v>0</v>
      </c>
      <c r="CE393" s="144">
        <f t="shared" si="1232"/>
        <v>0</v>
      </c>
      <c r="CF393" s="144">
        <f t="shared" si="1232"/>
        <v>0</v>
      </c>
      <c r="CG393" s="144">
        <f t="shared" si="1232"/>
        <v>0</v>
      </c>
      <c r="CH393" s="144">
        <f t="shared" si="1232"/>
        <v>0</v>
      </c>
      <c r="CI393" s="144">
        <f t="shared" si="1232"/>
        <v>0</v>
      </c>
      <c r="CJ393" s="144">
        <f t="shared" si="1232"/>
        <v>0</v>
      </c>
      <c r="CK393" s="144">
        <f t="shared" si="1232"/>
        <v>0</v>
      </c>
      <c r="CL393" s="144">
        <f t="shared" si="1232"/>
        <v>0</v>
      </c>
      <c r="CM393" s="144">
        <f t="shared" si="1232"/>
        <v>0</v>
      </c>
      <c r="CN393" s="144">
        <f t="shared" si="1232"/>
        <v>0</v>
      </c>
      <c r="CO393" s="9">
        <f t="shared" si="1232"/>
        <v>0</v>
      </c>
      <c r="CP393" s="144">
        <f t="shared" si="1232"/>
        <v>0</v>
      </c>
      <c r="CQ393" s="144">
        <f t="shared" si="1232"/>
        <v>0</v>
      </c>
      <c r="CR393" s="144">
        <f t="shared" si="1232"/>
        <v>0</v>
      </c>
      <c r="CS393" s="144">
        <f t="shared" si="1232"/>
        <v>0</v>
      </c>
      <c r="CT393" s="144">
        <f t="shared" si="1232"/>
        <v>0</v>
      </c>
      <c r="CU393" s="144">
        <f t="shared" si="1232"/>
        <v>0</v>
      </c>
      <c r="CV393" s="144">
        <f t="shared" si="1232"/>
        <v>0</v>
      </c>
      <c r="CW393" s="144">
        <f t="shared" si="1232"/>
        <v>0</v>
      </c>
      <c r="CX393" s="144">
        <f t="shared" si="1232"/>
        <v>0</v>
      </c>
      <c r="CY393" s="144">
        <f t="shared" si="1232"/>
        <v>0</v>
      </c>
      <c r="CZ393" s="144">
        <f t="shared" si="1232"/>
        <v>0</v>
      </c>
      <c r="DA393" s="144">
        <f t="shared" si="1232"/>
        <v>0</v>
      </c>
      <c r="DB393" s="9">
        <f t="shared" si="1232"/>
        <v>0</v>
      </c>
      <c r="DC393" s="144">
        <f t="shared" si="1232"/>
        <v>0</v>
      </c>
      <c r="DD393" s="144">
        <f t="shared" si="1232"/>
        <v>0</v>
      </c>
      <c r="DE393" s="144">
        <f t="shared" si="1232"/>
        <v>0</v>
      </c>
      <c r="DF393" s="144">
        <f t="shared" si="1232"/>
        <v>0</v>
      </c>
      <c r="DG393" s="144">
        <f t="shared" si="1232"/>
        <v>0</v>
      </c>
      <c r="DH393" s="144">
        <f t="shared" si="1232"/>
        <v>0</v>
      </c>
      <c r="DI393" s="144">
        <f t="shared" si="1232"/>
        <v>0</v>
      </c>
      <c r="DJ393" s="144">
        <f t="shared" si="1232"/>
        <v>0</v>
      </c>
      <c r="DK393" s="144">
        <f t="shared" si="1232"/>
        <v>0</v>
      </c>
      <c r="DL393" s="144">
        <f t="shared" si="1232"/>
        <v>0</v>
      </c>
      <c r="DM393" s="144">
        <f t="shared" si="1232"/>
        <v>0</v>
      </c>
      <c r="DN393" s="144">
        <f t="shared" si="1232"/>
        <v>0</v>
      </c>
      <c r="DO393" s="9">
        <f t="shared" si="1232"/>
        <v>0</v>
      </c>
      <c r="DP393" s="144">
        <f t="shared" si="1232"/>
        <v>0</v>
      </c>
      <c r="DQ393" s="144">
        <f t="shared" si="1232"/>
        <v>0</v>
      </c>
      <c r="DR393" s="144">
        <f t="shared" si="1232"/>
        <v>0</v>
      </c>
      <c r="DS393" s="144">
        <f t="shared" si="1232"/>
        <v>0</v>
      </c>
      <c r="DT393" s="144">
        <f t="shared" si="1232"/>
        <v>0</v>
      </c>
      <c r="DU393" s="144">
        <f t="shared" si="1232"/>
        <v>0</v>
      </c>
      <c r="DV393" s="144">
        <f t="shared" si="1232"/>
        <v>0</v>
      </c>
      <c r="DW393" s="144">
        <f t="shared" si="1232"/>
        <v>0</v>
      </c>
      <c r="DX393" s="144">
        <f t="shared" si="1232"/>
        <v>0</v>
      </c>
      <c r="DY393" s="144">
        <f t="shared" si="1232"/>
        <v>0</v>
      </c>
      <c r="DZ393" s="144">
        <f t="shared" si="1232"/>
        <v>0</v>
      </c>
      <c r="EA393" s="144">
        <f t="shared" ref="EA393:EB393" si="1233">EA181/EA$211</f>
        <v>0</v>
      </c>
      <c r="EB393" s="117">
        <f t="shared" si="1233"/>
        <v>0</v>
      </c>
      <c r="EC393" s="118"/>
      <c r="ED393" s="117">
        <f t="shared" ref="ED393:FB393" si="1234">ED181/ED$211</f>
        <v>0</v>
      </c>
      <c r="EE393" s="117">
        <f t="shared" si="1234"/>
        <v>0</v>
      </c>
      <c r="EF393" s="117">
        <f t="shared" si="1234"/>
        <v>0</v>
      </c>
      <c r="EG393" s="117" t="e">
        <f t="shared" si="1234"/>
        <v>#DIV/0!</v>
      </c>
      <c r="EH393" s="117" t="e">
        <f t="shared" si="1234"/>
        <v>#DIV/0!</v>
      </c>
      <c r="EI393" s="117" t="e">
        <f t="shared" si="1234"/>
        <v>#DIV/0!</v>
      </c>
      <c r="EJ393" s="117" t="e">
        <f t="shared" si="1234"/>
        <v>#DIV/0!</v>
      </c>
      <c r="EK393" s="117" t="e">
        <f t="shared" si="1234"/>
        <v>#DIV/0!</v>
      </c>
      <c r="EL393" s="117" t="e">
        <f t="shared" si="1234"/>
        <v>#DIV/0!</v>
      </c>
      <c r="EM393" s="117" t="e">
        <f t="shared" si="1234"/>
        <v>#DIV/0!</v>
      </c>
      <c r="EN393" s="117" t="e">
        <f t="shared" si="1234"/>
        <v>#DIV/0!</v>
      </c>
      <c r="EO393" s="116">
        <f t="shared" si="1234"/>
        <v>0</v>
      </c>
      <c r="EP393" s="117">
        <f t="shared" si="1234"/>
        <v>0</v>
      </c>
      <c r="EQ393" s="117">
        <f t="shared" si="1234"/>
        <v>0</v>
      </c>
      <c r="ER393" s="117">
        <f t="shared" si="1234"/>
        <v>0</v>
      </c>
      <c r="ES393" s="117">
        <f t="shared" si="1234"/>
        <v>0</v>
      </c>
      <c r="ET393" s="117">
        <f t="shared" si="1234"/>
        <v>0</v>
      </c>
      <c r="EU393" s="117">
        <f t="shared" si="1234"/>
        <v>0</v>
      </c>
      <c r="EV393" s="117">
        <f t="shared" si="1234"/>
        <v>0</v>
      </c>
      <c r="EW393" s="117">
        <f t="shared" si="1234"/>
        <v>0</v>
      </c>
      <c r="EX393" s="117">
        <f t="shared" si="1234"/>
        <v>0</v>
      </c>
      <c r="EY393" s="117">
        <f t="shared" si="1234"/>
        <v>0</v>
      </c>
      <c r="EZ393" s="117">
        <f t="shared" si="1234"/>
        <v>0</v>
      </c>
      <c r="FA393" s="117">
        <f t="shared" si="1234"/>
        <v>0</v>
      </c>
      <c r="FB393" s="117">
        <f t="shared" si="1234"/>
        <v>0</v>
      </c>
      <c r="FC393" s="118"/>
      <c r="FD393" s="117"/>
      <c r="FE393" s="117"/>
      <c r="FF393" s="117"/>
      <c r="FG393" s="117"/>
      <c r="FH393" s="117"/>
      <c r="FI393" s="117"/>
      <c r="FJ393" s="117"/>
      <c r="FK393" s="117" t="e">
        <f t="shared" ref="FK393:GB393" si="1235">FK181/FK$211</f>
        <v>#DIV/0!</v>
      </c>
      <c r="FL393" s="117" t="e">
        <f t="shared" si="1235"/>
        <v>#DIV/0!</v>
      </c>
      <c r="FM393" s="117" t="e">
        <f t="shared" si="1235"/>
        <v>#DIV/0!</v>
      </c>
      <c r="FN393" s="117" t="e">
        <f t="shared" si="1235"/>
        <v>#DIV/0!</v>
      </c>
      <c r="FO393" s="9" t="e">
        <f t="shared" si="1235"/>
        <v>#DIV/0!</v>
      </c>
      <c r="FP393" s="118">
        <f t="shared" si="1235"/>
        <v>0</v>
      </c>
      <c r="FQ393" s="117">
        <f t="shared" si="1235"/>
        <v>0</v>
      </c>
      <c r="FR393" s="117">
        <f t="shared" si="1235"/>
        <v>0</v>
      </c>
      <c r="FS393" s="117">
        <f t="shared" si="1235"/>
        <v>0</v>
      </c>
      <c r="FT393" s="117">
        <f t="shared" si="1235"/>
        <v>0</v>
      </c>
      <c r="FU393" s="117">
        <f t="shared" si="1235"/>
        <v>0</v>
      </c>
      <c r="FV393" s="117">
        <f t="shared" si="1235"/>
        <v>0</v>
      </c>
      <c r="FW393" s="117">
        <f t="shared" si="1235"/>
        <v>0</v>
      </c>
      <c r="FX393" s="117">
        <f t="shared" si="1235"/>
        <v>0</v>
      </c>
      <c r="FY393" s="117">
        <f t="shared" si="1235"/>
        <v>0</v>
      </c>
      <c r="FZ393" s="117">
        <f t="shared" si="1235"/>
        <v>0</v>
      </c>
      <c r="GA393" s="117">
        <f t="shared" si="1235"/>
        <v>0</v>
      </c>
      <c r="GB393" s="116">
        <f t="shared" si="1235"/>
        <v>0</v>
      </c>
    </row>
    <row r="394" spans="1:184">
      <c r="A394" s="147" t="s">
        <v>353</v>
      </c>
      <c r="B394" s="160" t="e">
        <f t="shared" si="997"/>
        <v>#DIV/0!</v>
      </c>
      <c r="C394" s="117">
        <f t="shared" ref="C394:BN394" si="1236">C182/C$211</f>
        <v>0</v>
      </c>
      <c r="D394" s="117">
        <f t="shared" si="1236"/>
        <v>0</v>
      </c>
      <c r="E394" s="117">
        <f t="shared" si="1236"/>
        <v>0</v>
      </c>
      <c r="F394" s="117">
        <f t="shared" si="1236"/>
        <v>0</v>
      </c>
      <c r="G394" s="117">
        <f t="shared" si="1236"/>
        <v>0</v>
      </c>
      <c r="H394" s="117">
        <f t="shared" si="1236"/>
        <v>0</v>
      </c>
      <c r="I394" s="117">
        <f t="shared" si="1236"/>
        <v>0</v>
      </c>
      <c r="J394" s="117">
        <f t="shared" si="1236"/>
        <v>0</v>
      </c>
      <c r="K394" s="117">
        <f t="shared" si="1236"/>
        <v>0</v>
      </c>
      <c r="L394" s="117">
        <f t="shared" si="1236"/>
        <v>0</v>
      </c>
      <c r="M394" s="117">
        <f t="shared" si="1236"/>
        <v>0</v>
      </c>
      <c r="N394" s="117">
        <f t="shared" si="1236"/>
        <v>0</v>
      </c>
      <c r="O394" s="9">
        <f t="shared" si="1236"/>
        <v>0</v>
      </c>
      <c r="P394" s="117">
        <f t="shared" si="1236"/>
        <v>0</v>
      </c>
      <c r="Q394" s="117">
        <f t="shared" si="1236"/>
        <v>0</v>
      </c>
      <c r="R394" s="117">
        <f t="shared" si="1236"/>
        <v>0</v>
      </c>
      <c r="S394" s="117">
        <f t="shared" si="1236"/>
        <v>0</v>
      </c>
      <c r="T394" s="117">
        <f t="shared" si="1236"/>
        <v>0</v>
      </c>
      <c r="U394" s="117">
        <f t="shared" si="1236"/>
        <v>0</v>
      </c>
      <c r="V394" s="117">
        <f t="shared" si="1236"/>
        <v>0</v>
      </c>
      <c r="W394" s="117">
        <f t="shared" si="1236"/>
        <v>0</v>
      </c>
      <c r="X394" s="117">
        <f t="shared" si="1236"/>
        <v>0</v>
      </c>
      <c r="Y394" s="117">
        <f t="shared" si="1236"/>
        <v>0</v>
      </c>
      <c r="Z394" s="117">
        <f t="shared" si="1236"/>
        <v>0</v>
      </c>
      <c r="AA394" s="117">
        <f t="shared" si="1236"/>
        <v>0</v>
      </c>
      <c r="AB394" s="9">
        <f t="shared" si="1236"/>
        <v>0</v>
      </c>
      <c r="AC394" s="117">
        <f t="shared" si="1236"/>
        <v>0</v>
      </c>
      <c r="AD394" s="117">
        <f t="shared" si="1236"/>
        <v>0</v>
      </c>
      <c r="AE394" s="117">
        <f t="shared" si="1236"/>
        <v>0</v>
      </c>
      <c r="AF394" s="117">
        <f t="shared" si="1236"/>
        <v>0</v>
      </c>
      <c r="AG394" s="117">
        <f t="shared" si="1236"/>
        <v>0</v>
      </c>
      <c r="AH394" s="117">
        <f t="shared" si="1236"/>
        <v>0</v>
      </c>
      <c r="AI394" s="117">
        <f t="shared" si="1236"/>
        <v>0</v>
      </c>
      <c r="AJ394" s="117">
        <f t="shared" si="1236"/>
        <v>0</v>
      </c>
      <c r="AK394" s="117">
        <f t="shared" si="1236"/>
        <v>0</v>
      </c>
      <c r="AL394" s="117">
        <f t="shared" si="1236"/>
        <v>0</v>
      </c>
      <c r="AM394" s="117">
        <f t="shared" si="1236"/>
        <v>0</v>
      </c>
      <c r="AN394" s="117">
        <f t="shared" si="1236"/>
        <v>0</v>
      </c>
      <c r="AO394" s="9">
        <f t="shared" si="1236"/>
        <v>0</v>
      </c>
      <c r="AP394" s="144">
        <f t="shared" si="1236"/>
        <v>0</v>
      </c>
      <c r="AQ394" s="144">
        <f t="shared" si="1236"/>
        <v>0</v>
      </c>
      <c r="AR394" s="144">
        <f t="shared" si="1236"/>
        <v>0</v>
      </c>
      <c r="AS394" s="144">
        <f t="shared" si="1236"/>
        <v>0</v>
      </c>
      <c r="AT394" s="144">
        <f t="shared" si="1236"/>
        <v>0</v>
      </c>
      <c r="AU394" s="144">
        <f t="shared" si="1236"/>
        <v>0</v>
      </c>
      <c r="AV394" s="144">
        <f t="shared" si="1236"/>
        <v>0</v>
      </c>
      <c r="AW394" s="144">
        <f t="shared" si="1236"/>
        <v>0</v>
      </c>
      <c r="AX394" s="144">
        <f t="shared" si="1236"/>
        <v>0</v>
      </c>
      <c r="AY394" s="144">
        <f t="shared" si="1236"/>
        <v>0</v>
      </c>
      <c r="AZ394" s="144">
        <f t="shared" si="1236"/>
        <v>0</v>
      </c>
      <c r="BA394" s="144">
        <f t="shared" si="1236"/>
        <v>0</v>
      </c>
      <c r="BB394" s="9">
        <f t="shared" si="1236"/>
        <v>0</v>
      </c>
      <c r="BC394" s="144">
        <f t="shared" si="1236"/>
        <v>0</v>
      </c>
      <c r="BD394" s="144">
        <f t="shared" si="1236"/>
        <v>0</v>
      </c>
      <c r="BE394" s="144">
        <f t="shared" si="1236"/>
        <v>0</v>
      </c>
      <c r="BF394" s="144">
        <f t="shared" si="1236"/>
        <v>0</v>
      </c>
      <c r="BG394" s="144">
        <f t="shared" si="1236"/>
        <v>0</v>
      </c>
      <c r="BH394" s="144">
        <f t="shared" si="1236"/>
        <v>0</v>
      </c>
      <c r="BI394" s="144">
        <f t="shared" si="1236"/>
        <v>0</v>
      </c>
      <c r="BJ394" s="144">
        <f t="shared" si="1236"/>
        <v>0</v>
      </c>
      <c r="BK394" s="144">
        <f t="shared" si="1236"/>
        <v>0</v>
      </c>
      <c r="BL394" s="144">
        <f t="shared" si="1236"/>
        <v>0</v>
      </c>
      <c r="BM394" s="144">
        <f t="shared" si="1236"/>
        <v>0</v>
      </c>
      <c r="BN394" s="144">
        <f t="shared" si="1236"/>
        <v>0</v>
      </c>
      <c r="BO394" s="9">
        <f t="shared" ref="BO394:DZ394" si="1237">BO182/BO$211</f>
        <v>0</v>
      </c>
      <c r="BP394" s="144">
        <f t="shared" si="1237"/>
        <v>0</v>
      </c>
      <c r="BQ394" s="144">
        <f t="shared" si="1237"/>
        <v>0</v>
      </c>
      <c r="BR394" s="144">
        <f t="shared" si="1237"/>
        <v>0</v>
      </c>
      <c r="BS394" s="144">
        <f t="shared" si="1237"/>
        <v>0</v>
      </c>
      <c r="BT394" s="144">
        <f t="shared" si="1237"/>
        <v>0</v>
      </c>
      <c r="BU394" s="144">
        <f t="shared" si="1237"/>
        <v>0</v>
      </c>
      <c r="BV394" s="144">
        <f t="shared" si="1237"/>
        <v>0</v>
      </c>
      <c r="BW394" s="144">
        <f t="shared" si="1237"/>
        <v>0</v>
      </c>
      <c r="BX394" s="144">
        <f t="shared" si="1237"/>
        <v>0</v>
      </c>
      <c r="BY394" s="144">
        <f t="shared" si="1237"/>
        <v>0</v>
      </c>
      <c r="BZ394" s="144">
        <f t="shared" si="1237"/>
        <v>0</v>
      </c>
      <c r="CA394" s="144">
        <f t="shared" si="1237"/>
        <v>0</v>
      </c>
      <c r="CB394" s="9">
        <f t="shared" si="1237"/>
        <v>0</v>
      </c>
      <c r="CC394" s="144">
        <f t="shared" si="1237"/>
        <v>0</v>
      </c>
      <c r="CD394" s="144">
        <f t="shared" si="1237"/>
        <v>0</v>
      </c>
      <c r="CE394" s="144">
        <f t="shared" si="1237"/>
        <v>0</v>
      </c>
      <c r="CF394" s="144">
        <f t="shared" si="1237"/>
        <v>0</v>
      </c>
      <c r="CG394" s="144">
        <f t="shared" si="1237"/>
        <v>0</v>
      </c>
      <c r="CH394" s="144">
        <f t="shared" si="1237"/>
        <v>0</v>
      </c>
      <c r="CI394" s="144">
        <f t="shared" si="1237"/>
        <v>0</v>
      </c>
      <c r="CJ394" s="144">
        <f t="shared" si="1237"/>
        <v>0</v>
      </c>
      <c r="CK394" s="144">
        <f t="shared" si="1237"/>
        <v>0</v>
      </c>
      <c r="CL394" s="144">
        <f t="shared" si="1237"/>
        <v>0</v>
      </c>
      <c r="CM394" s="144">
        <f t="shared" si="1237"/>
        <v>0</v>
      </c>
      <c r="CN394" s="144">
        <f t="shared" si="1237"/>
        <v>0</v>
      </c>
      <c r="CO394" s="9">
        <f t="shared" si="1237"/>
        <v>0</v>
      </c>
      <c r="CP394" s="144">
        <f t="shared" si="1237"/>
        <v>0</v>
      </c>
      <c r="CQ394" s="144">
        <f t="shared" si="1237"/>
        <v>0</v>
      </c>
      <c r="CR394" s="144">
        <f t="shared" si="1237"/>
        <v>0</v>
      </c>
      <c r="CS394" s="144">
        <f t="shared" si="1237"/>
        <v>0</v>
      </c>
      <c r="CT394" s="144">
        <f t="shared" si="1237"/>
        <v>0</v>
      </c>
      <c r="CU394" s="144">
        <f t="shared" si="1237"/>
        <v>0</v>
      </c>
      <c r="CV394" s="144">
        <f t="shared" si="1237"/>
        <v>0</v>
      </c>
      <c r="CW394" s="144">
        <f t="shared" si="1237"/>
        <v>0</v>
      </c>
      <c r="CX394" s="144">
        <f t="shared" si="1237"/>
        <v>0</v>
      </c>
      <c r="CY394" s="144">
        <f t="shared" si="1237"/>
        <v>0</v>
      </c>
      <c r="CZ394" s="144">
        <f t="shared" si="1237"/>
        <v>0</v>
      </c>
      <c r="DA394" s="144">
        <f t="shared" si="1237"/>
        <v>0</v>
      </c>
      <c r="DB394" s="9">
        <f t="shared" si="1237"/>
        <v>0</v>
      </c>
      <c r="DC394" s="144">
        <f t="shared" si="1237"/>
        <v>0</v>
      </c>
      <c r="DD394" s="144">
        <f t="shared" si="1237"/>
        <v>0</v>
      </c>
      <c r="DE394" s="144">
        <f t="shared" si="1237"/>
        <v>0</v>
      </c>
      <c r="DF394" s="144">
        <f t="shared" si="1237"/>
        <v>0</v>
      </c>
      <c r="DG394" s="144">
        <f t="shared" si="1237"/>
        <v>0</v>
      </c>
      <c r="DH394" s="144">
        <f t="shared" si="1237"/>
        <v>0</v>
      </c>
      <c r="DI394" s="144">
        <f t="shared" si="1237"/>
        <v>0</v>
      </c>
      <c r="DJ394" s="144">
        <f t="shared" si="1237"/>
        <v>0</v>
      </c>
      <c r="DK394" s="144">
        <f t="shared" si="1237"/>
        <v>0</v>
      </c>
      <c r="DL394" s="144">
        <f t="shared" si="1237"/>
        <v>0</v>
      </c>
      <c r="DM394" s="144">
        <f t="shared" si="1237"/>
        <v>0</v>
      </c>
      <c r="DN394" s="144">
        <f t="shared" si="1237"/>
        <v>0</v>
      </c>
      <c r="DO394" s="9">
        <f t="shared" si="1237"/>
        <v>0</v>
      </c>
      <c r="DP394" s="144">
        <f t="shared" si="1237"/>
        <v>0</v>
      </c>
      <c r="DQ394" s="144">
        <f t="shared" si="1237"/>
        <v>0</v>
      </c>
      <c r="DR394" s="144">
        <f t="shared" si="1237"/>
        <v>0</v>
      </c>
      <c r="DS394" s="144">
        <f t="shared" si="1237"/>
        <v>0</v>
      </c>
      <c r="DT394" s="144">
        <f t="shared" si="1237"/>
        <v>0</v>
      </c>
      <c r="DU394" s="144">
        <f t="shared" si="1237"/>
        <v>0</v>
      </c>
      <c r="DV394" s="144">
        <f t="shared" si="1237"/>
        <v>0</v>
      </c>
      <c r="DW394" s="144">
        <f t="shared" si="1237"/>
        <v>0</v>
      </c>
      <c r="DX394" s="144">
        <f t="shared" si="1237"/>
        <v>0</v>
      </c>
      <c r="DY394" s="144">
        <f t="shared" si="1237"/>
        <v>0</v>
      </c>
      <c r="DZ394" s="144">
        <f t="shared" si="1237"/>
        <v>0</v>
      </c>
      <c r="EA394" s="144">
        <f t="shared" ref="EA394:EB394" si="1238">EA182/EA$211</f>
        <v>0</v>
      </c>
      <c r="EB394" s="117">
        <f t="shared" si="1238"/>
        <v>0</v>
      </c>
      <c r="EC394" s="118"/>
      <c r="ED394" s="117">
        <f t="shared" ref="ED394:FB394" si="1239">ED182/ED$211</f>
        <v>0</v>
      </c>
      <c r="EE394" s="117">
        <f t="shared" si="1239"/>
        <v>0</v>
      </c>
      <c r="EF394" s="117">
        <f t="shared" si="1239"/>
        <v>0</v>
      </c>
      <c r="EG394" s="117" t="e">
        <f t="shared" si="1239"/>
        <v>#DIV/0!</v>
      </c>
      <c r="EH394" s="117" t="e">
        <f t="shared" si="1239"/>
        <v>#DIV/0!</v>
      </c>
      <c r="EI394" s="117" t="e">
        <f t="shared" si="1239"/>
        <v>#DIV/0!</v>
      </c>
      <c r="EJ394" s="117" t="e">
        <f t="shared" si="1239"/>
        <v>#DIV/0!</v>
      </c>
      <c r="EK394" s="117" t="e">
        <f t="shared" si="1239"/>
        <v>#DIV/0!</v>
      </c>
      <c r="EL394" s="117" t="e">
        <f t="shared" si="1239"/>
        <v>#DIV/0!</v>
      </c>
      <c r="EM394" s="117" t="e">
        <f t="shared" si="1239"/>
        <v>#DIV/0!</v>
      </c>
      <c r="EN394" s="117" t="e">
        <f t="shared" si="1239"/>
        <v>#DIV/0!</v>
      </c>
      <c r="EO394" s="116">
        <f t="shared" si="1239"/>
        <v>0</v>
      </c>
      <c r="EP394" s="117">
        <f t="shared" si="1239"/>
        <v>0</v>
      </c>
      <c r="EQ394" s="117">
        <f t="shared" si="1239"/>
        <v>0</v>
      </c>
      <c r="ER394" s="117">
        <f t="shared" si="1239"/>
        <v>0</v>
      </c>
      <c r="ES394" s="117">
        <f t="shared" si="1239"/>
        <v>0</v>
      </c>
      <c r="ET394" s="117">
        <f t="shared" si="1239"/>
        <v>0</v>
      </c>
      <c r="EU394" s="117">
        <f t="shared" si="1239"/>
        <v>0</v>
      </c>
      <c r="EV394" s="117">
        <f t="shared" si="1239"/>
        <v>0</v>
      </c>
      <c r="EW394" s="117">
        <f t="shared" si="1239"/>
        <v>0</v>
      </c>
      <c r="EX394" s="117">
        <f t="shared" si="1239"/>
        <v>0</v>
      </c>
      <c r="EY394" s="117">
        <f t="shared" si="1239"/>
        <v>0</v>
      </c>
      <c r="EZ394" s="117">
        <f t="shared" si="1239"/>
        <v>0</v>
      </c>
      <c r="FA394" s="117">
        <f t="shared" si="1239"/>
        <v>0</v>
      </c>
      <c r="FB394" s="117">
        <f t="shared" si="1239"/>
        <v>0</v>
      </c>
      <c r="FC394" s="118"/>
      <c r="FD394" s="117"/>
      <c r="FE394" s="117"/>
      <c r="FF394" s="117"/>
      <c r="FG394" s="117"/>
      <c r="FH394" s="117"/>
      <c r="FI394" s="117"/>
      <c r="FJ394" s="117"/>
      <c r="FK394" s="117" t="e">
        <f t="shared" ref="FK394:GB394" si="1240">FK182/FK$211</f>
        <v>#DIV/0!</v>
      </c>
      <c r="FL394" s="117" t="e">
        <f t="shared" si="1240"/>
        <v>#DIV/0!</v>
      </c>
      <c r="FM394" s="117" t="e">
        <f t="shared" si="1240"/>
        <v>#DIV/0!</v>
      </c>
      <c r="FN394" s="117" t="e">
        <f t="shared" si="1240"/>
        <v>#DIV/0!</v>
      </c>
      <c r="FO394" s="9" t="e">
        <f t="shared" si="1240"/>
        <v>#DIV/0!</v>
      </c>
      <c r="FP394" s="118">
        <f t="shared" si="1240"/>
        <v>0</v>
      </c>
      <c r="FQ394" s="117">
        <f t="shared" si="1240"/>
        <v>0</v>
      </c>
      <c r="FR394" s="117">
        <f t="shared" si="1240"/>
        <v>0</v>
      </c>
      <c r="FS394" s="117">
        <f t="shared" si="1240"/>
        <v>0</v>
      </c>
      <c r="FT394" s="117">
        <f t="shared" si="1240"/>
        <v>0</v>
      </c>
      <c r="FU394" s="117">
        <f t="shared" si="1240"/>
        <v>0</v>
      </c>
      <c r="FV394" s="117">
        <f t="shared" si="1240"/>
        <v>0</v>
      </c>
      <c r="FW394" s="117">
        <f t="shared" si="1240"/>
        <v>0</v>
      </c>
      <c r="FX394" s="117">
        <f t="shared" si="1240"/>
        <v>0</v>
      </c>
      <c r="FY394" s="117">
        <f t="shared" si="1240"/>
        <v>0</v>
      </c>
      <c r="FZ394" s="117">
        <f t="shared" si="1240"/>
        <v>0</v>
      </c>
      <c r="GA394" s="117">
        <f t="shared" si="1240"/>
        <v>0</v>
      </c>
      <c r="GB394" s="116">
        <f t="shared" si="1240"/>
        <v>0</v>
      </c>
    </row>
    <row r="395" spans="1:184">
      <c r="A395" s="147" t="s">
        <v>354</v>
      </c>
      <c r="B395" s="160" t="e">
        <f t="shared" si="997"/>
        <v>#DIV/0!</v>
      </c>
      <c r="C395" s="117">
        <f t="shared" ref="C395:BN395" si="1241">C183/C$211</f>
        <v>6.42113374136151e-5</v>
      </c>
      <c r="D395" s="117">
        <f t="shared" si="1241"/>
        <v>1.19345008044056e-5</v>
      </c>
      <c r="E395" s="117">
        <f t="shared" si="1241"/>
        <v>9.40747163518494e-6</v>
      </c>
      <c r="F395" s="117">
        <f t="shared" si="1241"/>
        <v>1.43483268167434e-5</v>
      </c>
      <c r="G395" s="117">
        <f t="shared" si="1241"/>
        <v>1.17823090710646e-5</v>
      </c>
      <c r="H395" s="117">
        <f t="shared" si="1241"/>
        <v>7.86140047147832e-6</v>
      </c>
      <c r="I395" s="117">
        <f t="shared" si="1241"/>
        <v>7.46501064366925e-6</v>
      </c>
      <c r="J395" s="117">
        <f t="shared" si="1241"/>
        <v>0</v>
      </c>
      <c r="K395" s="117">
        <f t="shared" si="1241"/>
        <v>0</v>
      </c>
      <c r="L395" s="117">
        <f t="shared" si="1241"/>
        <v>0</v>
      </c>
      <c r="M395" s="117">
        <f t="shared" si="1241"/>
        <v>0</v>
      </c>
      <c r="N395" s="117">
        <f t="shared" si="1241"/>
        <v>0</v>
      </c>
      <c r="O395" s="9">
        <f t="shared" si="1241"/>
        <v>1.23570137600611e-5</v>
      </c>
      <c r="P395" s="117">
        <f t="shared" si="1241"/>
        <v>0</v>
      </c>
      <c r="Q395" s="117">
        <f t="shared" si="1241"/>
        <v>0</v>
      </c>
      <c r="R395" s="117">
        <f t="shared" si="1241"/>
        <v>0</v>
      </c>
      <c r="S395" s="117">
        <f t="shared" si="1241"/>
        <v>0</v>
      </c>
      <c r="T395" s="117">
        <f t="shared" si="1241"/>
        <v>0</v>
      </c>
      <c r="U395" s="117">
        <f t="shared" si="1241"/>
        <v>0</v>
      </c>
      <c r="V395" s="117">
        <f t="shared" si="1241"/>
        <v>0</v>
      </c>
      <c r="W395" s="117">
        <f t="shared" si="1241"/>
        <v>0</v>
      </c>
      <c r="X395" s="117">
        <f t="shared" si="1241"/>
        <v>0</v>
      </c>
      <c r="Y395" s="117">
        <f t="shared" si="1241"/>
        <v>0</v>
      </c>
      <c r="Z395" s="117">
        <f t="shared" si="1241"/>
        <v>0</v>
      </c>
      <c r="AA395" s="117">
        <f t="shared" si="1241"/>
        <v>0</v>
      </c>
      <c r="AB395" s="9">
        <f t="shared" si="1241"/>
        <v>0</v>
      </c>
      <c r="AC395" s="117">
        <f t="shared" si="1241"/>
        <v>0.000593937631487859</v>
      </c>
      <c r="AD395" s="117">
        <f t="shared" si="1241"/>
        <v>0</v>
      </c>
      <c r="AE395" s="117">
        <f t="shared" si="1241"/>
        <v>0</v>
      </c>
      <c r="AF395" s="117">
        <f t="shared" si="1241"/>
        <v>0</v>
      </c>
      <c r="AG395" s="117">
        <f t="shared" si="1241"/>
        <v>0</v>
      </c>
      <c r="AH395" s="117">
        <f t="shared" si="1241"/>
        <v>0</v>
      </c>
      <c r="AI395" s="117">
        <f t="shared" si="1241"/>
        <v>0</v>
      </c>
      <c r="AJ395" s="117">
        <f t="shared" si="1241"/>
        <v>0</v>
      </c>
      <c r="AK395" s="117">
        <f t="shared" si="1241"/>
        <v>0</v>
      </c>
      <c r="AL395" s="117">
        <f t="shared" si="1241"/>
        <v>0</v>
      </c>
      <c r="AM395" s="117">
        <f t="shared" si="1241"/>
        <v>0</v>
      </c>
      <c r="AN395" s="117">
        <f t="shared" si="1241"/>
        <v>0</v>
      </c>
      <c r="AO395" s="9">
        <f t="shared" si="1241"/>
        <v>4.97654917518985e-5</v>
      </c>
      <c r="AP395" s="144">
        <f t="shared" si="1241"/>
        <v>0</v>
      </c>
      <c r="AQ395" s="144">
        <f t="shared" si="1241"/>
        <v>0</v>
      </c>
      <c r="AR395" s="144">
        <f t="shared" si="1241"/>
        <v>0</v>
      </c>
      <c r="AS395" s="144">
        <f t="shared" si="1241"/>
        <v>0</v>
      </c>
      <c r="AT395" s="144">
        <f t="shared" si="1241"/>
        <v>0</v>
      </c>
      <c r="AU395" s="144">
        <f t="shared" si="1241"/>
        <v>0</v>
      </c>
      <c r="AV395" s="144">
        <f t="shared" si="1241"/>
        <v>0</v>
      </c>
      <c r="AW395" s="144">
        <f t="shared" si="1241"/>
        <v>0</v>
      </c>
      <c r="AX395" s="144">
        <f t="shared" si="1241"/>
        <v>0</v>
      </c>
      <c r="AY395" s="144">
        <f t="shared" si="1241"/>
        <v>0</v>
      </c>
      <c r="AZ395" s="144">
        <f t="shared" si="1241"/>
        <v>0</v>
      </c>
      <c r="BA395" s="144">
        <f t="shared" si="1241"/>
        <v>0</v>
      </c>
      <c r="BB395" s="9">
        <f t="shared" si="1241"/>
        <v>0</v>
      </c>
      <c r="BC395" s="144">
        <f t="shared" si="1241"/>
        <v>0</v>
      </c>
      <c r="BD395" s="144">
        <f t="shared" si="1241"/>
        <v>0</v>
      </c>
      <c r="BE395" s="144">
        <f t="shared" si="1241"/>
        <v>0</v>
      </c>
      <c r="BF395" s="144">
        <f t="shared" si="1241"/>
        <v>0</v>
      </c>
      <c r="BG395" s="144">
        <f t="shared" si="1241"/>
        <v>0</v>
      </c>
      <c r="BH395" s="144">
        <f t="shared" si="1241"/>
        <v>0</v>
      </c>
      <c r="BI395" s="144">
        <f t="shared" si="1241"/>
        <v>0</v>
      </c>
      <c r="BJ395" s="144">
        <f t="shared" si="1241"/>
        <v>0</v>
      </c>
      <c r="BK395" s="144">
        <f t="shared" si="1241"/>
        <v>0</v>
      </c>
      <c r="BL395" s="144">
        <f t="shared" si="1241"/>
        <v>0</v>
      </c>
      <c r="BM395" s="144">
        <f t="shared" si="1241"/>
        <v>0</v>
      </c>
      <c r="BN395" s="144">
        <f t="shared" si="1241"/>
        <v>0</v>
      </c>
      <c r="BO395" s="9">
        <f t="shared" ref="BO395:DZ395" si="1242">BO183/BO$211</f>
        <v>0</v>
      </c>
      <c r="BP395" s="144">
        <f t="shared" si="1242"/>
        <v>0</v>
      </c>
      <c r="BQ395" s="144">
        <f t="shared" si="1242"/>
        <v>0</v>
      </c>
      <c r="BR395" s="144">
        <f t="shared" si="1242"/>
        <v>0</v>
      </c>
      <c r="BS395" s="144">
        <f t="shared" si="1242"/>
        <v>0</v>
      </c>
      <c r="BT395" s="144">
        <f t="shared" si="1242"/>
        <v>0</v>
      </c>
      <c r="BU395" s="144">
        <f t="shared" si="1242"/>
        <v>0</v>
      </c>
      <c r="BV395" s="144">
        <f t="shared" si="1242"/>
        <v>0</v>
      </c>
      <c r="BW395" s="144">
        <f t="shared" si="1242"/>
        <v>0</v>
      </c>
      <c r="BX395" s="144">
        <f t="shared" si="1242"/>
        <v>0</v>
      </c>
      <c r="BY395" s="144">
        <f t="shared" si="1242"/>
        <v>0</v>
      </c>
      <c r="BZ395" s="144">
        <f t="shared" si="1242"/>
        <v>0</v>
      </c>
      <c r="CA395" s="144">
        <f t="shared" si="1242"/>
        <v>0</v>
      </c>
      <c r="CB395" s="9">
        <f t="shared" si="1242"/>
        <v>0</v>
      </c>
      <c r="CC395" s="144">
        <f t="shared" si="1242"/>
        <v>0</v>
      </c>
      <c r="CD395" s="144">
        <f t="shared" si="1242"/>
        <v>0</v>
      </c>
      <c r="CE395" s="144">
        <f t="shared" si="1242"/>
        <v>0</v>
      </c>
      <c r="CF395" s="144">
        <f t="shared" si="1242"/>
        <v>0</v>
      </c>
      <c r="CG395" s="144">
        <f t="shared" si="1242"/>
        <v>0</v>
      </c>
      <c r="CH395" s="144">
        <f t="shared" si="1242"/>
        <v>0</v>
      </c>
      <c r="CI395" s="144">
        <f t="shared" si="1242"/>
        <v>0</v>
      </c>
      <c r="CJ395" s="144">
        <f t="shared" si="1242"/>
        <v>0</v>
      </c>
      <c r="CK395" s="144">
        <f t="shared" si="1242"/>
        <v>0</v>
      </c>
      <c r="CL395" s="144">
        <f t="shared" si="1242"/>
        <v>0</v>
      </c>
      <c r="CM395" s="144">
        <f t="shared" si="1242"/>
        <v>0</v>
      </c>
      <c r="CN395" s="144">
        <f t="shared" si="1242"/>
        <v>0</v>
      </c>
      <c r="CO395" s="9">
        <f t="shared" si="1242"/>
        <v>0</v>
      </c>
      <c r="CP395" s="144">
        <f t="shared" si="1242"/>
        <v>0</v>
      </c>
      <c r="CQ395" s="144">
        <f t="shared" si="1242"/>
        <v>0</v>
      </c>
      <c r="CR395" s="144">
        <f t="shared" si="1242"/>
        <v>0</v>
      </c>
      <c r="CS395" s="144">
        <f t="shared" si="1242"/>
        <v>0</v>
      </c>
      <c r="CT395" s="144">
        <f t="shared" si="1242"/>
        <v>0</v>
      </c>
      <c r="CU395" s="144">
        <f t="shared" si="1242"/>
        <v>0</v>
      </c>
      <c r="CV395" s="144">
        <f t="shared" si="1242"/>
        <v>0</v>
      </c>
      <c r="CW395" s="144">
        <f t="shared" si="1242"/>
        <v>0</v>
      </c>
      <c r="CX395" s="144">
        <f t="shared" si="1242"/>
        <v>0</v>
      </c>
      <c r="CY395" s="144">
        <f t="shared" si="1242"/>
        <v>0</v>
      </c>
      <c r="CZ395" s="144">
        <f t="shared" si="1242"/>
        <v>0</v>
      </c>
      <c r="DA395" s="144">
        <f t="shared" si="1242"/>
        <v>0</v>
      </c>
      <c r="DB395" s="9">
        <f t="shared" si="1242"/>
        <v>0</v>
      </c>
      <c r="DC395" s="144">
        <f t="shared" si="1242"/>
        <v>0</v>
      </c>
      <c r="DD395" s="144">
        <f t="shared" si="1242"/>
        <v>0</v>
      </c>
      <c r="DE395" s="144">
        <f t="shared" si="1242"/>
        <v>0</v>
      </c>
      <c r="DF395" s="144">
        <f t="shared" si="1242"/>
        <v>0</v>
      </c>
      <c r="DG395" s="144">
        <f t="shared" si="1242"/>
        <v>0</v>
      </c>
      <c r="DH395" s="144">
        <f t="shared" si="1242"/>
        <v>0</v>
      </c>
      <c r="DI395" s="144">
        <f t="shared" si="1242"/>
        <v>0</v>
      </c>
      <c r="DJ395" s="144">
        <f t="shared" si="1242"/>
        <v>0</v>
      </c>
      <c r="DK395" s="144">
        <f t="shared" si="1242"/>
        <v>0</v>
      </c>
      <c r="DL395" s="144">
        <f t="shared" si="1242"/>
        <v>0</v>
      </c>
      <c r="DM395" s="144">
        <f t="shared" si="1242"/>
        <v>0</v>
      </c>
      <c r="DN395" s="144">
        <f t="shared" si="1242"/>
        <v>0</v>
      </c>
      <c r="DO395" s="9">
        <f t="shared" si="1242"/>
        <v>0</v>
      </c>
      <c r="DP395" s="144">
        <f t="shared" si="1242"/>
        <v>0</v>
      </c>
      <c r="DQ395" s="144">
        <f t="shared" si="1242"/>
        <v>0</v>
      </c>
      <c r="DR395" s="144">
        <f t="shared" si="1242"/>
        <v>0</v>
      </c>
      <c r="DS395" s="144">
        <f t="shared" si="1242"/>
        <v>0</v>
      </c>
      <c r="DT395" s="144">
        <f t="shared" si="1242"/>
        <v>0</v>
      </c>
      <c r="DU395" s="144">
        <f t="shared" si="1242"/>
        <v>0</v>
      </c>
      <c r="DV395" s="144">
        <f t="shared" si="1242"/>
        <v>0</v>
      </c>
      <c r="DW395" s="144">
        <f t="shared" si="1242"/>
        <v>0</v>
      </c>
      <c r="DX395" s="144">
        <f t="shared" si="1242"/>
        <v>0</v>
      </c>
      <c r="DY395" s="144">
        <f t="shared" si="1242"/>
        <v>0</v>
      </c>
      <c r="DZ395" s="144">
        <f t="shared" si="1242"/>
        <v>0</v>
      </c>
      <c r="EA395" s="144">
        <f t="shared" ref="EA395:EB395" si="1243">EA183/EA$211</f>
        <v>0</v>
      </c>
      <c r="EB395" s="117">
        <f t="shared" si="1243"/>
        <v>0</v>
      </c>
      <c r="EC395" s="118"/>
      <c r="ED395" s="117">
        <f t="shared" ref="ED395:FB395" si="1244">ED183/ED$211</f>
        <v>0</v>
      </c>
      <c r="EE395" s="117">
        <f t="shared" si="1244"/>
        <v>0</v>
      </c>
      <c r="EF395" s="117">
        <f t="shared" si="1244"/>
        <v>0</v>
      </c>
      <c r="EG395" s="117" t="e">
        <f t="shared" si="1244"/>
        <v>#DIV/0!</v>
      </c>
      <c r="EH395" s="117" t="e">
        <f t="shared" si="1244"/>
        <v>#DIV/0!</v>
      </c>
      <c r="EI395" s="117" t="e">
        <f t="shared" si="1244"/>
        <v>#DIV/0!</v>
      </c>
      <c r="EJ395" s="117" t="e">
        <f t="shared" si="1244"/>
        <v>#DIV/0!</v>
      </c>
      <c r="EK395" s="117" t="e">
        <f t="shared" si="1244"/>
        <v>#DIV/0!</v>
      </c>
      <c r="EL395" s="117" t="e">
        <f t="shared" si="1244"/>
        <v>#DIV/0!</v>
      </c>
      <c r="EM395" s="117" t="e">
        <f t="shared" si="1244"/>
        <v>#DIV/0!</v>
      </c>
      <c r="EN395" s="117" t="e">
        <f t="shared" si="1244"/>
        <v>#DIV/0!</v>
      </c>
      <c r="EO395" s="116">
        <f t="shared" si="1244"/>
        <v>0</v>
      </c>
      <c r="EP395" s="117">
        <f t="shared" si="1244"/>
        <v>0</v>
      </c>
      <c r="EQ395" s="117">
        <f t="shared" si="1244"/>
        <v>0</v>
      </c>
      <c r="ER395" s="117">
        <f t="shared" si="1244"/>
        <v>0</v>
      </c>
      <c r="ES395" s="117">
        <f t="shared" si="1244"/>
        <v>0</v>
      </c>
      <c r="ET395" s="117">
        <f t="shared" si="1244"/>
        <v>0</v>
      </c>
      <c r="EU395" s="117">
        <f t="shared" si="1244"/>
        <v>0</v>
      </c>
      <c r="EV395" s="117">
        <f t="shared" si="1244"/>
        <v>0</v>
      </c>
      <c r="EW395" s="117">
        <f t="shared" si="1244"/>
        <v>0</v>
      </c>
      <c r="EX395" s="117">
        <f t="shared" si="1244"/>
        <v>0</v>
      </c>
      <c r="EY395" s="117">
        <f t="shared" si="1244"/>
        <v>0</v>
      </c>
      <c r="EZ395" s="117">
        <f t="shared" si="1244"/>
        <v>0</v>
      </c>
      <c r="FA395" s="117">
        <f t="shared" si="1244"/>
        <v>0</v>
      </c>
      <c r="FB395" s="117">
        <f t="shared" si="1244"/>
        <v>0</v>
      </c>
      <c r="FC395" s="118"/>
      <c r="FD395" s="117"/>
      <c r="FE395" s="117"/>
      <c r="FF395" s="117"/>
      <c r="FG395" s="117"/>
      <c r="FH395" s="117"/>
      <c r="FI395" s="117"/>
      <c r="FJ395" s="117"/>
      <c r="FK395" s="117" t="e">
        <f t="shared" ref="FK395:GB395" si="1245">FK183/FK$211</f>
        <v>#DIV/0!</v>
      </c>
      <c r="FL395" s="117" t="e">
        <f t="shared" si="1245"/>
        <v>#DIV/0!</v>
      </c>
      <c r="FM395" s="117" t="e">
        <f t="shared" si="1245"/>
        <v>#DIV/0!</v>
      </c>
      <c r="FN395" s="117" t="e">
        <f t="shared" si="1245"/>
        <v>#DIV/0!</v>
      </c>
      <c r="FO395" s="9" t="e">
        <f t="shared" si="1245"/>
        <v>#DIV/0!</v>
      </c>
      <c r="FP395" s="118">
        <f t="shared" si="1245"/>
        <v>0.000107364140294034</v>
      </c>
      <c r="FQ395" s="117">
        <f t="shared" si="1245"/>
        <v>4.90850621327167e-5</v>
      </c>
      <c r="FR395" s="117">
        <f t="shared" si="1245"/>
        <v>3.52024233052149e-5</v>
      </c>
      <c r="FS395" s="117">
        <f t="shared" si="1245"/>
        <v>5.89711271725648e-5</v>
      </c>
      <c r="FT395" s="117">
        <f t="shared" si="1245"/>
        <v>5.61739086329033e-5</v>
      </c>
      <c r="FU395" s="117">
        <f t="shared" si="1245"/>
        <v>4.02885275559193e-5</v>
      </c>
      <c r="FV395" s="117">
        <f t="shared" si="1245"/>
        <v>3.22669859849494e-5</v>
      </c>
      <c r="FW395" s="117">
        <f t="shared" si="1245"/>
        <v>0</v>
      </c>
      <c r="FX395" s="117">
        <f t="shared" si="1245"/>
        <v>0</v>
      </c>
      <c r="FY395" s="117">
        <f t="shared" si="1245"/>
        <v>0</v>
      </c>
      <c r="FZ395" s="117">
        <f t="shared" si="1245"/>
        <v>0</v>
      </c>
      <c r="GA395" s="117">
        <f t="shared" si="1245"/>
        <v>0</v>
      </c>
      <c r="GB395" s="116">
        <f t="shared" si="1245"/>
        <v>3.373494155337e-5</v>
      </c>
    </row>
    <row r="396" spans="1:184">
      <c r="A396" s="147" t="s">
        <v>355</v>
      </c>
      <c r="B396" s="160">
        <f t="shared" si="997"/>
        <v>-0.766819404004772</v>
      </c>
      <c r="C396" s="117">
        <f t="shared" ref="C396:BN396" si="1246">C184/C$211</f>
        <v>0.00843038136438969</v>
      </c>
      <c r="D396" s="117">
        <f t="shared" si="1246"/>
        <v>0</v>
      </c>
      <c r="E396" s="117">
        <f t="shared" si="1246"/>
        <v>0</v>
      </c>
      <c r="F396" s="117">
        <f t="shared" si="1246"/>
        <v>0</v>
      </c>
      <c r="G396" s="117">
        <f t="shared" si="1246"/>
        <v>0</v>
      </c>
      <c r="H396" s="117">
        <f t="shared" si="1246"/>
        <v>0</v>
      </c>
      <c r="I396" s="117">
        <f t="shared" si="1246"/>
        <v>0</v>
      </c>
      <c r="J396" s="117">
        <f t="shared" si="1246"/>
        <v>0</v>
      </c>
      <c r="K396" s="117">
        <f t="shared" si="1246"/>
        <v>0</v>
      </c>
      <c r="L396" s="117">
        <f t="shared" si="1246"/>
        <v>0</v>
      </c>
      <c r="M396" s="117">
        <f t="shared" si="1246"/>
        <v>0</v>
      </c>
      <c r="N396" s="117">
        <f t="shared" si="1246"/>
        <v>0</v>
      </c>
      <c r="O396" s="9">
        <f t="shared" si="1246"/>
        <v>0.000990108954137499</v>
      </c>
      <c r="P396" s="117">
        <f t="shared" si="1246"/>
        <v>0</v>
      </c>
      <c r="Q396" s="117">
        <f t="shared" si="1246"/>
        <v>0</v>
      </c>
      <c r="R396" s="117">
        <f t="shared" si="1246"/>
        <v>0</v>
      </c>
      <c r="S396" s="117">
        <f t="shared" si="1246"/>
        <v>0</v>
      </c>
      <c r="T396" s="117">
        <f t="shared" si="1246"/>
        <v>0</v>
      </c>
      <c r="U396" s="117">
        <f t="shared" si="1246"/>
        <v>0</v>
      </c>
      <c r="V396" s="117">
        <f t="shared" si="1246"/>
        <v>0</v>
      </c>
      <c r="W396" s="117">
        <f t="shared" si="1246"/>
        <v>0</v>
      </c>
      <c r="X396" s="117">
        <f t="shared" si="1246"/>
        <v>0</v>
      </c>
      <c r="Y396" s="117">
        <f t="shared" si="1246"/>
        <v>0</v>
      </c>
      <c r="Z396" s="117">
        <f t="shared" si="1246"/>
        <v>0</v>
      </c>
      <c r="AA396" s="117">
        <f t="shared" si="1246"/>
        <v>0</v>
      </c>
      <c r="AB396" s="9">
        <f t="shared" si="1246"/>
        <v>0</v>
      </c>
      <c r="AC396" s="117">
        <f t="shared" si="1246"/>
        <v>0</v>
      </c>
      <c r="AD396" s="117">
        <f t="shared" si="1246"/>
        <v>0</v>
      </c>
      <c r="AE396" s="117">
        <f t="shared" si="1246"/>
        <v>0</v>
      </c>
      <c r="AF396" s="117">
        <f t="shared" si="1246"/>
        <v>0</v>
      </c>
      <c r="AG396" s="117">
        <f t="shared" si="1246"/>
        <v>0</v>
      </c>
      <c r="AH396" s="117">
        <f t="shared" si="1246"/>
        <v>0</v>
      </c>
      <c r="AI396" s="117">
        <f t="shared" si="1246"/>
        <v>0</v>
      </c>
      <c r="AJ396" s="117">
        <f t="shared" si="1246"/>
        <v>0</v>
      </c>
      <c r="AK396" s="117">
        <f t="shared" si="1246"/>
        <v>0</v>
      </c>
      <c r="AL396" s="117">
        <f t="shared" si="1246"/>
        <v>0</v>
      </c>
      <c r="AM396" s="117">
        <f t="shared" si="1246"/>
        <v>0</v>
      </c>
      <c r="AN396" s="117">
        <f t="shared" si="1246"/>
        <v>0</v>
      </c>
      <c r="AO396" s="9">
        <f t="shared" si="1246"/>
        <v>0</v>
      </c>
      <c r="AP396" s="144">
        <f t="shared" si="1246"/>
        <v>0</v>
      </c>
      <c r="AQ396" s="144">
        <f t="shared" si="1246"/>
        <v>0</v>
      </c>
      <c r="AR396" s="144">
        <f t="shared" si="1246"/>
        <v>0</v>
      </c>
      <c r="AS396" s="144">
        <f t="shared" si="1246"/>
        <v>0</v>
      </c>
      <c r="AT396" s="144">
        <f t="shared" si="1246"/>
        <v>0</v>
      </c>
      <c r="AU396" s="144">
        <f t="shared" si="1246"/>
        <v>0</v>
      </c>
      <c r="AV396" s="144">
        <f t="shared" si="1246"/>
        <v>0</v>
      </c>
      <c r="AW396" s="144">
        <f t="shared" si="1246"/>
        <v>0</v>
      </c>
      <c r="AX396" s="144">
        <f t="shared" si="1246"/>
        <v>0</v>
      </c>
      <c r="AY396" s="144">
        <f t="shared" si="1246"/>
        <v>0</v>
      </c>
      <c r="AZ396" s="144">
        <f t="shared" si="1246"/>
        <v>0</v>
      </c>
      <c r="BA396" s="144">
        <f t="shared" si="1246"/>
        <v>0</v>
      </c>
      <c r="BB396" s="9">
        <f t="shared" si="1246"/>
        <v>0</v>
      </c>
      <c r="BC396" s="144">
        <f t="shared" si="1246"/>
        <v>0</v>
      </c>
      <c r="BD396" s="144">
        <f t="shared" si="1246"/>
        <v>0</v>
      </c>
      <c r="BE396" s="144">
        <f t="shared" si="1246"/>
        <v>0</v>
      </c>
      <c r="BF396" s="144">
        <f t="shared" si="1246"/>
        <v>0</v>
      </c>
      <c r="BG396" s="144">
        <f t="shared" si="1246"/>
        <v>0</v>
      </c>
      <c r="BH396" s="144">
        <f t="shared" si="1246"/>
        <v>0</v>
      </c>
      <c r="BI396" s="144">
        <f t="shared" si="1246"/>
        <v>0</v>
      </c>
      <c r="BJ396" s="144">
        <f t="shared" si="1246"/>
        <v>0</v>
      </c>
      <c r="BK396" s="144">
        <f t="shared" si="1246"/>
        <v>0</v>
      </c>
      <c r="BL396" s="144">
        <f t="shared" si="1246"/>
        <v>0</v>
      </c>
      <c r="BM396" s="144">
        <f t="shared" si="1246"/>
        <v>0</v>
      </c>
      <c r="BN396" s="144">
        <f t="shared" si="1246"/>
        <v>0</v>
      </c>
      <c r="BO396" s="9">
        <f t="shared" ref="BO396:DZ396" si="1247">BO184/BO$211</f>
        <v>0</v>
      </c>
      <c r="BP396" s="144">
        <f t="shared" si="1247"/>
        <v>0.0403891146490492</v>
      </c>
      <c r="BQ396" s="144">
        <f t="shared" si="1247"/>
        <v>0</v>
      </c>
      <c r="BR396" s="144">
        <f t="shared" si="1247"/>
        <v>0</v>
      </c>
      <c r="BS396" s="144">
        <f t="shared" si="1247"/>
        <v>0</v>
      </c>
      <c r="BT396" s="144">
        <f t="shared" si="1247"/>
        <v>0</v>
      </c>
      <c r="BU396" s="144">
        <f t="shared" si="1247"/>
        <v>0</v>
      </c>
      <c r="BV396" s="144">
        <f t="shared" si="1247"/>
        <v>0</v>
      </c>
      <c r="BW396" s="144">
        <f t="shared" si="1247"/>
        <v>0</v>
      </c>
      <c r="BX396" s="144">
        <f t="shared" si="1247"/>
        <v>0</v>
      </c>
      <c r="BY396" s="144">
        <f t="shared" si="1247"/>
        <v>0</v>
      </c>
      <c r="BZ396" s="144">
        <f t="shared" si="1247"/>
        <v>0</v>
      </c>
      <c r="CA396" s="144">
        <f t="shared" si="1247"/>
        <v>0</v>
      </c>
      <c r="CB396" s="9">
        <f t="shared" si="1247"/>
        <v>0.00537550121667491</v>
      </c>
      <c r="CC396" s="144">
        <f t="shared" si="1247"/>
        <v>0</v>
      </c>
      <c r="CD396" s="144">
        <f t="shared" si="1247"/>
        <v>0</v>
      </c>
      <c r="CE396" s="144">
        <f t="shared" si="1247"/>
        <v>0</v>
      </c>
      <c r="CF396" s="144">
        <f t="shared" si="1247"/>
        <v>0</v>
      </c>
      <c r="CG396" s="144">
        <f t="shared" si="1247"/>
        <v>0</v>
      </c>
      <c r="CH396" s="144">
        <f t="shared" si="1247"/>
        <v>0</v>
      </c>
      <c r="CI396" s="144">
        <f t="shared" si="1247"/>
        <v>0</v>
      </c>
      <c r="CJ396" s="144">
        <f t="shared" si="1247"/>
        <v>0</v>
      </c>
      <c r="CK396" s="144">
        <f t="shared" si="1247"/>
        <v>0</v>
      </c>
      <c r="CL396" s="144">
        <f t="shared" si="1247"/>
        <v>0</v>
      </c>
      <c r="CM396" s="144">
        <f t="shared" si="1247"/>
        <v>0</v>
      </c>
      <c r="CN396" s="144">
        <f t="shared" si="1247"/>
        <v>0</v>
      </c>
      <c r="CO396" s="9">
        <f t="shared" si="1247"/>
        <v>0</v>
      </c>
      <c r="CP396" s="144">
        <f t="shared" si="1247"/>
        <v>0</v>
      </c>
      <c r="CQ396" s="144">
        <f t="shared" si="1247"/>
        <v>0</v>
      </c>
      <c r="CR396" s="144">
        <f t="shared" si="1247"/>
        <v>0</v>
      </c>
      <c r="CS396" s="144">
        <f t="shared" si="1247"/>
        <v>0</v>
      </c>
      <c r="CT396" s="144">
        <f t="shared" si="1247"/>
        <v>0</v>
      </c>
      <c r="CU396" s="144">
        <f t="shared" si="1247"/>
        <v>0</v>
      </c>
      <c r="CV396" s="144">
        <f t="shared" si="1247"/>
        <v>0</v>
      </c>
      <c r="CW396" s="144">
        <f t="shared" si="1247"/>
        <v>0</v>
      </c>
      <c r="CX396" s="144">
        <f t="shared" si="1247"/>
        <v>0</v>
      </c>
      <c r="CY396" s="144">
        <f t="shared" si="1247"/>
        <v>0</v>
      </c>
      <c r="CZ396" s="144">
        <f t="shared" si="1247"/>
        <v>0</v>
      </c>
      <c r="DA396" s="144">
        <f t="shared" si="1247"/>
        <v>0</v>
      </c>
      <c r="DB396" s="9">
        <f t="shared" si="1247"/>
        <v>0</v>
      </c>
      <c r="DC396" s="144">
        <f t="shared" si="1247"/>
        <v>0</v>
      </c>
      <c r="DD396" s="144">
        <f t="shared" si="1247"/>
        <v>0</v>
      </c>
      <c r="DE396" s="144">
        <f t="shared" si="1247"/>
        <v>0</v>
      </c>
      <c r="DF396" s="144">
        <f t="shared" si="1247"/>
        <v>0</v>
      </c>
      <c r="DG396" s="144">
        <f t="shared" si="1247"/>
        <v>0</v>
      </c>
      <c r="DH396" s="144">
        <f t="shared" si="1247"/>
        <v>0</v>
      </c>
      <c r="DI396" s="144">
        <f t="shared" si="1247"/>
        <v>0</v>
      </c>
      <c r="DJ396" s="144">
        <f t="shared" si="1247"/>
        <v>0</v>
      </c>
      <c r="DK396" s="144">
        <f t="shared" si="1247"/>
        <v>0</v>
      </c>
      <c r="DL396" s="144">
        <f t="shared" si="1247"/>
        <v>0</v>
      </c>
      <c r="DM396" s="144">
        <f t="shared" si="1247"/>
        <v>0</v>
      </c>
      <c r="DN396" s="144">
        <f t="shared" si="1247"/>
        <v>0</v>
      </c>
      <c r="DO396" s="9">
        <f t="shared" si="1247"/>
        <v>0</v>
      </c>
      <c r="DP396" s="144">
        <f t="shared" si="1247"/>
        <v>0</v>
      </c>
      <c r="DQ396" s="144">
        <f t="shared" si="1247"/>
        <v>0</v>
      </c>
      <c r="DR396" s="144">
        <f t="shared" si="1247"/>
        <v>0</v>
      </c>
      <c r="DS396" s="144">
        <f t="shared" si="1247"/>
        <v>0</v>
      </c>
      <c r="DT396" s="144">
        <f t="shared" si="1247"/>
        <v>0</v>
      </c>
      <c r="DU396" s="144">
        <f t="shared" si="1247"/>
        <v>0</v>
      </c>
      <c r="DV396" s="144">
        <f t="shared" si="1247"/>
        <v>0</v>
      </c>
      <c r="DW396" s="144">
        <f t="shared" si="1247"/>
        <v>0</v>
      </c>
      <c r="DX396" s="144">
        <f t="shared" si="1247"/>
        <v>0</v>
      </c>
      <c r="DY396" s="144">
        <f t="shared" si="1247"/>
        <v>0</v>
      </c>
      <c r="DZ396" s="144">
        <f t="shared" si="1247"/>
        <v>0</v>
      </c>
      <c r="EA396" s="144">
        <f t="shared" ref="EA396:EB396" si="1248">EA184/EA$211</f>
        <v>0</v>
      </c>
      <c r="EB396" s="117">
        <f t="shared" si="1248"/>
        <v>0</v>
      </c>
      <c r="EC396" s="118"/>
      <c r="ED396" s="117">
        <f t="shared" ref="ED396:FB396" si="1249">ED184/ED$211</f>
        <v>0</v>
      </c>
      <c r="EE396" s="117">
        <f t="shared" si="1249"/>
        <v>0</v>
      </c>
      <c r="EF396" s="117">
        <f t="shared" si="1249"/>
        <v>0</v>
      </c>
      <c r="EG396" s="117" t="e">
        <f t="shared" si="1249"/>
        <v>#DIV/0!</v>
      </c>
      <c r="EH396" s="117" t="e">
        <f t="shared" si="1249"/>
        <v>#DIV/0!</v>
      </c>
      <c r="EI396" s="117" t="e">
        <f t="shared" si="1249"/>
        <v>#DIV/0!</v>
      </c>
      <c r="EJ396" s="117" t="e">
        <f t="shared" si="1249"/>
        <v>#DIV/0!</v>
      </c>
      <c r="EK396" s="117" t="e">
        <f t="shared" si="1249"/>
        <v>#DIV/0!</v>
      </c>
      <c r="EL396" s="117" t="e">
        <f t="shared" si="1249"/>
        <v>#DIV/0!</v>
      </c>
      <c r="EM396" s="117" t="e">
        <f t="shared" si="1249"/>
        <v>#DIV/0!</v>
      </c>
      <c r="EN396" s="117" t="e">
        <f t="shared" si="1249"/>
        <v>#DIV/0!</v>
      </c>
      <c r="EO396" s="116">
        <f t="shared" si="1249"/>
        <v>0</v>
      </c>
      <c r="EP396" s="117">
        <f t="shared" si="1249"/>
        <v>0</v>
      </c>
      <c r="EQ396" s="117">
        <f t="shared" si="1249"/>
        <v>0</v>
      </c>
      <c r="ER396" s="117">
        <f t="shared" si="1249"/>
        <v>0</v>
      </c>
      <c r="ES396" s="117">
        <f t="shared" si="1249"/>
        <v>0</v>
      </c>
      <c r="ET396" s="117">
        <f t="shared" si="1249"/>
        <v>0</v>
      </c>
      <c r="EU396" s="117">
        <f t="shared" si="1249"/>
        <v>0</v>
      </c>
      <c r="EV396" s="117">
        <f t="shared" si="1249"/>
        <v>0</v>
      </c>
      <c r="EW396" s="117">
        <f t="shared" si="1249"/>
        <v>0</v>
      </c>
      <c r="EX396" s="117">
        <f t="shared" si="1249"/>
        <v>0</v>
      </c>
      <c r="EY396" s="117">
        <f t="shared" si="1249"/>
        <v>0</v>
      </c>
      <c r="EZ396" s="117">
        <f t="shared" si="1249"/>
        <v>0</v>
      </c>
      <c r="FA396" s="117">
        <f t="shared" si="1249"/>
        <v>0</v>
      </c>
      <c r="FB396" s="117">
        <f t="shared" si="1249"/>
        <v>0</v>
      </c>
      <c r="FC396" s="118"/>
      <c r="FD396" s="117"/>
      <c r="FE396" s="117"/>
      <c r="FF396" s="117"/>
      <c r="FG396" s="117"/>
      <c r="FH396" s="117"/>
      <c r="FI396" s="117"/>
      <c r="FJ396" s="117"/>
      <c r="FK396" s="117" t="e">
        <f t="shared" ref="FK396:GB396" si="1250">FK184/FK$211</f>
        <v>#DIV/0!</v>
      </c>
      <c r="FL396" s="117" t="e">
        <f t="shared" si="1250"/>
        <v>#DIV/0!</v>
      </c>
      <c r="FM396" s="117" t="e">
        <f t="shared" si="1250"/>
        <v>#DIV/0!</v>
      </c>
      <c r="FN396" s="117" t="e">
        <f t="shared" si="1250"/>
        <v>#DIV/0!</v>
      </c>
      <c r="FO396" s="9" t="e">
        <f t="shared" si="1250"/>
        <v>#DIV/0!</v>
      </c>
      <c r="FP396" s="118">
        <f t="shared" si="1250"/>
        <v>0</v>
      </c>
      <c r="FQ396" s="117">
        <f t="shared" si="1250"/>
        <v>0</v>
      </c>
      <c r="FR396" s="117">
        <f t="shared" si="1250"/>
        <v>0</v>
      </c>
      <c r="FS396" s="117">
        <f t="shared" si="1250"/>
        <v>0</v>
      </c>
      <c r="FT396" s="117">
        <f t="shared" si="1250"/>
        <v>0</v>
      </c>
      <c r="FU396" s="117">
        <f t="shared" si="1250"/>
        <v>0</v>
      </c>
      <c r="FV396" s="117">
        <f t="shared" si="1250"/>
        <v>0</v>
      </c>
      <c r="FW396" s="117">
        <f t="shared" si="1250"/>
        <v>0</v>
      </c>
      <c r="FX396" s="117">
        <f t="shared" si="1250"/>
        <v>0</v>
      </c>
      <c r="FY396" s="117">
        <f t="shared" si="1250"/>
        <v>0</v>
      </c>
      <c r="FZ396" s="117">
        <f t="shared" si="1250"/>
        <v>0</v>
      </c>
      <c r="GA396" s="117">
        <f t="shared" si="1250"/>
        <v>0</v>
      </c>
      <c r="GB396" s="116">
        <f t="shared" si="1250"/>
        <v>0</v>
      </c>
    </row>
    <row r="397" spans="1:184">
      <c r="A397" s="147" t="s">
        <v>356</v>
      </c>
      <c r="B397" s="160" t="e">
        <f t="shared" si="997"/>
        <v>#DIV/0!</v>
      </c>
      <c r="C397" s="117">
        <f t="shared" ref="C397:BN397" si="1251">C185/C$211</f>
        <v>0</v>
      </c>
      <c r="D397" s="117">
        <f t="shared" si="1251"/>
        <v>0</v>
      </c>
      <c r="E397" s="117">
        <f t="shared" si="1251"/>
        <v>0</v>
      </c>
      <c r="F397" s="117">
        <f t="shared" si="1251"/>
        <v>0</v>
      </c>
      <c r="G397" s="117">
        <f t="shared" si="1251"/>
        <v>0</v>
      </c>
      <c r="H397" s="117">
        <f t="shared" si="1251"/>
        <v>0</v>
      </c>
      <c r="I397" s="117">
        <f t="shared" si="1251"/>
        <v>0</v>
      </c>
      <c r="J397" s="117">
        <f t="shared" si="1251"/>
        <v>0</v>
      </c>
      <c r="K397" s="117">
        <f t="shared" si="1251"/>
        <v>0</v>
      </c>
      <c r="L397" s="117">
        <f t="shared" si="1251"/>
        <v>0</v>
      </c>
      <c r="M397" s="117">
        <f t="shared" si="1251"/>
        <v>0</v>
      </c>
      <c r="N397" s="117">
        <f t="shared" si="1251"/>
        <v>0</v>
      </c>
      <c r="O397" s="9">
        <f t="shared" si="1251"/>
        <v>0</v>
      </c>
      <c r="P397" s="117">
        <f t="shared" si="1251"/>
        <v>0</v>
      </c>
      <c r="Q397" s="117">
        <f t="shared" si="1251"/>
        <v>0</v>
      </c>
      <c r="R397" s="117">
        <f t="shared" si="1251"/>
        <v>0</v>
      </c>
      <c r="S397" s="117">
        <f t="shared" si="1251"/>
        <v>0</v>
      </c>
      <c r="T397" s="117">
        <f t="shared" si="1251"/>
        <v>0</v>
      </c>
      <c r="U397" s="117">
        <f t="shared" si="1251"/>
        <v>0</v>
      </c>
      <c r="V397" s="117">
        <f t="shared" si="1251"/>
        <v>0</v>
      </c>
      <c r="W397" s="117">
        <f t="shared" si="1251"/>
        <v>0</v>
      </c>
      <c r="X397" s="117">
        <f t="shared" si="1251"/>
        <v>0</v>
      </c>
      <c r="Y397" s="117">
        <f t="shared" si="1251"/>
        <v>0</v>
      </c>
      <c r="Z397" s="117">
        <f t="shared" si="1251"/>
        <v>0</v>
      </c>
      <c r="AA397" s="117">
        <f t="shared" si="1251"/>
        <v>0</v>
      </c>
      <c r="AB397" s="9">
        <f t="shared" si="1251"/>
        <v>0</v>
      </c>
      <c r="AC397" s="117">
        <f t="shared" si="1251"/>
        <v>0</v>
      </c>
      <c r="AD397" s="117">
        <f t="shared" si="1251"/>
        <v>0</v>
      </c>
      <c r="AE397" s="117">
        <f t="shared" si="1251"/>
        <v>0</v>
      </c>
      <c r="AF397" s="117">
        <f t="shared" si="1251"/>
        <v>0</v>
      </c>
      <c r="AG397" s="117">
        <f t="shared" si="1251"/>
        <v>0</v>
      </c>
      <c r="AH397" s="117">
        <f t="shared" si="1251"/>
        <v>0</v>
      </c>
      <c r="AI397" s="117">
        <f t="shared" si="1251"/>
        <v>0</v>
      </c>
      <c r="AJ397" s="117">
        <f t="shared" si="1251"/>
        <v>0</v>
      </c>
      <c r="AK397" s="117">
        <f t="shared" si="1251"/>
        <v>0</v>
      </c>
      <c r="AL397" s="117">
        <f t="shared" si="1251"/>
        <v>0</v>
      </c>
      <c r="AM397" s="117">
        <f t="shared" si="1251"/>
        <v>0</v>
      </c>
      <c r="AN397" s="117">
        <f t="shared" si="1251"/>
        <v>0</v>
      </c>
      <c r="AO397" s="9">
        <f t="shared" si="1251"/>
        <v>0</v>
      </c>
      <c r="AP397" s="144">
        <f t="shared" si="1251"/>
        <v>0</v>
      </c>
      <c r="AQ397" s="144">
        <f t="shared" si="1251"/>
        <v>0</v>
      </c>
      <c r="AR397" s="144">
        <f t="shared" si="1251"/>
        <v>0</v>
      </c>
      <c r="AS397" s="144">
        <f t="shared" si="1251"/>
        <v>0</v>
      </c>
      <c r="AT397" s="144">
        <f t="shared" si="1251"/>
        <v>0</v>
      </c>
      <c r="AU397" s="144">
        <f t="shared" si="1251"/>
        <v>0</v>
      </c>
      <c r="AV397" s="144">
        <f t="shared" si="1251"/>
        <v>0</v>
      </c>
      <c r="AW397" s="144">
        <f t="shared" si="1251"/>
        <v>0</v>
      </c>
      <c r="AX397" s="144">
        <f t="shared" si="1251"/>
        <v>0</v>
      </c>
      <c r="AY397" s="144">
        <f t="shared" si="1251"/>
        <v>0</v>
      </c>
      <c r="AZ397" s="144">
        <f t="shared" si="1251"/>
        <v>0</v>
      </c>
      <c r="BA397" s="144">
        <f t="shared" si="1251"/>
        <v>0</v>
      </c>
      <c r="BB397" s="9">
        <f t="shared" si="1251"/>
        <v>0</v>
      </c>
      <c r="BC397" s="144">
        <f t="shared" si="1251"/>
        <v>0</v>
      </c>
      <c r="BD397" s="144">
        <f t="shared" si="1251"/>
        <v>0</v>
      </c>
      <c r="BE397" s="144">
        <f t="shared" si="1251"/>
        <v>0</v>
      </c>
      <c r="BF397" s="144">
        <f t="shared" si="1251"/>
        <v>0</v>
      </c>
      <c r="BG397" s="144">
        <f t="shared" si="1251"/>
        <v>0</v>
      </c>
      <c r="BH397" s="144">
        <f t="shared" si="1251"/>
        <v>0</v>
      </c>
      <c r="BI397" s="144">
        <f t="shared" si="1251"/>
        <v>0</v>
      </c>
      <c r="BJ397" s="144">
        <f t="shared" si="1251"/>
        <v>0</v>
      </c>
      <c r="BK397" s="144">
        <f t="shared" si="1251"/>
        <v>0</v>
      </c>
      <c r="BL397" s="144">
        <f t="shared" si="1251"/>
        <v>0</v>
      </c>
      <c r="BM397" s="144">
        <f t="shared" si="1251"/>
        <v>0</v>
      </c>
      <c r="BN397" s="144">
        <f t="shared" si="1251"/>
        <v>0</v>
      </c>
      <c r="BO397" s="9">
        <f t="shared" ref="BO397:DZ397" si="1252">BO185/BO$211</f>
        <v>0</v>
      </c>
      <c r="BP397" s="144">
        <f t="shared" si="1252"/>
        <v>0</v>
      </c>
      <c r="BQ397" s="144">
        <f t="shared" si="1252"/>
        <v>0</v>
      </c>
      <c r="BR397" s="144">
        <f t="shared" si="1252"/>
        <v>0</v>
      </c>
      <c r="BS397" s="144">
        <f t="shared" si="1252"/>
        <v>0</v>
      </c>
      <c r="BT397" s="144">
        <f t="shared" si="1252"/>
        <v>0</v>
      </c>
      <c r="BU397" s="144">
        <f t="shared" si="1252"/>
        <v>0</v>
      </c>
      <c r="BV397" s="144">
        <f t="shared" si="1252"/>
        <v>0</v>
      </c>
      <c r="BW397" s="144">
        <f t="shared" si="1252"/>
        <v>0</v>
      </c>
      <c r="BX397" s="144">
        <f t="shared" si="1252"/>
        <v>0</v>
      </c>
      <c r="BY397" s="144">
        <f t="shared" si="1252"/>
        <v>0</v>
      </c>
      <c r="BZ397" s="144">
        <f t="shared" si="1252"/>
        <v>0</v>
      </c>
      <c r="CA397" s="144">
        <f t="shared" si="1252"/>
        <v>0</v>
      </c>
      <c r="CB397" s="9">
        <f t="shared" si="1252"/>
        <v>0</v>
      </c>
      <c r="CC397" s="144">
        <f t="shared" si="1252"/>
        <v>0</v>
      </c>
      <c r="CD397" s="144">
        <f t="shared" si="1252"/>
        <v>0</v>
      </c>
      <c r="CE397" s="144">
        <f t="shared" si="1252"/>
        <v>0</v>
      </c>
      <c r="CF397" s="144">
        <f t="shared" si="1252"/>
        <v>0</v>
      </c>
      <c r="CG397" s="144">
        <f t="shared" si="1252"/>
        <v>0</v>
      </c>
      <c r="CH397" s="144">
        <f t="shared" si="1252"/>
        <v>0</v>
      </c>
      <c r="CI397" s="144">
        <f t="shared" si="1252"/>
        <v>0</v>
      </c>
      <c r="CJ397" s="144">
        <f t="shared" si="1252"/>
        <v>0</v>
      </c>
      <c r="CK397" s="144">
        <f t="shared" si="1252"/>
        <v>0</v>
      </c>
      <c r="CL397" s="144">
        <f t="shared" si="1252"/>
        <v>0</v>
      </c>
      <c r="CM397" s="144">
        <f t="shared" si="1252"/>
        <v>0</v>
      </c>
      <c r="CN397" s="144">
        <f t="shared" si="1252"/>
        <v>0</v>
      </c>
      <c r="CO397" s="9">
        <f t="shared" si="1252"/>
        <v>0</v>
      </c>
      <c r="CP397" s="144">
        <f t="shared" si="1252"/>
        <v>0</v>
      </c>
      <c r="CQ397" s="144">
        <f t="shared" si="1252"/>
        <v>0</v>
      </c>
      <c r="CR397" s="144">
        <f t="shared" si="1252"/>
        <v>0</v>
      </c>
      <c r="CS397" s="144">
        <f t="shared" si="1252"/>
        <v>0</v>
      </c>
      <c r="CT397" s="144">
        <f t="shared" si="1252"/>
        <v>0</v>
      </c>
      <c r="CU397" s="144">
        <f t="shared" si="1252"/>
        <v>0</v>
      </c>
      <c r="CV397" s="144">
        <f t="shared" si="1252"/>
        <v>0</v>
      </c>
      <c r="CW397" s="144">
        <f t="shared" si="1252"/>
        <v>0</v>
      </c>
      <c r="CX397" s="144">
        <f t="shared" si="1252"/>
        <v>0</v>
      </c>
      <c r="CY397" s="144">
        <f t="shared" si="1252"/>
        <v>0</v>
      </c>
      <c r="CZ397" s="144">
        <f t="shared" si="1252"/>
        <v>0</v>
      </c>
      <c r="DA397" s="144">
        <f t="shared" si="1252"/>
        <v>0</v>
      </c>
      <c r="DB397" s="9">
        <f t="shared" si="1252"/>
        <v>0</v>
      </c>
      <c r="DC397" s="144">
        <f t="shared" si="1252"/>
        <v>0</v>
      </c>
      <c r="DD397" s="144">
        <f t="shared" si="1252"/>
        <v>0</v>
      </c>
      <c r="DE397" s="144">
        <f t="shared" si="1252"/>
        <v>0</v>
      </c>
      <c r="DF397" s="144">
        <f t="shared" si="1252"/>
        <v>0</v>
      </c>
      <c r="DG397" s="144">
        <f t="shared" si="1252"/>
        <v>0</v>
      </c>
      <c r="DH397" s="144">
        <f t="shared" si="1252"/>
        <v>0</v>
      </c>
      <c r="DI397" s="144">
        <f t="shared" si="1252"/>
        <v>0</v>
      </c>
      <c r="DJ397" s="144">
        <f t="shared" si="1252"/>
        <v>0</v>
      </c>
      <c r="DK397" s="144">
        <f t="shared" si="1252"/>
        <v>0</v>
      </c>
      <c r="DL397" s="144">
        <f t="shared" si="1252"/>
        <v>0</v>
      </c>
      <c r="DM397" s="144">
        <f t="shared" si="1252"/>
        <v>0</v>
      </c>
      <c r="DN397" s="144">
        <f t="shared" si="1252"/>
        <v>0</v>
      </c>
      <c r="DO397" s="9">
        <f t="shared" si="1252"/>
        <v>0</v>
      </c>
      <c r="DP397" s="144">
        <f t="shared" si="1252"/>
        <v>0</v>
      </c>
      <c r="DQ397" s="144">
        <f t="shared" si="1252"/>
        <v>0</v>
      </c>
      <c r="DR397" s="144">
        <f t="shared" si="1252"/>
        <v>0</v>
      </c>
      <c r="DS397" s="144">
        <f t="shared" si="1252"/>
        <v>0</v>
      </c>
      <c r="DT397" s="144">
        <f t="shared" si="1252"/>
        <v>0</v>
      </c>
      <c r="DU397" s="144">
        <f t="shared" si="1252"/>
        <v>0</v>
      </c>
      <c r="DV397" s="144">
        <f t="shared" si="1252"/>
        <v>0</v>
      </c>
      <c r="DW397" s="144">
        <f t="shared" si="1252"/>
        <v>0</v>
      </c>
      <c r="DX397" s="144">
        <f t="shared" si="1252"/>
        <v>0</v>
      </c>
      <c r="DY397" s="144">
        <f t="shared" si="1252"/>
        <v>0</v>
      </c>
      <c r="DZ397" s="144">
        <f t="shared" si="1252"/>
        <v>0</v>
      </c>
      <c r="EA397" s="144">
        <f t="shared" ref="EA397:EB397" si="1253">EA185/EA$211</f>
        <v>0</v>
      </c>
      <c r="EB397" s="117">
        <f t="shared" si="1253"/>
        <v>0</v>
      </c>
      <c r="EC397" s="118"/>
      <c r="ED397" s="117">
        <f t="shared" ref="ED397:FB397" si="1254">ED185/ED$211</f>
        <v>0</v>
      </c>
      <c r="EE397" s="117">
        <f t="shared" si="1254"/>
        <v>0</v>
      </c>
      <c r="EF397" s="117">
        <f t="shared" si="1254"/>
        <v>0</v>
      </c>
      <c r="EG397" s="117" t="e">
        <f t="shared" si="1254"/>
        <v>#DIV/0!</v>
      </c>
      <c r="EH397" s="117" t="e">
        <f t="shared" si="1254"/>
        <v>#DIV/0!</v>
      </c>
      <c r="EI397" s="117" t="e">
        <f t="shared" si="1254"/>
        <v>#DIV/0!</v>
      </c>
      <c r="EJ397" s="117" t="e">
        <f t="shared" si="1254"/>
        <v>#DIV/0!</v>
      </c>
      <c r="EK397" s="117" t="e">
        <f t="shared" si="1254"/>
        <v>#DIV/0!</v>
      </c>
      <c r="EL397" s="117" t="e">
        <f t="shared" si="1254"/>
        <v>#DIV/0!</v>
      </c>
      <c r="EM397" s="117" t="e">
        <f t="shared" si="1254"/>
        <v>#DIV/0!</v>
      </c>
      <c r="EN397" s="117" t="e">
        <f t="shared" si="1254"/>
        <v>#DIV/0!</v>
      </c>
      <c r="EO397" s="116">
        <f t="shared" si="1254"/>
        <v>0</v>
      </c>
      <c r="EP397" s="117">
        <f t="shared" si="1254"/>
        <v>0</v>
      </c>
      <c r="EQ397" s="117">
        <f t="shared" si="1254"/>
        <v>0</v>
      </c>
      <c r="ER397" s="117">
        <f t="shared" si="1254"/>
        <v>0</v>
      </c>
      <c r="ES397" s="117">
        <f t="shared" si="1254"/>
        <v>0</v>
      </c>
      <c r="ET397" s="117">
        <f t="shared" si="1254"/>
        <v>0</v>
      </c>
      <c r="EU397" s="117">
        <f t="shared" si="1254"/>
        <v>0</v>
      </c>
      <c r="EV397" s="117">
        <f t="shared" si="1254"/>
        <v>0</v>
      </c>
      <c r="EW397" s="117">
        <f t="shared" si="1254"/>
        <v>0</v>
      </c>
      <c r="EX397" s="117">
        <f t="shared" si="1254"/>
        <v>0</v>
      </c>
      <c r="EY397" s="117">
        <f t="shared" si="1254"/>
        <v>0</v>
      </c>
      <c r="EZ397" s="117">
        <f t="shared" si="1254"/>
        <v>0</v>
      </c>
      <c r="FA397" s="117">
        <f t="shared" si="1254"/>
        <v>0</v>
      </c>
      <c r="FB397" s="117">
        <f t="shared" si="1254"/>
        <v>0</v>
      </c>
      <c r="FC397" s="118"/>
      <c r="FD397" s="117"/>
      <c r="FE397" s="117"/>
      <c r="FF397" s="117"/>
      <c r="FG397" s="117"/>
      <c r="FH397" s="117"/>
      <c r="FI397" s="117"/>
      <c r="FJ397" s="117"/>
      <c r="FK397" s="117" t="e">
        <f t="shared" ref="FK397:GB397" si="1255">FK185/FK$211</f>
        <v>#DIV/0!</v>
      </c>
      <c r="FL397" s="117" t="e">
        <f t="shared" si="1255"/>
        <v>#DIV/0!</v>
      </c>
      <c r="FM397" s="117" t="e">
        <f t="shared" si="1255"/>
        <v>#DIV/0!</v>
      </c>
      <c r="FN397" s="117" t="e">
        <f t="shared" si="1255"/>
        <v>#DIV/0!</v>
      </c>
      <c r="FO397" s="9" t="e">
        <f t="shared" si="1255"/>
        <v>#DIV/0!</v>
      </c>
      <c r="FP397" s="118">
        <f t="shared" si="1255"/>
        <v>0</v>
      </c>
      <c r="FQ397" s="117">
        <f t="shared" si="1255"/>
        <v>0</v>
      </c>
      <c r="FR397" s="117">
        <f t="shared" si="1255"/>
        <v>0</v>
      </c>
      <c r="FS397" s="117">
        <f t="shared" si="1255"/>
        <v>0</v>
      </c>
      <c r="FT397" s="117">
        <f t="shared" si="1255"/>
        <v>0</v>
      </c>
      <c r="FU397" s="117">
        <f t="shared" si="1255"/>
        <v>0</v>
      </c>
      <c r="FV397" s="117">
        <f t="shared" si="1255"/>
        <v>0</v>
      </c>
      <c r="FW397" s="117">
        <f t="shared" si="1255"/>
        <v>0</v>
      </c>
      <c r="FX397" s="117">
        <f t="shared" si="1255"/>
        <v>0</v>
      </c>
      <c r="FY397" s="117">
        <f t="shared" si="1255"/>
        <v>0</v>
      </c>
      <c r="FZ397" s="117">
        <f t="shared" si="1255"/>
        <v>0</v>
      </c>
      <c r="GA397" s="117">
        <f t="shared" si="1255"/>
        <v>0</v>
      </c>
      <c r="GB397" s="116">
        <f t="shared" si="1255"/>
        <v>0</v>
      </c>
    </row>
    <row r="398" spans="1:184">
      <c r="A398" s="147" t="s">
        <v>357</v>
      </c>
      <c r="B398" s="160" t="e">
        <f t="shared" si="997"/>
        <v>#DIV/0!</v>
      </c>
      <c r="C398" s="117">
        <f t="shared" ref="C398:BN398" si="1256">C186/C$211</f>
        <v>0</v>
      </c>
      <c r="D398" s="117">
        <f t="shared" si="1256"/>
        <v>7.91767634304539e-5</v>
      </c>
      <c r="E398" s="117">
        <f t="shared" si="1256"/>
        <v>0.000322890126986497</v>
      </c>
      <c r="F398" s="117">
        <f t="shared" si="1256"/>
        <v>0.000419402840996011</v>
      </c>
      <c r="G398" s="117">
        <f t="shared" si="1256"/>
        <v>0.000250961481138075</v>
      </c>
      <c r="H398" s="117">
        <f t="shared" si="1256"/>
        <v>0</v>
      </c>
      <c r="I398" s="117">
        <f t="shared" si="1256"/>
        <v>0</v>
      </c>
      <c r="J398" s="117">
        <f t="shared" si="1256"/>
        <v>0</v>
      </c>
      <c r="K398" s="117">
        <f t="shared" si="1256"/>
        <v>0</v>
      </c>
      <c r="L398" s="117">
        <f t="shared" si="1256"/>
        <v>0</v>
      </c>
      <c r="M398" s="117">
        <f t="shared" si="1256"/>
        <v>0</v>
      </c>
      <c r="N398" s="117">
        <f t="shared" si="1256"/>
        <v>0</v>
      </c>
      <c r="O398" s="9">
        <f t="shared" si="1256"/>
        <v>8.16327240073697e-5</v>
      </c>
      <c r="P398" s="117">
        <f t="shared" si="1256"/>
        <v>0</v>
      </c>
      <c r="Q398" s="117">
        <f t="shared" si="1256"/>
        <v>0</v>
      </c>
      <c r="R398" s="117">
        <f t="shared" si="1256"/>
        <v>0</v>
      </c>
      <c r="S398" s="117">
        <f t="shared" si="1256"/>
        <v>0</v>
      </c>
      <c r="T398" s="117">
        <f t="shared" si="1256"/>
        <v>0</v>
      </c>
      <c r="U398" s="117">
        <f t="shared" si="1256"/>
        <v>0</v>
      </c>
      <c r="V398" s="117">
        <f t="shared" si="1256"/>
        <v>0</v>
      </c>
      <c r="W398" s="117">
        <f t="shared" si="1256"/>
        <v>0</v>
      </c>
      <c r="X398" s="117">
        <f t="shared" si="1256"/>
        <v>0</v>
      </c>
      <c r="Y398" s="117">
        <f t="shared" si="1256"/>
        <v>0</v>
      </c>
      <c r="Z398" s="117">
        <f t="shared" si="1256"/>
        <v>0</v>
      </c>
      <c r="AA398" s="117">
        <f t="shared" si="1256"/>
        <v>0</v>
      </c>
      <c r="AB398" s="9">
        <f t="shared" si="1256"/>
        <v>0</v>
      </c>
      <c r="AC398" s="117">
        <f t="shared" si="1256"/>
        <v>0</v>
      </c>
      <c r="AD398" s="117">
        <f t="shared" si="1256"/>
        <v>0</v>
      </c>
      <c r="AE398" s="117">
        <f t="shared" si="1256"/>
        <v>0</v>
      </c>
      <c r="AF398" s="117">
        <f t="shared" si="1256"/>
        <v>0</v>
      </c>
      <c r="AG398" s="117">
        <f t="shared" si="1256"/>
        <v>0</v>
      </c>
      <c r="AH398" s="117">
        <f t="shared" si="1256"/>
        <v>0</v>
      </c>
      <c r="AI398" s="117">
        <f t="shared" si="1256"/>
        <v>0</v>
      </c>
      <c r="AJ398" s="117">
        <f t="shared" si="1256"/>
        <v>0</v>
      </c>
      <c r="AK398" s="117">
        <f t="shared" si="1256"/>
        <v>0</v>
      </c>
      <c r="AL398" s="117">
        <f t="shared" si="1256"/>
        <v>0</v>
      </c>
      <c r="AM398" s="117">
        <f t="shared" si="1256"/>
        <v>0</v>
      </c>
      <c r="AN398" s="117">
        <f t="shared" si="1256"/>
        <v>0</v>
      </c>
      <c r="AO398" s="9">
        <f t="shared" si="1256"/>
        <v>0</v>
      </c>
      <c r="AP398" s="144">
        <f t="shared" si="1256"/>
        <v>0</v>
      </c>
      <c r="AQ398" s="144">
        <f t="shared" si="1256"/>
        <v>0</v>
      </c>
      <c r="AR398" s="144">
        <f t="shared" si="1256"/>
        <v>0.00036318746839554</v>
      </c>
      <c r="AS398" s="144">
        <f t="shared" si="1256"/>
        <v>0.000386152926628929</v>
      </c>
      <c r="AT398" s="144">
        <f t="shared" si="1256"/>
        <v>0.000239985231861643</v>
      </c>
      <c r="AU398" s="144">
        <f t="shared" si="1256"/>
        <v>0</v>
      </c>
      <c r="AV398" s="144">
        <f t="shared" si="1256"/>
        <v>0</v>
      </c>
      <c r="AW398" s="144">
        <f t="shared" si="1256"/>
        <v>0</v>
      </c>
      <c r="AX398" s="144">
        <f t="shared" si="1256"/>
        <v>0</v>
      </c>
      <c r="AY398" s="144">
        <f t="shared" si="1256"/>
        <v>0</v>
      </c>
      <c r="AZ398" s="144">
        <f t="shared" si="1256"/>
        <v>0</v>
      </c>
      <c r="BA398" s="144">
        <f t="shared" si="1256"/>
        <v>0</v>
      </c>
      <c r="BB398" s="9">
        <f t="shared" si="1256"/>
        <v>7.07422236284657e-5</v>
      </c>
      <c r="BC398" s="144">
        <f t="shared" si="1256"/>
        <v>0</v>
      </c>
      <c r="BD398" s="144">
        <f t="shared" si="1256"/>
        <v>0</v>
      </c>
      <c r="BE398" s="144">
        <f t="shared" si="1256"/>
        <v>0.000420737155827592</v>
      </c>
      <c r="BF398" s="144">
        <f t="shared" si="1256"/>
        <v>0.000656265361634046</v>
      </c>
      <c r="BG398" s="144">
        <f t="shared" si="1256"/>
        <v>0.00030337073248284</v>
      </c>
      <c r="BH398" s="144">
        <f t="shared" si="1256"/>
        <v>0</v>
      </c>
      <c r="BI398" s="144">
        <f t="shared" si="1256"/>
        <v>0</v>
      </c>
      <c r="BJ398" s="144">
        <f t="shared" si="1256"/>
        <v>0</v>
      </c>
      <c r="BK398" s="144">
        <f t="shared" si="1256"/>
        <v>0</v>
      </c>
      <c r="BL398" s="144">
        <f t="shared" si="1256"/>
        <v>0</v>
      </c>
      <c r="BM398" s="144">
        <f t="shared" si="1256"/>
        <v>0</v>
      </c>
      <c r="BN398" s="144">
        <f t="shared" si="1256"/>
        <v>0</v>
      </c>
      <c r="BO398" s="9">
        <f t="shared" ref="BO398:DZ398" si="1257">BO186/BO$211</f>
        <v>9.04362370098258e-5</v>
      </c>
      <c r="BP398" s="144">
        <f t="shared" si="1257"/>
        <v>0</v>
      </c>
      <c r="BQ398" s="144">
        <f t="shared" si="1257"/>
        <v>0</v>
      </c>
      <c r="BR398" s="144">
        <f t="shared" si="1257"/>
        <v>0</v>
      </c>
      <c r="BS398" s="144">
        <f t="shared" si="1257"/>
        <v>0</v>
      </c>
      <c r="BT398" s="144">
        <f t="shared" si="1257"/>
        <v>0</v>
      </c>
      <c r="BU398" s="144">
        <f t="shared" si="1257"/>
        <v>0</v>
      </c>
      <c r="BV398" s="144">
        <f t="shared" si="1257"/>
        <v>0</v>
      </c>
      <c r="BW398" s="144">
        <f t="shared" si="1257"/>
        <v>0</v>
      </c>
      <c r="BX398" s="144">
        <f t="shared" si="1257"/>
        <v>0</v>
      </c>
      <c r="BY398" s="144">
        <f t="shared" si="1257"/>
        <v>0</v>
      </c>
      <c r="BZ398" s="144">
        <f t="shared" si="1257"/>
        <v>0</v>
      </c>
      <c r="CA398" s="144">
        <f t="shared" si="1257"/>
        <v>0</v>
      </c>
      <c r="CB398" s="9">
        <f t="shared" si="1257"/>
        <v>0</v>
      </c>
      <c r="CC398" s="144">
        <f t="shared" si="1257"/>
        <v>0</v>
      </c>
      <c r="CD398" s="144">
        <f t="shared" si="1257"/>
        <v>0</v>
      </c>
      <c r="CE398" s="144">
        <f t="shared" si="1257"/>
        <v>0</v>
      </c>
      <c r="CF398" s="144">
        <f t="shared" si="1257"/>
        <v>0.000968685251117073</v>
      </c>
      <c r="CG398" s="144">
        <f t="shared" si="1257"/>
        <v>0.000258445145293013</v>
      </c>
      <c r="CH398" s="144">
        <f t="shared" si="1257"/>
        <v>0</v>
      </c>
      <c r="CI398" s="144">
        <f t="shared" si="1257"/>
        <v>0</v>
      </c>
      <c r="CJ398" s="144">
        <f t="shared" si="1257"/>
        <v>0</v>
      </c>
      <c r="CK398" s="144">
        <f t="shared" si="1257"/>
        <v>0</v>
      </c>
      <c r="CL398" s="144">
        <f t="shared" si="1257"/>
        <v>0</v>
      </c>
      <c r="CM398" s="144">
        <f t="shared" si="1257"/>
        <v>0</v>
      </c>
      <c r="CN398" s="144">
        <f t="shared" si="1257"/>
        <v>0</v>
      </c>
      <c r="CO398" s="9">
        <f t="shared" si="1257"/>
        <v>0.00010976767852685</v>
      </c>
      <c r="CP398" s="144">
        <f t="shared" si="1257"/>
        <v>0</v>
      </c>
      <c r="CQ398" s="144">
        <f t="shared" si="1257"/>
        <v>0</v>
      </c>
      <c r="CR398" s="144">
        <f t="shared" si="1257"/>
        <v>0.000777730831583145</v>
      </c>
      <c r="CS398" s="144">
        <f t="shared" si="1257"/>
        <v>0.000268644073111282</v>
      </c>
      <c r="CT398" s="144">
        <f t="shared" si="1257"/>
        <v>8.2049906155042e-5</v>
      </c>
      <c r="CU398" s="144">
        <f t="shared" si="1257"/>
        <v>0</v>
      </c>
      <c r="CV398" s="144">
        <f t="shared" si="1257"/>
        <v>0</v>
      </c>
      <c r="CW398" s="144">
        <f t="shared" si="1257"/>
        <v>0</v>
      </c>
      <c r="CX398" s="144">
        <f t="shared" si="1257"/>
        <v>0</v>
      </c>
      <c r="CY398" s="144">
        <f t="shared" si="1257"/>
        <v>0</v>
      </c>
      <c r="CZ398" s="144">
        <f t="shared" si="1257"/>
        <v>0</v>
      </c>
      <c r="DA398" s="144">
        <f t="shared" si="1257"/>
        <v>0</v>
      </c>
      <c r="DB398" s="9">
        <f t="shared" si="1257"/>
        <v>8.89067925196827e-5</v>
      </c>
      <c r="DC398" s="144">
        <f t="shared" si="1257"/>
        <v>0</v>
      </c>
      <c r="DD398" s="144">
        <f t="shared" si="1257"/>
        <v>0</v>
      </c>
      <c r="DE398" s="144">
        <f t="shared" si="1257"/>
        <v>0.000328951235593109</v>
      </c>
      <c r="DF398" s="144">
        <f t="shared" si="1257"/>
        <v>0.00134008635034361</v>
      </c>
      <c r="DG398" s="144">
        <f t="shared" si="1257"/>
        <v>0.000701582057030228</v>
      </c>
      <c r="DH398" s="144">
        <f t="shared" si="1257"/>
        <v>0</v>
      </c>
      <c r="DI398" s="144">
        <f t="shared" si="1257"/>
        <v>0</v>
      </c>
      <c r="DJ398" s="144">
        <f t="shared" si="1257"/>
        <v>0</v>
      </c>
      <c r="DK398" s="144">
        <f t="shared" si="1257"/>
        <v>0</v>
      </c>
      <c r="DL398" s="144">
        <f t="shared" si="1257"/>
        <v>0</v>
      </c>
      <c r="DM398" s="144">
        <f t="shared" si="1257"/>
        <v>0</v>
      </c>
      <c r="DN398" s="144">
        <f t="shared" si="1257"/>
        <v>0</v>
      </c>
      <c r="DO398" s="9">
        <f t="shared" si="1257"/>
        <v>0.000177979020341092</v>
      </c>
      <c r="DP398" s="144">
        <f t="shared" si="1257"/>
        <v>0</v>
      </c>
      <c r="DQ398" s="144">
        <f t="shared" si="1257"/>
        <v>0</v>
      </c>
      <c r="DR398" s="144">
        <f t="shared" si="1257"/>
        <v>0.000524373217970742</v>
      </c>
      <c r="DS398" s="144">
        <f t="shared" si="1257"/>
        <v>0.00214614988567819</v>
      </c>
      <c r="DT398" s="144">
        <f t="shared" si="1257"/>
        <v>0.00150041241060638</v>
      </c>
      <c r="DU398" s="144">
        <f t="shared" si="1257"/>
        <v>0</v>
      </c>
      <c r="DV398" s="144">
        <f t="shared" si="1257"/>
        <v>0</v>
      </c>
      <c r="DW398" s="144">
        <f t="shared" si="1257"/>
        <v>0</v>
      </c>
      <c r="DX398" s="144">
        <f t="shared" si="1257"/>
        <v>0</v>
      </c>
      <c r="DY398" s="144">
        <f t="shared" si="1257"/>
        <v>0</v>
      </c>
      <c r="DZ398" s="144">
        <f t="shared" si="1257"/>
        <v>0</v>
      </c>
      <c r="EA398" s="144">
        <f t="shared" ref="EA398:EB398" si="1258">EA186/EA$211</f>
        <v>0</v>
      </c>
      <c r="EB398" s="117">
        <f t="shared" si="1258"/>
        <v>0.000346655517940981</v>
      </c>
      <c r="EC398" s="118"/>
      <c r="ED398" s="117">
        <f t="shared" ref="ED398:FB398" si="1259">ED186/ED$211</f>
        <v>0</v>
      </c>
      <c r="EE398" s="117">
        <f t="shared" si="1259"/>
        <v>0</v>
      </c>
      <c r="EF398" s="117">
        <f t="shared" si="1259"/>
        <v>0</v>
      </c>
      <c r="EG398" s="117" t="e">
        <f t="shared" si="1259"/>
        <v>#DIV/0!</v>
      </c>
      <c r="EH398" s="117" t="e">
        <f t="shared" si="1259"/>
        <v>#DIV/0!</v>
      </c>
      <c r="EI398" s="117" t="e">
        <f t="shared" si="1259"/>
        <v>#DIV/0!</v>
      </c>
      <c r="EJ398" s="117" t="e">
        <f t="shared" si="1259"/>
        <v>#DIV/0!</v>
      </c>
      <c r="EK398" s="117" t="e">
        <f t="shared" si="1259"/>
        <v>#DIV/0!</v>
      </c>
      <c r="EL398" s="117" t="e">
        <f t="shared" si="1259"/>
        <v>#DIV/0!</v>
      </c>
      <c r="EM398" s="117" t="e">
        <f t="shared" si="1259"/>
        <v>#DIV/0!</v>
      </c>
      <c r="EN398" s="117" t="e">
        <f t="shared" si="1259"/>
        <v>#DIV/0!</v>
      </c>
      <c r="EO398" s="116">
        <f t="shared" si="1259"/>
        <v>0</v>
      </c>
      <c r="EP398" s="117">
        <f t="shared" si="1259"/>
        <v>0</v>
      </c>
      <c r="EQ398" s="117">
        <f t="shared" si="1259"/>
        <v>0.0032938441619939</v>
      </c>
      <c r="ER398" s="117">
        <f t="shared" si="1259"/>
        <v>0</v>
      </c>
      <c r="ES398" s="117">
        <f t="shared" si="1259"/>
        <v>0.000566368558153539</v>
      </c>
      <c r="ET398" s="117">
        <f t="shared" si="1259"/>
        <v>0.000785347525976206</v>
      </c>
      <c r="EU398" s="117">
        <f t="shared" si="1259"/>
        <v>0</v>
      </c>
      <c r="EV398" s="117">
        <f t="shared" si="1259"/>
        <v>0</v>
      </c>
      <c r="EW398" s="117">
        <f t="shared" si="1259"/>
        <v>0</v>
      </c>
      <c r="EX398" s="117">
        <f t="shared" si="1259"/>
        <v>0</v>
      </c>
      <c r="EY398" s="117">
        <f t="shared" si="1259"/>
        <v>0</v>
      </c>
      <c r="EZ398" s="117">
        <f t="shared" si="1259"/>
        <v>0</v>
      </c>
      <c r="FA398" s="117">
        <f t="shared" si="1259"/>
        <v>0</v>
      </c>
      <c r="FB398" s="117">
        <f t="shared" si="1259"/>
        <v>0.000389063779571696</v>
      </c>
      <c r="FC398" s="118"/>
      <c r="FD398" s="117"/>
      <c r="FE398" s="117"/>
      <c r="FF398" s="117"/>
      <c r="FG398" s="117"/>
      <c r="FH398" s="117"/>
      <c r="FI398" s="117"/>
      <c r="FJ398" s="117"/>
      <c r="FK398" s="117" t="e">
        <f t="shared" ref="FK398:GB398" si="1260">FK186/FK$211</f>
        <v>#DIV/0!</v>
      </c>
      <c r="FL398" s="117" t="e">
        <f t="shared" si="1260"/>
        <v>#DIV/0!</v>
      </c>
      <c r="FM398" s="117" t="e">
        <f t="shared" si="1260"/>
        <v>#DIV/0!</v>
      </c>
      <c r="FN398" s="117" t="e">
        <f t="shared" si="1260"/>
        <v>#DIV/0!</v>
      </c>
      <c r="FO398" s="9" t="e">
        <f t="shared" si="1260"/>
        <v>#DIV/0!</v>
      </c>
      <c r="FP398" s="118">
        <f t="shared" si="1260"/>
        <v>0</v>
      </c>
      <c r="FQ398" s="117">
        <f t="shared" si="1260"/>
        <v>0</v>
      </c>
      <c r="FR398" s="117">
        <f t="shared" si="1260"/>
        <v>0.000626964452329245</v>
      </c>
      <c r="FS398" s="117">
        <f t="shared" si="1260"/>
        <v>0.00027643352061186</v>
      </c>
      <c r="FT398" s="117">
        <f t="shared" si="1260"/>
        <v>0.000162738828459776</v>
      </c>
      <c r="FU398" s="117">
        <f t="shared" si="1260"/>
        <v>0</v>
      </c>
      <c r="FV398" s="117">
        <f t="shared" si="1260"/>
        <v>0</v>
      </c>
      <c r="FW398" s="117">
        <f t="shared" si="1260"/>
        <v>0</v>
      </c>
      <c r="FX398" s="117">
        <f t="shared" si="1260"/>
        <v>0</v>
      </c>
      <c r="FY398" s="117">
        <f t="shared" si="1260"/>
        <v>0</v>
      </c>
      <c r="FZ398" s="117">
        <f t="shared" si="1260"/>
        <v>0</v>
      </c>
      <c r="GA398" s="117">
        <f t="shared" si="1260"/>
        <v>0</v>
      </c>
      <c r="GB398" s="116">
        <f t="shared" si="1260"/>
        <v>8.7799045789286e-5</v>
      </c>
    </row>
    <row r="399" spans="1:184">
      <c r="A399" s="147" t="s">
        <v>358</v>
      </c>
      <c r="B399" s="160">
        <f t="shared" si="997"/>
        <v>-0.230776629294026</v>
      </c>
      <c r="C399" s="117">
        <f t="shared" ref="C399:BN399" si="1261">C187/C$211</f>
        <v>0.00636981638798321</v>
      </c>
      <c r="D399" s="117">
        <f t="shared" si="1261"/>
        <v>0.00678837335305677</v>
      </c>
      <c r="E399" s="117">
        <f t="shared" si="1261"/>
        <v>0.00811358030610966</v>
      </c>
      <c r="F399" s="117">
        <f t="shared" si="1261"/>
        <v>0.00575340876832606</v>
      </c>
      <c r="G399" s="117">
        <f t="shared" si="1261"/>
        <v>0.00656857330018629</v>
      </c>
      <c r="H399" s="117">
        <f t="shared" si="1261"/>
        <v>0.00275174186198476</v>
      </c>
      <c r="I399" s="117">
        <f t="shared" si="1261"/>
        <v>0.000900915326429475</v>
      </c>
      <c r="J399" s="117">
        <f t="shared" si="1261"/>
        <v>0.000653642519462551</v>
      </c>
      <c r="K399" s="117">
        <f t="shared" si="1261"/>
        <v>0.000481022050411365</v>
      </c>
      <c r="L399" s="117">
        <f t="shared" si="1261"/>
        <v>0.000300277466304206</v>
      </c>
      <c r="M399" s="117">
        <f t="shared" si="1261"/>
        <v>0.000283727291836966</v>
      </c>
      <c r="N399" s="117">
        <f t="shared" si="1261"/>
        <v>0.000288544202289427</v>
      </c>
      <c r="O399" s="9">
        <f t="shared" si="1261"/>
        <v>0.00334088883967577</v>
      </c>
      <c r="P399" s="117">
        <f t="shared" si="1261"/>
        <v>0</v>
      </c>
      <c r="Q399" s="117">
        <f t="shared" si="1261"/>
        <v>0</v>
      </c>
      <c r="R399" s="117">
        <f t="shared" si="1261"/>
        <v>0</v>
      </c>
      <c r="S399" s="117">
        <f t="shared" si="1261"/>
        <v>0</v>
      </c>
      <c r="T399" s="117">
        <f t="shared" si="1261"/>
        <v>0</v>
      </c>
      <c r="U399" s="117">
        <f t="shared" si="1261"/>
        <v>0</v>
      </c>
      <c r="V399" s="117">
        <f t="shared" si="1261"/>
        <v>0</v>
      </c>
      <c r="W399" s="117">
        <f t="shared" si="1261"/>
        <v>0</v>
      </c>
      <c r="X399" s="117">
        <f t="shared" si="1261"/>
        <v>0</v>
      </c>
      <c r="Y399" s="117">
        <f t="shared" si="1261"/>
        <v>0</v>
      </c>
      <c r="Z399" s="117">
        <f t="shared" si="1261"/>
        <v>0</v>
      </c>
      <c r="AA399" s="117">
        <f t="shared" si="1261"/>
        <v>0</v>
      </c>
      <c r="AB399" s="9">
        <f t="shared" si="1261"/>
        <v>0</v>
      </c>
      <c r="AC399" s="117">
        <f t="shared" si="1261"/>
        <v>0.0151234877586681</v>
      </c>
      <c r="AD399" s="117">
        <f t="shared" si="1261"/>
        <v>0.0149284462594499</v>
      </c>
      <c r="AE399" s="117">
        <f t="shared" si="1261"/>
        <v>0.0161186741986448</v>
      </c>
      <c r="AF399" s="117">
        <f t="shared" si="1261"/>
        <v>0.0147873601346355</v>
      </c>
      <c r="AG399" s="117">
        <f t="shared" si="1261"/>
        <v>0.0152652601933509</v>
      </c>
      <c r="AH399" s="117">
        <f t="shared" si="1261"/>
        <v>0.00465120996054037</v>
      </c>
      <c r="AI399" s="117">
        <f t="shared" si="1261"/>
        <v>0</v>
      </c>
      <c r="AJ399" s="117">
        <f t="shared" si="1261"/>
        <v>0</v>
      </c>
      <c r="AK399" s="117">
        <f t="shared" si="1261"/>
        <v>0</v>
      </c>
      <c r="AL399" s="117">
        <f t="shared" si="1261"/>
        <v>0</v>
      </c>
      <c r="AM399" s="117">
        <f t="shared" si="1261"/>
        <v>0</v>
      </c>
      <c r="AN399" s="117">
        <f t="shared" si="1261"/>
        <v>0</v>
      </c>
      <c r="AO399" s="9">
        <f t="shared" si="1261"/>
        <v>0.00596877922379532</v>
      </c>
      <c r="AP399" s="144">
        <f t="shared" si="1261"/>
        <v>0.00866852544382237</v>
      </c>
      <c r="AQ399" s="144">
        <f t="shared" si="1261"/>
        <v>0.0132844962846485</v>
      </c>
      <c r="AR399" s="144">
        <f t="shared" si="1261"/>
        <v>0.0149332626497917</v>
      </c>
      <c r="AS399" s="144">
        <f t="shared" si="1261"/>
        <v>0.0109868837399663</v>
      </c>
      <c r="AT399" s="144">
        <f t="shared" si="1261"/>
        <v>0.000223549452246019</v>
      </c>
      <c r="AU399" s="144">
        <f t="shared" si="1261"/>
        <v>0</v>
      </c>
      <c r="AV399" s="144">
        <f t="shared" si="1261"/>
        <v>0</v>
      </c>
      <c r="AW399" s="144">
        <f t="shared" si="1261"/>
        <v>0</v>
      </c>
      <c r="AX399" s="144">
        <f t="shared" si="1261"/>
        <v>0</v>
      </c>
      <c r="AY399" s="144">
        <f t="shared" si="1261"/>
        <v>0</v>
      </c>
      <c r="AZ399" s="144">
        <f t="shared" si="1261"/>
        <v>0</v>
      </c>
      <c r="BA399" s="144">
        <f t="shared" si="1261"/>
        <v>0</v>
      </c>
      <c r="BB399" s="9">
        <f t="shared" si="1261"/>
        <v>0.00385011647178034</v>
      </c>
      <c r="BC399" s="144">
        <f t="shared" si="1261"/>
        <v>0.00762313900744386</v>
      </c>
      <c r="BD399" s="144">
        <f t="shared" si="1261"/>
        <v>0.00676468526711986</v>
      </c>
      <c r="BE399" s="144">
        <f t="shared" si="1261"/>
        <v>0.00899380154668092</v>
      </c>
      <c r="BF399" s="144">
        <f t="shared" si="1261"/>
        <v>0.00140480706781083</v>
      </c>
      <c r="BG399" s="144">
        <f t="shared" si="1261"/>
        <v>0.00321798897172457</v>
      </c>
      <c r="BH399" s="144">
        <f t="shared" si="1261"/>
        <v>0.00129595745564465</v>
      </c>
      <c r="BI399" s="144">
        <f t="shared" si="1261"/>
        <v>0</v>
      </c>
      <c r="BJ399" s="144">
        <f t="shared" si="1261"/>
        <v>0</v>
      </c>
      <c r="BK399" s="144">
        <f t="shared" si="1261"/>
        <v>0</v>
      </c>
      <c r="BL399" s="144">
        <f t="shared" si="1261"/>
        <v>0</v>
      </c>
      <c r="BM399" s="144">
        <f t="shared" si="1261"/>
        <v>0</v>
      </c>
      <c r="BN399" s="144">
        <f t="shared" si="1261"/>
        <v>0</v>
      </c>
      <c r="BO399" s="9">
        <f t="shared" ref="BO399:DZ399" si="1262">BO187/BO$211</f>
        <v>0.00261802084330906</v>
      </c>
      <c r="BP399" s="144">
        <f t="shared" si="1262"/>
        <v>0.00725209318126841</v>
      </c>
      <c r="BQ399" s="144">
        <f t="shared" si="1262"/>
        <v>0.00853603371916997</v>
      </c>
      <c r="BR399" s="144">
        <f t="shared" si="1262"/>
        <v>0.0109778822856124</v>
      </c>
      <c r="BS399" s="144">
        <f t="shared" si="1262"/>
        <v>0.00272204987606374</v>
      </c>
      <c r="BT399" s="144">
        <f t="shared" si="1262"/>
        <v>0.0134543160841889</v>
      </c>
      <c r="BU399" s="144">
        <f t="shared" si="1262"/>
        <v>0.00453572681164524</v>
      </c>
      <c r="BV399" s="144">
        <f t="shared" si="1262"/>
        <v>0</v>
      </c>
      <c r="BW399" s="144">
        <f t="shared" si="1262"/>
        <v>0</v>
      </c>
      <c r="BX399" s="144">
        <f t="shared" si="1262"/>
        <v>0</v>
      </c>
      <c r="BY399" s="144">
        <f t="shared" si="1262"/>
        <v>0</v>
      </c>
      <c r="BZ399" s="144">
        <f t="shared" si="1262"/>
        <v>0</v>
      </c>
      <c r="CA399" s="144">
        <f t="shared" si="1262"/>
        <v>0</v>
      </c>
      <c r="CB399" s="9">
        <f t="shared" si="1262"/>
        <v>0.00431747516242917</v>
      </c>
      <c r="CC399" s="144">
        <f t="shared" si="1262"/>
        <v>0</v>
      </c>
      <c r="CD399" s="144">
        <f t="shared" si="1262"/>
        <v>0.00813643542344449</v>
      </c>
      <c r="CE399" s="144">
        <f t="shared" si="1262"/>
        <v>0.00116987759982407</v>
      </c>
      <c r="CF399" s="144">
        <f t="shared" si="1262"/>
        <v>0.0155867957410293</v>
      </c>
      <c r="CG399" s="144">
        <f t="shared" si="1262"/>
        <v>0.00445669418044715</v>
      </c>
      <c r="CH399" s="144">
        <f t="shared" si="1262"/>
        <v>0.00104580459273185</v>
      </c>
      <c r="CI399" s="144">
        <f t="shared" si="1262"/>
        <v>0.00131448283109356</v>
      </c>
      <c r="CJ399" s="144">
        <f t="shared" si="1262"/>
        <v>0.00143291468001133</v>
      </c>
      <c r="CK399" s="144">
        <f t="shared" si="1262"/>
        <v>0.00163283659201949</v>
      </c>
      <c r="CL399" s="144">
        <f t="shared" si="1262"/>
        <v>0</v>
      </c>
      <c r="CM399" s="144">
        <f t="shared" si="1262"/>
        <v>0</v>
      </c>
      <c r="CN399" s="144">
        <f t="shared" si="1262"/>
        <v>0</v>
      </c>
      <c r="CO399" s="9">
        <f t="shared" si="1262"/>
        <v>0.0027206661749053</v>
      </c>
      <c r="CP399" s="144">
        <f t="shared" si="1262"/>
        <v>0.00781709536563204</v>
      </c>
      <c r="CQ399" s="144">
        <f t="shared" si="1262"/>
        <v>0.00499138004685392</v>
      </c>
      <c r="CR399" s="144">
        <f t="shared" si="1262"/>
        <v>0.00641702917521614</v>
      </c>
      <c r="CS399" s="144">
        <f t="shared" si="1262"/>
        <v>0.00497364652024082</v>
      </c>
      <c r="CT399" s="144">
        <f t="shared" si="1262"/>
        <v>0.0025435470908063</v>
      </c>
      <c r="CU399" s="144">
        <f t="shared" si="1262"/>
        <v>0.000120731867405625</v>
      </c>
      <c r="CV399" s="144">
        <f t="shared" si="1262"/>
        <v>0</v>
      </c>
      <c r="CW399" s="144">
        <f t="shared" si="1262"/>
        <v>0</v>
      </c>
      <c r="CX399" s="144">
        <f t="shared" si="1262"/>
        <v>0</v>
      </c>
      <c r="CY399" s="144">
        <f t="shared" si="1262"/>
        <v>0</v>
      </c>
      <c r="CZ399" s="144">
        <f t="shared" si="1262"/>
        <v>0</v>
      </c>
      <c r="DA399" s="144">
        <f t="shared" si="1262"/>
        <v>0</v>
      </c>
      <c r="DB399" s="9">
        <f t="shared" si="1262"/>
        <v>0.00248088179497967</v>
      </c>
      <c r="DC399" s="144">
        <f t="shared" si="1262"/>
        <v>0.0124536493939606</v>
      </c>
      <c r="DD399" s="144">
        <f t="shared" si="1262"/>
        <v>0.00870316718438784</v>
      </c>
      <c r="DE399" s="144">
        <f t="shared" si="1262"/>
        <v>0.0103891122514399</v>
      </c>
      <c r="DF399" s="144">
        <f t="shared" si="1262"/>
        <v>0.0107829641829797</v>
      </c>
      <c r="DG399" s="144">
        <f t="shared" si="1262"/>
        <v>0.0106115827513339</v>
      </c>
      <c r="DH399" s="144">
        <f t="shared" si="1262"/>
        <v>0.00783949874186322</v>
      </c>
      <c r="DI399" s="144">
        <f t="shared" si="1262"/>
        <v>0.00567011604625144</v>
      </c>
      <c r="DJ399" s="144">
        <f t="shared" si="1262"/>
        <v>0.00369213281860116</v>
      </c>
      <c r="DK399" s="144">
        <f t="shared" si="1262"/>
        <v>0.0029566203172138</v>
      </c>
      <c r="DL399" s="144">
        <f t="shared" si="1262"/>
        <v>0.00146061219207734</v>
      </c>
      <c r="DM399" s="144">
        <f t="shared" si="1262"/>
        <v>0.00040605416108564</v>
      </c>
      <c r="DN399" s="144">
        <f t="shared" si="1262"/>
        <v>0.000368000496180444</v>
      </c>
      <c r="DO399" s="9">
        <f t="shared" si="1262"/>
        <v>0.00667852737070113</v>
      </c>
      <c r="DP399" s="144">
        <f t="shared" si="1262"/>
        <v>0.0100952458086715</v>
      </c>
      <c r="DQ399" s="144">
        <f t="shared" si="1262"/>
        <v>0.0115675128854614</v>
      </c>
      <c r="DR399" s="144">
        <f t="shared" si="1262"/>
        <v>0.0123031718978928</v>
      </c>
      <c r="DS399" s="144">
        <f t="shared" si="1262"/>
        <v>0.00883885889747055</v>
      </c>
      <c r="DT399" s="144">
        <f t="shared" si="1262"/>
        <v>0.00945488019086139</v>
      </c>
      <c r="DU399" s="144">
        <f t="shared" si="1262"/>
        <v>0.00779463846523004</v>
      </c>
      <c r="DV399" s="144">
        <f t="shared" si="1262"/>
        <v>0.00400798672039164</v>
      </c>
      <c r="DW399" s="144">
        <f t="shared" si="1262"/>
        <v>0.00244393022240543</v>
      </c>
      <c r="DX399" s="144">
        <f t="shared" si="1262"/>
        <v>0</v>
      </c>
      <c r="DY399" s="144">
        <f t="shared" si="1262"/>
        <v>0</v>
      </c>
      <c r="DZ399" s="144">
        <f t="shared" si="1262"/>
        <v>0</v>
      </c>
      <c r="EA399" s="144">
        <f t="shared" ref="EA399:EB399" si="1263">EA187/EA$211</f>
        <v>0</v>
      </c>
      <c r="EB399" s="117">
        <f t="shared" si="1263"/>
        <v>0.00594834462542068</v>
      </c>
      <c r="EC399" s="118"/>
      <c r="ED399" s="117">
        <f t="shared" ref="ED399:FB399" si="1264">ED187/ED$211</f>
        <v>0</v>
      </c>
      <c r="EE399" s="117">
        <f t="shared" si="1264"/>
        <v>0</v>
      </c>
      <c r="EF399" s="117">
        <f t="shared" si="1264"/>
        <v>0</v>
      </c>
      <c r="EG399" s="117" t="e">
        <f t="shared" si="1264"/>
        <v>#DIV/0!</v>
      </c>
      <c r="EH399" s="117" t="e">
        <f t="shared" si="1264"/>
        <v>#DIV/0!</v>
      </c>
      <c r="EI399" s="117" t="e">
        <f t="shared" si="1264"/>
        <v>#DIV/0!</v>
      </c>
      <c r="EJ399" s="117" t="e">
        <f t="shared" si="1264"/>
        <v>#DIV/0!</v>
      </c>
      <c r="EK399" s="117" t="e">
        <f t="shared" si="1264"/>
        <v>#DIV/0!</v>
      </c>
      <c r="EL399" s="117" t="e">
        <f t="shared" si="1264"/>
        <v>#DIV/0!</v>
      </c>
      <c r="EM399" s="117" t="e">
        <f t="shared" si="1264"/>
        <v>#DIV/0!</v>
      </c>
      <c r="EN399" s="117" t="e">
        <f t="shared" si="1264"/>
        <v>#DIV/0!</v>
      </c>
      <c r="EO399" s="116">
        <f t="shared" si="1264"/>
        <v>0</v>
      </c>
      <c r="EP399" s="117">
        <f t="shared" si="1264"/>
        <v>0.0110380472131989</v>
      </c>
      <c r="EQ399" s="117">
        <f t="shared" si="1264"/>
        <v>0.0143713995125057</v>
      </c>
      <c r="ER399" s="117">
        <f t="shared" si="1264"/>
        <v>0.0133868979197969</v>
      </c>
      <c r="ES399" s="117">
        <f t="shared" si="1264"/>
        <v>0.0160036760227241</v>
      </c>
      <c r="ET399" s="117">
        <f t="shared" si="1264"/>
        <v>0.0124716841204244</v>
      </c>
      <c r="EU399" s="117">
        <f t="shared" si="1264"/>
        <v>0.00201544023678899</v>
      </c>
      <c r="EV399" s="117">
        <f t="shared" si="1264"/>
        <v>0.000423221467836236</v>
      </c>
      <c r="EW399" s="117">
        <f t="shared" si="1264"/>
        <v>0</v>
      </c>
      <c r="EX399" s="117">
        <f t="shared" si="1264"/>
        <v>0</v>
      </c>
      <c r="EY399" s="117">
        <f t="shared" si="1264"/>
        <v>0</v>
      </c>
      <c r="EZ399" s="117">
        <f t="shared" si="1264"/>
        <v>0</v>
      </c>
      <c r="FA399" s="117">
        <f t="shared" si="1264"/>
        <v>0</v>
      </c>
      <c r="FB399" s="117">
        <f t="shared" si="1264"/>
        <v>0.00554971729967964</v>
      </c>
      <c r="FC399" s="118"/>
      <c r="FD399" s="117"/>
      <c r="FE399" s="117"/>
      <c r="FF399" s="117"/>
      <c r="FG399" s="117"/>
      <c r="FH399" s="117"/>
      <c r="FI399" s="117"/>
      <c r="FJ399" s="117"/>
      <c r="FK399" s="117" t="e">
        <f t="shared" ref="FK399:GB399" si="1265">FK187/FK$211</f>
        <v>#DIV/0!</v>
      </c>
      <c r="FL399" s="117" t="e">
        <f t="shared" si="1265"/>
        <v>#DIV/0!</v>
      </c>
      <c r="FM399" s="117" t="e">
        <f t="shared" si="1265"/>
        <v>#DIV/0!</v>
      </c>
      <c r="FN399" s="117" t="e">
        <f t="shared" si="1265"/>
        <v>#DIV/0!</v>
      </c>
      <c r="FO399" s="9" t="e">
        <f t="shared" si="1265"/>
        <v>#DIV/0!</v>
      </c>
      <c r="FP399" s="118">
        <f t="shared" si="1265"/>
        <v>0.0044317596748678</v>
      </c>
      <c r="FQ399" s="117">
        <f t="shared" si="1265"/>
        <v>0.00298425231566945</v>
      </c>
      <c r="FR399" s="117">
        <f t="shared" si="1265"/>
        <v>0.00442698491506657</v>
      </c>
      <c r="FS399" s="117">
        <f t="shared" si="1265"/>
        <v>0.00395187186369075</v>
      </c>
      <c r="FT399" s="117">
        <f t="shared" si="1265"/>
        <v>0.00320114105698833</v>
      </c>
      <c r="FU399" s="117">
        <f t="shared" si="1265"/>
        <v>0.00276647889217313</v>
      </c>
      <c r="FV399" s="117">
        <f t="shared" si="1265"/>
        <v>0.0021038074862187</v>
      </c>
      <c r="FW399" s="117">
        <f t="shared" si="1265"/>
        <v>0.00172740186266069</v>
      </c>
      <c r="FX399" s="117">
        <f t="shared" si="1265"/>
        <v>0.00192549705777077</v>
      </c>
      <c r="FY399" s="117">
        <f t="shared" si="1265"/>
        <v>0.00122282510994255</v>
      </c>
      <c r="FZ399" s="117">
        <f t="shared" si="1265"/>
        <v>0.00112145100938258</v>
      </c>
      <c r="GA399" s="117">
        <f t="shared" si="1265"/>
        <v>0.00104551328204984</v>
      </c>
      <c r="GB399" s="116">
        <f t="shared" si="1265"/>
        <v>0.00263047782961887</v>
      </c>
    </row>
    <row r="400" spans="1:184">
      <c r="A400" s="147" t="s">
        <v>359</v>
      </c>
      <c r="B400" s="160" t="e">
        <f t="shared" si="997"/>
        <v>#DIV/0!</v>
      </c>
      <c r="C400" s="117">
        <f t="shared" ref="C400:BN400" si="1266">C188/C$211</f>
        <v>0</v>
      </c>
      <c r="D400" s="117">
        <f t="shared" si="1266"/>
        <v>0</v>
      </c>
      <c r="E400" s="117">
        <f t="shared" si="1266"/>
        <v>0</v>
      </c>
      <c r="F400" s="117">
        <f t="shared" si="1266"/>
        <v>0</v>
      </c>
      <c r="G400" s="117">
        <f t="shared" si="1266"/>
        <v>0</v>
      </c>
      <c r="H400" s="117">
        <f t="shared" si="1266"/>
        <v>0</v>
      </c>
      <c r="I400" s="117">
        <f t="shared" si="1266"/>
        <v>0</v>
      </c>
      <c r="J400" s="117">
        <f t="shared" si="1266"/>
        <v>0</v>
      </c>
      <c r="K400" s="117">
        <f t="shared" si="1266"/>
        <v>0</v>
      </c>
      <c r="L400" s="117">
        <f t="shared" si="1266"/>
        <v>0</v>
      </c>
      <c r="M400" s="117">
        <f t="shared" si="1266"/>
        <v>0.00570431922226868</v>
      </c>
      <c r="N400" s="117">
        <f t="shared" si="1266"/>
        <v>0.00124330148153482</v>
      </c>
      <c r="O400" s="9">
        <f t="shared" si="1266"/>
        <v>0.00059589401992779</v>
      </c>
      <c r="P400" s="117">
        <f t="shared" si="1266"/>
        <v>0</v>
      </c>
      <c r="Q400" s="117">
        <f t="shared" si="1266"/>
        <v>0</v>
      </c>
      <c r="R400" s="117">
        <f t="shared" si="1266"/>
        <v>0</v>
      </c>
      <c r="S400" s="117">
        <f t="shared" si="1266"/>
        <v>0</v>
      </c>
      <c r="T400" s="117">
        <f t="shared" si="1266"/>
        <v>0</v>
      </c>
      <c r="U400" s="117">
        <f t="shared" si="1266"/>
        <v>0</v>
      </c>
      <c r="V400" s="117">
        <f t="shared" si="1266"/>
        <v>0</v>
      </c>
      <c r="W400" s="117">
        <f t="shared" si="1266"/>
        <v>0</v>
      </c>
      <c r="X400" s="117">
        <f t="shared" si="1266"/>
        <v>0</v>
      </c>
      <c r="Y400" s="117">
        <f t="shared" si="1266"/>
        <v>0</v>
      </c>
      <c r="Z400" s="117">
        <f t="shared" si="1266"/>
        <v>0</v>
      </c>
      <c r="AA400" s="117">
        <f t="shared" si="1266"/>
        <v>0.0064650940863236</v>
      </c>
      <c r="AB400" s="9">
        <f t="shared" si="1266"/>
        <v>0.00054750977065753</v>
      </c>
      <c r="AC400" s="117">
        <f t="shared" si="1266"/>
        <v>0</v>
      </c>
      <c r="AD400" s="117">
        <f t="shared" si="1266"/>
        <v>0</v>
      </c>
      <c r="AE400" s="117">
        <f t="shared" si="1266"/>
        <v>0</v>
      </c>
      <c r="AF400" s="117">
        <f t="shared" si="1266"/>
        <v>0</v>
      </c>
      <c r="AG400" s="117">
        <f t="shared" si="1266"/>
        <v>0</v>
      </c>
      <c r="AH400" s="117">
        <f t="shared" si="1266"/>
        <v>0</v>
      </c>
      <c r="AI400" s="117">
        <f t="shared" si="1266"/>
        <v>0</v>
      </c>
      <c r="AJ400" s="117">
        <f t="shared" si="1266"/>
        <v>0</v>
      </c>
      <c r="AK400" s="117">
        <f t="shared" si="1266"/>
        <v>0</v>
      </c>
      <c r="AL400" s="117">
        <f t="shared" si="1266"/>
        <v>0</v>
      </c>
      <c r="AM400" s="117">
        <f t="shared" si="1266"/>
        <v>0</v>
      </c>
      <c r="AN400" s="117">
        <f t="shared" si="1266"/>
        <v>0.00453394545247462</v>
      </c>
      <c r="AO400" s="9">
        <f t="shared" si="1266"/>
        <v>0.000405572372459139</v>
      </c>
      <c r="AP400" s="144">
        <f t="shared" si="1266"/>
        <v>0</v>
      </c>
      <c r="AQ400" s="144">
        <f t="shared" si="1266"/>
        <v>0</v>
      </c>
      <c r="AR400" s="144">
        <f t="shared" si="1266"/>
        <v>0</v>
      </c>
      <c r="AS400" s="144">
        <f t="shared" si="1266"/>
        <v>0</v>
      </c>
      <c r="AT400" s="144">
        <f t="shared" si="1266"/>
        <v>0</v>
      </c>
      <c r="AU400" s="144">
        <f t="shared" si="1266"/>
        <v>0</v>
      </c>
      <c r="AV400" s="144">
        <f t="shared" si="1266"/>
        <v>0</v>
      </c>
      <c r="AW400" s="144">
        <f t="shared" si="1266"/>
        <v>0</v>
      </c>
      <c r="AX400" s="144">
        <f t="shared" si="1266"/>
        <v>0</v>
      </c>
      <c r="AY400" s="144">
        <f t="shared" si="1266"/>
        <v>0</v>
      </c>
      <c r="AZ400" s="144">
        <f t="shared" si="1266"/>
        <v>0</v>
      </c>
      <c r="BA400" s="144">
        <f t="shared" si="1266"/>
        <v>0</v>
      </c>
      <c r="BB400" s="9">
        <f t="shared" si="1266"/>
        <v>0</v>
      </c>
      <c r="BC400" s="144">
        <f t="shared" si="1266"/>
        <v>0</v>
      </c>
      <c r="BD400" s="144">
        <f t="shared" si="1266"/>
        <v>0</v>
      </c>
      <c r="BE400" s="144">
        <f t="shared" si="1266"/>
        <v>0</v>
      </c>
      <c r="BF400" s="144">
        <f t="shared" si="1266"/>
        <v>0</v>
      </c>
      <c r="BG400" s="144">
        <f t="shared" si="1266"/>
        <v>0</v>
      </c>
      <c r="BH400" s="144">
        <f t="shared" si="1266"/>
        <v>0</v>
      </c>
      <c r="BI400" s="144">
        <f t="shared" si="1266"/>
        <v>0</v>
      </c>
      <c r="BJ400" s="144">
        <f t="shared" si="1266"/>
        <v>0</v>
      </c>
      <c r="BK400" s="144">
        <f t="shared" si="1266"/>
        <v>0</v>
      </c>
      <c r="BL400" s="144">
        <f t="shared" si="1266"/>
        <v>0</v>
      </c>
      <c r="BM400" s="144">
        <f t="shared" si="1266"/>
        <v>0</v>
      </c>
      <c r="BN400" s="144">
        <f t="shared" si="1266"/>
        <v>0</v>
      </c>
      <c r="BO400" s="9">
        <f t="shared" ref="BO400:DZ400" si="1267">BO188/BO$211</f>
        <v>0</v>
      </c>
      <c r="BP400" s="144">
        <f t="shared" si="1267"/>
        <v>0</v>
      </c>
      <c r="BQ400" s="144">
        <f t="shared" si="1267"/>
        <v>0</v>
      </c>
      <c r="BR400" s="144">
        <f t="shared" si="1267"/>
        <v>0</v>
      </c>
      <c r="BS400" s="144">
        <f t="shared" si="1267"/>
        <v>0</v>
      </c>
      <c r="BT400" s="144">
        <f t="shared" si="1267"/>
        <v>0</v>
      </c>
      <c r="BU400" s="144">
        <f t="shared" si="1267"/>
        <v>0</v>
      </c>
      <c r="BV400" s="144">
        <f t="shared" si="1267"/>
        <v>0</v>
      </c>
      <c r="BW400" s="144">
        <f t="shared" si="1267"/>
        <v>0</v>
      </c>
      <c r="BX400" s="144">
        <f t="shared" si="1267"/>
        <v>0</v>
      </c>
      <c r="BY400" s="144">
        <f t="shared" si="1267"/>
        <v>0</v>
      </c>
      <c r="BZ400" s="144">
        <f t="shared" si="1267"/>
        <v>0</v>
      </c>
      <c r="CA400" s="144">
        <f t="shared" si="1267"/>
        <v>0</v>
      </c>
      <c r="CB400" s="9">
        <f t="shared" si="1267"/>
        <v>0</v>
      </c>
      <c r="CC400" s="144">
        <f t="shared" si="1267"/>
        <v>0</v>
      </c>
      <c r="CD400" s="144">
        <f t="shared" si="1267"/>
        <v>0</v>
      </c>
      <c r="CE400" s="144">
        <f t="shared" si="1267"/>
        <v>0</v>
      </c>
      <c r="CF400" s="144">
        <f t="shared" si="1267"/>
        <v>0</v>
      </c>
      <c r="CG400" s="144">
        <f t="shared" si="1267"/>
        <v>0</v>
      </c>
      <c r="CH400" s="144">
        <f t="shared" si="1267"/>
        <v>0</v>
      </c>
      <c r="CI400" s="144">
        <f t="shared" si="1267"/>
        <v>0</v>
      </c>
      <c r="CJ400" s="144">
        <f t="shared" si="1267"/>
        <v>0</v>
      </c>
      <c r="CK400" s="144">
        <f t="shared" si="1267"/>
        <v>0</v>
      </c>
      <c r="CL400" s="144">
        <f t="shared" si="1267"/>
        <v>0</v>
      </c>
      <c r="CM400" s="144">
        <f t="shared" si="1267"/>
        <v>0</v>
      </c>
      <c r="CN400" s="144">
        <f t="shared" si="1267"/>
        <v>0</v>
      </c>
      <c r="CO400" s="9">
        <f t="shared" si="1267"/>
        <v>0</v>
      </c>
      <c r="CP400" s="144">
        <f t="shared" si="1267"/>
        <v>0</v>
      </c>
      <c r="CQ400" s="144">
        <f t="shared" si="1267"/>
        <v>0</v>
      </c>
      <c r="CR400" s="144">
        <f t="shared" si="1267"/>
        <v>0</v>
      </c>
      <c r="CS400" s="144">
        <f t="shared" si="1267"/>
        <v>0</v>
      </c>
      <c r="CT400" s="144">
        <f t="shared" si="1267"/>
        <v>0</v>
      </c>
      <c r="CU400" s="144">
        <f t="shared" si="1267"/>
        <v>0</v>
      </c>
      <c r="CV400" s="144">
        <f t="shared" si="1267"/>
        <v>0</v>
      </c>
      <c r="CW400" s="144">
        <f t="shared" si="1267"/>
        <v>0</v>
      </c>
      <c r="CX400" s="144">
        <f t="shared" si="1267"/>
        <v>0</v>
      </c>
      <c r="CY400" s="144">
        <f t="shared" si="1267"/>
        <v>0</v>
      </c>
      <c r="CZ400" s="144">
        <f t="shared" si="1267"/>
        <v>0</v>
      </c>
      <c r="DA400" s="144">
        <f t="shared" si="1267"/>
        <v>0</v>
      </c>
      <c r="DB400" s="9">
        <f t="shared" si="1267"/>
        <v>0</v>
      </c>
      <c r="DC400" s="144">
        <f t="shared" si="1267"/>
        <v>0</v>
      </c>
      <c r="DD400" s="144">
        <f t="shared" si="1267"/>
        <v>0</v>
      </c>
      <c r="DE400" s="144">
        <f t="shared" si="1267"/>
        <v>0</v>
      </c>
      <c r="DF400" s="144">
        <f t="shared" si="1267"/>
        <v>0</v>
      </c>
      <c r="DG400" s="144">
        <f t="shared" si="1267"/>
        <v>0</v>
      </c>
      <c r="DH400" s="144">
        <f t="shared" si="1267"/>
        <v>0</v>
      </c>
      <c r="DI400" s="144">
        <f t="shared" si="1267"/>
        <v>0</v>
      </c>
      <c r="DJ400" s="144">
        <f t="shared" si="1267"/>
        <v>0</v>
      </c>
      <c r="DK400" s="144">
        <f t="shared" si="1267"/>
        <v>0</v>
      </c>
      <c r="DL400" s="144">
        <f t="shared" si="1267"/>
        <v>0</v>
      </c>
      <c r="DM400" s="144">
        <f t="shared" si="1267"/>
        <v>0</v>
      </c>
      <c r="DN400" s="144">
        <f t="shared" si="1267"/>
        <v>0</v>
      </c>
      <c r="DO400" s="9">
        <f t="shared" si="1267"/>
        <v>0</v>
      </c>
      <c r="DP400" s="144">
        <f t="shared" si="1267"/>
        <v>0</v>
      </c>
      <c r="DQ400" s="144">
        <f t="shared" si="1267"/>
        <v>0</v>
      </c>
      <c r="DR400" s="144">
        <f t="shared" si="1267"/>
        <v>0</v>
      </c>
      <c r="DS400" s="144">
        <f t="shared" si="1267"/>
        <v>0</v>
      </c>
      <c r="DT400" s="144">
        <f t="shared" si="1267"/>
        <v>0</v>
      </c>
      <c r="DU400" s="144">
        <f t="shared" si="1267"/>
        <v>0</v>
      </c>
      <c r="DV400" s="144">
        <f t="shared" si="1267"/>
        <v>0</v>
      </c>
      <c r="DW400" s="144">
        <f t="shared" si="1267"/>
        <v>0</v>
      </c>
      <c r="DX400" s="144">
        <f t="shared" si="1267"/>
        <v>0</v>
      </c>
      <c r="DY400" s="144">
        <f t="shared" si="1267"/>
        <v>0</v>
      </c>
      <c r="DZ400" s="144">
        <f t="shared" si="1267"/>
        <v>0</v>
      </c>
      <c r="EA400" s="144">
        <f t="shared" ref="EA400:EB400" si="1268">EA188/EA$211</f>
        <v>0</v>
      </c>
      <c r="EB400" s="117">
        <f t="shared" si="1268"/>
        <v>0</v>
      </c>
      <c r="EC400" s="118"/>
      <c r="ED400" s="117">
        <f t="shared" ref="ED400:FB400" si="1269">ED188/ED$211</f>
        <v>0</v>
      </c>
      <c r="EE400" s="117">
        <f t="shared" si="1269"/>
        <v>0</v>
      </c>
      <c r="EF400" s="117">
        <f t="shared" si="1269"/>
        <v>0</v>
      </c>
      <c r="EG400" s="117" t="e">
        <f t="shared" si="1269"/>
        <v>#DIV/0!</v>
      </c>
      <c r="EH400" s="117" t="e">
        <f t="shared" si="1269"/>
        <v>#DIV/0!</v>
      </c>
      <c r="EI400" s="117" t="e">
        <f t="shared" si="1269"/>
        <v>#DIV/0!</v>
      </c>
      <c r="EJ400" s="117" t="e">
        <f t="shared" si="1269"/>
        <v>#DIV/0!</v>
      </c>
      <c r="EK400" s="117" t="e">
        <f t="shared" si="1269"/>
        <v>#DIV/0!</v>
      </c>
      <c r="EL400" s="117" t="e">
        <f t="shared" si="1269"/>
        <v>#DIV/0!</v>
      </c>
      <c r="EM400" s="117" t="e">
        <f t="shared" si="1269"/>
        <v>#DIV/0!</v>
      </c>
      <c r="EN400" s="117" t="e">
        <f t="shared" si="1269"/>
        <v>#DIV/0!</v>
      </c>
      <c r="EO400" s="116">
        <f t="shared" si="1269"/>
        <v>0</v>
      </c>
      <c r="EP400" s="117">
        <f t="shared" si="1269"/>
        <v>0</v>
      </c>
      <c r="EQ400" s="117">
        <f t="shared" si="1269"/>
        <v>0</v>
      </c>
      <c r="ER400" s="117">
        <f t="shared" si="1269"/>
        <v>0</v>
      </c>
      <c r="ES400" s="117">
        <f t="shared" si="1269"/>
        <v>0</v>
      </c>
      <c r="ET400" s="117">
        <f t="shared" si="1269"/>
        <v>0</v>
      </c>
      <c r="EU400" s="117">
        <f t="shared" si="1269"/>
        <v>0</v>
      </c>
      <c r="EV400" s="117">
        <f t="shared" si="1269"/>
        <v>0</v>
      </c>
      <c r="EW400" s="117">
        <f t="shared" si="1269"/>
        <v>0</v>
      </c>
      <c r="EX400" s="117">
        <f t="shared" si="1269"/>
        <v>0</v>
      </c>
      <c r="EY400" s="117">
        <f t="shared" si="1269"/>
        <v>0</v>
      </c>
      <c r="EZ400" s="117">
        <f t="shared" si="1269"/>
        <v>0</v>
      </c>
      <c r="FA400" s="117">
        <f t="shared" si="1269"/>
        <v>0</v>
      </c>
      <c r="FB400" s="117">
        <f t="shared" si="1269"/>
        <v>0</v>
      </c>
      <c r="FC400" s="118"/>
      <c r="FD400" s="117"/>
      <c r="FE400" s="117"/>
      <c r="FF400" s="117"/>
      <c r="FG400" s="117"/>
      <c r="FH400" s="117"/>
      <c r="FI400" s="117"/>
      <c r="FJ400" s="117"/>
      <c r="FK400" s="117" t="e">
        <f t="shared" ref="FK400:GB400" si="1270">FK188/FK$211</f>
        <v>#DIV/0!</v>
      </c>
      <c r="FL400" s="117" t="e">
        <f t="shared" si="1270"/>
        <v>#DIV/0!</v>
      </c>
      <c r="FM400" s="117" t="e">
        <f t="shared" si="1270"/>
        <v>#DIV/0!</v>
      </c>
      <c r="FN400" s="117" t="e">
        <f t="shared" si="1270"/>
        <v>#DIV/0!</v>
      </c>
      <c r="FO400" s="9" t="e">
        <f t="shared" si="1270"/>
        <v>#DIV/0!</v>
      </c>
      <c r="FP400" s="118">
        <f t="shared" si="1270"/>
        <v>0</v>
      </c>
      <c r="FQ400" s="117">
        <f t="shared" si="1270"/>
        <v>0</v>
      </c>
      <c r="FR400" s="117">
        <f t="shared" si="1270"/>
        <v>0</v>
      </c>
      <c r="FS400" s="117">
        <f t="shared" si="1270"/>
        <v>0</v>
      </c>
      <c r="FT400" s="117">
        <f t="shared" si="1270"/>
        <v>0</v>
      </c>
      <c r="FU400" s="117">
        <f t="shared" si="1270"/>
        <v>0</v>
      </c>
      <c r="FV400" s="117">
        <f t="shared" si="1270"/>
        <v>0</v>
      </c>
      <c r="FW400" s="117">
        <f t="shared" si="1270"/>
        <v>0</v>
      </c>
      <c r="FX400" s="117">
        <f t="shared" si="1270"/>
        <v>0</v>
      </c>
      <c r="FY400" s="117">
        <f t="shared" si="1270"/>
        <v>0</v>
      </c>
      <c r="FZ400" s="117">
        <f t="shared" si="1270"/>
        <v>0.0227923170861021</v>
      </c>
      <c r="GA400" s="117">
        <f t="shared" si="1270"/>
        <v>0</v>
      </c>
      <c r="GB400" s="116">
        <f t="shared" si="1270"/>
        <v>0.0020365443272283</v>
      </c>
    </row>
    <row r="401" spans="1:184">
      <c r="A401" s="147" t="s">
        <v>360</v>
      </c>
      <c r="B401" s="160" t="e">
        <f t="shared" si="997"/>
        <v>#DIV/0!</v>
      </c>
      <c r="C401" s="117">
        <f t="shared" ref="C401:BN401" si="1271">C189/C$211</f>
        <v>0</v>
      </c>
      <c r="D401" s="117">
        <f t="shared" si="1271"/>
        <v>0</v>
      </c>
      <c r="E401" s="117">
        <f t="shared" si="1271"/>
        <v>0</v>
      </c>
      <c r="F401" s="117">
        <f t="shared" si="1271"/>
        <v>0</v>
      </c>
      <c r="G401" s="117">
        <f t="shared" si="1271"/>
        <v>0</v>
      </c>
      <c r="H401" s="117">
        <f t="shared" si="1271"/>
        <v>0</v>
      </c>
      <c r="I401" s="117">
        <f t="shared" si="1271"/>
        <v>0</v>
      </c>
      <c r="J401" s="117">
        <f t="shared" si="1271"/>
        <v>0</v>
      </c>
      <c r="K401" s="117">
        <f t="shared" si="1271"/>
        <v>0</v>
      </c>
      <c r="L401" s="117">
        <f t="shared" si="1271"/>
        <v>0</v>
      </c>
      <c r="M401" s="117">
        <f t="shared" si="1271"/>
        <v>0</v>
      </c>
      <c r="N401" s="117">
        <f t="shared" si="1271"/>
        <v>0</v>
      </c>
      <c r="O401" s="9">
        <f t="shared" si="1271"/>
        <v>0</v>
      </c>
      <c r="P401" s="117">
        <f t="shared" si="1271"/>
        <v>0</v>
      </c>
      <c r="Q401" s="117">
        <f t="shared" si="1271"/>
        <v>0</v>
      </c>
      <c r="R401" s="117">
        <f t="shared" si="1271"/>
        <v>0</v>
      </c>
      <c r="S401" s="117">
        <f t="shared" si="1271"/>
        <v>0</v>
      </c>
      <c r="T401" s="117">
        <f t="shared" si="1271"/>
        <v>0</v>
      </c>
      <c r="U401" s="117">
        <f t="shared" si="1271"/>
        <v>0</v>
      </c>
      <c r="V401" s="117">
        <f t="shared" si="1271"/>
        <v>0</v>
      </c>
      <c r="W401" s="117">
        <f t="shared" si="1271"/>
        <v>0</v>
      </c>
      <c r="X401" s="117">
        <f t="shared" si="1271"/>
        <v>0</v>
      </c>
      <c r="Y401" s="117">
        <f t="shared" si="1271"/>
        <v>0</v>
      </c>
      <c r="Z401" s="117">
        <f t="shared" si="1271"/>
        <v>0</v>
      </c>
      <c r="AA401" s="117">
        <f t="shared" si="1271"/>
        <v>0</v>
      </c>
      <c r="AB401" s="9">
        <f t="shared" si="1271"/>
        <v>0</v>
      </c>
      <c r="AC401" s="117">
        <f t="shared" si="1271"/>
        <v>0</v>
      </c>
      <c r="AD401" s="117">
        <f t="shared" si="1271"/>
        <v>0</v>
      </c>
      <c r="AE401" s="117">
        <f t="shared" si="1271"/>
        <v>0</v>
      </c>
      <c r="AF401" s="117">
        <f t="shared" si="1271"/>
        <v>0</v>
      </c>
      <c r="AG401" s="117">
        <f t="shared" si="1271"/>
        <v>0</v>
      </c>
      <c r="AH401" s="117">
        <f t="shared" si="1271"/>
        <v>0</v>
      </c>
      <c r="AI401" s="117">
        <f t="shared" si="1271"/>
        <v>0</v>
      </c>
      <c r="AJ401" s="117">
        <f t="shared" si="1271"/>
        <v>0</v>
      </c>
      <c r="AK401" s="117">
        <f t="shared" si="1271"/>
        <v>0</v>
      </c>
      <c r="AL401" s="117">
        <f t="shared" si="1271"/>
        <v>0</v>
      </c>
      <c r="AM401" s="117">
        <f t="shared" si="1271"/>
        <v>0</v>
      </c>
      <c r="AN401" s="117">
        <f t="shared" si="1271"/>
        <v>0</v>
      </c>
      <c r="AO401" s="9">
        <f t="shared" si="1271"/>
        <v>0</v>
      </c>
      <c r="AP401" s="144">
        <f t="shared" si="1271"/>
        <v>0</v>
      </c>
      <c r="AQ401" s="144">
        <f t="shared" si="1271"/>
        <v>0</v>
      </c>
      <c r="AR401" s="144">
        <f t="shared" si="1271"/>
        <v>0</v>
      </c>
      <c r="AS401" s="144">
        <f t="shared" si="1271"/>
        <v>0</v>
      </c>
      <c r="AT401" s="144">
        <f t="shared" si="1271"/>
        <v>0</v>
      </c>
      <c r="AU401" s="144">
        <f t="shared" si="1271"/>
        <v>0</v>
      </c>
      <c r="AV401" s="144">
        <f t="shared" si="1271"/>
        <v>0</v>
      </c>
      <c r="AW401" s="144">
        <f t="shared" si="1271"/>
        <v>0</v>
      </c>
      <c r="AX401" s="144">
        <f t="shared" si="1271"/>
        <v>0</v>
      </c>
      <c r="AY401" s="144">
        <f t="shared" si="1271"/>
        <v>0</v>
      </c>
      <c r="AZ401" s="144">
        <f t="shared" si="1271"/>
        <v>0</v>
      </c>
      <c r="BA401" s="144">
        <f t="shared" si="1271"/>
        <v>0</v>
      </c>
      <c r="BB401" s="9">
        <f t="shared" si="1271"/>
        <v>0</v>
      </c>
      <c r="BC401" s="144">
        <f t="shared" si="1271"/>
        <v>0</v>
      </c>
      <c r="BD401" s="144">
        <f t="shared" si="1271"/>
        <v>0</v>
      </c>
      <c r="BE401" s="144">
        <f t="shared" si="1271"/>
        <v>0</v>
      </c>
      <c r="BF401" s="144">
        <f t="shared" si="1271"/>
        <v>0</v>
      </c>
      <c r="BG401" s="144">
        <f t="shared" si="1271"/>
        <v>0</v>
      </c>
      <c r="BH401" s="144">
        <f t="shared" si="1271"/>
        <v>0</v>
      </c>
      <c r="BI401" s="144">
        <f t="shared" si="1271"/>
        <v>0</v>
      </c>
      <c r="BJ401" s="144">
        <f t="shared" si="1271"/>
        <v>0</v>
      </c>
      <c r="BK401" s="144">
        <f t="shared" si="1271"/>
        <v>0</v>
      </c>
      <c r="BL401" s="144">
        <f t="shared" si="1271"/>
        <v>0</v>
      </c>
      <c r="BM401" s="144">
        <f t="shared" si="1271"/>
        <v>0</v>
      </c>
      <c r="BN401" s="144">
        <f t="shared" si="1271"/>
        <v>0</v>
      </c>
      <c r="BO401" s="9">
        <f t="shared" ref="BO401:DZ401" si="1272">BO189/BO$211</f>
        <v>0</v>
      </c>
      <c r="BP401" s="144">
        <f t="shared" si="1272"/>
        <v>0</v>
      </c>
      <c r="BQ401" s="144">
        <f t="shared" si="1272"/>
        <v>0</v>
      </c>
      <c r="BR401" s="144">
        <f t="shared" si="1272"/>
        <v>0</v>
      </c>
      <c r="BS401" s="144">
        <f t="shared" si="1272"/>
        <v>0</v>
      </c>
      <c r="BT401" s="144">
        <f t="shared" si="1272"/>
        <v>0</v>
      </c>
      <c r="BU401" s="144">
        <f t="shared" si="1272"/>
        <v>0</v>
      </c>
      <c r="BV401" s="144">
        <f t="shared" si="1272"/>
        <v>0</v>
      </c>
      <c r="BW401" s="144">
        <f t="shared" si="1272"/>
        <v>0</v>
      </c>
      <c r="BX401" s="144">
        <f t="shared" si="1272"/>
        <v>0</v>
      </c>
      <c r="BY401" s="144">
        <f t="shared" si="1272"/>
        <v>0</v>
      </c>
      <c r="BZ401" s="144">
        <f t="shared" si="1272"/>
        <v>0</v>
      </c>
      <c r="CA401" s="144">
        <f t="shared" si="1272"/>
        <v>0</v>
      </c>
      <c r="CB401" s="9">
        <f t="shared" si="1272"/>
        <v>0</v>
      </c>
      <c r="CC401" s="144">
        <f t="shared" si="1272"/>
        <v>0</v>
      </c>
      <c r="CD401" s="144">
        <f t="shared" si="1272"/>
        <v>0</v>
      </c>
      <c r="CE401" s="144">
        <f t="shared" si="1272"/>
        <v>0</v>
      </c>
      <c r="CF401" s="144">
        <f t="shared" si="1272"/>
        <v>0</v>
      </c>
      <c r="CG401" s="144">
        <f t="shared" si="1272"/>
        <v>0</v>
      </c>
      <c r="CH401" s="144">
        <f t="shared" si="1272"/>
        <v>0</v>
      </c>
      <c r="CI401" s="144">
        <f t="shared" si="1272"/>
        <v>0</v>
      </c>
      <c r="CJ401" s="144">
        <f t="shared" si="1272"/>
        <v>0</v>
      </c>
      <c r="CK401" s="144">
        <f t="shared" si="1272"/>
        <v>0</v>
      </c>
      <c r="CL401" s="144">
        <f t="shared" si="1272"/>
        <v>0</v>
      </c>
      <c r="CM401" s="144">
        <f t="shared" si="1272"/>
        <v>0</v>
      </c>
      <c r="CN401" s="144">
        <f t="shared" si="1272"/>
        <v>0</v>
      </c>
      <c r="CO401" s="9">
        <f t="shared" si="1272"/>
        <v>0</v>
      </c>
      <c r="CP401" s="144">
        <f t="shared" si="1272"/>
        <v>0</v>
      </c>
      <c r="CQ401" s="144">
        <f t="shared" si="1272"/>
        <v>0</v>
      </c>
      <c r="CR401" s="144">
        <f t="shared" si="1272"/>
        <v>0</v>
      </c>
      <c r="CS401" s="144">
        <f t="shared" si="1272"/>
        <v>0</v>
      </c>
      <c r="CT401" s="144">
        <f t="shared" si="1272"/>
        <v>0</v>
      </c>
      <c r="CU401" s="144">
        <f t="shared" si="1272"/>
        <v>0</v>
      </c>
      <c r="CV401" s="144">
        <f t="shared" si="1272"/>
        <v>0</v>
      </c>
      <c r="CW401" s="144">
        <f t="shared" si="1272"/>
        <v>0</v>
      </c>
      <c r="CX401" s="144">
        <f t="shared" si="1272"/>
        <v>0</v>
      </c>
      <c r="CY401" s="144">
        <f t="shared" si="1272"/>
        <v>0</v>
      </c>
      <c r="CZ401" s="144">
        <f t="shared" si="1272"/>
        <v>0</v>
      </c>
      <c r="DA401" s="144">
        <f t="shared" si="1272"/>
        <v>0</v>
      </c>
      <c r="DB401" s="9">
        <f t="shared" si="1272"/>
        <v>0</v>
      </c>
      <c r="DC401" s="144">
        <f t="shared" si="1272"/>
        <v>0</v>
      </c>
      <c r="DD401" s="144">
        <f t="shared" si="1272"/>
        <v>0</v>
      </c>
      <c r="DE401" s="144">
        <f t="shared" si="1272"/>
        <v>0</v>
      </c>
      <c r="DF401" s="144">
        <f t="shared" si="1272"/>
        <v>0</v>
      </c>
      <c r="DG401" s="144">
        <f t="shared" si="1272"/>
        <v>0</v>
      </c>
      <c r="DH401" s="144">
        <f t="shared" si="1272"/>
        <v>0</v>
      </c>
      <c r="DI401" s="144">
        <f t="shared" si="1272"/>
        <v>0</v>
      </c>
      <c r="DJ401" s="144">
        <f t="shared" si="1272"/>
        <v>0</v>
      </c>
      <c r="DK401" s="144">
        <f t="shared" si="1272"/>
        <v>0</v>
      </c>
      <c r="DL401" s="144">
        <f t="shared" si="1272"/>
        <v>0</v>
      </c>
      <c r="DM401" s="144">
        <f t="shared" si="1272"/>
        <v>0</v>
      </c>
      <c r="DN401" s="144">
        <f t="shared" si="1272"/>
        <v>0</v>
      </c>
      <c r="DO401" s="9">
        <f t="shared" si="1272"/>
        <v>0</v>
      </c>
      <c r="DP401" s="144">
        <f t="shared" si="1272"/>
        <v>0</v>
      </c>
      <c r="DQ401" s="144">
        <f t="shared" si="1272"/>
        <v>0</v>
      </c>
      <c r="DR401" s="144">
        <f t="shared" si="1272"/>
        <v>0</v>
      </c>
      <c r="DS401" s="144">
        <f t="shared" si="1272"/>
        <v>0</v>
      </c>
      <c r="DT401" s="144">
        <f t="shared" si="1272"/>
        <v>0</v>
      </c>
      <c r="DU401" s="144">
        <f t="shared" si="1272"/>
        <v>0</v>
      </c>
      <c r="DV401" s="144">
        <f t="shared" si="1272"/>
        <v>0</v>
      </c>
      <c r="DW401" s="144">
        <f t="shared" si="1272"/>
        <v>0</v>
      </c>
      <c r="DX401" s="144">
        <f t="shared" si="1272"/>
        <v>0</v>
      </c>
      <c r="DY401" s="144">
        <f t="shared" si="1272"/>
        <v>0</v>
      </c>
      <c r="DZ401" s="144">
        <f t="shared" si="1272"/>
        <v>0</v>
      </c>
      <c r="EA401" s="144">
        <f t="shared" ref="EA401:EB401" si="1273">EA189/EA$211</f>
        <v>0</v>
      </c>
      <c r="EB401" s="117">
        <f t="shared" si="1273"/>
        <v>0</v>
      </c>
      <c r="EC401" s="118"/>
      <c r="ED401" s="117">
        <f t="shared" ref="ED401:FB401" si="1274">ED189/ED$211</f>
        <v>0</v>
      </c>
      <c r="EE401" s="117">
        <f t="shared" si="1274"/>
        <v>0</v>
      </c>
      <c r="EF401" s="117">
        <f t="shared" si="1274"/>
        <v>0</v>
      </c>
      <c r="EG401" s="117" t="e">
        <f t="shared" si="1274"/>
        <v>#DIV/0!</v>
      </c>
      <c r="EH401" s="117" t="e">
        <f t="shared" si="1274"/>
        <v>#DIV/0!</v>
      </c>
      <c r="EI401" s="117" t="e">
        <f t="shared" si="1274"/>
        <v>#DIV/0!</v>
      </c>
      <c r="EJ401" s="117" t="e">
        <f t="shared" si="1274"/>
        <v>#DIV/0!</v>
      </c>
      <c r="EK401" s="117" t="e">
        <f t="shared" si="1274"/>
        <v>#DIV/0!</v>
      </c>
      <c r="EL401" s="117" t="e">
        <f t="shared" si="1274"/>
        <v>#DIV/0!</v>
      </c>
      <c r="EM401" s="117" t="e">
        <f t="shared" si="1274"/>
        <v>#DIV/0!</v>
      </c>
      <c r="EN401" s="117" t="e">
        <f t="shared" si="1274"/>
        <v>#DIV/0!</v>
      </c>
      <c r="EO401" s="116">
        <f t="shared" si="1274"/>
        <v>0</v>
      </c>
      <c r="EP401" s="117">
        <f t="shared" si="1274"/>
        <v>0</v>
      </c>
      <c r="EQ401" s="117">
        <f t="shared" si="1274"/>
        <v>0</v>
      </c>
      <c r="ER401" s="117">
        <f t="shared" si="1274"/>
        <v>0</v>
      </c>
      <c r="ES401" s="117">
        <f t="shared" si="1274"/>
        <v>0</v>
      </c>
      <c r="ET401" s="117">
        <f t="shared" si="1274"/>
        <v>0</v>
      </c>
      <c r="EU401" s="117">
        <f t="shared" si="1274"/>
        <v>0</v>
      </c>
      <c r="EV401" s="117">
        <f t="shared" si="1274"/>
        <v>0</v>
      </c>
      <c r="EW401" s="117">
        <f t="shared" si="1274"/>
        <v>0</v>
      </c>
      <c r="EX401" s="117">
        <f t="shared" si="1274"/>
        <v>0</v>
      </c>
      <c r="EY401" s="117">
        <f t="shared" si="1274"/>
        <v>0</v>
      </c>
      <c r="EZ401" s="117">
        <f t="shared" si="1274"/>
        <v>0</v>
      </c>
      <c r="FA401" s="117">
        <f t="shared" si="1274"/>
        <v>0</v>
      </c>
      <c r="FB401" s="117">
        <f t="shared" si="1274"/>
        <v>0</v>
      </c>
      <c r="FC401" s="118"/>
      <c r="FD401" s="117"/>
      <c r="FE401" s="117"/>
      <c r="FF401" s="117"/>
      <c r="FG401" s="117"/>
      <c r="FH401" s="117"/>
      <c r="FI401" s="117"/>
      <c r="FJ401" s="117"/>
      <c r="FK401" s="117" t="e">
        <f t="shared" ref="FK401:GB401" si="1275">FK189/FK$211</f>
        <v>#DIV/0!</v>
      </c>
      <c r="FL401" s="117" t="e">
        <f t="shared" si="1275"/>
        <v>#DIV/0!</v>
      </c>
      <c r="FM401" s="117" t="e">
        <f t="shared" si="1275"/>
        <v>#DIV/0!</v>
      </c>
      <c r="FN401" s="117" t="e">
        <f t="shared" si="1275"/>
        <v>#DIV/0!</v>
      </c>
      <c r="FO401" s="9" t="e">
        <f t="shared" si="1275"/>
        <v>#DIV/0!</v>
      </c>
      <c r="FP401" s="118">
        <f t="shared" si="1275"/>
        <v>0</v>
      </c>
      <c r="FQ401" s="117">
        <f t="shared" si="1275"/>
        <v>0</v>
      </c>
      <c r="FR401" s="117">
        <f t="shared" si="1275"/>
        <v>0</v>
      </c>
      <c r="FS401" s="117">
        <f t="shared" si="1275"/>
        <v>0</v>
      </c>
      <c r="FT401" s="117">
        <f t="shared" si="1275"/>
        <v>0</v>
      </c>
      <c r="FU401" s="117">
        <f t="shared" si="1275"/>
        <v>0</v>
      </c>
      <c r="FV401" s="117">
        <f t="shared" si="1275"/>
        <v>0</v>
      </c>
      <c r="FW401" s="117">
        <f t="shared" si="1275"/>
        <v>0</v>
      </c>
      <c r="FX401" s="117">
        <f t="shared" si="1275"/>
        <v>0</v>
      </c>
      <c r="FY401" s="117">
        <f t="shared" si="1275"/>
        <v>0</v>
      </c>
      <c r="FZ401" s="117">
        <f t="shared" si="1275"/>
        <v>0</v>
      </c>
      <c r="GA401" s="117">
        <f t="shared" si="1275"/>
        <v>0</v>
      </c>
      <c r="GB401" s="116">
        <f t="shared" si="1275"/>
        <v>0</v>
      </c>
    </row>
    <row r="402" spans="1:184">
      <c r="A402" s="147" t="s">
        <v>361</v>
      </c>
      <c r="B402" s="160" t="e">
        <f t="shared" si="997"/>
        <v>#DIV/0!</v>
      </c>
      <c r="C402" s="117">
        <f t="shared" ref="C402:BN402" si="1276">C190/C$211</f>
        <v>0</v>
      </c>
      <c r="D402" s="117">
        <f t="shared" si="1276"/>
        <v>0</v>
      </c>
      <c r="E402" s="117">
        <f t="shared" si="1276"/>
        <v>0</v>
      </c>
      <c r="F402" s="117">
        <f t="shared" si="1276"/>
        <v>0</v>
      </c>
      <c r="G402" s="117">
        <f t="shared" si="1276"/>
        <v>0</v>
      </c>
      <c r="H402" s="117">
        <f t="shared" si="1276"/>
        <v>0</v>
      </c>
      <c r="I402" s="117">
        <f t="shared" si="1276"/>
        <v>0</v>
      </c>
      <c r="J402" s="117">
        <f t="shared" si="1276"/>
        <v>0</v>
      </c>
      <c r="K402" s="117">
        <f t="shared" si="1276"/>
        <v>0</v>
      </c>
      <c r="L402" s="117">
        <f t="shared" si="1276"/>
        <v>0</v>
      </c>
      <c r="M402" s="117">
        <f t="shared" si="1276"/>
        <v>0</v>
      </c>
      <c r="N402" s="117">
        <f t="shared" si="1276"/>
        <v>0</v>
      </c>
      <c r="O402" s="9">
        <f t="shared" si="1276"/>
        <v>0</v>
      </c>
      <c r="P402" s="117">
        <f t="shared" si="1276"/>
        <v>0</v>
      </c>
      <c r="Q402" s="117">
        <f t="shared" si="1276"/>
        <v>0</v>
      </c>
      <c r="R402" s="117">
        <f t="shared" si="1276"/>
        <v>0</v>
      </c>
      <c r="S402" s="117">
        <f t="shared" si="1276"/>
        <v>0</v>
      </c>
      <c r="T402" s="117">
        <f t="shared" si="1276"/>
        <v>0</v>
      </c>
      <c r="U402" s="117">
        <f t="shared" si="1276"/>
        <v>0</v>
      </c>
      <c r="V402" s="117">
        <f t="shared" si="1276"/>
        <v>0</v>
      </c>
      <c r="W402" s="117">
        <f t="shared" si="1276"/>
        <v>0</v>
      </c>
      <c r="X402" s="117">
        <f t="shared" si="1276"/>
        <v>0</v>
      </c>
      <c r="Y402" s="117">
        <f t="shared" si="1276"/>
        <v>0</v>
      </c>
      <c r="Z402" s="117">
        <f t="shared" si="1276"/>
        <v>0</v>
      </c>
      <c r="AA402" s="117">
        <f t="shared" si="1276"/>
        <v>0</v>
      </c>
      <c r="AB402" s="9">
        <f t="shared" si="1276"/>
        <v>0</v>
      </c>
      <c r="AC402" s="117">
        <f t="shared" si="1276"/>
        <v>0</v>
      </c>
      <c r="AD402" s="117">
        <f t="shared" si="1276"/>
        <v>0</v>
      </c>
      <c r="AE402" s="117">
        <f t="shared" si="1276"/>
        <v>0</v>
      </c>
      <c r="AF402" s="117">
        <f t="shared" si="1276"/>
        <v>0</v>
      </c>
      <c r="AG402" s="117">
        <f t="shared" si="1276"/>
        <v>0</v>
      </c>
      <c r="AH402" s="117">
        <f t="shared" si="1276"/>
        <v>0</v>
      </c>
      <c r="AI402" s="117">
        <f t="shared" si="1276"/>
        <v>0</v>
      </c>
      <c r="AJ402" s="117">
        <f t="shared" si="1276"/>
        <v>0</v>
      </c>
      <c r="AK402" s="117">
        <f t="shared" si="1276"/>
        <v>0</v>
      </c>
      <c r="AL402" s="117">
        <f t="shared" si="1276"/>
        <v>0</v>
      </c>
      <c r="AM402" s="117">
        <f t="shared" si="1276"/>
        <v>0</v>
      </c>
      <c r="AN402" s="117">
        <f t="shared" si="1276"/>
        <v>0</v>
      </c>
      <c r="AO402" s="9">
        <f t="shared" si="1276"/>
        <v>0</v>
      </c>
      <c r="AP402" s="144">
        <f t="shared" si="1276"/>
        <v>0</v>
      </c>
      <c r="AQ402" s="144">
        <f t="shared" si="1276"/>
        <v>0</v>
      </c>
      <c r="AR402" s="144">
        <f t="shared" si="1276"/>
        <v>0</v>
      </c>
      <c r="AS402" s="144">
        <f t="shared" si="1276"/>
        <v>0</v>
      </c>
      <c r="AT402" s="144">
        <f t="shared" si="1276"/>
        <v>0</v>
      </c>
      <c r="AU402" s="144">
        <f t="shared" si="1276"/>
        <v>0</v>
      </c>
      <c r="AV402" s="144">
        <f t="shared" si="1276"/>
        <v>0</v>
      </c>
      <c r="AW402" s="144">
        <f t="shared" si="1276"/>
        <v>0</v>
      </c>
      <c r="AX402" s="144">
        <f t="shared" si="1276"/>
        <v>0</v>
      </c>
      <c r="AY402" s="144">
        <f t="shared" si="1276"/>
        <v>0</v>
      </c>
      <c r="AZ402" s="144">
        <f t="shared" si="1276"/>
        <v>0</v>
      </c>
      <c r="BA402" s="144">
        <f t="shared" si="1276"/>
        <v>0</v>
      </c>
      <c r="BB402" s="9">
        <f t="shared" si="1276"/>
        <v>0</v>
      </c>
      <c r="BC402" s="144">
        <f t="shared" si="1276"/>
        <v>0</v>
      </c>
      <c r="BD402" s="144">
        <f t="shared" si="1276"/>
        <v>0</v>
      </c>
      <c r="BE402" s="144">
        <f t="shared" si="1276"/>
        <v>0</v>
      </c>
      <c r="BF402" s="144">
        <f t="shared" si="1276"/>
        <v>0</v>
      </c>
      <c r="BG402" s="144">
        <f t="shared" si="1276"/>
        <v>0</v>
      </c>
      <c r="BH402" s="144">
        <f t="shared" si="1276"/>
        <v>0</v>
      </c>
      <c r="BI402" s="144">
        <f t="shared" si="1276"/>
        <v>0</v>
      </c>
      <c r="BJ402" s="144">
        <f t="shared" si="1276"/>
        <v>0</v>
      </c>
      <c r="BK402" s="144">
        <f t="shared" si="1276"/>
        <v>0</v>
      </c>
      <c r="BL402" s="144">
        <f t="shared" si="1276"/>
        <v>0</v>
      </c>
      <c r="BM402" s="144">
        <f t="shared" si="1276"/>
        <v>0</v>
      </c>
      <c r="BN402" s="144">
        <f t="shared" si="1276"/>
        <v>0</v>
      </c>
      <c r="BO402" s="9">
        <f t="shared" ref="BO402:DZ402" si="1277">BO190/BO$211</f>
        <v>0</v>
      </c>
      <c r="BP402" s="144">
        <f t="shared" si="1277"/>
        <v>0</v>
      </c>
      <c r="BQ402" s="144">
        <f t="shared" si="1277"/>
        <v>0</v>
      </c>
      <c r="BR402" s="144">
        <f t="shared" si="1277"/>
        <v>0</v>
      </c>
      <c r="BS402" s="144">
        <f t="shared" si="1277"/>
        <v>0</v>
      </c>
      <c r="BT402" s="144">
        <f t="shared" si="1277"/>
        <v>0</v>
      </c>
      <c r="BU402" s="144">
        <f t="shared" si="1277"/>
        <v>0</v>
      </c>
      <c r="BV402" s="144">
        <f t="shared" si="1277"/>
        <v>0</v>
      </c>
      <c r="BW402" s="144">
        <f t="shared" si="1277"/>
        <v>0</v>
      </c>
      <c r="BX402" s="144">
        <f t="shared" si="1277"/>
        <v>0</v>
      </c>
      <c r="BY402" s="144">
        <f t="shared" si="1277"/>
        <v>0</v>
      </c>
      <c r="BZ402" s="144">
        <f t="shared" si="1277"/>
        <v>0</v>
      </c>
      <c r="CA402" s="144">
        <f t="shared" si="1277"/>
        <v>0</v>
      </c>
      <c r="CB402" s="9">
        <f t="shared" si="1277"/>
        <v>0</v>
      </c>
      <c r="CC402" s="144">
        <f t="shared" si="1277"/>
        <v>0</v>
      </c>
      <c r="CD402" s="144">
        <f t="shared" si="1277"/>
        <v>0</v>
      </c>
      <c r="CE402" s="144">
        <f t="shared" si="1277"/>
        <v>0</v>
      </c>
      <c r="CF402" s="144">
        <f t="shared" si="1277"/>
        <v>0</v>
      </c>
      <c r="CG402" s="144">
        <f t="shared" si="1277"/>
        <v>0</v>
      </c>
      <c r="CH402" s="144">
        <f t="shared" si="1277"/>
        <v>0</v>
      </c>
      <c r="CI402" s="144">
        <f t="shared" si="1277"/>
        <v>0</v>
      </c>
      <c r="CJ402" s="144">
        <f t="shared" si="1277"/>
        <v>0</v>
      </c>
      <c r="CK402" s="144">
        <f t="shared" si="1277"/>
        <v>0</v>
      </c>
      <c r="CL402" s="144">
        <f t="shared" si="1277"/>
        <v>0</v>
      </c>
      <c r="CM402" s="144">
        <f t="shared" si="1277"/>
        <v>0</v>
      </c>
      <c r="CN402" s="144">
        <f t="shared" si="1277"/>
        <v>0</v>
      </c>
      <c r="CO402" s="9">
        <f t="shared" si="1277"/>
        <v>0</v>
      </c>
      <c r="CP402" s="144">
        <f t="shared" si="1277"/>
        <v>0</v>
      </c>
      <c r="CQ402" s="144">
        <f t="shared" si="1277"/>
        <v>0</v>
      </c>
      <c r="CR402" s="144">
        <f t="shared" si="1277"/>
        <v>0</v>
      </c>
      <c r="CS402" s="144">
        <f t="shared" si="1277"/>
        <v>0</v>
      </c>
      <c r="CT402" s="144">
        <f t="shared" si="1277"/>
        <v>0</v>
      </c>
      <c r="CU402" s="144">
        <f t="shared" si="1277"/>
        <v>0</v>
      </c>
      <c r="CV402" s="144">
        <f t="shared" si="1277"/>
        <v>0</v>
      </c>
      <c r="CW402" s="144">
        <f t="shared" si="1277"/>
        <v>0</v>
      </c>
      <c r="CX402" s="144">
        <f t="shared" si="1277"/>
        <v>0</v>
      </c>
      <c r="CY402" s="144">
        <f t="shared" si="1277"/>
        <v>0</v>
      </c>
      <c r="CZ402" s="144">
        <f t="shared" si="1277"/>
        <v>0</v>
      </c>
      <c r="DA402" s="144">
        <f t="shared" si="1277"/>
        <v>0</v>
      </c>
      <c r="DB402" s="9">
        <f t="shared" si="1277"/>
        <v>0</v>
      </c>
      <c r="DC402" s="144">
        <f t="shared" si="1277"/>
        <v>0</v>
      </c>
      <c r="DD402" s="144">
        <f t="shared" si="1277"/>
        <v>0</v>
      </c>
      <c r="DE402" s="144">
        <f t="shared" si="1277"/>
        <v>0</v>
      </c>
      <c r="DF402" s="144">
        <f t="shared" si="1277"/>
        <v>0</v>
      </c>
      <c r="DG402" s="144">
        <f t="shared" si="1277"/>
        <v>0</v>
      </c>
      <c r="DH402" s="144">
        <f t="shared" si="1277"/>
        <v>0</v>
      </c>
      <c r="DI402" s="144">
        <f t="shared" si="1277"/>
        <v>0</v>
      </c>
      <c r="DJ402" s="144">
        <f t="shared" si="1277"/>
        <v>0</v>
      </c>
      <c r="DK402" s="144">
        <f t="shared" si="1277"/>
        <v>0</v>
      </c>
      <c r="DL402" s="144">
        <f t="shared" si="1277"/>
        <v>0</v>
      </c>
      <c r="DM402" s="144">
        <f t="shared" si="1277"/>
        <v>0</v>
      </c>
      <c r="DN402" s="144">
        <f t="shared" si="1277"/>
        <v>0</v>
      </c>
      <c r="DO402" s="9">
        <f t="shared" si="1277"/>
        <v>0</v>
      </c>
      <c r="DP402" s="144">
        <f t="shared" si="1277"/>
        <v>0</v>
      </c>
      <c r="DQ402" s="144">
        <f t="shared" si="1277"/>
        <v>0</v>
      </c>
      <c r="DR402" s="144">
        <f t="shared" si="1277"/>
        <v>0</v>
      </c>
      <c r="DS402" s="144">
        <f t="shared" si="1277"/>
        <v>0</v>
      </c>
      <c r="DT402" s="144">
        <f t="shared" si="1277"/>
        <v>0</v>
      </c>
      <c r="DU402" s="144">
        <f t="shared" si="1277"/>
        <v>0</v>
      </c>
      <c r="DV402" s="144">
        <f t="shared" si="1277"/>
        <v>0</v>
      </c>
      <c r="DW402" s="144">
        <f t="shared" si="1277"/>
        <v>0</v>
      </c>
      <c r="DX402" s="144">
        <f t="shared" si="1277"/>
        <v>0</v>
      </c>
      <c r="DY402" s="144">
        <f t="shared" si="1277"/>
        <v>0</v>
      </c>
      <c r="DZ402" s="144">
        <f t="shared" si="1277"/>
        <v>0</v>
      </c>
      <c r="EA402" s="144">
        <f t="shared" ref="EA402:EB402" si="1278">EA190/EA$211</f>
        <v>0</v>
      </c>
      <c r="EB402" s="117">
        <f t="shared" si="1278"/>
        <v>0</v>
      </c>
      <c r="EC402" s="118"/>
      <c r="ED402" s="117">
        <f t="shared" ref="ED402:FB402" si="1279">ED190/ED$211</f>
        <v>0</v>
      </c>
      <c r="EE402" s="117">
        <f t="shared" si="1279"/>
        <v>0</v>
      </c>
      <c r="EF402" s="117">
        <f t="shared" si="1279"/>
        <v>0</v>
      </c>
      <c r="EG402" s="117" t="e">
        <f t="shared" si="1279"/>
        <v>#DIV/0!</v>
      </c>
      <c r="EH402" s="117" t="e">
        <f t="shared" si="1279"/>
        <v>#DIV/0!</v>
      </c>
      <c r="EI402" s="117" t="e">
        <f t="shared" si="1279"/>
        <v>#DIV/0!</v>
      </c>
      <c r="EJ402" s="117" t="e">
        <f t="shared" si="1279"/>
        <v>#DIV/0!</v>
      </c>
      <c r="EK402" s="117" t="e">
        <f t="shared" si="1279"/>
        <v>#DIV/0!</v>
      </c>
      <c r="EL402" s="117" t="e">
        <f t="shared" si="1279"/>
        <v>#DIV/0!</v>
      </c>
      <c r="EM402" s="117" t="e">
        <f t="shared" si="1279"/>
        <v>#DIV/0!</v>
      </c>
      <c r="EN402" s="117" t="e">
        <f t="shared" si="1279"/>
        <v>#DIV/0!</v>
      </c>
      <c r="EO402" s="116">
        <f t="shared" si="1279"/>
        <v>0</v>
      </c>
      <c r="EP402" s="117">
        <f t="shared" si="1279"/>
        <v>0</v>
      </c>
      <c r="EQ402" s="117">
        <f t="shared" si="1279"/>
        <v>0</v>
      </c>
      <c r="ER402" s="117">
        <f t="shared" si="1279"/>
        <v>0</v>
      </c>
      <c r="ES402" s="117">
        <f t="shared" si="1279"/>
        <v>0</v>
      </c>
      <c r="ET402" s="117">
        <f t="shared" si="1279"/>
        <v>0</v>
      </c>
      <c r="EU402" s="117">
        <f t="shared" si="1279"/>
        <v>0</v>
      </c>
      <c r="EV402" s="117">
        <f t="shared" si="1279"/>
        <v>0</v>
      </c>
      <c r="EW402" s="117">
        <f t="shared" si="1279"/>
        <v>0</v>
      </c>
      <c r="EX402" s="117">
        <f t="shared" si="1279"/>
        <v>0</v>
      </c>
      <c r="EY402" s="117">
        <f t="shared" si="1279"/>
        <v>0</v>
      </c>
      <c r="EZ402" s="117">
        <f t="shared" si="1279"/>
        <v>0</v>
      </c>
      <c r="FA402" s="117">
        <f t="shared" si="1279"/>
        <v>0</v>
      </c>
      <c r="FB402" s="117">
        <f t="shared" si="1279"/>
        <v>0</v>
      </c>
      <c r="FC402" s="118"/>
      <c r="FD402" s="117"/>
      <c r="FE402" s="117"/>
      <c r="FF402" s="117"/>
      <c r="FG402" s="117"/>
      <c r="FH402" s="117"/>
      <c r="FI402" s="117"/>
      <c r="FJ402" s="117"/>
      <c r="FK402" s="117" t="e">
        <f t="shared" ref="FK402:GB402" si="1280">FK190/FK$211</f>
        <v>#DIV/0!</v>
      </c>
      <c r="FL402" s="117" t="e">
        <f t="shared" si="1280"/>
        <v>#DIV/0!</v>
      </c>
      <c r="FM402" s="117" t="e">
        <f t="shared" si="1280"/>
        <v>#DIV/0!</v>
      </c>
      <c r="FN402" s="117" t="e">
        <f t="shared" si="1280"/>
        <v>#DIV/0!</v>
      </c>
      <c r="FO402" s="9" t="e">
        <f t="shared" si="1280"/>
        <v>#DIV/0!</v>
      </c>
      <c r="FP402" s="118">
        <f t="shared" si="1280"/>
        <v>0</v>
      </c>
      <c r="FQ402" s="117">
        <f t="shared" si="1280"/>
        <v>0</v>
      </c>
      <c r="FR402" s="117">
        <f t="shared" si="1280"/>
        <v>0</v>
      </c>
      <c r="FS402" s="117">
        <f t="shared" si="1280"/>
        <v>0</v>
      </c>
      <c r="FT402" s="117">
        <f t="shared" si="1280"/>
        <v>0</v>
      </c>
      <c r="FU402" s="117">
        <f t="shared" si="1280"/>
        <v>0</v>
      </c>
      <c r="FV402" s="117">
        <f t="shared" si="1280"/>
        <v>0</v>
      </c>
      <c r="FW402" s="117">
        <f t="shared" si="1280"/>
        <v>0</v>
      </c>
      <c r="FX402" s="117">
        <f t="shared" si="1280"/>
        <v>0</v>
      </c>
      <c r="FY402" s="117">
        <f t="shared" si="1280"/>
        <v>0</v>
      </c>
      <c r="FZ402" s="117">
        <f t="shared" si="1280"/>
        <v>0</v>
      </c>
      <c r="GA402" s="117">
        <f t="shared" si="1280"/>
        <v>0</v>
      </c>
      <c r="GB402" s="116">
        <f t="shared" si="1280"/>
        <v>0</v>
      </c>
    </row>
    <row r="403" spans="1:184">
      <c r="A403" s="147" t="s">
        <v>362</v>
      </c>
      <c r="B403" s="160" t="e">
        <f t="shared" si="997"/>
        <v>#DIV/0!</v>
      </c>
      <c r="C403" s="117">
        <f t="shared" ref="C403:BN403" si="1281">C191/C$211</f>
        <v>0</v>
      </c>
      <c r="D403" s="117">
        <f t="shared" si="1281"/>
        <v>0</v>
      </c>
      <c r="E403" s="117">
        <f t="shared" si="1281"/>
        <v>0</v>
      </c>
      <c r="F403" s="117">
        <f t="shared" si="1281"/>
        <v>0</v>
      </c>
      <c r="G403" s="117">
        <f t="shared" si="1281"/>
        <v>0</v>
      </c>
      <c r="H403" s="117">
        <f t="shared" si="1281"/>
        <v>0</v>
      </c>
      <c r="I403" s="117">
        <f t="shared" si="1281"/>
        <v>0</v>
      </c>
      <c r="J403" s="117">
        <f t="shared" si="1281"/>
        <v>0</v>
      </c>
      <c r="K403" s="117">
        <f t="shared" si="1281"/>
        <v>0</v>
      </c>
      <c r="L403" s="117">
        <f t="shared" si="1281"/>
        <v>0</v>
      </c>
      <c r="M403" s="117">
        <f t="shared" si="1281"/>
        <v>0</v>
      </c>
      <c r="N403" s="117">
        <f t="shared" si="1281"/>
        <v>0</v>
      </c>
      <c r="O403" s="9">
        <f t="shared" si="1281"/>
        <v>0</v>
      </c>
      <c r="P403" s="117">
        <f t="shared" si="1281"/>
        <v>0</v>
      </c>
      <c r="Q403" s="117">
        <f t="shared" si="1281"/>
        <v>0</v>
      </c>
      <c r="R403" s="117">
        <f t="shared" si="1281"/>
        <v>0</v>
      </c>
      <c r="S403" s="117">
        <f t="shared" si="1281"/>
        <v>0</v>
      </c>
      <c r="T403" s="117">
        <f t="shared" si="1281"/>
        <v>0</v>
      </c>
      <c r="U403" s="117">
        <f t="shared" si="1281"/>
        <v>0</v>
      </c>
      <c r="V403" s="117">
        <f t="shared" si="1281"/>
        <v>0</v>
      </c>
      <c r="W403" s="117">
        <f t="shared" si="1281"/>
        <v>0</v>
      </c>
      <c r="X403" s="117">
        <f t="shared" si="1281"/>
        <v>0</v>
      </c>
      <c r="Y403" s="117">
        <f t="shared" si="1281"/>
        <v>0</v>
      </c>
      <c r="Z403" s="117">
        <f t="shared" si="1281"/>
        <v>0</v>
      </c>
      <c r="AA403" s="117">
        <f t="shared" si="1281"/>
        <v>0</v>
      </c>
      <c r="AB403" s="9">
        <f t="shared" si="1281"/>
        <v>0</v>
      </c>
      <c r="AC403" s="117">
        <f t="shared" si="1281"/>
        <v>0</v>
      </c>
      <c r="AD403" s="117">
        <f t="shared" si="1281"/>
        <v>0</v>
      </c>
      <c r="AE403" s="117">
        <f t="shared" si="1281"/>
        <v>0</v>
      </c>
      <c r="AF403" s="117">
        <f t="shared" si="1281"/>
        <v>0</v>
      </c>
      <c r="AG403" s="117">
        <f t="shared" si="1281"/>
        <v>0</v>
      </c>
      <c r="AH403" s="117">
        <f t="shared" si="1281"/>
        <v>0</v>
      </c>
      <c r="AI403" s="117">
        <f t="shared" si="1281"/>
        <v>0</v>
      </c>
      <c r="AJ403" s="117">
        <f t="shared" si="1281"/>
        <v>0</v>
      </c>
      <c r="AK403" s="117">
        <f t="shared" si="1281"/>
        <v>0</v>
      </c>
      <c r="AL403" s="117">
        <f t="shared" si="1281"/>
        <v>0</v>
      </c>
      <c r="AM403" s="117">
        <f t="shared" si="1281"/>
        <v>0</v>
      </c>
      <c r="AN403" s="117">
        <f t="shared" si="1281"/>
        <v>0</v>
      </c>
      <c r="AO403" s="9">
        <f t="shared" si="1281"/>
        <v>0</v>
      </c>
      <c r="AP403" s="144">
        <f t="shared" si="1281"/>
        <v>0</v>
      </c>
      <c r="AQ403" s="144">
        <f t="shared" si="1281"/>
        <v>0</v>
      </c>
      <c r="AR403" s="144">
        <f t="shared" si="1281"/>
        <v>0</v>
      </c>
      <c r="AS403" s="144">
        <f t="shared" si="1281"/>
        <v>0</v>
      </c>
      <c r="AT403" s="144">
        <f t="shared" si="1281"/>
        <v>0</v>
      </c>
      <c r="AU403" s="144">
        <f t="shared" si="1281"/>
        <v>0</v>
      </c>
      <c r="AV403" s="144">
        <f t="shared" si="1281"/>
        <v>0</v>
      </c>
      <c r="AW403" s="144">
        <f t="shared" si="1281"/>
        <v>0</v>
      </c>
      <c r="AX403" s="144">
        <f t="shared" si="1281"/>
        <v>0</v>
      </c>
      <c r="AY403" s="144">
        <f t="shared" si="1281"/>
        <v>0</v>
      </c>
      <c r="AZ403" s="144">
        <f t="shared" si="1281"/>
        <v>0</v>
      </c>
      <c r="BA403" s="144">
        <f t="shared" si="1281"/>
        <v>0</v>
      </c>
      <c r="BB403" s="9">
        <f t="shared" si="1281"/>
        <v>0</v>
      </c>
      <c r="BC403" s="144">
        <f t="shared" si="1281"/>
        <v>0</v>
      </c>
      <c r="BD403" s="144">
        <f t="shared" si="1281"/>
        <v>0</v>
      </c>
      <c r="BE403" s="144">
        <f t="shared" si="1281"/>
        <v>0</v>
      </c>
      <c r="BF403" s="144">
        <f t="shared" si="1281"/>
        <v>0</v>
      </c>
      <c r="BG403" s="144">
        <f t="shared" si="1281"/>
        <v>0</v>
      </c>
      <c r="BH403" s="144">
        <f t="shared" si="1281"/>
        <v>0</v>
      </c>
      <c r="BI403" s="144">
        <f t="shared" si="1281"/>
        <v>0</v>
      </c>
      <c r="BJ403" s="144">
        <f t="shared" si="1281"/>
        <v>0</v>
      </c>
      <c r="BK403" s="144">
        <f t="shared" si="1281"/>
        <v>0</v>
      </c>
      <c r="BL403" s="144">
        <f t="shared" si="1281"/>
        <v>0</v>
      </c>
      <c r="BM403" s="144">
        <f t="shared" si="1281"/>
        <v>0</v>
      </c>
      <c r="BN403" s="144">
        <f t="shared" si="1281"/>
        <v>0</v>
      </c>
      <c r="BO403" s="9">
        <f t="shared" ref="BO403:DZ403" si="1282">BO191/BO$211</f>
        <v>0</v>
      </c>
      <c r="BP403" s="144">
        <f t="shared" si="1282"/>
        <v>0</v>
      </c>
      <c r="BQ403" s="144">
        <f t="shared" si="1282"/>
        <v>0</v>
      </c>
      <c r="BR403" s="144">
        <f t="shared" si="1282"/>
        <v>0</v>
      </c>
      <c r="BS403" s="144">
        <f t="shared" si="1282"/>
        <v>0</v>
      </c>
      <c r="BT403" s="144">
        <f t="shared" si="1282"/>
        <v>0</v>
      </c>
      <c r="BU403" s="144">
        <f t="shared" si="1282"/>
        <v>0</v>
      </c>
      <c r="BV403" s="144">
        <f t="shared" si="1282"/>
        <v>0</v>
      </c>
      <c r="BW403" s="144">
        <f t="shared" si="1282"/>
        <v>0</v>
      </c>
      <c r="BX403" s="144">
        <f t="shared" si="1282"/>
        <v>0</v>
      </c>
      <c r="BY403" s="144">
        <f t="shared" si="1282"/>
        <v>0</v>
      </c>
      <c r="BZ403" s="144">
        <f t="shared" si="1282"/>
        <v>0</v>
      </c>
      <c r="CA403" s="144">
        <f t="shared" si="1282"/>
        <v>0</v>
      </c>
      <c r="CB403" s="9">
        <f t="shared" si="1282"/>
        <v>0</v>
      </c>
      <c r="CC403" s="144">
        <f t="shared" si="1282"/>
        <v>0</v>
      </c>
      <c r="CD403" s="144">
        <f t="shared" si="1282"/>
        <v>0</v>
      </c>
      <c r="CE403" s="144">
        <f t="shared" si="1282"/>
        <v>0</v>
      </c>
      <c r="CF403" s="144">
        <f t="shared" si="1282"/>
        <v>0</v>
      </c>
      <c r="CG403" s="144">
        <f t="shared" si="1282"/>
        <v>0</v>
      </c>
      <c r="CH403" s="144">
        <f t="shared" si="1282"/>
        <v>0</v>
      </c>
      <c r="CI403" s="144">
        <f t="shared" si="1282"/>
        <v>0</v>
      </c>
      <c r="CJ403" s="144">
        <f t="shared" si="1282"/>
        <v>0</v>
      </c>
      <c r="CK403" s="144">
        <f t="shared" si="1282"/>
        <v>0</v>
      </c>
      <c r="CL403" s="144">
        <f t="shared" si="1282"/>
        <v>0</v>
      </c>
      <c r="CM403" s="144">
        <f t="shared" si="1282"/>
        <v>0</v>
      </c>
      <c r="CN403" s="144">
        <f t="shared" si="1282"/>
        <v>0</v>
      </c>
      <c r="CO403" s="9">
        <f t="shared" si="1282"/>
        <v>0</v>
      </c>
      <c r="CP403" s="144">
        <f t="shared" si="1282"/>
        <v>0</v>
      </c>
      <c r="CQ403" s="144">
        <f t="shared" si="1282"/>
        <v>0</v>
      </c>
      <c r="CR403" s="144">
        <f t="shared" si="1282"/>
        <v>0</v>
      </c>
      <c r="CS403" s="144">
        <f t="shared" si="1282"/>
        <v>0</v>
      </c>
      <c r="CT403" s="144">
        <f t="shared" si="1282"/>
        <v>0</v>
      </c>
      <c r="CU403" s="144">
        <f t="shared" si="1282"/>
        <v>0</v>
      </c>
      <c r="CV403" s="144">
        <f t="shared" si="1282"/>
        <v>0</v>
      </c>
      <c r="CW403" s="144">
        <f t="shared" si="1282"/>
        <v>0</v>
      </c>
      <c r="CX403" s="144">
        <f t="shared" si="1282"/>
        <v>0</v>
      </c>
      <c r="CY403" s="144">
        <f t="shared" si="1282"/>
        <v>0</v>
      </c>
      <c r="CZ403" s="144">
        <f t="shared" si="1282"/>
        <v>0</v>
      </c>
      <c r="DA403" s="144">
        <f t="shared" si="1282"/>
        <v>0</v>
      </c>
      <c r="DB403" s="9">
        <f t="shared" si="1282"/>
        <v>0</v>
      </c>
      <c r="DC403" s="144">
        <f t="shared" si="1282"/>
        <v>0</v>
      </c>
      <c r="DD403" s="144">
        <f t="shared" si="1282"/>
        <v>0</v>
      </c>
      <c r="DE403" s="144">
        <f t="shared" si="1282"/>
        <v>0</v>
      </c>
      <c r="DF403" s="144">
        <f t="shared" si="1282"/>
        <v>0</v>
      </c>
      <c r="DG403" s="144">
        <f t="shared" si="1282"/>
        <v>0</v>
      </c>
      <c r="DH403" s="144">
        <f t="shared" si="1282"/>
        <v>0</v>
      </c>
      <c r="DI403" s="144">
        <f t="shared" si="1282"/>
        <v>0</v>
      </c>
      <c r="DJ403" s="144">
        <f t="shared" si="1282"/>
        <v>0</v>
      </c>
      <c r="DK403" s="144">
        <f t="shared" si="1282"/>
        <v>0</v>
      </c>
      <c r="DL403" s="144">
        <f t="shared" si="1282"/>
        <v>0</v>
      </c>
      <c r="DM403" s="144">
        <f t="shared" si="1282"/>
        <v>0</v>
      </c>
      <c r="DN403" s="144">
        <f t="shared" si="1282"/>
        <v>0</v>
      </c>
      <c r="DO403" s="9">
        <f t="shared" si="1282"/>
        <v>0</v>
      </c>
      <c r="DP403" s="144">
        <f t="shared" si="1282"/>
        <v>0</v>
      </c>
      <c r="DQ403" s="144">
        <f t="shared" si="1282"/>
        <v>0</v>
      </c>
      <c r="DR403" s="144">
        <f t="shared" si="1282"/>
        <v>0</v>
      </c>
      <c r="DS403" s="144">
        <f t="shared" si="1282"/>
        <v>0</v>
      </c>
      <c r="DT403" s="144">
        <f t="shared" si="1282"/>
        <v>0</v>
      </c>
      <c r="DU403" s="144">
        <f t="shared" si="1282"/>
        <v>0</v>
      </c>
      <c r="DV403" s="144">
        <f t="shared" si="1282"/>
        <v>0</v>
      </c>
      <c r="DW403" s="144">
        <f t="shared" si="1282"/>
        <v>0</v>
      </c>
      <c r="DX403" s="144">
        <f t="shared" si="1282"/>
        <v>0</v>
      </c>
      <c r="DY403" s="144">
        <f t="shared" si="1282"/>
        <v>0</v>
      </c>
      <c r="DZ403" s="144">
        <f t="shared" si="1282"/>
        <v>0</v>
      </c>
      <c r="EA403" s="144">
        <f t="shared" ref="EA403:EB403" si="1283">EA191/EA$211</f>
        <v>0</v>
      </c>
      <c r="EB403" s="117">
        <f t="shared" si="1283"/>
        <v>0</v>
      </c>
      <c r="EC403" s="118"/>
      <c r="ED403" s="117">
        <f t="shared" ref="ED403:FB403" si="1284">ED191/ED$211</f>
        <v>0</v>
      </c>
      <c r="EE403" s="117">
        <f t="shared" si="1284"/>
        <v>0</v>
      </c>
      <c r="EF403" s="117">
        <f t="shared" si="1284"/>
        <v>0</v>
      </c>
      <c r="EG403" s="117" t="e">
        <f t="shared" si="1284"/>
        <v>#DIV/0!</v>
      </c>
      <c r="EH403" s="117" t="e">
        <f t="shared" si="1284"/>
        <v>#DIV/0!</v>
      </c>
      <c r="EI403" s="117" t="e">
        <f t="shared" si="1284"/>
        <v>#DIV/0!</v>
      </c>
      <c r="EJ403" s="117" t="e">
        <f t="shared" si="1284"/>
        <v>#DIV/0!</v>
      </c>
      <c r="EK403" s="117" t="e">
        <f t="shared" si="1284"/>
        <v>#DIV/0!</v>
      </c>
      <c r="EL403" s="117" t="e">
        <f t="shared" si="1284"/>
        <v>#DIV/0!</v>
      </c>
      <c r="EM403" s="117" t="e">
        <f t="shared" si="1284"/>
        <v>#DIV/0!</v>
      </c>
      <c r="EN403" s="117" t="e">
        <f t="shared" si="1284"/>
        <v>#DIV/0!</v>
      </c>
      <c r="EO403" s="116">
        <f t="shared" si="1284"/>
        <v>0</v>
      </c>
      <c r="EP403" s="117">
        <f t="shared" si="1284"/>
        <v>0</v>
      </c>
      <c r="EQ403" s="117">
        <f t="shared" si="1284"/>
        <v>0</v>
      </c>
      <c r="ER403" s="117">
        <f t="shared" si="1284"/>
        <v>0</v>
      </c>
      <c r="ES403" s="117">
        <f t="shared" si="1284"/>
        <v>0</v>
      </c>
      <c r="ET403" s="117">
        <f t="shared" si="1284"/>
        <v>0</v>
      </c>
      <c r="EU403" s="117">
        <f t="shared" si="1284"/>
        <v>0</v>
      </c>
      <c r="EV403" s="117">
        <f t="shared" si="1284"/>
        <v>0</v>
      </c>
      <c r="EW403" s="117">
        <f t="shared" si="1284"/>
        <v>0</v>
      </c>
      <c r="EX403" s="117">
        <f t="shared" si="1284"/>
        <v>0</v>
      </c>
      <c r="EY403" s="117">
        <f t="shared" si="1284"/>
        <v>0</v>
      </c>
      <c r="EZ403" s="117">
        <f t="shared" si="1284"/>
        <v>0</v>
      </c>
      <c r="FA403" s="117">
        <f t="shared" si="1284"/>
        <v>0</v>
      </c>
      <c r="FB403" s="117">
        <f t="shared" si="1284"/>
        <v>0</v>
      </c>
      <c r="FC403" s="118"/>
      <c r="FD403" s="117"/>
      <c r="FE403" s="117"/>
      <c r="FF403" s="117"/>
      <c r="FG403" s="117"/>
      <c r="FH403" s="117"/>
      <c r="FI403" s="117"/>
      <c r="FJ403" s="117"/>
      <c r="FK403" s="117" t="e">
        <f t="shared" ref="FK403:GB403" si="1285">FK191/FK$211</f>
        <v>#DIV/0!</v>
      </c>
      <c r="FL403" s="117" t="e">
        <f t="shared" si="1285"/>
        <v>#DIV/0!</v>
      </c>
      <c r="FM403" s="117" t="e">
        <f t="shared" si="1285"/>
        <v>#DIV/0!</v>
      </c>
      <c r="FN403" s="117" t="e">
        <f t="shared" si="1285"/>
        <v>#DIV/0!</v>
      </c>
      <c r="FO403" s="9" t="e">
        <f t="shared" si="1285"/>
        <v>#DIV/0!</v>
      </c>
      <c r="FP403" s="118">
        <f t="shared" si="1285"/>
        <v>0</v>
      </c>
      <c r="FQ403" s="117">
        <f t="shared" si="1285"/>
        <v>0</v>
      </c>
      <c r="FR403" s="117">
        <f t="shared" si="1285"/>
        <v>0</v>
      </c>
      <c r="FS403" s="117">
        <f t="shared" si="1285"/>
        <v>0</v>
      </c>
      <c r="FT403" s="117">
        <f t="shared" si="1285"/>
        <v>0</v>
      </c>
      <c r="FU403" s="117">
        <f t="shared" si="1285"/>
        <v>0</v>
      </c>
      <c r="FV403" s="117">
        <f t="shared" si="1285"/>
        <v>0</v>
      </c>
      <c r="FW403" s="117">
        <f t="shared" si="1285"/>
        <v>0</v>
      </c>
      <c r="FX403" s="117">
        <f t="shared" si="1285"/>
        <v>0</v>
      </c>
      <c r="FY403" s="117">
        <f t="shared" si="1285"/>
        <v>0</v>
      </c>
      <c r="FZ403" s="117">
        <f t="shared" si="1285"/>
        <v>0</v>
      </c>
      <c r="GA403" s="117">
        <f t="shared" si="1285"/>
        <v>0</v>
      </c>
      <c r="GB403" s="116">
        <f t="shared" si="1285"/>
        <v>0</v>
      </c>
    </row>
    <row r="404" spans="1:184">
      <c r="A404" s="147" t="s">
        <v>363</v>
      </c>
      <c r="B404" s="160" t="e">
        <f t="shared" si="997"/>
        <v>#DIV/0!</v>
      </c>
      <c r="C404" s="117">
        <f t="shared" ref="C404:BN404" si="1286">C192/C$211</f>
        <v>0</v>
      </c>
      <c r="D404" s="117">
        <f t="shared" si="1286"/>
        <v>0</v>
      </c>
      <c r="E404" s="117">
        <f t="shared" si="1286"/>
        <v>0</v>
      </c>
      <c r="F404" s="117">
        <f t="shared" si="1286"/>
        <v>0</v>
      </c>
      <c r="G404" s="117">
        <f t="shared" si="1286"/>
        <v>0</v>
      </c>
      <c r="H404" s="117">
        <f t="shared" si="1286"/>
        <v>0</v>
      </c>
      <c r="I404" s="117">
        <f t="shared" si="1286"/>
        <v>0</v>
      </c>
      <c r="J404" s="117">
        <f t="shared" si="1286"/>
        <v>0</v>
      </c>
      <c r="K404" s="117">
        <f t="shared" si="1286"/>
        <v>0</v>
      </c>
      <c r="L404" s="117">
        <f t="shared" si="1286"/>
        <v>0.000487220105097918</v>
      </c>
      <c r="M404" s="117">
        <f t="shared" si="1286"/>
        <v>0</v>
      </c>
      <c r="N404" s="117">
        <f t="shared" si="1286"/>
        <v>0</v>
      </c>
      <c r="O404" s="9">
        <f t="shared" si="1286"/>
        <v>4.1017904357097e-5</v>
      </c>
      <c r="P404" s="117">
        <f t="shared" si="1286"/>
        <v>0</v>
      </c>
      <c r="Q404" s="117">
        <f t="shared" si="1286"/>
        <v>0</v>
      </c>
      <c r="R404" s="117">
        <f t="shared" si="1286"/>
        <v>0</v>
      </c>
      <c r="S404" s="117">
        <f t="shared" si="1286"/>
        <v>0</v>
      </c>
      <c r="T404" s="117">
        <f t="shared" si="1286"/>
        <v>0</v>
      </c>
      <c r="U404" s="117">
        <f t="shared" si="1286"/>
        <v>0</v>
      </c>
      <c r="V404" s="117">
        <f t="shared" si="1286"/>
        <v>0</v>
      </c>
      <c r="W404" s="117">
        <f t="shared" si="1286"/>
        <v>0</v>
      </c>
      <c r="X404" s="117">
        <f t="shared" si="1286"/>
        <v>0</v>
      </c>
      <c r="Y404" s="117">
        <f t="shared" si="1286"/>
        <v>0</v>
      </c>
      <c r="Z404" s="117">
        <f t="shared" si="1286"/>
        <v>0</v>
      </c>
      <c r="AA404" s="117">
        <f t="shared" si="1286"/>
        <v>0</v>
      </c>
      <c r="AB404" s="9">
        <f t="shared" si="1286"/>
        <v>0</v>
      </c>
      <c r="AC404" s="117">
        <f t="shared" si="1286"/>
        <v>0</v>
      </c>
      <c r="AD404" s="117">
        <f t="shared" si="1286"/>
        <v>0</v>
      </c>
      <c r="AE404" s="117">
        <f t="shared" si="1286"/>
        <v>0</v>
      </c>
      <c r="AF404" s="117">
        <f t="shared" si="1286"/>
        <v>0</v>
      </c>
      <c r="AG404" s="117">
        <f t="shared" si="1286"/>
        <v>0</v>
      </c>
      <c r="AH404" s="117">
        <f t="shared" si="1286"/>
        <v>0</v>
      </c>
      <c r="AI404" s="117">
        <f t="shared" si="1286"/>
        <v>0</v>
      </c>
      <c r="AJ404" s="117">
        <f t="shared" si="1286"/>
        <v>0</v>
      </c>
      <c r="AK404" s="117">
        <f t="shared" si="1286"/>
        <v>0</v>
      </c>
      <c r="AL404" s="117">
        <f t="shared" si="1286"/>
        <v>0</v>
      </c>
      <c r="AM404" s="117">
        <f t="shared" si="1286"/>
        <v>0</v>
      </c>
      <c r="AN404" s="117">
        <f t="shared" si="1286"/>
        <v>0</v>
      </c>
      <c r="AO404" s="9">
        <f t="shared" si="1286"/>
        <v>0</v>
      </c>
      <c r="AP404" s="144">
        <f t="shared" si="1286"/>
        <v>0</v>
      </c>
      <c r="AQ404" s="144">
        <f t="shared" si="1286"/>
        <v>0</v>
      </c>
      <c r="AR404" s="144">
        <f t="shared" si="1286"/>
        <v>0</v>
      </c>
      <c r="AS404" s="144">
        <f t="shared" si="1286"/>
        <v>0</v>
      </c>
      <c r="AT404" s="144">
        <f t="shared" si="1286"/>
        <v>0</v>
      </c>
      <c r="AU404" s="144">
        <f t="shared" si="1286"/>
        <v>0</v>
      </c>
      <c r="AV404" s="144">
        <f t="shared" si="1286"/>
        <v>0</v>
      </c>
      <c r="AW404" s="144">
        <f t="shared" si="1286"/>
        <v>0</v>
      </c>
      <c r="AX404" s="144">
        <f t="shared" si="1286"/>
        <v>0</v>
      </c>
      <c r="AY404" s="144">
        <f t="shared" si="1286"/>
        <v>0</v>
      </c>
      <c r="AZ404" s="144">
        <f t="shared" si="1286"/>
        <v>0</v>
      </c>
      <c r="BA404" s="144">
        <f t="shared" si="1286"/>
        <v>0</v>
      </c>
      <c r="BB404" s="9">
        <f t="shared" si="1286"/>
        <v>0</v>
      </c>
      <c r="BC404" s="144">
        <f t="shared" si="1286"/>
        <v>0</v>
      </c>
      <c r="BD404" s="144">
        <f t="shared" si="1286"/>
        <v>0</v>
      </c>
      <c r="BE404" s="144">
        <f t="shared" si="1286"/>
        <v>0</v>
      </c>
      <c r="BF404" s="144">
        <f t="shared" si="1286"/>
        <v>0</v>
      </c>
      <c r="BG404" s="144">
        <f t="shared" si="1286"/>
        <v>0</v>
      </c>
      <c r="BH404" s="144">
        <f t="shared" si="1286"/>
        <v>0</v>
      </c>
      <c r="BI404" s="144">
        <f t="shared" si="1286"/>
        <v>0</v>
      </c>
      <c r="BJ404" s="144">
        <f t="shared" si="1286"/>
        <v>0</v>
      </c>
      <c r="BK404" s="144">
        <f t="shared" si="1286"/>
        <v>0</v>
      </c>
      <c r="BL404" s="144">
        <f t="shared" si="1286"/>
        <v>0</v>
      </c>
      <c r="BM404" s="144">
        <f t="shared" si="1286"/>
        <v>0</v>
      </c>
      <c r="BN404" s="144">
        <f t="shared" si="1286"/>
        <v>0</v>
      </c>
      <c r="BO404" s="9">
        <f t="shared" ref="BO404:DZ404" si="1287">BO192/BO$211</f>
        <v>0</v>
      </c>
      <c r="BP404" s="144">
        <f t="shared" si="1287"/>
        <v>0</v>
      </c>
      <c r="BQ404" s="144">
        <f t="shared" si="1287"/>
        <v>0</v>
      </c>
      <c r="BR404" s="144">
        <f t="shared" si="1287"/>
        <v>0</v>
      </c>
      <c r="BS404" s="144">
        <f t="shared" si="1287"/>
        <v>0</v>
      </c>
      <c r="BT404" s="144">
        <f t="shared" si="1287"/>
        <v>0</v>
      </c>
      <c r="BU404" s="144">
        <f t="shared" si="1287"/>
        <v>0</v>
      </c>
      <c r="BV404" s="144">
        <f t="shared" si="1287"/>
        <v>0</v>
      </c>
      <c r="BW404" s="144">
        <f t="shared" si="1287"/>
        <v>0</v>
      </c>
      <c r="BX404" s="144">
        <f t="shared" si="1287"/>
        <v>0</v>
      </c>
      <c r="BY404" s="144">
        <f t="shared" si="1287"/>
        <v>0</v>
      </c>
      <c r="BZ404" s="144">
        <f t="shared" si="1287"/>
        <v>0</v>
      </c>
      <c r="CA404" s="144">
        <f t="shared" si="1287"/>
        <v>0</v>
      </c>
      <c r="CB404" s="9">
        <f t="shared" si="1287"/>
        <v>0</v>
      </c>
      <c r="CC404" s="144">
        <f t="shared" si="1287"/>
        <v>0</v>
      </c>
      <c r="CD404" s="144">
        <f t="shared" si="1287"/>
        <v>0</v>
      </c>
      <c r="CE404" s="144">
        <f t="shared" si="1287"/>
        <v>0</v>
      </c>
      <c r="CF404" s="144">
        <f t="shared" si="1287"/>
        <v>0</v>
      </c>
      <c r="CG404" s="144">
        <f t="shared" si="1287"/>
        <v>0</v>
      </c>
      <c r="CH404" s="144">
        <f t="shared" si="1287"/>
        <v>0</v>
      </c>
      <c r="CI404" s="144">
        <f t="shared" si="1287"/>
        <v>0</v>
      </c>
      <c r="CJ404" s="144">
        <f t="shared" si="1287"/>
        <v>0</v>
      </c>
      <c r="CK404" s="144">
        <f t="shared" si="1287"/>
        <v>0</v>
      </c>
      <c r="CL404" s="144">
        <f t="shared" si="1287"/>
        <v>0</v>
      </c>
      <c r="CM404" s="144">
        <f t="shared" si="1287"/>
        <v>0</v>
      </c>
      <c r="CN404" s="144">
        <f t="shared" si="1287"/>
        <v>0</v>
      </c>
      <c r="CO404" s="9">
        <f t="shared" si="1287"/>
        <v>0</v>
      </c>
      <c r="CP404" s="144">
        <f t="shared" si="1287"/>
        <v>0</v>
      </c>
      <c r="CQ404" s="144">
        <f t="shared" si="1287"/>
        <v>0</v>
      </c>
      <c r="CR404" s="144">
        <f t="shared" si="1287"/>
        <v>0</v>
      </c>
      <c r="CS404" s="144">
        <f t="shared" si="1287"/>
        <v>0</v>
      </c>
      <c r="CT404" s="144">
        <f t="shared" si="1287"/>
        <v>0</v>
      </c>
      <c r="CU404" s="144">
        <f t="shared" si="1287"/>
        <v>0</v>
      </c>
      <c r="CV404" s="144">
        <f t="shared" si="1287"/>
        <v>0</v>
      </c>
      <c r="CW404" s="144">
        <f t="shared" si="1287"/>
        <v>0</v>
      </c>
      <c r="CX404" s="144">
        <f t="shared" si="1287"/>
        <v>0</v>
      </c>
      <c r="CY404" s="144">
        <f t="shared" si="1287"/>
        <v>0</v>
      </c>
      <c r="CZ404" s="144">
        <f t="shared" si="1287"/>
        <v>0</v>
      </c>
      <c r="DA404" s="144">
        <f t="shared" si="1287"/>
        <v>0</v>
      </c>
      <c r="DB404" s="9">
        <f t="shared" si="1287"/>
        <v>0</v>
      </c>
      <c r="DC404" s="144">
        <f t="shared" si="1287"/>
        <v>0</v>
      </c>
      <c r="DD404" s="144">
        <f t="shared" si="1287"/>
        <v>0</v>
      </c>
      <c r="DE404" s="144">
        <f t="shared" si="1287"/>
        <v>0</v>
      </c>
      <c r="DF404" s="144">
        <f t="shared" si="1287"/>
        <v>0</v>
      </c>
      <c r="DG404" s="144">
        <f t="shared" si="1287"/>
        <v>0</v>
      </c>
      <c r="DH404" s="144">
        <f t="shared" si="1287"/>
        <v>0</v>
      </c>
      <c r="DI404" s="144">
        <f t="shared" si="1287"/>
        <v>0</v>
      </c>
      <c r="DJ404" s="144">
        <f t="shared" si="1287"/>
        <v>0</v>
      </c>
      <c r="DK404" s="144">
        <f t="shared" si="1287"/>
        <v>0</v>
      </c>
      <c r="DL404" s="144">
        <f t="shared" si="1287"/>
        <v>0</v>
      </c>
      <c r="DM404" s="144">
        <f t="shared" si="1287"/>
        <v>0</v>
      </c>
      <c r="DN404" s="144">
        <f t="shared" si="1287"/>
        <v>0</v>
      </c>
      <c r="DO404" s="9">
        <f t="shared" si="1287"/>
        <v>0</v>
      </c>
      <c r="DP404" s="144">
        <f t="shared" si="1287"/>
        <v>0</v>
      </c>
      <c r="DQ404" s="144">
        <f t="shared" si="1287"/>
        <v>0</v>
      </c>
      <c r="DR404" s="144">
        <f t="shared" si="1287"/>
        <v>0</v>
      </c>
      <c r="DS404" s="144">
        <f t="shared" si="1287"/>
        <v>0</v>
      </c>
      <c r="DT404" s="144">
        <f t="shared" si="1287"/>
        <v>0</v>
      </c>
      <c r="DU404" s="144">
        <f t="shared" si="1287"/>
        <v>0</v>
      </c>
      <c r="DV404" s="144">
        <f t="shared" si="1287"/>
        <v>0</v>
      </c>
      <c r="DW404" s="144">
        <f t="shared" si="1287"/>
        <v>0</v>
      </c>
      <c r="DX404" s="144">
        <f t="shared" si="1287"/>
        <v>0</v>
      </c>
      <c r="DY404" s="144">
        <f t="shared" si="1287"/>
        <v>0</v>
      </c>
      <c r="DZ404" s="144">
        <f t="shared" si="1287"/>
        <v>0</v>
      </c>
      <c r="EA404" s="144">
        <f t="shared" ref="EA404:EB404" si="1288">EA192/EA$211</f>
        <v>0</v>
      </c>
      <c r="EB404" s="117">
        <f t="shared" si="1288"/>
        <v>0</v>
      </c>
      <c r="EC404" s="118"/>
      <c r="ED404" s="117">
        <f t="shared" ref="ED404:FB404" si="1289">ED192/ED$211</f>
        <v>0</v>
      </c>
      <c r="EE404" s="117">
        <f t="shared" si="1289"/>
        <v>0</v>
      </c>
      <c r="EF404" s="117">
        <f t="shared" si="1289"/>
        <v>0</v>
      </c>
      <c r="EG404" s="117" t="e">
        <f t="shared" si="1289"/>
        <v>#DIV/0!</v>
      </c>
      <c r="EH404" s="117" t="e">
        <f t="shared" si="1289"/>
        <v>#DIV/0!</v>
      </c>
      <c r="EI404" s="117" t="e">
        <f t="shared" si="1289"/>
        <v>#DIV/0!</v>
      </c>
      <c r="EJ404" s="117" t="e">
        <f t="shared" si="1289"/>
        <v>#DIV/0!</v>
      </c>
      <c r="EK404" s="117" t="e">
        <f t="shared" si="1289"/>
        <v>#DIV/0!</v>
      </c>
      <c r="EL404" s="117" t="e">
        <f t="shared" si="1289"/>
        <v>#DIV/0!</v>
      </c>
      <c r="EM404" s="117" t="e">
        <f t="shared" si="1289"/>
        <v>#DIV/0!</v>
      </c>
      <c r="EN404" s="117" t="e">
        <f t="shared" si="1289"/>
        <v>#DIV/0!</v>
      </c>
      <c r="EO404" s="116">
        <f t="shared" si="1289"/>
        <v>0</v>
      </c>
      <c r="EP404" s="117">
        <f t="shared" si="1289"/>
        <v>0</v>
      </c>
      <c r="EQ404" s="117">
        <f t="shared" si="1289"/>
        <v>0</v>
      </c>
      <c r="ER404" s="117">
        <f t="shared" si="1289"/>
        <v>0</v>
      </c>
      <c r="ES404" s="117">
        <f t="shared" si="1289"/>
        <v>0</v>
      </c>
      <c r="ET404" s="117">
        <f t="shared" si="1289"/>
        <v>0</v>
      </c>
      <c r="EU404" s="117">
        <f t="shared" si="1289"/>
        <v>0</v>
      </c>
      <c r="EV404" s="117">
        <f t="shared" si="1289"/>
        <v>0</v>
      </c>
      <c r="EW404" s="117">
        <f t="shared" si="1289"/>
        <v>0</v>
      </c>
      <c r="EX404" s="117">
        <f t="shared" si="1289"/>
        <v>0</v>
      </c>
      <c r="EY404" s="117">
        <f t="shared" si="1289"/>
        <v>0</v>
      </c>
      <c r="EZ404" s="117">
        <f t="shared" si="1289"/>
        <v>0</v>
      </c>
      <c r="FA404" s="117">
        <f t="shared" si="1289"/>
        <v>0</v>
      </c>
      <c r="FB404" s="117">
        <f t="shared" si="1289"/>
        <v>0</v>
      </c>
      <c r="FC404" s="118"/>
      <c r="FD404" s="117"/>
      <c r="FE404" s="117"/>
      <c r="FF404" s="117"/>
      <c r="FG404" s="117"/>
      <c r="FH404" s="117"/>
      <c r="FI404" s="117"/>
      <c r="FJ404" s="117"/>
      <c r="FK404" s="117" t="e">
        <f t="shared" ref="FK404:GB404" si="1290">FK192/FK$211</f>
        <v>#DIV/0!</v>
      </c>
      <c r="FL404" s="117" t="e">
        <f t="shared" si="1290"/>
        <v>#DIV/0!</v>
      </c>
      <c r="FM404" s="117" t="e">
        <f t="shared" si="1290"/>
        <v>#DIV/0!</v>
      </c>
      <c r="FN404" s="117" t="e">
        <f t="shared" si="1290"/>
        <v>#DIV/0!</v>
      </c>
      <c r="FO404" s="9" t="e">
        <f t="shared" si="1290"/>
        <v>#DIV/0!</v>
      </c>
      <c r="FP404" s="118">
        <f t="shared" si="1290"/>
        <v>0</v>
      </c>
      <c r="FQ404" s="117">
        <f t="shared" si="1290"/>
        <v>0</v>
      </c>
      <c r="FR404" s="117">
        <f t="shared" si="1290"/>
        <v>0</v>
      </c>
      <c r="FS404" s="117">
        <f t="shared" si="1290"/>
        <v>0</v>
      </c>
      <c r="FT404" s="117">
        <f t="shared" si="1290"/>
        <v>0</v>
      </c>
      <c r="FU404" s="117">
        <f t="shared" si="1290"/>
        <v>0</v>
      </c>
      <c r="FV404" s="117">
        <f t="shared" si="1290"/>
        <v>0</v>
      </c>
      <c r="FW404" s="117">
        <f t="shared" si="1290"/>
        <v>0</v>
      </c>
      <c r="FX404" s="117">
        <f t="shared" si="1290"/>
        <v>0</v>
      </c>
      <c r="FY404" s="117">
        <f t="shared" si="1290"/>
        <v>0.00207057176287132</v>
      </c>
      <c r="FZ404" s="117">
        <f t="shared" si="1290"/>
        <v>0</v>
      </c>
      <c r="GA404" s="117">
        <f t="shared" si="1290"/>
        <v>0</v>
      </c>
      <c r="GB404" s="116">
        <f t="shared" si="1290"/>
        <v>0.000169672568532157</v>
      </c>
    </row>
    <row r="405" spans="1:184">
      <c r="A405" s="147" t="s">
        <v>364</v>
      </c>
      <c r="B405" s="160" t="e">
        <f t="shared" si="997"/>
        <v>#DIV/0!</v>
      </c>
      <c r="C405" s="117">
        <f t="shared" ref="C405:BN405" si="1291">C193/C$211</f>
        <v>0</v>
      </c>
      <c r="D405" s="117">
        <f t="shared" si="1291"/>
        <v>0</v>
      </c>
      <c r="E405" s="117">
        <f t="shared" si="1291"/>
        <v>0</v>
      </c>
      <c r="F405" s="117">
        <f t="shared" si="1291"/>
        <v>0</v>
      </c>
      <c r="G405" s="117">
        <f t="shared" si="1291"/>
        <v>0</v>
      </c>
      <c r="H405" s="117">
        <f t="shared" si="1291"/>
        <v>0</v>
      </c>
      <c r="I405" s="117">
        <f t="shared" si="1291"/>
        <v>0</v>
      </c>
      <c r="J405" s="117">
        <f t="shared" si="1291"/>
        <v>0</v>
      </c>
      <c r="K405" s="117">
        <f t="shared" si="1291"/>
        <v>0</v>
      </c>
      <c r="L405" s="117">
        <f t="shared" si="1291"/>
        <v>0</v>
      </c>
      <c r="M405" s="117">
        <f t="shared" si="1291"/>
        <v>0</v>
      </c>
      <c r="N405" s="117">
        <f t="shared" si="1291"/>
        <v>0</v>
      </c>
      <c r="O405" s="9">
        <f t="shared" si="1291"/>
        <v>0</v>
      </c>
      <c r="P405" s="117">
        <f t="shared" si="1291"/>
        <v>0</v>
      </c>
      <c r="Q405" s="117">
        <f t="shared" si="1291"/>
        <v>0</v>
      </c>
      <c r="R405" s="117">
        <f t="shared" si="1291"/>
        <v>0</v>
      </c>
      <c r="S405" s="117">
        <f t="shared" si="1291"/>
        <v>0</v>
      </c>
      <c r="T405" s="117">
        <f t="shared" si="1291"/>
        <v>0</v>
      </c>
      <c r="U405" s="117">
        <f t="shared" si="1291"/>
        <v>0</v>
      </c>
      <c r="V405" s="117">
        <f t="shared" si="1291"/>
        <v>0</v>
      </c>
      <c r="W405" s="117">
        <f t="shared" si="1291"/>
        <v>0</v>
      </c>
      <c r="X405" s="117">
        <f t="shared" si="1291"/>
        <v>0</v>
      </c>
      <c r="Y405" s="117">
        <f t="shared" si="1291"/>
        <v>0</v>
      </c>
      <c r="Z405" s="117">
        <f t="shared" si="1291"/>
        <v>0</v>
      </c>
      <c r="AA405" s="117">
        <f t="shared" si="1291"/>
        <v>0</v>
      </c>
      <c r="AB405" s="9">
        <f t="shared" si="1291"/>
        <v>0</v>
      </c>
      <c r="AC405" s="117">
        <f t="shared" si="1291"/>
        <v>0</v>
      </c>
      <c r="AD405" s="117">
        <f t="shared" si="1291"/>
        <v>0</v>
      </c>
      <c r="AE405" s="117">
        <f t="shared" si="1291"/>
        <v>0</v>
      </c>
      <c r="AF405" s="117">
        <f t="shared" si="1291"/>
        <v>0</v>
      </c>
      <c r="AG405" s="117">
        <f t="shared" si="1291"/>
        <v>0</v>
      </c>
      <c r="AH405" s="117">
        <f t="shared" si="1291"/>
        <v>0</v>
      </c>
      <c r="AI405" s="117">
        <f t="shared" si="1291"/>
        <v>0</v>
      </c>
      <c r="AJ405" s="117">
        <f t="shared" si="1291"/>
        <v>0</v>
      </c>
      <c r="AK405" s="117">
        <f t="shared" si="1291"/>
        <v>0</v>
      </c>
      <c r="AL405" s="117">
        <f t="shared" si="1291"/>
        <v>0</v>
      </c>
      <c r="AM405" s="117">
        <f t="shared" si="1291"/>
        <v>0</v>
      </c>
      <c r="AN405" s="117">
        <f t="shared" si="1291"/>
        <v>0</v>
      </c>
      <c r="AO405" s="9">
        <f t="shared" si="1291"/>
        <v>0</v>
      </c>
      <c r="AP405" s="144">
        <f t="shared" si="1291"/>
        <v>0</v>
      </c>
      <c r="AQ405" s="144">
        <f t="shared" si="1291"/>
        <v>0</v>
      </c>
      <c r="AR405" s="144">
        <f t="shared" si="1291"/>
        <v>0</v>
      </c>
      <c r="AS405" s="144">
        <f t="shared" si="1291"/>
        <v>0</v>
      </c>
      <c r="AT405" s="144">
        <f t="shared" si="1291"/>
        <v>0</v>
      </c>
      <c r="AU405" s="144">
        <f t="shared" si="1291"/>
        <v>0</v>
      </c>
      <c r="AV405" s="144">
        <f t="shared" si="1291"/>
        <v>0</v>
      </c>
      <c r="AW405" s="144">
        <f t="shared" si="1291"/>
        <v>0</v>
      </c>
      <c r="AX405" s="144">
        <f t="shared" si="1291"/>
        <v>0</v>
      </c>
      <c r="AY405" s="144">
        <f t="shared" si="1291"/>
        <v>0</v>
      </c>
      <c r="AZ405" s="144">
        <f t="shared" si="1291"/>
        <v>0</v>
      </c>
      <c r="BA405" s="144">
        <f t="shared" si="1291"/>
        <v>0</v>
      </c>
      <c r="BB405" s="9">
        <f t="shared" si="1291"/>
        <v>0</v>
      </c>
      <c r="BC405" s="144">
        <f t="shared" si="1291"/>
        <v>0</v>
      </c>
      <c r="BD405" s="144">
        <f t="shared" si="1291"/>
        <v>0</v>
      </c>
      <c r="BE405" s="144">
        <f t="shared" si="1291"/>
        <v>0</v>
      </c>
      <c r="BF405" s="144">
        <f t="shared" si="1291"/>
        <v>0</v>
      </c>
      <c r="BG405" s="144">
        <f t="shared" si="1291"/>
        <v>0</v>
      </c>
      <c r="BH405" s="144">
        <f t="shared" si="1291"/>
        <v>0</v>
      </c>
      <c r="BI405" s="144">
        <f t="shared" si="1291"/>
        <v>0</v>
      </c>
      <c r="BJ405" s="144">
        <f t="shared" si="1291"/>
        <v>0</v>
      </c>
      <c r="BK405" s="144">
        <f t="shared" si="1291"/>
        <v>0</v>
      </c>
      <c r="BL405" s="144">
        <f t="shared" si="1291"/>
        <v>0</v>
      </c>
      <c r="BM405" s="144">
        <f t="shared" si="1291"/>
        <v>0</v>
      </c>
      <c r="BN405" s="144">
        <f t="shared" si="1291"/>
        <v>0</v>
      </c>
      <c r="BO405" s="9">
        <f t="shared" ref="BO405:DZ405" si="1292">BO193/BO$211</f>
        <v>0</v>
      </c>
      <c r="BP405" s="144">
        <f t="shared" si="1292"/>
        <v>0</v>
      </c>
      <c r="BQ405" s="144">
        <f t="shared" si="1292"/>
        <v>0</v>
      </c>
      <c r="BR405" s="144">
        <f t="shared" si="1292"/>
        <v>0</v>
      </c>
      <c r="BS405" s="144">
        <f t="shared" si="1292"/>
        <v>0</v>
      </c>
      <c r="BT405" s="144">
        <f t="shared" si="1292"/>
        <v>0</v>
      </c>
      <c r="BU405" s="144">
        <f t="shared" si="1292"/>
        <v>0</v>
      </c>
      <c r="BV405" s="144">
        <f t="shared" si="1292"/>
        <v>0</v>
      </c>
      <c r="BW405" s="144">
        <f t="shared" si="1292"/>
        <v>0</v>
      </c>
      <c r="BX405" s="144">
        <f t="shared" si="1292"/>
        <v>0</v>
      </c>
      <c r="BY405" s="144">
        <f t="shared" si="1292"/>
        <v>0</v>
      </c>
      <c r="BZ405" s="144">
        <f t="shared" si="1292"/>
        <v>0</v>
      </c>
      <c r="CA405" s="144">
        <f t="shared" si="1292"/>
        <v>0</v>
      </c>
      <c r="CB405" s="9">
        <f t="shared" si="1292"/>
        <v>0</v>
      </c>
      <c r="CC405" s="144">
        <f t="shared" si="1292"/>
        <v>0</v>
      </c>
      <c r="CD405" s="144">
        <f t="shared" si="1292"/>
        <v>0</v>
      </c>
      <c r="CE405" s="144">
        <f t="shared" si="1292"/>
        <v>0</v>
      </c>
      <c r="CF405" s="144">
        <f t="shared" si="1292"/>
        <v>0</v>
      </c>
      <c r="CG405" s="144">
        <f t="shared" si="1292"/>
        <v>0</v>
      </c>
      <c r="CH405" s="144">
        <f t="shared" si="1292"/>
        <v>0</v>
      </c>
      <c r="CI405" s="144">
        <f t="shared" si="1292"/>
        <v>0</v>
      </c>
      <c r="CJ405" s="144">
        <f t="shared" si="1292"/>
        <v>0</v>
      </c>
      <c r="CK405" s="144">
        <f t="shared" si="1292"/>
        <v>0</v>
      </c>
      <c r="CL405" s="144">
        <f t="shared" si="1292"/>
        <v>0</v>
      </c>
      <c r="CM405" s="144">
        <f t="shared" si="1292"/>
        <v>0</v>
      </c>
      <c r="CN405" s="144">
        <f t="shared" si="1292"/>
        <v>0</v>
      </c>
      <c r="CO405" s="9">
        <f t="shared" si="1292"/>
        <v>0</v>
      </c>
      <c r="CP405" s="144">
        <f t="shared" si="1292"/>
        <v>0</v>
      </c>
      <c r="CQ405" s="144">
        <f t="shared" si="1292"/>
        <v>0</v>
      </c>
      <c r="CR405" s="144">
        <f t="shared" si="1292"/>
        <v>0</v>
      </c>
      <c r="CS405" s="144">
        <f t="shared" si="1292"/>
        <v>0</v>
      </c>
      <c r="CT405" s="144">
        <f t="shared" si="1292"/>
        <v>0</v>
      </c>
      <c r="CU405" s="144">
        <f t="shared" si="1292"/>
        <v>0</v>
      </c>
      <c r="CV405" s="144">
        <f t="shared" si="1292"/>
        <v>0</v>
      </c>
      <c r="CW405" s="144">
        <f t="shared" si="1292"/>
        <v>0</v>
      </c>
      <c r="CX405" s="144">
        <f t="shared" si="1292"/>
        <v>0</v>
      </c>
      <c r="CY405" s="144">
        <f t="shared" si="1292"/>
        <v>0</v>
      </c>
      <c r="CZ405" s="144">
        <f t="shared" si="1292"/>
        <v>0</v>
      </c>
      <c r="DA405" s="144">
        <f t="shared" si="1292"/>
        <v>0</v>
      </c>
      <c r="DB405" s="9">
        <f t="shared" si="1292"/>
        <v>0</v>
      </c>
      <c r="DC405" s="144">
        <f t="shared" si="1292"/>
        <v>0</v>
      </c>
      <c r="DD405" s="144">
        <f t="shared" si="1292"/>
        <v>0</v>
      </c>
      <c r="DE405" s="144">
        <f t="shared" si="1292"/>
        <v>0</v>
      </c>
      <c r="DF405" s="144">
        <f t="shared" si="1292"/>
        <v>0</v>
      </c>
      <c r="DG405" s="144">
        <f t="shared" si="1292"/>
        <v>0</v>
      </c>
      <c r="DH405" s="144">
        <f t="shared" si="1292"/>
        <v>0</v>
      </c>
      <c r="DI405" s="144">
        <f t="shared" si="1292"/>
        <v>0</v>
      </c>
      <c r="DJ405" s="144">
        <f t="shared" si="1292"/>
        <v>0</v>
      </c>
      <c r="DK405" s="144">
        <f t="shared" si="1292"/>
        <v>0</v>
      </c>
      <c r="DL405" s="144">
        <f t="shared" si="1292"/>
        <v>0</v>
      </c>
      <c r="DM405" s="144">
        <f t="shared" si="1292"/>
        <v>0</v>
      </c>
      <c r="DN405" s="144">
        <f t="shared" si="1292"/>
        <v>0</v>
      </c>
      <c r="DO405" s="9">
        <f t="shared" si="1292"/>
        <v>0</v>
      </c>
      <c r="DP405" s="144">
        <f t="shared" si="1292"/>
        <v>0</v>
      </c>
      <c r="DQ405" s="144">
        <f t="shared" si="1292"/>
        <v>0</v>
      </c>
      <c r="DR405" s="144">
        <f t="shared" si="1292"/>
        <v>0</v>
      </c>
      <c r="DS405" s="144">
        <f t="shared" si="1292"/>
        <v>0</v>
      </c>
      <c r="DT405" s="144">
        <f t="shared" si="1292"/>
        <v>0</v>
      </c>
      <c r="DU405" s="144">
        <f t="shared" si="1292"/>
        <v>0</v>
      </c>
      <c r="DV405" s="144">
        <f t="shared" si="1292"/>
        <v>0</v>
      </c>
      <c r="DW405" s="144">
        <f t="shared" si="1292"/>
        <v>0</v>
      </c>
      <c r="DX405" s="144">
        <f t="shared" si="1292"/>
        <v>0</v>
      </c>
      <c r="DY405" s="144">
        <f t="shared" si="1292"/>
        <v>0</v>
      </c>
      <c r="DZ405" s="144">
        <f t="shared" si="1292"/>
        <v>0</v>
      </c>
      <c r="EA405" s="144">
        <f t="shared" ref="EA405:EB405" si="1293">EA193/EA$211</f>
        <v>0</v>
      </c>
      <c r="EB405" s="117">
        <f t="shared" si="1293"/>
        <v>0</v>
      </c>
      <c r="EC405" s="118"/>
      <c r="ED405" s="117">
        <f t="shared" ref="ED405:FB405" si="1294">ED193/ED$211</f>
        <v>0</v>
      </c>
      <c r="EE405" s="117">
        <f t="shared" si="1294"/>
        <v>0</v>
      </c>
      <c r="EF405" s="117">
        <f t="shared" si="1294"/>
        <v>0</v>
      </c>
      <c r="EG405" s="117" t="e">
        <f t="shared" si="1294"/>
        <v>#DIV/0!</v>
      </c>
      <c r="EH405" s="117" t="e">
        <f t="shared" si="1294"/>
        <v>#DIV/0!</v>
      </c>
      <c r="EI405" s="117" t="e">
        <f t="shared" si="1294"/>
        <v>#DIV/0!</v>
      </c>
      <c r="EJ405" s="117" t="e">
        <f t="shared" si="1294"/>
        <v>#DIV/0!</v>
      </c>
      <c r="EK405" s="117" t="e">
        <f t="shared" si="1294"/>
        <v>#DIV/0!</v>
      </c>
      <c r="EL405" s="117" t="e">
        <f t="shared" si="1294"/>
        <v>#DIV/0!</v>
      </c>
      <c r="EM405" s="117" t="e">
        <f t="shared" si="1294"/>
        <v>#DIV/0!</v>
      </c>
      <c r="EN405" s="117" t="e">
        <f t="shared" si="1294"/>
        <v>#DIV/0!</v>
      </c>
      <c r="EO405" s="116">
        <f t="shared" si="1294"/>
        <v>0</v>
      </c>
      <c r="EP405" s="117">
        <f t="shared" si="1294"/>
        <v>0</v>
      </c>
      <c r="EQ405" s="117">
        <f t="shared" si="1294"/>
        <v>0</v>
      </c>
      <c r="ER405" s="117">
        <f t="shared" si="1294"/>
        <v>0</v>
      </c>
      <c r="ES405" s="117">
        <f t="shared" si="1294"/>
        <v>0</v>
      </c>
      <c r="ET405" s="117">
        <f t="shared" si="1294"/>
        <v>0</v>
      </c>
      <c r="EU405" s="117">
        <f t="shared" si="1294"/>
        <v>0</v>
      </c>
      <c r="EV405" s="117">
        <f t="shared" si="1294"/>
        <v>0</v>
      </c>
      <c r="EW405" s="117">
        <f t="shared" si="1294"/>
        <v>0</v>
      </c>
      <c r="EX405" s="117">
        <f t="shared" si="1294"/>
        <v>0</v>
      </c>
      <c r="EY405" s="117">
        <f t="shared" si="1294"/>
        <v>0</v>
      </c>
      <c r="EZ405" s="117">
        <f t="shared" si="1294"/>
        <v>0</v>
      </c>
      <c r="FA405" s="117">
        <f t="shared" si="1294"/>
        <v>0</v>
      </c>
      <c r="FB405" s="117">
        <f t="shared" si="1294"/>
        <v>0</v>
      </c>
      <c r="FC405" s="118"/>
      <c r="FD405" s="117"/>
      <c r="FE405" s="117"/>
      <c r="FF405" s="117"/>
      <c r="FG405" s="117"/>
      <c r="FH405" s="117"/>
      <c r="FI405" s="117"/>
      <c r="FJ405" s="117"/>
      <c r="FK405" s="117" t="e">
        <f t="shared" ref="FK405:GB405" si="1295">FK193/FK$211</f>
        <v>#DIV/0!</v>
      </c>
      <c r="FL405" s="117" t="e">
        <f t="shared" si="1295"/>
        <v>#DIV/0!</v>
      </c>
      <c r="FM405" s="117" t="e">
        <f t="shared" si="1295"/>
        <v>#DIV/0!</v>
      </c>
      <c r="FN405" s="117" t="e">
        <f t="shared" si="1295"/>
        <v>#DIV/0!</v>
      </c>
      <c r="FO405" s="9" t="e">
        <f t="shared" si="1295"/>
        <v>#DIV/0!</v>
      </c>
      <c r="FP405" s="118">
        <f t="shared" si="1295"/>
        <v>0</v>
      </c>
      <c r="FQ405" s="117">
        <f t="shared" si="1295"/>
        <v>0</v>
      </c>
      <c r="FR405" s="117">
        <f t="shared" si="1295"/>
        <v>0</v>
      </c>
      <c r="FS405" s="117">
        <f t="shared" si="1295"/>
        <v>0</v>
      </c>
      <c r="FT405" s="117">
        <f t="shared" si="1295"/>
        <v>0</v>
      </c>
      <c r="FU405" s="117">
        <f t="shared" si="1295"/>
        <v>0</v>
      </c>
      <c r="FV405" s="117">
        <f t="shared" si="1295"/>
        <v>0</v>
      </c>
      <c r="FW405" s="117">
        <f t="shared" si="1295"/>
        <v>0</v>
      </c>
      <c r="FX405" s="117">
        <f t="shared" si="1295"/>
        <v>0</v>
      </c>
      <c r="FY405" s="117">
        <f t="shared" si="1295"/>
        <v>0</v>
      </c>
      <c r="FZ405" s="117">
        <f t="shared" si="1295"/>
        <v>0</v>
      </c>
      <c r="GA405" s="117">
        <f t="shared" si="1295"/>
        <v>0</v>
      </c>
      <c r="GB405" s="116">
        <f t="shared" si="1295"/>
        <v>0</v>
      </c>
    </row>
    <row r="406" spans="1:184">
      <c r="A406" s="147" t="s">
        <v>365</v>
      </c>
      <c r="B406" s="160" t="e">
        <f t="shared" si="997"/>
        <v>#DIV/0!</v>
      </c>
      <c r="C406" s="117">
        <f t="shared" ref="C406:BN406" si="1296">C194/C$211</f>
        <v>0</v>
      </c>
      <c r="D406" s="117">
        <f t="shared" si="1296"/>
        <v>0</v>
      </c>
      <c r="E406" s="117">
        <f t="shared" si="1296"/>
        <v>0</v>
      </c>
      <c r="F406" s="117">
        <f t="shared" si="1296"/>
        <v>0</v>
      </c>
      <c r="G406" s="117">
        <f t="shared" si="1296"/>
        <v>0.0296400195771882</v>
      </c>
      <c r="H406" s="117">
        <f t="shared" si="1296"/>
        <v>0.00417280821313693</v>
      </c>
      <c r="I406" s="117">
        <f t="shared" si="1296"/>
        <v>0.000687788039379538</v>
      </c>
      <c r="J406" s="117">
        <f t="shared" si="1296"/>
        <v>0.0130030938085405</v>
      </c>
      <c r="K406" s="117">
        <f t="shared" si="1296"/>
        <v>0.005008985708648</v>
      </c>
      <c r="L406" s="117">
        <f t="shared" si="1296"/>
        <v>0.000170991485082526</v>
      </c>
      <c r="M406" s="117">
        <f t="shared" si="1296"/>
        <v>0.000166790331318758</v>
      </c>
      <c r="N406" s="117">
        <f t="shared" si="1296"/>
        <v>0.000172817395142225</v>
      </c>
      <c r="O406" s="9">
        <f t="shared" si="1296"/>
        <v>0.00383511986957077</v>
      </c>
      <c r="P406" s="117">
        <f t="shared" si="1296"/>
        <v>0</v>
      </c>
      <c r="Q406" s="117">
        <f t="shared" si="1296"/>
        <v>0</v>
      </c>
      <c r="R406" s="117">
        <f t="shared" si="1296"/>
        <v>0</v>
      </c>
      <c r="S406" s="117">
        <f t="shared" si="1296"/>
        <v>0</v>
      </c>
      <c r="T406" s="117">
        <f t="shared" si="1296"/>
        <v>0.0469621114681488</v>
      </c>
      <c r="U406" s="117">
        <f t="shared" si="1296"/>
        <v>0.011136343073681</v>
      </c>
      <c r="V406" s="117">
        <f t="shared" si="1296"/>
        <v>0</v>
      </c>
      <c r="W406" s="117">
        <f t="shared" si="1296"/>
        <v>0.0196771492122273</v>
      </c>
      <c r="X406" s="117">
        <f t="shared" si="1296"/>
        <v>0.0161189060497421</v>
      </c>
      <c r="Y406" s="117">
        <f t="shared" si="1296"/>
        <v>0</v>
      </c>
      <c r="Z406" s="117">
        <f t="shared" si="1296"/>
        <v>0</v>
      </c>
      <c r="AA406" s="117">
        <f t="shared" si="1296"/>
        <v>0</v>
      </c>
      <c r="AB406" s="9">
        <f t="shared" si="1296"/>
        <v>0.00687569872871963</v>
      </c>
      <c r="AC406" s="117">
        <f t="shared" si="1296"/>
        <v>0</v>
      </c>
      <c r="AD406" s="117">
        <f t="shared" si="1296"/>
        <v>0</v>
      </c>
      <c r="AE406" s="117">
        <f t="shared" si="1296"/>
        <v>0</v>
      </c>
      <c r="AF406" s="117">
        <f t="shared" si="1296"/>
        <v>0</v>
      </c>
      <c r="AG406" s="117">
        <f t="shared" si="1296"/>
        <v>0.0368297686679419</v>
      </c>
      <c r="AH406" s="117">
        <f t="shared" si="1296"/>
        <v>0.0103205915994076</v>
      </c>
      <c r="AI406" s="117">
        <f t="shared" si="1296"/>
        <v>0.00559901348839326</v>
      </c>
      <c r="AJ406" s="117">
        <f t="shared" si="1296"/>
        <v>0.0189366128176853</v>
      </c>
      <c r="AK406" s="117">
        <f t="shared" si="1296"/>
        <v>0.0128156174305155</v>
      </c>
      <c r="AL406" s="117">
        <f t="shared" si="1296"/>
        <v>0.00180342152721619</v>
      </c>
      <c r="AM406" s="117">
        <f t="shared" si="1296"/>
        <v>0.00185494113972396</v>
      </c>
      <c r="AN406" s="117">
        <f t="shared" si="1296"/>
        <v>0.00190605801308541</v>
      </c>
      <c r="AO406" s="9">
        <f t="shared" si="1296"/>
        <v>0.00740151135167648</v>
      </c>
      <c r="AP406" s="144">
        <f t="shared" si="1296"/>
        <v>0</v>
      </c>
      <c r="AQ406" s="144">
        <f t="shared" si="1296"/>
        <v>0</v>
      </c>
      <c r="AR406" s="144">
        <f t="shared" si="1296"/>
        <v>0</v>
      </c>
      <c r="AS406" s="144">
        <f t="shared" si="1296"/>
        <v>0</v>
      </c>
      <c r="AT406" s="144">
        <f t="shared" si="1296"/>
        <v>0.0377283708504709</v>
      </c>
      <c r="AU406" s="144">
        <f t="shared" si="1296"/>
        <v>0.00388260433120544</v>
      </c>
      <c r="AV406" s="144">
        <f t="shared" si="1296"/>
        <v>0</v>
      </c>
      <c r="AW406" s="144">
        <f t="shared" si="1296"/>
        <v>0.0119764582999311</v>
      </c>
      <c r="AX406" s="144">
        <f t="shared" si="1296"/>
        <v>0</v>
      </c>
      <c r="AY406" s="144">
        <f t="shared" si="1296"/>
        <v>0</v>
      </c>
      <c r="AZ406" s="144">
        <f t="shared" si="1296"/>
        <v>0</v>
      </c>
      <c r="BA406" s="144">
        <f t="shared" si="1296"/>
        <v>0</v>
      </c>
      <c r="BB406" s="9">
        <f t="shared" si="1296"/>
        <v>0.00373406931193169</v>
      </c>
      <c r="BC406" s="144">
        <f t="shared" si="1296"/>
        <v>0</v>
      </c>
      <c r="BD406" s="144">
        <f t="shared" si="1296"/>
        <v>0</v>
      </c>
      <c r="BE406" s="144">
        <f t="shared" si="1296"/>
        <v>0</v>
      </c>
      <c r="BF406" s="144">
        <f t="shared" si="1296"/>
        <v>0</v>
      </c>
      <c r="BG406" s="144">
        <f t="shared" si="1296"/>
        <v>0.0154875823833275</v>
      </c>
      <c r="BH406" s="144">
        <f t="shared" si="1296"/>
        <v>0.0011601974180627</v>
      </c>
      <c r="BI406" s="144">
        <f t="shared" si="1296"/>
        <v>0.000227675798574802</v>
      </c>
      <c r="BJ406" s="144">
        <f t="shared" si="1296"/>
        <v>0.0105855788597979</v>
      </c>
      <c r="BK406" s="144">
        <f t="shared" si="1296"/>
        <v>0.00368802278522016</v>
      </c>
      <c r="BL406" s="144">
        <f t="shared" si="1296"/>
        <v>0</v>
      </c>
      <c r="BM406" s="144">
        <f t="shared" si="1296"/>
        <v>0</v>
      </c>
      <c r="BN406" s="144">
        <f t="shared" si="1296"/>
        <v>0</v>
      </c>
      <c r="BO406" s="9">
        <f t="shared" ref="BO406:DZ406" si="1297">BO194/BO$211</f>
        <v>0.00228898060223389</v>
      </c>
      <c r="BP406" s="144">
        <f t="shared" si="1297"/>
        <v>0</v>
      </c>
      <c r="BQ406" s="144">
        <f t="shared" si="1297"/>
        <v>0</v>
      </c>
      <c r="BR406" s="144">
        <f t="shared" si="1297"/>
        <v>0</v>
      </c>
      <c r="BS406" s="144">
        <f t="shared" si="1297"/>
        <v>0</v>
      </c>
      <c r="BT406" s="144">
        <f t="shared" si="1297"/>
        <v>0.00837005043123386</v>
      </c>
      <c r="BU406" s="144">
        <f t="shared" si="1297"/>
        <v>0.000944943085759424</v>
      </c>
      <c r="BV406" s="144">
        <f t="shared" si="1297"/>
        <v>0.000281911293317313</v>
      </c>
      <c r="BW406" s="144">
        <f t="shared" si="1297"/>
        <v>0.00584538491771609</v>
      </c>
      <c r="BX406" s="144">
        <f t="shared" si="1297"/>
        <v>0.000120627691751033</v>
      </c>
      <c r="BY406" s="144">
        <f t="shared" si="1297"/>
        <v>0</v>
      </c>
      <c r="BZ406" s="144">
        <f t="shared" si="1297"/>
        <v>0</v>
      </c>
      <c r="CA406" s="144">
        <f t="shared" si="1297"/>
        <v>0</v>
      </c>
      <c r="CB406" s="9">
        <f t="shared" si="1297"/>
        <v>0.00110591023099985</v>
      </c>
      <c r="CC406" s="144">
        <f t="shared" si="1297"/>
        <v>0</v>
      </c>
      <c r="CD406" s="144">
        <f t="shared" si="1297"/>
        <v>0</v>
      </c>
      <c r="CE406" s="144">
        <f t="shared" si="1297"/>
        <v>0</v>
      </c>
      <c r="CF406" s="144">
        <f t="shared" si="1297"/>
        <v>0</v>
      </c>
      <c r="CG406" s="144">
        <f t="shared" si="1297"/>
        <v>0.00810390924106904</v>
      </c>
      <c r="CH406" s="144">
        <f t="shared" si="1297"/>
        <v>0.00231036643828795</v>
      </c>
      <c r="CI406" s="144">
        <f t="shared" si="1297"/>
        <v>0.0026285847158534</v>
      </c>
      <c r="CJ406" s="144">
        <f t="shared" si="1297"/>
        <v>0.0116419516746296</v>
      </c>
      <c r="CK406" s="144">
        <f t="shared" si="1297"/>
        <v>0.0091123841869433</v>
      </c>
      <c r="CL406" s="144">
        <f t="shared" si="1297"/>
        <v>0</v>
      </c>
      <c r="CM406" s="144">
        <f t="shared" si="1297"/>
        <v>0</v>
      </c>
      <c r="CN406" s="144">
        <f t="shared" si="1297"/>
        <v>0</v>
      </c>
      <c r="CO406" s="9">
        <f t="shared" si="1297"/>
        <v>0.00297644875570484</v>
      </c>
      <c r="CP406" s="144">
        <f t="shared" si="1297"/>
        <v>0</v>
      </c>
      <c r="CQ406" s="144">
        <f t="shared" si="1297"/>
        <v>0</v>
      </c>
      <c r="CR406" s="144">
        <f t="shared" si="1297"/>
        <v>0</v>
      </c>
      <c r="CS406" s="144">
        <f t="shared" si="1297"/>
        <v>0</v>
      </c>
      <c r="CT406" s="144">
        <f t="shared" si="1297"/>
        <v>0.022216992293708</v>
      </c>
      <c r="CU406" s="144">
        <f t="shared" si="1297"/>
        <v>0.000671938408107708</v>
      </c>
      <c r="CV406" s="144">
        <f t="shared" si="1297"/>
        <v>0.000310769545003841</v>
      </c>
      <c r="CW406" s="144">
        <f t="shared" si="1297"/>
        <v>0.0111960756514289</v>
      </c>
      <c r="CX406" s="144">
        <f t="shared" si="1297"/>
        <v>0.00650887816206006</v>
      </c>
      <c r="CY406" s="144">
        <f t="shared" si="1297"/>
        <v>0</v>
      </c>
      <c r="CZ406" s="144">
        <f t="shared" si="1297"/>
        <v>0</v>
      </c>
      <c r="DA406" s="144">
        <f t="shared" si="1297"/>
        <v>0</v>
      </c>
      <c r="DB406" s="9">
        <f t="shared" si="1297"/>
        <v>0.00324224421961937</v>
      </c>
      <c r="DC406" s="144">
        <f t="shared" si="1297"/>
        <v>0</v>
      </c>
      <c r="DD406" s="144">
        <f t="shared" si="1297"/>
        <v>0</v>
      </c>
      <c r="DE406" s="144">
        <f t="shared" si="1297"/>
        <v>0</v>
      </c>
      <c r="DF406" s="144">
        <f t="shared" si="1297"/>
        <v>0</v>
      </c>
      <c r="DG406" s="144">
        <f t="shared" si="1297"/>
        <v>0.0138967128393914</v>
      </c>
      <c r="DH406" s="144">
        <f t="shared" si="1297"/>
        <v>0.00405481189607232</v>
      </c>
      <c r="DI406" s="144">
        <f t="shared" si="1297"/>
        <v>0.0010080206304447</v>
      </c>
      <c r="DJ406" s="144">
        <f t="shared" si="1297"/>
        <v>0.00954146683458726</v>
      </c>
      <c r="DK406" s="144">
        <f t="shared" si="1297"/>
        <v>0.00668561616673345</v>
      </c>
      <c r="DL406" s="144">
        <f t="shared" si="1297"/>
        <v>0</v>
      </c>
      <c r="DM406" s="144">
        <f t="shared" si="1297"/>
        <v>0</v>
      </c>
      <c r="DN406" s="144">
        <f t="shared" si="1297"/>
        <v>0</v>
      </c>
      <c r="DO406" s="9">
        <f t="shared" si="1297"/>
        <v>0.00270992283429888</v>
      </c>
      <c r="DP406" s="144">
        <f t="shared" si="1297"/>
        <v>0</v>
      </c>
      <c r="DQ406" s="144">
        <f t="shared" si="1297"/>
        <v>0</v>
      </c>
      <c r="DR406" s="144">
        <f t="shared" si="1297"/>
        <v>0</v>
      </c>
      <c r="DS406" s="144">
        <f t="shared" si="1297"/>
        <v>0</v>
      </c>
      <c r="DT406" s="144">
        <f t="shared" si="1297"/>
        <v>0.0142815248977588</v>
      </c>
      <c r="DU406" s="144">
        <f t="shared" si="1297"/>
        <v>0.00808409105093325</v>
      </c>
      <c r="DV406" s="144">
        <f t="shared" si="1297"/>
        <v>0.000338173879533045</v>
      </c>
      <c r="DW406" s="144">
        <f t="shared" si="1297"/>
        <v>0.0102070699972279</v>
      </c>
      <c r="DX406" s="144">
        <f t="shared" si="1297"/>
        <v>0.00382953313280774</v>
      </c>
      <c r="DY406" s="144">
        <f t="shared" si="1297"/>
        <v>0</v>
      </c>
      <c r="DZ406" s="144">
        <f t="shared" si="1297"/>
        <v>0</v>
      </c>
      <c r="EA406" s="144">
        <f t="shared" ref="EA406:EB406" si="1298">EA194/EA$211</f>
        <v>0</v>
      </c>
      <c r="EB406" s="117">
        <f t="shared" si="1298"/>
        <v>0.00277922273307703</v>
      </c>
      <c r="EC406" s="118"/>
      <c r="ED406" s="117">
        <f t="shared" ref="ED406:FB406" si="1299">ED194/ED$211</f>
        <v>0</v>
      </c>
      <c r="EE406" s="117">
        <f t="shared" si="1299"/>
        <v>0</v>
      </c>
      <c r="EF406" s="117">
        <f t="shared" si="1299"/>
        <v>0</v>
      </c>
      <c r="EG406" s="117" t="e">
        <f t="shared" si="1299"/>
        <v>#DIV/0!</v>
      </c>
      <c r="EH406" s="117" t="e">
        <f t="shared" si="1299"/>
        <v>#DIV/0!</v>
      </c>
      <c r="EI406" s="117" t="e">
        <f t="shared" si="1299"/>
        <v>#DIV/0!</v>
      </c>
      <c r="EJ406" s="117" t="e">
        <f t="shared" si="1299"/>
        <v>#DIV/0!</v>
      </c>
      <c r="EK406" s="117" t="e">
        <f t="shared" si="1299"/>
        <v>#DIV/0!</v>
      </c>
      <c r="EL406" s="117" t="e">
        <f t="shared" si="1299"/>
        <v>#DIV/0!</v>
      </c>
      <c r="EM406" s="117" t="e">
        <f t="shared" si="1299"/>
        <v>#DIV/0!</v>
      </c>
      <c r="EN406" s="117" t="e">
        <f t="shared" si="1299"/>
        <v>#DIV/0!</v>
      </c>
      <c r="EO406" s="116">
        <f t="shared" si="1299"/>
        <v>0</v>
      </c>
      <c r="EP406" s="117">
        <f t="shared" si="1299"/>
        <v>0</v>
      </c>
      <c r="EQ406" s="117">
        <f t="shared" si="1299"/>
        <v>0</v>
      </c>
      <c r="ER406" s="117">
        <f t="shared" si="1299"/>
        <v>0</v>
      </c>
      <c r="ES406" s="117">
        <f t="shared" si="1299"/>
        <v>0</v>
      </c>
      <c r="ET406" s="117">
        <f t="shared" si="1299"/>
        <v>0.0127898105455547</v>
      </c>
      <c r="EU406" s="117">
        <f t="shared" si="1299"/>
        <v>0.00376668418785657</v>
      </c>
      <c r="EV406" s="117">
        <f t="shared" si="1299"/>
        <v>0</v>
      </c>
      <c r="EW406" s="117">
        <f t="shared" si="1299"/>
        <v>0.0145827931612792</v>
      </c>
      <c r="EX406" s="117">
        <f t="shared" si="1299"/>
        <v>0.00637170827046016</v>
      </c>
      <c r="EY406" s="117">
        <f t="shared" si="1299"/>
        <v>0</v>
      </c>
      <c r="EZ406" s="117">
        <f t="shared" si="1299"/>
        <v>0</v>
      </c>
      <c r="FA406" s="117">
        <f t="shared" si="1299"/>
        <v>0</v>
      </c>
      <c r="FB406" s="117">
        <f t="shared" si="1299"/>
        <v>0.00309875464595517</v>
      </c>
      <c r="FC406" s="118"/>
      <c r="FD406" s="117"/>
      <c r="FE406" s="117"/>
      <c r="FF406" s="117"/>
      <c r="FG406" s="117"/>
      <c r="FH406" s="117"/>
      <c r="FI406" s="117"/>
      <c r="FJ406" s="117"/>
      <c r="FK406" s="117" t="e">
        <f t="shared" ref="FK406:GB406" si="1300">FK194/FK$211</f>
        <v>#DIV/0!</v>
      </c>
      <c r="FL406" s="117" t="e">
        <f t="shared" si="1300"/>
        <v>#DIV/0!</v>
      </c>
      <c r="FM406" s="117" t="e">
        <f t="shared" si="1300"/>
        <v>#DIV/0!</v>
      </c>
      <c r="FN406" s="117" t="e">
        <f t="shared" si="1300"/>
        <v>#DIV/0!</v>
      </c>
      <c r="FO406" s="9" t="e">
        <f t="shared" si="1300"/>
        <v>#DIV/0!</v>
      </c>
      <c r="FP406" s="118">
        <f t="shared" si="1300"/>
        <v>0</v>
      </c>
      <c r="FQ406" s="117">
        <f t="shared" si="1300"/>
        <v>0</v>
      </c>
      <c r="FR406" s="117">
        <f t="shared" si="1300"/>
        <v>0</v>
      </c>
      <c r="FS406" s="117">
        <f t="shared" si="1300"/>
        <v>0</v>
      </c>
      <c r="FT406" s="117">
        <f t="shared" si="1300"/>
        <v>0.0544635666174186</v>
      </c>
      <c r="FU406" s="117">
        <f t="shared" si="1300"/>
        <v>0.000802819747602015</v>
      </c>
      <c r="FV406" s="117">
        <f t="shared" si="1300"/>
        <v>0</v>
      </c>
      <c r="FW406" s="117">
        <f t="shared" si="1300"/>
        <v>0.0141998674918019</v>
      </c>
      <c r="FX406" s="117">
        <f t="shared" si="1300"/>
        <v>0</v>
      </c>
      <c r="FY406" s="117">
        <f t="shared" si="1300"/>
        <v>0</v>
      </c>
      <c r="FZ406" s="117">
        <f t="shared" si="1300"/>
        <v>0</v>
      </c>
      <c r="GA406" s="117">
        <f t="shared" si="1300"/>
        <v>0</v>
      </c>
      <c r="GB406" s="116">
        <f t="shared" si="1300"/>
        <v>0.00433105500037922</v>
      </c>
    </row>
    <row r="407" spans="1:184">
      <c r="A407" s="147" t="s">
        <v>366</v>
      </c>
      <c r="B407" s="160" t="e">
        <f t="shared" si="997"/>
        <v>#DIV/0!</v>
      </c>
      <c r="C407" s="117">
        <f t="shared" ref="C407:BN407" si="1301">C195/C$211</f>
        <v>0</v>
      </c>
      <c r="D407" s="117">
        <f t="shared" si="1301"/>
        <v>0</v>
      </c>
      <c r="E407" s="117">
        <f t="shared" si="1301"/>
        <v>0</v>
      </c>
      <c r="F407" s="117">
        <f t="shared" si="1301"/>
        <v>0</v>
      </c>
      <c r="G407" s="117">
        <f t="shared" si="1301"/>
        <v>0</v>
      </c>
      <c r="H407" s="117">
        <f t="shared" si="1301"/>
        <v>0</v>
      </c>
      <c r="I407" s="117">
        <f t="shared" si="1301"/>
        <v>0</v>
      </c>
      <c r="J407" s="117">
        <f t="shared" si="1301"/>
        <v>0</v>
      </c>
      <c r="K407" s="117">
        <f t="shared" si="1301"/>
        <v>0.0147194749258702</v>
      </c>
      <c r="L407" s="117">
        <f t="shared" si="1301"/>
        <v>0.0109469478447894</v>
      </c>
      <c r="M407" s="117">
        <f t="shared" si="1301"/>
        <v>0</v>
      </c>
      <c r="N407" s="117">
        <f t="shared" si="1301"/>
        <v>0.043150933703662</v>
      </c>
      <c r="O407" s="9">
        <f t="shared" si="1301"/>
        <v>0.00575920694723944</v>
      </c>
      <c r="P407" s="117">
        <f t="shared" si="1301"/>
        <v>0</v>
      </c>
      <c r="Q407" s="117">
        <f t="shared" si="1301"/>
        <v>0</v>
      </c>
      <c r="R407" s="117">
        <f t="shared" si="1301"/>
        <v>0</v>
      </c>
      <c r="S407" s="117">
        <f t="shared" si="1301"/>
        <v>0</v>
      </c>
      <c r="T407" s="117">
        <f t="shared" si="1301"/>
        <v>0</v>
      </c>
      <c r="U407" s="117">
        <f t="shared" si="1301"/>
        <v>0</v>
      </c>
      <c r="V407" s="117">
        <f t="shared" si="1301"/>
        <v>0</v>
      </c>
      <c r="W407" s="117">
        <f t="shared" si="1301"/>
        <v>0</v>
      </c>
      <c r="X407" s="117">
        <f t="shared" si="1301"/>
        <v>0.0156711586594715</v>
      </c>
      <c r="Y407" s="117">
        <f t="shared" si="1301"/>
        <v>0.0317111106097272</v>
      </c>
      <c r="Z407" s="117">
        <f t="shared" si="1301"/>
        <v>0</v>
      </c>
      <c r="AA407" s="117">
        <f t="shared" si="1301"/>
        <v>0.0134090840308934</v>
      </c>
      <c r="AB407" s="9">
        <f t="shared" si="1301"/>
        <v>0.00539398514795937</v>
      </c>
      <c r="AC407" s="117">
        <f t="shared" si="1301"/>
        <v>0</v>
      </c>
      <c r="AD407" s="117">
        <f t="shared" si="1301"/>
        <v>0</v>
      </c>
      <c r="AE407" s="117">
        <f t="shared" si="1301"/>
        <v>0</v>
      </c>
      <c r="AF407" s="117">
        <f t="shared" si="1301"/>
        <v>0</v>
      </c>
      <c r="AG407" s="117">
        <f t="shared" si="1301"/>
        <v>0</v>
      </c>
      <c r="AH407" s="117">
        <f t="shared" si="1301"/>
        <v>0</v>
      </c>
      <c r="AI407" s="117">
        <f t="shared" si="1301"/>
        <v>0</v>
      </c>
      <c r="AJ407" s="117">
        <f t="shared" si="1301"/>
        <v>0</v>
      </c>
      <c r="AK407" s="117">
        <f t="shared" si="1301"/>
        <v>0.0246480351165608</v>
      </c>
      <c r="AL407" s="117">
        <f t="shared" si="1301"/>
        <v>0.0320305347448776</v>
      </c>
      <c r="AM407" s="117">
        <f t="shared" si="1301"/>
        <v>0</v>
      </c>
      <c r="AN407" s="117">
        <f t="shared" si="1301"/>
        <v>0.0282112161487309</v>
      </c>
      <c r="AO407" s="9">
        <f t="shared" si="1301"/>
        <v>0.00807539657163085</v>
      </c>
      <c r="AP407" s="144">
        <f t="shared" si="1301"/>
        <v>0</v>
      </c>
      <c r="AQ407" s="144">
        <f t="shared" si="1301"/>
        <v>0</v>
      </c>
      <c r="AR407" s="144">
        <f t="shared" si="1301"/>
        <v>0</v>
      </c>
      <c r="AS407" s="144">
        <f t="shared" si="1301"/>
        <v>0</v>
      </c>
      <c r="AT407" s="144">
        <f t="shared" si="1301"/>
        <v>0</v>
      </c>
      <c r="AU407" s="144">
        <f t="shared" si="1301"/>
        <v>0</v>
      </c>
      <c r="AV407" s="144">
        <f t="shared" si="1301"/>
        <v>0</v>
      </c>
      <c r="AW407" s="144">
        <f t="shared" si="1301"/>
        <v>0</v>
      </c>
      <c r="AX407" s="144">
        <f t="shared" si="1301"/>
        <v>0.00715077047183049</v>
      </c>
      <c r="AY407" s="144">
        <f t="shared" si="1301"/>
        <v>0</v>
      </c>
      <c r="AZ407" s="144">
        <f t="shared" si="1301"/>
        <v>0</v>
      </c>
      <c r="BA407" s="144">
        <f t="shared" si="1301"/>
        <v>0.026881383170028</v>
      </c>
      <c r="BB407" s="9">
        <f t="shared" si="1301"/>
        <v>0.0032860736805517</v>
      </c>
      <c r="BC407" s="144">
        <f t="shared" si="1301"/>
        <v>0</v>
      </c>
      <c r="BD407" s="144">
        <f t="shared" si="1301"/>
        <v>0</v>
      </c>
      <c r="BE407" s="144">
        <f t="shared" si="1301"/>
        <v>0</v>
      </c>
      <c r="BF407" s="144">
        <f t="shared" si="1301"/>
        <v>0</v>
      </c>
      <c r="BG407" s="144">
        <f t="shared" si="1301"/>
        <v>0</v>
      </c>
      <c r="BH407" s="144">
        <f t="shared" si="1301"/>
        <v>0</v>
      </c>
      <c r="BI407" s="144">
        <f t="shared" si="1301"/>
        <v>0</v>
      </c>
      <c r="BJ407" s="144">
        <f t="shared" si="1301"/>
        <v>0</v>
      </c>
      <c r="BK407" s="144">
        <f t="shared" si="1301"/>
        <v>0.00627960636402352</v>
      </c>
      <c r="BL407" s="144">
        <f t="shared" si="1301"/>
        <v>0.0143644181585175</v>
      </c>
      <c r="BM407" s="144">
        <f t="shared" si="1301"/>
        <v>0</v>
      </c>
      <c r="BN407" s="144">
        <f t="shared" si="1301"/>
        <v>0.00853293298625525</v>
      </c>
      <c r="BO407" s="9">
        <f t="shared" ref="BO407:DZ407" si="1302">BO195/BO$211</f>
        <v>0.00250997734039096</v>
      </c>
      <c r="BP407" s="144">
        <f t="shared" si="1302"/>
        <v>0</v>
      </c>
      <c r="BQ407" s="144">
        <f t="shared" si="1302"/>
        <v>0</v>
      </c>
      <c r="BR407" s="144">
        <f t="shared" si="1302"/>
        <v>0</v>
      </c>
      <c r="BS407" s="144">
        <f t="shared" si="1302"/>
        <v>0</v>
      </c>
      <c r="BT407" s="144">
        <f t="shared" si="1302"/>
        <v>0</v>
      </c>
      <c r="BU407" s="144">
        <f t="shared" si="1302"/>
        <v>0</v>
      </c>
      <c r="BV407" s="144">
        <f t="shared" si="1302"/>
        <v>0</v>
      </c>
      <c r="BW407" s="144">
        <f t="shared" si="1302"/>
        <v>0</v>
      </c>
      <c r="BX407" s="144">
        <f t="shared" si="1302"/>
        <v>0.00269712675816724</v>
      </c>
      <c r="BY407" s="144">
        <f t="shared" si="1302"/>
        <v>0.00169237153484403</v>
      </c>
      <c r="BZ407" s="144">
        <f t="shared" si="1302"/>
        <v>0</v>
      </c>
      <c r="CA407" s="144">
        <f t="shared" si="1302"/>
        <v>0.0138314204526932</v>
      </c>
      <c r="CB407" s="9">
        <f t="shared" si="1302"/>
        <v>0.00132617383348649</v>
      </c>
      <c r="CC407" s="144">
        <f t="shared" si="1302"/>
        <v>0</v>
      </c>
      <c r="CD407" s="144">
        <f t="shared" si="1302"/>
        <v>0</v>
      </c>
      <c r="CE407" s="144">
        <f t="shared" si="1302"/>
        <v>0</v>
      </c>
      <c r="CF407" s="144">
        <f t="shared" si="1302"/>
        <v>0</v>
      </c>
      <c r="CG407" s="144">
        <f t="shared" si="1302"/>
        <v>0</v>
      </c>
      <c r="CH407" s="144">
        <f t="shared" si="1302"/>
        <v>0</v>
      </c>
      <c r="CI407" s="144">
        <f t="shared" si="1302"/>
        <v>0</v>
      </c>
      <c r="CJ407" s="144">
        <f t="shared" si="1302"/>
        <v>0</v>
      </c>
      <c r="CK407" s="144">
        <f t="shared" si="1302"/>
        <v>0</v>
      </c>
      <c r="CL407" s="144">
        <f t="shared" si="1302"/>
        <v>0</v>
      </c>
      <c r="CM407" s="144">
        <f t="shared" si="1302"/>
        <v>0</v>
      </c>
      <c r="CN407" s="144">
        <f t="shared" si="1302"/>
        <v>0.0241464711501731</v>
      </c>
      <c r="CO407" s="9">
        <f t="shared" si="1302"/>
        <v>0.00171826931655818</v>
      </c>
      <c r="CP407" s="144">
        <f t="shared" si="1302"/>
        <v>0</v>
      </c>
      <c r="CQ407" s="144">
        <f t="shared" si="1302"/>
        <v>0</v>
      </c>
      <c r="CR407" s="144">
        <f t="shared" si="1302"/>
        <v>0</v>
      </c>
      <c r="CS407" s="144">
        <f t="shared" si="1302"/>
        <v>0</v>
      </c>
      <c r="CT407" s="144">
        <f t="shared" si="1302"/>
        <v>0</v>
      </c>
      <c r="CU407" s="144">
        <f t="shared" si="1302"/>
        <v>0</v>
      </c>
      <c r="CV407" s="144">
        <f t="shared" si="1302"/>
        <v>0</v>
      </c>
      <c r="CW407" s="144">
        <f t="shared" si="1302"/>
        <v>0</v>
      </c>
      <c r="CX407" s="144">
        <f t="shared" si="1302"/>
        <v>0.00828402675171281</v>
      </c>
      <c r="CY407" s="144">
        <f t="shared" si="1302"/>
        <v>0.0209878262711251</v>
      </c>
      <c r="CZ407" s="144">
        <f t="shared" si="1302"/>
        <v>0</v>
      </c>
      <c r="DA407" s="144">
        <f t="shared" si="1302"/>
        <v>0.0126371017982942</v>
      </c>
      <c r="DB407" s="9">
        <f t="shared" si="1302"/>
        <v>0.00317970640618243</v>
      </c>
      <c r="DC407" s="144">
        <f t="shared" si="1302"/>
        <v>0</v>
      </c>
      <c r="DD407" s="144">
        <f t="shared" si="1302"/>
        <v>0</v>
      </c>
      <c r="DE407" s="144">
        <f t="shared" si="1302"/>
        <v>0</v>
      </c>
      <c r="DF407" s="144">
        <f t="shared" si="1302"/>
        <v>0</v>
      </c>
      <c r="DG407" s="144">
        <f t="shared" si="1302"/>
        <v>0</v>
      </c>
      <c r="DH407" s="144">
        <f t="shared" si="1302"/>
        <v>0</v>
      </c>
      <c r="DI407" s="144">
        <f t="shared" si="1302"/>
        <v>0</v>
      </c>
      <c r="DJ407" s="144">
        <f t="shared" si="1302"/>
        <v>0</v>
      </c>
      <c r="DK407" s="144">
        <f t="shared" si="1302"/>
        <v>0</v>
      </c>
      <c r="DL407" s="144">
        <f t="shared" si="1302"/>
        <v>0</v>
      </c>
      <c r="DM407" s="144">
        <f t="shared" si="1302"/>
        <v>0</v>
      </c>
      <c r="DN407" s="144">
        <f t="shared" si="1302"/>
        <v>0.0133141752550678</v>
      </c>
      <c r="DO407" s="9">
        <f t="shared" si="1302"/>
        <v>0.00103253157994878</v>
      </c>
      <c r="DP407" s="144">
        <f t="shared" si="1302"/>
        <v>0</v>
      </c>
      <c r="DQ407" s="144">
        <f t="shared" si="1302"/>
        <v>0</v>
      </c>
      <c r="DR407" s="144">
        <f t="shared" si="1302"/>
        <v>0</v>
      </c>
      <c r="DS407" s="144">
        <f t="shared" si="1302"/>
        <v>0</v>
      </c>
      <c r="DT407" s="144">
        <f t="shared" si="1302"/>
        <v>0</v>
      </c>
      <c r="DU407" s="144">
        <f t="shared" si="1302"/>
        <v>0</v>
      </c>
      <c r="DV407" s="144">
        <f t="shared" si="1302"/>
        <v>0</v>
      </c>
      <c r="DW407" s="144">
        <f t="shared" si="1302"/>
        <v>0</v>
      </c>
      <c r="DX407" s="144">
        <f t="shared" si="1302"/>
        <v>0.00885939507206696</v>
      </c>
      <c r="DY407" s="144">
        <f t="shared" si="1302"/>
        <v>0.0111151572635965</v>
      </c>
      <c r="DZ407" s="144">
        <f t="shared" si="1302"/>
        <v>0</v>
      </c>
      <c r="EA407" s="144">
        <f t="shared" ref="EA407:EB407" si="1303">EA195/EA$211</f>
        <v>0.0156817010782062</v>
      </c>
      <c r="EB407" s="117">
        <f t="shared" si="1303"/>
        <v>0.00262231345005347</v>
      </c>
      <c r="EC407" s="118"/>
      <c r="ED407" s="117">
        <f t="shared" ref="ED407:FB407" si="1304">ED195/ED$211</f>
        <v>0</v>
      </c>
      <c r="EE407" s="117">
        <f t="shared" si="1304"/>
        <v>0</v>
      </c>
      <c r="EF407" s="117">
        <f t="shared" si="1304"/>
        <v>0</v>
      </c>
      <c r="EG407" s="117" t="e">
        <f t="shared" si="1304"/>
        <v>#DIV/0!</v>
      </c>
      <c r="EH407" s="117" t="e">
        <f t="shared" si="1304"/>
        <v>#DIV/0!</v>
      </c>
      <c r="EI407" s="117" t="e">
        <f t="shared" si="1304"/>
        <v>#DIV/0!</v>
      </c>
      <c r="EJ407" s="117" t="e">
        <f t="shared" si="1304"/>
        <v>#DIV/0!</v>
      </c>
      <c r="EK407" s="117" t="e">
        <f t="shared" si="1304"/>
        <v>#DIV/0!</v>
      </c>
      <c r="EL407" s="117" t="e">
        <f t="shared" si="1304"/>
        <v>#DIV/0!</v>
      </c>
      <c r="EM407" s="117" t="e">
        <f t="shared" si="1304"/>
        <v>#DIV/0!</v>
      </c>
      <c r="EN407" s="117" t="e">
        <f t="shared" si="1304"/>
        <v>#DIV/0!</v>
      </c>
      <c r="EO407" s="116">
        <f t="shared" si="1304"/>
        <v>0</v>
      </c>
      <c r="EP407" s="117">
        <f t="shared" si="1304"/>
        <v>0</v>
      </c>
      <c r="EQ407" s="117">
        <f t="shared" si="1304"/>
        <v>0</v>
      </c>
      <c r="ER407" s="117">
        <f t="shared" si="1304"/>
        <v>0</v>
      </c>
      <c r="ES407" s="117">
        <f t="shared" si="1304"/>
        <v>0</v>
      </c>
      <c r="ET407" s="117">
        <f t="shared" si="1304"/>
        <v>0</v>
      </c>
      <c r="EU407" s="117">
        <f t="shared" si="1304"/>
        <v>0</v>
      </c>
      <c r="EV407" s="117">
        <f t="shared" si="1304"/>
        <v>0</v>
      </c>
      <c r="EW407" s="117">
        <f t="shared" si="1304"/>
        <v>0</v>
      </c>
      <c r="EX407" s="117">
        <f t="shared" si="1304"/>
        <v>0</v>
      </c>
      <c r="EY407" s="117">
        <f t="shared" si="1304"/>
        <v>0</v>
      </c>
      <c r="EZ407" s="117">
        <f t="shared" si="1304"/>
        <v>0</v>
      </c>
      <c r="FA407" s="117">
        <f t="shared" si="1304"/>
        <v>0.0141553653746665</v>
      </c>
      <c r="FB407" s="117">
        <f t="shared" si="1304"/>
        <v>0.00124030762720635</v>
      </c>
      <c r="FC407" s="118"/>
      <c r="FD407" s="117"/>
      <c r="FE407" s="117"/>
      <c r="FF407" s="117"/>
      <c r="FG407" s="117"/>
      <c r="FH407" s="117"/>
      <c r="FI407" s="117"/>
      <c r="FJ407" s="117"/>
      <c r="FK407" s="117" t="e">
        <f t="shared" ref="FK407:GB407" si="1305">FK195/FK$211</f>
        <v>#DIV/0!</v>
      </c>
      <c r="FL407" s="117" t="e">
        <f t="shared" si="1305"/>
        <v>#DIV/0!</v>
      </c>
      <c r="FM407" s="117" t="e">
        <f t="shared" si="1305"/>
        <v>#DIV/0!</v>
      </c>
      <c r="FN407" s="117" t="e">
        <f t="shared" si="1305"/>
        <v>#DIV/0!</v>
      </c>
      <c r="FO407" s="9" t="e">
        <f t="shared" si="1305"/>
        <v>#DIV/0!</v>
      </c>
      <c r="FP407" s="118">
        <f t="shared" si="1305"/>
        <v>0</v>
      </c>
      <c r="FQ407" s="117">
        <f t="shared" si="1305"/>
        <v>0</v>
      </c>
      <c r="FR407" s="117">
        <f t="shared" si="1305"/>
        <v>0</v>
      </c>
      <c r="FS407" s="117">
        <f t="shared" si="1305"/>
        <v>0</v>
      </c>
      <c r="FT407" s="117">
        <f t="shared" si="1305"/>
        <v>0</v>
      </c>
      <c r="FU407" s="117">
        <f t="shared" si="1305"/>
        <v>0</v>
      </c>
      <c r="FV407" s="117">
        <f t="shared" si="1305"/>
        <v>0</v>
      </c>
      <c r="FW407" s="117">
        <f t="shared" si="1305"/>
        <v>0</v>
      </c>
      <c r="FX407" s="117">
        <f t="shared" si="1305"/>
        <v>0.0332790051851171</v>
      </c>
      <c r="FY407" s="117">
        <f t="shared" si="1305"/>
        <v>0</v>
      </c>
      <c r="FZ407" s="117">
        <f t="shared" si="1305"/>
        <v>0</v>
      </c>
      <c r="GA407" s="117">
        <f t="shared" si="1305"/>
        <v>0.113199608215947</v>
      </c>
      <c r="GB407" s="116">
        <f t="shared" si="1305"/>
        <v>0.0131876359777583</v>
      </c>
    </row>
    <row r="408" spans="1:184">
      <c r="A408" s="147" t="s">
        <v>367</v>
      </c>
      <c r="B408" s="160" t="e">
        <f t="shared" ref="B408:B423" si="1306">O196/B196-1</f>
        <v>#DIV/0!</v>
      </c>
      <c r="C408" s="117">
        <f t="shared" ref="C408:BN408" si="1307">C196/C$211</f>
        <v>0</v>
      </c>
      <c r="D408" s="117">
        <f t="shared" si="1307"/>
        <v>0</v>
      </c>
      <c r="E408" s="117">
        <f t="shared" si="1307"/>
        <v>0</v>
      </c>
      <c r="F408" s="117">
        <f t="shared" si="1307"/>
        <v>0</v>
      </c>
      <c r="G408" s="117">
        <f t="shared" si="1307"/>
        <v>0</v>
      </c>
      <c r="H408" s="117">
        <f t="shared" si="1307"/>
        <v>0</v>
      </c>
      <c r="I408" s="117">
        <f t="shared" si="1307"/>
        <v>0</v>
      </c>
      <c r="J408" s="117">
        <f t="shared" si="1307"/>
        <v>0</v>
      </c>
      <c r="K408" s="117">
        <f t="shared" si="1307"/>
        <v>0</v>
      </c>
      <c r="L408" s="117">
        <f t="shared" si="1307"/>
        <v>0</v>
      </c>
      <c r="M408" s="117">
        <f t="shared" si="1307"/>
        <v>0</v>
      </c>
      <c r="N408" s="117">
        <f t="shared" si="1307"/>
        <v>0.00326979771507976</v>
      </c>
      <c r="O408" s="9">
        <f t="shared" si="1307"/>
        <v>0.000272368063111759</v>
      </c>
      <c r="P408" s="117">
        <f t="shared" si="1307"/>
        <v>0</v>
      </c>
      <c r="Q408" s="117">
        <f t="shared" si="1307"/>
        <v>0</v>
      </c>
      <c r="R408" s="117">
        <f t="shared" si="1307"/>
        <v>0</v>
      </c>
      <c r="S408" s="117">
        <f t="shared" si="1307"/>
        <v>0</v>
      </c>
      <c r="T408" s="117">
        <f t="shared" si="1307"/>
        <v>0</v>
      </c>
      <c r="U408" s="117">
        <f t="shared" si="1307"/>
        <v>0</v>
      </c>
      <c r="V408" s="117">
        <f t="shared" si="1307"/>
        <v>0</v>
      </c>
      <c r="W408" s="117">
        <f t="shared" si="1307"/>
        <v>0</v>
      </c>
      <c r="X408" s="117">
        <f t="shared" si="1307"/>
        <v>0</v>
      </c>
      <c r="Y408" s="117">
        <f t="shared" si="1307"/>
        <v>0</v>
      </c>
      <c r="Z408" s="117">
        <f t="shared" si="1307"/>
        <v>0</v>
      </c>
      <c r="AA408" s="117">
        <f t="shared" si="1307"/>
        <v>0.00521423318461934</v>
      </c>
      <c r="AB408" s="9">
        <f t="shared" si="1307"/>
        <v>0.000441578046188843</v>
      </c>
      <c r="AC408" s="117">
        <f t="shared" si="1307"/>
        <v>0</v>
      </c>
      <c r="AD408" s="117">
        <f t="shared" si="1307"/>
        <v>0</v>
      </c>
      <c r="AE408" s="117">
        <f t="shared" si="1307"/>
        <v>0</v>
      </c>
      <c r="AF408" s="117">
        <f t="shared" si="1307"/>
        <v>0</v>
      </c>
      <c r="AG408" s="117">
        <f t="shared" si="1307"/>
        <v>0</v>
      </c>
      <c r="AH408" s="117">
        <f t="shared" si="1307"/>
        <v>0</v>
      </c>
      <c r="AI408" s="117">
        <f t="shared" si="1307"/>
        <v>0</v>
      </c>
      <c r="AJ408" s="117">
        <f t="shared" si="1307"/>
        <v>0</v>
      </c>
      <c r="AK408" s="117">
        <f t="shared" si="1307"/>
        <v>0</v>
      </c>
      <c r="AL408" s="117">
        <f t="shared" si="1307"/>
        <v>0</v>
      </c>
      <c r="AM408" s="117">
        <f t="shared" si="1307"/>
        <v>0</v>
      </c>
      <c r="AN408" s="117">
        <f t="shared" si="1307"/>
        <v>0.00403017373553299</v>
      </c>
      <c r="AO408" s="9">
        <f t="shared" si="1307"/>
        <v>0.000360508775519234</v>
      </c>
      <c r="AP408" s="144">
        <f t="shared" si="1307"/>
        <v>0</v>
      </c>
      <c r="AQ408" s="144">
        <f t="shared" si="1307"/>
        <v>0</v>
      </c>
      <c r="AR408" s="144">
        <f t="shared" si="1307"/>
        <v>0</v>
      </c>
      <c r="AS408" s="144">
        <f t="shared" si="1307"/>
        <v>0</v>
      </c>
      <c r="AT408" s="144">
        <f t="shared" si="1307"/>
        <v>0</v>
      </c>
      <c r="AU408" s="144">
        <f t="shared" si="1307"/>
        <v>0</v>
      </c>
      <c r="AV408" s="144">
        <f t="shared" si="1307"/>
        <v>0</v>
      </c>
      <c r="AW408" s="144">
        <f t="shared" si="1307"/>
        <v>0</v>
      </c>
      <c r="AX408" s="144">
        <f t="shared" si="1307"/>
        <v>0</v>
      </c>
      <c r="AY408" s="144">
        <f t="shared" si="1307"/>
        <v>0</v>
      </c>
      <c r="AZ408" s="144">
        <f t="shared" si="1307"/>
        <v>0</v>
      </c>
      <c r="BA408" s="144">
        <f t="shared" si="1307"/>
        <v>0.00177541493736638</v>
      </c>
      <c r="BB408" s="9">
        <f t="shared" si="1307"/>
        <v>0.000172680495504346</v>
      </c>
      <c r="BC408" s="144">
        <f t="shared" si="1307"/>
        <v>0</v>
      </c>
      <c r="BD408" s="144">
        <f t="shared" si="1307"/>
        <v>0</v>
      </c>
      <c r="BE408" s="144">
        <f t="shared" si="1307"/>
        <v>0</v>
      </c>
      <c r="BF408" s="144">
        <f t="shared" si="1307"/>
        <v>0</v>
      </c>
      <c r="BG408" s="144">
        <f t="shared" si="1307"/>
        <v>0</v>
      </c>
      <c r="BH408" s="144">
        <f t="shared" si="1307"/>
        <v>0</v>
      </c>
      <c r="BI408" s="144">
        <f t="shared" si="1307"/>
        <v>0</v>
      </c>
      <c r="BJ408" s="144">
        <f t="shared" si="1307"/>
        <v>0</v>
      </c>
      <c r="BK408" s="144">
        <f t="shared" si="1307"/>
        <v>0</v>
      </c>
      <c r="BL408" s="144">
        <f t="shared" si="1307"/>
        <v>0</v>
      </c>
      <c r="BM408" s="144">
        <f t="shared" si="1307"/>
        <v>0</v>
      </c>
      <c r="BN408" s="144">
        <f t="shared" si="1307"/>
        <v>0.00243798085321579</v>
      </c>
      <c r="BO408" s="9">
        <f t="shared" ref="BO408:DZ408" si="1308">BO196/BO$211</f>
        <v>0.000209893575503077</v>
      </c>
      <c r="BP408" s="144">
        <f t="shared" si="1308"/>
        <v>0</v>
      </c>
      <c r="BQ408" s="144">
        <f t="shared" si="1308"/>
        <v>0</v>
      </c>
      <c r="BR408" s="144">
        <f t="shared" si="1308"/>
        <v>0</v>
      </c>
      <c r="BS408" s="144">
        <f t="shared" si="1308"/>
        <v>0</v>
      </c>
      <c r="BT408" s="144">
        <f t="shared" si="1308"/>
        <v>0</v>
      </c>
      <c r="BU408" s="144">
        <f t="shared" si="1308"/>
        <v>0</v>
      </c>
      <c r="BV408" s="144">
        <f t="shared" si="1308"/>
        <v>0</v>
      </c>
      <c r="BW408" s="144">
        <f t="shared" si="1308"/>
        <v>0</v>
      </c>
      <c r="BX408" s="144">
        <f t="shared" si="1308"/>
        <v>0</v>
      </c>
      <c r="BY408" s="144">
        <f t="shared" si="1308"/>
        <v>0</v>
      </c>
      <c r="BZ408" s="144">
        <f t="shared" si="1308"/>
        <v>0</v>
      </c>
      <c r="CA408" s="144">
        <f t="shared" si="1308"/>
        <v>0.00111054302334877</v>
      </c>
      <c r="CB408" s="9">
        <f t="shared" si="1308"/>
        <v>7.78318535165711e-5</v>
      </c>
      <c r="CC408" s="144">
        <f t="shared" si="1308"/>
        <v>0</v>
      </c>
      <c r="CD408" s="144">
        <f t="shared" si="1308"/>
        <v>0</v>
      </c>
      <c r="CE408" s="144">
        <f t="shared" si="1308"/>
        <v>0</v>
      </c>
      <c r="CF408" s="144">
        <f t="shared" si="1308"/>
        <v>0</v>
      </c>
      <c r="CG408" s="144">
        <f t="shared" si="1308"/>
        <v>0</v>
      </c>
      <c r="CH408" s="144">
        <f t="shared" si="1308"/>
        <v>0</v>
      </c>
      <c r="CI408" s="144">
        <f t="shared" si="1308"/>
        <v>0</v>
      </c>
      <c r="CJ408" s="144">
        <f t="shared" si="1308"/>
        <v>0</v>
      </c>
      <c r="CK408" s="144">
        <f t="shared" si="1308"/>
        <v>0</v>
      </c>
      <c r="CL408" s="144">
        <f t="shared" si="1308"/>
        <v>0</v>
      </c>
      <c r="CM408" s="144">
        <f t="shared" si="1308"/>
        <v>0</v>
      </c>
      <c r="CN408" s="144">
        <f t="shared" si="1308"/>
        <v>0.00205692161649622</v>
      </c>
      <c r="CO408" s="9">
        <f t="shared" si="1308"/>
        <v>0.00014637108992903</v>
      </c>
      <c r="CP408" s="144">
        <f t="shared" si="1308"/>
        <v>0</v>
      </c>
      <c r="CQ408" s="144">
        <f t="shared" si="1308"/>
        <v>0</v>
      </c>
      <c r="CR408" s="144">
        <f t="shared" si="1308"/>
        <v>0</v>
      </c>
      <c r="CS408" s="144">
        <f t="shared" si="1308"/>
        <v>0</v>
      </c>
      <c r="CT408" s="144">
        <f t="shared" si="1308"/>
        <v>0</v>
      </c>
      <c r="CU408" s="144">
        <f t="shared" si="1308"/>
        <v>0</v>
      </c>
      <c r="CV408" s="144">
        <f t="shared" si="1308"/>
        <v>0</v>
      </c>
      <c r="CW408" s="144">
        <f t="shared" si="1308"/>
        <v>0</v>
      </c>
      <c r="CX408" s="144">
        <f t="shared" si="1308"/>
        <v>0</v>
      </c>
      <c r="CY408" s="144">
        <f t="shared" si="1308"/>
        <v>0</v>
      </c>
      <c r="CZ408" s="144">
        <f t="shared" si="1308"/>
        <v>0</v>
      </c>
      <c r="DA408" s="144">
        <f t="shared" si="1308"/>
        <v>0.00270795038534875</v>
      </c>
      <c r="DB408" s="9">
        <f t="shared" si="1308"/>
        <v>0.00020787426868505</v>
      </c>
      <c r="DC408" s="144">
        <f t="shared" si="1308"/>
        <v>0</v>
      </c>
      <c r="DD408" s="144">
        <f t="shared" si="1308"/>
        <v>0</v>
      </c>
      <c r="DE408" s="144">
        <f t="shared" si="1308"/>
        <v>0</v>
      </c>
      <c r="DF408" s="144">
        <f t="shared" si="1308"/>
        <v>0</v>
      </c>
      <c r="DG408" s="144">
        <f t="shared" si="1308"/>
        <v>0</v>
      </c>
      <c r="DH408" s="144">
        <f t="shared" si="1308"/>
        <v>0</v>
      </c>
      <c r="DI408" s="144">
        <f t="shared" si="1308"/>
        <v>0</v>
      </c>
      <c r="DJ408" s="144">
        <f t="shared" si="1308"/>
        <v>0</v>
      </c>
      <c r="DK408" s="144">
        <f t="shared" si="1308"/>
        <v>0</v>
      </c>
      <c r="DL408" s="144">
        <f t="shared" si="1308"/>
        <v>0</v>
      </c>
      <c r="DM408" s="144">
        <f t="shared" si="1308"/>
        <v>0</v>
      </c>
      <c r="DN408" s="144">
        <f t="shared" si="1308"/>
        <v>0</v>
      </c>
      <c r="DO408" s="9">
        <f t="shared" si="1308"/>
        <v>0</v>
      </c>
      <c r="DP408" s="144">
        <f t="shared" si="1308"/>
        <v>0</v>
      </c>
      <c r="DQ408" s="144">
        <f t="shared" si="1308"/>
        <v>0</v>
      </c>
      <c r="DR408" s="144">
        <f t="shared" si="1308"/>
        <v>0</v>
      </c>
      <c r="DS408" s="144">
        <f t="shared" si="1308"/>
        <v>0</v>
      </c>
      <c r="DT408" s="144">
        <f t="shared" si="1308"/>
        <v>0</v>
      </c>
      <c r="DU408" s="144">
        <f t="shared" si="1308"/>
        <v>0</v>
      </c>
      <c r="DV408" s="144">
        <f t="shared" si="1308"/>
        <v>0</v>
      </c>
      <c r="DW408" s="144">
        <f t="shared" si="1308"/>
        <v>0</v>
      </c>
      <c r="DX408" s="144">
        <f t="shared" si="1308"/>
        <v>0</v>
      </c>
      <c r="DY408" s="144">
        <f t="shared" si="1308"/>
        <v>0</v>
      </c>
      <c r="DZ408" s="144">
        <f t="shared" si="1308"/>
        <v>0</v>
      </c>
      <c r="EA408" s="144">
        <f t="shared" ref="EA408:EB408" si="1309">EA196/EA$211</f>
        <v>0.00672072903351696</v>
      </c>
      <c r="EB408" s="117">
        <f t="shared" si="1309"/>
        <v>0.000449539448580594</v>
      </c>
      <c r="EC408" s="118"/>
      <c r="ED408" s="117">
        <f t="shared" ref="ED408:FB408" si="1310">ED196/ED$211</f>
        <v>0</v>
      </c>
      <c r="EE408" s="117">
        <f t="shared" si="1310"/>
        <v>0</v>
      </c>
      <c r="EF408" s="117">
        <f t="shared" si="1310"/>
        <v>0</v>
      </c>
      <c r="EG408" s="117" t="e">
        <f t="shared" si="1310"/>
        <v>#DIV/0!</v>
      </c>
      <c r="EH408" s="117" t="e">
        <f t="shared" si="1310"/>
        <v>#DIV/0!</v>
      </c>
      <c r="EI408" s="117" t="e">
        <f t="shared" si="1310"/>
        <v>#DIV/0!</v>
      </c>
      <c r="EJ408" s="117" t="e">
        <f t="shared" si="1310"/>
        <v>#DIV/0!</v>
      </c>
      <c r="EK408" s="117" t="e">
        <f t="shared" si="1310"/>
        <v>#DIV/0!</v>
      </c>
      <c r="EL408" s="117" t="e">
        <f t="shared" si="1310"/>
        <v>#DIV/0!</v>
      </c>
      <c r="EM408" s="117" t="e">
        <f t="shared" si="1310"/>
        <v>#DIV/0!</v>
      </c>
      <c r="EN408" s="117" t="e">
        <f t="shared" si="1310"/>
        <v>#DIV/0!</v>
      </c>
      <c r="EO408" s="116">
        <f t="shared" si="1310"/>
        <v>0</v>
      </c>
      <c r="EP408" s="117">
        <f t="shared" si="1310"/>
        <v>0</v>
      </c>
      <c r="EQ408" s="117">
        <f t="shared" si="1310"/>
        <v>0</v>
      </c>
      <c r="ER408" s="117">
        <f t="shared" si="1310"/>
        <v>0</v>
      </c>
      <c r="ES408" s="117">
        <f t="shared" si="1310"/>
        <v>0</v>
      </c>
      <c r="ET408" s="117">
        <f t="shared" si="1310"/>
        <v>0</v>
      </c>
      <c r="EU408" s="117">
        <f t="shared" si="1310"/>
        <v>0</v>
      </c>
      <c r="EV408" s="117">
        <f t="shared" si="1310"/>
        <v>0</v>
      </c>
      <c r="EW408" s="117">
        <f t="shared" si="1310"/>
        <v>0</v>
      </c>
      <c r="EX408" s="117">
        <f t="shared" si="1310"/>
        <v>0</v>
      </c>
      <c r="EY408" s="117">
        <f t="shared" si="1310"/>
        <v>0</v>
      </c>
      <c r="EZ408" s="117">
        <f t="shared" si="1310"/>
        <v>0</v>
      </c>
      <c r="FA408" s="117">
        <f t="shared" si="1310"/>
        <v>0.00303329258028568</v>
      </c>
      <c r="FB408" s="117">
        <f t="shared" si="1310"/>
        <v>0.000265780205829931</v>
      </c>
      <c r="FC408" s="118"/>
      <c r="FD408" s="117"/>
      <c r="FE408" s="117"/>
      <c r="FF408" s="117"/>
      <c r="FG408" s="117"/>
      <c r="FH408" s="117"/>
      <c r="FI408" s="117"/>
      <c r="FJ408" s="117"/>
      <c r="FK408" s="117" t="e">
        <f t="shared" ref="FK408:GB408" si="1311">FK196/FK$211</f>
        <v>#DIV/0!</v>
      </c>
      <c r="FL408" s="117" t="e">
        <f t="shared" si="1311"/>
        <v>#DIV/0!</v>
      </c>
      <c r="FM408" s="117" t="e">
        <f t="shared" si="1311"/>
        <v>#DIV/0!</v>
      </c>
      <c r="FN408" s="117" t="e">
        <f t="shared" si="1311"/>
        <v>#DIV/0!</v>
      </c>
      <c r="FO408" s="9" t="e">
        <f t="shared" si="1311"/>
        <v>#DIV/0!</v>
      </c>
      <c r="FP408" s="118">
        <f t="shared" si="1311"/>
        <v>0</v>
      </c>
      <c r="FQ408" s="117">
        <f t="shared" si="1311"/>
        <v>0</v>
      </c>
      <c r="FR408" s="117">
        <f t="shared" si="1311"/>
        <v>0</v>
      </c>
      <c r="FS408" s="117">
        <f t="shared" si="1311"/>
        <v>0</v>
      </c>
      <c r="FT408" s="117">
        <f t="shared" si="1311"/>
        <v>0</v>
      </c>
      <c r="FU408" s="117">
        <f t="shared" si="1311"/>
        <v>0</v>
      </c>
      <c r="FV408" s="117">
        <f t="shared" si="1311"/>
        <v>0</v>
      </c>
      <c r="FW408" s="117">
        <f t="shared" si="1311"/>
        <v>0</v>
      </c>
      <c r="FX408" s="117">
        <f t="shared" si="1311"/>
        <v>0</v>
      </c>
      <c r="FY408" s="117">
        <f t="shared" si="1311"/>
        <v>0</v>
      </c>
      <c r="FZ408" s="117">
        <f t="shared" si="1311"/>
        <v>0</v>
      </c>
      <c r="GA408" s="117">
        <f t="shared" si="1311"/>
        <v>0.00359737122215414</v>
      </c>
      <c r="GB408" s="116">
        <f t="shared" si="1311"/>
        <v>0.000338334993400495</v>
      </c>
    </row>
    <row r="409" spans="1:184">
      <c r="A409" s="147" t="s">
        <v>368</v>
      </c>
      <c r="B409" s="160" t="e">
        <f t="shared" si="1306"/>
        <v>#DIV/0!</v>
      </c>
      <c r="C409" s="117">
        <f t="shared" ref="C409:BN409" si="1312">C197/C$211</f>
        <v>0</v>
      </c>
      <c r="D409" s="117">
        <f t="shared" si="1312"/>
        <v>0</v>
      </c>
      <c r="E409" s="117">
        <f t="shared" si="1312"/>
        <v>0</v>
      </c>
      <c r="F409" s="117">
        <f t="shared" si="1312"/>
        <v>0</v>
      </c>
      <c r="G409" s="117">
        <f t="shared" si="1312"/>
        <v>0</v>
      </c>
      <c r="H409" s="117">
        <f t="shared" si="1312"/>
        <v>0</v>
      </c>
      <c r="I409" s="117">
        <f t="shared" si="1312"/>
        <v>0</v>
      </c>
      <c r="J409" s="117">
        <f t="shared" si="1312"/>
        <v>0</v>
      </c>
      <c r="K409" s="117">
        <f t="shared" si="1312"/>
        <v>0</v>
      </c>
      <c r="L409" s="117">
        <f t="shared" si="1312"/>
        <v>0</v>
      </c>
      <c r="M409" s="117">
        <f t="shared" si="1312"/>
        <v>0</v>
      </c>
      <c r="N409" s="117">
        <f t="shared" si="1312"/>
        <v>0</v>
      </c>
      <c r="O409" s="9">
        <f t="shared" si="1312"/>
        <v>0</v>
      </c>
      <c r="P409" s="117">
        <f t="shared" si="1312"/>
        <v>0</v>
      </c>
      <c r="Q409" s="117">
        <f t="shared" si="1312"/>
        <v>0</v>
      </c>
      <c r="R409" s="117">
        <f t="shared" si="1312"/>
        <v>0</v>
      </c>
      <c r="S409" s="117">
        <f t="shared" si="1312"/>
        <v>0</v>
      </c>
      <c r="T409" s="117">
        <f t="shared" si="1312"/>
        <v>0</v>
      </c>
      <c r="U409" s="117">
        <f t="shared" si="1312"/>
        <v>0</v>
      </c>
      <c r="V409" s="117">
        <f t="shared" si="1312"/>
        <v>0</v>
      </c>
      <c r="W409" s="117">
        <f t="shared" si="1312"/>
        <v>0</v>
      </c>
      <c r="X409" s="117">
        <f t="shared" si="1312"/>
        <v>0</v>
      </c>
      <c r="Y409" s="117">
        <f t="shared" si="1312"/>
        <v>0</v>
      </c>
      <c r="Z409" s="117">
        <f t="shared" si="1312"/>
        <v>0</v>
      </c>
      <c r="AA409" s="117">
        <f t="shared" si="1312"/>
        <v>0</v>
      </c>
      <c r="AB409" s="9">
        <f t="shared" si="1312"/>
        <v>0</v>
      </c>
      <c r="AC409" s="117">
        <f t="shared" si="1312"/>
        <v>0</v>
      </c>
      <c r="AD409" s="117">
        <f t="shared" si="1312"/>
        <v>0</v>
      </c>
      <c r="AE409" s="117">
        <f t="shared" si="1312"/>
        <v>0</v>
      </c>
      <c r="AF409" s="117">
        <f t="shared" si="1312"/>
        <v>0</v>
      </c>
      <c r="AG409" s="117">
        <f t="shared" si="1312"/>
        <v>0</v>
      </c>
      <c r="AH409" s="117">
        <f t="shared" si="1312"/>
        <v>0</v>
      </c>
      <c r="AI409" s="117">
        <f t="shared" si="1312"/>
        <v>0</v>
      </c>
      <c r="AJ409" s="117">
        <f t="shared" si="1312"/>
        <v>0</v>
      </c>
      <c r="AK409" s="117">
        <f t="shared" si="1312"/>
        <v>0</v>
      </c>
      <c r="AL409" s="117">
        <f t="shared" si="1312"/>
        <v>0</v>
      </c>
      <c r="AM409" s="117">
        <f t="shared" si="1312"/>
        <v>0</v>
      </c>
      <c r="AN409" s="117">
        <f t="shared" si="1312"/>
        <v>0</v>
      </c>
      <c r="AO409" s="9">
        <f t="shared" si="1312"/>
        <v>0</v>
      </c>
      <c r="AP409" s="144">
        <f t="shared" si="1312"/>
        <v>0</v>
      </c>
      <c r="AQ409" s="144">
        <f t="shared" si="1312"/>
        <v>0</v>
      </c>
      <c r="AR409" s="144">
        <f t="shared" si="1312"/>
        <v>0</v>
      </c>
      <c r="AS409" s="144">
        <f t="shared" si="1312"/>
        <v>0</v>
      </c>
      <c r="AT409" s="144">
        <f t="shared" si="1312"/>
        <v>0</v>
      </c>
      <c r="AU409" s="144">
        <f t="shared" si="1312"/>
        <v>0</v>
      </c>
      <c r="AV409" s="144">
        <f t="shared" si="1312"/>
        <v>0</v>
      </c>
      <c r="AW409" s="144">
        <f t="shared" si="1312"/>
        <v>0</v>
      </c>
      <c r="AX409" s="144">
        <f t="shared" si="1312"/>
        <v>0</v>
      </c>
      <c r="AY409" s="144">
        <f t="shared" si="1312"/>
        <v>0</v>
      </c>
      <c r="AZ409" s="144">
        <f t="shared" si="1312"/>
        <v>0</v>
      </c>
      <c r="BA409" s="144">
        <f t="shared" si="1312"/>
        <v>0</v>
      </c>
      <c r="BB409" s="9">
        <f t="shared" si="1312"/>
        <v>0</v>
      </c>
      <c r="BC409" s="144">
        <f t="shared" si="1312"/>
        <v>0</v>
      </c>
      <c r="BD409" s="144">
        <f t="shared" si="1312"/>
        <v>0</v>
      </c>
      <c r="BE409" s="144">
        <f t="shared" si="1312"/>
        <v>0</v>
      </c>
      <c r="BF409" s="144">
        <f t="shared" si="1312"/>
        <v>0</v>
      </c>
      <c r="BG409" s="144">
        <f t="shared" si="1312"/>
        <v>0</v>
      </c>
      <c r="BH409" s="144">
        <f t="shared" si="1312"/>
        <v>0</v>
      </c>
      <c r="BI409" s="144">
        <f t="shared" si="1312"/>
        <v>0</v>
      </c>
      <c r="BJ409" s="144">
        <f t="shared" si="1312"/>
        <v>0</v>
      </c>
      <c r="BK409" s="144">
        <f t="shared" si="1312"/>
        <v>0</v>
      </c>
      <c r="BL409" s="144">
        <f t="shared" si="1312"/>
        <v>0</v>
      </c>
      <c r="BM409" s="144">
        <f t="shared" si="1312"/>
        <v>0</v>
      </c>
      <c r="BN409" s="144">
        <f t="shared" si="1312"/>
        <v>0</v>
      </c>
      <c r="BO409" s="9">
        <f t="shared" ref="BO409:DZ409" si="1313">BO197/BO$211</f>
        <v>0</v>
      </c>
      <c r="BP409" s="144">
        <f t="shared" si="1313"/>
        <v>0</v>
      </c>
      <c r="BQ409" s="144">
        <f t="shared" si="1313"/>
        <v>0</v>
      </c>
      <c r="BR409" s="144">
        <f t="shared" si="1313"/>
        <v>0</v>
      </c>
      <c r="BS409" s="144">
        <f t="shared" si="1313"/>
        <v>0</v>
      </c>
      <c r="BT409" s="144">
        <f t="shared" si="1313"/>
        <v>0</v>
      </c>
      <c r="BU409" s="144">
        <f t="shared" si="1313"/>
        <v>0</v>
      </c>
      <c r="BV409" s="144">
        <f t="shared" si="1313"/>
        <v>0</v>
      </c>
      <c r="BW409" s="144">
        <f t="shared" si="1313"/>
        <v>0</v>
      </c>
      <c r="BX409" s="144">
        <f t="shared" si="1313"/>
        <v>0</v>
      </c>
      <c r="BY409" s="144">
        <f t="shared" si="1313"/>
        <v>0</v>
      </c>
      <c r="BZ409" s="144">
        <f t="shared" si="1313"/>
        <v>0</v>
      </c>
      <c r="CA409" s="144">
        <f t="shared" si="1313"/>
        <v>0</v>
      </c>
      <c r="CB409" s="9">
        <f t="shared" si="1313"/>
        <v>0</v>
      </c>
      <c r="CC409" s="144">
        <f t="shared" si="1313"/>
        <v>0</v>
      </c>
      <c r="CD409" s="144">
        <f t="shared" si="1313"/>
        <v>0</v>
      </c>
      <c r="CE409" s="144">
        <f t="shared" si="1313"/>
        <v>0</v>
      </c>
      <c r="CF409" s="144">
        <f t="shared" si="1313"/>
        <v>0</v>
      </c>
      <c r="CG409" s="144">
        <f t="shared" si="1313"/>
        <v>0</v>
      </c>
      <c r="CH409" s="144">
        <f t="shared" si="1313"/>
        <v>0</v>
      </c>
      <c r="CI409" s="144">
        <f t="shared" si="1313"/>
        <v>0</v>
      </c>
      <c r="CJ409" s="144">
        <f t="shared" si="1313"/>
        <v>0</v>
      </c>
      <c r="CK409" s="144">
        <f t="shared" si="1313"/>
        <v>0</v>
      </c>
      <c r="CL409" s="144">
        <f t="shared" si="1313"/>
        <v>0</v>
      </c>
      <c r="CM409" s="144">
        <f t="shared" si="1313"/>
        <v>0</v>
      </c>
      <c r="CN409" s="144">
        <f t="shared" si="1313"/>
        <v>0</v>
      </c>
      <c r="CO409" s="9">
        <f t="shared" si="1313"/>
        <v>0</v>
      </c>
      <c r="CP409" s="144">
        <f t="shared" si="1313"/>
        <v>0</v>
      </c>
      <c r="CQ409" s="144">
        <f t="shared" si="1313"/>
        <v>0</v>
      </c>
      <c r="CR409" s="144">
        <f t="shared" si="1313"/>
        <v>0</v>
      </c>
      <c r="CS409" s="144">
        <f t="shared" si="1313"/>
        <v>0</v>
      </c>
      <c r="CT409" s="144">
        <f t="shared" si="1313"/>
        <v>0</v>
      </c>
      <c r="CU409" s="144">
        <f t="shared" si="1313"/>
        <v>0</v>
      </c>
      <c r="CV409" s="144">
        <f t="shared" si="1313"/>
        <v>0</v>
      </c>
      <c r="CW409" s="144">
        <f t="shared" si="1313"/>
        <v>0</v>
      </c>
      <c r="CX409" s="144">
        <f t="shared" si="1313"/>
        <v>0</v>
      </c>
      <c r="CY409" s="144">
        <f t="shared" si="1313"/>
        <v>0</v>
      </c>
      <c r="CZ409" s="144">
        <f t="shared" si="1313"/>
        <v>0</v>
      </c>
      <c r="DA409" s="144">
        <f t="shared" si="1313"/>
        <v>0</v>
      </c>
      <c r="DB409" s="9">
        <f t="shared" si="1313"/>
        <v>0</v>
      </c>
      <c r="DC409" s="144">
        <f t="shared" si="1313"/>
        <v>0</v>
      </c>
      <c r="DD409" s="144">
        <f t="shared" si="1313"/>
        <v>0</v>
      </c>
      <c r="DE409" s="144">
        <f t="shared" si="1313"/>
        <v>0</v>
      </c>
      <c r="DF409" s="144">
        <f t="shared" si="1313"/>
        <v>0</v>
      </c>
      <c r="DG409" s="144">
        <f t="shared" si="1313"/>
        <v>0</v>
      </c>
      <c r="DH409" s="144">
        <f t="shared" si="1313"/>
        <v>0</v>
      </c>
      <c r="DI409" s="144">
        <f t="shared" si="1313"/>
        <v>0</v>
      </c>
      <c r="DJ409" s="144">
        <f t="shared" si="1313"/>
        <v>0</v>
      </c>
      <c r="DK409" s="144">
        <f t="shared" si="1313"/>
        <v>0</v>
      </c>
      <c r="DL409" s="144">
        <f t="shared" si="1313"/>
        <v>0</v>
      </c>
      <c r="DM409" s="144">
        <f t="shared" si="1313"/>
        <v>0</v>
      </c>
      <c r="DN409" s="144">
        <f t="shared" si="1313"/>
        <v>0</v>
      </c>
      <c r="DO409" s="9">
        <f t="shared" si="1313"/>
        <v>0</v>
      </c>
      <c r="DP409" s="144">
        <f t="shared" si="1313"/>
        <v>0</v>
      </c>
      <c r="DQ409" s="144">
        <f t="shared" si="1313"/>
        <v>0</v>
      </c>
      <c r="DR409" s="144">
        <f t="shared" si="1313"/>
        <v>0</v>
      </c>
      <c r="DS409" s="144">
        <f t="shared" si="1313"/>
        <v>0</v>
      </c>
      <c r="DT409" s="144">
        <f t="shared" si="1313"/>
        <v>0</v>
      </c>
      <c r="DU409" s="144">
        <f t="shared" si="1313"/>
        <v>0</v>
      </c>
      <c r="DV409" s="144">
        <f t="shared" si="1313"/>
        <v>0</v>
      </c>
      <c r="DW409" s="144">
        <f t="shared" si="1313"/>
        <v>0</v>
      </c>
      <c r="DX409" s="144">
        <f t="shared" si="1313"/>
        <v>0</v>
      </c>
      <c r="DY409" s="144">
        <f t="shared" si="1313"/>
        <v>0</v>
      </c>
      <c r="DZ409" s="144">
        <f t="shared" si="1313"/>
        <v>0</v>
      </c>
      <c r="EA409" s="144">
        <f t="shared" ref="EA409:EB409" si="1314">EA197/EA$211</f>
        <v>0</v>
      </c>
      <c r="EB409" s="117">
        <f t="shared" si="1314"/>
        <v>0</v>
      </c>
      <c r="EC409" s="118"/>
      <c r="ED409" s="117">
        <f t="shared" ref="ED409:FB409" si="1315">ED197/ED$211</f>
        <v>0</v>
      </c>
      <c r="EE409" s="117">
        <f t="shared" si="1315"/>
        <v>0</v>
      </c>
      <c r="EF409" s="117">
        <f t="shared" si="1315"/>
        <v>0</v>
      </c>
      <c r="EG409" s="117" t="e">
        <f t="shared" si="1315"/>
        <v>#DIV/0!</v>
      </c>
      <c r="EH409" s="117" t="e">
        <f t="shared" si="1315"/>
        <v>#DIV/0!</v>
      </c>
      <c r="EI409" s="117" t="e">
        <f t="shared" si="1315"/>
        <v>#DIV/0!</v>
      </c>
      <c r="EJ409" s="117" t="e">
        <f t="shared" si="1315"/>
        <v>#DIV/0!</v>
      </c>
      <c r="EK409" s="117" t="e">
        <f t="shared" si="1315"/>
        <v>#DIV/0!</v>
      </c>
      <c r="EL409" s="117" t="e">
        <f t="shared" si="1315"/>
        <v>#DIV/0!</v>
      </c>
      <c r="EM409" s="117" t="e">
        <f t="shared" si="1315"/>
        <v>#DIV/0!</v>
      </c>
      <c r="EN409" s="117" t="e">
        <f t="shared" si="1315"/>
        <v>#DIV/0!</v>
      </c>
      <c r="EO409" s="116">
        <f t="shared" si="1315"/>
        <v>0</v>
      </c>
      <c r="EP409" s="117">
        <f t="shared" si="1315"/>
        <v>0</v>
      </c>
      <c r="EQ409" s="117">
        <f t="shared" si="1315"/>
        <v>0</v>
      </c>
      <c r="ER409" s="117">
        <f t="shared" si="1315"/>
        <v>0</v>
      </c>
      <c r="ES409" s="117">
        <f t="shared" si="1315"/>
        <v>0</v>
      </c>
      <c r="ET409" s="117">
        <f t="shared" si="1315"/>
        <v>0</v>
      </c>
      <c r="EU409" s="117">
        <f t="shared" si="1315"/>
        <v>0</v>
      </c>
      <c r="EV409" s="117">
        <f t="shared" si="1315"/>
        <v>0</v>
      </c>
      <c r="EW409" s="117">
        <f t="shared" si="1315"/>
        <v>0</v>
      </c>
      <c r="EX409" s="117">
        <f t="shared" si="1315"/>
        <v>0</v>
      </c>
      <c r="EY409" s="117">
        <f t="shared" si="1315"/>
        <v>0</v>
      </c>
      <c r="EZ409" s="117">
        <f t="shared" si="1315"/>
        <v>0</v>
      </c>
      <c r="FA409" s="117">
        <f t="shared" si="1315"/>
        <v>0</v>
      </c>
      <c r="FB409" s="117">
        <f t="shared" si="1315"/>
        <v>0</v>
      </c>
      <c r="FC409" s="118"/>
      <c r="FD409" s="117"/>
      <c r="FE409" s="117"/>
      <c r="FF409" s="117"/>
      <c r="FG409" s="117"/>
      <c r="FH409" s="117"/>
      <c r="FI409" s="117"/>
      <c r="FJ409" s="117"/>
      <c r="FK409" s="117" t="e">
        <f t="shared" ref="FK409:GB409" si="1316">FK197/FK$211</f>
        <v>#DIV/0!</v>
      </c>
      <c r="FL409" s="117" t="e">
        <f t="shared" si="1316"/>
        <v>#DIV/0!</v>
      </c>
      <c r="FM409" s="117" t="e">
        <f t="shared" si="1316"/>
        <v>#DIV/0!</v>
      </c>
      <c r="FN409" s="117" t="e">
        <f t="shared" si="1316"/>
        <v>#DIV/0!</v>
      </c>
      <c r="FO409" s="9" t="e">
        <f t="shared" si="1316"/>
        <v>#DIV/0!</v>
      </c>
      <c r="FP409" s="118">
        <f t="shared" si="1316"/>
        <v>0</v>
      </c>
      <c r="FQ409" s="117">
        <f t="shared" si="1316"/>
        <v>0</v>
      </c>
      <c r="FR409" s="117">
        <f t="shared" si="1316"/>
        <v>0</v>
      </c>
      <c r="FS409" s="117">
        <f t="shared" si="1316"/>
        <v>0</v>
      </c>
      <c r="FT409" s="117">
        <f t="shared" si="1316"/>
        <v>0</v>
      </c>
      <c r="FU409" s="117">
        <f t="shared" si="1316"/>
        <v>0</v>
      </c>
      <c r="FV409" s="117">
        <f t="shared" si="1316"/>
        <v>0</v>
      </c>
      <c r="FW409" s="117">
        <f t="shared" si="1316"/>
        <v>0</v>
      </c>
      <c r="FX409" s="117">
        <f t="shared" si="1316"/>
        <v>0</v>
      </c>
      <c r="FY409" s="117">
        <f t="shared" si="1316"/>
        <v>0</v>
      </c>
      <c r="FZ409" s="117">
        <f t="shared" si="1316"/>
        <v>0</v>
      </c>
      <c r="GA409" s="117">
        <f t="shared" si="1316"/>
        <v>0</v>
      </c>
      <c r="GB409" s="116">
        <f t="shared" si="1316"/>
        <v>0</v>
      </c>
    </row>
    <row r="410" spans="1:184">
      <c r="A410" s="147" t="s">
        <v>369</v>
      </c>
      <c r="B410" s="160" t="e">
        <f t="shared" si="1306"/>
        <v>#DIV/0!</v>
      </c>
      <c r="C410" s="117">
        <f t="shared" ref="C410:BN410" si="1317">C198/C$211</f>
        <v>0</v>
      </c>
      <c r="D410" s="117">
        <f t="shared" si="1317"/>
        <v>0</v>
      </c>
      <c r="E410" s="117">
        <f t="shared" si="1317"/>
        <v>0</v>
      </c>
      <c r="F410" s="117">
        <f t="shared" si="1317"/>
        <v>0</v>
      </c>
      <c r="G410" s="117">
        <f t="shared" si="1317"/>
        <v>0</v>
      </c>
      <c r="H410" s="117">
        <f t="shared" si="1317"/>
        <v>0</v>
      </c>
      <c r="I410" s="117">
        <f t="shared" si="1317"/>
        <v>0</v>
      </c>
      <c r="J410" s="117">
        <f t="shared" si="1317"/>
        <v>0</v>
      </c>
      <c r="K410" s="117">
        <f t="shared" si="1317"/>
        <v>0</v>
      </c>
      <c r="L410" s="117">
        <f t="shared" si="1317"/>
        <v>0</v>
      </c>
      <c r="M410" s="117">
        <f t="shared" si="1317"/>
        <v>0</v>
      </c>
      <c r="N410" s="117">
        <f t="shared" si="1317"/>
        <v>0</v>
      </c>
      <c r="O410" s="9">
        <f t="shared" si="1317"/>
        <v>0</v>
      </c>
      <c r="P410" s="117">
        <f t="shared" si="1317"/>
        <v>0</v>
      </c>
      <c r="Q410" s="117">
        <f t="shared" si="1317"/>
        <v>0</v>
      </c>
      <c r="R410" s="117">
        <f t="shared" si="1317"/>
        <v>0</v>
      </c>
      <c r="S410" s="117">
        <f t="shared" si="1317"/>
        <v>0</v>
      </c>
      <c r="T410" s="117">
        <f t="shared" si="1317"/>
        <v>0</v>
      </c>
      <c r="U410" s="117">
        <f t="shared" si="1317"/>
        <v>0</v>
      </c>
      <c r="V410" s="117">
        <f t="shared" si="1317"/>
        <v>0</v>
      </c>
      <c r="W410" s="117">
        <f t="shared" si="1317"/>
        <v>0</v>
      </c>
      <c r="X410" s="117">
        <f t="shared" si="1317"/>
        <v>0</v>
      </c>
      <c r="Y410" s="117">
        <f t="shared" si="1317"/>
        <v>0</v>
      </c>
      <c r="Z410" s="117">
        <f t="shared" si="1317"/>
        <v>0</v>
      </c>
      <c r="AA410" s="117">
        <f t="shared" si="1317"/>
        <v>0</v>
      </c>
      <c r="AB410" s="9">
        <f t="shared" si="1317"/>
        <v>0</v>
      </c>
      <c r="AC410" s="117">
        <f t="shared" si="1317"/>
        <v>0</v>
      </c>
      <c r="AD410" s="117">
        <f t="shared" si="1317"/>
        <v>0</v>
      </c>
      <c r="AE410" s="117">
        <f t="shared" si="1317"/>
        <v>0</v>
      </c>
      <c r="AF410" s="117">
        <f t="shared" si="1317"/>
        <v>0</v>
      </c>
      <c r="AG410" s="117">
        <f t="shared" si="1317"/>
        <v>0</v>
      </c>
      <c r="AH410" s="117">
        <f t="shared" si="1317"/>
        <v>0</v>
      </c>
      <c r="AI410" s="117">
        <f t="shared" si="1317"/>
        <v>0</v>
      </c>
      <c r="AJ410" s="117">
        <f t="shared" si="1317"/>
        <v>0</v>
      </c>
      <c r="AK410" s="117">
        <f t="shared" si="1317"/>
        <v>0</v>
      </c>
      <c r="AL410" s="117">
        <f t="shared" si="1317"/>
        <v>0</v>
      </c>
      <c r="AM410" s="117">
        <f t="shared" si="1317"/>
        <v>0</v>
      </c>
      <c r="AN410" s="117">
        <f t="shared" si="1317"/>
        <v>0</v>
      </c>
      <c r="AO410" s="9">
        <f t="shared" si="1317"/>
        <v>0</v>
      </c>
      <c r="AP410" s="144">
        <f t="shared" si="1317"/>
        <v>0</v>
      </c>
      <c r="AQ410" s="144">
        <f t="shared" si="1317"/>
        <v>0</v>
      </c>
      <c r="AR410" s="144">
        <f t="shared" si="1317"/>
        <v>0</v>
      </c>
      <c r="AS410" s="144">
        <f t="shared" si="1317"/>
        <v>0</v>
      </c>
      <c r="AT410" s="144">
        <f t="shared" si="1317"/>
        <v>0</v>
      </c>
      <c r="AU410" s="144">
        <f t="shared" si="1317"/>
        <v>0</v>
      </c>
      <c r="AV410" s="144">
        <f t="shared" si="1317"/>
        <v>0</v>
      </c>
      <c r="AW410" s="144">
        <f t="shared" si="1317"/>
        <v>0</v>
      </c>
      <c r="AX410" s="144">
        <f t="shared" si="1317"/>
        <v>0</v>
      </c>
      <c r="AY410" s="144">
        <f t="shared" si="1317"/>
        <v>0</v>
      </c>
      <c r="AZ410" s="144">
        <f t="shared" si="1317"/>
        <v>0</v>
      </c>
      <c r="BA410" s="144">
        <f t="shared" si="1317"/>
        <v>0</v>
      </c>
      <c r="BB410" s="9">
        <f t="shared" si="1317"/>
        <v>0</v>
      </c>
      <c r="BC410" s="144">
        <f t="shared" si="1317"/>
        <v>0</v>
      </c>
      <c r="BD410" s="144">
        <f t="shared" si="1317"/>
        <v>0</v>
      </c>
      <c r="BE410" s="144">
        <f t="shared" si="1317"/>
        <v>0</v>
      </c>
      <c r="BF410" s="144">
        <f t="shared" si="1317"/>
        <v>0</v>
      </c>
      <c r="BG410" s="144">
        <f t="shared" si="1317"/>
        <v>0</v>
      </c>
      <c r="BH410" s="144">
        <f t="shared" si="1317"/>
        <v>0</v>
      </c>
      <c r="BI410" s="144">
        <f t="shared" si="1317"/>
        <v>0</v>
      </c>
      <c r="BJ410" s="144">
        <f t="shared" si="1317"/>
        <v>0</v>
      </c>
      <c r="BK410" s="144">
        <f t="shared" si="1317"/>
        <v>0</v>
      </c>
      <c r="BL410" s="144">
        <f t="shared" si="1317"/>
        <v>0</v>
      </c>
      <c r="BM410" s="144">
        <f t="shared" si="1317"/>
        <v>0</v>
      </c>
      <c r="BN410" s="144">
        <f t="shared" si="1317"/>
        <v>0</v>
      </c>
      <c r="BO410" s="9">
        <f t="shared" ref="BO410:DZ410" si="1318">BO198/BO$211</f>
        <v>0</v>
      </c>
      <c r="BP410" s="144">
        <f t="shared" si="1318"/>
        <v>0</v>
      </c>
      <c r="BQ410" s="144">
        <f t="shared" si="1318"/>
        <v>0</v>
      </c>
      <c r="BR410" s="144">
        <f t="shared" si="1318"/>
        <v>0</v>
      </c>
      <c r="BS410" s="144">
        <f t="shared" si="1318"/>
        <v>0</v>
      </c>
      <c r="BT410" s="144">
        <f t="shared" si="1318"/>
        <v>0</v>
      </c>
      <c r="BU410" s="144">
        <f t="shared" si="1318"/>
        <v>0</v>
      </c>
      <c r="BV410" s="144">
        <f t="shared" si="1318"/>
        <v>0</v>
      </c>
      <c r="BW410" s="144">
        <f t="shared" si="1318"/>
        <v>0</v>
      </c>
      <c r="BX410" s="144">
        <f t="shared" si="1318"/>
        <v>0</v>
      </c>
      <c r="BY410" s="144">
        <f t="shared" si="1318"/>
        <v>0</v>
      </c>
      <c r="BZ410" s="144">
        <f t="shared" si="1318"/>
        <v>0</v>
      </c>
      <c r="CA410" s="144">
        <f t="shared" si="1318"/>
        <v>0</v>
      </c>
      <c r="CB410" s="9">
        <f t="shared" si="1318"/>
        <v>0</v>
      </c>
      <c r="CC410" s="144">
        <f t="shared" si="1318"/>
        <v>0</v>
      </c>
      <c r="CD410" s="144">
        <f t="shared" si="1318"/>
        <v>0</v>
      </c>
      <c r="CE410" s="144">
        <f t="shared" si="1318"/>
        <v>0</v>
      </c>
      <c r="CF410" s="144">
        <f t="shared" si="1318"/>
        <v>0</v>
      </c>
      <c r="CG410" s="144">
        <f t="shared" si="1318"/>
        <v>0</v>
      </c>
      <c r="CH410" s="144">
        <f t="shared" si="1318"/>
        <v>0</v>
      </c>
      <c r="CI410" s="144">
        <f t="shared" si="1318"/>
        <v>0</v>
      </c>
      <c r="CJ410" s="144">
        <f t="shared" si="1318"/>
        <v>0</v>
      </c>
      <c r="CK410" s="144">
        <f t="shared" si="1318"/>
        <v>0</v>
      </c>
      <c r="CL410" s="144">
        <f t="shared" si="1318"/>
        <v>0</v>
      </c>
      <c r="CM410" s="144">
        <f t="shared" si="1318"/>
        <v>0</v>
      </c>
      <c r="CN410" s="144">
        <f t="shared" si="1318"/>
        <v>0</v>
      </c>
      <c r="CO410" s="9">
        <f t="shared" si="1318"/>
        <v>0</v>
      </c>
      <c r="CP410" s="144">
        <f t="shared" si="1318"/>
        <v>0</v>
      </c>
      <c r="CQ410" s="144">
        <f t="shared" si="1318"/>
        <v>0</v>
      </c>
      <c r="CR410" s="144">
        <f t="shared" si="1318"/>
        <v>0</v>
      </c>
      <c r="CS410" s="144">
        <f t="shared" si="1318"/>
        <v>0</v>
      </c>
      <c r="CT410" s="144">
        <f t="shared" si="1318"/>
        <v>0</v>
      </c>
      <c r="CU410" s="144">
        <f t="shared" si="1318"/>
        <v>0</v>
      </c>
      <c r="CV410" s="144">
        <f t="shared" si="1318"/>
        <v>0</v>
      </c>
      <c r="CW410" s="144">
        <f t="shared" si="1318"/>
        <v>0</v>
      </c>
      <c r="CX410" s="144">
        <f t="shared" si="1318"/>
        <v>0</v>
      </c>
      <c r="CY410" s="144">
        <f t="shared" si="1318"/>
        <v>0</v>
      </c>
      <c r="CZ410" s="144">
        <f t="shared" si="1318"/>
        <v>0</v>
      </c>
      <c r="DA410" s="144">
        <f t="shared" si="1318"/>
        <v>0</v>
      </c>
      <c r="DB410" s="9">
        <f t="shared" si="1318"/>
        <v>0</v>
      </c>
      <c r="DC410" s="144">
        <f t="shared" si="1318"/>
        <v>0</v>
      </c>
      <c r="DD410" s="144">
        <f t="shared" si="1318"/>
        <v>0</v>
      </c>
      <c r="DE410" s="144">
        <f t="shared" si="1318"/>
        <v>0</v>
      </c>
      <c r="DF410" s="144">
        <f t="shared" si="1318"/>
        <v>0</v>
      </c>
      <c r="DG410" s="144">
        <f t="shared" si="1318"/>
        <v>0</v>
      </c>
      <c r="DH410" s="144">
        <f t="shared" si="1318"/>
        <v>0</v>
      </c>
      <c r="DI410" s="144">
        <f t="shared" si="1318"/>
        <v>0</v>
      </c>
      <c r="DJ410" s="144">
        <f t="shared" si="1318"/>
        <v>0</v>
      </c>
      <c r="DK410" s="144">
        <f t="shared" si="1318"/>
        <v>0</v>
      </c>
      <c r="DL410" s="144">
        <f t="shared" si="1318"/>
        <v>0</v>
      </c>
      <c r="DM410" s="144">
        <f t="shared" si="1318"/>
        <v>0</v>
      </c>
      <c r="DN410" s="144">
        <f t="shared" si="1318"/>
        <v>0</v>
      </c>
      <c r="DO410" s="9">
        <f t="shared" si="1318"/>
        <v>0</v>
      </c>
      <c r="DP410" s="144">
        <f t="shared" si="1318"/>
        <v>0</v>
      </c>
      <c r="DQ410" s="144">
        <f t="shared" si="1318"/>
        <v>0</v>
      </c>
      <c r="DR410" s="144">
        <f t="shared" si="1318"/>
        <v>0</v>
      </c>
      <c r="DS410" s="144">
        <f t="shared" si="1318"/>
        <v>0</v>
      </c>
      <c r="DT410" s="144">
        <f t="shared" si="1318"/>
        <v>0</v>
      </c>
      <c r="DU410" s="144">
        <f t="shared" si="1318"/>
        <v>0</v>
      </c>
      <c r="DV410" s="144">
        <f t="shared" si="1318"/>
        <v>0</v>
      </c>
      <c r="DW410" s="144">
        <f t="shared" si="1318"/>
        <v>0</v>
      </c>
      <c r="DX410" s="144">
        <f t="shared" si="1318"/>
        <v>0</v>
      </c>
      <c r="DY410" s="144">
        <f t="shared" si="1318"/>
        <v>0</v>
      </c>
      <c r="DZ410" s="144">
        <f t="shared" si="1318"/>
        <v>0</v>
      </c>
      <c r="EA410" s="144">
        <f t="shared" ref="EA410:EB410" si="1319">EA198/EA$211</f>
        <v>0</v>
      </c>
      <c r="EB410" s="117">
        <f t="shared" si="1319"/>
        <v>0</v>
      </c>
      <c r="EC410" s="118"/>
      <c r="ED410" s="117">
        <f t="shared" ref="ED410:FB410" si="1320">ED198/ED$211</f>
        <v>0</v>
      </c>
      <c r="EE410" s="117">
        <f t="shared" si="1320"/>
        <v>0</v>
      </c>
      <c r="EF410" s="117">
        <f t="shared" si="1320"/>
        <v>0</v>
      </c>
      <c r="EG410" s="117" t="e">
        <f t="shared" si="1320"/>
        <v>#DIV/0!</v>
      </c>
      <c r="EH410" s="117" t="e">
        <f t="shared" si="1320"/>
        <v>#DIV/0!</v>
      </c>
      <c r="EI410" s="117" t="e">
        <f t="shared" si="1320"/>
        <v>#DIV/0!</v>
      </c>
      <c r="EJ410" s="117" t="e">
        <f t="shared" si="1320"/>
        <v>#DIV/0!</v>
      </c>
      <c r="EK410" s="117" t="e">
        <f t="shared" si="1320"/>
        <v>#DIV/0!</v>
      </c>
      <c r="EL410" s="117" t="e">
        <f t="shared" si="1320"/>
        <v>#DIV/0!</v>
      </c>
      <c r="EM410" s="117" t="e">
        <f t="shared" si="1320"/>
        <v>#DIV/0!</v>
      </c>
      <c r="EN410" s="117" t="e">
        <f t="shared" si="1320"/>
        <v>#DIV/0!</v>
      </c>
      <c r="EO410" s="116">
        <f t="shared" si="1320"/>
        <v>0</v>
      </c>
      <c r="EP410" s="117">
        <f t="shared" si="1320"/>
        <v>0</v>
      </c>
      <c r="EQ410" s="117">
        <f t="shared" si="1320"/>
        <v>0</v>
      </c>
      <c r="ER410" s="117">
        <f t="shared" si="1320"/>
        <v>0</v>
      </c>
      <c r="ES410" s="117">
        <f t="shared" si="1320"/>
        <v>0</v>
      </c>
      <c r="ET410" s="117">
        <f t="shared" si="1320"/>
        <v>0</v>
      </c>
      <c r="EU410" s="117">
        <f t="shared" si="1320"/>
        <v>0</v>
      </c>
      <c r="EV410" s="117">
        <f t="shared" si="1320"/>
        <v>0</v>
      </c>
      <c r="EW410" s="117">
        <f t="shared" si="1320"/>
        <v>0</v>
      </c>
      <c r="EX410" s="117">
        <f t="shared" si="1320"/>
        <v>0</v>
      </c>
      <c r="EY410" s="117">
        <f t="shared" si="1320"/>
        <v>0</v>
      </c>
      <c r="EZ410" s="117">
        <f t="shared" si="1320"/>
        <v>0</v>
      </c>
      <c r="FA410" s="117">
        <f t="shared" si="1320"/>
        <v>0</v>
      </c>
      <c r="FB410" s="117">
        <f t="shared" si="1320"/>
        <v>0</v>
      </c>
      <c r="FC410" s="118"/>
      <c r="FD410" s="117"/>
      <c r="FE410" s="117"/>
      <c r="FF410" s="117"/>
      <c r="FG410" s="117"/>
      <c r="FH410" s="117"/>
      <c r="FI410" s="117"/>
      <c r="FJ410" s="117"/>
      <c r="FK410" s="117" t="e">
        <f t="shared" ref="FK410:GB410" si="1321">FK198/FK$211</f>
        <v>#DIV/0!</v>
      </c>
      <c r="FL410" s="117" t="e">
        <f t="shared" si="1321"/>
        <v>#DIV/0!</v>
      </c>
      <c r="FM410" s="117" t="e">
        <f t="shared" si="1321"/>
        <v>#DIV/0!</v>
      </c>
      <c r="FN410" s="117" t="e">
        <f t="shared" si="1321"/>
        <v>#DIV/0!</v>
      </c>
      <c r="FO410" s="9" t="e">
        <f t="shared" si="1321"/>
        <v>#DIV/0!</v>
      </c>
      <c r="FP410" s="118">
        <f t="shared" si="1321"/>
        <v>0</v>
      </c>
      <c r="FQ410" s="117">
        <f t="shared" si="1321"/>
        <v>0</v>
      </c>
      <c r="FR410" s="117">
        <f t="shared" si="1321"/>
        <v>0</v>
      </c>
      <c r="FS410" s="117">
        <f t="shared" si="1321"/>
        <v>0</v>
      </c>
      <c r="FT410" s="117">
        <f t="shared" si="1321"/>
        <v>0</v>
      </c>
      <c r="FU410" s="117">
        <f t="shared" si="1321"/>
        <v>0</v>
      </c>
      <c r="FV410" s="117">
        <f t="shared" si="1321"/>
        <v>0</v>
      </c>
      <c r="FW410" s="117">
        <f t="shared" si="1321"/>
        <v>0</v>
      </c>
      <c r="FX410" s="117">
        <f t="shared" si="1321"/>
        <v>0</v>
      </c>
      <c r="FY410" s="117">
        <f t="shared" si="1321"/>
        <v>0</v>
      </c>
      <c r="FZ410" s="117">
        <f t="shared" si="1321"/>
        <v>0</v>
      </c>
      <c r="GA410" s="117">
        <f t="shared" si="1321"/>
        <v>0</v>
      </c>
      <c r="GB410" s="116">
        <f t="shared" si="1321"/>
        <v>0</v>
      </c>
    </row>
    <row r="411" spans="1:184">
      <c r="A411" s="147" t="s">
        <v>370</v>
      </c>
      <c r="B411" s="160" t="e">
        <f t="shared" si="1306"/>
        <v>#DIV/0!</v>
      </c>
      <c r="C411" s="117">
        <f t="shared" ref="C411:BN411" si="1322">C199/C$211</f>
        <v>0</v>
      </c>
      <c r="D411" s="117">
        <f t="shared" si="1322"/>
        <v>0</v>
      </c>
      <c r="E411" s="117">
        <f t="shared" si="1322"/>
        <v>0</v>
      </c>
      <c r="F411" s="117">
        <f t="shared" si="1322"/>
        <v>0</v>
      </c>
      <c r="G411" s="117">
        <f t="shared" si="1322"/>
        <v>0</v>
      </c>
      <c r="H411" s="117">
        <f t="shared" si="1322"/>
        <v>0</v>
      </c>
      <c r="I411" s="117">
        <f t="shared" si="1322"/>
        <v>6.09043591889324e-5</v>
      </c>
      <c r="J411" s="117">
        <f t="shared" si="1322"/>
        <v>0.040615005267509</v>
      </c>
      <c r="K411" s="117">
        <f t="shared" si="1322"/>
        <v>0.0103628719430152</v>
      </c>
      <c r="L411" s="117">
        <f t="shared" si="1322"/>
        <v>0.000262452974347898</v>
      </c>
      <c r="M411" s="117">
        <f t="shared" si="1322"/>
        <v>0</v>
      </c>
      <c r="N411" s="117">
        <f t="shared" si="1322"/>
        <v>0</v>
      </c>
      <c r="O411" s="9">
        <f t="shared" si="1322"/>
        <v>0.00441216169577567</v>
      </c>
      <c r="P411" s="117">
        <f t="shared" si="1322"/>
        <v>0</v>
      </c>
      <c r="Q411" s="117">
        <f t="shared" si="1322"/>
        <v>0</v>
      </c>
      <c r="R411" s="117">
        <f t="shared" si="1322"/>
        <v>0</v>
      </c>
      <c r="S411" s="117">
        <f t="shared" si="1322"/>
        <v>0</v>
      </c>
      <c r="T411" s="117">
        <f t="shared" si="1322"/>
        <v>0</v>
      </c>
      <c r="U411" s="117">
        <f t="shared" si="1322"/>
        <v>0</v>
      </c>
      <c r="V411" s="117">
        <f t="shared" si="1322"/>
        <v>0</v>
      </c>
      <c r="W411" s="117">
        <f t="shared" si="1322"/>
        <v>0.0538507489310472</v>
      </c>
      <c r="X411" s="117">
        <f t="shared" si="1322"/>
        <v>0.0296363510938173</v>
      </c>
      <c r="Y411" s="117">
        <f t="shared" si="1322"/>
        <v>0</v>
      </c>
      <c r="Z411" s="117">
        <f t="shared" si="1322"/>
        <v>0</v>
      </c>
      <c r="AA411" s="117">
        <f t="shared" si="1322"/>
        <v>0</v>
      </c>
      <c r="AB411" s="9">
        <f t="shared" si="1322"/>
        <v>0.00767900968170349</v>
      </c>
      <c r="AC411" s="117">
        <f t="shared" si="1322"/>
        <v>0</v>
      </c>
      <c r="AD411" s="117">
        <f t="shared" si="1322"/>
        <v>0</v>
      </c>
      <c r="AE411" s="117">
        <f t="shared" si="1322"/>
        <v>0</v>
      </c>
      <c r="AF411" s="117">
        <f t="shared" si="1322"/>
        <v>0</v>
      </c>
      <c r="AG411" s="117">
        <f t="shared" si="1322"/>
        <v>0</v>
      </c>
      <c r="AH411" s="117">
        <f t="shared" si="1322"/>
        <v>0</v>
      </c>
      <c r="AI411" s="117">
        <f t="shared" si="1322"/>
        <v>0</v>
      </c>
      <c r="AJ411" s="117">
        <f t="shared" si="1322"/>
        <v>0.0752706223252131</v>
      </c>
      <c r="AK411" s="117">
        <f t="shared" si="1322"/>
        <v>0.0475965210208488</v>
      </c>
      <c r="AL411" s="117">
        <f t="shared" si="1322"/>
        <v>0</v>
      </c>
      <c r="AM411" s="117">
        <f t="shared" si="1322"/>
        <v>0</v>
      </c>
      <c r="AN411" s="117">
        <f t="shared" si="1322"/>
        <v>0</v>
      </c>
      <c r="AO411" s="9">
        <f t="shared" si="1322"/>
        <v>0.0124768908808582</v>
      </c>
      <c r="AP411" s="144">
        <f t="shared" si="1322"/>
        <v>0</v>
      </c>
      <c r="AQ411" s="144">
        <f t="shared" si="1322"/>
        <v>0</v>
      </c>
      <c r="AR411" s="144">
        <f t="shared" si="1322"/>
        <v>0</v>
      </c>
      <c r="AS411" s="144">
        <f t="shared" si="1322"/>
        <v>0</v>
      </c>
      <c r="AT411" s="144">
        <f t="shared" si="1322"/>
        <v>0</v>
      </c>
      <c r="AU411" s="144">
        <f t="shared" si="1322"/>
        <v>0</v>
      </c>
      <c r="AV411" s="144">
        <f t="shared" si="1322"/>
        <v>0</v>
      </c>
      <c r="AW411" s="144">
        <f t="shared" si="1322"/>
        <v>0</v>
      </c>
      <c r="AX411" s="144">
        <f t="shared" si="1322"/>
        <v>0</v>
      </c>
      <c r="AY411" s="144">
        <f t="shared" si="1322"/>
        <v>0</v>
      </c>
      <c r="AZ411" s="144">
        <f t="shared" si="1322"/>
        <v>0</v>
      </c>
      <c r="BA411" s="144">
        <f t="shared" si="1322"/>
        <v>0</v>
      </c>
      <c r="BB411" s="9">
        <f t="shared" si="1322"/>
        <v>0</v>
      </c>
      <c r="BC411" s="144">
        <f t="shared" si="1322"/>
        <v>0</v>
      </c>
      <c r="BD411" s="144">
        <f t="shared" si="1322"/>
        <v>0</v>
      </c>
      <c r="BE411" s="144">
        <f t="shared" si="1322"/>
        <v>0</v>
      </c>
      <c r="BF411" s="144">
        <f t="shared" si="1322"/>
        <v>0</v>
      </c>
      <c r="BG411" s="144">
        <f t="shared" si="1322"/>
        <v>0</v>
      </c>
      <c r="BH411" s="144">
        <f t="shared" si="1322"/>
        <v>0</v>
      </c>
      <c r="BI411" s="144">
        <f t="shared" si="1322"/>
        <v>0</v>
      </c>
      <c r="BJ411" s="144">
        <f t="shared" si="1322"/>
        <v>0.011983352557871</v>
      </c>
      <c r="BK411" s="144">
        <f t="shared" si="1322"/>
        <v>0.00497948082281782</v>
      </c>
      <c r="BL411" s="144">
        <f t="shared" si="1322"/>
        <v>0.0019003857563753</v>
      </c>
      <c r="BM411" s="144">
        <f t="shared" si="1322"/>
        <v>0</v>
      </c>
      <c r="BN411" s="144">
        <f t="shared" si="1322"/>
        <v>0</v>
      </c>
      <c r="BO411" s="9">
        <f t="shared" ref="BO411:DZ411" si="1323">BO199/BO$211</f>
        <v>0.00166812158647101</v>
      </c>
      <c r="BP411" s="144">
        <f t="shared" si="1323"/>
        <v>0</v>
      </c>
      <c r="BQ411" s="144">
        <f t="shared" si="1323"/>
        <v>0</v>
      </c>
      <c r="BR411" s="144">
        <f t="shared" si="1323"/>
        <v>0</v>
      </c>
      <c r="BS411" s="144">
        <f t="shared" si="1323"/>
        <v>0</v>
      </c>
      <c r="BT411" s="144">
        <f t="shared" si="1323"/>
        <v>0</v>
      </c>
      <c r="BU411" s="144">
        <f t="shared" si="1323"/>
        <v>0</v>
      </c>
      <c r="BV411" s="144">
        <f t="shared" si="1323"/>
        <v>0</v>
      </c>
      <c r="BW411" s="144">
        <f t="shared" si="1323"/>
        <v>0.00532002379672752</v>
      </c>
      <c r="BX411" s="144">
        <f t="shared" si="1323"/>
        <v>0.00032545080160964</v>
      </c>
      <c r="BY411" s="144">
        <f t="shared" si="1323"/>
        <v>0</v>
      </c>
      <c r="BZ411" s="144">
        <f t="shared" si="1323"/>
        <v>0</v>
      </c>
      <c r="CA411" s="144">
        <f t="shared" si="1323"/>
        <v>0</v>
      </c>
      <c r="CB411" s="9">
        <f t="shared" si="1323"/>
        <v>0.000430689495303249</v>
      </c>
      <c r="CC411" s="144">
        <f t="shared" si="1323"/>
        <v>0</v>
      </c>
      <c r="CD411" s="144">
        <f t="shared" si="1323"/>
        <v>0</v>
      </c>
      <c r="CE411" s="144">
        <f t="shared" si="1323"/>
        <v>0</v>
      </c>
      <c r="CF411" s="144">
        <f t="shared" si="1323"/>
        <v>0</v>
      </c>
      <c r="CG411" s="144">
        <f t="shared" si="1323"/>
        <v>0</v>
      </c>
      <c r="CH411" s="144">
        <f t="shared" si="1323"/>
        <v>0</v>
      </c>
      <c r="CI411" s="144">
        <f t="shared" si="1323"/>
        <v>0</v>
      </c>
      <c r="CJ411" s="144">
        <f t="shared" si="1323"/>
        <v>0.0313567685544681</v>
      </c>
      <c r="CK411" s="144">
        <f t="shared" si="1323"/>
        <v>0.00122571472079808</v>
      </c>
      <c r="CL411" s="144">
        <f t="shared" si="1323"/>
        <v>0</v>
      </c>
      <c r="CM411" s="144">
        <f t="shared" si="1323"/>
        <v>0</v>
      </c>
      <c r="CN411" s="144">
        <f t="shared" si="1323"/>
        <v>0</v>
      </c>
      <c r="CO411" s="9">
        <f t="shared" si="1323"/>
        <v>0.00299609953823933</v>
      </c>
      <c r="CP411" s="144">
        <f t="shared" si="1323"/>
        <v>0</v>
      </c>
      <c r="CQ411" s="144">
        <f t="shared" si="1323"/>
        <v>0</v>
      </c>
      <c r="CR411" s="144">
        <f t="shared" si="1323"/>
        <v>0</v>
      </c>
      <c r="CS411" s="144">
        <f t="shared" si="1323"/>
        <v>0</v>
      </c>
      <c r="CT411" s="144">
        <f t="shared" si="1323"/>
        <v>0</v>
      </c>
      <c r="CU411" s="144">
        <f t="shared" si="1323"/>
        <v>0</v>
      </c>
      <c r="CV411" s="144">
        <f t="shared" si="1323"/>
        <v>0</v>
      </c>
      <c r="CW411" s="144">
        <f t="shared" si="1323"/>
        <v>0.0128291638249894</v>
      </c>
      <c r="CX411" s="144">
        <f t="shared" si="1323"/>
        <v>0.00607152271243547</v>
      </c>
      <c r="CY411" s="144">
        <f t="shared" si="1323"/>
        <v>0.00173962063973558</v>
      </c>
      <c r="CZ411" s="144">
        <f t="shared" si="1323"/>
        <v>0</v>
      </c>
      <c r="DA411" s="144">
        <f t="shared" si="1323"/>
        <v>0</v>
      </c>
      <c r="DB411" s="9">
        <f t="shared" si="1323"/>
        <v>0.00169747249034121</v>
      </c>
      <c r="DC411" s="144">
        <f t="shared" si="1323"/>
        <v>0</v>
      </c>
      <c r="DD411" s="144">
        <f t="shared" si="1323"/>
        <v>0</v>
      </c>
      <c r="DE411" s="144">
        <f t="shared" si="1323"/>
        <v>0</v>
      </c>
      <c r="DF411" s="144">
        <f t="shared" si="1323"/>
        <v>0</v>
      </c>
      <c r="DG411" s="144">
        <f t="shared" si="1323"/>
        <v>0</v>
      </c>
      <c r="DH411" s="144">
        <f t="shared" si="1323"/>
        <v>0</v>
      </c>
      <c r="DI411" s="144">
        <f t="shared" si="1323"/>
        <v>0</v>
      </c>
      <c r="DJ411" s="144">
        <f t="shared" si="1323"/>
        <v>0.0193940684572589</v>
      </c>
      <c r="DK411" s="144">
        <f t="shared" si="1323"/>
        <v>0.00688286260643521</v>
      </c>
      <c r="DL411" s="144">
        <f t="shared" si="1323"/>
        <v>0</v>
      </c>
      <c r="DM411" s="144">
        <f t="shared" si="1323"/>
        <v>0</v>
      </c>
      <c r="DN411" s="144">
        <f t="shared" si="1323"/>
        <v>0</v>
      </c>
      <c r="DO411" s="9">
        <f t="shared" si="1323"/>
        <v>0.00203059199690237</v>
      </c>
      <c r="DP411" s="144">
        <f t="shared" si="1323"/>
        <v>0</v>
      </c>
      <c r="DQ411" s="144">
        <f t="shared" si="1323"/>
        <v>0</v>
      </c>
      <c r="DR411" s="144">
        <f t="shared" si="1323"/>
        <v>0</v>
      </c>
      <c r="DS411" s="144">
        <f t="shared" si="1323"/>
        <v>0</v>
      </c>
      <c r="DT411" s="144">
        <f t="shared" si="1323"/>
        <v>0</v>
      </c>
      <c r="DU411" s="144">
        <f t="shared" si="1323"/>
        <v>0</v>
      </c>
      <c r="DV411" s="144">
        <f t="shared" si="1323"/>
        <v>0</v>
      </c>
      <c r="DW411" s="144">
        <f t="shared" si="1323"/>
        <v>0.0226104735407711</v>
      </c>
      <c r="DX411" s="144">
        <f t="shared" si="1323"/>
        <v>0</v>
      </c>
      <c r="DY411" s="144">
        <f t="shared" si="1323"/>
        <v>0</v>
      </c>
      <c r="DZ411" s="144">
        <f t="shared" si="1323"/>
        <v>0</v>
      </c>
      <c r="EA411" s="144">
        <f t="shared" ref="EA411:EB411" si="1324">EA199/EA$211</f>
        <v>0</v>
      </c>
      <c r="EB411" s="117">
        <f t="shared" si="1324"/>
        <v>0.00178816802879836</v>
      </c>
      <c r="EC411" s="118"/>
      <c r="ED411" s="117">
        <f t="shared" ref="ED411:FB411" si="1325">ED199/ED$211</f>
        <v>0</v>
      </c>
      <c r="EE411" s="117">
        <f t="shared" si="1325"/>
        <v>0</v>
      </c>
      <c r="EF411" s="117">
        <f t="shared" si="1325"/>
        <v>0</v>
      </c>
      <c r="EG411" s="117" t="e">
        <f t="shared" si="1325"/>
        <v>#DIV/0!</v>
      </c>
      <c r="EH411" s="117" t="e">
        <f t="shared" si="1325"/>
        <v>#DIV/0!</v>
      </c>
      <c r="EI411" s="117" t="e">
        <f t="shared" si="1325"/>
        <v>#DIV/0!</v>
      </c>
      <c r="EJ411" s="117" t="e">
        <f t="shared" si="1325"/>
        <v>#DIV/0!</v>
      </c>
      <c r="EK411" s="117" t="e">
        <f t="shared" si="1325"/>
        <v>#DIV/0!</v>
      </c>
      <c r="EL411" s="117" t="e">
        <f t="shared" si="1325"/>
        <v>#DIV/0!</v>
      </c>
      <c r="EM411" s="117" t="e">
        <f t="shared" si="1325"/>
        <v>#DIV/0!</v>
      </c>
      <c r="EN411" s="117" t="e">
        <f t="shared" si="1325"/>
        <v>#DIV/0!</v>
      </c>
      <c r="EO411" s="116">
        <f t="shared" si="1325"/>
        <v>0</v>
      </c>
      <c r="EP411" s="117">
        <f t="shared" si="1325"/>
        <v>0</v>
      </c>
      <c r="EQ411" s="117">
        <f t="shared" si="1325"/>
        <v>0</v>
      </c>
      <c r="ER411" s="117">
        <f t="shared" si="1325"/>
        <v>0</v>
      </c>
      <c r="ES411" s="117">
        <f t="shared" si="1325"/>
        <v>0</v>
      </c>
      <c r="ET411" s="117">
        <f t="shared" si="1325"/>
        <v>0</v>
      </c>
      <c r="EU411" s="117">
        <f t="shared" si="1325"/>
        <v>0</v>
      </c>
      <c r="EV411" s="117">
        <f t="shared" si="1325"/>
        <v>0.0021006567513733</v>
      </c>
      <c r="EW411" s="117">
        <f t="shared" si="1325"/>
        <v>0.0245808185564001</v>
      </c>
      <c r="EX411" s="117">
        <f t="shared" si="1325"/>
        <v>0.0160676030745137</v>
      </c>
      <c r="EY411" s="117">
        <f t="shared" si="1325"/>
        <v>0</v>
      </c>
      <c r="EZ411" s="117">
        <f t="shared" si="1325"/>
        <v>0</v>
      </c>
      <c r="FA411" s="117">
        <f t="shared" si="1325"/>
        <v>0</v>
      </c>
      <c r="FB411" s="117">
        <f t="shared" si="1325"/>
        <v>0.0038246736160115</v>
      </c>
      <c r="FC411" s="118"/>
      <c r="FD411" s="117"/>
      <c r="FE411" s="117"/>
      <c r="FF411" s="117"/>
      <c r="FG411" s="117"/>
      <c r="FH411" s="117"/>
      <c r="FI411" s="117"/>
      <c r="FJ411" s="117"/>
      <c r="FK411" s="117" t="e">
        <f t="shared" ref="FK411:GB411" si="1326">FK199/FK$211</f>
        <v>#DIV/0!</v>
      </c>
      <c r="FL411" s="117" t="e">
        <f t="shared" si="1326"/>
        <v>#DIV/0!</v>
      </c>
      <c r="FM411" s="117" t="e">
        <f t="shared" si="1326"/>
        <v>#DIV/0!</v>
      </c>
      <c r="FN411" s="117" t="e">
        <f t="shared" si="1326"/>
        <v>#DIV/0!</v>
      </c>
      <c r="FO411" s="9" t="e">
        <f t="shared" si="1326"/>
        <v>#DIV/0!</v>
      </c>
      <c r="FP411" s="118">
        <f t="shared" si="1326"/>
        <v>0</v>
      </c>
      <c r="FQ411" s="117">
        <f t="shared" si="1326"/>
        <v>0</v>
      </c>
      <c r="FR411" s="117">
        <f t="shared" si="1326"/>
        <v>0</v>
      </c>
      <c r="FS411" s="117">
        <f t="shared" si="1326"/>
        <v>0</v>
      </c>
      <c r="FT411" s="117">
        <f t="shared" si="1326"/>
        <v>0</v>
      </c>
      <c r="FU411" s="117">
        <f t="shared" si="1326"/>
        <v>0</v>
      </c>
      <c r="FV411" s="117">
        <f t="shared" si="1326"/>
        <v>0</v>
      </c>
      <c r="FW411" s="117">
        <f t="shared" si="1326"/>
        <v>0.0827969229314103</v>
      </c>
      <c r="FX411" s="117">
        <f t="shared" si="1326"/>
        <v>0</v>
      </c>
      <c r="FY411" s="117">
        <f t="shared" si="1326"/>
        <v>0</v>
      </c>
      <c r="FZ411" s="117">
        <f t="shared" si="1326"/>
        <v>0</v>
      </c>
      <c r="GA411" s="117">
        <f t="shared" si="1326"/>
        <v>0</v>
      </c>
      <c r="GB411" s="116">
        <f t="shared" si="1326"/>
        <v>0.00713706834086061</v>
      </c>
    </row>
    <row r="412" spans="1:184">
      <c r="A412" s="147" t="s">
        <v>371</v>
      </c>
      <c r="B412" s="160" t="e">
        <f t="shared" si="1306"/>
        <v>#DIV/0!</v>
      </c>
      <c r="C412" s="117">
        <f t="shared" ref="C412:BN412" si="1327">C200/C$211</f>
        <v>0</v>
      </c>
      <c r="D412" s="117">
        <f t="shared" si="1327"/>
        <v>0</v>
      </c>
      <c r="E412" s="117">
        <f t="shared" si="1327"/>
        <v>0</v>
      </c>
      <c r="F412" s="117">
        <f t="shared" si="1327"/>
        <v>0</v>
      </c>
      <c r="G412" s="117">
        <f t="shared" si="1327"/>
        <v>0</v>
      </c>
      <c r="H412" s="117">
        <f t="shared" si="1327"/>
        <v>0</v>
      </c>
      <c r="I412" s="117">
        <f t="shared" si="1327"/>
        <v>0</v>
      </c>
      <c r="J412" s="117">
        <f t="shared" si="1327"/>
        <v>0</v>
      </c>
      <c r="K412" s="117">
        <f t="shared" si="1327"/>
        <v>0</v>
      </c>
      <c r="L412" s="117">
        <f t="shared" si="1327"/>
        <v>0</v>
      </c>
      <c r="M412" s="117">
        <f t="shared" si="1327"/>
        <v>0.0193408195350491</v>
      </c>
      <c r="N412" s="117">
        <f t="shared" si="1327"/>
        <v>0.00504816354137463</v>
      </c>
      <c r="O412" s="9">
        <f t="shared" si="1327"/>
        <v>0.00208977325691543</v>
      </c>
      <c r="P412" s="117">
        <f t="shared" si="1327"/>
        <v>0</v>
      </c>
      <c r="Q412" s="117">
        <f t="shared" si="1327"/>
        <v>0</v>
      </c>
      <c r="R412" s="117">
        <f t="shared" si="1327"/>
        <v>0</v>
      </c>
      <c r="S412" s="117">
        <f t="shared" si="1327"/>
        <v>0</v>
      </c>
      <c r="T412" s="117">
        <f t="shared" si="1327"/>
        <v>0</v>
      </c>
      <c r="U412" s="117">
        <f t="shared" si="1327"/>
        <v>0</v>
      </c>
      <c r="V412" s="117">
        <f t="shared" si="1327"/>
        <v>0</v>
      </c>
      <c r="W412" s="117">
        <f t="shared" si="1327"/>
        <v>0</v>
      </c>
      <c r="X412" s="117">
        <f t="shared" si="1327"/>
        <v>0</v>
      </c>
      <c r="Y412" s="117">
        <f t="shared" si="1327"/>
        <v>0</v>
      </c>
      <c r="Z412" s="117">
        <f t="shared" si="1327"/>
        <v>0.00761523733286499</v>
      </c>
      <c r="AA412" s="117">
        <f t="shared" si="1327"/>
        <v>0.00537196223597903</v>
      </c>
      <c r="AB412" s="9">
        <f t="shared" si="1327"/>
        <v>0.00113733913711468</v>
      </c>
      <c r="AC412" s="117">
        <f t="shared" si="1327"/>
        <v>0</v>
      </c>
      <c r="AD412" s="117">
        <f t="shared" si="1327"/>
        <v>0</v>
      </c>
      <c r="AE412" s="117">
        <f t="shared" si="1327"/>
        <v>0</v>
      </c>
      <c r="AF412" s="117">
        <f t="shared" si="1327"/>
        <v>0</v>
      </c>
      <c r="AG412" s="117">
        <f t="shared" si="1327"/>
        <v>0</v>
      </c>
      <c r="AH412" s="117">
        <f t="shared" si="1327"/>
        <v>0</v>
      </c>
      <c r="AI412" s="117">
        <f t="shared" si="1327"/>
        <v>0</v>
      </c>
      <c r="AJ412" s="117">
        <f t="shared" si="1327"/>
        <v>0</v>
      </c>
      <c r="AK412" s="117">
        <f t="shared" si="1327"/>
        <v>0</v>
      </c>
      <c r="AL412" s="117">
        <f t="shared" si="1327"/>
        <v>0</v>
      </c>
      <c r="AM412" s="117">
        <f t="shared" si="1327"/>
        <v>0.0549945521761879</v>
      </c>
      <c r="AN412" s="117">
        <f t="shared" si="1327"/>
        <v>0.0376733631799823</v>
      </c>
      <c r="AO412" s="9">
        <f t="shared" si="1327"/>
        <v>0.00842493334093863</v>
      </c>
      <c r="AP412" s="144">
        <f t="shared" si="1327"/>
        <v>0</v>
      </c>
      <c r="AQ412" s="144">
        <f t="shared" si="1327"/>
        <v>0</v>
      </c>
      <c r="AR412" s="144">
        <f t="shared" si="1327"/>
        <v>0</v>
      </c>
      <c r="AS412" s="144">
        <f t="shared" si="1327"/>
        <v>0</v>
      </c>
      <c r="AT412" s="144">
        <f t="shared" si="1327"/>
        <v>0</v>
      </c>
      <c r="AU412" s="144">
        <f t="shared" si="1327"/>
        <v>0</v>
      </c>
      <c r="AV412" s="144">
        <f t="shared" si="1327"/>
        <v>0</v>
      </c>
      <c r="AW412" s="144">
        <f t="shared" si="1327"/>
        <v>0</v>
      </c>
      <c r="AX412" s="144">
        <f t="shared" si="1327"/>
        <v>0</v>
      </c>
      <c r="AY412" s="144">
        <f t="shared" si="1327"/>
        <v>0</v>
      </c>
      <c r="AZ412" s="144">
        <f t="shared" si="1327"/>
        <v>0.00982958127294388</v>
      </c>
      <c r="BA412" s="144">
        <f t="shared" si="1327"/>
        <v>0.00368806001481904</v>
      </c>
      <c r="BB412" s="9">
        <f t="shared" si="1327"/>
        <v>0.00125547896489875</v>
      </c>
      <c r="BC412" s="144">
        <f t="shared" si="1327"/>
        <v>0</v>
      </c>
      <c r="BD412" s="144">
        <f t="shared" si="1327"/>
        <v>0</v>
      </c>
      <c r="BE412" s="144">
        <f t="shared" si="1327"/>
        <v>0</v>
      </c>
      <c r="BF412" s="144">
        <f t="shared" si="1327"/>
        <v>0</v>
      </c>
      <c r="BG412" s="144">
        <f t="shared" si="1327"/>
        <v>0</v>
      </c>
      <c r="BH412" s="144">
        <f t="shared" si="1327"/>
        <v>0</v>
      </c>
      <c r="BI412" s="144">
        <f t="shared" si="1327"/>
        <v>0</v>
      </c>
      <c r="BJ412" s="144">
        <f t="shared" si="1327"/>
        <v>0</v>
      </c>
      <c r="BK412" s="144">
        <f t="shared" si="1327"/>
        <v>0</v>
      </c>
      <c r="BL412" s="144">
        <f t="shared" si="1327"/>
        <v>0</v>
      </c>
      <c r="BM412" s="144">
        <f t="shared" si="1327"/>
        <v>0.00274669200427347</v>
      </c>
      <c r="BN412" s="144">
        <f t="shared" si="1327"/>
        <v>0</v>
      </c>
      <c r="BO412" s="9">
        <f t="shared" ref="BO412:DZ412" si="1328">BO200/BO$211</f>
        <v>0.00024525608007153</v>
      </c>
      <c r="BP412" s="144">
        <f t="shared" si="1328"/>
        <v>0</v>
      </c>
      <c r="BQ412" s="144">
        <f t="shared" si="1328"/>
        <v>0</v>
      </c>
      <c r="BR412" s="144">
        <f t="shared" si="1328"/>
        <v>0</v>
      </c>
      <c r="BS412" s="144">
        <f t="shared" si="1328"/>
        <v>0</v>
      </c>
      <c r="BT412" s="144">
        <f t="shared" si="1328"/>
        <v>0</v>
      </c>
      <c r="BU412" s="144">
        <f t="shared" si="1328"/>
        <v>0</v>
      </c>
      <c r="BV412" s="144">
        <f t="shared" si="1328"/>
        <v>0</v>
      </c>
      <c r="BW412" s="144">
        <f t="shared" si="1328"/>
        <v>0</v>
      </c>
      <c r="BX412" s="144">
        <f t="shared" si="1328"/>
        <v>0</v>
      </c>
      <c r="BY412" s="144">
        <f t="shared" si="1328"/>
        <v>0</v>
      </c>
      <c r="BZ412" s="144">
        <f t="shared" si="1328"/>
        <v>0.00268493435949692</v>
      </c>
      <c r="CA412" s="144">
        <f t="shared" si="1328"/>
        <v>0.00207623260886943</v>
      </c>
      <c r="CB412" s="9">
        <f t="shared" si="1328"/>
        <v>0.000363779315349191</v>
      </c>
      <c r="CC412" s="144">
        <f t="shared" si="1328"/>
        <v>0</v>
      </c>
      <c r="CD412" s="144">
        <f t="shared" si="1328"/>
        <v>0</v>
      </c>
      <c r="CE412" s="144">
        <f t="shared" si="1328"/>
        <v>0</v>
      </c>
      <c r="CF412" s="144">
        <f t="shared" si="1328"/>
        <v>0</v>
      </c>
      <c r="CG412" s="144">
        <f t="shared" si="1328"/>
        <v>0</v>
      </c>
      <c r="CH412" s="144">
        <f t="shared" si="1328"/>
        <v>0</v>
      </c>
      <c r="CI412" s="144">
        <f t="shared" si="1328"/>
        <v>0</v>
      </c>
      <c r="CJ412" s="144">
        <f t="shared" si="1328"/>
        <v>0</v>
      </c>
      <c r="CK412" s="144">
        <f t="shared" si="1328"/>
        <v>0</v>
      </c>
      <c r="CL412" s="144">
        <f t="shared" si="1328"/>
        <v>0</v>
      </c>
      <c r="CM412" s="144">
        <f t="shared" si="1328"/>
        <v>0.00661057506329028</v>
      </c>
      <c r="CN412" s="144">
        <f t="shared" si="1328"/>
        <v>0.00192277455455082</v>
      </c>
      <c r="CO412" s="9">
        <f t="shared" si="1328"/>
        <v>0.000684125746407424</v>
      </c>
      <c r="CP412" s="144">
        <f t="shared" si="1328"/>
        <v>0</v>
      </c>
      <c r="CQ412" s="144">
        <f t="shared" si="1328"/>
        <v>0</v>
      </c>
      <c r="CR412" s="144">
        <f t="shared" si="1328"/>
        <v>0</v>
      </c>
      <c r="CS412" s="144">
        <f t="shared" si="1328"/>
        <v>0</v>
      </c>
      <c r="CT412" s="144">
        <f t="shared" si="1328"/>
        <v>0</v>
      </c>
      <c r="CU412" s="144">
        <f t="shared" si="1328"/>
        <v>0</v>
      </c>
      <c r="CV412" s="144">
        <f t="shared" si="1328"/>
        <v>0</v>
      </c>
      <c r="CW412" s="144">
        <f t="shared" si="1328"/>
        <v>0</v>
      </c>
      <c r="CX412" s="144">
        <f t="shared" si="1328"/>
        <v>0</v>
      </c>
      <c r="CY412" s="144">
        <f t="shared" si="1328"/>
        <v>0</v>
      </c>
      <c r="CZ412" s="144">
        <f t="shared" si="1328"/>
        <v>0</v>
      </c>
      <c r="DA412" s="144">
        <f t="shared" si="1328"/>
        <v>0</v>
      </c>
      <c r="DB412" s="9">
        <f t="shared" si="1328"/>
        <v>0</v>
      </c>
      <c r="DC412" s="144">
        <f t="shared" si="1328"/>
        <v>0</v>
      </c>
      <c r="DD412" s="144">
        <f t="shared" si="1328"/>
        <v>0</v>
      </c>
      <c r="DE412" s="144">
        <f t="shared" si="1328"/>
        <v>0</v>
      </c>
      <c r="DF412" s="144">
        <f t="shared" si="1328"/>
        <v>0</v>
      </c>
      <c r="DG412" s="144">
        <f t="shared" si="1328"/>
        <v>0</v>
      </c>
      <c r="DH412" s="144">
        <f t="shared" si="1328"/>
        <v>0</v>
      </c>
      <c r="DI412" s="144">
        <f t="shared" si="1328"/>
        <v>0</v>
      </c>
      <c r="DJ412" s="144">
        <f t="shared" si="1328"/>
        <v>0</v>
      </c>
      <c r="DK412" s="144">
        <f t="shared" si="1328"/>
        <v>0</v>
      </c>
      <c r="DL412" s="144">
        <f t="shared" si="1328"/>
        <v>0</v>
      </c>
      <c r="DM412" s="144">
        <f t="shared" si="1328"/>
        <v>0.0132423842983266</v>
      </c>
      <c r="DN412" s="144">
        <f t="shared" si="1328"/>
        <v>0.00266696988804929</v>
      </c>
      <c r="DO412" s="9">
        <f t="shared" si="1328"/>
        <v>0.00113754837884108</v>
      </c>
      <c r="DP412" s="144">
        <f t="shared" si="1328"/>
        <v>0</v>
      </c>
      <c r="DQ412" s="144">
        <f t="shared" si="1328"/>
        <v>0</v>
      </c>
      <c r="DR412" s="144">
        <f t="shared" si="1328"/>
        <v>0</v>
      </c>
      <c r="DS412" s="144">
        <f t="shared" si="1328"/>
        <v>0</v>
      </c>
      <c r="DT412" s="144">
        <f t="shared" si="1328"/>
        <v>0</v>
      </c>
      <c r="DU412" s="144">
        <f t="shared" si="1328"/>
        <v>0</v>
      </c>
      <c r="DV412" s="144">
        <f t="shared" si="1328"/>
        <v>0</v>
      </c>
      <c r="DW412" s="144">
        <f t="shared" si="1328"/>
        <v>0</v>
      </c>
      <c r="DX412" s="144">
        <f t="shared" si="1328"/>
        <v>0</v>
      </c>
      <c r="DY412" s="144">
        <f t="shared" si="1328"/>
        <v>0</v>
      </c>
      <c r="DZ412" s="144">
        <f t="shared" si="1328"/>
        <v>0</v>
      </c>
      <c r="EA412" s="144">
        <f t="shared" ref="EA412:EB412" si="1329">EA200/EA$211</f>
        <v>0</v>
      </c>
      <c r="EB412" s="117">
        <f t="shared" si="1329"/>
        <v>0</v>
      </c>
      <c r="EC412" s="118"/>
      <c r="ED412" s="117">
        <f t="shared" ref="ED412:FB412" si="1330">ED200/ED$211</f>
        <v>0</v>
      </c>
      <c r="EE412" s="117">
        <f t="shared" si="1330"/>
        <v>0</v>
      </c>
      <c r="EF412" s="117">
        <f t="shared" si="1330"/>
        <v>0</v>
      </c>
      <c r="EG412" s="117" t="e">
        <f t="shared" si="1330"/>
        <v>#DIV/0!</v>
      </c>
      <c r="EH412" s="117" t="e">
        <f t="shared" si="1330"/>
        <v>#DIV/0!</v>
      </c>
      <c r="EI412" s="117" t="e">
        <f t="shared" si="1330"/>
        <v>#DIV/0!</v>
      </c>
      <c r="EJ412" s="117" t="e">
        <f t="shared" si="1330"/>
        <v>#DIV/0!</v>
      </c>
      <c r="EK412" s="117" t="e">
        <f t="shared" si="1330"/>
        <v>#DIV/0!</v>
      </c>
      <c r="EL412" s="117" t="e">
        <f t="shared" si="1330"/>
        <v>#DIV/0!</v>
      </c>
      <c r="EM412" s="117" t="e">
        <f t="shared" si="1330"/>
        <v>#DIV/0!</v>
      </c>
      <c r="EN412" s="117" t="e">
        <f t="shared" si="1330"/>
        <v>#DIV/0!</v>
      </c>
      <c r="EO412" s="116">
        <f t="shared" si="1330"/>
        <v>0</v>
      </c>
      <c r="EP412" s="117">
        <f t="shared" si="1330"/>
        <v>0</v>
      </c>
      <c r="EQ412" s="117">
        <f t="shared" si="1330"/>
        <v>0</v>
      </c>
      <c r="ER412" s="117">
        <f t="shared" si="1330"/>
        <v>0</v>
      </c>
      <c r="ES412" s="117">
        <f t="shared" si="1330"/>
        <v>0</v>
      </c>
      <c r="ET412" s="117">
        <f t="shared" si="1330"/>
        <v>0</v>
      </c>
      <c r="EU412" s="117">
        <f t="shared" si="1330"/>
        <v>0</v>
      </c>
      <c r="EV412" s="117">
        <f t="shared" si="1330"/>
        <v>0</v>
      </c>
      <c r="EW412" s="117">
        <f t="shared" si="1330"/>
        <v>0</v>
      </c>
      <c r="EX412" s="117">
        <f t="shared" si="1330"/>
        <v>0</v>
      </c>
      <c r="EY412" s="117">
        <f t="shared" si="1330"/>
        <v>0</v>
      </c>
      <c r="EZ412" s="117">
        <f t="shared" si="1330"/>
        <v>0.0118277725529003</v>
      </c>
      <c r="FA412" s="117">
        <f t="shared" si="1330"/>
        <v>0.00850640745340984</v>
      </c>
      <c r="FB412" s="117">
        <f t="shared" si="1330"/>
        <v>0.00173912699901759</v>
      </c>
      <c r="FC412" s="118"/>
      <c r="FD412" s="117"/>
      <c r="FE412" s="117"/>
      <c r="FF412" s="117"/>
      <c r="FG412" s="117"/>
      <c r="FH412" s="117"/>
      <c r="FI412" s="117"/>
      <c r="FJ412" s="117"/>
      <c r="FK412" s="117" t="e">
        <f t="shared" ref="FK412:GB412" si="1331">FK200/FK$211</f>
        <v>#DIV/0!</v>
      </c>
      <c r="FL412" s="117" t="e">
        <f t="shared" si="1331"/>
        <v>#DIV/0!</v>
      </c>
      <c r="FM412" s="117" t="e">
        <f t="shared" si="1331"/>
        <v>#DIV/0!</v>
      </c>
      <c r="FN412" s="117" t="e">
        <f t="shared" si="1331"/>
        <v>#DIV/0!</v>
      </c>
      <c r="FO412" s="9" t="e">
        <f t="shared" si="1331"/>
        <v>#DIV/0!</v>
      </c>
      <c r="FP412" s="118">
        <f t="shared" si="1331"/>
        <v>0</v>
      </c>
      <c r="FQ412" s="117">
        <f t="shared" si="1331"/>
        <v>0</v>
      </c>
      <c r="FR412" s="117">
        <f t="shared" si="1331"/>
        <v>0</v>
      </c>
      <c r="FS412" s="117">
        <f t="shared" si="1331"/>
        <v>0</v>
      </c>
      <c r="FT412" s="117">
        <f t="shared" si="1331"/>
        <v>0</v>
      </c>
      <c r="FU412" s="117">
        <f t="shared" si="1331"/>
        <v>0</v>
      </c>
      <c r="FV412" s="117">
        <f t="shared" si="1331"/>
        <v>0</v>
      </c>
      <c r="FW412" s="117">
        <f t="shared" si="1331"/>
        <v>0</v>
      </c>
      <c r="FX412" s="117">
        <f t="shared" si="1331"/>
        <v>0</v>
      </c>
      <c r="FY412" s="117">
        <f t="shared" si="1331"/>
        <v>0</v>
      </c>
      <c r="FZ412" s="117">
        <f t="shared" si="1331"/>
        <v>0.0455740355592835</v>
      </c>
      <c r="GA412" s="117">
        <f t="shared" si="1331"/>
        <v>0</v>
      </c>
      <c r="GB412" s="116">
        <f t="shared" si="1331"/>
        <v>0.00407214164477177</v>
      </c>
    </row>
    <row r="413" spans="1:184">
      <c r="A413" s="147" t="s">
        <v>372</v>
      </c>
      <c r="B413" s="160" t="e">
        <f t="shared" si="1306"/>
        <v>#DIV/0!</v>
      </c>
      <c r="C413" s="117">
        <f t="shared" ref="C413:BN413" si="1332">C201/C$211</f>
        <v>0</v>
      </c>
      <c r="D413" s="117">
        <f t="shared" si="1332"/>
        <v>0</v>
      </c>
      <c r="E413" s="117">
        <f t="shared" si="1332"/>
        <v>0</v>
      </c>
      <c r="F413" s="117">
        <f t="shared" si="1332"/>
        <v>0</v>
      </c>
      <c r="G413" s="117">
        <f t="shared" si="1332"/>
        <v>0</v>
      </c>
      <c r="H413" s="117">
        <f t="shared" si="1332"/>
        <v>0.000504394322732675</v>
      </c>
      <c r="I413" s="117">
        <f t="shared" si="1332"/>
        <v>0.00128355140299522</v>
      </c>
      <c r="J413" s="117">
        <f t="shared" si="1332"/>
        <v>0.00117989345685998</v>
      </c>
      <c r="K413" s="117">
        <f t="shared" si="1332"/>
        <v>0.000512768113633522</v>
      </c>
      <c r="L413" s="117">
        <f t="shared" si="1332"/>
        <v>0.000309147015930614</v>
      </c>
      <c r="M413" s="117">
        <f t="shared" si="1332"/>
        <v>0.000263857533840578</v>
      </c>
      <c r="N413" s="117">
        <f t="shared" si="1332"/>
        <v>0</v>
      </c>
      <c r="O413" s="9">
        <f t="shared" si="1332"/>
        <v>0.000324080782040625</v>
      </c>
      <c r="P413" s="117">
        <f t="shared" si="1332"/>
        <v>0</v>
      </c>
      <c r="Q413" s="117">
        <f t="shared" si="1332"/>
        <v>0</v>
      </c>
      <c r="R413" s="117">
        <f t="shared" si="1332"/>
        <v>0</v>
      </c>
      <c r="S413" s="117">
        <f t="shared" si="1332"/>
        <v>0</v>
      </c>
      <c r="T413" s="117">
        <f t="shared" si="1332"/>
        <v>0</v>
      </c>
      <c r="U413" s="117">
        <f t="shared" si="1332"/>
        <v>0.000588525004468262</v>
      </c>
      <c r="V413" s="117">
        <f t="shared" si="1332"/>
        <v>0.000734236493657566</v>
      </c>
      <c r="W413" s="117">
        <f t="shared" si="1332"/>
        <v>0.000569116388085047</v>
      </c>
      <c r="X413" s="117">
        <f t="shared" si="1332"/>
        <v>0.000223873695135307</v>
      </c>
      <c r="Y413" s="117">
        <f t="shared" si="1332"/>
        <v>0</v>
      </c>
      <c r="Z413" s="117">
        <f t="shared" si="1332"/>
        <v>0</v>
      </c>
      <c r="AA413" s="117">
        <f t="shared" si="1332"/>
        <v>0</v>
      </c>
      <c r="AB413" s="9">
        <f t="shared" si="1332"/>
        <v>0.000170045425872332</v>
      </c>
      <c r="AC413" s="117">
        <f t="shared" si="1332"/>
        <v>0</v>
      </c>
      <c r="AD413" s="117">
        <f t="shared" si="1332"/>
        <v>0</v>
      </c>
      <c r="AE413" s="117">
        <f t="shared" si="1332"/>
        <v>0</v>
      </c>
      <c r="AF413" s="117">
        <f t="shared" si="1332"/>
        <v>0</v>
      </c>
      <c r="AG413" s="117">
        <f t="shared" si="1332"/>
        <v>0</v>
      </c>
      <c r="AH413" s="117">
        <f t="shared" si="1332"/>
        <v>0.00147097667094955</v>
      </c>
      <c r="AI413" s="117">
        <f t="shared" si="1332"/>
        <v>0.00180507468852069</v>
      </c>
      <c r="AJ413" s="117">
        <f t="shared" si="1332"/>
        <v>0.00379499444327474</v>
      </c>
      <c r="AK413" s="117">
        <f t="shared" si="1332"/>
        <v>0.00359769456670298</v>
      </c>
      <c r="AL413" s="117">
        <f t="shared" si="1332"/>
        <v>0.00326052717382294</v>
      </c>
      <c r="AM413" s="117">
        <f t="shared" si="1332"/>
        <v>0.00293446383058987</v>
      </c>
      <c r="AN413" s="117">
        <f t="shared" si="1332"/>
        <v>0</v>
      </c>
      <c r="AO413" s="9">
        <f t="shared" si="1332"/>
        <v>0.0015785320841123</v>
      </c>
      <c r="AP413" s="144">
        <f t="shared" si="1332"/>
        <v>0</v>
      </c>
      <c r="AQ413" s="144">
        <f t="shared" si="1332"/>
        <v>0</v>
      </c>
      <c r="AR413" s="144">
        <f t="shared" si="1332"/>
        <v>0</v>
      </c>
      <c r="AS413" s="144">
        <f t="shared" si="1332"/>
        <v>0</v>
      </c>
      <c r="AT413" s="144">
        <f t="shared" si="1332"/>
        <v>0</v>
      </c>
      <c r="AU413" s="144">
        <f t="shared" si="1332"/>
        <v>0.000353398600193266</v>
      </c>
      <c r="AV413" s="144">
        <f t="shared" si="1332"/>
        <v>0.000692333787965854</v>
      </c>
      <c r="AW413" s="144">
        <f t="shared" si="1332"/>
        <v>0</v>
      </c>
      <c r="AX413" s="144">
        <f t="shared" si="1332"/>
        <v>0</v>
      </c>
      <c r="AY413" s="144">
        <f t="shared" si="1332"/>
        <v>0</v>
      </c>
      <c r="AZ413" s="144">
        <f t="shared" si="1332"/>
        <v>0</v>
      </c>
      <c r="BA413" s="144">
        <f t="shared" si="1332"/>
        <v>0</v>
      </c>
      <c r="BB413" s="9">
        <f t="shared" si="1332"/>
        <v>8.0987430459969e-5</v>
      </c>
      <c r="BC413" s="144">
        <f t="shared" si="1332"/>
        <v>0</v>
      </c>
      <c r="BD413" s="144">
        <f t="shared" si="1332"/>
        <v>0</v>
      </c>
      <c r="BE413" s="144">
        <f t="shared" si="1332"/>
        <v>0</v>
      </c>
      <c r="BF413" s="144">
        <f t="shared" si="1332"/>
        <v>0</v>
      </c>
      <c r="BG413" s="144">
        <f t="shared" si="1332"/>
        <v>0</v>
      </c>
      <c r="BH413" s="144">
        <f t="shared" si="1332"/>
        <v>0.000502365530558881</v>
      </c>
      <c r="BI413" s="144">
        <f t="shared" si="1332"/>
        <v>0.000845390298429962</v>
      </c>
      <c r="BJ413" s="144">
        <f t="shared" si="1332"/>
        <v>0.00226285924901476</v>
      </c>
      <c r="BK413" s="144">
        <f t="shared" si="1332"/>
        <v>0.00102276542574848</v>
      </c>
      <c r="BL413" s="144">
        <f t="shared" si="1332"/>
        <v>0</v>
      </c>
      <c r="BM413" s="144">
        <f t="shared" si="1332"/>
        <v>0</v>
      </c>
      <c r="BN413" s="144">
        <f t="shared" si="1332"/>
        <v>0</v>
      </c>
      <c r="BO413" s="9">
        <f t="shared" ref="BO413:DZ413" si="1333">BO201/BO$211</f>
        <v>0.000391459123152931</v>
      </c>
      <c r="BP413" s="144">
        <f t="shared" si="1333"/>
        <v>0</v>
      </c>
      <c r="BQ413" s="144">
        <f t="shared" si="1333"/>
        <v>0</v>
      </c>
      <c r="BR413" s="144">
        <f t="shared" si="1333"/>
        <v>0</v>
      </c>
      <c r="BS413" s="144">
        <f t="shared" si="1333"/>
        <v>0</v>
      </c>
      <c r="BT413" s="144">
        <f t="shared" si="1333"/>
        <v>0</v>
      </c>
      <c r="BU413" s="144">
        <f t="shared" si="1333"/>
        <v>0</v>
      </c>
      <c r="BV413" s="144">
        <f t="shared" si="1333"/>
        <v>0.000280327522006542</v>
      </c>
      <c r="BW413" s="144">
        <f t="shared" si="1333"/>
        <v>0</v>
      </c>
      <c r="BX413" s="144">
        <f t="shared" si="1333"/>
        <v>0</v>
      </c>
      <c r="BY413" s="144">
        <f t="shared" si="1333"/>
        <v>0</v>
      </c>
      <c r="BZ413" s="144">
        <f t="shared" si="1333"/>
        <v>0</v>
      </c>
      <c r="CA413" s="144">
        <f t="shared" si="1333"/>
        <v>0</v>
      </c>
      <c r="CB413" s="9">
        <f t="shared" si="1333"/>
        <v>1.95740808076628e-5</v>
      </c>
      <c r="CC413" s="144">
        <f t="shared" si="1333"/>
        <v>0</v>
      </c>
      <c r="CD413" s="144">
        <f t="shared" si="1333"/>
        <v>0</v>
      </c>
      <c r="CE413" s="144">
        <f t="shared" si="1333"/>
        <v>0</v>
      </c>
      <c r="CF413" s="144">
        <f t="shared" si="1333"/>
        <v>0</v>
      </c>
      <c r="CG413" s="144">
        <f t="shared" si="1333"/>
        <v>0</v>
      </c>
      <c r="CH413" s="144">
        <f t="shared" si="1333"/>
        <v>0.00070473117233912</v>
      </c>
      <c r="CI413" s="144">
        <f t="shared" si="1333"/>
        <v>0.000896645139075619</v>
      </c>
      <c r="CJ413" s="144">
        <f t="shared" si="1333"/>
        <v>0.000678730384192834</v>
      </c>
      <c r="CK413" s="144">
        <f t="shared" si="1333"/>
        <v>0</v>
      </c>
      <c r="CL413" s="144">
        <f t="shared" si="1333"/>
        <v>0</v>
      </c>
      <c r="CM413" s="144">
        <f t="shared" si="1333"/>
        <v>0</v>
      </c>
      <c r="CN413" s="144">
        <f t="shared" si="1333"/>
        <v>0</v>
      </c>
      <c r="CO413" s="9">
        <f t="shared" si="1333"/>
        <v>0.000204414641253676</v>
      </c>
      <c r="CP413" s="144">
        <f t="shared" si="1333"/>
        <v>0</v>
      </c>
      <c r="CQ413" s="144">
        <f t="shared" si="1333"/>
        <v>0</v>
      </c>
      <c r="CR413" s="144">
        <f t="shared" si="1333"/>
        <v>0</v>
      </c>
      <c r="CS413" s="144">
        <f t="shared" si="1333"/>
        <v>0</v>
      </c>
      <c r="CT413" s="144">
        <f t="shared" si="1333"/>
        <v>0</v>
      </c>
      <c r="CU413" s="144">
        <f t="shared" si="1333"/>
        <v>0.000520006170473664</v>
      </c>
      <c r="CV413" s="144">
        <f t="shared" si="1333"/>
        <v>0.000515388593736706</v>
      </c>
      <c r="CW413" s="144">
        <f t="shared" si="1333"/>
        <v>0.00115807935384696</v>
      </c>
      <c r="CX413" s="144">
        <f t="shared" si="1333"/>
        <v>0</v>
      </c>
      <c r="CY413" s="144">
        <f t="shared" si="1333"/>
        <v>0</v>
      </c>
      <c r="CZ413" s="144">
        <f t="shared" si="1333"/>
        <v>0</v>
      </c>
      <c r="DA413" s="144">
        <f t="shared" si="1333"/>
        <v>0</v>
      </c>
      <c r="DB413" s="9">
        <f t="shared" si="1333"/>
        <v>0.000178417045425333</v>
      </c>
      <c r="DC413" s="144">
        <f t="shared" si="1333"/>
        <v>0</v>
      </c>
      <c r="DD413" s="144">
        <f t="shared" si="1333"/>
        <v>0</v>
      </c>
      <c r="DE413" s="144">
        <f t="shared" si="1333"/>
        <v>0</v>
      </c>
      <c r="DF413" s="144">
        <f t="shared" si="1333"/>
        <v>0</v>
      </c>
      <c r="DG413" s="144">
        <f t="shared" si="1333"/>
        <v>0</v>
      </c>
      <c r="DH413" s="144">
        <f t="shared" si="1333"/>
        <v>0</v>
      </c>
      <c r="DI413" s="144">
        <f t="shared" si="1333"/>
        <v>0.000488436962785705</v>
      </c>
      <c r="DJ413" s="144">
        <f t="shared" si="1333"/>
        <v>0</v>
      </c>
      <c r="DK413" s="144">
        <f t="shared" si="1333"/>
        <v>0</v>
      </c>
      <c r="DL413" s="144">
        <f t="shared" si="1333"/>
        <v>0</v>
      </c>
      <c r="DM413" s="144">
        <f t="shared" si="1333"/>
        <v>0</v>
      </c>
      <c r="DN413" s="144">
        <f t="shared" si="1333"/>
        <v>0</v>
      </c>
      <c r="DO413" s="9">
        <f t="shared" si="1333"/>
        <v>3.68761278553135e-5</v>
      </c>
      <c r="DP413" s="144">
        <f t="shared" si="1333"/>
        <v>0</v>
      </c>
      <c r="DQ413" s="144">
        <f t="shared" si="1333"/>
        <v>0</v>
      </c>
      <c r="DR413" s="144">
        <f t="shared" si="1333"/>
        <v>0</v>
      </c>
      <c r="DS413" s="144">
        <f t="shared" si="1333"/>
        <v>0</v>
      </c>
      <c r="DT413" s="144">
        <f t="shared" si="1333"/>
        <v>0</v>
      </c>
      <c r="DU413" s="144">
        <f t="shared" si="1333"/>
        <v>0.000503586192978345</v>
      </c>
      <c r="DV413" s="144">
        <f t="shared" si="1333"/>
        <v>0.00163950299482312</v>
      </c>
      <c r="DW413" s="144">
        <f t="shared" si="1333"/>
        <v>0.00193592225482677</v>
      </c>
      <c r="DX413" s="144">
        <f t="shared" si="1333"/>
        <v>0</v>
      </c>
      <c r="DY413" s="144">
        <f t="shared" si="1333"/>
        <v>0</v>
      </c>
      <c r="DZ413" s="144">
        <f t="shared" si="1333"/>
        <v>0</v>
      </c>
      <c r="EA413" s="144">
        <f t="shared" ref="EA413:EB413" si="1334">EA201/EA$211</f>
        <v>0</v>
      </c>
      <c r="EB413" s="117">
        <f t="shared" si="1334"/>
        <v>0.000317066470979549</v>
      </c>
      <c r="EC413" s="118"/>
      <c r="ED413" s="117">
        <f t="shared" ref="ED413:FB413" si="1335">ED201/ED$211</f>
        <v>0</v>
      </c>
      <c r="EE413" s="117">
        <f t="shared" si="1335"/>
        <v>0</v>
      </c>
      <c r="EF413" s="117">
        <f t="shared" si="1335"/>
        <v>0</v>
      </c>
      <c r="EG413" s="117" t="e">
        <f t="shared" si="1335"/>
        <v>#DIV/0!</v>
      </c>
      <c r="EH413" s="117" t="e">
        <f t="shared" si="1335"/>
        <v>#DIV/0!</v>
      </c>
      <c r="EI413" s="117" t="e">
        <f t="shared" si="1335"/>
        <v>#DIV/0!</v>
      </c>
      <c r="EJ413" s="117" t="e">
        <f t="shared" si="1335"/>
        <v>#DIV/0!</v>
      </c>
      <c r="EK413" s="117" t="e">
        <f t="shared" si="1335"/>
        <v>#DIV/0!</v>
      </c>
      <c r="EL413" s="117" t="e">
        <f t="shared" si="1335"/>
        <v>#DIV/0!</v>
      </c>
      <c r="EM413" s="117" t="e">
        <f t="shared" si="1335"/>
        <v>#DIV/0!</v>
      </c>
      <c r="EN413" s="117" t="e">
        <f t="shared" si="1335"/>
        <v>#DIV/0!</v>
      </c>
      <c r="EO413" s="116">
        <f t="shared" si="1335"/>
        <v>0</v>
      </c>
      <c r="EP413" s="117">
        <f t="shared" si="1335"/>
        <v>0</v>
      </c>
      <c r="EQ413" s="117">
        <f t="shared" si="1335"/>
        <v>0</v>
      </c>
      <c r="ER413" s="117">
        <f t="shared" si="1335"/>
        <v>0</v>
      </c>
      <c r="ES413" s="117">
        <f t="shared" si="1335"/>
        <v>0</v>
      </c>
      <c r="ET413" s="117">
        <f t="shared" si="1335"/>
        <v>0</v>
      </c>
      <c r="EU413" s="117">
        <f t="shared" si="1335"/>
        <v>0.0003255275663353</v>
      </c>
      <c r="EV413" s="117">
        <f t="shared" si="1335"/>
        <v>0.00167624233047498</v>
      </c>
      <c r="EW413" s="117">
        <f t="shared" si="1335"/>
        <v>0.0015964082575624</v>
      </c>
      <c r="EX413" s="117">
        <f t="shared" si="1335"/>
        <v>0.00116748691912158</v>
      </c>
      <c r="EY413" s="117">
        <f t="shared" si="1335"/>
        <v>0</v>
      </c>
      <c r="EZ413" s="117">
        <f t="shared" si="1335"/>
        <v>0</v>
      </c>
      <c r="FA413" s="117">
        <f t="shared" si="1335"/>
        <v>0</v>
      </c>
      <c r="FB413" s="117">
        <f t="shared" si="1335"/>
        <v>0.000407337054587177</v>
      </c>
      <c r="FC413" s="118"/>
      <c r="FD413" s="117"/>
      <c r="FE413" s="117"/>
      <c r="FF413" s="117"/>
      <c r="FG413" s="117"/>
      <c r="FH413" s="117"/>
      <c r="FI413" s="117"/>
      <c r="FJ413" s="117"/>
      <c r="FK413" s="117" t="e">
        <f t="shared" ref="FK413:GB413" si="1336">FK201/FK$211</f>
        <v>#DIV/0!</v>
      </c>
      <c r="FL413" s="117" t="e">
        <f t="shared" si="1336"/>
        <v>#DIV/0!</v>
      </c>
      <c r="FM413" s="117" t="e">
        <f t="shared" si="1336"/>
        <v>#DIV/0!</v>
      </c>
      <c r="FN413" s="117" t="e">
        <f t="shared" si="1336"/>
        <v>#DIV/0!</v>
      </c>
      <c r="FO413" s="9" t="e">
        <f t="shared" si="1336"/>
        <v>#DIV/0!</v>
      </c>
      <c r="FP413" s="118">
        <f t="shared" si="1336"/>
        <v>0</v>
      </c>
      <c r="FQ413" s="117">
        <f t="shared" si="1336"/>
        <v>0</v>
      </c>
      <c r="FR413" s="117">
        <f t="shared" si="1336"/>
        <v>0</v>
      </c>
      <c r="FS413" s="117">
        <f t="shared" si="1336"/>
        <v>0</v>
      </c>
      <c r="FT413" s="117">
        <f t="shared" si="1336"/>
        <v>0</v>
      </c>
      <c r="FU413" s="117">
        <f t="shared" si="1336"/>
        <v>0.000520582097632666</v>
      </c>
      <c r="FV413" s="117">
        <f t="shared" si="1336"/>
        <v>0.00265241875804371</v>
      </c>
      <c r="FW413" s="117">
        <f t="shared" si="1336"/>
        <v>0.00112352531580305</v>
      </c>
      <c r="FX413" s="117">
        <f t="shared" si="1336"/>
        <v>0</v>
      </c>
      <c r="FY413" s="117">
        <f t="shared" si="1336"/>
        <v>0</v>
      </c>
      <c r="FZ413" s="117">
        <f t="shared" si="1336"/>
        <v>0</v>
      </c>
      <c r="GA413" s="117">
        <f t="shared" si="1336"/>
        <v>0</v>
      </c>
      <c r="GB413" s="116">
        <f t="shared" si="1336"/>
        <v>0.000316527464824811</v>
      </c>
    </row>
    <row r="414" spans="1:184">
      <c r="A414" s="147" t="s">
        <v>373</v>
      </c>
      <c r="B414" s="160" t="e">
        <f t="shared" si="1306"/>
        <v>#DIV/0!</v>
      </c>
      <c r="C414" s="117">
        <f t="shared" ref="C414:BN414" si="1337">C202/C$211</f>
        <v>0</v>
      </c>
      <c r="D414" s="117">
        <f t="shared" si="1337"/>
        <v>0</v>
      </c>
      <c r="E414" s="117">
        <f t="shared" si="1337"/>
        <v>0</v>
      </c>
      <c r="F414" s="117">
        <f t="shared" si="1337"/>
        <v>0</v>
      </c>
      <c r="G414" s="117">
        <f t="shared" si="1337"/>
        <v>0</v>
      </c>
      <c r="H414" s="117">
        <f t="shared" si="1337"/>
        <v>0</v>
      </c>
      <c r="I414" s="117">
        <f t="shared" si="1337"/>
        <v>0</v>
      </c>
      <c r="J414" s="117">
        <f t="shared" si="1337"/>
        <v>0.000126949105131611</v>
      </c>
      <c r="K414" s="117">
        <f t="shared" si="1337"/>
        <v>0.00283098765612514</v>
      </c>
      <c r="L414" s="117">
        <f t="shared" si="1337"/>
        <v>0.00140538611521584</v>
      </c>
      <c r="M414" s="117">
        <f t="shared" si="1337"/>
        <v>0.0013267515219704</v>
      </c>
      <c r="N414" s="117">
        <f t="shared" si="1337"/>
        <v>0</v>
      </c>
      <c r="O414" s="9">
        <f t="shared" si="1337"/>
        <v>0.000482904473091145</v>
      </c>
      <c r="P414" s="117">
        <f t="shared" si="1337"/>
        <v>0</v>
      </c>
      <c r="Q414" s="117">
        <f t="shared" si="1337"/>
        <v>0</v>
      </c>
      <c r="R414" s="117">
        <f t="shared" si="1337"/>
        <v>0</v>
      </c>
      <c r="S414" s="117">
        <f t="shared" si="1337"/>
        <v>0</v>
      </c>
      <c r="T414" s="117">
        <f t="shared" si="1337"/>
        <v>0</v>
      </c>
      <c r="U414" s="117">
        <f t="shared" si="1337"/>
        <v>0</v>
      </c>
      <c r="V414" s="117">
        <f t="shared" si="1337"/>
        <v>0</v>
      </c>
      <c r="W414" s="117">
        <f t="shared" si="1337"/>
        <v>0</v>
      </c>
      <c r="X414" s="117">
        <f t="shared" si="1337"/>
        <v>0.00572044885648792</v>
      </c>
      <c r="Y414" s="117">
        <f t="shared" si="1337"/>
        <v>0.00238226894329708</v>
      </c>
      <c r="Z414" s="117">
        <f t="shared" si="1337"/>
        <v>0.0020444970517463</v>
      </c>
      <c r="AA414" s="117">
        <f t="shared" si="1337"/>
        <v>0</v>
      </c>
      <c r="AB414" s="9">
        <f t="shared" si="1337"/>
        <v>0.000914630319288103</v>
      </c>
      <c r="AC414" s="117">
        <f t="shared" si="1337"/>
        <v>0</v>
      </c>
      <c r="AD414" s="117">
        <f t="shared" si="1337"/>
        <v>0</v>
      </c>
      <c r="AE414" s="117">
        <f t="shared" si="1337"/>
        <v>0</v>
      </c>
      <c r="AF414" s="117">
        <f t="shared" si="1337"/>
        <v>0</v>
      </c>
      <c r="AG414" s="117">
        <f t="shared" si="1337"/>
        <v>0</v>
      </c>
      <c r="AH414" s="117">
        <f t="shared" si="1337"/>
        <v>0</v>
      </c>
      <c r="AI414" s="117">
        <f t="shared" si="1337"/>
        <v>0</v>
      </c>
      <c r="AJ414" s="117">
        <f t="shared" si="1337"/>
        <v>0</v>
      </c>
      <c r="AK414" s="117">
        <f t="shared" si="1337"/>
        <v>0.00704229574758881</v>
      </c>
      <c r="AL414" s="117">
        <f t="shared" si="1337"/>
        <v>0.0114394766945991</v>
      </c>
      <c r="AM414" s="117">
        <f t="shared" si="1337"/>
        <v>0.0117662762795565</v>
      </c>
      <c r="AN414" s="117">
        <f t="shared" si="1337"/>
        <v>0</v>
      </c>
      <c r="AO414" s="9">
        <f t="shared" si="1337"/>
        <v>0.00288407020415388</v>
      </c>
      <c r="AP414" s="144">
        <f t="shared" si="1337"/>
        <v>0</v>
      </c>
      <c r="AQ414" s="144">
        <f t="shared" si="1337"/>
        <v>0</v>
      </c>
      <c r="AR414" s="144">
        <f t="shared" si="1337"/>
        <v>0</v>
      </c>
      <c r="AS414" s="144">
        <f t="shared" si="1337"/>
        <v>0</v>
      </c>
      <c r="AT414" s="144">
        <f t="shared" si="1337"/>
        <v>0</v>
      </c>
      <c r="AU414" s="144">
        <f t="shared" si="1337"/>
        <v>0</v>
      </c>
      <c r="AV414" s="144">
        <f t="shared" si="1337"/>
        <v>0</v>
      </c>
      <c r="AW414" s="144">
        <f t="shared" si="1337"/>
        <v>0</v>
      </c>
      <c r="AX414" s="144">
        <f t="shared" si="1337"/>
        <v>0</v>
      </c>
      <c r="AY414" s="144">
        <f t="shared" si="1337"/>
        <v>0</v>
      </c>
      <c r="AZ414" s="144">
        <f t="shared" si="1337"/>
        <v>0</v>
      </c>
      <c r="BA414" s="144">
        <f t="shared" si="1337"/>
        <v>0</v>
      </c>
      <c r="BB414" s="9">
        <f t="shared" si="1337"/>
        <v>0</v>
      </c>
      <c r="BC414" s="144">
        <f t="shared" si="1337"/>
        <v>0</v>
      </c>
      <c r="BD414" s="144">
        <f t="shared" si="1337"/>
        <v>0</v>
      </c>
      <c r="BE414" s="144">
        <f t="shared" si="1337"/>
        <v>0</v>
      </c>
      <c r="BF414" s="144">
        <f t="shared" si="1337"/>
        <v>0</v>
      </c>
      <c r="BG414" s="144">
        <f t="shared" si="1337"/>
        <v>0</v>
      </c>
      <c r="BH414" s="144">
        <f t="shared" si="1337"/>
        <v>0</v>
      </c>
      <c r="BI414" s="144">
        <f t="shared" si="1337"/>
        <v>0</v>
      </c>
      <c r="BJ414" s="144">
        <f t="shared" si="1337"/>
        <v>0</v>
      </c>
      <c r="BK414" s="144">
        <f t="shared" si="1337"/>
        <v>0</v>
      </c>
      <c r="BL414" s="144">
        <f t="shared" si="1337"/>
        <v>0</v>
      </c>
      <c r="BM414" s="144">
        <f t="shared" si="1337"/>
        <v>0</v>
      </c>
      <c r="BN414" s="144">
        <f t="shared" si="1337"/>
        <v>0</v>
      </c>
      <c r="BO414" s="9">
        <f t="shared" ref="BO414:DZ414" si="1338">BO202/BO$211</f>
        <v>0</v>
      </c>
      <c r="BP414" s="144">
        <f t="shared" si="1338"/>
        <v>0</v>
      </c>
      <c r="BQ414" s="144">
        <f t="shared" si="1338"/>
        <v>0</v>
      </c>
      <c r="BR414" s="144">
        <f t="shared" si="1338"/>
        <v>0</v>
      </c>
      <c r="BS414" s="144">
        <f t="shared" si="1338"/>
        <v>0</v>
      </c>
      <c r="BT414" s="144">
        <f t="shared" si="1338"/>
        <v>0</v>
      </c>
      <c r="BU414" s="144">
        <f t="shared" si="1338"/>
        <v>0</v>
      </c>
      <c r="BV414" s="144">
        <f t="shared" si="1338"/>
        <v>0</v>
      </c>
      <c r="BW414" s="144">
        <f t="shared" si="1338"/>
        <v>0</v>
      </c>
      <c r="BX414" s="144">
        <f t="shared" si="1338"/>
        <v>0</v>
      </c>
      <c r="BY414" s="144">
        <f t="shared" si="1338"/>
        <v>0</v>
      </c>
      <c r="BZ414" s="144">
        <f t="shared" si="1338"/>
        <v>0</v>
      </c>
      <c r="CA414" s="144">
        <f t="shared" si="1338"/>
        <v>0</v>
      </c>
      <c r="CB414" s="9">
        <f t="shared" si="1338"/>
        <v>0</v>
      </c>
      <c r="CC414" s="144">
        <f t="shared" si="1338"/>
        <v>0</v>
      </c>
      <c r="CD414" s="144">
        <f t="shared" si="1338"/>
        <v>0</v>
      </c>
      <c r="CE414" s="144">
        <f t="shared" si="1338"/>
        <v>0</v>
      </c>
      <c r="CF414" s="144">
        <f t="shared" si="1338"/>
        <v>0</v>
      </c>
      <c r="CG414" s="144">
        <f t="shared" si="1338"/>
        <v>0</v>
      </c>
      <c r="CH414" s="144">
        <f t="shared" si="1338"/>
        <v>0</v>
      </c>
      <c r="CI414" s="144">
        <f t="shared" si="1338"/>
        <v>0</v>
      </c>
      <c r="CJ414" s="144">
        <f t="shared" si="1338"/>
        <v>0</v>
      </c>
      <c r="CK414" s="144">
        <f t="shared" si="1338"/>
        <v>0</v>
      </c>
      <c r="CL414" s="144">
        <f t="shared" si="1338"/>
        <v>0</v>
      </c>
      <c r="CM414" s="144">
        <f t="shared" si="1338"/>
        <v>0</v>
      </c>
      <c r="CN414" s="144">
        <f t="shared" si="1338"/>
        <v>0</v>
      </c>
      <c r="CO414" s="9">
        <f t="shared" si="1338"/>
        <v>0</v>
      </c>
      <c r="CP414" s="144">
        <f t="shared" si="1338"/>
        <v>0</v>
      </c>
      <c r="CQ414" s="144">
        <f t="shared" si="1338"/>
        <v>0</v>
      </c>
      <c r="CR414" s="144">
        <f t="shared" si="1338"/>
        <v>0</v>
      </c>
      <c r="CS414" s="144">
        <f t="shared" si="1338"/>
        <v>0</v>
      </c>
      <c r="CT414" s="144">
        <f t="shared" si="1338"/>
        <v>0</v>
      </c>
      <c r="CU414" s="144">
        <f t="shared" si="1338"/>
        <v>0</v>
      </c>
      <c r="CV414" s="144">
        <f t="shared" si="1338"/>
        <v>0</v>
      </c>
      <c r="CW414" s="144">
        <f t="shared" si="1338"/>
        <v>0</v>
      </c>
      <c r="CX414" s="144">
        <f t="shared" si="1338"/>
        <v>0.000193056313915545</v>
      </c>
      <c r="CY414" s="144">
        <f t="shared" si="1338"/>
        <v>0</v>
      </c>
      <c r="CZ414" s="144">
        <f t="shared" si="1338"/>
        <v>0</v>
      </c>
      <c r="DA414" s="144">
        <f t="shared" si="1338"/>
        <v>0</v>
      </c>
      <c r="DB414" s="9">
        <f t="shared" si="1338"/>
        <v>1.50715796616124e-5</v>
      </c>
      <c r="DC414" s="144">
        <f t="shared" si="1338"/>
        <v>0</v>
      </c>
      <c r="DD414" s="144">
        <f t="shared" si="1338"/>
        <v>0</v>
      </c>
      <c r="DE414" s="144">
        <f t="shared" si="1338"/>
        <v>0</v>
      </c>
      <c r="DF414" s="144">
        <f t="shared" si="1338"/>
        <v>0</v>
      </c>
      <c r="DG414" s="144">
        <f t="shared" si="1338"/>
        <v>0</v>
      </c>
      <c r="DH414" s="144">
        <f t="shared" si="1338"/>
        <v>0</v>
      </c>
      <c r="DI414" s="144">
        <f t="shared" si="1338"/>
        <v>0</v>
      </c>
      <c r="DJ414" s="144">
        <f t="shared" si="1338"/>
        <v>0</v>
      </c>
      <c r="DK414" s="144">
        <f t="shared" si="1338"/>
        <v>0</v>
      </c>
      <c r="DL414" s="144">
        <f t="shared" si="1338"/>
        <v>0</v>
      </c>
      <c r="DM414" s="144">
        <f t="shared" si="1338"/>
        <v>0</v>
      </c>
      <c r="DN414" s="144">
        <f t="shared" si="1338"/>
        <v>0</v>
      </c>
      <c r="DO414" s="9">
        <f t="shared" si="1338"/>
        <v>0</v>
      </c>
      <c r="DP414" s="144">
        <f t="shared" si="1338"/>
        <v>0</v>
      </c>
      <c r="DQ414" s="144">
        <f t="shared" si="1338"/>
        <v>0</v>
      </c>
      <c r="DR414" s="144">
        <f t="shared" si="1338"/>
        <v>0</v>
      </c>
      <c r="DS414" s="144">
        <f t="shared" si="1338"/>
        <v>0</v>
      </c>
      <c r="DT414" s="144">
        <f t="shared" si="1338"/>
        <v>0</v>
      </c>
      <c r="DU414" s="144">
        <f t="shared" si="1338"/>
        <v>0</v>
      </c>
      <c r="DV414" s="144">
        <f t="shared" si="1338"/>
        <v>0</v>
      </c>
      <c r="DW414" s="144">
        <f t="shared" si="1338"/>
        <v>0</v>
      </c>
      <c r="DX414" s="144">
        <f t="shared" si="1338"/>
        <v>0</v>
      </c>
      <c r="DY414" s="144">
        <f t="shared" si="1338"/>
        <v>0</v>
      </c>
      <c r="DZ414" s="144">
        <f t="shared" si="1338"/>
        <v>0</v>
      </c>
      <c r="EA414" s="144">
        <f t="shared" ref="EA414:EB414" si="1339">EA202/EA$211</f>
        <v>0</v>
      </c>
      <c r="EB414" s="117">
        <f t="shared" si="1339"/>
        <v>0</v>
      </c>
      <c r="EC414" s="118"/>
      <c r="ED414" s="117">
        <f t="shared" ref="ED414:FB414" si="1340">ED202/ED$211</f>
        <v>0</v>
      </c>
      <c r="EE414" s="117">
        <f t="shared" si="1340"/>
        <v>0</v>
      </c>
      <c r="EF414" s="117">
        <f t="shared" si="1340"/>
        <v>0</v>
      </c>
      <c r="EG414" s="117" t="e">
        <f t="shared" si="1340"/>
        <v>#DIV/0!</v>
      </c>
      <c r="EH414" s="117" t="e">
        <f t="shared" si="1340"/>
        <v>#DIV/0!</v>
      </c>
      <c r="EI414" s="117" t="e">
        <f t="shared" si="1340"/>
        <v>#DIV/0!</v>
      </c>
      <c r="EJ414" s="117" t="e">
        <f t="shared" si="1340"/>
        <v>#DIV/0!</v>
      </c>
      <c r="EK414" s="117" t="e">
        <f t="shared" si="1340"/>
        <v>#DIV/0!</v>
      </c>
      <c r="EL414" s="117" t="e">
        <f t="shared" si="1340"/>
        <v>#DIV/0!</v>
      </c>
      <c r="EM414" s="117" t="e">
        <f t="shared" si="1340"/>
        <v>#DIV/0!</v>
      </c>
      <c r="EN414" s="117" t="e">
        <f t="shared" si="1340"/>
        <v>#DIV/0!</v>
      </c>
      <c r="EO414" s="116">
        <f t="shared" si="1340"/>
        <v>0</v>
      </c>
      <c r="EP414" s="117">
        <f t="shared" si="1340"/>
        <v>0</v>
      </c>
      <c r="EQ414" s="117">
        <f t="shared" si="1340"/>
        <v>0</v>
      </c>
      <c r="ER414" s="117">
        <f t="shared" si="1340"/>
        <v>0</v>
      </c>
      <c r="ES414" s="117">
        <f t="shared" si="1340"/>
        <v>0</v>
      </c>
      <c r="ET414" s="117">
        <f t="shared" si="1340"/>
        <v>0</v>
      </c>
      <c r="EU414" s="117">
        <f t="shared" si="1340"/>
        <v>0</v>
      </c>
      <c r="EV414" s="117">
        <f t="shared" si="1340"/>
        <v>0</v>
      </c>
      <c r="EW414" s="117">
        <f t="shared" si="1340"/>
        <v>0.00475351353326609</v>
      </c>
      <c r="EX414" s="117">
        <f t="shared" si="1340"/>
        <v>0.00311545269400903</v>
      </c>
      <c r="EY414" s="117">
        <f t="shared" si="1340"/>
        <v>0</v>
      </c>
      <c r="EZ414" s="117">
        <f t="shared" si="1340"/>
        <v>0</v>
      </c>
      <c r="FA414" s="117">
        <f t="shared" si="1340"/>
        <v>0</v>
      </c>
      <c r="FB414" s="117">
        <f t="shared" si="1340"/>
        <v>0.000707524497929403</v>
      </c>
      <c r="FC414" s="118"/>
      <c r="FD414" s="117"/>
      <c r="FE414" s="117"/>
      <c r="FF414" s="117"/>
      <c r="FG414" s="117"/>
      <c r="FH414" s="117"/>
      <c r="FI414" s="117"/>
      <c r="FJ414" s="117"/>
      <c r="FK414" s="117" t="e">
        <f t="shared" ref="FK414:GB414" si="1341">FK202/FK$211</f>
        <v>#DIV/0!</v>
      </c>
      <c r="FL414" s="117" t="e">
        <f t="shared" si="1341"/>
        <v>#DIV/0!</v>
      </c>
      <c r="FM414" s="117" t="e">
        <f t="shared" si="1341"/>
        <v>#DIV/0!</v>
      </c>
      <c r="FN414" s="117" t="e">
        <f t="shared" si="1341"/>
        <v>#DIV/0!</v>
      </c>
      <c r="FO414" s="9" t="e">
        <f t="shared" si="1341"/>
        <v>#DIV/0!</v>
      </c>
      <c r="FP414" s="118">
        <f t="shared" si="1341"/>
        <v>0</v>
      </c>
      <c r="FQ414" s="117">
        <f t="shared" si="1341"/>
        <v>0</v>
      </c>
      <c r="FR414" s="117">
        <f t="shared" si="1341"/>
        <v>0</v>
      </c>
      <c r="FS414" s="117">
        <f t="shared" si="1341"/>
        <v>0</v>
      </c>
      <c r="FT414" s="117">
        <f t="shared" si="1341"/>
        <v>0</v>
      </c>
      <c r="FU414" s="117">
        <f t="shared" si="1341"/>
        <v>0</v>
      </c>
      <c r="FV414" s="117">
        <f t="shared" si="1341"/>
        <v>0</v>
      </c>
      <c r="FW414" s="117">
        <f t="shared" si="1341"/>
        <v>0</v>
      </c>
      <c r="FX414" s="117">
        <f t="shared" si="1341"/>
        <v>0.00559087287109966</v>
      </c>
      <c r="FY414" s="117">
        <f t="shared" si="1341"/>
        <v>0</v>
      </c>
      <c r="FZ414" s="117">
        <f t="shared" si="1341"/>
        <v>0</v>
      </c>
      <c r="GA414" s="117">
        <f t="shared" si="1341"/>
        <v>0</v>
      </c>
      <c r="GB414" s="116">
        <f t="shared" si="1341"/>
        <v>0.000426911965921654</v>
      </c>
    </row>
    <row r="415" spans="1:184">
      <c r="A415" s="147" t="s">
        <v>374</v>
      </c>
      <c r="B415" s="160" t="e">
        <f t="shared" si="1306"/>
        <v>#DIV/0!</v>
      </c>
      <c r="C415" s="117">
        <f t="shared" ref="C415:BN415" si="1342">C203/C$211</f>
        <v>0</v>
      </c>
      <c r="D415" s="117">
        <f t="shared" si="1342"/>
        <v>0</v>
      </c>
      <c r="E415" s="117">
        <f t="shared" si="1342"/>
        <v>0</v>
      </c>
      <c r="F415" s="117">
        <f t="shared" si="1342"/>
        <v>0</v>
      </c>
      <c r="G415" s="117">
        <f t="shared" si="1342"/>
        <v>0</v>
      </c>
      <c r="H415" s="117">
        <f t="shared" si="1342"/>
        <v>0</v>
      </c>
      <c r="I415" s="117">
        <f t="shared" si="1342"/>
        <v>0</v>
      </c>
      <c r="J415" s="117">
        <f t="shared" si="1342"/>
        <v>0</v>
      </c>
      <c r="K415" s="117">
        <f t="shared" si="1342"/>
        <v>0</v>
      </c>
      <c r="L415" s="117">
        <f t="shared" si="1342"/>
        <v>0</v>
      </c>
      <c r="M415" s="117">
        <f t="shared" si="1342"/>
        <v>0</v>
      </c>
      <c r="N415" s="117">
        <f t="shared" si="1342"/>
        <v>0.00957168696570704</v>
      </c>
      <c r="O415" s="9">
        <f t="shared" si="1342"/>
        <v>0.000797303707057641</v>
      </c>
      <c r="P415" s="117">
        <f t="shared" si="1342"/>
        <v>0</v>
      </c>
      <c r="Q415" s="117">
        <f t="shared" si="1342"/>
        <v>0</v>
      </c>
      <c r="R415" s="117">
        <f t="shared" si="1342"/>
        <v>0</v>
      </c>
      <c r="S415" s="117">
        <f t="shared" si="1342"/>
        <v>0</v>
      </c>
      <c r="T415" s="117">
        <f t="shared" si="1342"/>
        <v>0</v>
      </c>
      <c r="U415" s="117">
        <f t="shared" si="1342"/>
        <v>0</v>
      </c>
      <c r="V415" s="117">
        <f t="shared" si="1342"/>
        <v>0</v>
      </c>
      <c r="W415" s="117">
        <f t="shared" si="1342"/>
        <v>0</v>
      </c>
      <c r="X415" s="117">
        <f t="shared" si="1342"/>
        <v>0</v>
      </c>
      <c r="Y415" s="117">
        <f t="shared" si="1342"/>
        <v>0</v>
      </c>
      <c r="Z415" s="117">
        <f t="shared" si="1342"/>
        <v>0</v>
      </c>
      <c r="AA415" s="117">
        <f t="shared" si="1342"/>
        <v>0.00924278296360548</v>
      </c>
      <c r="AB415" s="9">
        <f t="shared" si="1342"/>
        <v>0.000782744058024783</v>
      </c>
      <c r="AC415" s="117">
        <f t="shared" si="1342"/>
        <v>0</v>
      </c>
      <c r="AD415" s="117">
        <f t="shared" si="1342"/>
        <v>0</v>
      </c>
      <c r="AE415" s="117">
        <f t="shared" si="1342"/>
        <v>0</v>
      </c>
      <c r="AF415" s="117">
        <f t="shared" si="1342"/>
        <v>0</v>
      </c>
      <c r="AG415" s="117">
        <f t="shared" si="1342"/>
        <v>0</v>
      </c>
      <c r="AH415" s="117">
        <f t="shared" si="1342"/>
        <v>0</v>
      </c>
      <c r="AI415" s="117">
        <f t="shared" si="1342"/>
        <v>0</v>
      </c>
      <c r="AJ415" s="117">
        <f t="shared" si="1342"/>
        <v>0</v>
      </c>
      <c r="AK415" s="117">
        <f t="shared" si="1342"/>
        <v>0</v>
      </c>
      <c r="AL415" s="117">
        <f t="shared" si="1342"/>
        <v>0</v>
      </c>
      <c r="AM415" s="117">
        <f t="shared" si="1342"/>
        <v>0</v>
      </c>
      <c r="AN415" s="117">
        <f t="shared" si="1342"/>
        <v>0.00753467263599646</v>
      </c>
      <c r="AO415" s="9">
        <f t="shared" si="1342"/>
        <v>0.000673994667275091</v>
      </c>
      <c r="AP415" s="144">
        <f t="shared" si="1342"/>
        <v>0</v>
      </c>
      <c r="AQ415" s="144">
        <f t="shared" si="1342"/>
        <v>0</v>
      </c>
      <c r="AR415" s="144">
        <f t="shared" si="1342"/>
        <v>0</v>
      </c>
      <c r="AS415" s="144">
        <f t="shared" si="1342"/>
        <v>0</v>
      </c>
      <c r="AT415" s="144">
        <f t="shared" si="1342"/>
        <v>0</v>
      </c>
      <c r="AU415" s="144">
        <f t="shared" si="1342"/>
        <v>0</v>
      </c>
      <c r="AV415" s="144">
        <f t="shared" si="1342"/>
        <v>0</v>
      </c>
      <c r="AW415" s="144">
        <f t="shared" si="1342"/>
        <v>0</v>
      </c>
      <c r="AX415" s="144">
        <f t="shared" si="1342"/>
        <v>0</v>
      </c>
      <c r="AY415" s="144">
        <f t="shared" si="1342"/>
        <v>0</v>
      </c>
      <c r="AZ415" s="144">
        <f t="shared" si="1342"/>
        <v>0</v>
      </c>
      <c r="BA415" s="144">
        <f t="shared" si="1342"/>
        <v>0.00922015003704761</v>
      </c>
      <c r="BB415" s="9">
        <f t="shared" si="1342"/>
        <v>0.00089677068921339</v>
      </c>
      <c r="BC415" s="144">
        <f t="shared" si="1342"/>
        <v>0</v>
      </c>
      <c r="BD415" s="144">
        <f t="shared" si="1342"/>
        <v>0</v>
      </c>
      <c r="BE415" s="144">
        <f t="shared" si="1342"/>
        <v>0</v>
      </c>
      <c r="BF415" s="144">
        <f t="shared" si="1342"/>
        <v>0</v>
      </c>
      <c r="BG415" s="144">
        <f t="shared" si="1342"/>
        <v>0</v>
      </c>
      <c r="BH415" s="144">
        <f t="shared" si="1342"/>
        <v>0</v>
      </c>
      <c r="BI415" s="144">
        <f t="shared" si="1342"/>
        <v>0</v>
      </c>
      <c r="BJ415" s="144">
        <f t="shared" si="1342"/>
        <v>0</v>
      </c>
      <c r="BK415" s="144">
        <f t="shared" si="1342"/>
        <v>0</v>
      </c>
      <c r="BL415" s="144">
        <f t="shared" si="1342"/>
        <v>0</v>
      </c>
      <c r="BM415" s="144">
        <f t="shared" si="1342"/>
        <v>0</v>
      </c>
      <c r="BN415" s="144">
        <f t="shared" si="1342"/>
        <v>0.00284872762739888</v>
      </c>
      <c r="BO415" s="9">
        <f t="shared" ref="BO415:DZ415" si="1343">BO203/BO$211</f>
        <v>0.00024525608007153</v>
      </c>
      <c r="BP415" s="144">
        <f t="shared" si="1343"/>
        <v>0</v>
      </c>
      <c r="BQ415" s="144">
        <f t="shared" si="1343"/>
        <v>0</v>
      </c>
      <c r="BR415" s="144">
        <f t="shared" si="1343"/>
        <v>0</v>
      </c>
      <c r="BS415" s="144">
        <f t="shared" si="1343"/>
        <v>0</v>
      </c>
      <c r="BT415" s="144">
        <f t="shared" si="1343"/>
        <v>0</v>
      </c>
      <c r="BU415" s="144">
        <f t="shared" si="1343"/>
        <v>0</v>
      </c>
      <c r="BV415" s="144">
        <f t="shared" si="1343"/>
        <v>0</v>
      </c>
      <c r="BW415" s="144">
        <f t="shared" si="1343"/>
        <v>0</v>
      </c>
      <c r="BX415" s="144">
        <f t="shared" si="1343"/>
        <v>0</v>
      </c>
      <c r="BY415" s="144">
        <f t="shared" si="1343"/>
        <v>0</v>
      </c>
      <c r="BZ415" s="144">
        <f t="shared" si="1343"/>
        <v>0</v>
      </c>
      <c r="CA415" s="144">
        <f t="shared" si="1343"/>
        <v>0.00156328102314875</v>
      </c>
      <c r="CB415" s="9">
        <f t="shared" si="1343"/>
        <v>0.000109561770269874</v>
      </c>
      <c r="CC415" s="144">
        <f t="shared" si="1343"/>
        <v>0</v>
      </c>
      <c r="CD415" s="144">
        <f t="shared" si="1343"/>
        <v>0</v>
      </c>
      <c r="CE415" s="144">
        <f t="shared" si="1343"/>
        <v>0</v>
      </c>
      <c r="CF415" s="144">
        <f t="shared" si="1343"/>
        <v>0</v>
      </c>
      <c r="CG415" s="144">
        <f t="shared" si="1343"/>
        <v>0</v>
      </c>
      <c r="CH415" s="144">
        <f t="shared" si="1343"/>
        <v>0</v>
      </c>
      <c r="CI415" s="144">
        <f t="shared" si="1343"/>
        <v>0</v>
      </c>
      <c r="CJ415" s="144">
        <f t="shared" si="1343"/>
        <v>0</v>
      </c>
      <c r="CK415" s="144">
        <f t="shared" si="1343"/>
        <v>0</v>
      </c>
      <c r="CL415" s="144">
        <f t="shared" si="1343"/>
        <v>0</v>
      </c>
      <c r="CM415" s="144">
        <f t="shared" si="1343"/>
        <v>0</v>
      </c>
      <c r="CN415" s="144">
        <f t="shared" si="1343"/>
        <v>0.000961387277275409</v>
      </c>
      <c r="CO415" s="9">
        <f t="shared" si="1343"/>
        <v>6.84125746407424e-5</v>
      </c>
      <c r="CP415" s="144">
        <f t="shared" si="1343"/>
        <v>0</v>
      </c>
      <c r="CQ415" s="144">
        <f t="shared" si="1343"/>
        <v>0</v>
      </c>
      <c r="CR415" s="144">
        <f t="shared" si="1343"/>
        <v>0</v>
      </c>
      <c r="CS415" s="144">
        <f t="shared" si="1343"/>
        <v>0</v>
      </c>
      <c r="CT415" s="144">
        <f t="shared" si="1343"/>
        <v>0</v>
      </c>
      <c r="CU415" s="144">
        <f t="shared" si="1343"/>
        <v>0</v>
      </c>
      <c r="CV415" s="144">
        <f t="shared" si="1343"/>
        <v>0</v>
      </c>
      <c r="CW415" s="144">
        <f t="shared" si="1343"/>
        <v>0</v>
      </c>
      <c r="CX415" s="144">
        <f t="shared" si="1343"/>
        <v>0</v>
      </c>
      <c r="CY415" s="144">
        <f t="shared" si="1343"/>
        <v>0</v>
      </c>
      <c r="CZ415" s="144">
        <f t="shared" si="1343"/>
        <v>0</v>
      </c>
      <c r="DA415" s="144">
        <f t="shared" si="1343"/>
        <v>0.00168756328362314</v>
      </c>
      <c r="DB415" s="9">
        <f t="shared" si="1343"/>
        <v>0.000129544834108075</v>
      </c>
      <c r="DC415" s="144">
        <f t="shared" si="1343"/>
        <v>0</v>
      </c>
      <c r="DD415" s="144">
        <f t="shared" si="1343"/>
        <v>0</v>
      </c>
      <c r="DE415" s="144">
        <f t="shared" si="1343"/>
        <v>0</v>
      </c>
      <c r="DF415" s="144">
        <f t="shared" si="1343"/>
        <v>0</v>
      </c>
      <c r="DG415" s="144">
        <f t="shared" si="1343"/>
        <v>0</v>
      </c>
      <c r="DH415" s="144">
        <f t="shared" si="1343"/>
        <v>0</v>
      </c>
      <c r="DI415" s="144">
        <f t="shared" si="1343"/>
        <v>0</v>
      </c>
      <c r="DJ415" s="144">
        <f t="shared" si="1343"/>
        <v>0</v>
      </c>
      <c r="DK415" s="144">
        <f t="shared" si="1343"/>
        <v>0</v>
      </c>
      <c r="DL415" s="144">
        <f t="shared" si="1343"/>
        <v>0</v>
      </c>
      <c r="DM415" s="144">
        <f t="shared" si="1343"/>
        <v>0</v>
      </c>
      <c r="DN415" s="144">
        <f t="shared" si="1343"/>
        <v>0.00800090966414786</v>
      </c>
      <c r="DO415" s="9">
        <f t="shared" si="1343"/>
        <v>0.000620480933913318</v>
      </c>
      <c r="DP415" s="144">
        <f t="shared" si="1343"/>
        <v>0</v>
      </c>
      <c r="DQ415" s="144">
        <f t="shared" si="1343"/>
        <v>0</v>
      </c>
      <c r="DR415" s="144">
        <f t="shared" si="1343"/>
        <v>0</v>
      </c>
      <c r="DS415" s="144">
        <f t="shared" si="1343"/>
        <v>0</v>
      </c>
      <c r="DT415" s="144">
        <f t="shared" si="1343"/>
        <v>0</v>
      </c>
      <c r="DU415" s="144">
        <f t="shared" si="1343"/>
        <v>0</v>
      </c>
      <c r="DV415" s="144">
        <f t="shared" si="1343"/>
        <v>0</v>
      </c>
      <c r="DW415" s="144">
        <f t="shared" si="1343"/>
        <v>0</v>
      </c>
      <c r="DX415" s="144">
        <f t="shared" si="1343"/>
        <v>0</v>
      </c>
      <c r="DY415" s="144">
        <f t="shared" si="1343"/>
        <v>0</v>
      </c>
      <c r="DZ415" s="144">
        <f t="shared" si="1343"/>
        <v>0</v>
      </c>
      <c r="EA415" s="144">
        <f t="shared" ref="EA415:EB415" si="1344">EA203/EA$211</f>
        <v>0.00418828041219173</v>
      </c>
      <c r="EB415" s="117">
        <f t="shared" si="1344"/>
        <v>0.000280147772303849</v>
      </c>
      <c r="EC415" s="118"/>
      <c r="ED415" s="117">
        <f t="shared" ref="ED415:FB415" si="1345">ED203/ED$211</f>
        <v>0</v>
      </c>
      <c r="EE415" s="117">
        <f t="shared" si="1345"/>
        <v>0</v>
      </c>
      <c r="EF415" s="117">
        <f t="shared" si="1345"/>
        <v>0</v>
      </c>
      <c r="EG415" s="117" t="e">
        <f t="shared" si="1345"/>
        <v>#DIV/0!</v>
      </c>
      <c r="EH415" s="117" t="e">
        <f t="shared" si="1345"/>
        <v>#DIV/0!</v>
      </c>
      <c r="EI415" s="117" t="e">
        <f t="shared" si="1345"/>
        <v>#DIV/0!</v>
      </c>
      <c r="EJ415" s="117" t="e">
        <f t="shared" si="1345"/>
        <v>#DIV/0!</v>
      </c>
      <c r="EK415" s="117" t="e">
        <f t="shared" si="1345"/>
        <v>#DIV/0!</v>
      </c>
      <c r="EL415" s="117" t="e">
        <f t="shared" si="1345"/>
        <v>#DIV/0!</v>
      </c>
      <c r="EM415" s="117" t="e">
        <f t="shared" si="1345"/>
        <v>#DIV/0!</v>
      </c>
      <c r="EN415" s="117" t="e">
        <f t="shared" si="1345"/>
        <v>#DIV/0!</v>
      </c>
      <c r="EO415" s="116">
        <f t="shared" si="1345"/>
        <v>0</v>
      </c>
      <c r="EP415" s="117">
        <f t="shared" si="1345"/>
        <v>0</v>
      </c>
      <c r="EQ415" s="117">
        <f t="shared" si="1345"/>
        <v>0</v>
      </c>
      <c r="ER415" s="117">
        <f t="shared" si="1345"/>
        <v>0</v>
      </c>
      <c r="ES415" s="117">
        <f t="shared" si="1345"/>
        <v>0</v>
      </c>
      <c r="ET415" s="117">
        <f t="shared" si="1345"/>
        <v>0</v>
      </c>
      <c r="EU415" s="117">
        <f t="shared" si="1345"/>
        <v>0</v>
      </c>
      <c r="EV415" s="117">
        <f t="shared" si="1345"/>
        <v>0</v>
      </c>
      <c r="EW415" s="117">
        <f t="shared" si="1345"/>
        <v>0</v>
      </c>
      <c r="EX415" s="117">
        <f t="shared" si="1345"/>
        <v>0</v>
      </c>
      <c r="EY415" s="117">
        <f t="shared" si="1345"/>
        <v>0</v>
      </c>
      <c r="EZ415" s="117">
        <f t="shared" si="1345"/>
        <v>0</v>
      </c>
      <c r="FA415" s="117">
        <f t="shared" si="1345"/>
        <v>0.00226837532090929</v>
      </c>
      <c r="FB415" s="117">
        <f t="shared" si="1345"/>
        <v>0.000198757371316296</v>
      </c>
      <c r="FC415" s="118"/>
      <c r="FD415" s="117"/>
      <c r="FE415" s="117"/>
      <c r="FF415" s="117"/>
      <c r="FG415" s="117"/>
      <c r="FH415" s="117"/>
      <c r="FI415" s="117"/>
      <c r="FJ415" s="117"/>
      <c r="FK415" s="117" t="e">
        <f t="shared" ref="FK415:GB415" si="1346">FK203/FK$211</f>
        <v>#DIV/0!</v>
      </c>
      <c r="FL415" s="117" t="e">
        <f t="shared" si="1346"/>
        <v>#DIV/0!</v>
      </c>
      <c r="FM415" s="117" t="e">
        <f t="shared" si="1346"/>
        <v>#DIV/0!</v>
      </c>
      <c r="FN415" s="117" t="e">
        <f t="shared" si="1346"/>
        <v>#DIV/0!</v>
      </c>
      <c r="FO415" s="9" t="e">
        <f t="shared" si="1346"/>
        <v>#DIV/0!</v>
      </c>
      <c r="FP415" s="118">
        <f t="shared" si="1346"/>
        <v>0</v>
      </c>
      <c r="FQ415" s="117">
        <f t="shared" si="1346"/>
        <v>0</v>
      </c>
      <c r="FR415" s="117">
        <f t="shared" si="1346"/>
        <v>0</v>
      </c>
      <c r="FS415" s="117">
        <f t="shared" si="1346"/>
        <v>0</v>
      </c>
      <c r="FT415" s="117">
        <f t="shared" si="1346"/>
        <v>0</v>
      </c>
      <c r="FU415" s="117">
        <f t="shared" si="1346"/>
        <v>0</v>
      </c>
      <c r="FV415" s="117">
        <f t="shared" si="1346"/>
        <v>0</v>
      </c>
      <c r="FW415" s="117">
        <f t="shared" si="1346"/>
        <v>0</v>
      </c>
      <c r="FX415" s="117">
        <f t="shared" si="1346"/>
        <v>0</v>
      </c>
      <c r="FY415" s="117">
        <f t="shared" si="1346"/>
        <v>0</v>
      </c>
      <c r="FZ415" s="117">
        <f t="shared" si="1346"/>
        <v>0</v>
      </c>
      <c r="GA415" s="117">
        <f t="shared" si="1346"/>
        <v>0.0216486698851411</v>
      </c>
      <c r="GB415" s="116">
        <f t="shared" si="1346"/>
        <v>0.00203607082238589</v>
      </c>
    </row>
    <row r="416" spans="1:184">
      <c r="A416" s="147" t="s">
        <v>375</v>
      </c>
      <c r="B416" s="160" t="e">
        <f t="shared" si="1306"/>
        <v>#DIV/0!</v>
      </c>
      <c r="C416" s="117">
        <f t="shared" ref="C416:BN416" si="1347">C204/C$211</f>
        <v>0</v>
      </c>
      <c r="D416" s="117">
        <f t="shared" si="1347"/>
        <v>0</v>
      </c>
      <c r="E416" s="117">
        <f t="shared" si="1347"/>
        <v>0</v>
      </c>
      <c r="F416" s="117">
        <f t="shared" si="1347"/>
        <v>0</v>
      </c>
      <c r="G416" s="117">
        <f t="shared" si="1347"/>
        <v>0</v>
      </c>
      <c r="H416" s="117">
        <f t="shared" si="1347"/>
        <v>0</v>
      </c>
      <c r="I416" s="117">
        <f t="shared" si="1347"/>
        <v>0</v>
      </c>
      <c r="J416" s="117">
        <f t="shared" si="1347"/>
        <v>0</v>
      </c>
      <c r="K416" s="117">
        <f t="shared" si="1347"/>
        <v>0</v>
      </c>
      <c r="L416" s="117">
        <f t="shared" si="1347"/>
        <v>0</v>
      </c>
      <c r="M416" s="117">
        <f t="shared" si="1347"/>
        <v>0</v>
      </c>
      <c r="N416" s="117">
        <f t="shared" si="1347"/>
        <v>0</v>
      </c>
      <c r="O416" s="9">
        <f t="shared" si="1347"/>
        <v>0</v>
      </c>
      <c r="P416" s="117">
        <f t="shared" si="1347"/>
        <v>0</v>
      </c>
      <c r="Q416" s="117">
        <f t="shared" si="1347"/>
        <v>0</v>
      </c>
      <c r="R416" s="117">
        <f t="shared" si="1347"/>
        <v>0</v>
      </c>
      <c r="S416" s="117">
        <f t="shared" si="1347"/>
        <v>0</v>
      </c>
      <c r="T416" s="117">
        <f t="shared" si="1347"/>
        <v>0</v>
      </c>
      <c r="U416" s="117">
        <f t="shared" si="1347"/>
        <v>0</v>
      </c>
      <c r="V416" s="117">
        <f t="shared" si="1347"/>
        <v>0</v>
      </c>
      <c r="W416" s="117">
        <f t="shared" si="1347"/>
        <v>0</v>
      </c>
      <c r="X416" s="117">
        <f t="shared" si="1347"/>
        <v>0</v>
      </c>
      <c r="Y416" s="117">
        <f t="shared" si="1347"/>
        <v>0</v>
      </c>
      <c r="Z416" s="117">
        <f t="shared" si="1347"/>
        <v>0</v>
      </c>
      <c r="AA416" s="117">
        <f t="shared" si="1347"/>
        <v>0</v>
      </c>
      <c r="AB416" s="9">
        <f t="shared" si="1347"/>
        <v>0</v>
      </c>
      <c r="AC416" s="117">
        <f t="shared" si="1347"/>
        <v>0</v>
      </c>
      <c r="AD416" s="117">
        <f t="shared" si="1347"/>
        <v>0</v>
      </c>
      <c r="AE416" s="117">
        <f t="shared" si="1347"/>
        <v>0</v>
      </c>
      <c r="AF416" s="117">
        <f t="shared" si="1347"/>
        <v>0</v>
      </c>
      <c r="AG416" s="117">
        <f t="shared" si="1347"/>
        <v>0</v>
      </c>
      <c r="AH416" s="117">
        <f t="shared" si="1347"/>
        <v>0</v>
      </c>
      <c r="AI416" s="117">
        <f t="shared" si="1347"/>
        <v>0</v>
      </c>
      <c r="AJ416" s="117">
        <f t="shared" si="1347"/>
        <v>0</v>
      </c>
      <c r="AK416" s="117">
        <f t="shared" si="1347"/>
        <v>0</v>
      </c>
      <c r="AL416" s="117">
        <f t="shared" si="1347"/>
        <v>0</v>
      </c>
      <c r="AM416" s="117">
        <f t="shared" si="1347"/>
        <v>0</v>
      </c>
      <c r="AN416" s="117">
        <f t="shared" si="1347"/>
        <v>0</v>
      </c>
      <c r="AO416" s="9">
        <f t="shared" si="1347"/>
        <v>0</v>
      </c>
      <c r="AP416" s="144">
        <f t="shared" si="1347"/>
        <v>0</v>
      </c>
      <c r="AQ416" s="144">
        <f t="shared" si="1347"/>
        <v>0</v>
      </c>
      <c r="AR416" s="144">
        <f t="shared" si="1347"/>
        <v>0</v>
      </c>
      <c r="AS416" s="144">
        <f t="shared" si="1347"/>
        <v>0</v>
      </c>
      <c r="AT416" s="144">
        <f t="shared" si="1347"/>
        <v>0</v>
      </c>
      <c r="AU416" s="144">
        <f t="shared" si="1347"/>
        <v>0</v>
      </c>
      <c r="AV416" s="144">
        <f t="shared" si="1347"/>
        <v>0</v>
      </c>
      <c r="AW416" s="144">
        <f t="shared" si="1347"/>
        <v>0</v>
      </c>
      <c r="AX416" s="144">
        <f t="shared" si="1347"/>
        <v>0</v>
      </c>
      <c r="AY416" s="144">
        <f t="shared" si="1347"/>
        <v>0</v>
      </c>
      <c r="AZ416" s="144">
        <f t="shared" si="1347"/>
        <v>0</v>
      </c>
      <c r="BA416" s="144">
        <f t="shared" si="1347"/>
        <v>0</v>
      </c>
      <c r="BB416" s="9">
        <f t="shared" si="1347"/>
        <v>0</v>
      </c>
      <c r="BC416" s="144">
        <f t="shared" si="1347"/>
        <v>0</v>
      </c>
      <c r="BD416" s="144">
        <f t="shared" si="1347"/>
        <v>0</v>
      </c>
      <c r="BE416" s="144">
        <f t="shared" si="1347"/>
        <v>0</v>
      </c>
      <c r="BF416" s="144">
        <f t="shared" si="1347"/>
        <v>0</v>
      </c>
      <c r="BG416" s="144">
        <f t="shared" si="1347"/>
        <v>0</v>
      </c>
      <c r="BH416" s="144">
        <f t="shared" si="1347"/>
        <v>0</v>
      </c>
      <c r="BI416" s="144">
        <f t="shared" si="1347"/>
        <v>0</v>
      </c>
      <c r="BJ416" s="144">
        <f t="shared" si="1347"/>
        <v>0</v>
      </c>
      <c r="BK416" s="144">
        <f t="shared" si="1347"/>
        <v>0</v>
      </c>
      <c r="BL416" s="144">
        <f t="shared" si="1347"/>
        <v>0</v>
      </c>
      <c r="BM416" s="144">
        <f t="shared" si="1347"/>
        <v>0</v>
      </c>
      <c r="BN416" s="144">
        <f t="shared" si="1347"/>
        <v>0</v>
      </c>
      <c r="BO416" s="9">
        <f t="shared" ref="BO416:DZ416" si="1348">BO204/BO$211</f>
        <v>0</v>
      </c>
      <c r="BP416" s="144">
        <f t="shared" si="1348"/>
        <v>0</v>
      </c>
      <c r="BQ416" s="144">
        <f t="shared" si="1348"/>
        <v>0</v>
      </c>
      <c r="BR416" s="144">
        <f t="shared" si="1348"/>
        <v>0</v>
      </c>
      <c r="BS416" s="144">
        <f t="shared" si="1348"/>
        <v>0</v>
      </c>
      <c r="BT416" s="144">
        <f t="shared" si="1348"/>
        <v>0</v>
      </c>
      <c r="BU416" s="144">
        <f t="shared" si="1348"/>
        <v>0</v>
      </c>
      <c r="BV416" s="144">
        <f t="shared" si="1348"/>
        <v>0</v>
      </c>
      <c r="BW416" s="144">
        <f t="shared" si="1348"/>
        <v>0</v>
      </c>
      <c r="BX416" s="144">
        <f t="shared" si="1348"/>
        <v>0</v>
      </c>
      <c r="BY416" s="144">
        <f t="shared" si="1348"/>
        <v>0</v>
      </c>
      <c r="BZ416" s="144">
        <f t="shared" si="1348"/>
        <v>0</v>
      </c>
      <c r="CA416" s="144">
        <f t="shared" si="1348"/>
        <v>0</v>
      </c>
      <c r="CB416" s="9">
        <f t="shared" si="1348"/>
        <v>0</v>
      </c>
      <c r="CC416" s="144">
        <f t="shared" si="1348"/>
        <v>0</v>
      </c>
      <c r="CD416" s="144">
        <f t="shared" si="1348"/>
        <v>0</v>
      </c>
      <c r="CE416" s="144">
        <f t="shared" si="1348"/>
        <v>0</v>
      </c>
      <c r="CF416" s="144">
        <f t="shared" si="1348"/>
        <v>0</v>
      </c>
      <c r="CG416" s="144">
        <f t="shared" si="1348"/>
        <v>0</v>
      </c>
      <c r="CH416" s="144">
        <f t="shared" si="1348"/>
        <v>0</v>
      </c>
      <c r="CI416" s="144">
        <f t="shared" si="1348"/>
        <v>0</v>
      </c>
      <c r="CJ416" s="144">
        <f t="shared" si="1348"/>
        <v>0</v>
      </c>
      <c r="CK416" s="144">
        <f t="shared" si="1348"/>
        <v>0</v>
      </c>
      <c r="CL416" s="144">
        <f t="shared" si="1348"/>
        <v>0</v>
      </c>
      <c r="CM416" s="144">
        <f t="shared" si="1348"/>
        <v>0</v>
      </c>
      <c r="CN416" s="144">
        <f t="shared" si="1348"/>
        <v>0</v>
      </c>
      <c r="CO416" s="9">
        <f t="shared" si="1348"/>
        <v>0</v>
      </c>
      <c r="CP416" s="144">
        <f t="shared" si="1348"/>
        <v>0</v>
      </c>
      <c r="CQ416" s="144">
        <f t="shared" si="1348"/>
        <v>0</v>
      </c>
      <c r="CR416" s="144">
        <f t="shared" si="1348"/>
        <v>0</v>
      </c>
      <c r="CS416" s="144">
        <f t="shared" si="1348"/>
        <v>0</v>
      </c>
      <c r="CT416" s="144">
        <f t="shared" si="1348"/>
        <v>0</v>
      </c>
      <c r="CU416" s="144">
        <f t="shared" si="1348"/>
        <v>0</v>
      </c>
      <c r="CV416" s="144">
        <f t="shared" si="1348"/>
        <v>0</v>
      </c>
      <c r="CW416" s="144">
        <f t="shared" si="1348"/>
        <v>0</v>
      </c>
      <c r="CX416" s="144">
        <f t="shared" si="1348"/>
        <v>0</v>
      </c>
      <c r="CY416" s="144">
        <f t="shared" si="1348"/>
        <v>0</v>
      </c>
      <c r="CZ416" s="144">
        <f t="shared" si="1348"/>
        <v>0</v>
      </c>
      <c r="DA416" s="144">
        <f t="shared" si="1348"/>
        <v>0</v>
      </c>
      <c r="DB416" s="9">
        <f t="shared" si="1348"/>
        <v>0</v>
      </c>
      <c r="DC416" s="144">
        <f t="shared" si="1348"/>
        <v>0</v>
      </c>
      <c r="DD416" s="144">
        <f t="shared" si="1348"/>
        <v>0</v>
      </c>
      <c r="DE416" s="144">
        <f t="shared" si="1348"/>
        <v>0</v>
      </c>
      <c r="DF416" s="144">
        <f t="shared" si="1348"/>
        <v>0</v>
      </c>
      <c r="DG416" s="144">
        <f t="shared" si="1348"/>
        <v>0</v>
      </c>
      <c r="DH416" s="144">
        <f t="shared" si="1348"/>
        <v>0</v>
      </c>
      <c r="DI416" s="144">
        <f t="shared" si="1348"/>
        <v>0</v>
      </c>
      <c r="DJ416" s="144">
        <f t="shared" si="1348"/>
        <v>0</v>
      </c>
      <c r="DK416" s="144">
        <f t="shared" si="1348"/>
        <v>0</v>
      </c>
      <c r="DL416" s="144">
        <f t="shared" si="1348"/>
        <v>0</v>
      </c>
      <c r="DM416" s="144">
        <f t="shared" si="1348"/>
        <v>0</v>
      </c>
      <c r="DN416" s="144">
        <f t="shared" si="1348"/>
        <v>0</v>
      </c>
      <c r="DO416" s="9">
        <f t="shared" si="1348"/>
        <v>0</v>
      </c>
      <c r="DP416" s="144">
        <f t="shared" si="1348"/>
        <v>0</v>
      </c>
      <c r="DQ416" s="144">
        <f t="shared" si="1348"/>
        <v>0</v>
      </c>
      <c r="DR416" s="144">
        <f t="shared" si="1348"/>
        <v>0</v>
      </c>
      <c r="DS416" s="144">
        <f t="shared" si="1348"/>
        <v>0</v>
      </c>
      <c r="DT416" s="144">
        <f t="shared" si="1348"/>
        <v>0</v>
      </c>
      <c r="DU416" s="144">
        <f t="shared" si="1348"/>
        <v>0</v>
      </c>
      <c r="DV416" s="144">
        <f t="shared" si="1348"/>
        <v>0</v>
      </c>
      <c r="DW416" s="144">
        <f t="shared" si="1348"/>
        <v>0</v>
      </c>
      <c r="DX416" s="144">
        <f t="shared" si="1348"/>
        <v>0</v>
      </c>
      <c r="DY416" s="144">
        <f t="shared" si="1348"/>
        <v>0</v>
      </c>
      <c r="DZ416" s="144">
        <f t="shared" si="1348"/>
        <v>0</v>
      </c>
      <c r="EA416" s="144">
        <f t="shared" ref="EA416:EB416" si="1349">EA204/EA$211</f>
        <v>0</v>
      </c>
      <c r="EB416" s="117">
        <f t="shared" si="1349"/>
        <v>0</v>
      </c>
      <c r="EC416" s="118"/>
      <c r="ED416" s="117">
        <f t="shared" ref="ED416:FB416" si="1350">ED204/ED$211</f>
        <v>0</v>
      </c>
      <c r="EE416" s="117">
        <f t="shared" si="1350"/>
        <v>0</v>
      </c>
      <c r="EF416" s="117">
        <f t="shared" si="1350"/>
        <v>0</v>
      </c>
      <c r="EG416" s="117" t="e">
        <f t="shared" si="1350"/>
        <v>#DIV/0!</v>
      </c>
      <c r="EH416" s="117" t="e">
        <f t="shared" si="1350"/>
        <v>#DIV/0!</v>
      </c>
      <c r="EI416" s="117" t="e">
        <f t="shared" si="1350"/>
        <v>#DIV/0!</v>
      </c>
      <c r="EJ416" s="117" t="e">
        <f t="shared" si="1350"/>
        <v>#DIV/0!</v>
      </c>
      <c r="EK416" s="117" t="e">
        <f t="shared" si="1350"/>
        <v>#DIV/0!</v>
      </c>
      <c r="EL416" s="117" t="e">
        <f t="shared" si="1350"/>
        <v>#DIV/0!</v>
      </c>
      <c r="EM416" s="117" t="e">
        <f t="shared" si="1350"/>
        <v>#DIV/0!</v>
      </c>
      <c r="EN416" s="117" t="e">
        <f t="shared" si="1350"/>
        <v>#DIV/0!</v>
      </c>
      <c r="EO416" s="116">
        <f t="shared" si="1350"/>
        <v>0</v>
      </c>
      <c r="EP416" s="117">
        <f t="shared" si="1350"/>
        <v>0</v>
      </c>
      <c r="EQ416" s="117">
        <f t="shared" si="1350"/>
        <v>0</v>
      </c>
      <c r="ER416" s="117">
        <f t="shared" si="1350"/>
        <v>0</v>
      </c>
      <c r="ES416" s="117">
        <f t="shared" si="1350"/>
        <v>0</v>
      </c>
      <c r="ET416" s="117">
        <f t="shared" si="1350"/>
        <v>0</v>
      </c>
      <c r="EU416" s="117">
        <f t="shared" si="1350"/>
        <v>0</v>
      </c>
      <c r="EV416" s="117">
        <f t="shared" si="1350"/>
        <v>0</v>
      </c>
      <c r="EW416" s="117">
        <f t="shared" si="1350"/>
        <v>0</v>
      </c>
      <c r="EX416" s="117">
        <f t="shared" si="1350"/>
        <v>0</v>
      </c>
      <c r="EY416" s="117">
        <f t="shared" si="1350"/>
        <v>0</v>
      </c>
      <c r="EZ416" s="117">
        <f t="shared" si="1350"/>
        <v>0</v>
      </c>
      <c r="FA416" s="117">
        <f t="shared" si="1350"/>
        <v>0</v>
      </c>
      <c r="FB416" s="117">
        <f t="shared" si="1350"/>
        <v>0</v>
      </c>
      <c r="FC416" s="118"/>
      <c r="FD416" s="117"/>
      <c r="FE416" s="117"/>
      <c r="FF416" s="117"/>
      <c r="FG416" s="117"/>
      <c r="FH416" s="117"/>
      <c r="FI416" s="117"/>
      <c r="FJ416" s="117"/>
      <c r="FK416" s="117" t="e">
        <f t="shared" ref="FK416:GB416" si="1351">FK204/FK$211</f>
        <v>#DIV/0!</v>
      </c>
      <c r="FL416" s="117" t="e">
        <f t="shared" si="1351"/>
        <v>#DIV/0!</v>
      </c>
      <c r="FM416" s="117" t="e">
        <f t="shared" si="1351"/>
        <v>#DIV/0!</v>
      </c>
      <c r="FN416" s="117" t="e">
        <f t="shared" si="1351"/>
        <v>#DIV/0!</v>
      </c>
      <c r="FO416" s="9" t="e">
        <f t="shared" si="1351"/>
        <v>#DIV/0!</v>
      </c>
      <c r="FP416" s="118">
        <f t="shared" si="1351"/>
        <v>0</v>
      </c>
      <c r="FQ416" s="117">
        <f t="shared" si="1351"/>
        <v>0</v>
      </c>
      <c r="FR416" s="117">
        <f t="shared" si="1351"/>
        <v>0</v>
      </c>
      <c r="FS416" s="117">
        <f t="shared" si="1351"/>
        <v>0</v>
      </c>
      <c r="FT416" s="117">
        <f t="shared" si="1351"/>
        <v>0</v>
      </c>
      <c r="FU416" s="117">
        <f t="shared" si="1351"/>
        <v>0</v>
      </c>
      <c r="FV416" s="117">
        <f t="shared" si="1351"/>
        <v>0</v>
      </c>
      <c r="FW416" s="117">
        <f t="shared" si="1351"/>
        <v>0</v>
      </c>
      <c r="FX416" s="117">
        <f t="shared" si="1351"/>
        <v>0</v>
      </c>
      <c r="FY416" s="117">
        <f t="shared" si="1351"/>
        <v>0</v>
      </c>
      <c r="FZ416" s="117">
        <f t="shared" si="1351"/>
        <v>0</v>
      </c>
      <c r="GA416" s="117">
        <f t="shared" si="1351"/>
        <v>0</v>
      </c>
      <c r="GB416" s="116">
        <f t="shared" si="1351"/>
        <v>0</v>
      </c>
    </row>
    <row r="417" spans="1:184">
      <c r="A417" s="147" t="s">
        <v>376</v>
      </c>
      <c r="B417" s="160" t="e">
        <f t="shared" si="1306"/>
        <v>#DIV/0!</v>
      </c>
      <c r="C417" s="117">
        <f t="shared" ref="C417:BN417" si="1352">C205/C$211</f>
        <v>0</v>
      </c>
      <c r="D417" s="117">
        <f t="shared" si="1352"/>
        <v>0</v>
      </c>
      <c r="E417" s="117">
        <f t="shared" si="1352"/>
        <v>0</v>
      </c>
      <c r="F417" s="117">
        <f t="shared" si="1352"/>
        <v>0</v>
      </c>
      <c r="G417" s="117">
        <f t="shared" si="1352"/>
        <v>0</v>
      </c>
      <c r="H417" s="117">
        <f t="shared" si="1352"/>
        <v>0</v>
      </c>
      <c r="I417" s="117">
        <f t="shared" si="1352"/>
        <v>0</v>
      </c>
      <c r="J417" s="117">
        <f t="shared" si="1352"/>
        <v>0</v>
      </c>
      <c r="K417" s="117">
        <f t="shared" si="1352"/>
        <v>0</v>
      </c>
      <c r="L417" s="117">
        <f t="shared" si="1352"/>
        <v>0</v>
      </c>
      <c r="M417" s="117">
        <f t="shared" si="1352"/>
        <v>0</v>
      </c>
      <c r="N417" s="117">
        <f t="shared" si="1352"/>
        <v>0</v>
      </c>
      <c r="O417" s="9">
        <f t="shared" si="1352"/>
        <v>0</v>
      </c>
      <c r="P417" s="117">
        <f t="shared" si="1352"/>
        <v>0</v>
      </c>
      <c r="Q417" s="117">
        <f t="shared" si="1352"/>
        <v>0</v>
      </c>
      <c r="R417" s="117">
        <f t="shared" si="1352"/>
        <v>0</v>
      </c>
      <c r="S417" s="117">
        <f t="shared" si="1352"/>
        <v>0</v>
      </c>
      <c r="T417" s="117">
        <f t="shared" si="1352"/>
        <v>0</v>
      </c>
      <c r="U417" s="117">
        <f t="shared" si="1352"/>
        <v>0</v>
      </c>
      <c r="V417" s="117">
        <f t="shared" si="1352"/>
        <v>0</v>
      </c>
      <c r="W417" s="117">
        <f t="shared" si="1352"/>
        <v>0</v>
      </c>
      <c r="X417" s="117">
        <f t="shared" si="1352"/>
        <v>0</v>
      </c>
      <c r="Y417" s="117">
        <f t="shared" si="1352"/>
        <v>0</v>
      </c>
      <c r="Z417" s="117">
        <f t="shared" si="1352"/>
        <v>0</v>
      </c>
      <c r="AA417" s="117">
        <f t="shared" si="1352"/>
        <v>0</v>
      </c>
      <c r="AB417" s="9">
        <f t="shared" si="1352"/>
        <v>0</v>
      </c>
      <c r="AC417" s="117">
        <f t="shared" si="1352"/>
        <v>0</v>
      </c>
      <c r="AD417" s="117">
        <f t="shared" si="1352"/>
        <v>0</v>
      </c>
      <c r="AE417" s="117">
        <f t="shared" si="1352"/>
        <v>0</v>
      </c>
      <c r="AF417" s="117">
        <f t="shared" si="1352"/>
        <v>0</v>
      </c>
      <c r="AG417" s="117">
        <f t="shared" si="1352"/>
        <v>0</v>
      </c>
      <c r="AH417" s="117">
        <f t="shared" si="1352"/>
        <v>0</v>
      </c>
      <c r="AI417" s="117">
        <f t="shared" si="1352"/>
        <v>0</v>
      </c>
      <c r="AJ417" s="117">
        <f t="shared" si="1352"/>
        <v>0</v>
      </c>
      <c r="AK417" s="117">
        <f t="shared" si="1352"/>
        <v>0</v>
      </c>
      <c r="AL417" s="117">
        <f t="shared" si="1352"/>
        <v>0</v>
      </c>
      <c r="AM417" s="117">
        <f t="shared" si="1352"/>
        <v>0</v>
      </c>
      <c r="AN417" s="117">
        <f t="shared" si="1352"/>
        <v>0</v>
      </c>
      <c r="AO417" s="9">
        <f t="shared" si="1352"/>
        <v>0</v>
      </c>
      <c r="AP417" s="144">
        <f t="shared" si="1352"/>
        <v>0</v>
      </c>
      <c r="AQ417" s="144">
        <f t="shared" si="1352"/>
        <v>0</v>
      </c>
      <c r="AR417" s="144">
        <f t="shared" si="1352"/>
        <v>0</v>
      </c>
      <c r="AS417" s="144">
        <f t="shared" si="1352"/>
        <v>0</v>
      </c>
      <c r="AT417" s="144">
        <f t="shared" si="1352"/>
        <v>0</v>
      </c>
      <c r="AU417" s="144">
        <f t="shared" si="1352"/>
        <v>0</v>
      </c>
      <c r="AV417" s="144">
        <f t="shared" si="1352"/>
        <v>0</v>
      </c>
      <c r="AW417" s="144">
        <f t="shared" si="1352"/>
        <v>0</v>
      </c>
      <c r="AX417" s="144">
        <f t="shared" si="1352"/>
        <v>0</v>
      </c>
      <c r="AY417" s="144">
        <f t="shared" si="1352"/>
        <v>0</v>
      </c>
      <c r="AZ417" s="144">
        <f t="shared" si="1352"/>
        <v>0</v>
      </c>
      <c r="BA417" s="144">
        <f t="shared" si="1352"/>
        <v>0</v>
      </c>
      <c r="BB417" s="9">
        <f t="shared" si="1352"/>
        <v>0</v>
      </c>
      <c r="BC417" s="144">
        <f t="shared" si="1352"/>
        <v>0</v>
      </c>
      <c r="BD417" s="144">
        <f t="shared" si="1352"/>
        <v>0</v>
      </c>
      <c r="BE417" s="144">
        <f t="shared" si="1352"/>
        <v>0</v>
      </c>
      <c r="BF417" s="144">
        <f t="shared" si="1352"/>
        <v>0</v>
      </c>
      <c r="BG417" s="144">
        <f t="shared" si="1352"/>
        <v>0</v>
      </c>
      <c r="BH417" s="144">
        <f t="shared" si="1352"/>
        <v>0</v>
      </c>
      <c r="BI417" s="144">
        <f t="shared" si="1352"/>
        <v>0</v>
      </c>
      <c r="BJ417" s="144">
        <f t="shared" si="1352"/>
        <v>0</v>
      </c>
      <c r="BK417" s="144">
        <f t="shared" si="1352"/>
        <v>0</v>
      </c>
      <c r="BL417" s="144">
        <f t="shared" si="1352"/>
        <v>0</v>
      </c>
      <c r="BM417" s="144">
        <f t="shared" si="1352"/>
        <v>0</v>
      </c>
      <c r="BN417" s="144">
        <f t="shared" si="1352"/>
        <v>0</v>
      </c>
      <c r="BO417" s="9">
        <f t="shared" ref="BO417:DZ417" si="1353">BO205/BO$211</f>
        <v>0</v>
      </c>
      <c r="BP417" s="144">
        <f t="shared" si="1353"/>
        <v>0</v>
      </c>
      <c r="BQ417" s="144">
        <f t="shared" si="1353"/>
        <v>0</v>
      </c>
      <c r="BR417" s="144">
        <f t="shared" si="1353"/>
        <v>0</v>
      </c>
      <c r="BS417" s="144">
        <f t="shared" si="1353"/>
        <v>0</v>
      </c>
      <c r="BT417" s="144">
        <f t="shared" si="1353"/>
        <v>0</v>
      </c>
      <c r="BU417" s="144">
        <f t="shared" si="1353"/>
        <v>0</v>
      </c>
      <c r="BV417" s="144">
        <f t="shared" si="1353"/>
        <v>0</v>
      </c>
      <c r="BW417" s="144">
        <f t="shared" si="1353"/>
        <v>0</v>
      </c>
      <c r="BX417" s="144">
        <f t="shared" si="1353"/>
        <v>0</v>
      </c>
      <c r="BY417" s="144">
        <f t="shared" si="1353"/>
        <v>0</v>
      </c>
      <c r="BZ417" s="144">
        <f t="shared" si="1353"/>
        <v>0</v>
      </c>
      <c r="CA417" s="144">
        <f t="shared" si="1353"/>
        <v>0</v>
      </c>
      <c r="CB417" s="9">
        <f t="shared" si="1353"/>
        <v>0</v>
      </c>
      <c r="CC417" s="144">
        <f t="shared" si="1353"/>
        <v>0</v>
      </c>
      <c r="CD417" s="144">
        <f t="shared" si="1353"/>
        <v>0</v>
      </c>
      <c r="CE417" s="144">
        <f t="shared" si="1353"/>
        <v>0</v>
      </c>
      <c r="CF417" s="144">
        <f t="shared" si="1353"/>
        <v>0</v>
      </c>
      <c r="CG417" s="144">
        <f t="shared" si="1353"/>
        <v>0</v>
      </c>
      <c r="CH417" s="144">
        <f t="shared" si="1353"/>
        <v>0</v>
      </c>
      <c r="CI417" s="144">
        <f t="shared" si="1353"/>
        <v>0</v>
      </c>
      <c r="CJ417" s="144">
        <f t="shared" si="1353"/>
        <v>0</v>
      </c>
      <c r="CK417" s="144">
        <f t="shared" si="1353"/>
        <v>0</v>
      </c>
      <c r="CL417" s="144">
        <f t="shared" si="1353"/>
        <v>0</v>
      </c>
      <c r="CM417" s="144">
        <f t="shared" si="1353"/>
        <v>0</v>
      </c>
      <c r="CN417" s="144">
        <f t="shared" si="1353"/>
        <v>0</v>
      </c>
      <c r="CO417" s="9">
        <f t="shared" si="1353"/>
        <v>0</v>
      </c>
      <c r="CP417" s="144">
        <f t="shared" si="1353"/>
        <v>0</v>
      </c>
      <c r="CQ417" s="144">
        <f t="shared" si="1353"/>
        <v>0</v>
      </c>
      <c r="CR417" s="144">
        <f t="shared" si="1353"/>
        <v>0</v>
      </c>
      <c r="CS417" s="144">
        <f t="shared" si="1353"/>
        <v>0</v>
      </c>
      <c r="CT417" s="144">
        <f t="shared" si="1353"/>
        <v>0</v>
      </c>
      <c r="CU417" s="144">
        <f t="shared" si="1353"/>
        <v>0</v>
      </c>
      <c r="CV417" s="144">
        <f t="shared" si="1353"/>
        <v>0</v>
      </c>
      <c r="CW417" s="144">
        <f t="shared" si="1353"/>
        <v>0</v>
      </c>
      <c r="CX417" s="144">
        <f t="shared" si="1353"/>
        <v>0</v>
      </c>
      <c r="CY417" s="144">
        <f t="shared" si="1353"/>
        <v>0</v>
      </c>
      <c r="CZ417" s="144">
        <f t="shared" si="1353"/>
        <v>0</v>
      </c>
      <c r="DA417" s="144">
        <f t="shared" si="1353"/>
        <v>0</v>
      </c>
      <c r="DB417" s="9">
        <f t="shared" si="1353"/>
        <v>0</v>
      </c>
      <c r="DC417" s="144">
        <f t="shared" si="1353"/>
        <v>0</v>
      </c>
      <c r="DD417" s="144">
        <f t="shared" si="1353"/>
        <v>0</v>
      </c>
      <c r="DE417" s="144">
        <f t="shared" si="1353"/>
        <v>0</v>
      </c>
      <c r="DF417" s="144">
        <f t="shared" si="1353"/>
        <v>0</v>
      </c>
      <c r="DG417" s="144">
        <f t="shared" si="1353"/>
        <v>0</v>
      </c>
      <c r="DH417" s="144">
        <f t="shared" si="1353"/>
        <v>0</v>
      </c>
      <c r="DI417" s="144">
        <f t="shared" si="1353"/>
        <v>0</v>
      </c>
      <c r="DJ417" s="144">
        <f t="shared" si="1353"/>
        <v>0</v>
      </c>
      <c r="DK417" s="144">
        <f t="shared" si="1353"/>
        <v>0</v>
      </c>
      <c r="DL417" s="144">
        <f t="shared" si="1353"/>
        <v>0</v>
      </c>
      <c r="DM417" s="144">
        <f t="shared" si="1353"/>
        <v>0</v>
      </c>
      <c r="DN417" s="144">
        <f t="shared" si="1353"/>
        <v>0</v>
      </c>
      <c r="DO417" s="9">
        <f t="shared" si="1353"/>
        <v>0</v>
      </c>
      <c r="DP417" s="144">
        <f t="shared" si="1353"/>
        <v>0</v>
      </c>
      <c r="DQ417" s="144">
        <f t="shared" si="1353"/>
        <v>0</v>
      </c>
      <c r="DR417" s="144">
        <f t="shared" si="1353"/>
        <v>0</v>
      </c>
      <c r="DS417" s="144">
        <f t="shared" si="1353"/>
        <v>0</v>
      </c>
      <c r="DT417" s="144">
        <f t="shared" si="1353"/>
        <v>0</v>
      </c>
      <c r="DU417" s="144">
        <f t="shared" si="1353"/>
        <v>0</v>
      </c>
      <c r="DV417" s="144">
        <f t="shared" si="1353"/>
        <v>0</v>
      </c>
      <c r="DW417" s="144">
        <f t="shared" si="1353"/>
        <v>0</v>
      </c>
      <c r="DX417" s="144">
        <f t="shared" si="1353"/>
        <v>0</v>
      </c>
      <c r="DY417" s="144">
        <f t="shared" si="1353"/>
        <v>0</v>
      </c>
      <c r="DZ417" s="144">
        <f t="shared" si="1353"/>
        <v>0</v>
      </c>
      <c r="EA417" s="144">
        <f t="shared" ref="EA417:EB417" si="1354">EA205/EA$211</f>
        <v>0</v>
      </c>
      <c r="EB417" s="117">
        <f t="shared" si="1354"/>
        <v>0</v>
      </c>
      <c r="EC417" s="118"/>
      <c r="ED417" s="117">
        <f t="shared" ref="ED417:FB417" si="1355">ED205/ED$211</f>
        <v>0</v>
      </c>
      <c r="EE417" s="117">
        <f t="shared" si="1355"/>
        <v>0</v>
      </c>
      <c r="EF417" s="117">
        <f t="shared" si="1355"/>
        <v>0</v>
      </c>
      <c r="EG417" s="117" t="e">
        <f t="shared" si="1355"/>
        <v>#DIV/0!</v>
      </c>
      <c r="EH417" s="117" t="e">
        <f t="shared" si="1355"/>
        <v>#DIV/0!</v>
      </c>
      <c r="EI417" s="117" t="e">
        <f t="shared" si="1355"/>
        <v>#DIV/0!</v>
      </c>
      <c r="EJ417" s="117" t="e">
        <f t="shared" si="1355"/>
        <v>#DIV/0!</v>
      </c>
      <c r="EK417" s="117" t="e">
        <f t="shared" si="1355"/>
        <v>#DIV/0!</v>
      </c>
      <c r="EL417" s="117" t="e">
        <f t="shared" si="1355"/>
        <v>#DIV/0!</v>
      </c>
      <c r="EM417" s="117" t="e">
        <f t="shared" si="1355"/>
        <v>#DIV/0!</v>
      </c>
      <c r="EN417" s="117" t="e">
        <f t="shared" si="1355"/>
        <v>#DIV/0!</v>
      </c>
      <c r="EO417" s="116">
        <f t="shared" si="1355"/>
        <v>0</v>
      </c>
      <c r="EP417" s="117">
        <f t="shared" si="1355"/>
        <v>0</v>
      </c>
      <c r="EQ417" s="117">
        <f t="shared" si="1355"/>
        <v>0</v>
      </c>
      <c r="ER417" s="117">
        <f t="shared" si="1355"/>
        <v>0</v>
      </c>
      <c r="ES417" s="117">
        <f t="shared" si="1355"/>
        <v>0</v>
      </c>
      <c r="ET417" s="117">
        <f t="shared" si="1355"/>
        <v>0</v>
      </c>
      <c r="EU417" s="117">
        <f t="shared" si="1355"/>
        <v>0</v>
      </c>
      <c r="EV417" s="117">
        <f t="shared" si="1355"/>
        <v>0</v>
      </c>
      <c r="EW417" s="117">
        <f t="shared" si="1355"/>
        <v>0</v>
      </c>
      <c r="EX417" s="117">
        <f t="shared" si="1355"/>
        <v>0</v>
      </c>
      <c r="EY417" s="117">
        <f t="shared" si="1355"/>
        <v>0</v>
      </c>
      <c r="EZ417" s="117">
        <f t="shared" si="1355"/>
        <v>0</v>
      </c>
      <c r="FA417" s="117">
        <f t="shared" si="1355"/>
        <v>0</v>
      </c>
      <c r="FB417" s="117">
        <f t="shared" si="1355"/>
        <v>0</v>
      </c>
      <c r="FC417" s="118"/>
      <c r="FD417" s="117"/>
      <c r="FE417" s="117"/>
      <c r="FF417" s="117"/>
      <c r="FG417" s="117"/>
      <c r="FH417" s="117"/>
      <c r="FI417" s="117"/>
      <c r="FJ417" s="117"/>
      <c r="FK417" s="117" t="e">
        <f t="shared" ref="FK417:GB417" si="1356">FK205/FK$211</f>
        <v>#DIV/0!</v>
      </c>
      <c r="FL417" s="117" t="e">
        <f t="shared" si="1356"/>
        <v>#DIV/0!</v>
      </c>
      <c r="FM417" s="117" t="e">
        <f t="shared" si="1356"/>
        <v>#DIV/0!</v>
      </c>
      <c r="FN417" s="117" t="e">
        <f t="shared" si="1356"/>
        <v>#DIV/0!</v>
      </c>
      <c r="FO417" s="9" t="e">
        <f t="shared" si="1356"/>
        <v>#DIV/0!</v>
      </c>
      <c r="FP417" s="118">
        <f t="shared" si="1356"/>
        <v>0</v>
      </c>
      <c r="FQ417" s="117">
        <f t="shared" si="1356"/>
        <v>0</v>
      </c>
      <c r="FR417" s="117">
        <f t="shared" si="1356"/>
        <v>0</v>
      </c>
      <c r="FS417" s="117">
        <f t="shared" si="1356"/>
        <v>0</v>
      </c>
      <c r="FT417" s="117">
        <f t="shared" si="1356"/>
        <v>0</v>
      </c>
      <c r="FU417" s="117">
        <f t="shared" si="1356"/>
        <v>0</v>
      </c>
      <c r="FV417" s="117">
        <f t="shared" si="1356"/>
        <v>0</v>
      </c>
      <c r="FW417" s="117">
        <f t="shared" si="1356"/>
        <v>0</v>
      </c>
      <c r="FX417" s="117">
        <f t="shared" si="1356"/>
        <v>0</v>
      </c>
      <c r="FY417" s="117">
        <f t="shared" si="1356"/>
        <v>0</v>
      </c>
      <c r="FZ417" s="117">
        <f t="shared" si="1356"/>
        <v>0</v>
      </c>
      <c r="GA417" s="117">
        <f t="shared" si="1356"/>
        <v>0</v>
      </c>
      <c r="GB417" s="116">
        <f t="shared" si="1356"/>
        <v>0</v>
      </c>
    </row>
    <row r="418" spans="1:184">
      <c r="A418" s="147" t="s">
        <v>377</v>
      </c>
      <c r="B418" s="160" t="e">
        <f t="shared" si="1306"/>
        <v>#DIV/0!</v>
      </c>
      <c r="C418" s="117">
        <f t="shared" ref="C418:BN418" si="1357">C206/C$211</f>
        <v>0</v>
      </c>
      <c r="D418" s="117">
        <f t="shared" si="1357"/>
        <v>0</v>
      </c>
      <c r="E418" s="117">
        <f t="shared" si="1357"/>
        <v>0</v>
      </c>
      <c r="F418" s="117">
        <f t="shared" si="1357"/>
        <v>0</v>
      </c>
      <c r="G418" s="117">
        <f t="shared" si="1357"/>
        <v>0</v>
      </c>
      <c r="H418" s="117">
        <f t="shared" si="1357"/>
        <v>0</v>
      </c>
      <c r="I418" s="117">
        <f t="shared" si="1357"/>
        <v>0</v>
      </c>
      <c r="J418" s="117">
        <f t="shared" si="1357"/>
        <v>0</v>
      </c>
      <c r="K418" s="117">
        <f t="shared" si="1357"/>
        <v>0</v>
      </c>
      <c r="L418" s="117">
        <f t="shared" si="1357"/>
        <v>0.0415490546429856</v>
      </c>
      <c r="M418" s="117">
        <f t="shared" si="1357"/>
        <v>0.0548926989911163</v>
      </c>
      <c r="N418" s="117">
        <f t="shared" si="1357"/>
        <v>0.0206747166112445</v>
      </c>
      <c r="O418" s="9">
        <f t="shared" si="1357"/>
        <v>0.00995776979859662</v>
      </c>
      <c r="P418" s="117">
        <f t="shared" si="1357"/>
        <v>0</v>
      </c>
      <c r="Q418" s="117">
        <f t="shared" si="1357"/>
        <v>0</v>
      </c>
      <c r="R418" s="117">
        <f t="shared" si="1357"/>
        <v>0</v>
      </c>
      <c r="S418" s="117">
        <f t="shared" si="1357"/>
        <v>0</v>
      </c>
      <c r="T418" s="117">
        <f t="shared" si="1357"/>
        <v>0</v>
      </c>
      <c r="U418" s="117">
        <f t="shared" si="1357"/>
        <v>0</v>
      </c>
      <c r="V418" s="117">
        <f t="shared" si="1357"/>
        <v>0</v>
      </c>
      <c r="W418" s="117">
        <f t="shared" si="1357"/>
        <v>0</v>
      </c>
      <c r="X418" s="117">
        <f t="shared" si="1357"/>
        <v>0</v>
      </c>
      <c r="Y418" s="117">
        <f t="shared" si="1357"/>
        <v>0.0383947934401513</v>
      </c>
      <c r="Z418" s="117">
        <f t="shared" si="1357"/>
        <v>0.0365210764580742</v>
      </c>
      <c r="AA418" s="117">
        <f t="shared" si="1357"/>
        <v>0.0315444851923176</v>
      </c>
      <c r="AB418" s="9">
        <f t="shared" si="1357"/>
        <v>0.00938136983577127</v>
      </c>
      <c r="AC418" s="117">
        <f t="shared" si="1357"/>
        <v>0</v>
      </c>
      <c r="AD418" s="117">
        <f t="shared" si="1357"/>
        <v>0</v>
      </c>
      <c r="AE418" s="117">
        <f t="shared" si="1357"/>
        <v>0</v>
      </c>
      <c r="AF418" s="117">
        <f t="shared" si="1357"/>
        <v>0</v>
      </c>
      <c r="AG418" s="117">
        <f t="shared" si="1357"/>
        <v>0</v>
      </c>
      <c r="AH418" s="117">
        <f t="shared" si="1357"/>
        <v>0</v>
      </c>
      <c r="AI418" s="117">
        <f t="shared" si="1357"/>
        <v>0</v>
      </c>
      <c r="AJ418" s="117">
        <f t="shared" si="1357"/>
        <v>0</v>
      </c>
      <c r="AK418" s="117">
        <f t="shared" si="1357"/>
        <v>0</v>
      </c>
      <c r="AL418" s="117">
        <f t="shared" si="1357"/>
        <v>0.0160481950126829</v>
      </c>
      <c r="AM418" s="117">
        <f t="shared" si="1357"/>
        <v>0.0369749547893623</v>
      </c>
      <c r="AN418" s="117">
        <f t="shared" si="1357"/>
        <v>0.0279994860068279</v>
      </c>
      <c r="AO418" s="9">
        <f t="shared" si="1357"/>
        <v>0.00742051583581143</v>
      </c>
      <c r="AP418" s="144">
        <f t="shared" si="1357"/>
        <v>0</v>
      </c>
      <c r="AQ418" s="144">
        <f t="shared" si="1357"/>
        <v>0</v>
      </c>
      <c r="AR418" s="144">
        <f t="shared" si="1357"/>
        <v>0</v>
      </c>
      <c r="AS418" s="144">
        <f t="shared" si="1357"/>
        <v>0</v>
      </c>
      <c r="AT418" s="144">
        <f t="shared" si="1357"/>
        <v>0</v>
      </c>
      <c r="AU418" s="144">
        <f t="shared" si="1357"/>
        <v>0</v>
      </c>
      <c r="AV418" s="144">
        <f t="shared" si="1357"/>
        <v>0</v>
      </c>
      <c r="AW418" s="144">
        <f t="shared" si="1357"/>
        <v>0</v>
      </c>
      <c r="AX418" s="144">
        <f t="shared" si="1357"/>
        <v>0</v>
      </c>
      <c r="AY418" s="144">
        <f t="shared" si="1357"/>
        <v>0.0412828265390558</v>
      </c>
      <c r="AZ418" s="144">
        <f t="shared" si="1357"/>
        <v>0.0525031717036235</v>
      </c>
      <c r="BA418" s="144">
        <f t="shared" si="1357"/>
        <v>0.00560070509227171</v>
      </c>
      <c r="BB418" s="9">
        <f t="shared" si="1357"/>
        <v>0.00895707077465718</v>
      </c>
      <c r="BC418" s="144">
        <f t="shared" si="1357"/>
        <v>0</v>
      </c>
      <c r="BD418" s="144">
        <f t="shared" si="1357"/>
        <v>0</v>
      </c>
      <c r="BE418" s="144">
        <f t="shared" si="1357"/>
        <v>0</v>
      </c>
      <c r="BF418" s="144">
        <f t="shared" si="1357"/>
        <v>0</v>
      </c>
      <c r="BG418" s="144">
        <f t="shared" si="1357"/>
        <v>0</v>
      </c>
      <c r="BH418" s="144">
        <f t="shared" si="1357"/>
        <v>0</v>
      </c>
      <c r="BI418" s="144">
        <f t="shared" si="1357"/>
        <v>0</v>
      </c>
      <c r="BJ418" s="144">
        <f t="shared" si="1357"/>
        <v>0</v>
      </c>
      <c r="BK418" s="144">
        <f t="shared" si="1357"/>
        <v>0</v>
      </c>
      <c r="BL418" s="144">
        <f t="shared" si="1357"/>
        <v>0.0684005042312263</v>
      </c>
      <c r="BM418" s="144">
        <f t="shared" si="1357"/>
        <v>0.12051874138751</v>
      </c>
      <c r="BN418" s="144">
        <f t="shared" si="1357"/>
        <v>0.0507908997226639</v>
      </c>
      <c r="BO418" s="9">
        <f t="shared" ref="BO418:DZ418" si="1358">BO206/BO$211</f>
        <v>0.0209642932661557</v>
      </c>
      <c r="BP418" s="144">
        <f t="shared" si="1358"/>
        <v>0</v>
      </c>
      <c r="BQ418" s="144">
        <f t="shared" si="1358"/>
        <v>0</v>
      </c>
      <c r="BR418" s="144">
        <f t="shared" si="1358"/>
        <v>0</v>
      </c>
      <c r="BS418" s="144">
        <f t="shared" si="1358"/>
        <v>0</v>
      </c>
      <c r="BT418" s="144">
        <f t="shared" si="1358"/>
        <v>0</v>
      </c>
      <c r="BU418" s="144">
        <f t="shared" si="1358"/>
        <v>0</v>
      </c>
      <c r="BV418" s="144">
        <f t="shared" si="1358"/>
        <v>0</v>
      </c>
      <c r="BW418" s="144">
        <f t="shared" si="1358"/>
        <v>0</v>
      </c>
      <c r="BX418" s="144">
        <f t="shared" si="1358"/>
        <v>0</v>
      </c>
      <c r="BY418" s="144">
        <f t="shared" si="1358"/>
        <v>0.0422169010469208</v>
      </c>
      <c r="BZ418" s="144">
        <f t="shared" si="1358"/>
        <v>0.070337199705015</v>
      </c>
      <c r="CA418" s="144">
        <f t="shared" si="1358"/>
        <v>0.0071319016154188</v>
      </c>
      <c r="CB418" s="9">
        <f t="shared" si="1358"/>
        <v>0.00962882211337082</v>
      </c>
      <c r="CC418" s="144">
        <f t="shared" si="1358"/>
        <v>0</v>
      </c>
      <c r="CD418" s="144">
        <f t="shared" si="1358"/>
        <v>0</v>
      </c>
      <c r="CE418" s="144">
        <f t="shared" si="1358"/>
        <v>0</v>
      </c>
      <c r="CF418" s="144">
        <f t="shared" si="1358"/>
        <v>0</v>
      </c>
      <c r="CG418" s="144">
        <f t="shared" si="1358"/>
        <v>0</v>
      </c>
      <c r="CH418" s="144">
        <f t="shared" si="1358"/>
        <v>0</v>
      </c>
      <c r="CI418" s="144">
        <f t="shared" si="1358"/>
        <v>0</v>
      </c>
      <c r="CJ418" s="144">
        <f t="shared" si="1358"/>
        <v>0</v>
      </c>
      <c r="CK418" s="144">
        <f t="shared" si="1358"/>
        <v>0</v>
      </c>
      <c r="CL418" s="144">
        <f t="shared" si="1358"/>
        <v>0.0331455563624552</v>
      </c>
      <c r="CM418" s="144">
        <f t="shared" si="1358"/>
        <v>0.0554644542919232</v>
      </c>
      <c r="CN418" s="144">
        <f t="shared" si="1358"/>
        <v>0.0351241723860388</v>
      </c>
      <c r="CO418" s="9">
        <f t="shared" si="1358"/>
        <v>0.010070896672489</v>
      </c>
      <c r="CP418" s="144">
        <f t="shared" si="1358"/>
        <v>0</v>
      </c>
      <c r="CQ418" s="144">
        <f t="shared" si="1358"/>
        <v>0</v>
      </c>
      <c r="CR418" s="144">
        <f t="shared" si="1358"/>
        <v>0</v>
      </c>
      <c r="CS418" s="144">
        <f t="shared" si="1358"/>
        <v>0</v>
      </c>
      <c r="CT418" s="144">
        <f t="shared" si="1358"/>
        <v>0</v>
      </c>
      <c r="CU418" s="144">
        <f t="shared" si="1358"/>
        <v>0</v>
      </c>
      <c r="CV418" s="144">
        <f t="shared" si="1358"/>
        <v>0</v>
      </c>
      <c r="CW418" s="144">
        <f t="shared" si="1358"/>
        <v>0</v>
      </c>
      <c r="CX418" s="144">
        <f t="shared" si="1358"/>
        <v>0</v>
      </c>
      <c r="CY418" s="144">
        <f t="shared" si="1358"/>
        <v>0.0834373603132435</v>
      </c>
      <c r="CZ418" s="144">
        <f t="shared" si="1358"/>
        <v>0.142217937251612</v>
      </c>
      <c r="DA418" s="144">
        <f t="shared" si="1358"/>
        <v>0.0650645765495276</v>
      </c>
      <c r="DB418" s="9">
        <f t="shared" si="1358"/>
        <v>0.02294843219872</v>
      </c>
      <c r="DC418" s="144">
        <f t="shared" si="1358"/>
        <v>0</v>
      </c>
      <c r="DD418" s="144">
        <f t="shared" si="1358"/>
        <v>0</v>
      </c>
      <c r="DE418" s="144">
        <f t="shared" si="1358"/>
        <v>0</v>
      </c>
      <c r="DF418" s="144">
        <f t="shared" si="1358"/>
        <v>0</v>
      </c>
      <c r="DG418" s="144">
        <f t="shared" si="1358"/>
        <v>0</v>
      </c>
      <c r="DH418" s="144">
        <f t="shared" si="1358"/>
        <v>0</v>
      </c>
      <c r="DI418" s="144">
        <f t="shared" si="1358"/>
        <v>0</v>
      </c>
      <c r="DJ418" s="144">
        <f t="shared" si="1358"/>
        <v>0</v>
      </c>
      <c r="DK418" s="144">
        <f t="shared" si="1358"/>
        <v>0</v>
      </c>
      <c r="DL418" s="144">
        <f t="shared" si="1358"/>
        <v>0.0229383127262333</v>
      </c>
      <c r="DM418" s="144">
        <f t="shared" si="1358"/>
        <v>0.0310509769062399</v>
      </c>
      <c r="DN418" s="144">
        <f t="shared" si="1358"/>
        <v>0.00563371546118939</v>
      </c>
      <c r="DO418" s="9">
        <f t="shared" si="1358"/>
        <v>0.0044120416450658</v>
      </c>
      <c r="DP418" s="144">
        <f t="shared" si="1358"/>
        <v>0</v>
      </c>
      <c r="DQ418" s="144">
        <f t="shared" si="1358"/>
        <v>0</v>
      </c>
      <c r="DR418" s="144">
        <f t="shared" si="1358"/>
        <v>0</v>
      </c>
      <c r="DS418" s="144">
        <f t="shared" si="1358"/>
        <v>0</v>
      </c>
      <c r="DT418" s="144">
        <f t="shared" si="1358"/>
        <v>0</v>
      </c>
      <c r="DU418" s="144">
        <f t="shared" si="1358"/>
        <v>0</v>
      </c>
      <c r="DV418" s="144">
        <f t="shared" si="1358"/>
        <v>0</v>
      </c>
      <c r="DW418" s="144">
        <f t="shared" si="1358"/>
        <v>0</v>
      </c>
      <c r="DX418" s="144">
        <f t="shared" si="1358"/>
        <v>0</v>
      </c>
      <c r="DY418" s="144">
        <f t="shared" si="1358"/>
        <v>0.0530673967905869</v>
      </c>
      <c r="DZ418" s="144">
        <f t="shared" si="1358"/>
        <v>0.0666439631213136</v>
      </c>
      <c r="EA418" s="144">
        <f t="shared" ref="EA418:EB418" si="1359">EA206/EA$211</f>
        <v>0.0302595142958348</v>
      </c>
      <c r="EB418" s="117">
        <f t="shared" si="1359"/>
        <v>0.0114437107453886</v>
      </c>
      <c r="EC418" s="118"/>
      <c r="ED418" s="117">
        <f t="shared" ref="ED418:FB418" si="1360">ED206/ED$211</f>
        <v>0</v>
      </c>
      <c r="EE418" s="117">
        <f t="shared" si="1360"/>
        <v>0</v>
      </c>
      <c r="EF418" s="117">
        <f t="shared" si="1360"/>
        <v>0</v>
      </c>
      <c r="EG418" s="117" t="e">
        <f t="shared" si="1360"/>
        <v>#DIV/0!</v>
      </c>
      <c r="EH418" s="117" t="e">
        <f t="shared" si="1360"/>
        <v>#DIV/0!</v>
      </c>
      <c r="EI418" s="117" t="e">
        <f t="shared" si="1360"/>
        <v>#DIV/0!</v>
      </c>
      <c r="EJ418" s="117" t="e">
        <f t="shared" si="1360"/>
        <v>#DIV/0!</v>
      </c>
      <c r="EK418" s="117" t="e">
        <f t="shared" si="1360"/>
        <v>#DIV/0!</v>
      </c>
      <c r="EL418" s="117" t="e">
        <f t="shared" si="1360"/>
        <v>#DIV/0!</v>
      </c>
      <c r="EM418" s="117" t="e">
        <f t="shared" si="1360"/>
        <v>#DIV/0!</v>
      </c>
      <c r="EN418" s="117" t="e">
        <f t="shared" si="1360"/>
        <v>#DIV/0!</v>
      </c>
      <c r="EO418" s="116">
        <f t="shared" si="1360"/>
        <v>0</v>
      </c>
      <c r="EP418" s="117">
        <f t="shared" si="1360"/>
        <v>0</v>
      </c>
      <c r="EQ418" s="117">
        <f t="shared" si="1360"/>
        <v>0</v>
      </c>
      <c r="ER418" s="117">
        <f t="shared" si="1360"/>
        <v>0</v>
      </c>
      <c r="ES418" s="117">
        <f t="shared" si="1360"/>
        <v>0</v>
      </c>
      <c r="ET418" s="117">
        <f t="shared" si="1360"/>
        <v>0</v>
      </c>
      <c r="EU418" s="117">
        <f t="shared" si="1360"/>
        <v>0</v>
      </c>
      <c r="EV418" s="117">
        <f t="shared" si="1360"/>
        <v>0</v>
      </c>
      <c r="EW418" s="117">
        <f t="shared" si="1360"/>
        <v>0</v>
      </c>
      <c r="EX418" s="117">
        <f t="shared" si="1360"/>
        <v>0</v>
      </c>
      <c r="EY418" s="117">
        <f t="shared" si="1360"/>
        <v>0.038128208925952</v>
      </c>
      <c r="EZ418" s="117">
        <f t="shared" si="1360"/>
        <v>0.0616434776500573</v>
      </c>
      <c r="FA418" s="117">
        <f t="shared" si="1360"/>
        <v>0.0464005843259643</v>
      </c>
      <c r="FB418" s="117">
        <f t="shared" si="1360"/>
        <v>0.0131900167945425</v>
      </c>
      <c r="FC418" s="118"/>
      <c r="FD418" s="117"/>
      <c r="FE418" s="117"/>
      <c r="FF418" s="117"/>
      <c r="FG418" s="117"/>
      <c r="FH418" s="117"/>
      <c r="FI418" s="117"/>
      <c r="FJ418" s="117"/>
      <c r="FK418" s="117" t="e">
        <f t="shared" ref="FK418:GB418" si="1361">FK206/FK$211</f>
        <v>#DIV/0!</v>
      </c>
      <c r="FL418" s="117" t="e">
        <f t="shared" si="1361"/>
        <v>#DIV/0!</v>
      </c>
      <c r="FM418" s="117" t="e">
        <f t="shared" si="1361"/>
        <v>#DIV/0!</v>
      </c>
      <c r="FN418" s="117" t="e">
        <f t="shared" si="1361"/>
        <v>#DIV/0!</v>
      </c>
      <c r="FO418" s="9" t="e">
        <f t="shared" si="1361"/>
        <v>#DIV/0!</v>
      </c>
      <c r="FP418" s="118">
        <f t="shared" si="1361"/>
        <v>0</v>
      </c>
      <c r="FQ418" s="117">
        <f t="shared" si="1361"/>
        <v>0</v>
      </c>
      <c r="FR418" s="117">
        <f t="shared" si="1361"/>
        <v>0</v>
      </c>
      <c r="FS418" s="117">
        <f t="shared" si="1361"/>
        <v>0</v>
      </c>
      <c r="FT418" s="117">
        <f t="shared" si="1361"/>
        <v>0</v>
      </c>
      <c r="FU418" s="117">
        <f t="shared" si="1361"/>
        <v>0</v>
      </c>
      <c r="FV418" s="117">
        <f t="shared" si="1361"/>
        <v>0</v>
      </c>
      <c r="FW418" s="117">
        <f t="shared" si="1361"/>
        <v>0</v>
      </c>
      <c r="FX418" s="117">
        <f t="shared" si="1361"/>
        <v>0</v>
      </c>
      <c r="FY418" s="117">
        <f t="shared" si="1361"/>
        <v>0.0307176543946714</v>
      </c>
      <c r="FZ418" s="117">
        <f t="shared" si="1361"/>
        <v>0.0113935088898209</v>
      </c>
      <c r="GA418" s="117">
        <f t="shared" si="1361"/>
        <v>0</v>
      </c>
      <c r="GB418" s="116">
        <f t="shared" si="1361"/>
        <v>0.0035351871534728</v>
      </c>
    </row>
    <row r="419" spans="1:184">
      <c r="A419" s="147" t="s">
        <v>378</v>
      </c>
      <c r="B419" s="160" t="e">
        <f t="shared" si="1306"/>
        <v>#DIV/0!</v>
      </c>
      <c r="C419" s="117">
        <f t="shared" ref="C419:BN419" si="1362">C207/C$211</f>
        <v>0</v>
      </c>
      <c r="D419" s="117">
        <f t="shared" si="1362"/>
        <v>0</v>
      </c>
      <c r="E419" s="117">
        <f t="shared" si="1362"/>
        <v>0</v>
      </c>
      <c r="F419" s="117">
        <f t="shared" si="1362"/>
        <v>0</v>
      </c>
      <c r="G419" s="117">
        <f t="shared" si="1362"/>
        <v>0</v>
      </c>
      <c r="H419" s="117">
        <f t="shared" si="1362"/>
        <v>0</v>
      </c>
      <c r="I419" s="117">
        <f t="shared" si="1362"/>
        <v>0</v>
      </c>
      <c r="J419" s="117">
        <f t="shared" si="1362"/>
        <v>0</v>
      </c>
      <c r="K419" s="117">
        <f t="shared" si="1362"/>
        <v>0</v>
      </c>
      <c r="L419" s="117">
        <f t="shared" si="1362"/>
        <v>0</v>
      </c>
      <c r="M419" s="117">
        <f t="shared" si="1362"/>
        <v>0</v>
      </c>
      <c r="N419" s="117">
        <f t="shared" si="1362"/>
        <v>0</v>
      </c>
      <c r="O419" s="9">
        <f t="shared" si="1362"/>
        <v>0</v>
      </c>
      <c r="P419" s="117">
        <f t="shared" si="1362"/>
        <v>0</v>
      </c>
      <c r="Q419" s="117">
        <f t="shared" si="1362"/>
        <v>0</v>
      </c>
      <c r="R419" s="117">
        <f t="shared" si="1362"/>
        <v>0</v>
      </c>
      <c r="S419" s="117">
        <f t="shared" si="1362"/>
        <v>0</v>
      </c>
      <c r="T419" s="117">
        <f t="shared" si="1362"/>
        <v>0</v>
      </c>
      <c r="U419" s="117">
        <f t="shared" si="1362"/>
        <v>0</v>
      </c>
      <c r="V419" s="117">
        <f t="shared" si="1362"/>
        <v>0</v>
      </c>
      <c r="W419" s="117">
        <f t="shared" si="1362"/>
        <v>0</v>
      </c>
      <c r="X419" s="117">
        <f t="shared" si="1362"/>
        <v>0</v>
      </c>
      <c r="Y419" s="117">
        <f t="shared" si="1362"/>
        <v>0</v>
      </c>
      <c r="Z419" s="117">
        <f t="shared" si="1362"/>
        <v>0</v>
      </c>
      <c r="AA419" s="117">
        <f t="shared" si="1362"/>
        <v>0</v>
      </c>
      <c r="AB419" s="9">
        <f t="shared" si="1362"/>
        <v>0</v>
      </c>
      <c r="AC419" s="117">
        <f t="shared" si="1362"/>
        <v>0</v>
      </c>
      <c r="AD419" s="117">
        <f t="shared" si="1362"/>
        <v>0</v>
      </c>
      <c r="AE419" s="117">
        <f t="shared" si="1362"/>
        <v>0</v>
      </c>
      <c r="AF419" s="117">
        <f t="shared" si="1362"/>
        <v>0</v>
      </c>
      <c r="AG419" s="117">
        <f t="shared" si="1362"/>
        <v>0</v>
      </c>
      <c r="AH419" s="117">
        <f t="shared" si="1362"/>
        <v>0</v>
      </c>
      <c r="AI419" s="117">
        <f t="shared" si="1362"/>
        <v>0</v>
      </c>
      <c r="AJ419" s="117">
        <f t="shared" si="1362"/>
        <v>0</v>
      </c>
      <c r="AK419" s="117">
        <f t="shared" si="1362"/>
        <v>0</v>
      </c>
      <c r="AL419" s="117">
        <f t="shared" si="1362"/>
        <v>0</v>
      </c>
      <c r="AM419" s="117">
        <f t="shared" si="1362"/>
        <v>0</v>
      </c>
      <c r="AN419" s="117">
        <f t="shared" si="1362"/>
        <v>0</v>
      </c>
      <c r="AO419" s="9">
        <f t="shared" si="1362"/>
        <v>0</v>
      </c>
      <c r="AP419" s="144">
        <f t="shared" si="1362"/>
        <v>0</v>
      </c>
      <c r="AQ419" s="144">
        <f t="shared" si="1362"/>
        <v>0</v>
      </c>
      <c r="AR419" s="144">
        <f t="shared" si="1362"/>
        <v>0</v>
      </c>
      <c r="AS419" s="144">
        <f t="shared" si="1362"/>
        <v>0</v>
      </c>
      <c r="AT419" s="144">
        <f t="shared" si="1362"/>
        <v>0</v>
      </c>
      <c r="AU419" s="144">
        <f t="shared" si="1362"/>
        <v>0</v>
      </c>
      <c r="AV419" s="144">
        <f t="shared" si="1362"/>
        <v>0</v>
      </c>
      <c r="AW419" s="144">
        <f t="shared" si="1362"/>
        <v>0</v>
      </c>
      <c r="AX419" s="144">
        <f t="shared" si="1362"/>
        <v>0</v>
      </c>
      <c r="AY419" s="144">
        <f t="shared" si="1362"/>
        <v>0</v>
      </c>
      <c r="AZ419" s="144">
        <f t="shared" si="1362"/>
        <v>0</v>
      </c>
      <c r="BA419" s="144">
        <f t="shared" si="1362"/>
        <v>0</v>
      </c>
      <c r="BB419" s="9">
        <f t="shared" si="1362"/>
        <v>0</v>
      </c>
      <c r="BC419" s="144">
        <f t="shared" si="1362"/>
        <v>0</v>
      </c>
      <c r="BD419" s="144">
        <f t="shared" si="1362"/>
        <v>0</v>
      </c>
      <c r="BE419" s="144">
        <f t="shared" si="1362"/>
        <v>0</v>
      </c>
      <c r="BF419" s="144">
        <f t="shared" si="1362"/>
        <v>0</v>
      </c>
      <c r="BG419" s="144">
        <f t="shared" si="1362"/>
        <v>0</v>
      </c>
      <c r="BH419" s="144">
        <f t="shared" si="1362"/>
        <v>0</v>
      </c>
      <c r="BI419" s="144">
        <f t="shared" si="1362"/>
        <v>0</v>
      </c>
      <c r="BJ419" s="144">
        <f t="shared" si="1362"/>
        <v>0</v>
      </c>
      <c r="BK419" s="144">
        <f t="shared" si="1362"/>
        <v>0</v>
      </c>
      <c r="BL419" s="144">
        <f t="shared" si="1362"/>
        <v>0</v>
      </c>
      <c r="BM419" s="144">
        <f t="shared" si="1362"/>
        <v>0</v>
      </c>
      <c r="BN419" s="144">
        <f t="shared" si="1362"/>
        <v>0</v>
      </c>
      <c r="BO419" s="9">
        <f t="shared" ref="BO419:DZ419" si="1363">BO207/BO$211</f>
        <v>0</v>
      </c>
      <c r="BP419" s="144">
        <f t="shared" si="1363"/>
        <v>0</v>
      </c>
      <c r="BQ419" s="144">
        <f t="shared" si="1363"/>
        <v>0</v>
      </c>
      <c r="BR419" s="144">
        <f t="shared" si="1363"/>
        <v>0</v>
      </c>
      <c r="BS419" s="144">
        <f t="shared" si="1363"/>
        <v>0</v>
      </c>
      <c r="BT419" s="144">
        <f t="shared" si="1363"/>
        <v>0</v>
      </c>
      <c r="BU419" s="144">
        <f t="shared" si="1363"/>
        <v>0</v>
      </c>
      <c r="BV419" s="144">
        <f t="shared" si="1363"/>
        <v>0</v>
      </c>
      <c r="BW419" s="144">
        <f t="shared" si="1363"/>
        <v>0</v>
      </c>
      <c r="BX419" s="144">
        <f t="shared" si="1363"/>
        <v>0</v>
      </c>
      <c r="BY419" s="144">
        <f t="shared" si="1363"/>
        <v>0</v>
      </c>
      <c r="BZ419" s="144">
        <f t="shared" si="1363"/>
        <v>0</v>
      </c>
      <c r="CA419" s="144">
        <f t="shared" si="1363"/>
        <v>0</v>
      </c>
      <c r="CB419" s="9">
        <f t="shared" si="1363"/>
        <v>0</v>
      </c>
      <c r="CC419" s="144">
        <f t="shared" si="1363"/>
        <v>0</v>
      </c>
      <c r="CD419" s="144">
        <f t="shared" si="1363"/>
        <v>0</v>
      </c>
      <c r="CE419" s="144">
        <f t="shared" si="1363"/>
        <v>0</v>
      </c>
      <c r="CF419" s="144">
        <f t="shared" si="1363"/>
        <v>0</v>
      </c>
      <c r="CG419" s="144">
        <f t="shared" si="1363"/>
        <v>0</v>
      </c>
      <c r="CH419" s="144">
        <f t="shared" si="1363"/>
        <v>0</v>
      </c>
      <c r="CI419" s="144">
        <f t="shared" si="1363"/>
        <v>0</v>
      </c>
      <c r="CJ419" s="144">
        <f t="shared" si="1363"/>
        <v>0</v>
      </c>
      <c r="CK419" s="144">
        <f t="shared" si="1363"/>
        <v>0</v>
      </c>
      <c r="CL419" s="144">
        <f t="shared" si="1363"/>
        <v>0</v>
      </c>
      <c r="CM419" s="144">
        <f t="shared" si="1363"/>
        <v>0</v>
      </c>
      <c r="CN419" s="144">
        <f t="shared" si="1363"/>
        <v>0</v>
      </c>
      <c r="CO419" s="9">
        <f t="shared" si="1363"/>
        <v>0</v>
      </c>
      <c r="CP419" s="144">
        <f t="shared" si="1363"/>
        <v>0</v>
      </c>
      <c r="CQ419" s="144">
        <f t="shared" si="1363"/>
        <v>0</v>
      </c>
      <c r="CR419" s="144">
        <f t="shared" si="1363"/>
        <v>0</v>
      </c>
      <c r="CS419" s="144">
        <f t="shared" si="1363"/>
        <v>0</v>
      </c>
      <c r="CT419" s="144">
        <f t="shared" si="1363"/>
        <v>0</v>
      </c>
      <c r="CU419" s="144">
        <f t="shared" si="1363"/>
        <v>0</v>
      </c>
      <c r="CV419" s="144">
        <f t="shared" si="1363"/>
        <v>0</v>
      </c>
      <c r="CW419" s="144">
        <f t="shared" si="1363"/>
        <v>0</v>
      </c>
      <c r="CX419" s="144">
        <f t="shared" si="1363"/>
        <v>0</v>
      </c>
      <c r="CY419" s="144">
        <f t="shared" si="1363"/>
        <v>0</v>
      </c>
      <c r="CZ419" s="144">
        <f t="shared" si="1363"/>
        <v>0</v>
      </c>
      <c r="DA419" s="144">
        <f t="shared" si="1363"/>
        <v>0</v>
      </c>
      <c r="DB419" s="9">
        <f t="shared" si="1363"/>
        <v>0</v>
      </c>
      <c r="DC419" s="144">
        <f t="shared" si="1363"/>
        <v>0</v>
      </c>
      <c r="DD419" s="144">
        <f t="shared" si="1363"/>
        <v>0</v>
      </c>
      <c r="DE419" s="144">
        <f t="shared" si="1363"/>
        <v>0</v>
      </c>
      <c r="DF419" s="144">
        <f t="shared" si="1363"/>
        <v>0</v>
      </c>
      <c r="DG419" s="144">
        <f t="shared" si="1363"/>
        <v>0</v>
      </c>
      <c r="DH419" s="144">
        <f t="shared" si="1363"/>
        <v>0</v>
      </c>
      <c r="DI419" s="144">
        <f t="shared" si="1363"/>
        <v>0</v>
      </c>
      <c r="DJ419" s="144">
        <f t="shared" si="1363"/>
        <v>0</v>
      </c>
      <c r="DK419" s="144">
        <f t="shared" si="1363"/>
        <v>0</v>
      </c>
      <c r="DL419" s="144">
        <f t="shared" si="1363"/>
        <v>0</v>
      </c>
      <c r="DM419" s="144">
        <f t="shared" si="1363"/>
        <v>0</v>
      </c>
      <c r="DN419" s="144">
        <f t="shared" si="1363"/>
        <v>0</v>
      </c>
      <c r="DO419" s="9">
        <f t="shared" si="1363"/>
        <v>0</v>
      </c>
      <c r="DP419" s="144">
        <f t="shared" si="1363"/>
        <v>0</v>
      </c>
      <c r="DQ419" s="144">
        <f t="shared" si="1363"/>
        <v>0</v>
      </c>
      <c r="DR419" s="144">
        <f t="shared" si="1363"/>
        <v>0</v>
      </c>
      <c r="DS419" s="144">
        <f t="shared" si="1363"/>
        <v>0</v>
      </c>
      <c r="DT419" s="144">
        <f t="shared" si="1363"/>
        <v>0</v>
      </c>
      <c r="DU419" s="144">
        <f t="shared" si="1363"/>
        <v>0</v>
      </c>
      <c r="DV419" s="144">
        <f t="shared" si="1363"/>
        <v>0</v>
      </c>
      <c r="DW419" s="144">
        <f t="shared" si="1363"/>
        <v>0</v>
      </c>
      <c r="DX419" s="144">
        <f t="shared" si="1363"/>
        <v>0</v>
      </c>
      <c r="DY419" s="144">
        <f t="shared" si="1363"/>
        <v>0</v>
      </c>
      <c r="DZ419" s="144">
        <f t="shared" si="1363"/>
        <v>0</v>
      </c>
      <c r="EA419" s="144">
        <f t="shared" ref="EA419:EB419" si="1364">EA207/EA$211</f>
        <v>0</v>
      </c>
      <c r="EB419" s="117">
        <f t="shared" si="1364"/>
        <v>0</v>
      </c>
      <c r="EC419" s="118"/>
      <c r="ED419" s="117">
        <f t="shared" ref="ED419:FB419" si="1365">ED207/ED$211</f>
        <v>0</v>
      </c>
      <c r="EE419" s="117">
        <f t="shared" si="1365"/>
        <v>0</v>
      </c>
      <c r="EF419" s="117">
        <f t="shared" si="1365"/>
        <v>0</v>
      </c>
      <c r="EG419" s="117" t="e">
        <f t="shared" si="1365"/>
        <v>#DIV/0!</v>
      </c>
      <c r="EH419" s="117" t="e">
        <f t="shared" si="1365"/>
        <v>#DIV/0!</v>
      </c>
      <c r="EI419" s="117" t="e">
        <f t="shared" si="1365"/>
        <v>#DIV/0!</v>
      </c>
      <c r="EJ419" s="117" t="e">
        <f t="shared" si="1365"/>
        <v>#DIV/0!</v>
      </c>
      <c r="EK419" s="117" t="e">
        <f t="shared" si="1365"/>
        <v>#DIV/0!</v>
      </c>
      <c r="EL419" s="117" t="e">
        <f t="shared" si="1365"/>
        <v>#DIV/0!</v>
      </c>
      <c r="EM419" s="117" t="e">
        <f t="shared" si="1365"/>
        <v>#DIV/0!</v>
      </c>
      <c r="EN419" s="117" t="e">
        <f t="shared" si="1365"/>
        <v>#DIV/0!</v>
      </c>
      <c r="EO419" s="116">
        <f t="shared" si="1365"/>
        <v>0</v>
      </c>
      <c r="EP419" s="117">
        <f t="shared" si="1365"/>
        <v>0</v>
      </c>
      <c r="EQ419" s="117">
        <f t="shared" si="1365"/>
        <v>0</v>
      </c>
      <c r="ER419" s="117">
        <f t="shared" si="1365"/>
        <v>0</v>
      </c>
      <c r="ES419" s="117">
        <f t="shared" si="1365"/>
        <v>0</v>
      </c>
      <c r="ET419" s="117">
        <f t="shared" si="1365"/>
        <v>0</v>
      </c>
      <c r="EU419" s="117">
        <f t="shared" si="1365"/>
        <v>0</v>
      </c>
      <c r="EV419" s="117">
        <f t="shared" si="1365"/>
        <v>0</v>
      </c>
      <c r="EW419" s="117">
        <f t="shared" si="1365"/>
        <v>0</v>
      </c>
      <c r="EX419" s="117">
        <f t="shared" si="1365"/>
        <v>0</v>
      </c>
      <c r="EY419" s="117">
        <f t="shared" si="1365"/>
        <v>0</v>
      </c>
      <c r="EZ419" s="117">
        <f t="shared" si="1365"/>
        <v>0</v>
      </c>
      <c r="FA419" s="117">
        <f t="shared" si="1365"/>
        <v>0</v>
      </c>
      <c r="FB419" s="117">
        <f t="shared" si="1365"/>
        <v>0</v>
      </c>
      <c r="FC419" s="118"/>
      <c r="FD419" s="117"/>
      <c r="FE419" s="117"/>
      <c r="FF419" s="117"/>
      <c r="FG419" s="117"/>
      <c r="FH419" s="117"/>
      <c r="FI419" s="117"/>
      <c r="FJ419" s="117"/>
      <c r="FK419" s="117" t="e">
        <f t="shared" ref="FK419:GB419" si="1366">FK207/FK$211</f>
        <v>#DIV/0!</v>
      </c>
      <c r="FL419" s="117" t="e">
        <f t="shared" si="1366"/>
        <v>#DIV/0!</v>
      </c>
      <c r="FM419" s="117" t="e">
        <f t="shared" si="1366"/>
        <v>#DIV/0!</v>
      </c>
      <c r="FN419" s="117" t="e">
        <f t="shared" si="1366"/>
        <v>#DIV/0!</v>
      </c>
      <c r="FO419" s="9" t="e">
        <f t="shared" si="1366"/>
        <v>#DIV/0!</v>
      </c>
      <c r="FP419" s="118">
        <f t="shared" si="1366"/>
        <v>0</v>
      </c>
      <c r="FQ419" s="117">
        <f t="shared" si="1366"/>
        <v>0</v>
      </c>
      <c r="FR419" s="117">
        <f t="shared" si="1366"/>
        <v>0</v>
      </c>
      <c r="FS419" s="117">
        <f t="shared" si="1366"/>
        <v>0</v>
      </c>
      <c r="FT419" s="117">
        <f t="shared" si="1366"/>
        <v>0</v>
      </c>
      <c r="FU419" s="117">
        <f t="shared" si="1366"/>
        <v>0</v>
      </c>
      <c r="FV419" s="117">
        <f t="shared" si="1366"/>
        <v>0</v>
      </c>
      <c r="FW419" s="117">
        <f t="shared" si="1366"/>
        <v>0</v>
      </c>
      <c r="FX419" s="117">
        <f t="shared" si="1366"/>
        <v>0</v>
      </c>
      <c r="FY419" s="117">
        <f t="shared" si="1366"/>
        <v>0</v>
      </c>
      <c r="FZ419" s="117">
        <f t="shared" si="1366"/>
        <v>0</v>
      </c>
      <c r="GA419" s="117">
        <f t="shared" si="1366"/>
        <v>0</v>
      </c>
      <c r="GB419" s="116">
        <f t="shared" si="1366"/>
        <v>0</v>
      </c>
    </row>
    <row r="420" spans="1:184">
      <c r="A420" s="147" t="s">
        <v>379</v>
      </c>
      <c r="B420" s="160" t="e">
        <f t="shared" si="1306"/>
        <v>#DIV/0!</v>
      </c>
      <c r="C420" s="117">
        <f t="shared" ref="C420:BN420" si="1367">C208/C$211</f>
        <v>0</v>
      </c>
      <c r="D420" s="117">
        <f t="shared" si="1367"/>
        <v>0</v>
      </c>
      <c r="E420" s="117">
        <f t="shared" si="1367"/>
        <v>0</v>
      </c>
      <c r="F420" s="117">
        <f t="shared" si="1367"/>
        <v>0</v>
      </c>
      <c r="G420" s="117">
        <f t="shared" si="1367"/>
        <v>0</v>
      </c>
      <c r="H420" s="117">
        <f t="shared" si="1367"/>
        <v>0</v>
      </c>
      <c r="I420" s="117">
        <f t="shared" si="1367"/>
        <v>0</v>
      </c>
      <c r="J420" s="117">
        <f t="shared" si="1367"/>
        <v>0</v>
      </c>
      <c r="K420" s="117">
        <f t="shared" si="1367"/>
        <v>0</v>
      </c>
      <c r="L420" s="117">
        <f t="shared" si="1367"/>
        <v>0</v>
      </c>
      <c r="M420" s="117">
        <f t="shared" si="1367"/>
        <v>0.0229699602897515</v>
      </c>
      <c r="N420" s="117">
        <f t="shared" si="1367"/>
        <v>0.0053122465485511</v>
      </c>
      <c r="O420" s="9">
        <f t="shared" si="1367"/>
        <v>0.00242499535648885</v>
      </c>
      <c r="P420" s="117">
        <f t="shared" si="1367"/>
        <v>0</v>
      </c>
      <c r="Q420" s="117">
        <f t="shared" si="1367"/>
        <v>0</v>
      </c>
      <c r="R420" s="117">
        <f t="shared" si="1367"/>
        <v>0</v>
      </c>
      <c r="S420" s="117">
        <f t="shared" si="1367"/>
        <v>0</v>
      </c>
      <c r="T420" s="117">
        <f t="shared" si="1367"/>
        <v>0</v>
      </c>
      <c r="U420" s="117">
        <f t="shared" si="1367"/>
        <v>0</v>
      </c>
      <c r="V420" s="117">
        <f t="shared" si="1367"/>
        <v>0</v>
      </c>
      <c r="W420" s="117">
        <f t="shared" si="1367"/>
        <v>0</v>
      </c>
      <c r="X420" s="117">
        <f t="shared" si="1367"/>
        <v>0</v>
      </c>
      <c r="Y420" s="117">
        <f t="shared" si="1367"/>
        <v>0</v>
      </c>
      <c r="Z420" s="117">
        <f t="shared" si="1367"/>
        <v>0.00888444355500916</v>
      </c>
      <c r="AA420" s="117">
        <f t="shared" si="1367"/>
        <v>0.0161158867079371</v>
      </c>
      <c r="AB420" s="9">
        <f t="shared" si="1367"/>
        <v>0.00216094436051789</v>
      </c>
      <c r="AC420" s="117">
        <f t="shared" si="1367"/>
        <v>0</v>
      </c>
      <c r="AD420" s="117">
        <f t="shared" si="1367"/>
        <v>0</v>
      </c>
      <c r="AE420" s="117">
        <f t="shared" si="1367"/>
        <v>0</v>
      </c>
      <c r="AF420" s="117">
        <f t="shared" si="1367"/>
        <v>0</v>
      </c>
      <c r="AG420" s="117">
        <f t="shared" si="1367"/>
        <v>0</v>
      </c>
      <c r="AH420" s="117">
        <f t="shared" si="1367"/>
        <v>0</v>
      </c>
      <c r="AI420" s="117">
        <f t="shared" si="1367"/>
        <v>0</v>
      </c>
      <c r="AJ420" s="117">
        <f t="shared" si="1367"/>
        <v>0</v>
      </c>
      <c r="AK420" s="117">
        <f t="shared" si="1367"/>
        <v>0</v>
      </c>
      <c r="AL420" s="117">
        <f t="shared" si="1367"/>
        <v>0</v>
      </c>
      <c r="AM420" s="117">
        <f t="shared" si="1367"/>
        <v>0.0128320621744439</v>
      </c>
      <c r="AN420" s="117">
        <f t="shared" si="1367"/>
        <v>0.0263713542259876</v>
      </c>
      <c r="AO420" s="9">
        <f t="shared" si="1367"/>
        <v>0.00353847200319423</v>
      </c>
      <c r="AP420" s="144">
        <f t="shared" si="1367"/>
        <v>0</v>
      </c>
      <c r="AQ420" s="144">
        <f t="shared" si="1367"/>
        <v>0</v>
      </c>
      <c r="AR420" s="144">
        <f t="shared" si="1367"/>
        <v>0</v>
      </c>
      <c r="AS420" s="144">
        <f t="shared" si="1367"/>
        <v>0</v>
      </c>
      <c r="AT420" s="144">
        <f t="shared" si="1367"/>
        <v>0</v>
      </c>
      <c r="AU420" s="144">
        <f t="shared" si="1367"/>
        <v>0</v>
      </c>
      <c r="AV420" s="144">
        <f t="shared" si="1367"/>
        <v>0</v>
      </c>
      <c r="AW420" s="144">
        <f t="shared" si="1367"/>
        <v>0</v>
      </c>
      <c r="AX420" s="144">
        <f t="shared" si="1367"/>
        <v>0</v>
      </c>
      <c r="AY420" s="144">
        <f t="shared" si="1367"/>
        <v>0</v>
      </c>
      <c r="AZ420" s="144">
        <f t="shared" si="1367"/>
        <v>0.00982958127294388</v>
      </c>
      <c r="BA420" s="144">
        <f t="shared" si="1367"/>
        <v>0.00368806001481904</v>
      </c>
      <c r="BB420" s="9">
        <f t="shared" si="1367"/>
        <v>0.00125547896489875</v>
      </c>
      <c r="BC420" s="144">
        <f t="shared" si="1367"/>
        <v>0</v>
      </c>
      <c r="BD420" s="144">
        <f t="shared" si="1367"/>
        <v>0</v>
      </c>
      <c r="BE420" s="144">
        <f t="shared" si="1367"/>
        <v>0</v>
      </c>
      <c r="BF420" s="144">
        <f t="shared" si="1367"/>
        <v>0</v>
      </c>
      <c r="BG420" s="144">
        <f t="shared" si="1367"/>
        <v>0</v>
      </c>
      <c r="BH420" s="144">
        <f t="shared" si="1367"/>
        <v>0</v>
      </c>
      <c r="BI420" s="144">
        <f t="shared" si="1367"/>
        <v>0</v>
      </c>
      <c r="BJ420" s="144">
        <f t="shared" si="1367"/>
        <v>0</v>
      </c>
      <c r="BK420" s="144">
        <f t="shared" si="1367"/>
        <v>0</v>
      </c>
      <c r="BL420" s="144">
        <f t="shared" si="1367"/>
        <v>0</v>
      </c>
      <c r="BM420" s="144">
        <f t="shared" si="1367"/>
        <v>0</v>
      </c>
      <c r="BN420" s="144">
        <f t="shared" si="1367"/>
        <v>0</v>
      </c>
      <c r="BO420" s="9">
        <f t="shared" ref="BO420:DZ420" si="1368">BO208/BO$211</f>
        <v>0</v>
      </c>
      <c r="BP420" s="144">
        <f t="shared" si="1368"/>
        <v>0</v>
      </c>
      <c r="BQ420" s="144">
        <f t="shared" si="1368"/>
        <v>0</v>
      </c>
      <c r="BR420" s="144">
        <f t="shared" si="1368"/>
        <v>0</v>
      </c>
      <c r="BS420" s="144">
        <f t="shared" si="1368"/>
        <v>0</v>
      </c>
      <c r="BT420" s="144">
        <f t="shared" si="1368"/>
        <v>0</v>
      </c>
      <c r="BU420" s="144">
        <f t="shared" si="1368"/>
        <v>0</v>
      </c>
      <c r="BV420" s="144">
        <f t="shared" si="1368"/>
        <v>0</v>
      </c>
      <c r="BW420" s="144">
        <f t="shared" si="1368"/>
        <v>0</v>
      </c>
      <c r="BX420" s="144">
        <f t="shared" si="1368"/>
        <v>0</v>
      </c>
      <c r="BY420" s="144">
        <f t="shared" si="1368"/>
        <v>0</v>
      </c>
      <c r="BZ420" s="144">
        <f t="shared" si="1368"/>
        <v>0.00421166174038732</v>
      </c>
      <c r="CA420" s="144">
        <f t="shared" si="1368"/>
        <v>0.00244262659866992</v>
      </c>
      <c r="CB420" s="9">
        <f t="shared" si="1368"/>
        <v>0.000513570798140034</v>
      </c>
      <c r="CC420" s="144">
        <f t="shared" si="1368"/>
        <v>0</v>
      </c>
      <c r="CD420" s="144">
        <f t="shared" si="1368"/>
        <v>0</v>
      </c>
      <c r="CE420" s="144">
        <f t="shared" si="1368"/>
        <v>0</v>
      </c>
      <c r="CF420" s="144">
        <f t="shared" si="1368"/>
        <v>0</v>
      </c>
      <c r="CG420" s="144">
        <f t="shared" si="1368"/>
        <v>0</v>
      </c>
      <c r="CH420" s="144">
        <f t="shared" si="1368"/>
        <v>0</v>
      </c>
      <c r="CI420" s="144">
        <f t="shared" si="1368"/>
        <v>0</v>
      </c>
      <c r="CJ420" s="144">
        <f t="shared" si="1368"/>
        <v>0</v>
      </c>
      <c r="CK420" s="144">
        <f t="shared" si="1368"/>
        <v>0</v>
      </c>
      <c r="CL420" s="144">
        <f t="shared" si="1368"/>
        <v>0</v>
      </c>
      <c r="CM420" s="144">
        <f t="shared" si="1368"/>
        <v>0.00247896564873386</v>
      </c>
      <c r="CN420" s="144">
        <f t="shared" si="1368"/>
        <v>0.00192277455455082</v>
      </c>
      <c r="CO420" s="9">
        <f t="shared" si="1368"/>
        <v>0.000342062873203712</v>
      </c>
      <c r="CP420" s="144">
        <f t="shared" si="1368"/>
        <v>0</v>
      </c>
      <c r="CQ420" s="144">
        <f t="shared" si="1368"/>
        <v>0</v>
      </c>
      <c r="CR420" s="144">
        <f t="shared" si="1368"/>
        <v>0</v>
      </c>
      <c r="CS420" s="144">
        <f t="shared" si="1368"/>
        <v>0</v>
      </c>
      <c r="CT420" s="144">
        <f t="shared" si="1368"/>
        <v>0</v>
      </c>
      <c r="CU420" s="144">
        <f t="shared" si="1368"/>
        <v>0</v>
      </c>
      <c r="CV420" s="144">
        <f t="shared" si="1368"/>
        <v>0</v>
      </c>
      <c r="CW420" s="144">
        <f t="shared" si="1368"/>
        <v>0</v>
      </c>
      <c r="CX420" s="144">
        <f t="shared" si="1368"/>
        <v>0</v>
      </c>
      <c r="CY420" s="144">
        <f t="shared" si="1368"/>
        <v>0</v>
      </c>
      <c r="CZ420" s="144">
        <f t="shared" si="1368"/>
        <v>0</v>
      </c>
      <c r="DA420" s="144">
        <f t="shared" si="1368"/>
        <v>0</v>
      </c>
      <c r="DB420" s="9">
        <f t="shared" si="1368"/>
        <v>0</v>
      </c>
      <c r="DC420" s="144">
        <f t="shared" si="1368"/>
        <v>0</v>
      </c>
      <c r="DD420" s="144">
        <f t="shared" si="1368"/>
        <v>0</v>
      </c>
      <c r="DE420" s="144">
        <f t="shared" si="1368"/>
        <v>0</v>
      </c>
      <c r="DF420" s="144">
        <f t="shared" si="1368"/>
        <v>0</v>
      </c>
      <c r="DG420" s="144">
        <f t="shared" si="1368"/>
        <v>0</v>
      </c>
      <c r="DH420" s="144">
        <f t="shared" si="1368"/>
        <v>0</v>
      </c>
      <c r="DI420" s="144">
        <f t="shared" si="1368"/>
        <v>0</v>
      </c>
      <c r="DJ420" s="144">
        <f t="shared" si="1368"/>
        <v>0</v>
      </c>
      <c r="DK420" s="144">
        <f t="shared" si="1368"/>
        <v>0</v>
      </c>
      <c r="DL420" s="144">
        <f t="shared" si="1368"/>
        <v>0</v>
      </c>
      <c r="DM420" s="144">
        <f t="shared" si="1368"/>
        <v>0.0117710082651792</v>
      </c>
      <c r="DN420" s="144">
        <f t="shared" si="1368"/>
        <v>0.0133348494402464</v>
      </c>
      <c r="DO420" s="9">
        <f t="shared" si="1368"/>
        <v>0.00186144280173995</v>
      </c>
      <c r="DP420" s="144">
        <f t="shared" si="1368"/>
        <v>0</v>
      </c>
      <c r="DQ420" s="144">
        <f t="shared" si="1368"/>
        <v>0</v>
      </c>
      <c r="DR420" s="144">
        <f t="shared" si="1368"/>
        <v>0</v>
      </c>
      <c r="DS420" s="144">
        <f t="shared" si="1368"/>
        <v>0</v>
      </c>
      <c r="DT420" s="144">
        <f t="shared" si="1368"/>
        <v>0</v>
      </c>
      <c r="DU420" s="144">
        <f t="shared" si="1368"/>
        <v>0</v>
      </c>
      <c r="DV420" s="144">
        <f t="shared" si="1368"/>
        <v>0</v>
      </c>
      <c r="DW420" s="144">
        <f t="shared" si="1368"/>
        <v>0</v>
      </c>
      <c r="DX420" s="144">
        <f t="shared" si="1368"/>
        <v>0</v>
      </c>
      <c r="DY420" s="144">
        <f t="shared" si="1368"/>
        <v>0</v>
      </c>
      <c r="DZ420" s="144">
        <f t="shared" si="1368"/>
        <v>0</v>
      </c>
      <c r="EA420" s="144">
        <f t="shared" ref="EA420:EB420" si="1369">EA208/EA$211</f>
        <v>0</v>
      </c>
      <c r="EB420" s="117">
        <f t="shared" si="1369"/>
        <v>0</v>
      </c>
      <c r="EC420" s="118"/>
      <c r="ED420" s="117">
        <f t="shared" ref="ED420:FB420" si="1370">ED208/ED$211</f>
        <v>0</v>
      </c>
      <c r="EE420" s="117">
        <f t="shared" si="1370"/>
        <v>0</v>
      </c>
      <c r="EF420" s="117">
        <f t="shared" si="1370"/>
        <v>0</v>
      </c>
      <c r="EG420" s="117" t="e">
        <f t="shared" si="1370"/>
        <v>#DIV/0!</v>
      </c>
      <c r="EH420" s="117" t="e">
        <f t="shared" si="1370"/>
        <v>#DIV/0!</v>
      </c>
      <c r="EI420" s="117" t="e">
        <f t="shared" si="1370"/>
        <v>#DIV/0!</v>
      </c>
      <c r="EJ420" s="117" t="e">
        <f t="shared" si="1370"/>
        <v>#DIV/0!</v>
      </c>
      <c r="EK420" s="117" t="e">
        <f t="shared" si="1370"/>
        <v>#DIV/0!</v>
      </c>
      <c r="EL420" s="117" t="e">
        <f t="shared" si="1370"/>
        <v>#DIV/0!</v>
      </c>
      <c r="EM420" s="117" t="e">
        <f t="shared" si="1370"/>
        <v>#DIV/0!</v>
      </c>
      <c r="EN420" s="117" t="e">
        <f t="shared" si="1370"/>
        <v>#DIV/0!</v>
      </c>
      <c r="EO420" s="116">
        <f t="shared" si="1370"/>
        <v>0</v>
      </c>
      <c r="EP420" s="117">
        <f t="shared" si="1370"/>
        <v>0</v>
      </c>
      <c r="EQ420" s="117">
        <f t="shared" si="1370"/>
        <v>0</v>
      </c>
      <c r="ER420" s="117">
        <f t="shared" si="1370"/>
        <v>0</v>
      </c>
      <c r="ES420" s="117">
        <f t="shared" si="1370"/>
        <v>0</v>
      </c>
      <c r="ET420" s="117">
        <f t="shared" si="1370"/>
        <v>0</v>
      </c>
      <c r="EU420" s="117">
        <f t="shared" si="1370"/>
        <v>0</v>
      </c>
      <c r="EV420" s="117">
        <f t="shared" si="1370"/>
        <v>0</v>
      </c>
      <c r="EW420" s="117">
        <f t="shared" si="1370"/>
        <v>0</v>
      </c>
      <c r="EX420" s="117">
        <f t="shared" si="1370"/>
        <v>0</v>
      </c>
      <c r="EY420" s="117">
        <f t="shared" si="1370"/>
        <v>0</v>
      </c>
      <c r="EZ420" s="117">
        <f t="shared" si="1370"/>
        <v>0</v>
      </c>
      <c r="FA420" s="117">
        <f t="shared" si="1370"/>
        <v>0</v>
      </c>
      <c r="FB420" s="117">
        <f t="shared" si="1370"/>
        <v>0</v>
      </c>
      <c r="FC420" s="118"/>
      <c r="FD420" s="117"/>
      <c r="FE420" s="117"/>
      <c r="FF420" s="117"/>
      <c r="FG420" s="117"/>
      <c r="FH420" s="117"/>
      <c r="FI420" s="117"/>
      <c r="FJ420" s="117"/>
      <c r="FK420" s="117" t="e">
        <f t="shared" ref="FK420:GB420" si="1371">FK208/FK$211</f>
        <v>#DIV/0!</v>
      </c>
      <c r="FL420" s="117" t="e">
        <f t="shared" si="1371"/>
        <v>#DIV/0!</v>
      </c>
      <c r="FM420" s="117" t="e">
        <f t="shared" si="1371"/>
        <v>#DIV/0!</v>
      </c>
      <c r="FN420" s="117" t="e">
        <f t="shared" si="1371"/>
        <v>#DIV/0!</v>
      </c>
      <c r="FO420" s="9" t="e">
        <f t="shared" si="1371"/>
        <v>#DIV/0!</v>
      </c>
      <c r="FP420" s="118">
        <f t="shared" si="1371"/>
        <v>0</v>
      </c>
      <c r="FQ420" s="117">
        <f t="shared" si="1371"/>
        <v>0</v>
      </c>
      <c r="FR420" s="117">
        <f t="shared" si="1371"/>
        <v>0</v>
      </c>
      <c r="FS420" s="117">
        <f t="shared" si="1371"/>
        <v>0</v>
      </c>
      <c r="FT420" s="117">
        <f t="shared" si="1371"/>
        <v>0</v>
      </c>
      <c r="FU420" s="117">
        <f t="shared" si="1371"/>
        <v>0</v>
      </c>
      <c r="FV420" s="117">
        <f t="shared" si="1371"/>
        <v>0</v>
      </c>
      <c r="FW420" s="117">
        <f t="shared" si="1371"/>
        <v>0</v>
      </c>
      <c r="FX420" s="117">
        <f t="shared" si="1371"/>
        <v>0</v>
      </c>
      <c r="FY420" s="117">
        <f t="shared" si="1371"/>
        <v>0</v>
      </c>
      <c r="FZ420" s="117">
        <f t="shared" si="1371"/>
        <v>0.0759567259321392</v>
      </c>
      <c r="GA420" s="117">
        <f t="shared" si="1371"/>
        <v>0</v>
      </c>
      <c r="GB420" s="116">
        <f t="shared" si="1371"/>
        <v>0.00678690274128628</v>
      </c>
    </row>
    <row r="421" spans="1:184">
      <c r="A421" s="147" t="s">
        <v>380</v>
      </c>
      <c r="B421" s="160" t="e">
        <f t="shared" si="1306"/>
        <v>#DIV/0!</v>
      </c>
      <c r="C421" s="117">
        <f t="shared" ref="C421:BN421" si="1372">C209/C$211</f>
        <v>0</v>
      </c>
      <c r="D421" s="117">
        <f t="shared" si="1372"/>
        <v>0</v>
      </c>
      <c r="E421" s="117">
        <f t="shared" si="1372"/>
        <v>0</v>
      </c>
      <c r="F421" s="117">
        <f t="shared" si="1372"/>
        <v>0</v>
      </c>
      <c r="G421" s="117">
        <f t="shared" si="1372"/>
        <v>0</v>
      </c>
      <c r="H421" s="117">
        <f t="shared" si="1372"/>
        <v>0</v>
      </c>
      <c r="I421" s="117">
        <f t="shared" si="1372"/>
        <v>0</v>
      </c>
      <c r="J421" s="117">
        <f t="shared" si="1372"/>
        <v>0</v>
      </c>
      <c r="K421" s="117">
        <f t="shared" si="1372"/>
        <v>0</v>
      </c>
      <c r="L421" s="117">
        <f t="shared" si="1372"/>
        <v>0</v>
      </c>
      <c r="M421" s="117">
        <f t="shared" si="1372"/>
        <v>0</v>
      </c>
      <c r="N421" s="117">
        <f t="shared" si="1372"/>
        <v>0.0304133130759487</v>
      </c>
      <c r="O421" s="9">
        <f t="shared" si="1372"/>
        <v>0.00253337236646323</v>
      </c>
      <c r="P421" s="117">
        <f t="shared" si="1372"/>
        <v>0</v>
      </c>
      <c r="Q421" s="117">
        <f t="shared" si="1372"/>
        <v>0</v>
      </c>
      <c r="R421" s="117">
        <f t="shared" si="1372"/>
        <v>0</v>
      </c>
      <c r="S421" s="117">
        <f t="shared" si="1372"/>
        <v>0</v>
      </c>
      <c r="T421" s="117">
        <f t="shared" si="1372"/>
        <v>0</v>
      </c>
      <c r="U421" s="117">
        <f t="shared" si="1372"/>
        <v>0</v>
      </c>
      <c r="V421" s="117">
        <f t="shared" si="1372"/>
        <v>0</v>
      </c>
      <c r="W421" s="117">
        <f t="shared" si="1372"/>
        <v>0</v>
      </c>
      <c r="X421" s="117">
        <f t="shared" si="1372"/>
        <v>0</v>
      </c>
      <c r="Y421" s="117">
        <f t="shared" si="1372"/>
        <v>0</v>
      </c>
      <c r="Z421" s="117">
        <f t="shared" si="1372"/>
        <v>0</v>
      </c>
      <c r="AA421" s="117">
        <f t="shared" si="1372"/>
        <v>0.0106294058971601</v>
      </c>
      <c r="AB421" s="9">
        <f t="shared" si="1372"/>
        <v>0.000900173068987662</v>
      </c>
      <c r="AC421" s="117">
        <f t="shared" si="1372"/>
        <v>0</v>
      </c>
      <c r="AD421" s="117">
        <f t="shared" si="1372"/>
        <v>0</v>
      </c>
      <c r="AE421" s="117">
        <f t="shared" si="1372"/>
        <v>0</v>
      </c>
      <c r="AF421" s="117">
        <f t="shared" si="1372"/>
        <v>0</v>
      </c>
      <c r="AG421" s="117">
        <f t="shared" si="1372"/>
        <v>0</v>
      </c>
      <c r="AH421" s="117">
        <f t="shared" si="1372"/>
        <v>0</v>
      </c>
      <c r="AI421" s="117">
        <f t="shared" si="1372"/>
        <v>0</v>
      </c>
      <c r="AJ421" s="117">
        <f t="shared" si="1372"/>
        <v>0</v>
      </c>
      <c r="AK421" s="117">
        <f t="shared" si="1372"/>
        <v>0</v>
      </c>
      <c r="AL421" s="117">
        <f t="shared" si="1372"/>
        <v>0</v>
      </c>
      <c r="AM421" s="117">
        <f t="shared" si="1372"/>
        <v>0</v>
      </c>
      <c r="AN421" s="117">
        <f t="shared" si="1372"/>
        <v>0.0196105917638435</v>
      </c>
      <c r="AO421" s="9">
        <f t="shared" si="1372"/>
        <v>0.00175421480261714</v>
      </c>
      <c r="AP421" s="144">
        <f t="shared" si="1372"/>
        <v>0</v>
      </c>
      <c r="AQ421" s="144">
        <f t="shared" si="1372"/>
        <v>0</v>
      </c>
      <c r="AR421" s="144">
        <f t="shared" si="1372"/>
        <v>0</v>
      </c>
      <c r="AS421" s="144">
        <f t="shared" si="1372"/>
        <v>0</v>
      </c>
      <c r="AT421" s="144">
        <f t="shared" si="1372"/>
        <v>0</v>
      </c>
      <c r="AU421" s="144">
        <f t="shared" si="1372"/>
        <v>0</v>
      </c>
      <c r="AV421" s="144">
        <f t="shared" si="1372"/>
        <v>0</v>
      </c>
      <c r="AW421" s="144">
        <f t="shared" si="1372"/>
        <v>0</v>
      </c>
      <c r="AX421" s="144">
        <f t="shared" si="1372"/>
        <v>0</v>
      </c>
      <c r="AY421" s="144">
        <f t="shared" si="1372"/>
        <v>0</v>
      </c>
      <c r="AZ421" s="144">
        <f t="shared" si="1372"/>
        <v>0</v>
      </c>
      <c r="BA421" s="144">
        <f t="shared" si="1372"/>
        <v>0.00491741335309206</v>
      </c>
      <c r="BB421" s="9">
        <f t="shared" si="1372"/>
        <v>0.000478277700913808</v>
      </c>
      <c r="BC421" s="144">
        <f t="shared" si="1372"/>
        <v>0</v>
      </c>
      <c r="BD421" s="144">
        <f t="shared" si="1372"/>
        <v>0</v>
      </c>
      <c r="BE421" s="144">
        <f t="shared" si="1372"/>
        <v>0</v>
      </c>
      <c r="BF421" s="144">
        <f t="shared" si="1372"/>
        <v>0</v>
      </c>
      <c r="BG421" s="144">
        <f t="shared" si="1372"/>
        <v>0</v>
      </c>
      <c r="BH421" s="144">
        <f t="shared" si="1372"/>
        <v>0</v>
      </c>
      <c r="BI421" s="144">
        <f t="shared" si="1372"/>
        <v>0</v>
      </c>
      <c r="BJ421" s="144">
        <f t="shared" si="1372"/>
        <v>0</v>
      </c>
      <c r="BK421" s="144">
        <f t="shared" si="1372"/>
        <v>0</v>
      </c>
      <c r="BL421" s="144">
        <f t="shared" si="1372"/>
        <v>0</v>
      </c>
      <c r="BM421" s="144">
        <f t="shared" si="1372"/>
        <v>0</v>
      </c>
      <c r="BN421" s="144">
        <f t="shared" si="1372"/>
        <v>0</v>
      </c>
      <c r="BO421" s="9">
        <f t="shared" ref="BO421:DZ421" si="1373">BO209/BO$211</f>
        <v>0</v>
      </c>
      <c r="BP421" s="144">
        <f t="shared" si="1373"/>
        <v>0</v>
      </c>
      <c r="BQ421" s="144">
        <f t="shared" si="1373"/>
        <v>0</v>
      </c>
      <c r="BR421" s="144">
        <f t="shared" si="1373"/>
        <v>0</v>
      </c>
      <c r="BS421" s="144">
        <f t="shared" si="1373"/>
        <v>0</v>
      </c>
      <c r="BT421" s="144">
        <f t="shared" si="1373"/>
        <v>0</v>
      </c>
      <c r="BU421" s="144">
        <f t="shared" si="1373"/>
        <v>0</v>
      </c>
      <c r="BV421" s="144">
        <f t="shared" si="1373"/>
        <v>0</v>
      </c>
      <c r="BW421" s="144">
        <f t="shared" si="1373"/>
        <v>0</v>
      </c>
      <c r="BX421" s="144">
        <f t="shared" si="1373"/>
        <v>0</v>
      </c>
      <c r="BY421" s="144">
        <f t="shared" si="1373"/>
        <v>0</v>
      </c>
      <c r="BZ421" s="144">
        <f t="shared" si="1373"/>
        <v>0</v>
      </c>
      <c r="CA421" s="144">
        <f t="shared" si="1373"/>
        <v>0.0104285007691276</v>
      </c>
      <c r="CB421" s="9">
        <f t="shared" si="1373"/>
        <v>0.00073087627151324</v>
      </c>
      <c r="CC421" s="144">
        <f t="shared" si="1373"/>
        <v>0</v>
      </c>
      <c r="CD421" s="144">
        <f t="shared" si="1373"/>
        <v>0</v>
      </c>
      <c r="CE421" s="144">
        <f t="shared" si="1373"/>
        <v>0</v>
      </c>
      <c r="CF421" s="144">
        <f t="shared" si="1373"/>
        <v>0</v>
      </c>
      <c r="CG421" s="144">
        <f t="shared" si="1373"/>
        <v>0</v>
      </c>
      <c r="CH421" s="144">
        <f t="shared" si="1373"/>
        <v>0</v>
      </c>
      <c r="CI421" s="144">
        <f t="shared" si="1373"/>
        <v>0</v>
      </c>
      <c r="CJ421" s="144">
        <f t="shared" si="1373"/>
        <v>0</v>
      </c>
      <c r="CK421" s="144">
        <f t="shared" si="1373"/>
        <v>0</v>
      </c>
      <c r="CL421" s="144">
        <f t="shared" si="1373"/>
        <v>0</v>
      </c>
      <c r="CM421" s="144">
        <f t="shared" si="1373"/>
        <v>0</v>
      </c>
      <c r="CN421" s="144">
        <f t="shared" si="1373"/>
        <v>0.0202636589683088</v>
      </c>
      <c r="CO421" s="9">
        <f t="shared" si="1373"/>
        <v>0.00144196736781534</v>
      </c>
      <c r="CP421" s="144">
        <f t="shared" si="1373"/>
        <v>0</v>
      </c>
      <c r="CQ421" s="144">
        <f t="shared" si="1373"/>
        <v>0</v>
      </c>
      <c r="CR421" s="144">
        <f t="shared" si="1373"/>
        <v>0</v>
      </c>
      <c r="CS421" s="144">
        <f t="shared" si="1373"/>
        <v>0</v>
      </c>
      <c r="CT421" s="144">
        <f t="shared" si="1373"/>
        <v>0</v>
      </c>
      <c r="CU421" s="144">
        <f t="shared" si="1373"/>
        <v>0</v>
      </c>
      <c r="CV421" s="144">
        <f t="shared" si="1373"/>
        <v>0</v>
      </c>
      <c r="CW421" s="144">
        <f t="shared" si="1373"/>
        <v>0</v>
      </c>
      <c r="CX421" s="144">
        <f t="shared" si="1373"/>
        <v>0</v>
      </c>
      <c r="CY421" s="144">
        <f t="shared" si="1373"/>
        <v>0</v>
      </c>
      <c r="CZ421" s="144">
        <f t="shared" si="1373"/>
        <v>0</v>
      </c>
      <c r="DA421" s="144">
        <f t="shared" si="1373"/>
        <v>0</v>
      </c>
      <c r="DB421" s="9">
        <f t="shared" si="1373"/>
        <v>0</v>
      </c>
      <c r="DC421" s="144">
        <f t="shared" si="1373"/>
        <v>0</v>
      </c>
      <c r="DD421" s="144">
        <f t="shared" si="1373"/>
        <v>0</v>
      </c>
      <c r="DE421" s="144">
        <f t="shared" si="1373"/>
        <v>0</v>
      </c>
      <c r="DF421" s="144">
        <f t="shared" si="1373"/>
        <v>0</v>
      </c>
      <c r="DG421" s="144">
        <f t="shared" si="1373"/>
        <v>0</v>
      </c>
      <c r="DH421" s="144">
        <f t="shared" si="1373"/>
        <v>0</v>
      </c>
      <c r="DI421" s="144">
        <f t="shared" si="1373"/>
        <v>0</v>
      </c>
      <c r="DJ421" s="144">
        <f t="shared" si="1373"/>
        <v>0</v>
      </c>
      <c r="DK421" s="144">
        <f t="shared" si="1373"/>
        <v>0</v>
      </c>
      <c r="DL421" s="144">
        <f t="shared" si="1373"/>
        <v>0</v>
      </c>
      <c r="DM421" s="144">
        <f t="shared" si="1373"/>
        <v>0</v>
      </c>
      <c r="DN421" s="144">
        <f t="shared" si="1373"/>
        <v>0.0104404635152317</v>
      </c>
      <c r="DO421" s="9">
        <f t="shared" si="1373"/>
        <v>0.000809671502910144</v>
      </c>
      <c r="DP421" s="144">
        <f t="shared" si="1373"/>
        <v>0</v>
      </c>
      <c r="DQ421" s="144">
        <f t="shared" si="1373"/>
        <v>0</v>
      </c>
      <c r="DR421" s="144">
        <f t="shared" si="1373"/>
        <v>0</v>
      </c>
      <c r="DS421" s="144">
        <f t="shared" si="1373"/>
        <v>0</v>
      </c>
      <c r="DT421" s="144">
        <f t="shared" si="1373"/>
        <v>0</v>
      </c>
      <c r="DU421" s="144">
        <f t="shared" si="1373"/>
        <v>0</v>
      </c>
      <c r="DV421" s="144">
        <f t="shared" si="1373"/>
        <v>0</v>
      </c>
      <c r="DW421" s="144">
        <f t="shared" si="1373"/>
        <v>0</v>
      </c>
      <c r="DX421" s="144">
        <f t="shared" si="1373"/>
        <v>0</v>
      </c>
      <c r="DY421" s="144">
        <f t="shared" si="1373"/>
        <v>0</v>
      </c>
      <c r="DZ421" s="144">
        <f t="shared" si="1373"/>
        <v>0</v>
      </c>
      <c r="EA421" s="144">
        <f t="shared" ref="EA421:EB421" si="1374">EA209/EA$211</f>
        <v>0</v>
      </c>
      <c r="EB421" s="117">
        <f t="shared" si="1374"/>
        <v>0</v>
      </c>
      <c r="EC421" s="118"/>
      <c r="ED421" s="117">
        <f t="shared" ref="ED421:FB421" si="1375">ED209/ED$211</f>
        <v>0</v>
      </c>
      <c r="EE421" s="117">
        <f t="shared" si="1375"/>
        <v>0</v>
      </c>
      <c r="EF421" s="117">
        <f t="shared" si="1375"/>
        <v>0</v>
      </c>
      <c r="EG421" s="117" t="e">
        <f t="shared" si="1375"/>
        <v>#DIV/0!</v>
      </c>
      <c r="EH421" s="117" t="e">
        <f t="shared" si="1375"/>
        <v>#DIV/0!</v>
      </c>
      <c r="EI421" s="117" t="e">
        <f t="shared" si="1375"/>
        <v>#DIV/0!</v>
      </c>
      <c r="EJ421" s="117" t="e">
        <f t="shared" si="1375"/>
        <v>#DIV/0!</v>
      </c>
      <c r="EK421" s="117" t="e">
        <f t="shared" si="1375"/>
        <v>#DIV/0!</v>
      </c>
      <c r="EL421" s="117" t="e">
        <f t="shared" si="1375"/>
        <v>#DIV/0!</v>
      </c>
      <c r="EM421" s="117" t="e">
        <f t="shared" si="1375"/>
        <v>#DIV/0!</v>
      </c>
      <c r="EN421" s="117" t="e">
        <f t="shared" si="1375"/>
        <v>#DIV/0!</v>
      </c>
      <c r="EO421" s="116">
        <f t="shared" si="1375"/>
        <v>0</v>
      </c>
      <c r="EP421" s="117">
        <f t="shared" si="1375"/>
        <v>0</v>
      </c>
      <c r="EQ421" s="117">
        <f t="shared" si="1375"/>
        <v>0</v>
      </c>
      <c r="ER421" s="117">
        <f t="shared" si="1375"/>
        <v>0</v>
      </c>
      <c r="ES421" s="117">
        <f t="shared" si="1375"/>
        <v>0</v>
      </c>
      <c r="ET421" s="117">
        <f t="shared" si="1375"/>
        <v>0</v>
      </c>
      <c r="EU421" s="117">
        <f t="shared" si="1375"/>
        <v>0</v>
      </c>
      <c r="EV421" s="117">
        <f t="shared" si="1375"/>
        <v>0</v>
      </c>
      <c r="EW421" s="117">
        <f t="shared" si="1375"/>
        <v>0</v>
      </c>
      <c r="EX421" s="117">
        <f t="shared" si="1375"/>
        <v>0</v>
      </c>
      <c r="EY421" s="117">
        <f t="shared" si="1375"/>
        <v>0</v>
      </c>
      <c r="EZ421" s="117">
        <f t="shared" si="1375"/>
        <v>0</v>
      </c>
      <c r="FA421" s="117">
        <f t="shared" si="1375"/>
        <v>0.0111000924133643</v>
      </c>
      <c r="FB421" s="117">
        <f t="shared" si="1375"/>
        <v>0.000972601477855907</v>
      </c>
      <c r="FC421" s="118"/>
      <c r="FD421" s="117"/>
      <c r="FE421" s="117"/>
      <c r="FF421" s="117"/>
      <c r="FG421" s="117"/>
      <c r="FH421" s="117"/>
      <c r="FI421" s="117"/>
      <c r="FJ421" s="117"/>
      <c r="FK421" s="117" t="e">
        <f t="shared" ref="FK421:GB421" si="1376">FK209/FK$211</f>
        <v>#DIV/0!</v>
      </c>
      <c r="FL421" s="117" t="e">
        <f t="shared" si="1376"/>
        <v>#DIV/0!</v>
      </c>
      <c r="FM421" s="117" t="e">
        <f t="shared" si="1376"/>
        <v>#DIV/0!</v>
      </c>
      <c r="FN421" s="117" t="e">
        <f t="shared" si="1376"/>
        <v>#DIV/0!</v>
      </c>
      <c r="FO421" s="9" t="e">
        <f t="shared" si="1376"/>
        <v>#DIV/0!</v>
      </c>
      <c r="FP421" s="118">
        <f t="shared" si="1376"/>
        <v>0</v>
      </c>
      <c r="FQ421" s="117">
        <f t="shared" si="1376"/>
        <v>0</v>
      </c>
      <c r="FR421" s="117">
        <f t="shared" si="1376"/>
        <v>0</v>
      </c>
      <c r="FS421" s="117">
        <f t="shared" si="1376"/>
        <v>0</v>
      </c>
      <c r="FT421" s="117">
        <f t="shared" si="1376"/>
        <v>0</v>
      </c>
      <c r="FU421" s="117">
        <f t="shared" si="1376"/>
        <v>0</v>
      </c>
      <c r="FV421" s="117">
        <f t="shared" si="1376"/>
        <v>0</v>
      </c>
      <c r="FW421" s="117">
        <f t="shared" si="1376"/>
        <v>0</v>
      </c>
      <c r="FX421" s="117">
        <f t="shared" si="1376"/>
        <v>0</v>
      </c>
      <c r="FY421" s="117">
        <f t="shared" si="1376"/>
        <v>0</v>
      </c>
      <c r="FZ421" s="117">
        <f t="shared" si="1376"/>
        <v>0</v>
      </c>
      <c r="GA421" s="117">
        <f t="shared" si="1376"/>
        <v>0.0895818603464211</v>
      </c>
      <c r="GB421" s="116">
        <f t="shared" si="1376"/>
        <v>0.0084252294960433</v>
      </c>
    </row>
    <row r="422" spans="1:184">
      <c r="A422" s="147" t="s">
        <v>297</v>
      </c>
      <c r="B422" s="160">
        <f t="shared" si="1306"/>
        <v>-1</v>
      </c>
      <c r="C422" s="117">
        <f t="shared" ref="C422:F422" si="1377">C210/C$211</f>
        <v>0</v>
      </c>
      <c r="D422" s="117">
        <f t="shared" si="1377"/>
        <v>0</v>
      </c>
      <c r="E422" s="117">
        <f t="shared" si="1377"/>
        <v>0</v>
      </c>
      <c r="F422" s="117">
        <f t="shared" si="1377"/>
        <v>0</v>
      </c>
      <c r="G422" s="117">
        <f t="shared" ref="G422:BR422" si="1378">G210/G$211</f>
        <v>0</v>
      </c>
      <c r="H422" s="117">
        <f t="shared" si="1378"/>
        <v>0</v>
      </c>
      <c r="I422" s="117">
        <f t="shared" si="1378"/>
        <v>0</v>
      </c>
      <c r="J422" s="117">
        <f t="shared" si="1378"/>
        <v>0</v>
      </c>
      <c r="K422" s="117">
        <f t="shared" si="1378"/>
        <v>0</v>
      </c>
      <c r="L422" s="117">
        <f t="shared" si="1378"/>
        <v>0</v>
      </c>
      <c r="M422" s="117">
        <f t="shared" si="1378"/>
        <v>0</v>
      </c>
      <c r="N422" s="117">
        <f t="shared" si="1378"/>
        <v>0</v>
      </c>
      <c r="O422" s="9">
        <f t="shared" si="1378"/>
        <v>0</v>
      </c>
      <c r="P422" s="117">
        <f t="shared" si="1378"/>
        <v>0</v>
      </c>
      <c r="Q422" s="117">
        <f t="shared" si="1378"/>
        <v>0</v>
      </c>
      <c r="R422" s="117">
        <f t="shared" si="1378"/>
        <v>0</v>
      </c>
      <c r="S422" s="117">
        <f t="shared" si="1378"/>
        <v>0</v>
      </c>
      <c r="T422" s="117">
        <f t="shared" si="1378"/>
        <v>0</v>
      </c>
      <c r="U422" s="117">
        <f t="shared" si="1378"/>
        <v>0</v>
      </c>
      <c r="V422" s="117">
        <f t="shared" si="1378"/>
        <v>0</v>
      </c>
      <c r="W422" s="117">
        <f t="shared" si="1378"/>
        <v>0</v>
      </c>
      <c r="X422" s="117">
        <f t="shared" si="1378"/>
        <v>0</v>
      </c>
      <c r="Y422" s="117">
        <f t="shared" si="1378"/>
        <v>0</v>
      </c>
      <c r="Z422" s="117">
        <f t="shared" si="1378"/>
        <v>0</v>
      </c>
      <c r="AA422" s="117">
        <f t="shared" si="1378"/>
        <v>0</v>
      </c>
      <c r="AB422" s="9">
        <f t="shared" si="1378"/>
        <v>0</v>
      </c>
      <c r="AC422" s="117">
        <f t="shared" si="1378"/>
        <v>0</v>
      </c>
      <c r="AD422" s="117">
        <f t="shared" si="1378"/>
        <v>0</v>
      </c>
      <c r="AE422" s="117">
        <f t="shared" si="1378"/>
        <v>0</v>
      </c>
      <c r="AF422" s="117">
        <f t="shared" si="1378"/>
        <v>0</v>
      </c>
      <c r="AG422" s="117">
        <f t="shared" si="1378"/>
        <v>0</v>
      </c>
      <c r="AH422" s="117">
        <f t="shared" si="1378"/>
        <v>0</v>
      </c>
      <c r="AI422" s="117">
        <f t="shared" si="1378"/>
        <v>0</v>
      </c>
      <c r="AJ422" s="117">
        <f t="shared" si="1378"/>
        <v>0</v>
      </c>
      <c r="AK422" s="117">
        <f t="shared" si="1378"/>
        <v>0</v>
      </c>
      <c r="AL422" s="117">
        <f t="shared" si="1378"/>
        <v>0</v>
      </c>
      <c r="AM422" s="117">
        <f t="shared" si="1378"/>
        <v>0</v>
      </c>
      <c r="AN422" s="117">
        <f t="shared" si="1378"/>
        <v>0</v>
      </c>
      <c r="AO422" s="9">
        <f t="shared" si="1378"/>
        <v>0</v>
      </c>
      <c r="AP422" s="144">
        <f t="shared" si="1378"/>
        <v>0</v>
      </c>
      <c r="AQ422" s="144">
        <f t="shared" si="1378"/>
        <v>0</v>
      </c>
      <c r="AR422" s="144">
        <f t="shared" si="1378"/>
        <v>0</v>
      </c>
      <c r="AS422" s="144">
        <f t="shared" si="1378"/>
        <v>0</v>
      </c>
      <c r="AT422" s="144">
        <f t="shared" si="1378"/>
        <v>0</v>
      </c>
      <c r="AU422" s="144">
        <f t="shared" si="1378"/>
        <v>0</v>
      </c>
      <c r="AV422" s="144">
        <f t="shared" si="1378"/>
        <v>0</v>
      </c>
      <c r="AW422" s="144">
        <f t="shared" si="1378"/>
        <v>0</v>
      </c>
      <c r="AX422" s="144">
        <f t="shared" si="1378"/>
        <v>0</v>
      </c>
      <c r="AY422" s="144">
        <f t="shared" si="1378"/>
        <v>0</v>
      </c>
      <c r="AZ422" s="144">
        <f t="shared" si="1378"/>
        <v>0</v>
      </c>
      <c r="BA422" s="144">
        <f t="shared" si="1378"/>
        <v>0</v>
      </c>
      <c r="BB422" s="9">
        <f t="shared" si="1378"/>
        <v>0</v>
      </c>
      <c r="BC422" s="144">
        <f t="shared" si="1378"/>
        <v>0</v>
      </c>
      <c r="BD422" s="144">
        <f t="shared" si="1378"/>
        <v>0</v>
      </c>
      <c r="BE422" s="144">
        <f t="shared" si="1378"/>
        <v>0</v>
      </c>
      <c r="BF422" s="144">
        <f t="shared" si="1378"/>
        <v>0</v>
      </c>
      <c r="BG422" s="144">
        <f t="shared" si="1378"/>
        <v>0</v>
      </c>
      <c r="BH422" s="144">
        <f t="shared" si="1378"/>
        <v>0</v>
      </c>
      <c r="BI422" s="144">
        <f t="shared" si="1378"/>
        <v>0</v>
      </c>
      <c r="BJ422" s="144">
        <f t="shared" si="1378"/>
        <v>0</v>
      </c>
      <c r="BK422" s="144">
        <f t="shared" si="1378"/>
        <v>0</v>
      </c>
      <c r="BL422" s="144">
        <f t="shared" si="1378"/>
        <v>0</v>
      </c>
      <c r="BM422" s="144">
        <f t="shared" si="1378"/>
        <v>0</v>
      </c>
      <c r="BN422" s="144">
        <f t="shared" si="1378"/>
        <v>0</v>
      </c>
      <c r="BO422" s="9">
        <f t="shared" si="1378"/>
        <v>0</v>
      </c>
      <c r="BP422" s="144">
        <f t="shared" si="1378"/>
        <v>0</v>
      </c>
      <c r="BQ422" s="144">
        <f t="shared" si="1378"/>
        <v>0</v>
      </c>
      <c r="BR422" s="144">
        <f t="shared" si="1378"/>
        <v>0</v>
      </c>
      <c r="BS422" s="144">
        <f t="shared" ref="BS422:EB422" si="1379">BS210/BS$211</f>
        <v>0</v>
      </c>
      <c r="BT422" s="144">
        <f t="shared" si="1379"/>
        <v>0</v>
      </c>
      <c r="BU422" s="144">
        <f t="shared" si="1379"/>
        <v>0</v>
      </c>
      <c r="BV422" s="144">
        <f t="shared" si="1379"/>
        <v>0</v>
      </c>
      <c r="BW422" s="144">
        <f t="shared" si="1379"/>
        <v>0</v>
      </c>
      <c r="BX422" s="144">
        <f t="shared" si="1379"/>
        <v>0</v>
      </c>
      <c r="BY422" s="144">
        <f t="shared" si="1379"/>
        <v>0</v>
      </c>
      <c r="BZ422" s="144">
        <f t="shared" si="1379"/>
        <v>0</v>
      </c>
      <c r="CA422" s="144">
        <f t="shared" si="1379"/>
        <v>0</v>
      </c>
      <c r="CB422" s="9">
        <f t="shared" si="1379"/>
        <v>0</v>
      </c>
      <c r="CC422" s="144">
        <f t="shared" si="1379"/>
        <v>0</v>
      </c>
      <c r="CD422" s="144">
        <f t="shared" si="1379"/>
        <v>0</v>
      </c>
      <c r="CE422" s="144">
        <f t="shared" si="1379"/>
        <v>0</v>
      </c>
      <c r="CF422" s="144">
        <f t="shared" si="1379"/>
        <v>0</v>
      </c>
      <c r="CG422" s="144">
        <f t="shared" si="1379"/>
        <v>0</v>
      </c>
      <c r="CH422" s="144">
        <f t="shared" si="1379"/>
        <v>0</v>
      </c>
      <c r="CI422" s="144">
        <f t="shared" si="1379"/>
        <v>0</v>
      </c>
      <c r="CJ422" s="144">
        <f t="shared" si="1379"/>
        <v>0</v>
      </c>
      <c r="CK422" s="144">
        <f t="shared" si="1379"/>
        <v>0</v>
      </c>
      <c r="CL422" s="144">
        <f t="shared" si="1379"/>
        <v>0</v>
      </c>
      <c r="CM422" s="144">
        <f t="shared" si="1379"/>
        <v>0</v>
      </c>
      <c r="CN422" s="144">
        <f t="shared" si="1379"/>
        <v>0</v>
      </c>
      <c r="CO422" s="9">
        <f t="shared" si="1379"/>
        <v>0</v>
      </c>
      <c r="CP422" s="144">
        <f t="shared" si="1379"/>
        <v>0</v>
      </c>
      <c r="CQ422" s="144">
        <f t="shared" si="1379"/>
        <v>0</v>
      </c>
      <c r="CR422" s="144">
        <f t="shared" si="1379"/>
        <v>0</v>
      </c>
      <c r="CS422" s="144">
        <f t="shared" si="1379"/>
        <v>0</v>
      </c>
      <c r="CT422" s="144">
        <f t="shared" si="1379"/>
        <v>0</v>
      </c>
      <c r="CU422" s="144">
        <f t="shared" si="1379"/>
        <v>0</v>
      </c>
      <c r="CV422" s="144">
        <f t="shared" si="1379"/>
        <v>0</v>
      </c>
      <c r="CW422" s="144">
        <f t="shared" si="1379"/>
        <v>0</v>
      </c>
      <c r="CX422" s="144">
        <f t="shared" si="1379"/>
        <v>0</v>
      </c>
      <c r="CY422" s="144">
        <f t="shared" si="1379"/>
        <v>0</v>
      </c>
      <c r="CZ422" s="144">
        <f t="shared" si="1379"/>
        <v>0</v>
      </c>
      <c r="DA422" s="144">
        <f t="shared" si="1379"/>
        <v>0</v>
      </c>
      <c r="DB422" s="9">
        <f t="shared" si="1379"/>
        <v>0</v>
      </c>
      <c r="DC422" s="144">
        <f t="shared" si="1379"/>
        <v>0</v>
      </c>
      <c r="DD422" s="144">
        <f t="shared" si="1379"/>
        <v>0</v>
      </c>
      <c r="DE422" s="144">
        <f t="shared" si="1379"/>
        <v>0</v>
      </c>
      <c r="DF422" s="144">
        <f t="shared" si="1379"/>
        <v>0</v>
      </c>
      <c r="DG422" s="144">
        <f t="shared" si="1379"/>
        <v>0</v>
      </c>
      <c r="DH422" s="144">
        <f t="shared" si="1379"/>
        <v>0</v>
      </c>
      <c r="DI422" s="144">
        <f t="shared" si="1379"/>
        <v>0</v>
      </c>
      <c r="DJ422" s="144">
        <f t="shared" si="1379"/>
        <v>0</v>
      </c>
      <c r="DK422" s="144">
        <f t="shared" si="1379"/>
        <v>0</v>
      </c>
      <c r="DL422" s="144">
        <f t="shared" si="1379"/>
        <v>0</v>
      </c>
      <c r="DM422" s="144">
        <f t="shared" si="1379"/>
        <v>0</v>
      </c>
      <c r="DN422" s="144">
        <f t="shared" si="1379"/>
        <v>0</v>
      </c>
      <c r="DO422" s="9">
        <f t="shared" si="1379"/>
        <v>0</v>
      </c>
      <c r="DP422" s="144">
        <f t="shared" si="1379"/>
        <v>0</v>
      </c>
      <c r="DQ422" s="144">
        <f t="shared" si="1379"/>
        <v>0</v>
      </c>
      <c r="DR422" s="144">
        <f t="shared" si="1379"/>
        <v>0</v>
      </c>
      <c r="DS422" s="144">
        <f t="shared" si="1379"/>
        <v>0</v>
      </c>
      <c r="DT422" s="144">
        <f t="shared" si="1379"/>
        <v>0</v>
      </c>
      <c r="DU422" s="144">
        <f t="shared" si="1379"/>
        <v>0</v>
      </c>
      <c r="DV422" s="144">
        <f t="shared" si="1379"/>
        <v>0</v>
      </c>
      <c r="DW422" s="144">
        <f t="shared" si="1379"/>
        <v>0</v>
      </c>
      <c r="DX422" s="144">
        <f t="shared" si="1379"/>
        <v>0</v>
      </c>
      <c r="DY422" s="144">
        <f t="shared" si="1379"/>
        <v>0</v>
      </c>
      <c r="DZ422" s="144">
        <f t="shared" si="1379"/>
        <v>0</v>
      </c>
      <c r="EA422" s="144">
        <f t="shared" si="1379"/>
        <v>0</v>
      </c>
      <c r="EB422" s="117">
        <f t="shared" si="1379"/>
        <v>0</v>
      </c>
      <c r="EC422" s="118"/>
      <c r="ED422" s="117">
        <f t="shared" ref="ED422:FB422" si="1380">ED210/ED$211</f>
        <v>0</v>
      </c>
      <c r="EE422" s="117">
        <f t="shared" si="1380"/>
        <v>0</v>
      </c>
      <c r="EF422" s="117">
        <f t="shared" si="1380"/>
        <v>0</v>
      </c>
      <c r="EG422" s="117" t="e">
        <f t="shared" si="1380"/>
        <v>#DIV/0!</v>
      </c>
      <c r="EH422" s="117" t="e">
        <f t="shared" si="1380"/>
        <v>#DIV/0!</v>
      </c>
      <c r="EI422" s="117" t="e">
        <f t="shared" si="1380"/>
        <v>#DIV/0!</v>
      </c>
      <c r="EJ422" s="117" t="e">
        <f t="shared" si="1380"/>
        <v>#DIV/0!</v>
      </c>
      <c r="EK422" s="117" t="e">
        <f t="shared" si="1380"/>
        <v>#DIV/0!</v>
      </c>
      <c r="EL422" s="117" t="e">
        <f t="shared" si="1380"/>
        <v>#DIV/0!</v>
      </c>
      <c r="EM422" s="117" t="e">
        <f t="shared" si="1380"/>
        <v>#DIV/0!</v>
      </c>
      <c r="EN422" s="117" t="e">
        <f t="shared" si="1380"/>
        <v>#DIV/0!</v>
      </c>
      <c r="EO422" s="116">
        <f t="shared" si="1380"/>
        <v>0</v>
      </c>
      <c r="EP422" s="117">
        <f t="shared" si="1380"/>
        <v>0</v>
      </c>
      <c r="EQ422" s="117">
        <f t="shared" si="1380"/>
        <v>0</v>
      </c>
      <c r="ER422" s="117">
        <f t="shared" si="1380"/>
        <v>0</v>
      </c>
      <c r="ES422" s="117">
        <f t="shared" si="1380"/>
        <v>0</v>
      </c>
      <c r="ET422" s="117">
        <f t="shared" si="1380"/>
        <v>0</v>
      </c>
      <c r="EU422" s="117">
        <f t="shared" si="1380"/>
        <v>0</v>
      </c>
      <c r="EV422" s="117">
        <f t="shared" si="1380"/>
        <v>0</v>
      </c>
      <c r="EW422" s="117">
        <f t="shared" si="1380"/>
        <v>0</v>
      </c>
      <c r="EX422" s="117">
        <f t="shared" si="1380"/>
        <v>0</v>
      </c>
      <c r="EY422" s="117">
        <f t="shared" si="1380"/>
        <v>0</v>
      </c>
      <c r="EZ422" s="117">
        <f t="shared" si="1380"/>
        <v>0</v>
      </c>
      <c r="FA422" s="117">
        <f t="shared" si="1380"/>
        <v>0</v>
      </c>
      <c r="FB422" s="117">
        <f t="shared" si="1380"/>
        <v>0</v>
      </c>
      <c r="FC422" s="118"/>
      <c r="FD422" s="117"/>
      <c r="FE422" s="117"/>
      <c r="FF422" s="117"/>
      <c r="FG422" s="117"/>
      <c r="FH422" s="117"/>
      <c r="FI422" s="117"/>
      <c r="FJ422" s="117"/>
      <c r="FK422" s="117" t="e">
        <f t="shared" ref="FK422:FO422" si="1381">FK210/FK$211</f>
        <v>#DIV/0!</v>
      </c>
      <c r="FL422" s="117" t="e">
        <f t="shared" si="1381"/>
        <v>#DIV/0!</v>
      </c>
      <c r="FM422" s="117" t="e">
        <f t="shared" si="1381"/>
        <v>#DIV/0!</v>
      </c>
      <c r="FN422" s="117" t="e">
        <f t="shared" si="1381"/>
        <v>#DIV/0!</v>
      </c>
      <c r="FO422" s="9" t="e">
        <f t="shared" si="1381"/>
        <v>#DIV/0!</v>
      </c>
      <c r="FP422" s="118">
        <f t="shared" ref="FP422:GB422" si="1382">FP210/FP$211</f>
        <v>0</v>
      </c>
      <c r="FQ422" s="117">
        <f t="shared" si="1382"/>
        <v>0</v>
      </c>
      <c r="FR422" s="117">
        <f t="shared" si="1382"/>
        <v>0</v>
      </c>
      <c r="FS422" s="117">
        <f t="shared" si="1382"/>
        <v>0</v>
      </c>
      <c r="FT422" s="117">
        <f t="shared" si="1382"/>
        <v>0</v>
      </c>
      <c r="FU422" s="117">
        <f t="shared" si="1382"/>
        <v>0</v>
      </c>
      <c r="FV422" s="117">
        <f t="shared" si="1382"/>
        <v>0</v>
      </c>
      <c r="FW422" s="117">
        <f t="shared" si="1382"/>
        <v>0</v>
      </c>
      <c r="FX422" s="117">
        <f t="shared" si="1382"/>
        <v>0</v>
      </c>
      <c r="FY422" s="117">
        <f t="shared" si="1382"/>
        <v>0</v>
      </c>
      <c r="FZ422" s="117">
        <f t="shared" si="1382"/>
        <v>0</v>
      </c>
      <c r="GA422" s="117">
        <f t="shared" si="1382"/>
        <v>0</v>
      </c>
      <c r="GB422" s="116">
        <f t="shared" si="1382"/>
        <v>0</v>
      </c>
    </row>
    <row r="423" ht="16.5" spans="1:184">
      <c r="A423" s="148" t="s">
        <v>383</v>
      </c>
      <c r="B423" s="125">
        <f t="shared" si="1306"/>
        <v>-0.371126687657096</v>
      </c>
      <c r="C423" s="126">
        <f t="shared" ref="C423:D423" si="1383">C211/C$211</f>
        <v>1</v>
      </c>
      <c r="D423" s="126">
        <f t="shared" si="1383"/>
        <v>1</v>
      </c>
      <c r="E423" s="126">
        <f t="shared" ref="E423:F423" si="1384">E211/E$211</f>
        <v>1</v>
      </c>
      <c r="F423" s="126">
        <f t="shared" si="1384"/>
        <v>1</v>
      </c>
      <c r="G423" s="126">
        <f t="shared" ref="G423:BR423" si="1385">G211/G$211</f>
        <v>1</v>
      </c>
      <c r="H423" s="126">
        <f t="shared" si="1385"/>
        <v>1</v>
      </c>
      <c r="I423" s="126">
        <f t="shared" si="1385"/>
        <v>1</v>
      </c>
      <c r="J423" s="126">
        <f t="shared" si="1385"/>
        <v>1</v>
      </c>
      <c r="K423" s="126">
        <f t="shared" si="1385"/>
        <v>1</v>
      </c>
      <c r="L423" s="126">
        <f t="shared" si="1385"/>
        <v>1</v>
      </c>
      <c r="M423" s="126">
        <f t="shared" si="1385"/>
        <v>1</v>
      </c>
      <c r="N423" s="126">
        <f t="shared" si="1385"/>
        <v>1</v>
      </c>
      <c r="O423" s="33">
        <f t="shared" si="1385"/>
        <v>1</v>
      </c>
      <c r="P423" s="126">
        <f t="shared" si="1385"/>
        <v>1</v>
      </c>
      <c r="Q423" s="126">
        <f t="shared" si="1385"/>
        <v>1</v>
      </c>
      <c r="R423" s="126">
        <f t="shared" si="1385"/>
        <v>1</v>
      </c>
      <c r="S423" s="126">
        <f t="shared" si="1385"/>
        <v>1</v>
      </c>
      <c r="T423" s="126">
        <f t="shared" si="1385"/>
        <v>1</v>
      </c>
      <c r="U423" s="126">
        <f t="shared" si="1385"/>
        <v>1</v>
      </c>
      <c r="V423" s="126">
        <f t="shared" si="1385"/>
        <v>1</v>
      </c>
      <c r="W423" s="126">
        <f t="shared" si="1385"/>
        <v>1</v>
      </c>
      <c r="X423" s="126">
        <f t="shared" si="1385"/>
        <v>1</v>
      </c>
      <c r="Y423" s="126">
        <f t="shared" si="1385"/>
        <v>1</v>
      </c>
      <c r="Z423" s="126">
        <f t="shared" si="1385"/>
        <v>1</v>
      </c>
      <c r="AA423" s="126">
        <f t="shared" si="1385"/>
        <v>1</v>
      </c>
      <c r="AB423" s="33">
        <f t="shared" si="1385"/>
        <v>1</v>
      </c>
      <c r="AC423" s="126">
        <f t="shared" si="1385"/>
        <v>1</v>
      </c>
      <c r="AD423" s="126">
        <f t="shared" si="1385"/>
        <v>1</v>
      </c>
      <c r="AE423" s="126">
        <f t="shared" si="1385"/>
        <v>1</v>
      </c>
      <c r="AF423" s="126">
        <f t="shared" si="1385"/>
        <v>1</v>
      </c>
      <c r="AG423" s="126">
        <f t="shared" si="1385"/>
        <v>1</v>
      </c>
      <c r="AH423" s="126">
        <f t="shared" si="1385"/>
        <v>1</v>
      </c>
      <c r="AI423" s="126">
        <f t="shared" si="1385"/>
        <v>1</v>
      </c>
      <c r="AJ423" s="126">
        <f t="shared" si="1385"/>
        <v>1</v>
      </c>
      <c r="AK423" s="126">
        <f t="shared" si="1385"/>
        <v>1</v>
      </c>
      <c r="AL423" s="126">
        <f t="shared" si="1385"/>
        <v>1</v>
      </c>
      <c r="AM423" s="126">
        <f t="shared" si="1385"/>
        <v>1</v>
      </c>
      <c r="AN423" s="126">
        <f t="shared" si="1385"/>
        <v>1</v>
      </c>
      <c r="AO423" s="33">
        <f t="shared" si="1385"/>
        <v>1</v>
      </c>
      <c r="AP423" s="126">
        <f t="shared" si="1385"/>
        <v>1</v>
      </c>
      <c r="AQ423" s="126">
        <f t="shared" si="1385"/>
        <v>1</v>
      </c>
      <c r="AR423" s="126">
        <f t="shared" si="1385"/>
        <v>1</v>
      </c>
      <c r="AS423" s="126">
        <f t="shared" si="1385"/>
        <v>1</v>
      </c>
      <c r="AT423" s="126">
        <f t="shared" si="1385"/>
        <v>1</v>
      </c>
      <c r="AU423" s="126">
        <f t="shared" si="1385"/>
        <v>1</v>
      </c>
      <c r="AV423" s="126">
        <f t="shared" si="1385"/>
        <v>1</v>
      </c>
      <c r="AW423" s="126">
        <f t="shared" si="1385"/>
        <v>1</v>
      </c>
      <c r="AX423" s="126">
        <f t="shared" si="1385"/>
        <v>1</v>
      </c>
      <c r="AY423" s="126">
        <f t="shared" si="1385"/>
        <v>1</v>
      </c>
      <c r="AZ423" s="126">
        <f t="shared" si="1385"/>
        <v>1</v>
      </c>
      <c r="BA423" s="126">
        <f t="shared" si="1385"/>
        <v>1</v>
      </c>
      <c r="BB423" s="33">
        <f t="shared" si="1385"/>
        <v>1</v>
      </c>
      <c r="BC423" s="126">
        <f t="shared" si="1385"/>
        <v>1</v>
      </c>
      <c r="BD423" s="126">
        <f t="shared" si="1385"/>
        <v>1</v>
      </c>
      <c r="BE423" s="126">
        <f t="shared" si="1385"/>
        <v>1</v>
      </c>
      <c r="BF423" s="126">
        <f t="shared" si="1385"/>
        <v>1</v>
      </c>
      <c r="BG423" s="126">
        <f t="shared" si="1385"/>
        <v>1</v>
      </c>
      <c r="BH423" s="126">
        <f t="shared" si="1385"/>
        <v>1</v>
      </c>
      <c r="BI423" s="126">
        <f t="shared" si="1385"/>
        <v>1</v>
      </c>
      <c r="BJ423" s="126">
        <f t="shared" si="1385"/>
        <v>1</v>
      </c>
      <c r="BK423" s="126">
        <f t="shared" si="1385"/>
        <v>1</v>
      </c>
      <c r="BL423" s="126">
        <f t="shared" si="1385"/>
        <v>1</v>
      </c>
      <c r="BM423" s="126">
        <f t="shared" si="1385"/>
        <v>1</v>
      </c>
      <c r="BN423" s="126">
        <f t="shared" si="1385"/>
        <v>1</v>
      </c>
      <c r="BO423" s="33">
        <f t="shared" si="1385"/>
        <v>1</v>
      </c>
      <c r="BP423" s="126">
        <f t="shared" si="1385"/>
        <v>1</v>
      </c>
      <c r="BQ423" s="126">
        <f t="shared" si="1385"/>
        <v>1</v>
      </c>
      <c r="BR423" s="126">
        <f t="shared" si="1385"/>
        <v>1</v>
      </c>
      <c r="BS423" s="126">
        <f t="shared" ref="BS423:EB423" si="1386">BS211/BS$211</f>
        <v>1</v>
      </c>
      <c r="BT423" s="126">
        <f t="shared" si="1386"/>
        <v>1</v>
      </c>
      <c r="BU423" s="126">
        <f t="shared" si="1386"/>
        <v>1</v>
      </c>
      <c r="BV423" s="126">
        <f t="shared" si="1386"/>
        <v>1</v>
      </c>
      <c r="BW423" s="126">
        <f t="shared" si="1386"/>
        <v>1</v>
      </c>
      <c r="BX423" s="126">
        <f t="shared" si="1386"/>
        <v>1</v>
      </c>
      <c r="BY423" s="126">
        <f t="shared" si="1386"/>
        <v>1</v>
      </c>
      <c r="BZ423" s="126">
        <f t="shared" si="1386"/>
        <v>1</v>
      </c>
      <c r="CA423" s="126">
        <f t="shared" si="1386"/>
        <v>1</v>
      </c>
      <c r="CB423" s="33">
        <f t="shared" si="1386"/>
        <v>1</v>
      </c>
      <c r="CC423" s="126">
        <f t="shared" si="1386"/>
        <v>1</v>
      </c>
      <c r="CD423" s="126">
        <f t="shared" si="1386"/>
        <v>1</v>
      </c>
      <c r="CE423" s="126">
        <f t="shared" si="1386"/>
        <v>1</v>
      </c>
      <c r="CF423" s="126">
        <f t="shared" si="1386"/>
        <v>1</v>
      </c>
      <c r="CG423" s="126">
        <f t="shared" si="1386"/>
        <v>1</v>
      </c>
      <c r="CH423" s="126">
        <f t="shared" si="1386"/>
        <v>1</v>
      </c>
      <c r="CI423" s="126">
        <f t="shared" si="1386"/>
        <v>1</v>
      </c>
      <c r="CJ423" s="126">
        <f t="shared" si="1386"/>
        <v>1</v>
      </c>
      <c r="CK423" s="126">
        <f t="shared" si="1386"/>
        <v>1</v>
      </c>
      <c r="CL423" s="126">
        <f t="shared" si="1386"/>
        <v>1</v>
      </c>
      <c r="CM423" s="126">
        <f t="shared" si="1386"/>
        <v>1</v>
      </c>
      <c r="CN423" s="126">
        <f t="shared" si="1386"/>
        <v>1</v>
      </c>
      <c r="CO423" s="33">
        <f t="shared" si="1386"/>
        <v>1</v>
      </c>
      <c r="CP423" s="126">
        <f t="shared" si="1386"/>
        <v>1</v>
      </c>
      <c r="CQ423" s="126">
        <f t="shared" si="1386"/>
        <v>1</v>
      </c>
      <c r="CR423" s="126">
        <f t="shared" si="1386"/>
        <v>1</v>
      </c>
      <c r="CS423" s="126">
        <f t="shared" si="1386"/>
        <v>1</v>
      </c>
      <c r="CT423" s="126">
        <f t="shared" si="1386"/>
        <v>1</v>
      </c>
      <c r="CU423" s="126">
        <f t="shared" si="1386"/>
        <v>1</v>
      </c>
      <c r="CV423" s="126">
        <f t="shared" si="1386"/>
        <v>1</v>
      </c>
      <c r="CW423" s="126">
        <f t="shared" si="1386"/>
        <v>1</v>
      </c>
      <c r="CX423" s="126">
        <f t="shared" si="1386"/>
        <v>1</v>
      </c>
      <c r="CY423" s="126">
        <f t="shared" si="1386"/>
        <v>1</v>
      </c>
      <c r="CZ423" s="126">
        <f t="shared" si="1386"/>
        <v>1</v>
      </c>
      <c r="DA423" s="126">
        <f t="shared" si="1386"/>
        <v>1</v>
      </c>
      <c r="DB423" s="33">
        <f t="shared" si="1386"/>
        <v>1</v>
      </c>
      <c r="DC423" s="126">
        <f t="shared" si="1386"/>
        <v>1</v>
      </c>
      <c r="DD423" s="126">
        <f t="shared" si="1386"/>
        <v>1</v>
      </c>
      <c r="DE423" s="126">
        <f t="shared" si="1386"/>
        <v>1</v>
      </c>
      <c r="DF423" s="126">
        <f t="shared" si="1386"/>
        <v>1</v>
      </c>
      <c r="DG423" s="126">
        <f t="shared" si="1386"/>
        <v>1</v>
      </c>
      <c r="DH423" s="126">
        <f t="shared" si="1386"/>
        <v>1</v>
      </c>
      <c r="DI423" s="126">
        <f t="shared" si="1386"/>
        <v>1</v>
      </c>
      <c r="DJ423" s="126">
        <f t="shared" si="1386"/>
        <v>1</v>
      </c>
      <c r="DK423" s="126">
        <f t="shared" si="1386"/>
        <v>1</v>
      </c>
      <c r="DL423" s="126">
        <f t="shared" si="1386"/>
        <v>1</v>
      </c>
      <c r="DM423" s="126">
        <f t="shared" si="1386"/>
        <v>1</v>
      </c>
      <c r="DN423" s="126">
        <f t="shared" si="1386"/>
        <v>1</v>
      </c>
      <c r="DO423" s="33">
        <f t="shared" si="1386"/>
        <v>1</v>
      </c>
      <c r="DP423" s="126">
        <f t="shared" si="1386"/>
        <v>1</v>
      </c>
      <c r="DQ423" s="126">
        <f t="shared" si="1386"/>
        <v>1</v>
      </c>
      <c r="DR423" s="126">
        <f t="shared" si="1386"/>
        <v>1</v>
      </c>
      <c r="DS423" s="126">
        <f t="shared" si="1386"/>
        <v>1</v>
      </c>
      <c r="DT423" s="126">
        <f t="shared" si="1386"/>
        <v>1</v>
      </c>
      <c r="DU423" s="126">
        <f t="shared" si="1386"/>
        <v>1</v>
      </c>
      <c r="DV423" s="126">
        <f t="shared" si="1386"/>
        <v>1</v>
      </c>
      <c r="DW423" s="126">
        <f t="shared" si="1386"/>
        <v>1</v>
      </c>
      <c r="DX423" s="126">
        <f t="shared" si="1386"/>
        <v>1</v>
      </c>
      <c r="DY423" s="126">
        <f t="shared" si="1386"/>
        <v>1</v>
      </c>
      <c r="DZ423" s="126">
        <f t="shared" si="1386"/>
        <v>1</v>
      </c>
      <c r="EA423" s="126">
        <f t="shared" si="1386"/>
        <v>1</v>
      </c>
      <c r="EB423" s="126">
        <f t="shared" si="1386"/>
        <v>1</v>
      </c>
      <c r="EC423" s="127"/>
      <c r="ED423" s="126">
        <f t="shared" ref="ED423:FB423" si="1387">ED211/ED$211</f>
        <v>1</v>
      </c>
      <c r="EE423" s="126">
        <f t="shared" si="1387"/>
        <v>1</v>
      </c>
      <c r="EF423" s="126">
        <f t="shared" si="1387"/>
        <v>1</v>
      </c>
      <c r="EG423" s="126" t="e">
        <f t="shared" si="1387"/>
        <v>#DIV/0!</v>
      </c>
      <c r="EH423" s="126" t="e">
        <f t="shared" si="1387"/>
        <v>#DIV/0!</v>
      </c>
      <c r="EI423" s="126" t="e">
        <f t="shared" si="1387"/>
        <v>#DIV/0!</v>
      </c>
      <c r="EJ423" s="126" t="e">
        <f t="shared" si="1387"/>
        <v>#DIV/0!</v>
      </c>
      <c r="EK423" s="126" t="e">
        <f t="shared" si="1387"/>
        <v>#DIV/0!</v>
      </c>
      <c r="EL423" s="126" t="e">
        <f t="shared" si="1387"/>
        <v>#DIV/0!</v>
      </c>
      <c r="EM423" s="126" t="e">
        <f t="shared" si="1387"/>
        <v>#DIV/0!</v>
      </c>
      <c r="EN423" s="126" t="e">
        <f t="shared" si="1387"/>
        <v>#DIV/0!</v>
      </c>
      <c r="EO423" s="161">
        <f t="shared" si="1387"/>
        <v>1</v>
      </c>
      <c r="EP423" s="126">
        <f t="shared" si="1387"/>
        <v>1</v>
      </c>
      <c r="EQ423" s="126">
        <f t="shared" si="1387"/>
        <v>1</v>
      </c>
      <c r="ER423" s="126">
        <f t="shared" si="1387"/>
        <v>1</v>
      </c>
      <c r="ES423" s="126">
        <f t="shared" si="1387"/>
        <v>1</v>
      </c>
      <c r="ET423" s="126">
        <f t="shared" si="1387"/>
        <v>1</v>
      </c>
      <c r="EU423" s="126">
        <f t="shared" si="1387"/>
        <v>1</v>
      </c>
      <c r="EV423" s="126">
        <f t="shared" si="1387"/>
        <v>1</v>
      </c>
      <c r="EW423" s="126">
        <f t="shared" si="1387"/>
        <v>1</v>
      </c>
      <c r="EX423" s="126">
        <f t="shared" si="1387"/>
        <v>1</v>
      </c>
      <c r="EY423" s="126">
        <f t="shared" si="1387"/>
        <v>1</v>
      </c>
      <c r="EZ423" s="126">
        <f t="shared" si="1387"/>
        <v>1</v>
      </c>
      <c r="FA423" s="126">
        <f t="shared" si="1387"/>
        <v>1</v>
      </c>
      <c r="FB423" s="126">
        <f t="shared" si="1387"/>
        <v>1</v>
      </c>
      <c r="FC423" s="127"/>
      <c r="FD423" s="126"/>
      <c r="FE423" s="126"/>
      <c r="FF423" s="126"/>
      <c r="FG423" s="126"/>
      <c r="FH423" s="126"/>
      <c r="FI423" s="126"/>
      <c r="FJ423" s="126"/>
      <c r="FK423" s="126" t="e">
        <f t="shared" ref="FK423:FO423" si="1388">FK211/FK$211</f>
        <v>#DIV/0!</v>
      </c>
      <c r="FL423" s="126" t="e">
        <f t="shared" si="1388"/>
        <v>#DIV/0!</v>
      </c>
      <c r="FM423" s="126" t="e">
        <f t="shared" si="1388"/>
        <v>#DIV/0!</v>
      </c>
      <c r="FN423" s="126" t="e">
        <f t="shared" si="1388"/>
        <v>#DIV/0!</v>
      </c>
      <c r="FO423" s="162" t="e">
        <f t="shared" si="1388"/>
        <v>#DIV/0!</v>
      </c>
      <c r="FP423" s="127">
        <f t="shared" ref="FP423:GB423" si="1389">FP211/FP$211</f>
        <v>1</v>
      </c>
      <c r="FQ423" s="126">
        <f t="shared" si="1389"/>
        <v>1</v>
      </c>
      <c r="FR423" s="126">
        <f t="shared" si="1389"/>
        <v>1</v>
      </c>
      <c r="FS423" s="126">
        <f t="shared" si="1389"/>
        <v>1</v>
      </c>
      <c r="FT423" s="126">
        <f t="shared" si="1389"/>
        <v>1</v>
      </c>
      <c r="FU423" s="126">
        <f t="shared" si="1389"/>
        <v>1</v>
      </c>
      <c r="FV423" s="126">
        <f t="shared" si="1389"/>
        <v>1</v>
      </c>
      <c r="FW423" s="126">
        <f t="shared" si="1389"/>
        <v>1</v>
      </c>
      <c r="FX423" s="126">
        <f t="shared" si="1389"/>
        <v>1</v>
      </c>
      <c r="FY423" s="126">
        <f t="shared" si="1389"/>
        <v>1</v>
      </c>
      <c r="FZ423" s="126">
        <f t="shared" si="1389"/>
        <v>1</v>
      </c>
      <c r="GA423" s="126">
        <f t="shared" si="1389"/>
        <v>1</v>
      </c>
      <c r="GB423" s="161">
        <f t="shared" si="1389"/>
        <v>1</v>
      </c>
    </row>
  </sheetData>
  <autoFilter xmlns:etc="http://www.wps.cn/officeDocument/2017/etCustomData" ref="A2:GD21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275"/>
  <sheetViews>
    <sheetView zoomScale="85" zoomScaleNormal="85" workbookViewId="0">
      <pane xSplit="1" ySplit="4" topLeftCell="B114" activePane="bottomRight" state="frozen"/>
      <selection/>
      <selection pane="topRight"/>
      <selection pane="bottomLeft"/>
      <selection pane="bottomRight" activeCell="I128" sqref="I128"/>
    </sheetView>
  </sheetViews>
  <sheetFormatPr defaultColWidth="9" defaultRowHeight="15.75"/>
  <cols>
    <col min="1" max="1" width="17.2035398230088" style="56" customWidth="1"/>
    <col min="2" max="5" width="14.1327433628319" style="1" customWidth="1" outlineLevel="1"/>
    <col min="6" max="6" width="16.2654867256637" style="1" customWidth="1"/>
    <col min="7" max="10" width="15.2035398230088" style="1" customWidth="1" outlineLevel="3"/>
    <col min="11" max="11" width="15.2654867256637" style="1" customWidth="1" outlineLevel="2"/>
    <col min="12" max="15" width="15.2035398230088" style="1" customWidth="1" outlineLevel="3"/>
    <col min="16" max="16" width="15.2654867256637" style="1" customWidth="1" outlineLevel="2"/>
    <col min="17" max="20" width="15.2035398230088" style="1" customWidth="1" outlineLevel="2"/>
    <col min="21" max="21" width="14.070796460177" style="1" customWidth="1" outlineLevel="1"/>
    <col min="22" max="25" width="15.2035398230088" style="1" customWidth="1" outlineLevel="2"/>
    <col min="26" max="26" width="15.2035398230088" style="1" customWidth="1" outlineLevel="1"/>
    <col min="27" max="30" width="15.2035398230088" style="1" customWidth="1" outlineLevel="2"/>
    <col min="31" max="31" width="15.2035398230088" style="1" customWidth="1" outlineLevel="1"/>
    <col min="32" max="35" width="15.2035398230088" style="1" customWidth="1" outlineLevel="2"/>
    <col min="36" max="36" width="15.2035398230088" style="1" customWidth="1" outlineLevel="1"/>
    <col min="37" max="40" width="15.2035398230088" style="1" customWidth="1" outlineLevel="2"/>
    <col min="41" max="41" width="15.2035398230088" style="1" customWidth="1" outlineLevel="1"/>
    <col min="42" max="42" width="10.6017699115044" style="1" customWidth="1" outlineLevel="2"/>
    <col min="43" max="45" width="11.7345132743363" style="1" customWidth="1" outlineLevel="2"/>
    <col min="46" max="46" width="14" style="1" customWidth="1" outlineLevel="1"/>
    <col min="47" max="47" width="11.7964601769912" style="1" customWidth="1" outlineLevel="2"/>
    <col min="48" max="50" width="12.929203539823" style="1" customWidth="1" outlineLevel="2"/>
    <col min="51" max="51" width="16.7345132743363" style="1" customWidth="1" outlineLevel="1"/>
    <col min="53" max="16384" width="9" style="1"/>
  </cols>
  <sheetData>
    <row r="1" s="55" customFormat="1" ht="16.5" spans="1:51">
      <c r="A1" s="60" t="s">
        <v>384</v>
      </c>
      <c r="B1" s="61" t="s">
        <v>2</v>
      </c>
      <c r="C1" s="61"/>
      <c r="D1" s="61"/>
      <c r="E1" s="61"/>
      <c r="F1" s="62"/>
      <c r="G1" s="63" t="s">
        <v>3</v>
      </c>
      <c r="H1" s="63"/>
      <c r="I1" s="63"/>
      <c r="J1" s="63"/>
      <c r="K1" s="64"/>
      <c r="L1" s="63" t="s">
        <v>4</v>
      </c>
      <c r="M1" s="63"/>
      <c r="N1" s="63"/>
      <c r="O1" s="63"/>
      <c r="P1" s="64"/>
      <c r="Q1" s="63" t="s">
        <v>5</v>
      </c>
      <c r="R1" s="63"/>
      <c r="S1" s="63"/>
      <c r="T1" s="63"/>
      <c r="U1" s="64"/>
      <c r="V1" s="63" t="s">
        <v>6</v>
      </c>
      <c r="W1" s="63"/>
      <c r="X1" s="63"/>
      <c r="Y1" s="63"/>
      <c r="Z1" s="64"/>
      <c r="AA1" s="63" t="s">
        <v>7</v>
      </c>
      <c r="AB1" s="63"/>
      <c r="AC1" s="63"/>
      <c r="AD1" s="63"/>
      <c r="AE1" s="64"/>
      <c r="AF1" s="63" t="s">
        <v>8</v>
      </c>
      <c r="AG1" s="63"/>
      <c r="AH1" s="63"/>
      <c r="AI1" s="63"/>
      <c r="AJ1" s="64"/>
      <c r="AK1" s="63" t="s">
        <v>9</v>
      </c>
      <c r="AL1" s="63"/>
      <c r="AM1" s="63"/>
      <c r="AN1" s="63"/>
      <c r="AO1" s="64"/>
      <c r="AP1" s="63" t="s">
        <v>10</v>
      </c>
      <c r="AQ1" s="63"/>
      <c r="AR1" s="63"/>
      <c r="AS1" s="63"/>
      <c r="AT1" s="64"/>
      <c r="AU1" s="63" t="s">
        <v>11</v>
      </c>
      <c r="AV1" s="63"/>
      <c r="AW1" s="63"/>
      <c r="AX1" s="63"/>
      <c r="AY1" s="63"/>
    </row>
    <row r="2" s="55" customFormat="1" ht="16.5" spans="1:51">
      <c r="A2" s="132" t="s">
        <v>18</v>
      </c>
      <c r="B2" s="135" t="s">
        <v>20</v>
      </c>
      <c r="C2" s="135" t="s">
        <v>21</v>
      </c>
      <c r="D2" s="135">
        <v>45717</v>
      </c>
      <c r="E2" s="135">
        <v>45748</v>
      </c>
      <c r="F2" s="136" t="s">
        <v>385</v>
      </c>
      <c r="G2" s="71" t="s">
        <v>20</v>
      </c>
      <c r="H2" s="71" t="s">
        <v>21</v>
      </c>
      <c r="I2" s="71">
        <v>45717</v>
      </c>
      <c r="J2" s="71">
        <v>45748</v>
      </c>
      <c r="K2" s="72" t="s">
        <v>385</v>
      </c>
      <c r="L2" s="71" t="s">
        <v>20</v>
      </c>
      <c r="M2" s="71" t="s">
        <v>21</v>
      </c>
      <c r="N2" s="71">
        <v>45717</v>
      </c>
      <c r="O2" s="71">
        <v>45748</v>
      </c>
      <c r="P2" s="72" t="s">
        <v>385</v>
      </c>
      <c r="Q2" s="71" t="s">
        <v>20</v>
      </c>
      <c r="R2" s="71" t="s">
        <v>21</v>
      </c>
      <c r="S2" s="71">
        <v>45717</v>
      </c>
      <c r="T2" s="71">
        <v>45748</v>
      </c>
      <c r="U2" s="72" t="s">
        <v>385</v>
      </c>
      <c r="V2" s="71" t="s">
        <v>20</v>
      </c>
      <c r="W2" s="71" t="s">
        <v>21</v>
      </c>
      <c r="X2" s="71">
        <v>45717</v>
      </c>
      <c r="Y2" s="71">
        <v>45748</v>
      </c>
      <c r="Z2" s="72" t="s">
        <v>385</v>
      </c>
      <c r="AA2" s="71" t="s">
        <v>20</v>
      </c>
      <c r="AB2" s="71" t="s">
        <v>21</v>
      </c>
      <c r="AC2" s="71">
        <v>45717</v>
      </c>
      <c r="AD2" s="71">
        <v>45748</v>
      </c>
      <c r="AE2" s="72" t="s">
        <v>385</v>
      </c>
      <c r="AF2" s="71" t="s">
        <v>20</v>
      </c>
      <c r="AG2" s="71" t="s">
        <v>21</v>
      </c>
      <c r="AH2" s="71">
        <v>45717</v>
      </c>
      <c r="AI2" s="71">
        <v>45748</v>
      </c>
      <c r="AJ2" s="72" t="s">
        <v>385</v>
      </c>
      <c r="AK2" s="71" t="s">
        <v>20</v>
      </c>
      <c r="AL2" s="71" t="s">
        <v>21</v>
      </c>
      <c r="AM2" s="71">
        <v>45717</v>
      </c>
      <c r="AN2" s="71">
        <v>45748</v>
      </c>
      <c r="AO2" s="72" t="s">
        <v>385</v>
      </c>
      <c r="AP2" s="71" t="s">
        <v>20</v>
      </c>
      <c r="AQ2" s="71" t="s">
        <v>21</v>
      </c>
      <c r="AR2" s="71">
        <v>45717</v>
      </c>
      <c r="AS2" s="71">
        <v>45748</v>
      </c>
      <c r="AT2" s="72" t="s">
        <v>385</v>
      </c>
      <c r="AU2" s="71" t="s">
        <v>20</v>
      </c>
      <c r="AV2" s="71" t="s">
        <v>21</v>
      </c>
      <c r="AW2" s="71">
        <v>45717</v>
      </c>
      <c r="AX2" s="71">
        <v>45748</v>
      </c>
      <c r="AY2" s="73" t="s">
        <v>385</v>
      </c>
    </row>
    <row r="3" spans="1:51">
      <c r="A3" s="137" t="s">
        <v>25</v>
      </c>
      <c r="B3" s="138"/>
      <c r="C3" s="138"/>
      <c r="D3" s="138"/>
      <c r="E3" s="138"/>
      <c r="F3" s="86"/>
      <c r="G3" s="138"/>
      <c r="H3" s="138"/>
      <c r="I3" s="138"/>
      <c r="J3" s="138"/>
      <c r="K3" s="86"/>
      <c r="L3" s="138"/>
      <c r="M3" s="138"/>
      <c r="N3" s="138"/>
      <c r="O3" s="138"/>
      <c r="P3" s="86"/>
      <c r="Q3" s="138"/>
      <c r="R3" s="138"/>
      <c r="S3" s="138"/>
      <c r="T3" s="138"/>
      <c r="U3" s="86"/>
      <c r="V3" s="138"/>
      <c r="W3" s="138"/>
      <c r="X3" s="138"/>
      <c r="Y3" s="138"/>
      <c r="Z3" s="86"/>
      <c r="AA3" s="138"/>
      <c r="AB3" s="138"/>
      <c r="AC3" s="138"/>
      <c r="AD3" s="138"/>
      <c r="AE3" s="86"/>
      <c r="AF3" s="138"/>
      <c r="AG3" s="138"/>
      <c r="AH3" s="138"/>
      <c r="AI3" s="138"/>
      <c r="AJ3" s="86"/>
      <c r="AK3" s="138"/>
      <c r="AL3" s="138"/>
      <c r="AM3" s="138"/>
      <c r="AN3" s="138"/>
      <c r="AO3" s="86"/>
      <c r="AP3" s="138"/>
      <c r="AQ3" s="138"/>
      <c r="AR3" s="138"/>
      <c r="AS3" s="138"/>
      <c r="AT3" s="86"/>
      <c r="AU3" s="138"/>
      <c r="AV3" s="138"/>
      <c r="AW3" s="138"/>
      <c r="AX3" s="138"/>
      <c r="AY3" s="85"/>
    </row>
    <row r="4" spans="1:51">
      <c r="A4" s="137" t="s">
        <v>31</v>
      </c>
      <c r="B4" s="138"/>
      <c r="C4" s="138"/>
      <c r="D4" s="138"/>
      <c r="E4" s="138"/>
      <c r="F4" s="86"/>
      <c r="G4" s="138"/>
      <c r="H4" s="138"/>
      <c r="I4" s="138"/>
      <c r="J4" s="138"/>
      <c r="K4" s="86"/>
      <c r="L4" s="138"/>
      <c r="M4" s="138"/>
      <c r="N4" s="138"/>
      <c r="O4" s="138"/>
      <c r="P4" s="86"/>
      <c r="Q4" s="138"/>
      <c r="R4" s="138"/>
      <c r="S4" s="138"/>
      <c r="T4" s="138"/>
      <c r="U4" s="86"/>
      <c r="V4" s="138"/>
      <c r="W4" s="138"/>
      <c r="X4" s="138"/>
      <c r="Y4" s="138"/>
      <c r="Z4" s="86"/>
      <c r="AA4" s="138"/>
      <c r="AB4" s="138"/>
      <c r="AC4" s="138"/>
      <c r="AD4" s="138"/>
      <c r="AE4" s="86"/>
      <c r="AF4" s="138"/>
      <c r="AG4" s="138"/>
      <c r="AH4" s="138"/>
      <c r="AI4" s="138"/>
      <c r="AJ4" s="86"/>
      <c r="AK4" s="138"/>
      <c r="AL4" s="138"/>
      <c r="AM4" s="138"/>
      <c r="AN4" s="138"/>
      <c r="AO4" s="86"/>
      <c r="AP4" s="138"/>
      <c r="AQ4" s="138"/>
      <c r="AR4" s="138"/>
      <c r="AS4" s="138"/>
      <c r="AT4" s="86"/>
      <c r="AU4" s="138"/>
      <c r="AV4" s="138"/>
      <c r="AW4" s="138"/>
      <c r="AX4" s="138"/>
      <c r="AY4" s="85"/>
    </row>
    <row r="5" spans="1:51">
      <c r="A5" s="137" t="s">
        <v>33</v>
      </c>
      <c r="B5" s="138"/>
      <c r="C5" s="138"/>
      <c r="D5" s="138"/>
      <c r="E5" s="138"/>
      <c r="F5" s="86"/>
      <c r="G5" s="138"/>
      <c r="H5" s="138"/>
      <c r="I5" s="138"/>
      <c r="J5" s="138"/>
      <c r="K5" s="86"/>
      <c r="L5" s="138"/>
      <c r="M5" s="138"/>
      <c r="N5" s="138"/>
      <c r="O5" s="138"/>
      <c r="P5" s="86"/>
      <c r="Q5" s="138"/>
      <c r="R5" s="138"/>
      <c r="S5" s="138"/>
      <c r="T5" s="138"/>
      <c r="U5" s="86"/>
      <c r="V5" s="138"/>
      <c r="W5" s="138"/>
      <c r="X5" s="138"/>
      <c r="Y5" s="138"/>
      <c r="Z5" s="86"/>
      <c r="AA5" s="138"/>
      <c r="AB5" s="138"/>
      <c r="AC5" s="138"/>
      <c r="AD5" s="138"/>
      <c r="AE5" s="86"/>
      <c r="AF5" s="138"/>
      <c r="AG5" s="138"/>
      <c r="AH5" s="138"/>
      <c r="AI5" s="138"/>
      <c r="AJ5" s="86"/>
      <c r="AK5" s="138"/>
      <c r="AL5" s="138"/>
      <c r="AM5" s="138"/>
      <c r="AN5" s="138"/>
      <c r="AO5" s="86"/>
      <c r="AP5" s="138"/>
      <c r="AQ5" s="138"/>
      <c r="AR5" s="138"/>
      <c r="AS5" s="138"/>
      <c r="AT5" s="86"/>
      <c r="AU5" s="138"/>
      <c r="AV5" s="138"/>
      <c r="AW5" s="138"/>
      <c r="AX5" s="138"/>
      <c r="AY5" s="85"/>
    </row>
    <row r="6" spans="1:51">
      <c r="A6" s="137" t="s">
        <v>35</v>
      </c>
      <c r="B6" s="138"/>
      <c r="C6" s="138"/>
      <c r="D6" s="138"/>
      <c r="E6" s="138"/>
      <c r="F6" s="86"/>
      <c r="G6" s="138"/>
      <c r="H6" s="138"/>
      <c r="I6" s="138"/>
      <c r="J6" s="138"/>
      <c r="K6" s="86"/>
      <c r="L6" s="138"/>
      <c r="M6" s="138"/>
      <c r="N6" s="138"/>
      <c r="O6" s="138"/>
      <c r="P6" s="86"/>
      <c r="Q6" s="138"/>
      <c r="R6" s="138"/>
      <c r="S6" s="138"/>
      <c r="T6" s="138"/>
      <c r="U6" s="86"/>
      <c r="V6" s="138"/>
      <c r="W6" s="138"/>
      <c r="X6" s="138"/>
      <c r="Y6" s="138"/>
      <c r="Z6" s="86"/>
      <c r="AA6" s="138"/>
      <c r="AB6" s="138"/>
      <c r="AC6" s="138"/>
      <c r="AD6" s="138"/>
      <c r="AE6" s="86"/>
      <c r="AF6" s="138"/>
      <c r="AG6" s="138"/>
      <c r="AH6" s="138"/>
      <c r="AI6" s="138"/>
      <c r="AJ6" s="86"/>
      <c r="AK6" s="138"/>
      <c r="AL6" s="138"/>
      <c r="AM6" s="138"/>
      <c r="AN6" s="138"/>
      <c r="AO6" s="86"/>
      <c r="AP6" s="138"/>
      <c r="AQ6" s="138"/>
      <c r="AR6" s="138"/>
      <c r="AS6" s="138"/>
      <c r="AT6" s="86"/>
      <c r="AU6" s="138"/>
      <c r="AV6" s="138"/>
      <c r="AW6" s="138"/>
      <c r="AX6" s="138"/>
      <c r="AY6" s="85"/>
    </row>
    <row r="7" spans="1:51">
      <c r="A7" s="137" t="s">
        <v>37</v>
      </c>
      <c r="B7" s="138"/>
      <c r="C7" s="138"/>
      <c r="D7" s="138"/>
      <c r="E7" s="138"/>
      <c r="F7" s="86"/>
      <c r="G7" s="138"/>
      <c r="H7" s="138"/>
      <c r="I7" s="138"/>
      <c r="J7" s="138"/>
      <c r="K7" s="86"/>
      <c r="L7" s="138"/>
      <c r="M7" s="138"/>
      <c r="N7" s="138"/>
      <c r="O7" s="138"/>
      <c r="P7" s="86"/>
      <c r="Q7" s="138"/>
      <c r="R7" s="138"/>
      <c r="S7" s="138"/>
      <c r="T7" s="138"/>
      <c r="U7" s="86"/>
      <c r="V7" s="138"/>
      <c r="W7" s="138"/>
      <c r="X7" s="138"/>
      <c r="Y7" s="138"/>
      <c r="Z7" s="86"/>
      <c r="AA7" s="138"/>
      <c r="AB7" s="138"/>
      <c r="AC7" s="138"/>
      <c r="AD7" s="138"/>
      <c r="AE7" s="86"/>
      <c r="AF7" s="138"/>
      <c r="AG7" s="138"/>
      <c r="AH7" s="138"/>
      <c r="AI7" s="138"/>
      <c r="AJ7" s="86"/>
      <c r="AK7" s="138"/>
      <c r="AL7" s="138"/>
      <c r="AM7" s="138"/>
      <c r="AN7" s="138"/>
      <c r="AO7" s="86"/>
      <c r="AP7" s="138"/>
      <c r="AQ7" s="138"/>
      <c r="AR7" s="138"/>
      <c r="AS7" s="138"/>
      <c r="AT7" s="86"/>
      <c r="AU7" s="138"/>
      <c r="AV7" s="138"/>
      <c r="AW7" s="138"/>
      <c r="AX7" s="138"/>
      <c r="AY7" s="85"/>
    </row>
    <row r="8" spans="1:51">
      <c r="A8" s="137" t="s">
        <v>40</v>
      </c>
      <c r="B8" s="138"/>
      <c r="C8" s="138"/>
      <c r="D8" s="138"/>
      <c r="E8" s="138"/>
      <c r="F8" s="86"/>
      <c r="G8" s="138"/>
      <c r="H8" s="138"/>
      <c r="I8" s="138"/>
      <c r="J8" s="138"/>
      <c r="K8" s="86"/>
      <c r="L8" s="138"/>
      <c r="M8" s="138"/>
      <c r="N8" s="138"/>
      <c r="O8" s="138"/>
      <c r="P8" s="86"/>
      <c r="Q8" s="138"/>
      <c r="R8" s="138"/>
      <c r="S8" s="138"/>
      <c r="T8" s="138"/>
      <c r="U8" s="86"/>
      <c r="V8" s="138"/>
      <c r="W8" s="138"/>
      <c r="X8" s="138"/>
      <c r="Y8" s="138"/>
      <c r="Z8" s="86"/>
      <c r="AA8" s="138"/>
      <c r="AB8" s="138"/>
      <c r="AC8" s="138"/>
      <c r="AD8" s="138"/>
      <c r="AE8" s="86"/>
      <c r="AF8" s="138"/>
      <c r="AG8" s="138"/>
      <c r="AH8" s="138"/>
      <c r="AI8" s="138"/>
      <c r="AJ8" s="86"/>
      <c r="AK8" s="138"/>
      <c r="AL8" s="138"/>
      <c r="AM8" s="138"/>
      <c r="AN8" s="138"/>
      <c r="AO8" s="86"/>
      <c r="AP8" s="138"/>
      <c r="AQ8" s="138"/>
      <c r="AR8" s="138"/>
      <c r="AS8" s="138"/>
      <c r="AT8" s="86"/>
      <c r="AU8" s="138"/>
      <c r="AV8" s="138"/>
      <c r="AW8" s="138"/>
      <c r="AX8" s="138"/>
      <c r="AY8" s="85"/>
    </row>
    <row r="9" spans="1:51">
      <c r="A9" s="137" t="s">
        <v>43</v>
      </c>
      <c r="B9" s="138"/>
      <c r="C9" s="138"/>
      <c r="D9" s="138"/>
      <c r="E9" s="138"/>
      <c r="F9" s="86"/>
      <c r="G9" s="138"/>
      <c r="H9" s="138"/>
      <c r="I9" s="138"/>
      <c r="J9" s="138"/>
      <c r="K9" s="86"/>
      <c r="L9" s="138"/>
      <c r="M9" s="138"/>
      <c r="N9" s="138"/>
      <c r="O9" s="138"/>
      <c r="P9" s="86"/>
      <c r="Q9" s="138"/>
      <c r="R9" s="138"/>
      <c r="S9" s="138"/>
      <c r="T9" s="138"/>
      <c r="U9" s="86"/>
      <c r="V9" s="138"/>
      <c r="W9" s="138"/>
      <c r="X9" s="138"/>
      <c r="Y9" s="138"/>
      <c r="Z9" s="86"/>
      <c r="AA9" s="138"/>
      <c r="AB9" s="138"/>
      <c r="AC9" s="138"/>
      <c r="AD9" s="138"/>
      <c r="AE9" s="86"/>
      <c r="AF9" s="138"/>
      <c r="AG9" s="138"/>
      <c r="AH9" s="138"/>
      <c r="AI9" s="138"/>
      <c r="AJ9" s="86"/>
      <c r="AK9" s="138"/>
      <c r="AL9" s="138"/>
      <c r="AM9" s="138"/>
      <c r="AN9" s="138"/>
      <c r="AO9" s="86"/>
      <c r="AP9" s="138"/>
      <c r="AQ9" s="138"/>
      <c r="AR9" s="138"/>
      <c r="AS9" s="138"/>
      <c r="AT9" s="86"/>
      <c r="AU9" s="138"/>
      <c r="AV9" s="138"/>
      <c r="AW9" s="138"/>
      <c r="AX9" s="138"/>
      <c r="AY9" s="85"/>
    </row>
    <row r="10" spans="1:51">
      <c r="A10" s="137" t="s">
        <v>45</v>
      </c>
      <c r="B10" s="138"/>
      <c r="C10" s="138"/>
      <c r="D10" s="138"/>
      <c r="E10" s="138"/>
      <c r="F10" s="86"/>
      <c r="G10" s="138"/>
      <c r="H10" s="138"/>
      <c r="I10" s="138"/>
      <c r="J10" s="138"/>
      <c r="K10" s="86"/>
      <c r="L10" s="138"/>
      <c r="M10" s="138"/>
      <c r="N10" s="138"/>
      <c r="O10" s="138"/>
      <c r="P10" s="86"/>
      <c r="Q10" s="138"/>
      <c r="R10" s="138"/>
      <c r="S10" s="138"/>
      <c r="T10" s="138"/>
      <c r="U10" s="86"/>
      <c r="V10" s="138"/>
      <c r="W10" s="138"/>
      <c r="X10" s="138"/>
      <c r="Y10" s="138"/>
      <c r="Z10" s="86"/>
      <c r="AA10" s="138"/>
      <c r="AB10" s="138"/>
      <c r="AC10" s="138"/>
      <c r="AD10" s="138"/>
      <c r="AE10" s="86"/>
      <c r="AF10" s="138"/>
      <c r="AG10" s="138"/>
      <c r="AH10" s="138"/>
      <c r="AI10" s="138"/>
      <c r="AJ10" s="86"/>
      <c r="AK10" s="138"/>
      <c r="AL10" s="138"/>
      <c r="AM10" s="138"/>
      <c r="AN10" s="138"/>
      <c r="AO10" s="86"/>
      <c r="AP10" s="138"/>
      <c r="AQ10" s="138"/>
      <c r="AR10" s="138"/>
      <c r="AS10" s="138"/>
      <c r="AT10" s="86"/>
      <c r="AU10" s="138"/>
      <c r="AV10" s="138"/>
      <c r="AW10" s="138"/>
      <c r="AX10" s="138"/>
      <c r="AY10" s="85"/>
    </row>
    <row r="11" spans="1:51">
      <c r="A11" s="137" t="s">
        <v>47</v>
      </c>
      <c r="B11" s="138"/>
      <c r="C11" s="138"/>
      <c r="D11" s="138"/>
      <c r="E11" s="138"/>
      <c r="F11" s="86"/>
      <c r="G11" s="138"/>
      <c r="H11" s="138"/>
      <c r="I11" s="138"/>
      <c r="J11" s="138"/>
      <c r="K11" s="86"/>
      <c r="L11" s="138"/>
      <c r="M11" s="138"/>
      <c r="N11" s="138"/>
      <c r="O11" s="138"/>
      <c r="P11" s="86"/>
      <c r="Q11" s="138"/>
      <c r="R11" s="138"/>
      <c r="S11" s="138"/>
      <c r="T11" s="138"/>
      <c r="U11" s="86"/>
      <c r="V11" s="138"/>
      <c r="W11" s="138"/>
      <c r="X11" s="138"/>
      <c r="Y11" s="138"/>
      <c r="Z11" s="86"/>
      <c r="AA11" s="138"/>
      <c r="AB11" s="138"/>
      <c r="AC11" s="138"/>
      <c r="AD11" s="138"/>
      <c r="AE11" s="86"/>
      <c r="AF11" s="138"/>
      <c r="AG11" s="138"/>
      <c r="AH11" s="138"/>
      <c r="AI11" s="138"/>
      <c r="AJ11" s="86"/>
      <c r="AK11" s="138"/>
      <c r="AL11" s="138"/>
      <c r="AM11" s="138"/>
      <c r="AN11" s="138"/>
      <c r="AO11" s="86"/>
      <c r="AP11" s="138"/>
      <c r="AQ11" s="138"/>
      <c r="AR11" s="138"/>
      <c r="AS11" s="138"/>
      <c r="AT11" s="86"/>
      <c r="AU11" s="138"/>
      <c r="AV11" s="138"/>
      <c r="AW11" s="138"/>
      <c r="AX11" s="138"/>
      <c r="AY11" s="85"/>
    </row>
    <row r="12" spans="1:51">
      <c r="A12" s="137" t="s">
        <v>49</v>
      </c>
      <c r="B12" s="138"/>
      <c r="C12" s="138"/>
      <c r="D12" s="138"/>
      <c r="E12" s="138"/>
      <c r="F12" s="86"/>
      <c r="G12" s="138"/>
      <c r="H12" s="138"/>
      <c r="I12" s="138"/>
      <c r="J12" s="138"/>
      <c r="K12" s="86"/>
      <c r="L12" s="138"/>
      <c r="M12" s="138"/>
      <c r="N12" s="138"/>
      <c r="O12" s="138"/>
      <c r="P12" s="86"/>
      <c r="Q12" s="138"/>
      <c r="R12" s="138"/>
      <c r="S12" s="138"/>
      <c r="T12" s="138"/>
      <c r="U12" s="86"/>
      <c r="V12" s="138"/>
      <c r="W12" s="138"/>
      <c r="X12" s="138"/>
      <c r="Y12" s="138"/>
      <c r="Z12" s="86"/>
      <c r="AA12" s="138"/>
      <c r="AB12" s="138"/>
      <c r="AC12" s="138"/>
      <c r="AD12" s="138"/>
      <c r="AE12" s="86"/>
      <c r="AF12" s="138"/>
      <c r="AG12" s="138"/>
      <c r="AH12" s="138"/>
      <c r="AI12" s="138"/>
      <c r="AJ12" s="86"/>
      <c r="AK12" s="138"/>
      <c r="AL12" s="138"/>
      <c r="AM12" s="138"/>
      <c r="AN12" s="138"/>
      <c r="AO12" s="86"/>
      <c r="AP12" s="138"/>
      <c r="AQ12" s="138"/>
      <c r="AR12" s="138"/>
      <c r="AS12" s="138"/>
      <c r="AT12" s="86"/>
      <c r="AU12" s="138"/>
      <c r="AV12" s="138"/>
      <c r="AW12" s="138"/>
      <c r="AX12" s="138"/>
      <c r="AY12" s="85"/>
    </row>
    <row r="13" spans="1:51">
      <c r="A13" s="137" t="s">
        <v>51</v>
      </c>
      <c r="B13" s="138"/>
      <c r="C13" s="138"/>
      <c r="D13" s="138"/>
      <c r="E13" s="138"/>
      <c r="F13" s="86"/>
      <c r="G13" s="138"/>
      <c r="H13" s="138"/>
      <c r="I13" s="138"/>
      <c r="J13" s="138"/>
      <c r="K13" s="86"/>
      <c r="L13" s="138"/>
      <c r="M13" s="138"/>
      <c r="N13" s="138"/>
      <c r="O13" s="138"/>
      <c r="P13" s="86"/>
      <c r="Q13" s="138"/>
      <c r="R13" s="138"/>
      <c r="S13" s="138"/>
      <c r="T13" s="138"/>
      <c r="U13" s="86"/>
      <c r="V13" s="138"/>
      <c r="W13" s="138"/>
      <c r="X13" s="138"/>
      <c r="Y13" s="138"/>
      <c r="Z13" s="86"/>
      <c r="AA13" s="138"/>
      <c r="AB13" s="138"/>
      <c r="AC13" s="138"/>
      <c r="AD13" s="138"/>
      <c r="AE13" s="86"/>
      <c r="AF13" s="138"/>
      <c r="AG13" s="138"/>
      <c r="AH13" s="138"/>
      <c r="AI13" s="138"/>
      <c r="AJ13" s="86"/>
      <c r="AK13" s="138"/>
      <c r="AL13" s="138"/>
      <c r="AM13" s="138"/>
      <c r="AN13" s="138"/>
      <c r="AO13" s="86"/>
      <c r="AP13" s="138"/>
      <c r="AQ13" s="138"/>
      <c r="AR13" s="138"/>
      <c r="AS13" s="138"/>
      <c r="AT13" s="86"/>
      <c r="AU13" s="138"/>
      <c r="AV13" s="138"/>
      <c r="AW13" s="138"/>
      <c r="AX13" s="138"/>
      <c r="AY13" s="85"/>
    </row>
    <row r="14" spans="1:51">
      <c r="A14" s="137" t="s">
        <v>53</v>
      </c>
      <c r="B14" s="138"/>
      <c r="C14" s="138"/>
      <c r="D14" s="138"/>
      <c r="E14" s="138"/>
      <c r="F14" s="86"/>
      <c r="G14" s="138"/>
      <c r="H14" s="138"/>
      <c r="I14" s="138"/>
      <c r="J14" s="138"/>
      <c r="K14" s="86"/>
      <c r="L14" s="138"/>
      <c r="M14" s="138"/>
      <c r="N14" s="138"/>
      <c r="O14" s="138"/>
      <c r="P14" s="86"/>
      <c r="Q14" s="138"/>
      <c r="R14" s="138"/>
      <c r="S14" s="138"/>
      <c r="T14" s="138"/>
      <c r="U14" s="86"/>
      <c r="V14" s="138"/>
      <c r="W14" s="138"/>
      <c r="X14" s="138"/>
      <c r="Y14" s="138"/>
      <c r="Z14" s="86"/>
      <c r="AA14" s="138"/>
      <c r="AB14" s="138"/>
      <c r="AC14" s="138"/>
      <c r="AD14" s="138"/>
      <c r="AE14" s="86"/>
      <c r="AF14" s="138"/>
      <c r="AG14" s="138"/>
      <c r="AH14" s="138"/>
      <c r="AI14" s="138"/>
      <c r="AJ14" s="86"/>
      <c r="AK14" s="138"/>
      <c r="AL14" s="138"/>
      <c r="AM14" s="138"/>
      <c r="AN14" s="138"/>
      <c r="AO14" s="86"/>
      <c r="AP14" s="138"/>
      <c r="AQ14" s="138"/>
      <c r="AR14" s="138"/>
      <c r="AS14" s="138"/>
      <c r="AT14" s="86"/>
      <c r="AU14" s="138"/>
      <c r="AV14" s="138"/>
      <c r="AW14" s="138"/>
      <c r="AX14" s="138"/>
      <c r="AY14" s="85"/>
    </row>
    <row r="15" spans="1:51">
      <c r="A15" s="137" t="s">
        <v>55</v>
      </c>
      <c r="B15" s="138"/>
      <c r="C15" s="138"/>
      <c r="D15" s="138"/>
      <c r="E15" s="138"/>
      <c r="F15" s="86"/>
      <c r="G15" s="138"/>
      <c r="H15" s="138"/>
      <c r="I15" s="138"/>
      <c r="J15" s="138"/>
      <c r="K15" s="86"/>
      <c r="L15" s="138"/>
      <c r="M15" s="138"/>
      <c r="N15" s="138"/>
      <c r="O15" s="138"/>
      <c r="P15" s="86"/>
      <c r="Q15" s="138"/>
      <c r="R15" s="138"/>
      <c r="S15" s="138"/>
      <c r="T15" s="138"/>
      <c r="U15" s="86"/>
      <c r="V15" s="138"/>
      <c r="W15" s="138"/>
      <c r="X15" s="138"/>
      <c r="Y15" s="138"/>
      <c r="Z15" s="86"/>
      <c r="AA15" s="138"/>
      <c r="AB15" s="138"/>
      <c r="AC15" s="138"/>
      <c r="AD15" s="138"/>
      <c r="AE15" s="86"/>
      <c r="AF15" s="138"/>
      <c r="AG15" s="138"/>
      <c r="AH15" s="138"/>
      <c r="AI15" s="138"/>
      <c r="AJ15" s="86"/>
      <c r="AK15" s="138"/>
      <c r="AL15" s="138"/>
      <c r="AM15" s="138"/>
      <c r="AN15" s="138"/>
      <c r="AO15" s="86"/>
      <c r="AP15" s="138"/>
      <c r="AQ15" s="138"/>
      <c r="AR15" s="138"/>
      <c r="AS15" s="138"/>
      <c r="AT15" s="86"/>
      <c r="AU15" s="138"/>
      <c r="AV15" s="138"/>
      <c r="AW15" s="138"/>
      <c r="AX15" s="138"/>
      <c r="AY15" s="85"/>
    </row>
    <row r="16" spans="1:51">
      <c r="A16" s="137" t="s">
        <v>57</v>
      </c>
      <c r="B16" s="138"/>
      <c r="C16" s="138"/>
      <c r="D16" s="138"/>
      <c r="E16" s="138"/>
      <c r="F16" s="86"/>
      <c r="G16" s="138"/>
      <c r="H16" s="138"/>
      <c r="I16" s="138"/>
      <c r="J16" s="138"/>
      <c r="K16" s="86"/>
      <c r="L16" s="138"/>
      <c r="M16" s="138"/>
      <c r="N16" s="138"/>
      <c r="O16" s="138"/>
      <c r="P16" s="86"/>
      <c r="Q16" s="138"/>
      <c r="R16" s="138"/>
      <c r="S16" s="138"/>
      <c r="T16" s="138"/>
      <c r="U16" s="86"/>
      <c r="V16" s="138"/>
      <c r="W16" s="138"/>
      <c r="X16" s="138"/>
      <c r="Y16" s="138"/>
      <c r="Z16" s="86"/>
      <c r="AA16" s="138"/>
      <c r="AB16" s="138"/>
      <c r="AC16" s="138"/>
      <c r="AD16" s="138"/>
      <c r="AE16" s="86"/>
      <c r="AF16" s="138"/>
      <c r="AG16" s="138"/>
      <c r="AH16" s="138"/>
      <c r="AI16" s="138"/>
      <c r="AJ16" s="86"/>
      <c r="AK16" s="138"/>
      <c r="AL16" s="138"/>
      <c r="AM16" s="138"/>
      <c r="AN16" s="138"/>
      <c r="AO16" s="86"/>
      <c r="AP16" s="138"/>
      <c r="AQ16" s="138"/>
      <c r="AR16" s="138"/>
      <c r="AS16" s="138"/>
      <c r="AT16" s="86"/>
      <c r="AU16" s="138"/>
      <c r="AV16" s="138"/>
      <c r="AW16" s="138"/>
      <c r="AX16" s="138"/>
      <c r="AY16" s="85"/>
    </row>
    <row r="17" spans="1:51">
      <c r="A17" s="137" t="s">
        <v>59</v>
      </c>
      <c r="B17" s="138"/>
      <c r="C17" s="138"/>
      <c r="D17" s="138"/>
      <c r="E17" s="138"/>
      <c r="F17" s="86"/>
      <c r="G17" s="138"/>
      <c r="H17" s="138"/>
      <c r="I17" s="138"/>
      <c r="J17" s="138"/>
      <c r="K17" s="86"/>
      <c r="L17" s="138"/>
      <c r="M17" s="138"/>
      <c r="N17" s="138"/>
      <c r="O17" s="138"/>
      <c r="P17" s="86"/>
      <c r="Q17" s="138"/>
      <c r="R17" s="138"/>
      <c r="S17" s="138"/>
      <c r="T17" s="138"/>
      <c r="U17" s="86"/>
      <c r="V17" s="138"/>
      <c r="W17" s="138"/>
      <c r="X17" s="138"/>
      <c r="Y17" s="138"/>
      <c r="Z17" s="86"/>
      <c r="AA17" s="138"/>
      <c r="AB17" s="138"/>
      <c r="AC17" s="138"/>
      <c r="AD17" s="138"/>
      <c r="AE17" s="86"/>
      <c r="AF17" s="138"/>
      <c r="AG17" s="138"/>
      <c r="AH17" s="138"/>
      <c r="AI17" s="138"/>
      <c r="AJ17" s="86"/>
      <c r="AK17" s="138"/>
      <c r="AL17" s="138"/>
      <c r="AM17" s="138"/>
      <c r="AN17" s="138"/>
      <c r="AO17" s="86"/>
      <c r="AP17" s="138"/>
      <c r="AQ17" s="138"/>
      <c r="AR17" s="138"/>
      <c r="AS17" s="138"/>
      <c r="AT17" s="86"/>
      <c r="AU17" s="138"/>
      <c r="AV17" s="138"/>
      <c r="AW17" s="138"/>
      <c r="AX17" s="138"/>
      <c r="AY17" s="85"/>
    </row>
    <row r="18" spans="1:51">
      <c r="A18" s="137" t="s">
        <v>61</v>
      </c>
      <c r="B18" s="138"/>
      <c r="C18" s="138"/>
      <c r="D18" s="138"/>
      <c r="E18" s="138"/>
      <c r="F18" s="86"/>
      <c r="G18" s="138"/>
      <c r="H18" s="138"/>
      <c r="I18" s="138"/>
      <c r="J18" s="138"/>
      <c r="K18" s="86"/>
      <c r="L18" s="138"/>
      <c r="M18" s="138"/>
      <c r="N18" s="138"/>
      <c r="O18" s="138"/>
      <c r="P18" s="86"/>
      <c r="Q18" s="138"/>
      <c r="R18" s="138"/>
      <c r="S18" s="138"/>
      <c r="T18" s="138"/>
      <c r="U18" s="86"/>
      <c r="V18" s="138"/>
      <c r="W18" s="138"/>
      <c r="X18" s="138"/>
      <c r="Y18" s="138"/>
      <c r="Z18" s="86"/>
      <c r="AA18" s="138"/>
      <c r="AB18" s="138"/>
      <c r="AC18" s="138"/>
      <c r="AD18" s="138"/>
      <c r="AE18" s="86"/>
      <c r="AF18" s="138"/>
      <c r="AG18" s="138"/>
      <c r="AH18" s="138"/>
      <c r="AI18" s="138"/>
      <c r="AJ18" s="86"/>
      <c r="AK18" s="138"/>
      <c r="AL18" s="138"/>
      <c r="AM18" s="138"/>
      <c r="AN18" s="138"/>
      <c r="AO18" s="86"/>
      <c r="AP18" s="138"/>
      <c r="AQ18" s="138"/>
      <c r="AR18" s="138"/>
      <c r="AS18" s="138"/>
      <c r="AT18" s="86"/>
      <c r="AU18" s="138"/>
      <c r="AV18" s="138"/>
      <c r="AW18" s="138"/>
      <c r="AX18" s="138"/>
      <c r="AY18" s="85"/>
    </row>
    <row r="19" spans="1:51">
      <c r="A19" s="137" t="s">
        <v>63</v>
      </c>
      <c r="B19" s="138"/>
      <c r="C19" s="138"/>
      <c r="D19" s="138"/>
      <c r="E19" s="138"/>
      <c r="F19" s="86"/>
      <c r="G19" s="138"/>
      <c r="H19" s="138"/>
      <c r="I19" s="138"/>
      <c r="J19" s="138"/>
      <c r="K19" s="86"/>
      <c r="L19" s="138"/>
      <c r="M19" s="138"/>
      <c r="N19" s="138"/>
      <c r="O19" s="138"/>
      <c r="P19" s="86"/>
      <c r="Q19" s="138"/>
      <c r="R19" s="138"/>
      <c r="S19" s="138"/>
      <c r="T19" s="138"/>
      <c r="U19" s="86"/>
      <c r="V19" s="138"/>
      <c r="W19" s="138"/>
      <c r="X19" s="138"/>
      <c r="Y19" s="138"/>
      <c r="Z19" s="86"/>
      <c r="AA19" s="138"/>
      <c r="AB19" s="138"/>
      <c r="AC19" s="138"/>
      <c r="AD19" s="138"/>
      <c r="AE19" s="86"/>
      <c r="AF19" s="138"/>
      <c r="AG19" s="138"/>
      <c r="AH19" s="138"/>
      <c r="AI19" s="138"/>
      <c r="AJ19" s="86"/>
      <c r="AK19" s="138"/>
      <c r="AL19" s="138"/>
      <c r="AM19" s="138"/>
      <c r="AN19" s="138"/>
      <c r="AO19" s="86"/>
      <c r="AP19" s="138"/>
      <c r="AQ19" s="138"/>
      <c r="AR19" s="138"/>
      <c r="AS19" s="138"/>
      <c r="AT19" s="86"/>
      <c r="AU19" s="138"/>
      <c r="AV19" s="138"/>
      <c r="AW19" s="138"/>
      <c r="AX19" s="138"/>
      <c r="AY19" s="85"/>
    </row>
    <row r="20" spans="1:51">
      <c r="A20" s="137" t="s">
        <v>65</v>
      </c>
      <c r="B20" s="138"/>
      <c r="C20" s="138"/>
      <c r="D20" s="138"/>
      <c r="E20" s="138"/>
      <c r="F20" s="86"/>
      <c r="G20" s="138"/>
      <c r="H20" s="138"/>
      <c r="I20" s="138"/>
      <c r="J20" s="138"/>
      <c r="K20" s="86"/>
      <c r="L20" s="138"/>
      <c r="M20" s="138"/>
      <c r="N20" s="138"/>
      <c r="O20" s="138"/>
      <c r="P20" s="86"/>
      <c r="Q20" s="138"/>
      <c r="R20" s="138"/>
      <c r="S20" s="138"/>
      <c r="T20" s="138"/>
      <c r="U20" s="86"/>
      <c r="V20" s="138"/>
      <c r="W20" s="138"/>
      <c r="X20" s="138"/>
      <c r="Y20" s="138"/>
      <c r="Z20" s="86"/>
      <c r="AA20" s="138"/>
      <c r="AB20" s="138"/>
      <c r="AC20" s="138"/>
      <c r="AD20" s="138"/>
      <c r="AE20" s="86"/>
      <c r="AF20" s="138"/>
      <c r="AG20" s="138"/>
      <c r="AH20" s="138"/>
      <c r="AI20" s="138"/>
      <c r="AJ20" s="86"/>
      <c r="AK20" s="138"/>
      <c r="AL20" s="138"/>
      <c r="AM20" s="138"/>
      <c r="AN20" s="138"/>
      <c r="AO20" s="86"/>
      <c r="AP20" s="138"/>
      <c r="AQ20" s="138"/>
      <c r="AR20" s="138"/>
      <c r="AS20" s="138"/>
      <c r="AT20" s="86"/>
      <c r="AU20" s="138"/>
      <c r="AV20" s="138"/>
      <c r="AW20" s="138"/>
      <c r="AX20" s="138"/>
      <c r="AY20" s="85"/>
    </row>
    <row r="21" spans="1:51">
      <c r="A21" s="137" t="s">
        <v>67</v>
      </c>
      <c r="B21" s="138"/>
      <c r="C21" s="138"/>
      <c r="D21" s="138"/>
      <c r="E21" s="138"/>
      <c r="F21" s="86"/>
      <c r="G21" s="138"/>
      <c r="H21" s="138"/>
      <c r="I21" s="138"/>
      <c r="J21" s="138"/>
      <c r="K21" s="86"/>
      <c r="L21" s="138"/>
      <c r="M21" s="138"/>
      <c r="N21" s="138"/>
      <c r="O21" s="138"/>
      <c r="P21" s="86"/>
      <c r="Q21" s="138"/>
      <c r="R21" s="138"/>
      <c r="S21" s="138"/>
      <c r="T21" s="138"/>
      <c r="U21" s="86"/>
      <c r="V21" s="138"/>
      <c r="W21" s="138"/>
      <c r="X21" s="138"/>
      <c r="Y21" s="138"/>
      <c r="Z21" s="86"/>
      <c r="AA21" s="138"/>
      <c r="AB21" s="138"/>
      <c r="AC21" s="138"/>
      <c r="AD21" s="138"/>
      <c r="AE21" s="86"/>
      <c r="AF21" s="138"/>
      <c r="AG21" s="138"/>
      <c r="AH21" s="138"/>
      <c r="AI21" s="138"/>
      <c r="AJ21" s="86"/>
      <c r="AK21" s="138"/>
      <c r="AL21" s="138"/>
      <c r="AM21" s="138"/>
      <c r="AN21" s="138"/>
      <c r="AO21" s="86"/>
      <c r="AP21" s="138"/>
      <c r="AQ21" s="138"/>
      <c r="AR21" s="138"/>
      <c r="AS21" s="138"/>
      <c r="AT21" s="86"/>
      <c r="AU21" s="138"/>
      <c r="AV21" s="138"/>
      <c r="AW21" s="138"/>
      <c r="AX21" s="138"/>
      <c r="AY21" s="85"/>
    </row>
    <row r="22" spans="1:51">
      <c r="A22" s="137" t="s">
        <v>69</v>
      </c>
      <c r="B22" s="138"/>
      <c r="C22" s="138"/>
      <c r="D22" s="138"/>
      <c r="E22" s="138"/>
      <c r="F22" s="86"/>
      <c r="G22" s="138"/>
      <c r="H22" s="138"/>
      <c r="I22" s="138"/>
      <c r="J22" s="138"/>
      <c r="K22" s="86"/>
      <c r="L22" s="138"/>
      <c r="M22" s="138"/>
      <c r="N22" s="138"/>
      <c r="O22" s="138"/>
      <c r="P22" s="86"/>
      <c r="Q22" s="138"/>
      <c r="R22" s="138"/>
      <c r="S22" s="138"/>
      <c r="T22" s="138"/>
      <c r="U22" s="86"/>
      <c r="V22" s="138"/>
      <c r="W22" s="138"/>
      <c r="X22" s="138"/>
      <c r="Y22" s="138"/>
      <c r="Z22" s="86"/>
      <c r="AA22" s="138"/>
      <c r="AB22" s="138"/>
      <c r="AC22" s="138"/>
      <c r="AD22" s="138"/>
      <c r="AE22" s="86"/>
      <c r="AF22" s="138"/>
      <c r="AG22" s="138"/>
      <c r="AH22" s="138"/>
      <c r="AI22" s="138"/>
      <c r="AJ22" s="86"/>
      <c r="AK22" s="138"/>
      <c r="AL22" s="138"/>
      <c r="AM22" s="138"/>
      <c r="AN22" s="138"/>
      <c r="AO22" s="86"/>
      <c r="AP22" s="138"/>
      <c r="AQ22" s="138"/>
      <c r="AR22" s="138"/>
      <c r="AS22" s="138"/>
      <c r="AT22" s="86"/>
      <c r="AU22" s="138"/>
      <c r="AV22" s="138"/>
      <c r="AW22" s="138"/>
      <c r="AX22" s="138"/>
      <c r="AY22" s="85"/>
    </row>
    <row r="23" spans="1:51">
      <c r="A23" s="137" t="s">
        <v>71</v>
      </c>
      <c r="B23" s="138"/>
      <c r="C23" s="138"/>
      <c r="D23" s="138"/>
      <c r="E23" s="138"/>
      <c r="F23" s="86"/>
      <c r="G23" s="138"/>
      <c r="H23" s="138"/>
      <c r="I23" s="138"/>
      <c r="J23" s="138"/>
      <c r="K23" s="86"/>
      <c r="L23" s="138"/>
      <c r="M23" s="138"/>
      <c r="N23" s="138"/>
      <c r="O23" s="138"/>
      <c r="P23" s="86"/>
      <c r="Q23" s="138"/>
      <c r="R23" s="138"/>
      <c r="S23" s="138"/>
      <c r="T23" s="138"/>
      <c r="U23" s="86"/>
      <c r="V23" s="138"/>
      <c r="W23" s="138"/>
      <c r="X23" s="138"/>
      <c r="Y23" s="138"/>
      <c r="Z23" s="86"/>
      <c r="AA23" s="138"/>
      <c r="AB23" s="138"/>
      <c r="AC23" s="138"/>
      <c r="AD23" s="138"/>
      <c r="AE23" s="86"/>
      <c r="AF23" s="138"/>
      <c r="AG23" s="138"/>
      <c r="AH23" s="138"/>
      <c r="AI23" s="138"/>
      <c r="AJ23" s="86"/>
      <c r="AK23" s="138"/>
      <c r="AL23" s="138"/>
      <c r="AM23" s="138"/>
      <c r="AN23" s="138"/>
      <c r="AO23" s="86"/>
      <c r="AP23" s="138"/>
      <c r="AQ23" s="138"/>
      <c r="AR23" s="138"/>
      <c r="AS23" s="138"/>
      <c r="AT23" s="86"/>
      <c r="AU23" s="138"/>
      <c r="AV23" s="138"/>
      <c r="AW23" s="138"/>
      <c r="AX23" s="138"/>
      <c r="AY23" s="85"/>
    </row>
    <row r="24" spans="1:51">
      <c r="A24" s="137" t="s">
        <v>73</v>
      </c>
      <c r="B24" s="138"/>
      <c r="C24" s="138"/>
      <c r="D24" s="138"/>
      <c r="E24" s="138"/>
      <c r="F24" s="86"/>
      <c r="G24" s="138"/>
      <c r="H24" s="138"/>
      <c r="I24" s="138"/>
      <c r="J24" s="138"/>
      <c r="K24" s="86"/>
      <c r="L24" s="138"/>
      <c r="M24" s="138"/>
      <c r="N24" s="138"/>
      <c r="O24" s="138"/>
      <c r="P24" s="86"/>
      <c r="Q24" s="138"/>
      <c r="R24" s="138"/>
      <c r="S24" s="138"/>
      <c r="T24" s="138"/>
      <c r="U24" s="86"/>
      <c r="V24" s="138"/>
      <c r="W24" s="138"/>
      <c r="X24" s="138"/>
      <c r="Y24" s="138"/>
      <c r="Z24" s="86"/>
      <c r="AA24" s="138"/>
      <c r="AB24" s="138"/>
      <c r="AC24" s="138"/>
      <c r="AD24" s="138"/>
      <c r="AE24" s="86"/>
      <c r="AF24" s="138"/>
      <c r="AG24" s="138"/>
      <c r="AH24" s="138"/>
      <c r="AI24" s="138"/>
      <c r="AJ24" s="86"/>
      <c r="AK24" s="138"/>
      <c r="AL24" s="138"/>
      <c r="AM24" s="138"/>
      <c r="AN24" s="138"/>
      <c r="AO24" s="86"/>
      <c r="AP24" s="138"/>
      <c r="AQ24" s="138"/>
      <c r="AR24" s="138"/>
      <c r="AS24" s="138"/>
      <c r="AT24" s="86"/>
      <c r="AU24" s="138"/>
      <c r="AV24" s="138"/>
      <c r="AW24" s="138"/>
      <c r="AX24" s="138"/>
      <c r="AY24" s="85"/>
    </row>
    <row r="25" spans="1:51">
      <c r="A25" s="137" t="s">
        <v>75</v>
      </c>
      <c r="B25" s="138"/>
      <c r="C25" s="138"/>
      <c r="D25" s="138"/>
      <c r="E25" s="138"/>
      <c r="F25" s="86"/>
      <c r="G25" s="138"/>
      <c r="H25" s="138"/>
      <c r="I25" s="138"/>
      <c r="J25" s="138"/>
      <c r="K25" s="86"/>
      <c r="L25" s="138"/>
      <c r="M25" s="138"/>
      <c r="N25" s="138"/>
      <c r="O25" s="138"/>
      <c r="P25" s="86"/>
      <c r="Q25" s="138"/>
      <c r="R25" s="138"/>
      <c r="S25" s="138"/>
      <c r="T25" s="138"/>
      <c r="U25" s="86"/>
      <c r="V25" s="138"/>
      <c r="W25" s="138"/>
      <c r="X25" s="138"/>
      <c r="Y25" s="138"/>
      <c r="Z25" s="86"/>
      <c r="AA25" s="138"/>
      <c r="AB25" s="138"/>
      <c r="AC25" s="138"/>
      <c r="AD25" s="138"/>
      <c r="AE25" s="86"/>
      <c r="AF25" s="138"/>
      <c r="AG25" s="138"/>
      <c r="AH25" s="138"/>
      <c r="AI25" s="138"/>
      <c r="AJ25" s="86"/>
      <c r="AK25" s="138"/>
      <c r="AL25" s="138"/>
      <c r="AM25" s="138"/>
      <c r="AN25" s="138"/>
      <c r="AO25" s="86"/>
      <c r="AP25" s="138"/>
      <c r="AQ25" s="138"/>
      <c r="AR25" s="138"/>
      <c r="AS25" s="138"/>
      <c r="AT25" s="86"/>
      <c r="AU25" s="138"/>
      <c r="AV25" s="138"/>
      <c r="AW25" s="138"/>
      <c r="AX25" s="138"/>
      <c r="AY25" s="85"/>
    </row>
    <row r="26" spans="1:51">
      <c r="A26" s="137" t="s">
        <v>77</v>
      </c>
      <c r="B26" s="138"/>
      <c r="C26" s="138"/>
      <c r="D26" s="138"/>
      <c r="E26" s="138"/>
      <c r="F26" s="86"/>
      <c r="G26" s="138"/>
      <c r="H26" s="138"/>
      <c r="I26" s="138"/>
      <c r="J26" s="138"/>
      <c r="K26" s="86"/>
      <c r="L26" s="138"/>
      <c r="M26" s="138"/>
      <c r="N26" s="138"/>
      <c r="O26" s="138"/>
      <c r="P26" s="86"/>
      <c r="Q26" s="138"/>
      <c r="R26" s="138"/>
      <c r="S26" s="138"/>
      <c r="T26" s="138"/>
      <c r="U26" s="86"/>
      <c r="V26" s="138"/>
      <c r="W26" s="138"/>
      <c r="X26" s="138"/>
      <c r="Y26" s="138"/>
      <c r="Z26" s="86"/>
      <c r="AA26" s="138"/>
      <c r="AB26" s="138"/>
      <c r="AC26" s="138"/>
      <c r="AD26" s="138"/>
      <c r="AE26" s="86"/>
      <c r="AF26" s="138"/>
      <c r="AG26" s="138"/>
      <c r="AH26" s="138"/>
      <c r="AI26" s="138"/>
      <c r="AJ26" s="86"/>
      <c r="AK26" s="138"/>
      <c r="AL26" s="138"/>
      <c r="AM26" s="138"/>
      <c r="AN26" s="138"/>
      <c r="AO26" s="86"/>
      <c r="AP26" s="138"/>
      <c r="AQ26" s="138"/>
      <c r="AR26" s="138"/>
      <c r="AS26" s="138"/>
      <c r="AT26" s="86"/>
      <c r="AU26" s="138"/>
      <c r="AV26" s="138"/>
      <c r="AW26" s="138"/>
      <c r="AX26" s="138"/>
      <c r="AY26" s="85"/>
    </row>
    <row r="27" spans="1:51">
      <c r="A27" s="137" t="s">
        <v>79</v>
      </c>
      <c r="B27" s="138"/>
      <c r="C27" s="138"/>
      <c r="D27" s="138"/>
      <c r="E27" s="138"/>
      <c r="F27" s="86"/>
      <c r="G27" s="138"/>
      <c r="H27" s="138"/>
      <c r="I27" s="138"/>
      <c r="J27" s="138"/>
      <c r="K27" s="86"/>
      <c r="L27" s="138"/>
      <c r="M27" s="138"/>
      <c r="N27" s="138"/>
      <c r="O27" s="138"/>
      <c r="P27" s="86"/>
      <c r="Q27" s="138"/>
      <c r="R27" s="138"/>
      <c r="S27" s="138"/>
      <c r="T27" s="138"/>
      <c r="U27" s="86"/>
      <c r="V27" s="138"/>
      <c r="W27" s="138"/>
      <c r="X27" s="138"/>
      <c r="Y27" s="138"/>
      <c r="Z27" s="86"/>
      <c r="AA27" s="138"/>
      <c r="AB27" s="138"/>
      <c r="AC27" s="138"/>
      <c r="AD27" s="138"/>
      <c r="AE27" s="86"/>
      <c r="AF27" s="138"/>
      <c r="AG27" s="138"/>
      <c r="AH27" s="138"/>
      <c r="AI27" s="138"/>
      <c r="AJ27" s="86"/>
      <c r="AK27" s="138"/>
      <c r="AL27" s="138"/>
      <c r="AM27" s="138"/>
      <c r="AN27" s="138"/>
      <c r="AO27" s="86"/>
      <c r="AP27" s="138"/>
      <c r="AQ27" s="138"/>
      <c r="AR27" s="138"/>
      <c r="AS27" s="138"/>
      <c r="AT27" s="86"/>
      <c r="AU27" s="138"/>
      <c r="AV27" s="138"/>
      <c r="AW27" s="138"/>
      <c r="AX27" s="138"/>
      <c r="AY27" s="85"/>
    </row>
    <row r="28" spans="1:51">
      <c r="A28" s="137" t="s">
        <v>81</v>
      </c>
      <c r="B28" s="138"/>
      <c r="C28" s="138"/>
      <c r="D28" s="138"/>
      <c r="E28" s="138"/>
      <c r="F28" s="86"/>
      <c r="G28" s="138"/>
      <c r="H28" s="138"/>
      <c r="I28" s="138"/>
      <c r="J28" s="138"/>
      <c r="K28" s="86"/>
      <c r="L28" s="138"/>
      <c r="M28" s="138"/>
      <c r="N28" s="138"/>
      <c r="O28" s="138"/>
      <c r="P28" s="86"/>
      <c r="Q28" s="138"/>
      <c r="R28" s="138"/>
      <c r="S28" s="138"/>
      <c r="T28" s="138"/>
      <c r="U28" s="86"/>
      <c r="V28" s="138"/>
      <c r="W28" s="138"/>
      <c r="X28" s="138"/>
      <c r="Y28" s="138"/>
      <c r="Z28" s="86"/>
      <c r="AA28" s="138"/>
      <c r="AB28" s="138"/>
      <c r="AC28" s="138"/>
      <c r="AD28" s="138"/>
      <c r="AE28" s="86"/>
      <c r="AF28" s="138"/>
      <c r="AG28" s="138"/>
      <c r="AH28" s="138"/>
      <c r="AI28" s="138"/>
      <c r="AJ28" s="86"/>
      <c r="AK28" s="138"/>
      <c r="AL28" s="138"/>
      <c r="AM28" s="138"/>
      <c r="AN28" s="138"/>
      <c r="AO28" s="86"/>
      <c r="AP28" s="138"/>
      <c r="AQ28" s="138"/>
      <c r="AR28" s="138"/>
      <c r="AS28" s="138"/>
      <c r="AT28" s="86"/>
      <c r="AU28" s="138"/>
      <c r="AV28" s="138"/>
      <c r="AW28" s="138"/>
      <c r="AX28" s="138"/>
      <c r="AY28" s="85"/>
    </row>
    <row r="29" spans="1:51">
      <c r="A29" s="137" t="s">
        <v>83</v>
      </c>
      <c r="B29" s="138"/>
      <c r="C29" s="138"/>
      <c r="D29" s="138"/>
      <c r="E29" s="138"/>
      <c r="F29" s="86"/>
      <c r="G29" s="138"/>
      <c r="H29" s="138"/>
      <c r="I29" s="138"/>
      <c r="J29" s="138"/>
      <c r="K29" s="86"/>
      <c r="L29" s="138"/>
      <c r="M29" s="138"/>
      <c r="N29" s="138"/>
      <c r="O29" s="138"/>
      <c r="P29" s="86"/>
      <c r="Q29" s="138"/>
      <c r="R29" s="138"/>
      <c r="S29" s="138"/>
      <c r="T29" s="138"/>
      <c r="U29" s="86"/>
      <c r="V29" s="138"/>
      <c r="W29" s="138"/>
      <c r="X29" s="138"/>
      <c r="Y29" s="138"/>
      <c r="Z29" s="86"/>
      <c r="AA29" s="138"/>
      <c r="AB29" s="138"/>
      <c r="AC29" s="138"/>
      <c r="AD29" s="138"/>
      <c r="AE29" s="86"/>
      <c r="AF29" s="138"/>
      <c r="AG29" s="138"/>
      <c r="AH29" s="138"/>
      <c r="AI29" s="138"/>
      <c r="AJ29" s="86"/>
      <c r="AK29" s="138"/>
      <c r="AL29" s="138"/>
      <c r="AM29" s="138"/>
      <c r="AN29" s="138"/>
      <c r="AO29" s="86"/>
      <c r="AP29" s="138"/>
      <c r="AQ29" s="138"/>
      <c r="AR29" s="138"/>
      <c r="AS29" s="138"/>
      <c r="AT29" s="86"/>
      <c r="AU29" s="138"/>
      <c r="AV29" s="138"/>
      <c r="AW29" s="138"/>
      <c r="AX29" s="138"/>
      <c r="AY29" s="85"/>
    </row>
    <row r="30" spans="1:51">
      <c r="A30" s="137" t="s">
        <v>85</v>
      </c>
      <c r="B30" s="138"/>
      <c r="C30" s="138"/>
      <c r="D30" s="138"/>
      <c r="E30" s="138"/>
      <c r="F30" s="86"/>
      <c r="G30" s="138"/>
      <c r="H30" s="138"/>
      <c r="I30" s="138"/>
      <c r="J30" s="138"/>
      <c r="K30" s="86"/>
      <c r="L30" s="138"/>
      <c r="M30" s="138"/>
      <c r="N30" s="138"/>
      <c r="O30" s="138"/>
      <c r="P30" s="86"/>
      <c r="Q30" s="138"/>
      <c r="R30" s="138"/>
      <c r="S30" s="138"/>
      <c r="T30" s="138"/>
      <c r="U30" s="86"/>
      <c r="V30" s="138"/>
      <c r="W30" s="138"/>
      <c r="X30" s="138"/>
      <c r="Y30" s="138"/>
      <c r="Z30" s="86"/>
      <c r="AA30" s="138"/>
      <c r="AB30" s="138"/>
      <c r="AC30" s="138"/>
      <c r="AD30" s="138"/>
      <c r="AE30" s="86"/>
      <c r="AF30" s="138"/>
      <c r="AG30" s="138"/>
      <c r="AH30" s="138"/>
      <c r="AI30" s="138"/>
      <c r="AJ30" s="86"/>
      <c r="AK30" s="138"/>
      <c r="AL30" s="138"/>
      <c r="AM30" s="138"/>
      <c r="AN30" s="138"/>
      <c r="AO30" s="86"/>
      <c r="AP30" s="138"/>
      <c r="AQ30" s="138"/>
      <c r="AR30" s="138"/>
      <c r="AS30" s="138"/>
      <c r="AT30" s="86"/>
      <c r="AU30" s="138"/>
      <c r="AV30" s="138"/>
      <c r="AW30" s="138"/>
      <c r="AX30" s="138"/>
      <c r="AY30" s="85"/>
    </row>
    <row r="31" spans="1:51">
      <c r="A31" s="137" t="s">
        <v>87</v>
      </c>
      <c r="B31" s="138"/>
      <c r="C31" s="138"/>
      <c r="D31" s="138"/>
      <c r="E31" s="138"/>
      <c r="F31" s="86"/>
      <c r="G31" s="138"/>
      <c r="H31" s="138"/>
      <c r="I31" s="138"/>
      <c r="J31" s="138"/>
      <c r="K31" s="86"/>
      <c r="L31" s="138"/>
      <c r="M31" s="138"/>
      <c r="N31" s="138"/>
      <c r="O31" s="138"/>
      <c r="P31" s="86"/>
      <c r="Q31" s="138"/>
      <c r="R31" s="138"/>
      <c r="S31" s="138"/>
      <c r="T31" s="138"/>
      <c r="U31" s="86"/>
      <c r="V31" s="138"/>
      <c r="W31" s="138"/>
      <c r="X31" s="138"/>
      <c r="Y31" s="138"/>
      <c r="Z31" s="86"/>
      <c r="AA31" s="138"/>
      <c r="AB31" s="138"/>
      <c r="AC31" s="138"/>
      <c r="AD31" s="138"/>
      <c r="AE31" s="86"/>
      <c r="AF31" s="138"/>
      <c r="AG31" s="138"/>
      <c r="AH31" s="138"/>
      <c r="AI31" s="138"/>
      <c r="AJ31" s="86"/>
      <c r="AK31" s="138"/>
      <c r="AL31" s="138"/>
      <c r="AM31" s="138"/>
      <c r="AN31" s="138"/>
      <c r="AO31" s="86"/>
      <c r="AP31" s="138"/>
      <c r="AQ31" s="138"/>
      <c r="AR31" s="138"/>
      <c r="AS31" s="138"/>
      <c r="AT31" s="86"/>
      <c r="AU31" s="138"/>
      <c r="AV31" s="138"/>
      <c r="AW31" s="138"/>
      <c r="AX31" s="138"/>
      <c r="AY31" s="85"/>
    </row>
    <row r="32" spans="1:51">
      <c r="A32" s="137" t="s">
        <v>89</v>
      </c>
      <c r="B32" s="138"/>
      <c r="C32" s="138"/>
      <c r="D32" s="138"/>
      <c r="E32" s="138"/>
      <c r="F32" s="86"/>
      <c r="G32" s="138"/>
      <c r="H32" s="138"/>
      <c r="I32" s="138"/>
      <c r="J32" s="138"/>
      <c r="K32" s="86"/>
      <c r="L32" s="138"/>
      <c r="M32" s="138"/>
      <c r="N32" s="138"/>
      <c r="O32" s="138"/>
      <c r="P32" s="86"/>
      <c r="Q32" s="138"/>
      <c r="R32" s="138"/>
      <c r="S32" s="138"/>
      <c r="T32" s="138"/>
      <c r="U32" s="86"/>
      <c r="V32" s="138"/>
      <c r="W32" s="138"/>
      <c r="X32" s="138"/>
      <c r="Y32" s="138"/>
      <c r="Z32" s="86"/>
      <c r="AA32" s="138"/>
      <c r="AB32" s="138"/>
      <c r="AC32" s="138"/>
      <c r="AD32" s="138"/>
      <c r="AE32" s="86"/>
      <c r="AF32" s="138"/>
      <c r="AG32" s="138"/>
      <c r="AH32" s="138"/>
      <c r="AI32" s="138"/>
      <c r="AJ32" s="86"/>
      <c r="AK32" s="138"/>
      <c r="AL32" s="138"/>
      <c r="AM32" s="138"/>
      <c r="AN32" s="138"/>
      <c r="AO32" s="86"/>
      <c r="AP32" s="138"/>
      <c r="AQ32" s="138"/>
      <c r="AR32" s="138"/>
      <c r="AS32" s="138"/>
      <c r="AT32" s="86"/>
      <c r="AU32" s="138"/>
      <c r="AV32" s="138"/>
      <c r="AW32" s="138"/>
      <c r="AX32" s="138"/>
      <c r="AY32" s="85"/>
    </row>
    <row r="33" spans="1:51">
      <c r="A33" s="137" t="s">
        <v>91</v>
      </c>
      <c r="B33" s="138"/>
      <c r="C33" s="138"/>
      <c r="D33" s="138"/>
      <c r="E33" s="138"/>
      <c r="F33" s="86"/>
      <c r="G33" s="138"/>
      <c r="H33" s="138"/>
      <c r="I33" s="138"/>
      <c r="J33" s="138"/>
      <c r="K33" s="86"/>
      <c r="L33" s="138"/>
      <c r="M33" s="138"/>
      <c r="N33" s="138"/>
      <c r="O33" s="138"/>
      <c r="P33" s="86"/>
      <c r="Q33" s="138"/>
      <c r="R33" s="138"/>
      <c r="S33" s="138"/>
      <c r="T33" s="138"/>
      <c r="U33" s="86"/>
      <c r="V33" s="138"/>
      <c r="W33" s="138"/>
      <c r="X33" s="138"/>
      <c r="Y33" s="138"/>
      <c r="Z33" s="86"/>
      <c r="AA33" s="138"/>
      <c r="AB33" s="138"/>
      <c r="AC33" s="138"/>
      <c r="AD33" s="138"/>
      <c r="AE33" s="86"/>
      <c r="AF33" s="138"/>
      <c r="AG33" s="138"/>
      <c r="AH33" s="138"/>
      <c r="AI33" s="138"/>
      <c r="AJ33" s="86"/>
      <c r="AK33" s="138"/>
      <c r="AL33" s="138"/>
      <c r="AM33" s="138"/>
      <c r="AN33" s="138"/>
      <c r="AO33" s="86"/>
      <c r="AP33" s="138"/>
      <c r="AQ33" s="138"/>
      <c r="AR33" s="138"/>
      <c r="AS33" s="138"/>
      <c r="AT33" s="86"/>
      <c r="AU33" s="138"/>
      <c r="AV33" s="138"/>
      <c r="AW33" s="138"/>
      <c r="AX33" s="138"/>
      <c r="AY33" s="85"/>
    </row>
    <row r="34" spans="1:51">
      <c r="A34" s="137" t="s">
        <v>93</v>
      </c>
      <c r="B34" s="138"/>
      <c r="C34" s="138"/>
      <c r="D34" s="138"/>
      <c r="E34" s="138"/>
      <c r="F34" s="86"/>
      <c r="G34" s="138"/>
      <c r="H34" s="138"/>
      <c r="I34" s="138"/>
      <c r="J34" s="138"/>
      <c r="K34" s="86"/>
      <c r="L34" s="138"/>
      <c r="M34" s="138"/>
      <c r="N34" s="138"/>
      <c r="O34" s="138"/>
      <c r="P34" s="86"/>
      <c r="Q34" s="138"/>
      <c r="R34" s="138"/>
      <c r="S34" s="138"/>
      <c r="T34" s="138"/>
      <c r="U34" s="86"/>
      <c r="V34" s="138"/>
      <c r="W34" s="138"/>
      <c r="X34" s="138"/>
      <c r="Y34" s="138"/>
      <c r="Z34" s="86"/>
      <c r="AA34" s="138"/>
      <c r="AB34" s="138"/>
      <c r="AC34" s="138"/>
      <c r="AD34" s="138"/>
      <c r="AE34" s="86"/>
      <c r="AF34" s="138"/>
      <c r="AG34" s="138"/>
      <c r="AH34" s="138"/>
      <c r="AI34" s="138"/>
      <c r="AJ34" s="86"/>
      <c r="AK34" s="138"/>
      <c r="AL34" s="138"/>
      <c r="AM34" s="138"/>
      <c r="AN34" s="138"/>
      <c r="AO34" s="86"/>
      <c r="AP34" s="138"/>
      <c r="AQ34" s="138"/>
      <c r="AR34" s="138"/>
      <c r="AS34" s="138"/>
      <c r="AT34" s="86"/>
      <c r="AU34" s="138"/>
      <c r="AV34" s="138"/>
      <c r="AW34" s="138"/>
      <c r="AX34" s="138"/>
      <c r="AY34" s="85"/>
    </row>
    <row r="35" spans="1:51">
      <c r="A35" s="137" t="s">
        <v>95</v>
      </c>
      <c r="B35" s="138"/>
      <c r="C35" s="138"/>
      <c r="D35" s="138"/>
      <c r="E35" s="138"/>
      <c r="F35" s="86"/>
      <c r="G35" s="138"/>
      <c r="H35" s="138"/>
      <c r="I35" s="138"/>
      <c r="J35" s="138"/>
      <c r="K35" s="86"/>
      <c r="L35" s="138"/>
      <c r="M35" s="138"/>
      <c r="N35" s="138"/>
      <c r="O35" s="138"/>
      <c r="P35" s="86"/>
      <c r="Q35" s="138"/>
      <c r="R35" s="138"/>
      <c r="S35" s="138"/>
      <c r="T35" s="138"/>
      <c r="U35" s="86"/>
      <c r="V35" s="138"/>
      <c r="W35" s="138"/>
      <c r="X35" s="138"/>
      <c r="Y35" s="138"/>
      <c r="Z35" s="86"/>
      <c r="AA35" s="138"/>
      <c r="AB35" s="138"/>
      <c r="AC35" s="138"/>
      <c r="AD35" s="138"/>
      <c r="AE35" s="86"/>
      <c r="AF35" s="138"/>
      <c r="AG35" s="138"/>
      <c r="AH35" s="138"/>
      <c r="AI35" s="138"/>
      <c r="AJ35" s="86"/>
      <c r="AK35" s="138"/>
      <c r="AL35" s="138"/>
      <c r="AM35" s="138"/>
      <c r="AN35" s="138"/>
      <c r="AO35" s="86"/>
      <c r="AP35" s="138"/>
      <c r="AQ35" s="138"/>
      <c r="AR35" s="138"/>
      <c r="AS35" s="138"/>
      <c r="AT35" s="86"/>
      <c r="AU35" s="138"/>
      <c r="AV35" s="138"/>
      <c r="AW35" s="138"/>
      <c r="AX35" s="138"/>
      <c r="AY35" s="85"/>
    </row>
    <row r="36" spans="1:51">
      <c r="A36" s="137" t="s">
        <v>97</v>
      </c>
      <c r="B36" s="138"/>
      <c r="C36" s="138"/>
      <c r="D36" s="138"/>
      <c r="E36" s="138"/>
      <c r="F36" s="86"/>
      <c r="G36" s="138"/>
      <c r="H36" s="138"/>
      <c r="I36" s="138"/>
      <c r="J36" s="138"/>
      <c r="K36" s="86"/>
      <c r="L36" s="138"/>
      <c r="M36" s="138"/>
      <c r="N36" s="138"/>
      <c r="O36" s="138"/>
      <c r="P36" s="86"/>
      <c r="Q36" s="138"/>
      <c r="R36" s="138"/>
      <c r="S36" s="138"/>
      <c r="T36" s="138"/>
      <c r="U36" s="86"/>
      <c r="V36" s="138"/>
      <c r="W36" s="138"/>
      <c r="X36" s="138"/>
      <c r="Y36" s="138"/>
      <c r="Z36" s="86"/>
      <c r="AA36" s="138"/>
      <c r="AB36" s="138"/>
      <c r="AC36" s="138"/>
      <c r="AD36" s="138"/>
      <c r="AE36" s="86"/>
      <c r="AF36" s="138"/>
      <c r="AG36" s="138"/>
      <c r="AH36" s="138"/>
      <c r="AI36" s="138"/>
      <c r="AJ36" s="86"/>
      <c r="AK36" s="138"/>
      <c r="AL36" s="138"/>
      <c r="AM36" s="138"/>
      <c r="AN36" s="138"/>
      <c r="AO36" s="86"/>
      <c r="AP36" s="138"/>
      <c r="AQ36" s="138"/>
      <c r="AR36" s="138"/>
      <c r="AS36" s="138"/>
      <c r="AT36" s="86"/>
      <c r="AU36" s="138"/>
      <c r="AV36" s="138"/>
      <c r="AW36" s="138"/>
      <c r="AX36" s="138"/>
      <c r="AY36" s="85"/>
    </row>
    <row r="37" spans="1:51">
      <c r="A37" s="137" t="s">
        <v>99</v>
      </c>
      <c r="B37" s="138"/>
      <c r="C37" s="138"/>
      <c r="D37" s="138"/>
      <c r="E37" s="138"/>
      <c r="F37" s="86"/>
      <c r="G37" s="138"/>
      <c r="H37" s="138"/>
      <c r="I37" s="138"/>
      <c r="J37" s="138"/>
      <c r="K37" s="86"/>
      <c r="L37" s="138"/>
      <c r="M37" s="138"/>
      <c r="N37" s="138"/>
      <c r="O37" s="138"/>
      <c r="P37" s="86"/>
      <c r="Q37" s="138"/>
      <c r="R37" s="138"/>
      <c r="S37" s="138"/>
      <c r="T37" s="138"/>
      <c r="U37" s="86"/>
      <c r="V37" s="138"/>
      <c r="W37" s="138"/>
      <c r="X37" s="138"/>
      <c r="Y37" s="138"/>
      <c r="Z37" s="86"/>
      <c r="AA37" s="138"/>
      <c r="AB37" s="138"/>
      <c r="AC37" s="138"/>
      <c r="AD37" s="138"/>
      <c r="AE37" s="86"/>
      <c r="AF37" s="138"/>
      <c r="AG37" s="138"/>
      <c r="AH37" s="138"/>
      <c r="AI37" s="138"/>
      <c r="AJ37" s="86"/>
      <c r="AK37" s="138"/>
      <c r="AL37" s="138"/>
      <c r="AM37" s="138"/>
      <c r="AN37" s="138"/>
      <c r="AO37" s="86"/>
      <c r="AP37" s="138"/>
      <c r="AQ37" s="138"/>
      <c r="AR37" s="138"/>
      <c r="AS37" s="138"/>
      <c r="AT37" s="86"/>
      <c r="AU37" s="138"/>
      <c r="AV37" s="138"/>
      <c r="AW37" s="138"/>
      <c r="AX37" s="138"/>
      <c r="AY37" s="85"/>
    </row>
    <row r="38" spans="1:51">
      <c r="A38" s="137" t="s">
        <v>101</v>
      </c>
      <c r="B38" s="138"/>
      <c r="C38" s="138"/>
      <c r="D38" s="138"/>
      <c r="E38" s="138"/>
      <c r="F38" s="86"/>
      <c r="G38" s="138"/>
      <c r="H38" s="138"/>
      <c r="I38" s="138"/>
      <c r="J38" s="138"/>
      <c r="K38" s="86"/>
      <c r="L38" s="138"/>
      <c r="M38" s="138"/>
      <c r="N38" s="138"/>
      <c r="O38" s="138"/>
      <c r="P38" s="86"/>
      <c r="Q38" s="138"/>
      <c r="R38" s="138"/>
      <c r="S38" s="138"/>
      <c r="T38" s="138"/>
      <c r="U38" s="86"/>
      <c r="V38" s="138"/>
      <c r="W38" s="138"/>
      <c r="X38" s="138"/>
      <c r="Y38" s="138"/>
      <c r="Z38" s="86"/>
      <c r="AA38" s="138"/>
      <c r="AB38" s="138"/>
      <c r="AC38" s="138"/>
      <c r="AD38" s="138"/>
      <c r="AE38" s="86"/>
      <c r="AF38" s="138"/>
      <c r="AG38" s="138"/>
      <c r="AH38" s="138"/>
      <c r="AI38" s="138"/>
      <c r="AJ38" s="86"/>
      <c r="AK38" s="138"/>
      <c r="AL38" s="138"/>
      <c r="AM38" s="138"/>
      <c r="AN38" s="138"/>
      <c r="AO38" s="86"/>
      <c r="AP38" s="138"/>
      <c r="AQ38" s="138"/>
      <c r="AR38" s="138"/>
      <c r="AS38" s="138"/>
      <c r="AT38" s="86"/>
      <c r="AU38" s="138"/>
      <c r="AV38" s="138"/>
      <c r="AW38" s="138"/>
      <c r="AX38" s="138"/>
      <c r="AY38" s="85"/>
    </row>
    <row r="39" spans="1:51">
      <c r="A39" s="137" t="s">
        <v>103</v>
      </c>
      <c r="B39" s="138"/>
      <c r="C39" s="138"/>
      <c r="D39" s="138"/>
      <c r="E39" s="138"/>
      <c r="F39" s="86"/>
      <c r="G39" s="138"/>
      <c r="H39" s="138"/>
      <c r="I39" s="138"/>
      <c r="J39" s="138"/>
      <c r="K39" s="86"/>
      <c r="L39" s="138"/>
      <c r="M39" s="138"/>
      <c r="N39" s="138"/>
      <c r="O39" s="138"/>
      <c r="P39" s="86"/>
      <c r="Q39" s="138"/>
      <c r="R39" s="138"/>
      <c r="S39" s="138"/>
      <c r="T39" s="138"/>
      <c r="U39" s="86"/>
      <c r="V39" s="138"/>
      <c r="W39" s="138"/>
      <c r="X39" s="138"/>
      <c r="Y39" s="138"/>
      <c r="Z39" s="86"/>
      <c r="AA39" s="138"/>
      <c r="AB39" s="138"/>
      <c r="AC39" s="138"/>
      <c r="AD39" s="138"/>
      <c r="AE39" s="86"/>
      <c r="AF39" s="138"/>
      <c r="AG39" s="138"/>
      <c r="AH39" s="138"/>
      <c r="AI39" s="138"/>
      <c r="AJ39" s="86"/>
      <c r="AK39" s="138"/>
      <c r="AL39" s="138"/>
      <c r="AM39" s="138"/>
      <c r="AN39" s="138"/>
      <c r="AO39" s="86"/>
      <c r="AP39" s="138"/>
      <c r="AQ39" s="138"/>
      <c r="AR39" s="138"/>
      <c r="AS39" s="138"/>
      <c r="AT39" s="86"/>
      <c r="AU39" s="138"/>
      <c r="AV39" s="138"/>
      <c r="AW39" s="138"/>
      <c r="AX39" s="138"/>
      <c r="AY39" s="85"/>
    </row>
    <row r="40" spans="1:51">
      <c r="A40" s="137" t="s">
        <v>105</v>
      </c>
      <c r="B40" s="138"/>
      <c r="C40" s="138"/>
      <c r="D40" s="138"/>
      <c r="E40" s="138"/>
      <c r="F40" s="86"/>
      <c r="G40" s="138"/>
      <c r="H40" s="138"/>
      <c r="I40" s="138"/>
      <c r="J40" s="138"/>
      <c r="K40" s="86"/>
      <c r="L40" s="138"/>
      <c r="M40" s="138"/>
      <c r="N40" s="138"/>
      <c r="O40" s="138"/>
      <c r="P40" s="86"/>
      <c r="Q40" s="138"/>
      <c r="R40" s="138"/>
      <c r="S40" s="138"/>
      <c r="T40" s="138"/>
      <c r="U40" s="86"/>
      <c r="V40" s="138"/>
      <c r="W40" s="138"/>
      <c r="X40" s="138"/>
      <c r="Y40" s="138"/>
      <c r="Z40" s="86"/>
      <c r="AA40" s="138"/>
      <c r="AB40" s="138"/>
      <c r="AC40" s="138"/>
      <c r="AD40" s="138"/>
      <c r="AE40" s="86"/>
      <c r="AF40" s="138"/>
      <c r="AG40" s="138"/>
      <c r="AH40" s="138"/>
      <c r="AI40" s="138"/>
      <c r="AJ40" s="86"/>
      <c r="AK40" s="138"/>
      <c r="AL40" s="138"/>
      <c r="AM40" s="138"/>
      <c r="AN40" s="138"/>
      <c r="AO40" s="86"/>
      <c r="AP40" s="138"/>
      <c r="AQ40" s="138"/>
      <c r="AR40" s="138"/>
      <c r="AS40" s="138"/>
      <c r="AT40" s="86"/>
      <c r="AU40" s="138"/>
      <c r="AV40" s="138"/>
      <c r="AW40" s="138"/>
      <c r="AX40" s="138"/>
      <c r="AY40" s="85"/>
    </row>
    <row r="41" spans="1:51">
      <c r="A41" s="137" t="s">
        <v>107</v>
      </c>
      <c r="B41" s="138"/>
      <c r="C41" s="138"/>
      <c r="D41" s="138"/>
      <c r="E41" s="138"/>
      <c r="F41" s="86"/>
      <c r="G41" s="138"/>
      <c r="H41" s="138"/>
      <c r="I41" s="138"/>
      <c r="J41" s="138"/>
      <c r="K41" s="86"/>
      <c r="L41" s="138"/>
      <c r="M41" s="138"/>
      <c r="N41" s="138"/>
      <c r="O41" s="138"/>
      <c r="P41" s="86"/>
      <c r="Q41" s="138"/>
      <c r="R41" s="138"/>
      <c r="S41" s="138"/>
      <c r="T41" s="138"/>
      <c r="U41" s="86"/>
      <c r="V41" s="138"/>
      <c r="W41" s="138"/>
      <c r="X41" s="138"/>
      <c r="Y41" s="138"/>
      <c r="Z41" s="86"/>
      <c r="AA41" s="138"/>
      <c r="AB41" s="138"/>
      <c r="AC41" s="138"/>
      <c r="AD41" s="138"/>
      <c r="AE41" s="86"/>
      <c r="AF41" s="138"/>
      <c r="AG41" s="138"/>
      <c r="AH41" s="138"/>
      <c r="AI41" s="138"/>
      <c r="AJ41" s="86"/>
      <c r="AK41" s="138"/>
      <c r="AL41" s="138"/>
      <c r="AM41" s="138"/>
      <c r="AN41" s="138"/>
      <c r="AO41" s="86"/>
      <c r="AP41" s="138"/>
      <c r="AQ41" s="138"/>
      <c r="AR41" s="138"/>
      <c r="AS41" s="138"/>
      <c r="AT41" s="86"/>
      <c r="AU41" s="138"/>
      <c r="AV41" s="138"/>
      <c r="AW41" s="138"/>
      <c r="AX41" s="138"/>
      <c r="AY41" s="85"/>
    </row>
    <row r="42" spans="1:51">
      <c r="A42" s="137" t="s">
        <v>109</v>
      </c>
      <c r="B42" s="138"/>
      <c r="C42" s="138"/>
      <c r="D42" s="138"/>
      <c r="E42" s="138"/>
      <c r="F42" s="86"/>
      <c r="G42" s="138"/>
      <c r="H42" s="138"/>
      <c r="I42" s="138"/>
      <c r="J42" s="138"/>
      <c r="K42" s="86"/>
      <c r="L42" s="138"/>
      <c r="M42" s="138"/>
      <c r="N42" s="138"/>
      <c r="O42" s="138"/>
      <c r="P42" s="86"/>
      <c r="Q42" s="138"/>
      <c r="R42" s="138"/>
      <c r="S42" s="138"/>
      <c r="T42" s="138"/>
      <c r="U42" s="86"/>
      <c r="V42" s="138"/>
      <c r="W42" s="138"/>
      <c r="X42" s="138"/>
      <c r="Y42" s="138"/>
      <c r="Z42" s="86"/>
      <c r="AA42" s="138"/>
      <c r="AB42" s="138"/>
      <c r="AC42" s="138"/>
      <c r="AD42" s="138"/>
      <c r="AE42" s="86"/>
      <c r="AF42" s="138"/>
      <c r="AG42" s="138"/>
      <c r="AH42" s="138"/>
      <c r="AI42" s="138"/>
      <c r="AJ42" s="86"/>
      <c r="AK42" s="138"/>
      <c r="AL42" s="138"/>
      <c r="AM42" s="138"/>
      <c r="AN42" s="138"/>
      <c r="AO42" s="86"/>
      <c r="AP42" s="138"/>
      <c r="AQ42" s="138"/>
      <c r="AR42" s="138"/>
      <c r="AS42" s="138"/>
      <c r="AT42" s="86"/>
      <c r="AU42" s="138"/>
      <c r="AV42" s="138"/>
      <c r="AW42" s="138"/>
      <c r="AX42" s="138"/>
      <c r="AY42" s="85"/>
    </row>
    <row r="43" spans="1:51">
      <c r="A43" s="137" t="s">
        <v>111</v>
      </c>
      <c r="B43" s="138"/>
      <c r="C43" s="138"/>
      <c r="D43" s="138"/>
      <c r="E43" s="138"/>
      <c r="F43" s="86"/>
      <c r="G43" s="138"/>
      <c r="H43" s="138"/>
      <c r="I43" s="138"/>
      <c r="J43" s="138"/>
      <c r="K43" s="86"/>
      <c r="L43" s="138"/>
      <c r="M43" s="138"/>
      <c r="N43" s="138"/>
      <c r="O43" s="138"/>
      <c r="P43" s="86"/>
      <c r="Q43" s="138"/>
      <c r="R43" s="138"/>
      <c r="S43" s="138"/>
      <c r="T43" s="138"/>
      <c r="U43" s="86"/>
      <c r="V43" s="138"/>
      <c r="W43" s="138"/>
      <c r="X43" s="138"/>
      <c r="Y43" s="138"/>
      <c r="Z43" s="86"/>
      <c r="AA43" s="138"/>
      <c r="AB43" s="138"/>
      <c r="AC43" s="138"/>
      <c r="AD43" s="138"/>
      <c r="AE43" s="86"/>
      <c r="AF43" s="138"/>
      <c r="AG43" s="138"/>
      <c r="AH43" s="138"/>
      <c r="AI43" s="138"/>
      <c r="AJ43" s="86"/>
      <c r="AK43" s="138"/>
      <c r="AL43" s="138"/>
      <c r="AM43" s="138"/>
      <c r="AN43" s="138"/>
      <c r="AO43" s="86"/>
      <c r="AP43" s="138"/>
      <c r="AQ43" s="138"/>
      <c r="AR43" s="138"/>
      <c r="AS43" s="138"/>
      <c r="AT43" s="86"/>
      <c r="AU43" s="138"/>
      <c r="AV43" s="138"/>
      <c r="AW43" s="138"/>
      <c r="AX43" s="138"/>
      <c r="AY43" s="85"/>
    </row>
    <row r="44" spans="1:51">
      <c r="A44" s="137" t="s">
        <v>113</v>
      </c>
      <c r="B44" s="138"/>
      <c r="C44" s="138"/>
      <c r="D44" s="138"/>
      <c r="E44" s="138"/>
      <c r="F44" s="86"/>
      <c r="G44" s="138"/>
      <c r="H44" s="138"/>
      <c r="I44" s="138"/>
      <c r="J44" s="138"/>
      <c r="K44" s="86"/>
      <c r="L44" s="138"/>
      <c r="M44" s="138"/>
      <c r="N44" s="138"/>
      <c r="O44" s="138"/>
      <c r="P44" s="86"/>
      <c r="Q44" s="138"/>
      <c r="R44" s="138"/>
      <c r="S44" s="138"/>
      <c r="T44" s="138"/>
      <c r="U44" s="86"/>
      <c r="V44" s="138"/>
      <c r="W44" s="138"/>
      <c r="X44" s="138"/>
      <c r="Y44" s="138"/>
      <c r="Z44" s="86"/>
      <c r="AA44" s="138"/>
      <c r="AB44" s="138"/>
      <c r="AC44" s="138"/>
      <c r="AD44" s="138"/>
      <c r="AE44" s="86"/>
      <c r="AF44" s="138"/>
      <c r="AG44" s="138"/>
      <c r="AH44" s="138"/>
      <c r="AI44" s="138"/>
      <c r="AJ44" s="86"/>
      <c r="AK44" s="138"/>
      <c r="AL44" s="138"/>
      <c r="AM44" s="138"/>
      <c r="AN44" s="138"/>
      <c r="AO44" s="86"/>
      <c r="AP44" s="138"/>
      <c r="AQ44" s="138"/>
      <c r="AR44" s="138"/>
      <c r="AS44" s="138"/>
      <c r="AT44" s="86"/>
      <c r="AU44" s="138"/>
      <c r="AV44" s="138"/>
      <c r="AW44" s="138"/>
      <c r="AX44" s="138"/>
      <c r="AY44" s="85"/>
    </row>
    <row r="45" spans="1:51">
      <c r="A45" s="137" t="s">
        <v>115</v>
      </c>
      <c r="B45" s="138"/>
      <c r="C45" s="138"/>
      <c r="D45" s="138"/>
      <c r="E45" s="138"/>
      <c r="F45" s="86"/>
      <c r="G45" s="138"/>
      <c r="H45" s="138"/>
      <c r="I45" s="138"/>
      <c r="J45" s="138"/>
      <c r="K45" s="86"/>
      <c r="L45" s="138"/>
      <c r="M45" s="138"/>
      <c r="N45" s="138"/>
      <c r="O45" s="138"/>
      <c r="P45" s="86"/>
      <c r="Q45" s="138"/>
      <c r="R45" s="138"/>
      <c r="S45" s="138"/>
      <c r="T45" s="138"/>
      <c r="U45" s="86"/>
      <c r="V45" s="138"/>
      <c r="W45" s="138"/>
      <c r="X45" s="138"/>
      <c r="Y45" s="138"/>
      <c r="Z45" s="86"/>
      <c r="AA45" s="138"/>
      <c r="AB45" s="138"/>
      <c r="AC45" s="138"/>
      <c r="AD45" s="138"/>
      <c r="AE45" s="86"/>
      <c r="AF45" s="138"/>
      <c r="AG45" s="138"/>
      <c r="AH45" s="138"/>
      <c r="AI45" s="138"/>
      <c r="AJ45" s="86"/>
      <c r="AK45" s="138"/>
      <c r="AL45" s="138"/>
      <c r="AM45" s="138"/>
      <c r="AN45" s="138"/>
      <c r="AO45" s="86"/>
      <c r="AP45" s="138"/>
      <c r="AQ45" s="138"/>
      <c r="AR45" s="138"/>
      <c r="AS45" s="138"/>
      <c r="AT45" s="86"/>
      <c r="AU45" s="138"/>
      <c r="AV45" s="138"/>
      <c r="AW45" s="138"/>
      <c r="AX45" s="138"/>
      <c r="AY45" s="85"/>
    </row>
    <row r="46" spans="1:51">
      <c r="A46" s="137" t="s">
        <v>117</v>
      </c>
      <c r="B46" s="138"/>
      <c r="C46" s="138"/>
      <c r="D46" s="138"/>
      <c r="E46" s="138"/>
      <c r="F46" s="86"/>
      <c r="G46" s="138"/>
      <c r="H46" s="138"/>
      <c r="I46" s="138"/>
      <c r="J46" s="138"/>
      <c r="K46" s="86"/>
      <c r="L46" s="138"/>
      <c r="M46" s="138"/>
      <c r="N46" s="138"/>
      <c r="O46" s="138"/>
      <c r="P46" s="86"/>
      <c r="Q46" s="138"/>
      <c r="R46" s="138"/>
      <c r="S46" s="138"/>
      <c r="T46" s="138"/>
      <c r="U46" s="86"/>
      <c r="V46" s="138"/>
      <c r="W46" s="138"/>
      <c r="X46" s="138"/>
      <c r="Y46" s="138"/>
      <c r="Z46" s="86"/>
      <c r="AA46" s="138"/>
      <c r="AB46" s="138"/>
      <c r="AC46" s="138"/>
      <c r="AD46" s="138"/>
      <c r="AE46" s="86"/>
      <c r="AF46" s="138"/>
      <c r="AG46" s="138"/>
      <c r="AH46" s="138"/>
      <c r="AI46" s="138"/>
      <c r="AJ46" s="86"/>
      <c r="AK46" s="138"/>
      <c r="AL46" s="138"/>
      <c r="AM46" s="138"/>
      <c r="AN46" s="138"/>
      <c r="AO46" s="86"/>
      <c r="AP46" s="138"/>
      <c r="AQ46" s="138"/>
      <c r="AR46" s="138"/>
      <c r="AS46" s="138"/>
      <c r="AT46" s="86"/>
      <c r="AU46" s="138"/>
      <c r="AV46" s="138"/>
      <c r="AW46" s="138"/>
      <c r="AX46" s="138"/>
      <c r="AY46" s="85"/>
    </row>
    <row r="47" spans="1:51">
      <c r="A47" s="137" t="s">
        <v>119</v>
      </c>
      <c r="B47" s="138"/>
      <c r="C47" s="138"/>
      <c r="D47" s="138"/>
      <c r="E47" s="138"/>
      <c r="F47" s="86"/>
      <c r="G47" s="138"/>
      <c r="H47" s="138"/>
      <c r="I47" s="138"/>
      <c r="J47" s="138"/>
      <c r="K47" s="86"/>
      <c r="L47" s="138"/>
      <c r="M47" s="138"/>
      <c r="N47" s="138"/>
      <c r="O47" s="138"/>
      <c r="P47" s="86"/>
      <c r="Q47" s="138"/>
      <c r="R47" s="138"/>
      <c r="S47" s="138"/>
      <c r="T47" s="138"/>
      <c r="U47" s="86"/>
      <c r="V47" s="138"/>
      <c r="W47" s="138"/>
      <c r="X47" s="138"/>
      <c r="Y47" s="138"/>
      <c r="Z47" s="86"/>
      <c r="AA47" s="138"/>
      <c r="AB47" s="138"/>
      <c r="AC47" s="138"/>
      <c r="AD47" s="138"/>
      <c r="AE47" s="86"/>
      <c r="AF47" s="138"/>
      <c r="AG47" s="138"/>
      <c r="AH47" s="138"/>
      <c r="AI47" s="138"/>
      <c r="AJ47" s="86"/>
      <c r="AK47" s="138"/>
      <c r="AL47" s="138"/>
      <c r="AM47" s="138"/>
      <c r="AN47" s="138"/>
      <c r="AO47" s="86"/>
      <c r="AP47" s="138"/>
      <c r="AQ47" s="138"/>
      <c r="AR47" s="138"/>
      <c r="AS47" s="138"/>
      <c r="AT47" s="86"/>
      <c r="AU47" s="138"/>
      <c r="AV47" s="138"/>
      <c r="AW47" s="138"/>
      <c r="AX47" s="138"/>
      <c r="AY47" s="85"/>
    </row>
    <row r="48" spans="1:51">
      <c r="A48" s="137" t="s">
        <v>121</v>
      </c>
      <c r="B48" s="138"/>
      <c r="C48" s="138"/>
      <c r="D48" s="138"/>
      <c r="E48" s="138"/>
      <c r="F48" s="86"/>
      <c r="G48" s="138"/>
      <c r="H48" s="138"/>
      <c r="I48" s="138"/>
      <c r="J48" s="138"/>
      <c r="K48" s="86"/>
      <c r="L48" s="138"/>
      <c r="M48" s="138"/>
      <c r="N48" s="138"/>
      <c r="O48" s="138"/>
      <c r="P48" s="86"/>
      <c r="Q48" s="138"/>
      <c r="R48" s="138"/>
      <c r="S48" s="138"/>
      <c r="T48" s="138"/>
      <c r="U48" s="86"/>
      <c r="V48" s="138"/>
      <c r="W48" s="138"/>
      <c r="X48" s="138"/>
      <c r="Y48" s="138"/>
      <c r="Z48" s="86"/>
      <c r="AA48" s="138"/>
      <c r="AB48" s="138"/>
      <c r="AC48" s="138"/>
      <c r="AD48" s="138"/>
      <c r="AE48" s="86"/>
      <c r="AF48" s="138"/>
      <c r="AG48" s="138"/>
      <c r="AH48" s="138"/>
      <c r="AI48" s="138"/>
      <c r="AJ48" s="86"/>
      <c r="AK48" s="138"/>
      <c r="AL48" s="138"/>
      <c r="AM48" s="138"/>
      <c r="AN48" s="138"/>
      <c r="AO48" s="86"/>
      <c r="AP48" s="138"/>
      <c r="AQ48" s="138"/>
      <c r="AR48" s="138"/>
      <c r="AS48" s="138"/>
      <c r="AT48" s="86"/>
      <c r="AU48" s="138"/>
      <c r="AV48" s="138"/>
      <c r="AW48" s="138"/>
      <c r="AX48" s="138"/>
      <c r="AY48" s="85"/>
    </row>
    <row r="49" spans="1:51">
      <c r="A49" s="137" t="s">
        <v>123</v>
      </c>
      <c r="B49" s="138"/>
      <c r="C49" s="138"/>
      <c r="D49" s="138"/>
      <c r="E49" s="138"/>
      <c r="F49" s="86"/>
      <c r="G49" s="138"/>
      <c r="H49" s="138"/>
      <c r="I49" s="138"/>
      <c r="J49" s="138"/>
      <c r="K49" s="86"/>
      <c r="L49" s="138"/>
      <c r="M49" s="138"/>
      <c r="N49" s="138"/>
      <c r="O49" s="138"/>
      <c r="P49" s="86"/>
      <c r="Q49" s="138"/>
      <c r="R49" s="138"/>
      <c r="S49" s="138"/>
      <c r="T49" s="138"/>
      <c r="U49" s="86"/>
      <c r="V49" s="138"/>
      <c r="W49" s="138"/>
      <c r="X49" s="138"/>
      <c r="Y49" s="138"/>
      <c r="Z49" s="86"/>
      <c r="AA49" s="138"/>
      <c r="AB49" s="138"/>
      <c r="AC49" s="138"/>
      <c r="AD49" s="138"/>
      <c r="AE49" s="86"/>
      <c r="AF49" s="138"/>
      <c r="AG49" s="138"/>
      <c r="AH49" s="138"/>
      <c r="AI49" s="138"/>
      <c r="AJ49" s="86"/>
      <c r="AK49" s="138"/>
      <c r="AL49" s="138"/>
      <c r="AM49" s="138"/>
      <c r="AN49" s="138"/>
      <c r="AO49" s="86"/>
      <c r="AP49" s="138"/>
      <c r="AQ49" s="138"/>
      <c r="AR49" s="138"/>
      <c r="AS49" s="138"/>
      <c r="AT49" s="86"/>
      <c r="AU49" s="138"/>
      <c r="AV49" s="138"/>
      <c r="AW49" s="138"/>
      <c r="AX49" s="138"/>
      <c r="AY49" s="85"/>
    </row>
    <row r="50" spans="1:51">
      <c r="A50" s="137" t="s">
        <v>125</v>
      </c>
      <c r="B50" s="138"/>
      <c r="C50" s="138"/>
      <c r="D50" s="138"/>
      <c r="E50" s="138"/>
      <c r="F50" s="86"/>
      <c r="G50" s="138"/>
      <c r="H50" s="138"/>
      <c r="I50" s="138"/>
      <c r="J50" s="138"/>
      <c r="K50" s="86"/>
      <c r="L50" s="138"/>
      <c r="M50" s="138"/>
      <c r="N50" s="138"/>
      <c r="O50" s="138"/>
      <c r="P50" s="86"/>
      <c r="Q50" s="138"/>
      <c r="R50" s="138"/>
      <c r="S50" s="138"/>
      <c r="T50" s="138"/>
      <c r="U50" s="86"/>
      <c r="V50" s="138"/>
      <c r="W50" s="138"/>
      <c r="X50" s="138"/>
      <c r="Y50" s="138"/>
      <c r="Z50" s="86"/>
      <c r="AA50" s="138"/>
      <c r="AB50" s="138"/>
      <c r="AC50" s="138"/>
      <c r="AD50" s="138"/>
      <c r="AE50" s="86"/>
      <c r="AF50" s="138"/>
      <c r="AG50" s="138"/>
      <c r="AH50" s="138"/>
      <c r="AI50" s="138"/>
      <c r="AJ50" s="86"/>
      <c r="AK50" s="138"/>
      <c r="AL50" s="138"/>
      <c r="AM50" s="138"/>
      <c r="AN50" s="138"/>
      <c r="AO50" s="86"/>
      <c r="AP50" s="138"/>
      <c r="AQ50" s="138"/>
      <c r="AR50" s="138"/>
      <c r="AS50" s="138"/>
      <c r="AT50" s="86"/>
      <c r="AU50" s="138"/>
      <c r="AV50" s="138"/>
      <c r="AW50" s="138"/>
      <c r="AX50" s="138"/>
      <c r="AY50" s="85"/>
    </row>
    <row r="51" spans="1:51">
      <c r="A51" s="137" t="s">
        <v>127</v>
      </c>
      <c r="B51" s="138"/>
      <c r="C51" s="138"/>
      <c r="D51" s="138"/>
      <c r="E51" s="138"/>
      <c r="F51" s="86"/>
      <c r="G51" s="138"/>
      <c r="H51" s="138"/>
      <c r="I51" s="138"/>
      <c r="J51" s="138"/>
      <c r="K51" s="86"/>
      <c r="L51" s="138"/>
      <c r="M51" s="138"/>
      <c r="N51" s="138"/>
      <c r="O51" s="138"/>
      <c r="P51" s="86"/>
      <c r="Q51" s="138"/>
      <c r="R51" s="138"/>
      <c r="S51" s="138"/>
      <c r="T51" s="138"/>
      <c r="U51" s="86"/>
      <c r="V51" s="138"/>
      <c r="W51" s="138"/>
      <c r="X51" s="138"/>
      <c r="Y51" s="138"/>
      <c r="Z51" s="86"/>
      <c r="AA51" s="138"/>
      <c r="AB51" s="138"/>
      <c r="AC51" s="138"/>
      <c r="AD51" s="138"/>
      <c r="AE51" s="86"/>
      <c r="AF51" s="138"/>
      <c r="AG51" s="138"/>
      <c r="AH51" s="138"/>
      <c r="AI51" s="138"/>
      <c r="AJ51" s="86"/>
      <c r="AK51" s="138"/>
      <c r="AL51" s="138"/>
      <c r="AM51" s="138"/>
      <c r="AN51" s="138"/>
      <c r="AO51" s="86"/>
      <c r="AP51" s="138"/>
      <c r="AQ51" s="138"/>
      <c r="AR51" s="138"/>
      <c r="AS51" s="138"/>
      <c r="AT51" s="86"/>
      <c r="AU51" s="138"/>
      <c r="AV51" s="138"/>
      <c r="AW51" s="138"/>
      <c r="AX51" s="138"/>
      <c r="AY51" s="85"/>
    </row>
    <row r="52" spans="1:51">
      <c r="A52" s="137" t="s">
        <v>129</v>
      </c>
      <c r="B52" s="138"/>
      <c r="C52" s="138"/>
      <c r="D52" s="138"/>
      <c r="E52" s="138"/>
      <c r="F52" s="86"/>
      <c r="G52" s="138"/>
      <c r="H52" s="138"/>
      <c r="I52" s="138"/>
      <c r="J52" s="138"/>
      <c r="K52" s="86"/>
      <c r="L52" s="138"/>
      <c r="M52" s="138"/>
      <c r="N52" s="138"/>
      <c r="O52" s="138"/>
      <c r="P52" s="86"/>
      <c r="Q52" s="138"/>
      <c r="R52" s="138"/>
      <c r="S52" s="138"/>
      <c r="T52" s="138"/>
      <c r="U52" s="86"/>
      <c r="V52" s="138"/>
      <c r="W52" s="138"/>
      <c r="X52" s="138"/>
      <c r="Y52" s="138"/>
      <c r="Z52" s="86"/>
      <c r="AA52" s="138"/>
      <c r="AB52" s="138"/>
      <c r="AC52" s="138"/>
      <c r="AD52" s="138"/>
      <c r="AE52" s="86"/>
      <c r="AF52" s="138"/>
      <c r="AG52" s="138"/>
      <c r="AH52" s="138"/>
      <c r="AI52" s="138"/>
      <c r="AJ52" s="86"/>
      <c r="AK52" s="138"/>
      <c r="AL52" s="138"/>
      <c r="AM52" s="138"/>
      <c r="AN52" s="138"/>
      <c r="AO52" s="86"/>
      <c r="AP52" s="138"/>
      <c r="AQ52" s="138"/>
      <c r="AR52" s="138"/>
      <c r="AS52" s="138"/>
      <c r="AT52" s="86"/>
      <c r="AU52" s="138"/>
      <c r="AV52" s="138"/>
      <c r="AW52" s="138"/>
      <c r="AX52" s="138"/>
      <c r="AY52" s="85"/>
    </row>
    <row r="53" spans="1:51">
      <c r="A53" s="137" t="s">
        <v>131</v>
      </c>
      <c r="B53" s="138"/>
      <c r="C53" s="138"/>
      <c r="D53" s="138"/>
      <c r="E53" s="138"/>
      <c r="F53" s="86"/>
      <c r="G53" s="138"/>
      <c r="H53" s="138"/>
      <c r="I53" s="138"/>
      <c r="J53" s="138"/>
      <c r="K53" s="86"/>
      <c r="L53" s="138"/>
      <c r="M53" s="138"/>
      <c r="N53" s="138"/>
      <c r="O53" s="138"/>
      <c r="P53" s="86"/>
      <c r="Q53" s="138"/>
      <c r="R53" s="138"/>
      <c r="S53" s="138"/>
      <c r="T53" s="138"/>
      <c r="U53" s="86"/>
      <c r="V53" s="138"/>
      <c r="W53" s="138"/>
      <c r="X53" s="138"/>
      <c r="Y53" s="138"/>
      <c r="Z53" s="86"/>
      <c r="AA53" s="138"/>
      <c r="AB53" s="138"/>
      <c r="AC53" s="138"/>
      <c r="AD53" s="138"/>
      <c r="AE53" s="86"/>
      <c r="AF53" s="138"/>
      <c r="AG53" s="138"/>
      <c r="AH53" s="138"/>
      <c r="AI53" s="138"/>
      <c r="AJ53" s="86"/>
      <c r="AK53" s="138"/>
      <c r="AL53" s="138"/>
      <c r="AM53" s="138"/>
      <c r="AN53" s="138"/>
      <c r="AO53" s="86"/>
      <c r="AP53" s="138"/>
      <c r="AQ53" s="138"/>
      <c r="AR53" s="138"/>
      <c r="AS53" s="138"/>
      <c r="AT53" s="86"/>
      <c r="AU53" s="138"/>
      <c r="AV53" s="138"/>
      <c r="AW53" s="138"/>
      <c r="AX53" s="138"/>
      <c r="AY53" s="85"/>
    </row>
    <row r="54" spans="1:51">
      <c r="A54" s="137" t="s">
        <v>133</v>
      </c>
      <c r="B54" s="138"/>
      <c r="C54" s="138"/>
      <c r="D54" s="138"/>
      <c r="E54" s="138"/>
      <c r="F54" s="86"/>
      <c r="G54" s="138"/>
      <c r="H54" s="138"/>
      <c r="I54" s="138"/>
      <c r="J54" s="138"/>
      <c r="K54" s="86"/>
      <c r="L54" s="138"/>
      <c r="M54" s="138"/>
      <c r="N54" s="138"/>
      <c r="O54" s="138"/>
      <c r="P54" s="86"/>
      <c r="Q54" s="138"/>
      <c r="R54" s="138"/>
      <c r="S54" s="138"/>
      <c r="T54" s="138"/>
      <c r="U54" s="86"/>
      <c r="V54" s="138"/>
      <c r="W54" s="138"/>
      <c r="X54" s="138"/>
      <c r="Y54" s="138"/>
      <c r="Z54" s="86"/>
      <c r="AA54" s="138"/>
      <c r="AB54" s="138"/>
      <c r="AC54" s="138"/>
      <c r="AD54" s="138"/>
      <c r="AE54" s="86"/>
      <c r="AF54" s="138"/>
      <c r="AG54" s="138"/>
      <c r="AH54" s="138"/>
      <c r="AI54" s="138"/>
      <c r="AJ54" s="86"/>
      <c r="AK54" s="138"/>
      <c r="AL54" s="138"/>
      <c r="AM54" s="138"/>
      <c r="AN54" s="138"/>
      <c r="AO54" s="86"/>
      <c r="AP54" s="138"/>
      <c r="AQ54" s="138"/>
      <c r="AR54" s="138"/>
      <c r="AS54" s="138"/>
      <c r="AT54" s="86"/>
      <c r="AU54" s="138"/>
      <c r="AV54" s="138"/>
      <c r="AW54" s="138"/>
      <c r="AX54" s="138"/>
      <c r="AY54" s="85"/>
    </row>
    <row r="55" spans="1:51">
      <c r="A55" s="137" t="s">
        <v>135</v>
      </c>
      <c r="B55" s="138"/>
      <c r="C55" s="138"/>
      <c r="D55" s="138"/>
      <c r="E55" s="138"/>
      <c r="F55" s="86"/>
      <c r="G55" s="138"/>
      <c r="H55" s="138"/>
      <c r="I55" s="138"/>
      <c r="J55" s="138"/>
      <c r="K55" s="86"/>
      <c r="L55" s="138"/>
      <c r="M55" s="138"/>
      <c r="N55" s="138"/>
      <c r="O55" s="138"/>
      <c r="P55" s="86"/>
      <c r="Q55" s="138"/>
      <c r="R55" s="138"/>
      <c r="S55" s="138"/>
      <c r="T55" s="138"/>
      <c r="U55" s="86"/>
      <c r="V55" s="138"/>
      <c r="W55" s="138"/>
      <c r="X55" s="138"/>
      <c r="Y55" s="138"/>
      <c r="Z55" s="86"/>
      <c r="AA55" s="138"/>
      <c r="AB55" s="138"/>
      <c r="AC55" s="138"/>
      <c r="AD55" s="138"/>
      <c r="AE55" s="86"/>
      <c r="AF55" s="138"/>
      <c r="AG55" s="138"/>
      <c r="AH55" s="138"/>
      <c r="AI55" s="138"/>
      <c r="AJ55" s="86"/>
      <c r="AK55" s="138"/>
      <c r="AL55" s="138"/>
      <c r="AM55" s="138"/>
      <c r="AN55" s="138"/>
      <c r="AO55" s="86"/>
      <c r="AP55" s="138"/>
      <c r="AQ55" s="138"/>
      <c r="AR55" s="138"/>
      <c r="AS55" s="138"/>
      <c r="AT55" s="86"/>
      <c r="AU55" s="138"/>
      <c r="AV55" s="138"/>
      <c r="AW55" s="138"/>
      <c r="AX55" s="138"/>
      <c r="AY55" s="85"/>
    </row>
    <row r="56" spans="1:51">
      <c r="A56" s="137" t="s">
        <v>137</v>
      </c>
      <c r="B56" s="138"/>
      <c r="C56" s="138"/>
      <c r="D56" s="138"/>
      <c r="E56" s="138"/>
      <c r="F56" s="86"/>
      <c r="G56" s="138"/>
      <c r="H56" s="138"/>
      <c r="I56" s="138"/>
      <c r="J56" s="138"/>
      <c r="K56" s="86"/>
      <c r="L56" s="138"/>
      <c r="M56" s="138"/>
      <c r="N56" s="138"/>
      <c r="O56" s="138"/>
      <c r="P56" s="86"/>
      <c r="Q56" s="138"/>
      <c r="R56" s="138"/>
      <c r="S56" s="138"/>
      <c r="T56" s="138"/>
      <c r="U56" s="86"/>
      <c r="V56" s="138"/>
      <c r="W56" s="138"/>
      <c r="X56" s="138"/>
      <c r="Y56" s="138"/>
      <c r="Z56" s="86"/>
      <c r="AA56" s="138"/>
      <c r="AB56" s="138"/>
      <c r="AC56" s="138"/>
      <c r="AD56" s="138"/>
      <c r="AE56" s="86"/>
      <c r="AF56" s="138"/>
      <c r="AG56" s="138"/>
      <c r="AH56" s="138"/>
      <c r="AI56" s="138"/>
      <c r="AJ56" s="86"/>
      <c r="AK56" s="138"/>
      <c r="AL56" s="138"/>
      <c r="AM56" s="138"/>
      <c r="AN56" s="138"/>
      <c r="AO56" s="86"/>
      <c r="AP56" s="138"/>
      <c r="AQ56" s="138"/>
      <c r="AR56" s="138"/>
      <c r="AS56" s="138"/>
      <c r="AT56" s="86"/>
      <c r="AU56" s="138"/>
      <c r="AV56" s="138"/>
      <c r="AW56" s="138"/>
      <c r="AX56" s="138"/>
      <c r="AY56" s="85"/>
    </row>
    <row r="57" spans="1:51">
      <c r="A57" s="137" t="s">
        <v>139</v>
      </c>
      <c r="B57" s="138"/>
      <c r="C57" s="138"/>
      <c r="D57" s="138"/>
      <c r="E57" s="138"/>
      <c r="F57" s="86"/>
      <c r="G57" s="138"/>
      <c r="H57" s="138"/>
      <c r="I57" s="138"/>
      <c r="J57" s="138"/>
      <c r="K57" s="86"/>
      <c r="L57" s="138"/>
      <c r="M57" s="138"/>
      <c r="N57" s="138"/>
      <c r="O57" s="138"/>
      <c r="P57" s="86"/>
      <c r="Q57" s="138"/>
      <c r="R57" s="138"/>
      <c r="S57" s="138"/>
      <c r="T57" s="138"/>
      <c r="U57" s="86"/>
      <c r="V57" s="138"/>
      <c r="W57" s="138"/>
      <c r="X57" s="138"/>
      <c r="Y57" s="138"/>
      <c r="Z57" s="86"/>
      <c r="AA57" s="138"/>
      <c r="AB57" s="138"/>
      <c r="AC57" s="138"/>
      <c r="AD57" s="138"/>
      <c r="AE57" s="86"/>
      <c r="AF57" s="138"/>
      <c r="AG57" s="138"/>
      <c r="AH57" s="138"/>
      <c r="AI57" s="138"/>
      <c r="AJ57" s="86"/>
      <c r="AK57" s="138"/>
      <c r="AL57" s="138"/>
      <c r="AM57" s="138"/>
      <c r="AN57" s="138"/>
      <c r="AO57" s="86"/>
      <c r="AP57" s="138"/>
      <c r="AQ57" s="138"/>
      <c r="AR57" s="138"/>
      <c r="AS57" s="138"/>
      <c r="AT57" s="86"/>
      <c r="AU57" s="138"/>
      <c r="AV57" s="138"/>
      <c r="AW57" s="138"/>
      <c r="AX57" s="138"/>
      <c r="AY57" s="85"/>
    </row>
    <row r="58" spans="1:51">
      <c r="A58" s="137" t="s">
        <v>141</v>
      </c>
      <c r="B58" s="138"/>
      <c r="C58" s="138"/>
      <c r="D58" s="138"/>
      <c r="E58" s="138"/>
      <c r="F58" s="86"/>
      <c r="G58" s="138"/>
      <c r="H58" s="138"/>
      <c r="I58" s="138"/>
      <c r="J58" s="138"/>
      <c r="K58" s="86"/>
      <c r="L58" s="138"/>
      <c r="M58" s="138"/>
      <c r="N58" s="138"/>
      <c r="O58" s="138"/>
      <c r="P58" s="86"/>
      <c r="Q58" s="138"/>
      <c r="R58" s="138"/>
      <c r="S58" s="138"/>
      <c r="T58" s="138"/>
      <c r="U58" s="86"/>
      <c r="V58" s="138"/>
      <c r="W58" s="138"/>
      <c r="X58" s="138"/>
      <c r="Y58" s="138"/>
      <c r="Z58" s="86"/>
      <c r="AA58" s="138"/>
      <c r="AB58" s="138"/>
      <c r="AC58" s="138"/>
      <c r="AD58" s="138"/>
      <c r="AE58" s="86"/>
      <c r="AF58" s="138"/>
      <c r="AG58" s="138"/>
      <c r="AH58" s="138"/>
      <c r="AI58" s="138"/>
      <c r="AJ58" s="86"/>
      <c r="AK58" s="138"/>
      <c r="AL58" s="138"/>
      <c r="AM58" s="138"/>
      <c r="AN58" s="138"/>
      <c r="AO58" s="86"/>
      <c r="AP58" s="138"/>
      <c r="AQ58" s="138"/>
      <c r="AR58" s="138"/>
      <c r="AS58" s="138"/>
      <c r="AT58" s="86"/>
      <c r="AU58" s="138"/>
      <c r="AV58" s="138"/>
      <c r="AW58" s="138"/>
      <c r="AX58" s="138"/>
      <c r="AY58" s="85"/>
    </row>
    <row r="59" spans="1:51">
      <c r="A59" s="137" t="s">
        <v>143</v>
      </c>
      <c r="B59" s="138"/>
      <c r="C59" s="138"/>
      <c r="D59" s="138"/>
      <c r="E59" s="138"/>
      <c r="F59" s="86"/>
      <c r="G59" s="138"/>
      <c r="H59" s="138"/>
      <c r="I59" s="138"/>
      <c r="J59" s="138"/>
      <c r="K59" s="86"/>
      <c r="L59" s="138"/>
      <c r="M59" s="138"/>
      <c r="N59" s="138"/>
      <c r="O59" s="138"/>
      <c r="P59" s="86"/>
      <c r="Q59" s="138"/>
      <c r="R59" s="138"/>
      <c r="S59" s="138"/>
      <c r="T59" s="138"/>
      <c r="U59" s="86"/>
      <c r="V59" s="138"/>
      <c r="W59" s="138"/>
      <c r="X59" s="138"/>
      <c r="Y59" s="138"/>
      <c r="Z59" s="86"/>
      <c r="AA59" s="138"/>
      <c r="AB59" s="138"/>
      <c r="AC59" s="138"/>
      <c r="AD59" s="138"/>
      <c r="AE59" s="86"/>
      <c r="AF59" s="138"/>
      <c r="AG59" s="138"/>
      <c r="AH59" s="138"/>
      <c r="AI59" s="138"/>
      <c r="AJ59" s="86"/>
      <c r="AK59" s="138"/>
      <c r="AL59" s="138"/>
      <c r="AM59" s="138"/>
      <c r="AN59" s="138"/>
      <c r="AO59" s="86"/>
      <c r="AP59" s="138"/>
      <c r="AQ59" s="138"/>
      <c r="AR59" s="138"/>
      <c r="AS59" s="138"/>
      <c r="AT59" s="86"/>
      <c r="AU59" s="138"/>
      <c r="AV59" s="138"/>
      <c r="AW59" s="138"/>
      <c r="AX59" s="138"/>
      <c r="AY59" s="85"/>
    </row>
    <row r="60" spans="1:51">
      <c r="A60" s="137" t="s">
        <v>145</v>
      </c>
      <c r="B60" s="138"/>
      <c r="C60" s="138"/>
      <c r="D60" s="138"/>
      <c r="E60" s="138"/>
      <c r="F60" s="86"/>
      <c r="G60" s="138"/>
      <c r="H60" s="138"/>
      <c r="I60" s="138"/>
      <c r="J60" s="138"/>
      <c r="K60" s="86"/>
      <c r="L60" s="138"/>
      <c r="M60" s="138"/>
      <c r="N60" s="138"/>
      <c r="O60" s="138"/>
      <c r="P60" s="86"/>
      <c r="Q60" s="138"/>
      <c r="R60" s="138"/>
      <c r="S60" s="138"/>
      <c r="T60" s="138"/>
      <c r="U60" s="86"/>
      <c r="V60" s="138"/>
      <c r="W60" s="138"/>
      <c r="X60" s="138"/>
      <c r="Y60" s="138"/>
      <c r="Z60" s="86"/>
      <c r="AA60" s="138"/>
      <c r="AB60" s="138"/>
      <c r="AC60" s="138"/>
      <c r="AD60" s="138"/>
      <c r="AE60" s="86"/>
      <c r="AF60" s="138"/>
      <c r="AG60" s="138"/>
      <c r="AH60" s="138"/>
      <c r="AI60" s="138"/>
      <c r="AJ60" s="86"/>
      <c r="AK60" s="138"/>
      <c r="AL60" s="138"/>
      <c r="AM60" s="138"/>
      <c r="AN60" s="138"/>
      <c r="AO60" s="86"/>
      <c r="AP60" s="138"/>
      <c r="AQ60" s="138"/>
      <c r="AR60" s="138"/>
      <c r="AS60" s="138"/>
      <c r="AT60" s="86"/>
      <c r="AU60" s="138"/>
      <c r="AV60" s="138"/>
      <c r="AW60" s="138"/>
      <c r="AX60" s="138"/>
      <c r="AY60" s="85"/>
    </row>
    <row r="61" spans="1:51">
      <c r="A61" s="137" t="s">
        <v>147</v>
      </c>
      <c r="B61" s="138"/>
      <c r="C61" s="138"/>
      <c r="D61" s="138"/>
      <c r="E61" s="138"/>
      <c r="F61" s="86"/>
      <c r="G61" s="138"/>
      <c r="H61" s="138"/>
      <c r="I61" s="138"/>
      <c r="J61" s="138"/>
      <c r="K61" s="86"/>
      <c r="L61" s="138"/>
      <c r="M61" s="138"/>
      <c r="N61" s="138"/>
      <c r="O61" s="138"/>
      <c r="P61" s="86"/>
      <c r="Q61" s="138"/>
      <c r="R61" s="138"/>
      <c r="S61" s="138"/>
      <c r="T61" s="138"/>
      <c r="U61" s="86"/>
      <c r="V61" s="138"/>
      <c r="W61" s="138"/>
      <c r="X61" s="138"/>
      <c r="Y61" s="138"/>
      <c r="Z61" s="86"/>
      <c r="AA61" s="138"/>
      <c r="AB61" s="138"/>
      <c r="AC61" s="138"/>
      <c r="AD61" s="138"/>
      <c r="AE61" s="86"/>
      <c r="AF61" s="138"/>
      <c r="AG61" s="138"/>
      <c r="AH61" s="138"/>
      <c r="AI61" s="138"/>
      <c r="AJ61" s="86"/>
      <c r="AK61" s="138"/>
      <c r="AL61" s="138"/>
      <c r="AM61" s="138"/>
      <c r="AN61" s="138"/>
      <c r="AO61" s="86"/>
      <c r="AP61" s="138"/>
      <c r="AQ61" s="138"/>
      <c r="AR61" s="138"/>
      <c r="AS61" s="138"/>
      <c r="AT61" s="86"/>
      <c r="AU61" s="138"/>
      <c r="AV61" s="138"/>
      <c r="AW61" s="138"/>
      <c r="AX61" s="138"/>
      <c r="AY61" s="85"/>
    </row>
    <row r="62" spans="1:51">
      <c r="A62" s="137" t="s">
        <v>149</v>
      </c>
      <c r="B62" s="138"/>
      <c r="C62" s="138"/>
      <c r="D62" s="138"/>
      <c r="E62" s="138"/>
      <c r="F62" s="86"/>
      <c r="G62" s="138"/>
      <c r="H62" s="138"/>
      <c r="I62" s="138"/>
      <c r="J62" s="138"/>
      <c r="K62" s="86"/>
      <c r="L62" s="138"/>
      <c r="M62" s="138"/>
      <c r="N62" s="138"/>
      <c r="O62" s="138"/>
      <c r="P62" s="86"/>
      <c r="Q62" s="138"/>
      <c r="R62" s="138"/>
      <c r="S62" s="138"/>
      <c r="T62" s="138"/>
      <c r="U62" s="86"/>
      <c r="V62" s="138"/>
      <c r="W62" s="138"/>
      <c r="X62" s="138"/>
      <c r="Y62" s="138"/>
      <c r="Z62" s="86"/>
      <c r="AA62" s="138"/>
      <c r="AB62" s="138"/>
      <c r="AC62" s="138"/>
      <c r="AD62" s="138"/>
      <c r="AE62" s="86"/>
      <c r="AF62" s="138"/>
      <c r="AG62" s="138"/>
      <c r="AH62" s="138"/>
      <c r="AI62" s="138"/>
      <c r="AJ62" s="86"/>
      <c r="AK62" s="138"/>
      <c r="AL62" s="138"/>
      <c r="AM62" s="138"/>
      <c r="AN62" s="138"/>
      <c r="AO62" s="86"/>
      <c r="AP62" s="138"/>
      <c r="AQ62" s="138"/>
      <c r="AR62" s="138"/>
      <c r="AS62" s="138"/>
      <c r="AT62" s="86"/>
      <c r="AU62" s="138"/>
      <c r="AV62" s="138"/>
      <c r="AW62" s="138"/>
      <c r="AX62" s="138"/>
      <c r="AY62" s="85"/>
    </row>
    <row r="63" spans="1:51">
      <c r="A63" s="137" t="s">
        <v>151</v>
      </c>
      <c r="B63" s="138"/>
      <c r="C63" s="138"/>
      <c r="D63" s="138"/>
      <c r="E63" s="138"/>
      <c r="F63" s="86"/>
      <c r="G63" s="138"/>
      <c r="H63" s="138"/>
      <c r="I63" s="138"/>
      <c r="J63" s="138"/>
      <c r="K63" s="86"/>
      <c r="L63" s="138"/>
      <c r="M63" s="138"/>
      <c r="N63" s="138"/>
      <c r="O63" s="138"/>
      <c r="P63" s="86"/>
      <c r="Q63" s="138"/>
      <c r="R63" s="138"/>
      <c r="S63" s="138"/>
      <c r="T63" s="138"/>
      <c r="U63" s="86"/>
      <c r="V63" s="138"/>
      <c r="W63" s="138"/>
      <c r="X63" s="138"/>
      <c r="Y63" s="138"/>
      <c r="Z63" s="86"/>
      <c r="AA63" s="138"/>
      <c r="AB63" s="138"/>
      <c r="AC63" s="138"/>
      <c r="AD63" s="138"/>
      <c r="AE63" s="86"/>
      <c r="AF63" s="138"/>
      <c r="AG63" s="138"/>
      <c r="AH63" s="138"/>
      <c r="AI63" s="138"/>
      <c r="AJ63" s="86"/>
      <c r="AK63" s="138"/>
      <c r="AL63" s="138"/>
      <c r="AM63" s="138"/>
      <c r="AN63" s="138"/>
      <c r="AO63" s="86"/>
      <c r="AP63" s="138"/>
      <c r="AQ63" s="138"/>
      <c r="AR63" s="138"/>
      <c r="AS63" s="138"/>
      <c r="AT63" s="86"/>
      <c r="AU63" s="138"/>
      <c r="AV63" s="138"/>
      <c r="AW63" s="138"/>
      <c r="AX63" s="138"/>
      <c r="AY63" s="85"/>
    </row>
    <row r="64" spans="1:51">
      <c r="A64" s="137" t="s">
        <v>153</v>
      </c>
      <c r="B64" s="138"/>
      <c r="C64" s="138"/>
      <c r="D64" s="138"/>
      <c r="E64" s="138"/>
      <c r="F64" s="86"/>
      <c r="G64" s="138"/>
      <c r="H64" s="138"/>
      <c r="I64" s="138"/>
      <c r="J64" s="138"/>
      <c r="K64" s="86"/>
      <c r="L64" s="138"/>
      <c r="M64" s="138"/>
      <c r="N64" s="138"/>
      <c r="O64" s="138"/>
      <c r="P64" s="86"/>
      <c r="Q64" s="138"/>
      <c r="R64" s="138"/>
      <c r="S64" s="138"/>
      <c r="T64" s="138"/>
      <c r="U64" s="86"/>
      <c r="V64" s="138"/>
      <c r="W64" s="138"/>
      <c r="X64" s="138"/>
      <c r="Y64" s="138"/>
      <c r="Z64" s="86"/>
      <c r="AA64" s="138"/>
      <c r="AB64" s="138"/>
      <c r="AC64" s="138"/>
      <c r="AD64" s="138"/>
      <c r="AE64" s="86"/>
      <c r="AF64" s="138"/>
      <c r="AG64" s="138"/>
      <c r="AH64" s="138"/>
      <c r="AI64" s="138"/>
      <c r="AJ64" s="86"/>
      <c r="AK64" s="138"/>
      <c r="AL64" s="138"/>
      <c r="AM64" s="138"/>
      <c r="AN64" s="138"/>
      <c r="AO64" s="86"/>
      <c r="AP64" s="138"/>
      <c r="AQ64" s="138"/>
      <c r="AR64" s="138"/>
      <c r="AS64" s="138"/>
      <c r="AT64" s="86"/>
      <c r="AU64" s="138"/>
      <c r="AV64" s="138"/>
      <c r="AW64" s="138"/>
      <c r="AX64" s="138"/>
      <c r="AY64" s="85"/>
    </row>
    <row r="65" spans="1:51">
      <c r="A65" s="137" t="s">
        <v>155</v>
      </c>
      <c r="B65" s="138"/>
      <c r="C65" s="138"/>
      <c r="D65" s="138"/>
      <c r="E65" s="138"/>
      <c r="F65" s="86"/>
      <c r="G65" s="138"/>
      <c r="H65" s="138"/>
      <c r="I65" s="138"/>
      <c r="J65" s="138"/>
      <c r="K65" s="86"/>
      <c r="L65" s="138"/>
      <c r="M65" s="138"/>
      <c r="N65" s="138"/>
      <c r="O65" s="138"/>
      <c r="P65" s="86"/>
      <c r="Q65" s="138"/>
      <c r="R65" s="138"/>
      <c r="S65" s="138"/>
      <c r="T65" s="138"/>
      <c r="U65" s="86"/>
      <c r="V65" s="138"/>
      <c r="W65" s="138"/>
      <c r="X65" s="138"/>
      <c r="Y65" s="138"/>
      <c r="Z65" s="86"/>
      <c r="AA65" s="138"/>
      <c r="AB65" s="138"/>
      <c r="AC65" s="138"/>
      <c r="AD65" s="138"/>
      <c r="AE65" s="86"/>
      <c r="AF65" s="138"/>
      <c r="AG65" s="138"/>
      <c r="AH65" s="138"/>
      <c r="AI65" s="138"/>
      <c r="AJ65" s="86"/>
      <c r="AK65" s="138"/>
      <c r="AL65" s="138"/>
      <c r="AM65" s="138"/>
      <c r="AN65" s="138"/>
      <c r="AO65" s="86"/>
      <c r="AP65" s="138"/>
      <c r="AQ65" s="138"/>
      <c r="AR65" s="138"/>
      <c r="AS65" s="138"/>
      <c r="AT65" s="86"/>
      <c r="AU65" s="138"/>
      <c r="AV65" s="138"/>
      <c r="AW65" s="138"/>
      <c r="AX65" s="138"/>
      <c r="AY65" s="85"/>
    </row>
    <row r="66" spans="1:51">
      <c r="A66" s="137" t="s">
        <v>157</v>
      </c>
      <c r="B66" s="138"/>
      <c r="C66" s="138"/>
      <c r="D66" s="138"/>
      <c r="E66" s="138"/>
      <c r="F66" s="86"/>
      <c r="G66" s="138"/>
      <c r="H66" s="138"/>
      <c r="I66" s="138"/>
      <c r="J66" s="138"/>
      <c r="K66" s="86"/>
      <c r="L66" s="138"/>
      <c r="M66" s="138"/>
      <c r="N66" s="138"/>
      <c r="O66" s="138"/>
      <c r="P66" s="86"/>
      <c r="Q66" s="138"/>
      <c r="R66" s="138"/>
      <c r="S66" s="138"/>
      <c r="T66" s="138"/>
      <c r="U66" s="86"/>
      <c r="V66" s="138"/>
      <c r="W66" s="138"/>
      <c r="X66" s="138"/>
      <c r="Y66" s="138"/>
      <c r="Z66" s="86"/>
      <c r="AA66" s="138"/>
      <c r="AB66" s="138"/>
      <c r="AC66" s="138"/>
      <c r="AD66" s="138"/>
      <c r="AE66" s="86"/>
      <c r="AF66" s="138"/>
      <c r="AG66" s="138"/>
      <c r="AH66" s="138"/>
      <c r="AI66" s="138"/>
      <c r="AJ66" s="86"/>
      <c r="AK66" s="138"/>
      <c r="AL66" s="138"/>
      <c r="AM66" s="138"/>
      <c r="AN66" s="138"/>
      <c r="AO66" s="86"/>
      <c r="AP66" s="138"/>
      <c r="AQ66" s="138"/>
      <c r="AR66" s="138"/>
      <c r="AS66" s="138"/>
      <c r="AT66" s="86"/>
      <c r="AU66" s="138"/>
      <c r="AV66" s="138"/>
      <c r="AW66" s="138"/>
      <c r="AX66" s="138"/>
      <c r="AY66" s="85"/>
    </row>
    <row r="67" spans="1:51">
      <c r="A67" s="137" t="s">
        <v>159</v>
      </c>
      <c r="B67" s="138"/>
      <c r="C67" s="138"/>
      <c r="D67" s="138"/>
      <c r="E67" s="138"/>
      <c r="F67" s="86"/>
      <c r="G67" s="138"/>
      <c r="H67" s="138"/>
      <c r="I67" s="138"/>
      <c r="J67" s="138"/>
      <c r="K67" s="86"/>
      <c r="L67" s="138"/>
      <c r="M67" s="138"/>
      <c r="N67" s="138"/>
      <c r="O67" s="138"/>
      <c r="P67" s="86"/>
      <c r="Q67" s="138"/>
      <c r="R67" s="138"/>
      <c r="S67" s="138"/>
      <c r="T67" s="138"/>
      <c r="U67" s="86"/>
      <c r="V67" s="138"/>
      <c r="W67" s="138"/>
      <c r="X67" s="138"/>
      <c r="Y67" s="138"/>
      <c r="Z67" s="86"/>
      <c r="AA67" s="138"/>
      <c r="AB67" s="138"/>
      <c r="AC67" s="138"/>
      <c r="AD67" s="138"/>
      <c r="AE67" s="86"/>
      <c r="AF67" s="138"/>
      <c r="AG67" s="138"/>
      <c r="AH67" s="138"/>
      <c r="AI67" s="138"/>
      <c r="AJ67" s="86"/>
      <c r="AK67" s="138"/>
      <c r="AL67" s="138"/>
      <c r="AM67" s="138"/>
      <c r="AN67" s="138"/>
      <c r="AO67" s="86"/>
      <c r="AP67" s="138"/>
      <c r="AQ67" s="138"/>
      <c r="AR67" s="138"/>
      <c r="AS67" s="138"/>
      <c r="AT67" s="86"/>
      <c r="AU67" s="138"/>
      <c r="AV67" s="138"/>
      <c r="AW67" s="138"/>
      <c r="AX67" s="138"/>
      <c r="AY67" s="85"/>
    </row>
    <row r="68" spans="1:51">
      <c r="A68" s="137" t="s">
        <v>161</v>
      </c>
      <c r="B68" s="138"/>
      <c r="C68" s="138"/>
      <c r="D68" s="138"/>
      <c r="E68" s="138"/>
      <c r="F68" s="86"/>
      <c r="G68" s="138"/>
      <c r="H68" s="138"/>
      <c r="I68" s="138"/>
      <c r="J68" s="138"/>
      <c r="K68" s="86"/>
      <c r="L68" s="138"/>
      <c r="M68" s="138"/>
      <c r="N68" s="138"/>
      <c r="O68" s="138"/>
      <c r="P68" s="86"/>
      <c r="Q68" s="138"/>
      <c r="R68" s="138"/>
      <c r="S68" s="138"/>
      <c r="T68" s="138"/>
      <c r="U68" s="86"/>
      <c r="V68" s="138"/>
      <c r="W68" s="138"/>
      <c r="X68" s="138"/>
      <c r="Y68" s="138"/>
      <c r="Z68" s="86"/>
      <c r="AA68" s="138"/>
      <c r="AB68" s="138"/>
      <c r="AC68" s="138"/>
      <c r="AD68" s="138"/>
      <c r="AE68" s="86"/>
      <c r="AF68" s="138"/>
      <c r="AG68" s="138"/>
      <c r="AH68" s="138"/>
      <c r="AI68" s="138"/>
      <c r="AJ68" s="86"/>
      <c r="AK68" s="138"/>
      <c r="AL68" s="138"/>
      <c r="AM68" s="138"/>
      <c r="AN68" s="138"/>
      <c r="AO68" s="86"/>
      <c r="AP68" s="138"/>
      <c r="AQ68" s="138"/>
      <c r="AR68" s="138"/>
      <c r="AS68" s="138"/>
      <c r="AT68" s="86"/>
      <c r="AU68" s="138"/>
      <c r="AV68" s="138"/>
      <c r="AW68" s="138"/>
      <c r="AX68" s="138"/>
      <c r="AY68" s="85"/>
    </row>
    <row r="69" spans="1:51">
      <c r="A69" s="137" t="s">
        <v>163</v>
      </c>
      <c r="B69" s="138"/>
      <c r="C69" s="138"/>
      <c r="D69" s="138"/>
      <c r="E69" s="138"/>
      <c r="F69" s="86"/>
      <c r="G69" s="138"/>
      <c r="H69" s="138"/>
      <c r="I69" s="138"/>
      <c r="J69" s="138"/>
      <c r="K69" s="86"/>
      <c r="L69" s="138"/>
      <c r="M69" s="138"/>
      <c r="N69" s="138"/>
      <c r="O69" s="138"/>
      <c r="P69" s="86"/>
      <c r="Q69" s="138"/>
      <c r="R69" s="138"/>
      <c r="S69" s="138"/>
      <c r="T69" s="138"/>
      <c r="U69" s="86"/>
      <c r="V69" s="138"/>
      <c r="W69" s="138"/>
      <c r="X69" s="138"/>
      <c r="Y69" s="138"/>
      <c r="Z69" s="86"/>
      <c r="AA69" s="138"/>
      <c r="AB69" s="138"/>
      <c r="AC69" s="138"/>
      <c r="AD69" s="138"/>
      <c r="AE69" s="86"/>
      <c r="AF69" s="138"/>
      <c r="AG69" s="138"/>
      <c r="AH69" s="138"/>
      <c r="AI69" s="138"/>
      <c r="AJ69" s="86"/>
      <c r="AK69" s="138"/>
      <c r="AL69" s="138"/>
      <c r="AM69" s="138"/>
      <c r="AN69" s="138"/>
      <c r="AO69" s="86"/>
      <c r="AP69" s="138"/>
      <c r="AQ69" s="138"/>
      <c r="AR69" s="138"/>
      <c r="AS69" s="138"/>
      <c r="AT69" s="86"/>
      <c r="AU69" s="138"/>
      <c r="AV69" s="138"/>
      <c r="AW69" s="138"/>
      <c r="AX69" s="138"/>
      <c r="AY69" s="85"/>
    </row>
    <row r="70" spans="1:51">
      <c r="A70" s="137" t="s">
        <v>165</v>
      </c>
      <c r="B70" s="138"/>
      <c r="C70" s="138"/>
      <c r="D70" s="138"/>
      <c r="E70" s="138"/>
      <c r="F70" s="86"/>
      <c r="G70" s="138"/>
      <c r="H70" s="138"/>
      <c r="I70" s="138"/>
      <c r="J70" s="138"/>
      <c r="K70" s="86"/>
      <c r="L70" s="138"/>
      <c r="M70" s="138"/>
      <c r="N70" s="138"/>
      <c r="O70" s="138"/>
      <c r="P70" s="86"/>
      <c r="Q70" s="138"/>
      <c r="R70" s="138"/>
      <c r="S70" s="138"/>
      <c r="T70" s="138"/>
      <c r="U70" s="86"/>
      <c r="V70" s="138"/>
      <c r="W70" s="138"/>
      <c r="X70" s="138"/>
      <c r="Y70" s="138"/>
      <c r="Z70" s="86"/>
      <c r="AA70" s="138"/>
      <c r="AB70" s="138"/>
      <c r="AC70" s="138"/>
      <c r="AD70" s="138"/>
      <c r="AE70" s="86"/>
      <c r="AF70" s="138"/>
      <c r="AG70" s="138"/>
      <c r="AH70" s="138"/>
      <c r="AI70" s="138"/>
      <c r="AJ70" s="86"/>
      <c r="AK70" s="138"/>
      <c r="AL70" s="138"/>
      <c r="AM70" s="138"/>
      <c r="AN70" s="138"/>
      <c r="AO70" s="86"/>
      <c r="AP70" s="138"/>
      <c r="AQ70" s="138"/>
      <c r="AR70" s="138"/>
      <c r="AS70" s="138"/>
      <c r="AT70" s="86"/>
      <c r="AU70" s="138"/>
      <c r="AV70" s="138"/>
      <c r="AW70" s="138"/>
      <c r="AX70" s="138"/>
      <c r="AY70" s="85"/>
    </row>
    <row r="71" spans="1:51">
      <c r="A71" s="137" t="s">
        <v>167</v>
      </c>
      <c r="B71" s="138"/>
      <c r="C71" s="138"/>
      <c r="D71" s="138"/>
      <c r="E71" s="138"/>
      <c r="F71" s="86"/>
      <c r="G71" s="138"/>
      <c r="H71" s="138"/>
      <c r="I71" s="138"/>
      <c r="J71" s="138"/>
      <c r="K71" s="86"/>
      <c r="L71" s="138"/>
      <c r="M71" s="138"/>
      <c r="N71" s="138"/>
      <c r="O71" s="138"/>
      <c r="P71" s="86"/>
      <c r="Q71" s="138"/>
      <c r="R71" s="138"/>
      <c r="S71" s="138"/>
      <c r="T71" s="138"/>
      <c r="U71" s="86"/>
      <c r="V71" s="138"/>
      <c r="W71" s="138"/>
      <c r="X71" s="138"/>
      <c r="Y71" s="138"/>
      <c r="Z71" s="86"/>
      <c r="AA71" s="138"/>
      <c r="AB71" s="138"/>
      <c r="AC71" s="138"/>
      <c r="AD71" s="138"/>
      <c r="AE71" s="86"/>
      <c r="AF71" s="138"/>
      <c r="AG71" s="138"/>
      <c r="AH71" s="138"/>
      <c r="AI71" s="138"/>
      <c r="AJ71" s="86"/>
      <c r="AK71" s="138"/>
      <c r="AL71" s="138"/>
      <c r="AM71" s="138"/>
      <c r="AN71" s="138"/>
      <c r="AO71" s="86"/>
      <c r="AP71" s="138"/>
      <c r="AQ71" s="138"/>
      <c r="AR71" s="138"/>
      <c r="AS71" s="138"/>
      <c r="AT71" s="86"/>
      <c r="AU71" s="138"/>
      <c r="AV71" s="138"/>
      <c r="AW71" s="138"/>
      <c r="AX71" s="138"/>
      <c r="AY71" s="85"/>
    </row>
    <row r="72" spans="1:51">
      <c r="A72" s="137" t="s">
        <v>169</v>
      </c>
      <c r="B72" s="138"/>
      <c r="C72" s="138"/>
      <c r="D72" s="138"/>
      <c r="E72" s="138"/>
      <c r="F72" s="86"/>
      <c r="G72" s="138"/>
      <c r="H72" s="138"/>
      <c r="I72" s="138"/>
      <c r="J72" s="138"/>
      <c r="K72" s="86"/>
      <c r="L72" s="138"/>
      <c r="M72" s="138"/>
      <c r="N72" s="138"/>
      <c r="O72" s="138"/>
      <c r="P72" s="86"/>
      <c r="Q72" s="138"/>
      <c r="R72" s="138"/>
      <c r="S72" s="138"/>
      <c r="T72" s="138"/>
      <c r="U72" s="86"/>
      <c r="V72" s="138"/>
      <c r="W72" s="138"/>
      <c r="X72" s="138"/>
      <c r="Y72" s="138"/>
      <c r="Z72" s="86"/>
      <c r="AA72" s="138"/>
      <c r="AB72" s="138"/>
      <c r="AC72" s="138"/>
      <c r="AD72" s="138"/>
      <c r="AE72" s="86"/>
      <c r="AF72" s="138"/>
      <c r="AG72" s="138"/>
      <c r="AH72" s="138"/>
      <c r="AI72" s="138"/>
      <c r="AJ72" s="86"/>
      <c r="AK72" s="138"/>
      <c r="AL72" s="138"/>
      <c r="AM72" s="138"/>
      <c r="AN72" s="138"/>
      <c r="AO72" s="86"/>
      <c r="AP72" s="138"/>
      <c r="AQ72" s="138"/>
      <c r="AR72" s="138"/>
      <c r="AS72" s="138"/>
      <c r="AT72" s="86"/>
      <c r="AU72" s="138"/>
      <c r="AV72" s="138"/>
      <c r="AW72" s="138"/>
      <c r="AX72" s="138"/>
      <c r="AY72" s="85"/>
    </row>
    <row r="73" spans="1:51">
      <c r="A73" s="137" t="s">
        <v>171</v>
      </c>
      <c r="B73" s="138"/>
      <c r="C73" s="138"/>
      <c r="D73" s="138"/>
      <c r="E73" s="138"/>
      <c r="F73" s="86"/>
      <c r="G73" s="138"/>
      <c r="H73" s="138"/>
      <c r="I73" s="138"/>
      <c r="J73" s="138"/>
      <c r="K73" s="86"/>
      <c r="L73" s="138"/>
      <c r="M73" s="138"/>
      <c r="N73" s="138"/>
      <c r="O73" s="138"/>
      <c r="P73" s="86"/>
      <c r="Q73" s="138"/>
      <c r="R73" s="138"/>
      <c r="S73" s="138"/>
      <c r="T73" s="138"/>
      <c r="U73" s="86"/>
      <c r="V73" s="138"/>
      <c r="W73" s="138"/>
      <c r="X73" s="138"/>
      <c r="Y73" s="138"/>
      <c r="Z73" s="86"/>
      <c r="AA73" s="138"/>
      <c r="AB73" s="138"/>
      <c r="AC73" s="138"/>
      <c r="AD73" s="138"/>
      <c r="AE73" s="86"/>
      <c r="AF73" s="138"/>
      <c r="AG73" s="138"/>
      <c r="AH73" s="138"/>
      <c r="AI73" s="138"/>
      <c r="AJ73" s="86"/>
      <c r="AK73" s="138"/>
      <c r="AL73" s="138"/>
      <c r="AM73" s="138"/>
      <c r="AN73" s="138"/>
      <c r="AO73" s="86"/>
      <c r="AP73" s="138"/>
      <c r="AQ73" s="138"/>
      <c r="AR73" s="138"/>
      <c r="AS73" s="138"/>
      <c r="AT73" s="86"/>
      <c r="AU73" s="138"/>
      <c r="AV73" s="138"/>
      <c r="AW73" s="138"/>
      <c r="AX73" s="138"/>
      <c r="AY73" s="85"/>
    </row>
    <row r="74" spans="1:51">
      <c r="A74" s="137" t="s">
        <v>173</v>
      </c>
      <c r="B74" s="138"/>
      <c r="C74" s="138"/>
      <c r="D74" s="138"/>
      <c r="E74" s="138"/>
      <c r="F74" s="86"/>
      <c r="G74" s="138"/>
      <c r="H74" s="138"/>
      <c r="I74" s="138"/>
      <c r="J74" s="138"/>
      <c r="K74" s="86"/>
      <c r="L74" s="138"/>
      <c r="M74" s="138"/>
      <c r="N74" s="138"/>
      <c r="O74" s="138"/>
      <c r="P74" s="86"/>
      <c r="Q74" s="138"/>
      <c r="R74" s="138"/>
      <c r="S74" s="138"/>
      <c r="T74" s="138"/>
      <c r="U74" s="86"/>
      <c r="V74" s="138"/>
      <c r="W74" s="138"/>
      <c r="X74" s="138"/>
      <c r="Y74" s="138"/>
      <c r="Z74" s="86"/>
      <c r="AA74" s="138"/>
      <c r="AB74" s="138"/>
      <c r="AC74" s="138"/>
      <c r="AD74" s="138"/>
      <c r="AE74" s="86"/>
      <c r="AF74" s="138"/>
      <c r="AG74" s="138"/>
      <c r="AH74" s="138"/>
      <c r="AI74" s="138"/>
      <c r="AJ74" s="86"/>
      <c r="AK74" s="138"/>
      <c r="AL74" s="138"/>
      <c r="AM74" s="138"/>
      <c r="AN74" s="138"/>
      <c r="AO74" s="86"/>
      <c r="AP74" s="138"/>
      <c r="AQ74" s="138"/>
      <c r="AR74" s="138"/>
      <c r="AS74" s="138"/>
      <c r="AT74" s="86"/>
      <c r="AU74" s="138"/>
      <c r="AV74" s="138"/>
      <c r="AW74" s="138"/>
      <c r="AX74" s="138"/>
      <c r="AY74" s="85"/>
    </row>
    <row r="75" spans="1:51">
      <c r="A75" s="137" t="s">
        <v>175</v>
      </c>
      <c r="B75" s="138"/>
      <c r="C75" s="138"/>
      <c r="D75" s="138"/>
      <c r="E75" s="138"/>
      <c r="F75" s="86"/>
      <c r="G75" s="138"/>
      <c r="H75" s="138"/>
      <c r="I75" s="138"/>
      <c r="J75" s="138"/>
      <c r="K75" s="86"/>
      <c r="L75" s="138"/>
      <c r="M75" s="138"/>
      <c r="N75" s="138"/>
      <c r="O75" s="138"/>
      <c r="P75" s="86"/>
      <c r="Q75" s="138"/>
      <c r="R75" s="138"/>
      <c r="S75" s="138"/>
      <c r="T75" s="138"/>
      <c r="U75" s="86"/>
      <c r="V75" s="138"/>
      <c r="W75" s="138"/>
      <c r="X75" s="138"/>
      <c r="Y75" s="138"/>
      <c r="Z75" s="86"/>
      <c r="AA75" s="138"/>
      <c r="AB75" s="138"/>
      <c r="AC75" s="138"/>
      <c r="AD75" s="138"/>
      <c r="AE75" s="86"/>
      <c r="AF75" s="138"/>
      <c r="AG75" s="138"/>
      <c r="AH75" s="138"/>
      <c r="AI75" s="138"/>
      <c r="AJ75" s="86"/>
      <c r="AK75" s="138"/>
      <c r="AL75" s="138"/>
      <c r="AM75" s="138"/>
      <c r="AN75" s="138"/>
      <c r="AO75" s="86"/>
      <c r="AP75" s="138"/>
      <c r="AQ75" s="138"/>
      <c r="AR75" s="138"/>
      <c r="AS75" s="138"/>
      <c r="AT75" s="86"/>
      <c r="AU75" s="138"/>
      <c r="AV75" s="138"/>
      <c r="AW75" s="138"/>
      <c r="AX75" s="138"/>
      <c r="AY75" s="85"/>
    </row>
    <row r="76" spans="1:51">
      <c r="A76" s="137" t="s">
        <v>177</v>
      </c>
      <c r="B76" s="138"/>
      <c r="C76" s="138"/>
      <c r="D76" s="138"/>
      <c r="E76" s="138"/>
      <c r="F76" s="86"/>
      <c r="G76" s="138"/>
      <c r="H76" s="138"/>
      <c r="I76" s="138"/>
      <c r="J76" s="138"/>
      <c r="K76" s="86"/>
      <c r="L76" s="138"/>
      <c r="M76" s="138"/>
      <c r="N76" s="138"/>
      <c r="O76" s="138"/>
      <c r="P76" s="86"/>
      <c r="Q76" s="138"/>
      <c r="R76" s="138"/>
      <c r="S76" s="138"/>
      <c r="T76" s="138"/>
      <c r="U76" s="86"/>
      <c r="V76" s="138"/>
      <c r="W76" s="138"/>
      <c r="X76" s="138"/>
      <c r="Y76" s="138"/>
      <c r="Z76" s="86"/>
      <c r="AA76" s="138"/>
      <c r="AB76" s="138"/>
      <c r="AC76" s="138"/>
      <c r="AD76" s="138"/>
      <c r="AE76" s="86"/>
      <c r="AF76" s="138"/>
      <c r="AG76" s="138"/>
      <c r="AH76" s="138"/>
      <c r="AI76" s="138"/>
      <c r="AJ76" s="86"/>
      <c r="AK76" s="138"/>
      <c r="AL76" s="138"/>
      <c r="AM76" s="138"/>
      <c r="AN76" s="138"/>
      <c r="AO76" s="86"/>
      <c r="AP76" s="138"/>
      <c r="AQ76" s="138"/>
      <c r="AR76" s="138"/>
      <c r="AS76" s="138"/>
      <c r="AT76" s="86"/>
      <c r="AU76" s="138"/>
      <c r="AV76" s="138"/>
      <c r="AW76" s="138"/>
      <c r="AX76" s="138"/>
      <c r="AY76" s="85"/>
    </row>
    <row r="77" spans="1:51">
      <c r="A77" s="137" t="s">
        <v>179</v>
      </c>
      <c r="B77" s="138"/>
      <c r="C77" s="138"/>
      <c r="D77" s="138"/>
      <c r="E77" s="138"/>
      <c r="F77" s="86"/>
      <c r="G77" s="138"/>
      <c r="H77" s="138"/>
      <c r="I77" s="138"/>
      <c r="J77" s="138"/>
      <c r="K77" s="86"/>
      <c r="L77" s="138"/>
      <c r="M77" s="138"/>
      <c r="N77" s="138"/>
      <c r="O77" s="138"/>
      <c r="P77" s="86"/>
      <c r="Q77" s="138"/>
      <c r="R77" s="138"/>
      <c r="S77" s="138"/>
      <c r="T77" s="138"/>
      <c r="U77" s="86"/>
      <c r="V77" s="138"/>
      <c r="W77" s="138"/>
      <c r="X77" s="138"/>
      <c r="Y77" s="138"/>
      <c r="Z77" s="86"/>
      <c r="AA77" s="138"/>
      <c r="AB77" s="138"/>
      <c r="AC77" s="138"/>
      <c r="AD77" s="138"/>
      <c r="AE77" s="86"/>
      <c r="AF77" s="138"/>
      <c r="AG77" s="138"/>
      <c r="AH77" s="138"/>
      <c r="AI77" s="138"/>
      <c r="AJ77" s="86"/>
      <c r="AK77" s="138"/>
      <c r="AL77" s="138"/>
      <c r="AM77" s="138"/>
      <c r="AN77" s="138"/>
      <c r="AO77" s="86"/>
      <c r="AP77" s="138"/>
      <c r="AQ77" s="138"/>
      <c r="AR77" s="138"/>
      <c r="AS77" s="138"/>
      <c r="AT77" s="86"/>
      <c r="AU77" s="138"/>
      <c r="AV77" s="138"/>
      <c r="AW77" s="138"/>
      <c r="AX77" s="138"/>
      <c r="AY77" s="85"/>
    </row>
    <row r="78" spans="1:51">
      <c r="A78" s="137" t="s">
        <v>181</v>
      </c>
      <c r="B78" s="138"/>
      <c r="C78" s="138"/>
      <c r="D78" s="138"/>
      <c r="E78" s="138"/>
      <c r="F78" s="86"/>
      <c r="G78" s="138"/>
      <c r="H78" s="138"/>
      <c r="I78" s="138"/>
      <c r="J78" s="138"/>
      <c r="K78" s="86"/>
      <c r="L78" s="138"/>
      <c r="M78" s="138"/>
      <c r="N78" s="138"/>
      <c r="O78" s="138"/>
      <c r="P78" s="86"/>
      <c r="Q78" s="138"/>
      <c r="R78" s="138"/>
      <c r="S78" s="138"/>
      <c r="T78" s="138"/>
      <c r="U78" s="86"/>
      <c r="V78" s="138"/>
      <c r="W78" s="138"/>
      <c r="X78" s="138"/>
      <c r="Y78" s="138"/>
      <c r="Z78" s="86"/>
      <c r="AA78" s="138"/>
      <c r="AB78" s="138"/>
      <c r="AC78" s="138"/>
      <c r="AD78" s="138"/>
      <c r="AE78" s="86"/>
      <c r="AF78" s="138"/>
      <c r="AG78" s="138"/>
      <c r="AH78" s="138"/>
      <c r="AI78" s="138"/>
      <c r="AJ78" s="86"/>
      <c r="AK78" s="138"/>
      <c r="AL78" s="138"/>
      <c r="AM78" s="138"/>
      <c r="AN78" s="138"/>
      <c r="AO78" s="86"/>
      <c r="AP78" s="138"/>
      <c r="AQ78" s="138"/>
      <c r="AR78" s="138"/>
      <c r="AS78" s="138"/>
      <c r="AT78" s="86"/>
      <c r="AU78" s="138"/>
      <c r="AV78" s="138"/>
      <c r="AW78" s="138"/>
      <c r="AX78" s="138"/>
      <c r="AY78" s="85"/>
    </row>
    <row r="79" spans="1:51">
      <c r="A79" s="137" t="s">
        <v>183</v>
      </c>
      <c r="B79" s="138"/>
      <c r="C79" s="138"/>
      <c r="D79" s="138"/>
      <c r="E79" s="138"/>
      <c r="F79" s="86"/>
      <c r="G79" s="138"/>
      <c r="H79" s="138"/>
      <c r="I79" s="138"/>
      <c r="J79" s="138"/>
      <c r="K79" s="86"/>
      <c r="L79" s="138"/>
      <c r="M79" s="138"/>
      <c r="N79" s="138"/>
      <c r="O79" s="138"/>
      <c r="P79" s="86"/>
      <c r="Q79" s="138"/>
      <c r="R79" s="138"/>
      <c r="S79" s="138"/>
      <c r="T79" s="138"/>
      <c r="U79" s="86"/>
      <c r="V79" s="138"/>
      <c r="W79" s="138"/>
      <c r="X79" s="138"/>
      <c r="Y79" s="138"/>
      <c r="Z79" s="86"/>
      <c r="AA79" s="138"/>
      <c r="AB79" s="138"/>
      <c r="AC79" s="138"/>
      <c r="AD79" s="138"/>
      <c r="AE79" s="86"/>
      <c r="AF79" s="138"/>
      <c r="AG79" s="138"/>
      <c r="AH79" s="138"/>
      <c r="AI79" s="138"/>
      <c r="AJ79" s="86"/>
      <c r="AK79" s="138"/>
      <c r="AL79" s="138"/>
      <c r="AM79" s="138"/>
      <c r="AN79" s="138"/>
      <c r="AO79" s="86"/>
      <c r="AP79" s="138"/>
      <c r="AQ79" s="138"/>
      <c r="AR79" s="138"/>
      <c r="AS79" s="138"/>
      <c r="AT79" s="86"/>
      <c r="AU79" s="138"/>
      <c r="AV79" s="138"/>
      <c r="AW79" s="138"/>
      <c r="AX79" s="138"/>
      <c r="AY79" s="85"/>
    </row>
    <row r="80" spans="1:51">
      <c r="A80" s="137" t="s">
        <v>185</v>
      </c>
      <c r="B80" s="138"/>
      <c r="C80" s="138"/>
      <c r="D80" s="138"/>
      <c r="E80" s="138"/>
      <c r="F80" s="86"/>
      <c r="G80" s="138"/>
      <c r="H80" s="138"/>
      <c r="I80" s="138"/>
      <c r="J80" s="138"/>
      <c r="K80" s="86"/>
      <c r="L80" s="138"/>
      <c r="M80" s="138"/>
      <c r="N80" s="138"/>
      <c r="O80" s="138"/>
      <c r="P80" s="86"/>
      <c r="Q80" s="138"/>
      <c r="R80" s="138"/>
      <c r="S80" s="138"/>
      <c r="T80" s="138"/>
      <c r="U80" s="86"/>
      <c r="V80" s="138"/>
      <c r="W80" s="138"/>
      <c r="X80" s="138"/>
      <c r="Y80" s="138"/>
      <c r="Z80" s="86"/>
      <c r="AA80" s="138"/>
      <c r="AB80" s="138"/>
      <c r="AC80" s="138"/>
      <c r="AD80" s="138"/>
      <c r="AE80" s="86"/>
      <c r="AF80" s="138"/>
      <c r="AG80" s="138"/>
      <c r="AH80" s="138"/>
      <c r="AI80" s="138"/>
      <c r="AJ80" s="86"/>
      <c r="AK80" s="138"/>
      <c r="AL80" s="138"/>
      <c r="AM80" s="138"/>
      <c r="AN80" s="138"/>
      <c r="AO80" s="86"/>
      <c r="AP80" s="138"/>
      <c r="AQ80" s="138"/>
      <c r="AR80" s="138"/>
      <c r="AS80" s="138"/>
      <c r="AT80" s="86"/>
      <c r="AU80" s="138"/>
      <c r="AV80" s="138"/>
      <c r="AW80" s="138"/>
      <c r="AX80" s="138"/>
      <c r="AY80" s="85"/>
    </row>
    <row r="81" spans="1:51">
      <c r="A81" s="137" t="s">
        <v>187</v>
      </c>
      <c r="B81" s="138"/>
      <c r="C81" s="138"/>
      <c r="D81" s="138"/>
      <c r="E81" s="138"/>
      <c r="F81" s="86"/>
      <c r="G81" s="138"/>
      <c r="H81" s="138"/>
      <c r="I81" s="138"/>
      <c r="J81" s="138"/>
      <c r="K81" s="86"/>
      <c r="L81" s="138"/>
      <c r="M81" s="138"/>
      <c r="N81" s="138"/>
      <c r="O81" s="138"/>
      <c r="P81" s="86"/>
      <c r="Q81" s="138"/>
      <c r="R81" s="138"/>
      <c r="S81" s="138"/>
      <c r="T81" s="138"/>
      <c r="U81" s="86"/>
      <c r="V81" s="138"/>
      <c r="W81" s="138"/>
      <c r="X81" s="138"/>
      <c r="Y81" s="138"/>
      <c r="Z81" s="86"/>
      <c r="AA81" s="138"/>
      <c r="AB81" s="138"/>
      <c r="AC81" s="138"/>
      <c r="AD81" s="138"/>
      <c r="AE81" s="86"/>
      <c r="AF81" s="138"/>
      <c r="AG81" s="138"/>
      <c r="AH81" s="138"/>
      <c r="AI81" s="138"/>
      <c r="AJ81" s="86"/>
      <c r="AK81" s="138"/>
      <c r="AL81" s="138"/>
      <c r="AM81" s="138"/>
      <c r="AN81" s="138"/>
      <c r="AO81" s="86"/>
      <c r="AP81" s="138"/>
      <c r="AQ81" s="138"/>
      <c r="AR81" s="138"/>
      <c r="AS81" s="138"/>
      <c r="AT81" s="86"/>
      <c r="AU81" s="138"/>
      <c r="AV81" s="138"/>
      <c r="AW81" s="138"/>
      <c r="AX81" s="138"/>
      <c r="AY81" s="85"/>
    </row>
    <row r="82" spans="1:51">
      <c r="A82" s="137" t="s">
        <v>189</v>
      </c>
      <c r="B82" s="138"/>
      <c r="C82" s="138"/>
      <c r="D82" s="138"/>
      <c r="E82" s="138"/>
      <c r="F82" s="86"/>
      <c r="G82" s="138"/>
      <c r="H82" s="138"/>
      <c r="I82" s="138"/>
      <c r="J82" s="138"/>
      <c r="K82" s="86"/>
      <c r="L82" s="138"/>
      <c r="M82" s="138"/>
      <c r="N82" s="138"/>
      <c r="O82" s="138"/>
      <c r="P82" s="86"/>
      <c r="Q82" s="138"/>
      <c r="R82" s="138"/>
      <c r="S82" s="138"/>
      <c r="T82" s="138"/>
      <c r="U82" s="86"/>
      <c r="V82" s="138"/>
      <c r="W82" s="138"/>
      <c r="X82" s="138"/>
      <c r="Y82" s="138"/>
      <c r="Z82" s="86"/>
      <c r="AA82" s="138"/>
      <c r="AB82" s="138"/>
      <c r="AC82" s="138"/>
      <c r="AD82" s="138"/>
      <c r="AE82" s="86"/>
      <c r="AF82" s="138"/>
      <c r="AG82" s="138"/>
      <c r="AH82" s="138"/>
      <c r="AI82" s="138"/>
      <c r="AJ82" s="86"/>
      <c r="AK82" s="138"/>
      <c r="AL82" s="138"/>
      <c r="AM82" s="138"/>
      <c r="AN82" s="138"/>
      <c r="AO82" s="86"/>
      <c r="AP82" s="138"/>
      <c r="AQ82" s="138"/>
      <c r="AR82" s="138"/>
      <c r="AS82" s="138"/>
      <c r="AT82" s="86"/>
      <c r="AU82" s="138"/>
      <c r="AV82" s="138"/>
      <c r="AW82" s="138"/>
      <c r="AX82" s="138"/>
      <c r="AY82" s="85"/>
    </row>
    <row r="83" spans="1:51">
      <c r="A83" s="137" t="s">
        <v>191</v>
      </c>
      <c r="B83" s="138"/>
      <c r="C83" s="138"/>
      <c r="D83" s="138"/>
      <c r="E83" s="138"/>
      <c r="F83" s="86"/>
      <c r="G83" s="138"/>
      <c r="H83" s="138"/>
      <c r="I83" s="138"/>
      <c r="J83" s="138"/>
      <c r="K83" s="86"/>
      <c r="L83" s="138"/>
      <c r="M83" s="138"/>
      <c r="N83" s="138"/>
      <c r="O83" s="138"/>
      <c r="P83" s="86"/>
      <c r="Q83" s="138"/>
      <c r="R83" s="138"/>
      <c r="S83" s="138"/>
      <c r="T83" s="138"/>
      <c r="U83" s="86"/>
      <c r="V83" s="138"/>
      <c r="W83" s="138"/>
      <c r="X83" s="138"/>
      <c r="Y83" s="138"/>
      <c r="Z83" s="86"/>
      <c r="AA83" s="138"/>
      <c r="AB83" s="138"/>
      <c r="AC83" s="138"/>
      <c r="AD83" s="138"/>
      <c r="AE83" s="86"/>
      <c r="AF83" s="138"/>
      <c r="AG83" s="138"/>
      <c r="AH83" s="138"/>
      <c r="AI83" s="138"/>
      <c r="AJ83" s="86"/>
      <c r="AK83" s="138"/>
      <c r="AL83" s="138"/>
      <c r="AM83" s="138"/>
      <c r="AN83" s="138"/>
      <c r="AO83" s="86"/>
      <c r="AP83" s="138"/>
      <c r="AQ83" s="138"/>
      <c r="AR83" s="138"/>
      <c r="AS83" s="138"/>
      <c r="AT83" s="86"/>
      <c r="AU83" s="138"/>
      <c r="AV83" s="138"/>
      <c r="AW83" s="138"/>
      <c r="AX83" s="138"/>
      <c r="AY83" s="85"/>
    </row>
    <row r="84" spans="1:51">
      <c r="A84" s="137" t="s">
        <v>193</v>
      </c>
      <c r="B84" s="138"/>
      <c r="C84" s="138"/>
      <c r="D84" s="138"/>
      <c r="E84" s="138"/>
      <c r="F84" s="86"/>
      <c r="G84" s="138"/>
      <c r="H84" s="138"/>
      <c r="I84" s="138"/>
      <c r="J84" s="138"/>
      <c r="K84" s="86"/>
      <c r="L84" s="138"/>
      <c r="M84" s="138"/>
      <c r="N84" s="138"/>
      <c r="O84" s="138"/>
      <c r="P84" s="86"/>
      <c r="Q84" s="138"/>
      <c r="R84" s="138"/>
      <c r="S84" s="138"/>
      <c r="T84" s="138"/>
      <c r="U84" s="86"/>
      <c r="V84" s="138"/>
      <c r="W84" s="138"/>
      <c r="X84" s="138"/>
      <c r="Y84" s="138"/>
      <c r="Z84" s="86"/>
      <c r="AA84" s="138"/>
      <c r="AB84" s="138"/>
      <c r="AC84" s="138"/>
      <c r="AD84" s="138"/>
      <c r="AE84" s="86"/>
      <c r="AF84" s="138"/>
      <c r="AG84" s="138"/>
      <c r="AH84" s="138"/>
      <c r="AI84" s="138"/>
      <c r="AJ84" s="86"/>
      <c r="AK84" s="138"/>
      <c r="AL84" s="138"/>
      <c r="AM84" s="138"/>
      <c r="AN84" s="138"/>
      <c r="AO84" s="86"/>
      <c r="AP84" s="138"/>
      <c r="AQ84" s="138"/>
      <c r="AR84" s="138"/>
      <c r="AS84" s="138"/>
      <c r="AT84" s="86"/>
      <c r="AU84" s="138"/>
      <c r="AV84" s="138"/>
      <c r="AW84" s="138"/>
      <c r="AX84" s="138"/>
      <c r="AY84" s="85"/>
    </row>
    <row r="85" spans="1:51">
      <c r="A85" s="137" t="s">
        <v>195</v>
      </c>
      <c r="B85" s="138"/>
      <c r="C85" s="138"/>
      <c r="D85" s="138"/>
      <c r="E85" s="138"/>
      <c r="F85" s="86"/>
      <c r="G85" s="138"/>
      <c r="H85" s="138"/>
      <c r="I85" s="138"/>
      <c r="J85" s="138"/>
      <c r="K85" s="86"/>
      <c r="L85" s="138"/>
      <c r="M85" s="138"/>
      <c r="N85" s="138"/>
      <c r="O85" s="138"/>
      <c r="P85" s="86"/>
      <c r="Q85" s="138"/>
      <c r="R85" s="138"/>
      <c r="S85" s="138"/>
      <c r="T85" s="138"/>
      <c r="U85" s="86"/>
      <c r="V85" s="138"/>
      <c r="W85" s="138"/>
      <c r="X85" s="138"/>
      <c r="Y85" s="138"/>
      <c r="Z85" s="86"/>
      <c r="AA85" s="138"/>
      <c r="AB85" s="138"/>
      <c r="AC85" s="138"/>
      <c r="AD85" s="138"/>
      <c r="AE85" s="86"/>
      <c r="AF85" s="138"/>
      <c r="AG85" s="138"/>
      <c r="AH85" s="138"/>
      <c r="AI85" s="138"/>
      <c r="AJ85" s="86"/>
      <c r="AK85" s="138"/>
      <c r="AL85" s="138"/>
      <c r="AM85" s="138"/>
      <c r="AN85" s="138"/>
      <c r="AO85" s="86"/>
      <c r="AP85" s="138"/>
      <c r="AQ85" s="138"/>
      <c r="AR85" s="138"/>
      <c r="AS85" s="138"/>
      <c r="AT85" s="86"/>
      <c r="AU85" s="138"/>
      <c r="AV85" s="138"/>
      <c r="AW85" s="138"/>
      <c r="AX85" s="138"/>
      <c r="AY85" s="85"/>
    </row>
    <row r="86" spans="1:51">
      <c r="A86" s="137" t="s">
        <v>197</v>
      </c>
      <c r="B86" s="138"/>
      <c r="C86" s="138"/>
      <c r="D86" s="138"/>
      <c r="E86" s="138"/>
      <c r="F86" s="86"/>
      <c r="G86" s="138"/>
      <c r="H86" s="138"/>
      <c r="I86" s="138"/>
      <c r="J86" s="138"/>
      <c r="K86" s="86"/>
      <c r="L86" s="138"/>
      <c r="M86" s="138"/>
      <c r="N86" s="138"/>
      <c r="O86" s="138"/>
      <c r="P86" s="86"/>
      <c r="Q86" s="138"/>
      <c r="R86" s="138"/>
      <c r="S86" s="138"/>
      <c r="T86" s="138"/>
      <c r="U86" s="86"/>
      <c r="V86" s="138"/>
      <c r="W86" s="138"/>
      <c r="X86" s="138"/>
      <c r="Y86" s="138"/>
      <c r="Z86" s="86"/>
      <c r="AA86" s="138"/>
      <c r="AB86" s="138"/>
      <c r="AC86" s="138"/>
      <c r="AD86" s="138"/>
      <c r="AE86" s="86"/>
      <c r="AF86" s="138"/>
      <c r="AG86" s="138"/>
      <c r="AH86" s="138"/>
      <c r="AI86" s="138"/>
      <c r="AJ86" s="86"/>
      <c r="AK86" s="138"/>
      <c r="AL86" s="138"/>
      <c r="AM86" s="138"/>
      <c r="AN86" s="138"/>
      <c r="AO86" s="86"/>
      <c r="AP86" s="138"/>
      <c r="AQ86" s="138"/>
      <c r="AR86" s="138"/>
      <c r="AS86" s="138"/>
      <c r="AT86" s="86"/>
      <c r="AU86" s="138"/>
      <c r="AV86" s="138"/>
      <c r="AW86" s="138"/>
      <c r="AX86" s="138"/>
      <c r="AY86" s="85"/>
    </row>
    <row r="87" spans="1:51">
      <c r="A87" s="137" t="s">
        <v>199</v>
      </c>
      <c r="B87" s="138"/>
      <c r="C87" s="138"/>
      <c r="D87" s="138"/>
      <c r="E87" s="138"/>
      <c r="F87" s="86"/>
      <c r="G87" s="138"/>
      <c r="H87" s="138"/>
      <c r="I87" s="138"/>
      <c r="J87" s="138"/>
      <c r="K87" s="86"/>
      <c r="L87" s="138"/>
      <c r="M87" s="138"/>
      <c r="N87" s="138"/>
      <c r="O87" s="138"/>
      <c r="P87" s="86"/>
      <c r="Q87" s="138"/>
      <c r="R87" s="138"/>
      <c r="S87" s="138"/>
      <c r="T87" s="138"/>
      <c r="U87" s="86"/>
      <c r="V87" s="138"/>
      <c r="W87" s="138"/>
      <c r="X87" s="138"/>
      <c r="Y87" s="138"/>
      <c r="Z87" s="86"/>
      <c r="AA87" s="138"/>
      <c r="AB87" s="138"/>
      <c r="AC87" s="138"/>
      <c r="AD87" s="138"/>
      <c r="AE87" s="86"/>
      <c r="AF87" s="138"/>
      <c r="AG87" s="138"/>
      <c r="AH87" s="138"/>
      <c r="AI87" s="138"/>
      <c r="AJ87" s="86"/>
      <c r="AK87" s="138"/>
      <c r="AL87" s="138"/>
      <c r="AM87" s="138"/>
      <c r="AN87" s="138"/>
      <c r="AO87" s="86"/>
      <c r="AP87" s="138"/>
      <c r="AQ87" s="138"/>
      <c r="AR87" s="138"/>
      <c r="AS87" s="138"/>
      <c r="AT87" s="86"/>
      <c r="AU87" s="138"/>
      <c r="AV87" s="138"/>
      <c r="AW87" s="138"/>
      <c r="AX87" s="138"/>
      <c r="AY87" s="85"/>
    </row>
    <row r="88" spans="1:51">
      <c r="A88" s="137" t="s">
        <v>201</v>
      </c>
      <c r="B88" s="138"/>
      <c r="C88" s="138"/>
      <c r="D88" s="138"/>
      <c r="E88" s="138"/>
      <c r="F88" s="86"/>
      <c r="G88" s="138"/>
      <c r="H88" s="138"/>
      <c r="I88" s="138"/>
      <c r="J88" s="138"/>
      <c r="K88" s="86"/>
      <c r="L88" s="138"/>
      <c r="M88" s="138"/>
      <c r="N88" s="138"/>
      <c r="O88" s="138"/>
      <c r="P88" s="86"/>
      <c r="Q88" s="138"/>
      <c r="R88" s="138"/>
      <c r="S88" s="138"/>
      <c r="T88" s="138"/>
      <c r="U88" s="86"/>
      <c r="V88" s="138"/>
      <c r="W88" s="138"/>
      <c r="X88" s="138"/>
      <c r="Y88" s="138"/>
      <c r="Z88" s="86"/>
      <c r="AA88" s="138"/>
      <c r="AB88" s="138"/>
      <c r="AC88" s="138"/>
      <c r="AD88" s="138"/>
      <c r="AE88" s="86"/>
      <c r="AF88" s="138"/>
      <c r="AG88" s="138"/>
      <c r="AH88" s="138"/>
      <c r="AI88" s="138"/>
      <c r="AJ88" s="86"/>
      <c r="AK88" s="138"/>
      <c r="AL88" s="138"/>
      <c r="AM88" s="138"/>
      <c r="AN88" s="138"/>
      <c r="AO88" s="86"/>
      <c r="AP88" s="138"/>
      <c r="AQ88" s="138"/>
      <c r="AR88" s="138"/>
      <c r="AS88" s="138"/>
      <c r="AT88" s="86"/>
      <c r="AU88" s="138"/>
      <c r="AV88" s="138"/>
      <c r="AW88" s="138"/>
      <c r="AX88" s="138"/>
      <c r="AY88" s="85"/>
    </row>
    <row r="89" spans="1:51">
      <c r="A89" s="137" t="s">
        <v>203</v>
      </c>
      <c r="B89" s="138"/>
      <c r="C89" s="138"/>
      <c r="D89" s="138"/>
      <c r="E89" s="138"/>
      <c r="F89" s="86"/>
      <c r="G89" s="138"/>
      <c r="H89" s="138"/>
      <c r="I89" s="138"/>
      <c r="J89" s="138"/>
      <c r="K89" s="86"/>
      <c r="L89" s="138"/>
      <c r="M89" s="138"/>
      <c r="N89" s="138"/>
      <c r="O89" s="138"/>
      <c r="P89" s="86"/>
      <c r="Q89" s="138"/>
      <c r="R89" s="138"/>
      <c r="S89" s="138"/>
      <c r="T89" s="138"/>
      <c r="U89" s="86"/>
      <c r="V89" s="138"/>
      <c r="W89" s="138"/>
      <c r="X89" s="138"/>
      <c r="Y89" s="138"/>
      <c r="Z89" s="86"/>
      <c r="AA89" s="138"/>
      <c r="AB89" s="138"/>
      <c r="AC89" s="138"/>
      <c r="AD89" s="138"/>
      <c r="AE89" s="86"/>
      <c r="AF89" s="138"/>
      <c r="AG89" s="138"/>
      <c r="AH89" s="138"/>
      <c r="AI89" s="138"/>
      <c r="AJ89" s="86"/>
      <c r="AK89" s="138"/>
      <c r="AL89" s="138"/>
      <c r="AM89" s="138"/>
      <c r="AN89" s="138"/>
      <c r="AO89" s="86"/>
      <c r="AP89" s="138"/>
      <c r="AQ89" s="138"/>
      <c r="AR89" s="138"/>
      <c r="AS89" s="138"/>
      <c r="AT89" s="86"/>
      <c r="AU89" s="138"/>
      <c r="AV89" s="138"/>
      <c r="AW89" s="138"/>
      <c r="AX89" s="138"/>
      <c r="AY89" s="85"/>
    </row>
    <row r="90" spans="1:51">
      <c r="A90" s="137" t="s">
        <v>205</v>
      </c>
      <c r="B90" s="138"/>
      <c r="C90" s="138"/>
      <c r="D90" s="138"/>
      <c r="E90" s="138"/>
      <c r="F90" s="86"/>
      <c r="G90" s="138"/>
      <c r="H90" s="138"/>
      <c r="I90" s="138"/>
      <c r="J90" s="138"/>
      <c r="K90" s="86"/>
      <c r="L90" s="138"/>
      <c r="M90" s="138"/>
      <c r="N90" s="138"/>
      <c r="O90" s="138"/>
      <c r="P90" s="86"/>
      <c r="Q90" s="138"/>
      <c r="R90" s="138"/>
      <c r="S90" s="138"/>
      <c r="T90" s="138"/>
      <c r="U90" s="86"/>
      <c r="V90" s="138"/>
      <c r="W90" s="138"/>
      <c r="X90" s="138"/>
      <c r="Y90" s="138"/>
      <c r="Z90" s="86"/>
      <c r="AA90" s="138"/>
      <c r="AB90" s="138"/>
      <c r="AC90" s="138"/>
      <c r="AD90" s="138"/>
      <c r="AE90" s="86"/>
      <c r="AF90" s="138"/>
      <c r="AG90" s="138"/>
      <c r="AH90" s="138"/>
      <c r="AI90" s="138"/>
      <c r="AJ90" s="86"/>
      <c r="AK90" s="138"/>
      <c r="AL90" s="138"/>
      <c r="AM90" s="138"/>
      <c r="AN90" s="138"/>
      <c r="AO90" s="86"/>
      <c r="AP90" s="138"/>
      <c r="AQ90" s="138"/>
      <c r="AR90" s="138"/>
      <c r="AS90" s="138"/>
      <c r="AT90" s="86"/>
      <c r="AU90" s="138"/>
      <c r="AV90" s="138"/>
      <c r="AW90" s="138"/>
      <c r="AX90" s="138"/>
      <c r="AY90" s="85"/>
    </row>
    <row r="91" spans="1:51">
      <c r="A91" s="137" t="s">
        <v>207</v>
      </c>
      <c r="B91" s="138"/>
      <c r="C91" s="138"/>
      <c r="D91" s="138"/>
      <c r="E91" s="138"/>
      <c r="F91" s="86"/>
      <c r="G91" s="138"/>
      <c r="H91" s="138"/>
      <c r="I91" s="138"/>
      <c r="J91" s="138"/>
      <c r="K91" s="86"/>
      <c r="L91" s="138"/>
      <c r="M91" s="138"/>
      <c r="N91" s="138"/>
      <c r="O91" s="138"/>
      <c r="P91" s="86"/>
      <c r="Q91" s="138"/>
      <c r="R91" s="138"/>
      <c r="S91" s="138"/>
      <c r="T91" s="138"/>
      <c r="U91" s="86"/>
      <c r="V91" s="138"/>
      <c r="W91" s="138"/>
      <c r="X91" s="138"/>
      <c r="Y91" s="138"/>
      <c r="Z91" s="86"/>
      <c r="AA91" s="138"/>
      <c r="AB91" s="138"/>
      <c r="AC91" s="138"/>
      <c r="AD91" s="138"/>
      <c r="AE91" s="86"/>
      <c r="AF91" s="138"/>
      <c r="AG91" s="138"/>
      <c r="AH91" s="138"/>
      <c r="AI91" s="138"/>
      <c r="AJ91" s="86"/>
      <c r="AK91" s="138"/>
      <c r="AL91" s="138"/>
      <c r="AM91" s="138"/>
      <c r="AN91" s="138"/>
      <c r="AO91" s="86"/>
      <c r="AP91" s="138"/>
      <c r="AQ91" s="138"/>
      <c r="AR91" s="138"/>
      <c r="AS91" s="138"/>
      <c r="AT91" s="86"/>
      <c r="AU91" s="138"/>
      <c r="AV91" s="138"/>
      <c r="AW91" s="138"/>
      <c r="AX91" s="138"/>
      <c r="AY91" s="85"/>
    </row>
    <row r="92" spans="1:51">
      <c r="A92" s="137" t="s">
        <v>209</v>
      </c>
      <c r="B92" s="138"/>
      <c r="C92" s="138"/>
      <c r="D92" s="138"/>
      <c r="E92" s="138"/>
      <c r="F92" s="86"/>
      <c r="G92" s="138"/>
      <c r="H92" s="138"/>
      <c r="I92" s="138"/>
      <c r="J92" s="138"/>
      <c r="K92" s="86"/>
      <c r="L92" s="138"/>
      <c r="M92" s="138"/>
      <c r="N92" s="138"/>
      <c r="O92" s="138"/>
      <c r="P92" s="86"/>
      <c r="Q92" s="138"/>
      <c r="R92" s="138"/>
      <c r="S92" s="138"/>
      <c r="T92" s="138"/>
      <c r="U92" s="86"/>
      <c r="V92" s="138"/>
      <c r="W92" s="138"/>
      <c r="X92" s="138"/>
      <c r="Y92" s="138"/>
      <c r="Z92" s="86"/>
      <c r="AA92" s="138"/>
      <c r="AB92" s="138"/>
      <c r="AC92" s="138"/>
      <c r="AD92" s="138"/>
      <c r="AE92" s="86"/>
      <c r="AF92" s="138"/>
      <c r="AG92" s="138"/>
      <c r="AH92" s="138"/>
      <c r="AI92" s="138"/>
      <c r="AJ92" s="86"/>
      <c r="AK92" s="138"/>
      <c r="AL92" s="138"/>
      <c r="AM92" s="138"/>
      <c r="AN92" s="138"/>
      <c r="AO92" s="86"/>
      <c r="AP92" s="138"/>
      <c r="AQ92" s="138"/>
      <c r="AR92" s="138"/>
      <c r="AS92" s="138"/>
      <c r="AT92" s="86"/>
      <c r="AU92" s="138"/>
      <c r="AV92" s="138"/>
      <c r="AW92" s="138"/>
      <c r="AX92" s="138"/>
      <c r="AY92" s="85"/>
    </row>
    <row r="93" spans="1:51">
      <c r="A93" s="137" t="s">
        <v>211</v>
      </c>
      <c r="B93" s="138"/>
      <c r="C93" s="138"/>
      <c r="D93" s="138"/>
      <c r="E93" s="138"/>
      <c r="F93" s="86"/>
      <c r="G93" s="138"/>
      <c r="H93" s="138"/>
      <c r="I93" s="138"/>
      <c r="J93" s="138"/>
      <c r="K93" s="86"/>
      <c r="L93" s="138"/>
      <c r="M93" s="138"/>
      <c r="N93" s="138"/>
      <c r="O93" s="138"/>
      <c r="P93" s="86"/>
      <c r="Q93" s="138"/>
      <c r="R93" s="138"/>
      <c r="S93" s="138"/>
      <c r="T93" s="138"/>
      <c r="U93" s="86"/>
      <c r="V93" s="138"/>
      <c r="W93" s="138"/>
      <c r="X93" s="138"/>
      <c r="Y93" s="138"/>
      <c r="Z93" s="86"/>
      <c r="AA93" s="138"/>
      <c r="AB93" s="138"/>
      <c r="AC93" s="138"/>
      <c r="AD93" s="138"/>
      <c r="AE93" s="86"/>
      <c r="AF93" s="138"/>
      <c r="AG93" s="138"/>
      <c r="AH93" s="138"/>
      <c r="AI93" s="138"/>
      <c r="AJ93" s="86"/>
      <c r="AK93" s="138"/>
      <c r="AL93" s="138"/>
      <c r="AM93" s="138"/>
      <c r="AN93" s="138"/>
      <c r="AO93" s="86"/>
      <c r="AP93" s="138"/>
      <c r="AQ93" s="138"/>
      <c r="AR93" s="138"/>
      <c r="AS93" s="138"/>
      <c r="AT93" s="86"/>
      <c r="AU93" s="138"/>
      <c r="AV93" s="138"/>
      <c r="AW93" s="138"/>
      <c r="AX93" s="138"/>
      <c r="AY93" s="85"/>
    </row>
    <row r="94" spans="1:51">
      <c r="A94" s="137" t="s">
        <v>213</v>
      </c>
      <c r="B94" s="138"/>
      <c r="C94" s="138"/>
      <c r="D94" s="138"/>
      <c r="E94" s="138"/>
      <c r="F94" s="86"/>
      <c r="G94" s="138"/>
      <c r="H94" s="138"/>
      <c r="I94" s="138"/>
      <c r="J94" s="138"/>
      <c r="K94" s="86"/>
      <c r="L94" s="138"/>
      <c r="M94" s="138"/>
      <c r="N94" s="138"/>
      <c r="O94" s="138"/>
      <c r="P94" s="86"/>
      <c r="Q94" s="138"/>
      <c r="R94" s="138"/>
      <c r="S94" s="138"/>
      <c r="T94" s="138"/>
      <c r="U94" s="86"/>
      <c r="V94" s="138"/>
      <c r="W94" s="138"/>
      <c r="X94" s="138"/>
      <c r="Y94" s="138"/>
      <c r="Z94" s="86"/>
      <c r="AA94" s="138"/>
      <c r="AB94" s="138"/>
      <c r="AC94" s="138"/>
      <c r="AD94" s="138"/>
      <c r="AE94" s="86"/>
      <c r="AF94" s="138"/>
      <c r="AG94" s="138"/>
      <c r="AH94" s="138"/>
      <c r="AI94" s="138"/>
      <c r="AJ94" s="86"/>
      <c r="AK94" s="138"/>
      <c r="AL94" s="138"/>
      <c r="AM94" s="138"/>
      <c r="AN94" s="138"/>
      <c r="AO94" s="86"/>
      <c r="AP94" s="138"/>
      <c r="AQ94" s="138"/>
      <c r="AR94" s="138"/>
      <c r="AS94" s="138"/>
      <c r="AT94" s="86"/>
      <c r="AU94" s="138"/>
      <c r="AV94" s="138"/>
      <c r="AW94" s="138"/>
      <c r="AX94" s="138"/>
      <c r="AY94" s="85"/>
    </row>
    <row r="95" spans="1:51">
      <c r="A95" s="137" t="s">
        <v>215</v>
      </c>
      <c r="B95" s="138"/>
      <c r="C95" s="138"/>
      <c r="D95" s="138"/>
      <c r="E95" s="138"/>
      <c r="F95" s="86"/>
      <c r="G95" s="138"/>
      <c r="H95" s="138"/>
      <c r="I95" s="138"/>
      <c r="J95" s="138"/>
      <c r="K95" s="86"/>
      <c r="L95" s="138"/>
      <c r="M95" s="138"/>
      <c r="N95" s="138"/>
      <c r="O95" s="138"/>
      <c r="P95" s="86"/>
      <c r="Q95" s="138"/>
      <c r="R95" s="138"/>
      <c r="S95" s="138"/>
      <c r="T95" s="138"/>
      <c r="U95" s="86"/>
      <c r="V95" s="138"/>
      <c r="W95" s="138"/>
      <c r="X95" s="138"/>
      <c r="Y95" s="138"/>
      <c r="Z95" s="86"/>
      <c r="AA95" s="138"/>
      <c r="AB95" s="138"/>
      <c r="AC95" s="138"/>
      <c r="AD95" s="138"/>
      <c r="AE95" s="86"/>
      <c r="AF95" s="138"/>
      <c r="AG95" s="138"/>
      <c r="AH95" s="138"/>
      <c r="AI95" s="138"/>
      <c r="AJ95" s="86"/>
      <c r="AK95" s="138"/>
      <c r="AL95" s="138"/>
      <c r="AM95" s="138"/>
      <c r="AN95" s="138"/>
      <c r="AO95" s="86"/>
      <c r="AP95" s="138"/>
      <c r="AQ95" s="138"/>
      <c r="AR95" s="138"/>
      <c r="AS95" s="138"/>
      <c r="AT95" s="86"/>
      <c r="AU95" s="138"/>
      <c r="AV95" s="138"/>
      <c r="AW95" s="138"/>
      <c r="AX95" s="138"/>
      <c r="AY95" s="85"/>
    </row>
    <row r="96" spans="1:51">
      <c r="A96" s="137" t="s">
        <v>217</v>
      </c>
      <c r="B96" s="138"/>
      <c r="C96" s="138"/>
      <c r="D96" s="138"/>
      <c r="E96" s="138"/>
      <c r="F96" s="86"/>
      <c r="G96" s="138"/>
      <c r="H96" s="138"/>
      <c r="I96" s="138"/>
      <c r="J96" s="138"/>
      <c r="K96" s="86"/>
      <c r="L96" s="138"/>
      <c r="M96" s="138"/>
      <c r="N96" s="138"/>
      <c r="O96" s="138"/>
      <c r="P96" s="86"/>
      <c r="Q96" s="138"/>
      <c r="R96" s="138"/>
      <c r="S96" s="138"/>
      <c r="T96" s="138"/>
      <c r="U96" s="86"/>
      <c r="V96" s="138"/>
      <c r="W96" s="138"/>
      <c r="X96" s="138"/>
      <c r="Y96" s="138"/>
      <c r="Z96" s="86"/>
      <c r="AA96" s="138"/>
      <c r="AB96" s="138"/>
      <c r="AC96" s="138"/>
      <c r="AD96" s="138"/>
      <c r="AE96" s="86"/>
      <c r="AF96" s="138"/>
      <c r="AG96" s="138"/>
      <c r="AH96" s="138"/>
      <c r="AI96" s="138"/>
      <c r="AJ96" s="86"/>
      <c r="AK96" s="138"/>
      <c r="AL96" s="138"/>
      <c r="AM96" s="138"/>
      <c r="AN96" s="138"/>
      <c r="AO96" s="86"/>
      <c r="AP96" s="138"/>
      <c r="AQ96" s="138"/>
      <c r="AR96" s="138"/>
      <c r="AS96" s="138"/>
      <c r="AT96" s="86"/>
      <c r="AU96" s="138"/>
      <c r="AV96" s="138"/>
      <c r="AW96" s="138"/>
      <c r="AX96" s="138"/>
      <c r="AY96" s="85"/>
    </row>
    <row r="97" spans="1:51">
      <c r="A97" s="137" t="s">
        <v>219</v>
      </c>
      <c r="B97" s="138"/>
      <c r="C97" s="138"/>
      <c r="D97" s="138"/>
      <c r="E97" s="138"/>
      <c r="F97" s="86"/>
      <c r="G97" s="138"/>
      <c r="H97" s="138"/>
      <c r="I97" s="138"/>
      <c r="J97" s="138"/>
      <c r="K97" s="86"/>
      <c r="L97" s="138"/>
      <c r="M97" s="138"/>
      <c r="N97" s="138"/>
      <c r="O97" s="138"/>
      <c r="P97" s="86"/>
      <c r="Q97" s="138"/>
      <c r="R97" s="138"/>
      <c r="S97" s="138"/>
      <c r="T97" s="138"/>
      <c r="U97" s="86"/>
      <c r="V97" s="138"/>
      <c r="W97" s="138"/>
      <c r="X97" s="138"/>
      <c r="Y97" s="138"/>
      <c r="Z97" s="86"/>
      <c r="AA97" s="138"/>
      <c r="AB97" s="138"/>
      <c r="AC97" s="138"/>
      <c r="AD97" s="138"/>
      <c r="AE97" s="86"/>
      <c r="AF97" s="138"/>
      <c r="AG97" s="138"/>
      <c r="AH97" s="138"/>
      <c r="AI97" s="138"/>
      <c r="AJ97" s="86"/>
      <c r="AK97" s="138"/>
      <c r="AL97" s="138"/>
      <c r="AM97" s="138"/>
      <c r="AN97" s="138"/>
      <c r="AO97" s="86"/>
      <c r="AP97" s="138"/>
      <c r="AQ97" s="138"/>
      <c r="AR97" s="138"/>
      <c r="AS97" s="138"/>
      <c r="AT97" s="86"/>
      <c r="AU97" s="138"/>
      <c r="AV97" s="138"/>
      <c r="AW97" s="138"/>
      <c r="AX97" s="138"/>
      <c r="AY97" s="85"/>
    </row>
    <row r="98" spans="1:51">
      <c r="A98" s="137" t="s">
        <v>221</v>
      </c>
      <c r="B98" s="138"/>
      <c r="C98" s="138"/>
      <c r="D98" s="138"/>
      <c r="E98" s="138"/>
      <c r="F98" s="86"/>
      <c r="G98" s="138"/>
      <c r="H98" s="138"/>
      <c r="I98" s="138"/>
      <c r="J98" s="138"/>
      <c r="K98" s="86"/>
      <c r="L98" s="138"/>
      <c r="M98" s="138"/>
      <c r="N98" s="138"/>
      <c r="O98" s="138"/>
      <c r="P98" s="86"/>
      <c r="Q98" s="138"/>
      <c r="R98" s="138"/>
      <c r="S98" s="138"/>
      <c r="T98" s="138"/>
      <c r="U98" s="86"/>
      <c r="V98" s="138"/>
      <c r="W98" s="138"/>
      <c r="X98" s="138"/>
      <c r="Y98" s="138"/>
      <c r="Z98" s="86"/>
      <c r="AA98" s="138"/>
      <c r="AB98" s="138"/>
      <c r="AC98" s="138"/>
      <c r="AD98" s="138"/>
      <c r="AE98" s="86"/>
      <c r="AF98" s="138"/>
      <c r="AG98" s="138"/>
      <c r="AH98" s="138"/>
      <c r="AI98" s="138"/>
      <c r="AJ98" s="86"/>
      <c r="AK98" s="138"/>
      <c r="AL98" s="138"/>
      <c r="AM98" s="138"/>
      <c r="AN98" s="138"/>
      <c r="AO98" s="86"/>
      <c r="AP98" s="138"/>
      <c r="AQ98" s="138"/>
      <c r="AR98" s="138"/>
      <c r="AS98" s="138"/>
      <c r="AT98" s="86"/>
      <c r="AU98" s="138"/>
      <c r="AV98" s="138"/>
      <c r="AW98" s="138"/>
      <c r="AX98" s="138"/>
      <c r="AY98" s="85"/>
    </row>
    <row r="99" spans="1:51">
      <c r="A99" s="137" t="s">
        <v>223</v>
      </c>
      <c r="B99" s="138"/>
      <c r="C99" s="138"/>
      <c r="D99" s="138"/>
      <c r="E99" s="138"/>
      <c r="F99" s="86"/>
      <c r="G99" s="138"/>
      <c r="H99" s="138"/>
      <c r="I99" s="138"/>
      <c r="J99" s="138"/>
      <c r="K99" s="86"/>
      <c r="L99" s="138"/>
      <c r="M99" s="138"/>
      <c r="N99" s="138"/>
      <c r="O99" s="138"/>
      <c r="P99" s="86"/>
      <c r="Q99" s="138"/>
      <c r="R99" s="138"/>
      <c r="S99" s="138"/>
      <c r="T99" s="138"/>
      <c r="U99" s="86"/>
      <c r="V99" s="138"/>
      <c r="W99" s="138"/>
      <c r="X99" s="138"/>
      <c r="Y99" s="138"/>
      <c r="Z99" s="86"/>
      <c r="AA99" s="138"/>
      <c r="AB99" s="138"/>
      <c r="AC99" s="138"/>
      <c r="AD99" s="138"/>
      <c r="AE99" s="86"/>
      <c r="AF99" s="138"/>
      <c r="AG99" s="138"/>
      <c r="AH99" s="138"/>
      <c r="AI99" s="138"/>
      <c r="AJ99" s="86"/>
      <c r="AK99" s="138"/>
      <c r="AL99" s="138"/>
      <c r="AM99" s="138"/>
      <c r="AN99" s="138"/>
      <c r="AO99" s="86"/>
      <c r="AP99" s="138"/>
      <c r="AQ99" s="138"/>
      <c r="AR99" s="138"/>
      <c r="AS99" s="138"/>
      <c r="AT99" s="86"/>
      <c r="AU99" s="138"/>
      <c r="AV99" s="138"/>
      <c r="AW99" s="138"/>
      <c r="AX99" s="138"/>
      <c r="AY99" s="85"/>
    </row>
    <row r="100" spans="1:51">
      <c r="A100" s="137" t="s">
        <v>225</v>
      </c>
      <c r="B100" s="138"/>
      <c r="C100" s="138"/>
      <c r="D100" s="138"/>
      <c r="E100" s="138"/>
      <c r="F100" s="86"/>
      <c r="G100" s="138"/>
      <c r="H100" s="138"/>
      <c r="I100" s="138"/>
      <c r="J100" s="138"/>
      <c r="K100" s="86"/>
      <c r="L100" s="138"/>
      <c r="M100" s="138"/>
      <c r="N100" s="138"/>
      <c r="O100" s="138"/>
      <c r="P100" s="86"/>
      <c r="Q100" s="138"/>
      <c r="R100" s="138"/>
      <c r="S100" s="138"/>
      <c r="T100" s="138"/>
      <c r="U100" s="86"/>
      <c r="V100" s="138"/>
      <c r="W100" s="138"/>
      <c r="X100" s="138"/>
      <c r="Y100" s="138"/>
      <c r="Z100" s="86"/>
      <c r="AA100" s="138"/>
      <c r="AB100" s="138"/>
      <c r="AC100" s="138"/>
      <c r="AD100" s="138"/>
      <c r="AE100" s="86"/>
      <c r="AF100" s="138"/>
      <c r="AG100" s="138"/>
      <c r="AH100" s="138"/>
      <c r="AI100" s="138"/>
      <c r="AJ100" s="86"/>
      <c r="AK100" s="138"/>
      <c r="AL100" s="138"/>
      <c r="AM100" s="138"/>
      <c r="AN100" s="138"/>
      <c r="AO100" s="86"/>
      <c r="AP100" s="138"/>
      <c r="AQ100" s="138"/>
      <c r="AR100" s="138"/>
      <c r="AS100" s="138"/>
      <c r="AT100" s="86"/>
      <c r="AU100" s="138"/>
      <c r="AV100" s="138"/>
      <c r="AW100" s="138"/>
      <c r="AX100" s="138"/>
      <c r="AY100" s="85"/>
    </row>
    <row r="101" spans="1:51">
      <c r="A101" s="137" t="s">
        <v>227</v>
      </c>
      <c r="B101" s="138"/>
      <c r="C101" s="138"/>
      <c r="D101" s="138"/>
      <c r="E101" s="138"/>
      <c r="F101" s="86"/>
      <c r="G101" s="138"/>
      <c r="H101" s="138"/>
      <c r="I101" s="138"/>
      <c r="J101" s="138"/>
      <c r="K101" s="86"/>
      <c r="L101" s="138"/>
      <c r="M101" s="138"/>
      <c r="N101" s="138"/>
      <c r="O101" s="138"/>
      <c r="P101" s="86"/>
      <c r="Q101" s="138"/>
      <c r="R101" s="138"/>
      <c r="S101" s="138"/>
      <c r="T101" s="138"/>
      <c r="U101" s="86"/>
      <c r="V101" s="138"/>
      <c r="W101" s="138"/>
      <c r="X101" s="138"/>
      <c r="Y101" s="138"/>
      <c r="Z101" s="86"/>
      <c r="AA101" s="138"/>
      <c r="AB101" s="138"/>
      <c r="AC101" s="138"/>
      <c r="AD101" s="138"/>
      <c r="AE101" s="86"/>
      <c r="AF101" s="138"/>
      <c r="AG101" s="138"/>
      <c r="AH101" s="138"/>
      <c r="AI101" s="138"/>
      <c r="AJ101" s="86"/>
      <c r="AK101" s="138"/>
      <c r="AL101" s="138"/>
      <c r="AM101" s="138"/>
      <c r="AN101" s="138"/>
      <c r="AO101" s="86"/>
      <c r="AP101" s="138"/>
      <c r="AQ101" s="138"/>
      <c r="AR101" s="138"/>
      <c r="AS101" s="138"/>
      <c r="AT101" s="86"/>
      <c r="AU101" s="138"/>
      <c r="AV101" s="138"/>
      <c r="AW101" s="138"/>
      <c r="AX101" s="138"/>
      <c r="AY101" s="85"/>
    </row>
    <row r="102" spans="1:51">
      <c r="A102" s="137" t="s">
        <v>229</v>
      </c>
      <c r="B102" s="138"/>
      <c r="C102" s="138"/>
      <c r="D102" s="138"/>
      <c r="E102" s="138"/>
      <c r="F102" s="86"/>
      <c r="G102" s="138"/>
      <c r="H102" s="138"/>
      <c r="I102" s="138"/>
      <c r="J102" s="138"/>
      <c r="K102" s="86"/>
      <c r="L102" s="138"/>
      <c r="M102" s="138"/>
      <c r="N102" s="138"/>
      <c r="O102" s="138"/>
      <c r="P102" s="86"/>
      <c r="Q102" s="138"/>
      <c r="R102" s="138"/>
      <c r="S102" s="138"/>
      <c r="T102" s="138"/>
      <c r="U102" s="86"/>
      <c r="V102" s="138"/>
      <c r="W102" s="138"/>
      <c r="X102" s="138"/>
      <c r="Y102" s="138"/>
      <c r="Z102" s="86"/>
      <c r="AA102" s="138"/>
      <c r="AB102" s="138"/>
      <c r="AC102" s="138"/>
      <c r="AD102" s="138"/>
      <c r="AE102" s="86"/>
      <c r="AF102" s="138"/>
      <c r="AG102" s="138"/>
      <c r="AH102" s="138"/>
      <c r="AI102" s="138"/>
      <c r="AJ102" s="86"/>
      <c r="AK102" s="138"/>
      <c r="AL102" s="138"/>
      <c r="AM102" s="138"/>
      <c r="AN102" s="138"/>
      <c r="AO102" s="86"/>
      <c r="AP102" s="138"/>
      <c r="AQ102" s="138"/>
      <c r="AR102" s="138"/>
      <c r="AS102" s="138"/>
      <c r="AT102" s="86"/>
      <c r="AU102" s="138"/>
      <c r="AV102" s="138"/>
      <c r="AW102" s="138"/>
      <c r="AX102" s="138"/>
      <c r="AY102" s="85"/>
    </row>
    <row r="103" spans="1:51">
      <c r="A103" s="137" t="s">
        <v>231</v>
      </c>
      <c r="B103" s="138"/>
      <c r="C103" s="138"/>
      <c r="D103" s="138"/>
      <c r="E103" s="138"/>
      <c r="F103" s="86"/>
      <c r="G103" s="138"/>
      <c r="H103" s="138"/>
      <c r="I103" s="138"/>
      <c r="J103" s="138"/>
      <c r="K103" s="86"/>
      <c r="L103" s="138"/>
      <c r="M103" s="138"/>
      <c r="N103" s="138"/>
      <c r="O103" s="138"/>
      <c r="P103" s="86"/>
      <c r="Q103" s="138"/>
      <c r="R103" s="138"/>
      <c r="S103" s="138"/>
      <c r="T103" s="138"/>
      <c r="U103" s="86"/>
      <c r="V103" s="138"/>
      <c r="W103" s="138"/>
      <c r="X103" s="138"/>
      <c r="Y103" s="138"/>
      <c r="Z103" s="86"/>
      <c r="AA103" s="138"/>
      <c r="AB103" s="138"/>
      <c r="AC103" s="138"/>
      <c r="AD103" s="138"/>
      <c r="AE103" s="86"/>
      <c r="AF103" s="138"/>
      <c r="AG103" s="138"/>
      <c r="AH103" s="138"/>
      <c r="AI103" s="138"/>
      <c r="AJ103" s="86"/>
      <c r="AK103" s="138"/>
      <c r="AL103" s="138"/>
      <c r="AM103" s="138"/>
      <c r="AN103" s="138"/>
      <c r="AO103" s="86"/>
      <c r="AP103" s="138"/>
      <c r="AQ103" s="138"/>
      <c r="AR103" s="138"/>
      <c r="AS103" s="138"/>
      <c r="AT103" s="86"/>
      <c r="AU103" s="138"/>
      <c r="AV103" s="138"/>
      <c r="AW103" s="138"/>
      <c r="AX103" s="138"/>
      <c r="AY103" s="85"/>
    </row>
    <row r="104" spans="1:51">
      <c r="A104" s="137" t="s">
        <v>233</v>
      </c>
      <c r="B104" s="138"/>
      <c r="C104" s="138"/>
      <c r="D104" s="138"/>
      <c r="E104" s="138"/>
      <c r="F104" s="86"/>
      <c r="G104" s="138"/>
      <c r="H104" s="138"/>
      <c r="I104" s="138"/>
      <c r="J104" s="138"/>
      <c r="K104" s="86"/>
      <c r="L104" s="138"/>
      <c r="M104" s="138"/>
      <c r="N104" s="138"/>
      <c r="O104" s="138"/>
      <c r="P104" s="86"/>
      <c r="Q104" s="138"/>
      <c r="R104" s="138"/>
      <c r="S104" s="138"/>
      <c r="T104" s="138"/>
      <c r="U104" s="86"/>
      <c r="V104" s="138"/>
      <c r="W104" s="138"/>
      <c r="X104" s="138"/>
      <c r="Y104" s="138"/>
      <c r="Z104" s="86"/>
      <c r="AA104" s="138"/>
      <c r="AB104" s="138"/>
      <c r="AC104" s="138"/>
      <c r="AD104" s="138"/>
      <c r="AE104" s="86"/>
      <c r="AF104" s="138"/>
      <c r="AG104" s="138"/>
      <c r="AH104" s="138"/>
      <c r="AI104" s="138"/>
      <c r="AJ104" s="86"/>
      <c r="AK104" s="138"/>
      <c r="AL104" s="138"/>
      <c r="AM104" s="138"/>
      <c r="AN104" s="138"/>
      <c r="AO104" s="86"/>
      <c r="AP104" s="138"/>
      <c r="AQ104" s="138"/>
      <c r="AR104" s="138"/>
      <c r="AS104" s="138"/>
      <c r="AT104" s="86"/>
      <c r="AU104" s="138"/>
      <c r="AV104" s="138"/>
      <c r="AW104" s="138"/>
      <c r="AX104" s="138"/>
      <c r="AY104" s="85"/>
    </row>
    <row r="105" spans="1:51">
      <c r="A105" s="137" t="s">
        <v>235</v>
      </c>
      <c r="B105" s="138"/>
      <c r="C105" s="138"/>
      <c r="D105" s="138"/>
      <c r="E105" s="138"/>
      <c r="F105" s="86"/>
      <c r="G105" s="138"/>
      <c r="H105" s="138"/>
      <c r="I105" s="138"/>
      <c r="J105" s="138"/>
      <c r="K105" s="86"/>
      <c r="L105" s="138"/>
      <c r="M105" s="138"/>
      <c r="N105" s="138"/>
      <c r="O105" s="138"/>
      <c r="P105" s="86"/>
      <c r="Q105" s="138"/>
      <c r="R105" s="138"/>
      <c r="S105" s="138"/>
      <c r="T105" s="138"/>
      <c r="U105" s="86"/>
      <c r="V105" s="138"/>
      <c r="W105" s="138"/>
      <c r="X105" s="138"/>
      <c r="Y105" s="138"/>
      <c r="Z105" s="86"/>
      <c r="AA105" s="138"/>
      <c r="AB105" s="138"/>
      <c r="AC105" s="138"/>
      <c r="AD105" s="138"/>
      <c r="AE105" s="86"/>
      <c r="AF105" s="138"/>
      <c r="AG105" s="138"/>
      <c r="AH105" s="138"/>
      <c r="AI105" s="138"/>
      <c r="AJ105" s="86"/>
      <c r="AK105" s="138"/>
      <c r="AL105" s="138"/>
      <c r="AM105" s="138"/>
      <c r="AN105" s="138"/>
      <c r="AO105" s="86"/>
      <c r="AP105" s="138"/>
      <c r="AQ105" s="138"/>
      <c r="AR105" s="138"/>
      <c r="AS105" s="138"/>
      <c r="AT105" s="86"/>
      <c r="AU105" s="138"/>
      <c r="AV105" s="138"/>
      <c r="AW105" s="138"/>
      <c r="AX105" s="138"/>
      <c r="AY105" s="85"/>
    </row>
    <row r="106" spans="1:51">
      <c r="A106" s="137" t="s">
        <v>237</v>
      </c>
      <c r="B106" s="138"/>
      <c r="C106" s="138"/>
      <c r="D106" s="138"/>
      <c r="E106" s="138"/>
      <c r="F106" s="86"/>
      <c r="G106" s="138"/>
      <c r="H106" s="138"/>
      <c r="I106" s="138"/>
      <c r="J106" s="138"/>
      <c r="K106" s="86"/>
      <c r="L106" s="138"/>
      <c r="M106" s="138"/>
      <c r="N106" s="138"/>
      <c r="O106" s="138"/>
      <c r="P106" s="86"/>
      <c r="Q106" s="138"/>
      <c r="R106" s="138"/>
      <c r="S106" s="138"/>
      <c r="T106" s="138"/>
      <c r="U106" s="86"/>
      <c r="V106" s="138"/>
      <c r="W106" s="138"/>
      <c r="X106" s="138"/>
      <c r="Y106" s="138"/>
      <c r="Z106" s="86"/>
      <c r="AA106" s="138"/>
      <c r="AB106" s="138"/>
      <c r="AC106" s="138"/>
      <c r="AD106" s="138"/>
      <c r="AE106" s="86"/>
      <c r="AF106" s="138"/>
      <c r="AG106" s="138"/>
      <c r="AH106" s="138"/>
      <c r="AI106" s="138"/>
      <c r="AJ106" s="86"/>
      <c r="AK106" s="138"/>
      <c r="AL106" s="138"/>
      <c r="AM106" s="138"/>
      <c r="AN106" s="138"/>
      <c r="AO106" s="86"/>
      <c r="AP106" s="138"/>
      <c r="AQ106" s="138"/>
      <c r="AR106" s="138"/>
      <c r="AS106" s="138"/>
      <c r="AT106" s="86"/>
      <c r="AU106" s="138"/>
      <c r="AV106" s="138"/>
      <c r="AW106" s="138"/>
      <c r="AX106" s="138"/>
      <c r="AY106" s="85"/>
    </row>
    <row r="107" spans="1:51">
      <c r="A107" s="137" t="s">
        <v>239</v>
      </c>
      <c r="B107" s="138"/>
      <c r="C107" s="138"/>
      <c r="D107" s="138"/>
      <c r="E107" s="138"/>
      <c r="F107" s="86"/>
      <c r="G107" s="138"/>
      <c r="H107" s="138"/>
      <c r="I107" s="138"/>
      <c r="J107" s="138"/>
      <c r="K107" s="86"/>
      <c r="L107" s="138"/>
      <c r="M107" s="138"/>
      <c r="N107" s="138"/>
      <c r="O107" s="138"/>
      <c r="P107" s="86"/>
      <c r="Q107" s="138"/>
      <c r="R107" s="138"/>
      <c r="S107" s="138"/>
      <c r="T107" s="138"/>
      <c r="U107" s="86"/>
      <c r="V107" s="138"/>
      <c r="W107" s="138"/>
      <c r="X107" s="138"/>
      <c r="Y107" s="138"/>
      <c r="Z107" s="86"/>
      <c r="AA107" s="138"/>
      <c r="AB107" s="138"/>
      <c r="AC107" s="138"/>
      <c r="AD107" s="138"/>
      <c r="AE107" s="86"/>
      <c r="AF107" s="138"/>
      <c r="AG107" s="138"/>
      <c r="AH107" s="138"/>
      <c r="AI107" s="138"/>
      <c r="AJ107" s="86"/>
      <c r="AK107" s="138"/>
      <c r="AL107" s="138"/>
      <c r="AM107" s="138"/>
      <c r="AN107" s="138"/>
      <c r="AO107" s="86"/>
      <c r="AP107" s="138"/>
      <c r="AQ107" s="138"/>
      <c r="AR107" s="138"/>
      <c r="AS107" s="138"/>
      <c r="AT107" s="86"/>
      <c r="AU107" s="138"/>
      <c r="AV107" s="138"/>
      <c r="AW107" s="138"/>
      <c r="AX107" s="138"/>
      <c r="AY107" s="85"/>
    </row>
    <row r="108" spans="1:51">
      <c r="A108" s="137" t="s">
        <v>241</v>
      </c>
      <c r="B108" s="138"/>
      <c r="C108" s="138"/>
      <c r="D108" s="138"/>
      <c r="E108" s="138"/>
      <c r="F108" s="86"/>
      <c r="G108" s="138"/>
      <c r="H108" s="138"/>
      <c r="I108" s="138"/>
      <c r="J108" s="138"/>
      <c r="K108" s="86"/>
      <c r="L108" s="138"/>
      <c r="M108" s="138"/>
      <c r="N108" s="138"/>
      <c r="O108" s="138"/>
      <c r="P108" s="86"/>
      <c r="Q108" s="138"/>
      <c r="R108" s="138"/>
      <c r="S108" s="138"/>
      <c r="T108" s="138"/>
      <c r="U108" s="86"/>
      <c r="V108" s="138"/>
      <c r="W108" s="138"/>
      <c r="X108" s="138"/>
      <c r="Y108" s="138"/>
      <c r="Z108" s="86"/>
      <c r="AA108" s="138"/>
      <c r="AB108" s="138"/>
      <c r="AC108" s="138"/>
      <c r="AD108" s="138"/>
      <c r="AE108" s="86"/>
      <c r="AF108" s="138"/>
      <c r="AG108" s="138"/>
      <c r="AH108" s="138"/>
      <c r="AI108" s="138"/>
      <c r="AJ108" s="86"/>
      <c r="AK108" s="138"/>
      <c r="AL108" s="138"/>
      <c r="AM108" s="138"/>
      <c r="AN108" s="138"/>
      <c r="AO108" s="86"/>
      <c r="AP108" s="138"/>
      <c r="AQ108" s="138"/>
      <c r="AR108" s="138"/>
      <c r="AS108" s="138"/>
      <c r="AT108" s="86"/>
      <c r="AU108" s="138"/>
      <c r="AV108" s="138"/>
      <c r="AW108" s="138"/>
      <c r="AX108" s="138"/>
      <c r="AY108" s="85"/>
    </row>
    <row r="109" spans="1:51">
      <c r="A109" s="137" t="s">
        <v>243</v>
      </c>
      <c r="B109" s="138"/>
      <c r="C109" s="138"/>
      <c r="D109" s="138"/>
      <c r="E109" s="138"/>
      <c r="F109" s="86"/>
      <c r="G109" s="138"/>
      <c r="H109" s="138"/>
      <c r="I109" s="138"/>
      <c r="J109" s="138"/>
      <c r="K109" s="86"/>
      <c r="L109" s="138"/>
      <c r="M109" s="138"/>
      <c r="N109" s="138"/>
      <c r="O109" s="138"/>
      <c r="P109" s="86"/>
      <c r="Q109" s="138"/>
      <c r="R109" s="138"/>
      <c r="S109" s="138"/>
      <c r="T109" s="138"/>
      <c r="U109" s="86"/>
      <c r="V109" s="138"/>
      <c r="W109" s="138"/>
      <c r="X109" s="138"/>
      <c r="Y109" s="138"/>
      <c r="Z109" s="86"/>
      <c r="AA109" s="138"/>
      <c r="AB109" s="138"/>
      <c r="AC109" s="138"/>
      <c r="AD109" s="138"/>
      <c r="AE109" s="86"/>
      <c r="AF109" s="138"/>
      <c r="AG109" s="138"/>
      <c r="AH109" s="138"/>
      <c r="AI109" s="138"/>
      <c r="AJ109" s="86"/>
      <c r="AK109" s="138"/>
      <c r="AL109" s="138"/>
      <c r="AM109" s="138"/>
      <c r="AN109" s="138"/>
      <c r="AO109" s="86"/>
      <c r="AP109" s="138"/>
      <c r="AQ109" s="138"/>
      <c r="AR109" s="138"/>
      <c r="AS109" s="138"/>
      <c r="AT109" s="86"/>
      <c r="AU109" s="138"/>
      <c r="AV109" s="138"/>
      <c r="AW109" s="138"/>
      <c r="AX109" s="138"/>
      <c r="AY109" s="85"/>
    </row>
    <row r="110" spans="1:51">
      <c r="A110" s="137" t="s">
        <v>245</v>
      </c>
      <c r="B110" s="138"/>
      <c r="C110" s="138"/>
      <c r="D110" s="138"/>
      <c r="E110" s="138"/>
      <c r="F110" s="86"/>
      <c r="G110" s="138"/>
      <c r="H110" s="138"/>
      <c r="I110" s="138"/>
      <c r="J110" s="138"/>
      <c r="K110" s="86"/>
      <c r="L110" s="138"/>
      <c r="M110" s="138"/>
      <c r="N110" s="138"/>
      <c r="O110" s="138"/>
      <c r="P110" s="86"/>
      <c r="Q110" s="138"/>
      <c r="R110" s="138"/>
      <c r="S110" s="138"/>
      <c r="T110" s="138"/>
      <c r="U110" s="86"/>
      <c r="V110" s="138"/>
      <c r="W110" s="138"/>
      <c r="X110" s="138"/>
      <c r="Y110" s="138"/>
      <c r="Z110" s="86"/>
      <c r="AA110" s="138"/>
      <c r="AB110" s="138"/>
      <c r="AC110" s="138"/>
      <c r="AD110" s="138"/>
      <c r="AE110" s="86"/>
      <c r="AF110" s="138"/>
      <c r="AG110" s="138"/>
      <c r="AH110" s="138"/>
      <c r="AI110" s="138"/>
      <c r="AJ110" s="86"/>
      <c r="AK110" s="138"/>
      <c r="AL110" s="138"/>
      <c r="AM110" s="138"/>
      <c r="AN110" s="138"/>
      <c r="AO110" s="86"/>
      <c r="AP110" s="138"/>
      <c r="AQ110" s="138"/>
      <c r="AR110" s="138"/>
      <c r="AS110" s="138"/>
      <c r="AT110" s="86"/>
      <c r="AU110" s="138"/>
      <c r="AV110" s="138"/>
      <c r="AW110" s="138"/>
      <c r="AX110" s="138"/>
      <c r="AY110" s="85"/>
    </row>
    <row r="111" spans="1:51">
      <c r="A111" s="137" t="s">
        <v>247</v>
      </c>
      <c r="B111" s="138"/>
      <c r="C111" s="138"/>
      <c r="D111" s="138"/>
      <c r="E111" s="138"/>
      <c r="F111" s="86"/>
      <c r="G111" s="138"/>
      <c r="H111" s="138"/>
      <c r="I111" s="138"/>
      <c r="J111" s="138"/>
      <c r="K111" s="86"/>
      <c r="L111" s="138"/>
      <c r="M111" s="138"/>
      <c r="N111" s="138"/>
      <c r="O111" s="138"/>
      <c r="P111" s="86"/>
      <c r="Q111" s="138"/>
      <c r="R111" s="138"/>
      <c r="S111" s="138"/>
      <c r="T111" s="138"/>
      <c r="U111" s="86"/>
      <c r="V111" s="138"/>
      <c r="W111" s="138"/>
      <c r="X111" s="138"/>
      <c r="Y111" s="138"/>
      <c r="Z111" s="86"/>
      <c r="AA111" s="138"/>
      <c r="AB111" s="138"/>
      <c r="AC111" s="138"/>
      <c r="AD111" s="138"/>
      <c r="AE111" s="86"/>
      <c r="AF111" s="138"/>
      <c r="AG111" s="138"/>
      <c r="AH111" s="138"/>
      <c r="AI111" s="138"/>
      <c r="AJ111" s="86"/>
      <c r="AK111" s="138"/>
      <c r="AL111" s="138"/>
      <c r="AM111" s="138"/>
      <c r="AN111" s="138"/>
      <c r="AO111" s="86"/>
      <c r="AP111" s="138"/>
      <c r="AQ111" s="138"/>
      <c r="AR111" s="138"/>
      <c r="AS111" s="138"/>
      <c r="AT111" s="86"/>
      <c r="AU111" s="138"/>
      <c r="AV111" s="138"/>
      <c r="AW111" s="138"/>
      <c r="AX111" s="138"/>
      <c r="AY111" s="85"/>
    </row>
    <row r="112" spans="1:51">
      <c r="A112" s="137" t="s">
        <v>249</v>
      </c>
      <c r="B112" s="138"/>
      <c r="C112" s="138"/>
      <c r="D112" s="138"/>
      <c r="E112" s="138"/>
      <c r="F112" s="86"/>
      <c r="G112" s="138"/>
      <c r="H112" s="138"/>
      <c r="I112" s="138"/>
      <c r="J112" s="138"/>
      <c r="K112" s="86"/>
      <c r="L112" s="138"/>
      <c r="M112" s="138"/>
      <c r="N112" s="138"/>
      <c r="O112" s="138"/>
      <c r="P112" s="86"/>
      <c r="Q112" s="138"/>
      <c r="R112" s="138"/>
      <c r="S112" s="138"/>
      <c r="T112" s="138"/>
      <c r="U112" s="86"/>
      <c r="V112" s="138"/>
      <c r="W112" s="138"/>
      <c r="X112" s="138"/>
      <c r="Y112" s="138"/>
      <c r="Z112" s="86"/>
      <c r="AA112" s="138"/>
      <c r="AB112" s="138"/>
      <c r="AC112" s="138"/>
      <c r="AD112" s="138"/>
      <c r="AE112" s="86"/>
      <c r="AF112" s="138"/>
      <c r="AG112" s="138"/>
      <c r="AH112" s="138"/>
      <c r="AI112" s="138"/>
      <c r="AJ112" s="86"/>
      <c r="AK112" s="138"/>
      <c r="AL112" s="138"/>
      <c r="AM112" s="138"/>
      <c r="AN112" s="138"/>
      <c r="AO112" s="86"/>
      <c r="AP112" s="138"/>
      <c r="AQ112" s="138"/>
      <c r="AR112" s="138"/>
      <c r="AS112" s="138"/>
      <c r="AT112" s="86"/>
      <c r="AU112" s="138"/>
      <c r="AV112" s="138"/>
      <c r="AW112" s="138"/>
      <c r="AX112" s="138"/>
      <c r="AY112" s="85"/>
    </row>
    <row r="113" spans="1:51">
      <c r="A113" s="137" t="s">
        <v>251</v>
      </c>
      <c r="B113" s="138"/>
      <c r="C113" s="138"/>
      <c r="D113" s="138"/>
      <c r="E113" s="138"/>
      <c r="F113" s="86"/>
      <c r="G113" s="138"/>
      <c r="H113" s="138"/>
      <c r="I113" s="138"/>
      <c r="J113" s="138"/>
      <c r="K113" s="86"/>
      <c r="L113" s="138"/>
      <c r="M113" s="138"/>
      <c r="N113" s="138"/>
      <c r="O113" s="138"/>
      <c r="P113" s="86"/>
      <c r="Q113" s="138"/>
      <c r="R113" s="138"/>
      <c r="S113" s="138"/>
      <c r="T113" s="138"/>
      <c r="U113" s="86"/>
      <c r="V113" s="138"/>
      <c r="W113" s="138"/>
      <c r="X113" s="138"/>
      <c r="Y113" s="138"/>
      <c r="Z113" s="86"/>
      <c r="AA113" s="138"/>
      <c r="AB113" s="138"/>
      <c r="AC113" s="138"/>
      <c r="AD113" s="138"/>
      <c r="AE113" s="86"/>
      <c r="AF113" s="138"/>
      <c r="AG113" s="138"/>
      <c r="AH113" s="138"/>
      <c r="AI113" s="138"/>
      <c r="AJ113" s="86"/>
      <c r="AK113" s="138"/>
      <c r="AL113" s="138"/>
      <c r="AM113" s="138"/>
      <c r="AN113" s="138"/>
      <c r="AO113" s="86"/>
      <c r="AP113" s="138"/>
      <c r="AQ113" s="138"/>
      <c r="AR113" s="138"/>
      <c r="AS113" s="138"/>
      <c r="AT113" s="86"/>
      <c r="AU113" s="138"/>
      <c r="AV113" s="138"/>
      <c r="AW113" s="138"/>
      <c r="AX113" s="138"/>
      <c r="AY113" s="85"/>
    </row>
    <row r="114" spans="1:51">
      <c r="A114" s="137" t="s">
        <v>253</v>
      </c>
      <c r="B114" s="138"/>
      <c r="C114" s="138"/>
      <c r="D114" s="138"/>
      <c r="E114" s="138"/>
      <c r="F114" s="86"/>
      <c r="G114" s="138"/>
      <c r="H114" s="138"/>
      <c r="I114" s="138"/>
      <c r="J114" s="138"/>
      <c r="K114" s="86"/>
      <c r="L114" s="138"/>
      <c r="M114" s="138"/>
      <c r="N114" s="138"/>
      <c r="O114" s="138"/>
      <c r="P114" s="86"/>
      <c r="Q114" s="138"/>
      <c r="R114" s="138"/>
      <c r="S114" s="138"/>
      <c r="T114" s="138"/>
      <c r="U114" s="86"/>
      <c r="V114" s="138"/>
      <c r="W114" s="138"/>
      <c r="X114" s="138"/>
      <c r="Y114" s="138"/>
      <c r="Z114" s="86"/>
      <c r="AA114" s="138"/>
      <c r="AB114" s="138"/>
      <c r="AC114" s="138"/>
      <c r="AD114" s="138"/>
      <c r="AE114" s="86"/>
      <c r="AF114" s="138"/>
      <c r="AG114" s="138"/>
      <c r="AH114" s="138"/>
      <c r="AI114" s="138"/>
      <c r="AJ114" s="86"/>
      <c r="AK114" s="138"/>
      <c r="AL114" s="138"/>
      <c r="AM114" s="138"/>
      <c r="AN114" s="138"/>
      <c r="AO114" s="86"/>
      <c r="AP114" s="138"/>
      <c r="AQ114" s="138"/>
      <c r="AR114" s="138"/>
      <c r="AS114" s="138"/>
      <c r="AT114" s="86"/>
      <c r="AU114" s="138"/>
      <c r="AV114" s="138"/>
      <c r="AW114" s="138"/>
      <c r="AX114" s="138"/>
      <c r="AY114" s="85"/>
    </row>
    <row r="115" spans="1:51">
      <c r="A115" s="137" t="s">
        <v>255</v>
      </c>
      <c r="B115" s="138"/>
      <c r="C115" s="138"/>
      <c r="D115" s="138"/>
      <c r="E115" s="138"/>
      <c r="F115" s="86"/>
      <c r="G115" s="138"/>
      <c r="H115" s="138"/>
      <c r="I115" s="138"/>
      <c r="J115" s="138"/>
      <c r="K115" s="86"/>
      <c r="L115" s="138"/>
      <c r="M115" s="138"/>
      <c r="N115" s="138"/>
      <c r="O115" s="138"/>
      <c r="P115" s="86"/>
      <c r="Q115" s="138"/>
      <c r="R115" s="138"/>
      <c r="S115" s="138"/>
      <c r="T115" s="138"/>
      <c r="U115" s="86"/>
      <c r="V115" s="138"/>
      <c r="W115" s="138"/>
      <c r="X115" s="138"/>
      <c r="Y115" s="138"/>
      <c r="Z115" s="86"/>
      <c r="AA115" s="138"/>
      <c r="AB115" s="138"/>
      <c r="AC115" s="138"/>
      <c r="AD115" s="138"/>
      <c r="AE115" s="86"/>
      <c r="AF115" s="138"/>
      <c r="AG115" s="138"/>
      <c r="AH115" s="138"/>
      <c r="AI115" s="138"/>
      <c r="AJ115" s="86"/>
      <c r="AK115" s="138"/>
      <c r="AL115" s="138"/>
      <c r="AM115" s="138"/>
      <c r="AN115" s="138"/>
      <c r="AO115" s="86"/>
      <c r="AP115" s="138"/>
      <c r="AQ115" s="138"/>
      <c r="AR115" s="138"/>
      <c r="AS115" s="138"/>
      <c r="AT115" s="86"/>
      <c r="AU115" s="138"/>
      <c r="AV115" s="138"/>
      <c r="AW115" s="138"/>
      <c r="AX115" s="138"/>
      <c r="AY115" s="85"/>
    </row>
    <row r="116" spans="1:51">
      <c r="A116" s="137" t="s">
        <v>257</v>
      </c>
      <c r="B116" s="138"/>
      <c r="C116" s="138"/>
      <c r="D116" s="138"/>
      <c r="E116" s="138"/>
      <c r="F116" s="86"/>
      <c r="G116" s="138"/>
      <c r="H116" s="138"/>
      <c r="I116" s="138"/>
      <c r="J116" s="138"/>
      <c r="K116" s="86"/>
      <c r="L116" s="138"/>
      <c r="M116" s="138"/>
      <c r="N116" s="138"/>
      <c r="O116" s="138"/>
      <c r="P116" s="86"/>
      <c r="Q116" s="138"/>
      <c r="R116" s="138"/>
      <c r="S116" s="138"/>
      <c r="T116" s="138"/>
      <c r="U116" s="86"/>
      <c r="V116" s="138"/>
      <c r="W116" s="138"/>
      <c r="X116" s="138"/>
      <c r="Y116" s="138"/>
      <c r="Z116" s="86"/>
      <c r="AA116" s="138"/>
      <c r="AB116" s="138"/>
      <c r="AC116" s="138"/>
      <c r="AD116" s="138"/>
      <c r="AE116" s="86"/>
      <c r="AF116" s="138"/>
      <c r="AG116" s="138"/>
      <c r="AH116" s="138"/>
      <c r="AI116" s="138"/>
      <c r="AJ116" s="86"/>
      <c r="AK116" s="138"/>
      <c r="AL116" s="138"/>
      <c r="AM116" s="138"/>
      <c r="AN116" s="138"/>
      <c r="AO116" s="86"/>
      <c r="AP116" s="138"/>
      <c r="AQ116" s="138"/>
      <c r="AR116" s="138"/>
      <c r="AS116" s="138"/>
      <c r="AT116" s="86"/>
      <c r="AU116" s="138"/>
      <c r="AV116" s="138"/>
      <c r="AW116" s="138"/>
      <c r="AX116" s="138"/>
      <c r="AY116" s="85"/>
    </row>
    <row r="117" spans="1:51">
      <c r="A117" s="137" t="s">
        <v>259</v>
      </c>
      <c r="B117" s="138"/>
      <c r="C117" s="138"/>
      <c r="D117" s="138"/>
      <c r="E117" s="138"/>
      <c r="F117" s="86"/>
      <c r="G117" s="138"/>
      <c r="H117" s="138"/>
      <c r="I117" s="138"/>
      <c r="J117" s="138"/>
      <c r="K117" s="86"/>
      <c r="L117" s="138"/>
      <c r="M117" s="138"/>
      <c r="N117" s="138"/>
      <c r="O117" s="138"/>
      <c r="P117" s="86"/>
      <c r="Q117" s="138"/>
      <c r="R117" s="138"/>
      <c r="S117" s="138"/>
      <c r="T117" s="138"/>
      <c r="U117" s="86"/>
      <c r="V117" s="138"/>
      <c r="W117" s="138"/>
      <c r="X117" s="138"/>
      <c r="Y117" s="138"/>
      <c r="Z117" s="86"/>
      <c r="AA117" s="138"/>
      <c r="AB117" s="138"/>
      <c r="AC117" s="138"/>
      <c r="AD117" s="138"/>
      <c r="AE117" s="86"/>
      <c r="AF117" s="138"/>
      <c r="AG117" s="138"/>
      <c r="AH117" s="138"/>
      <c r="AI117" s="138"/>
      <c r="AJ117" s="86"/>
      <c r="AK117" s="138"/>
      <c r="AL117" s="138"/>
      <c r="AM117" s="138"/>
      <c r="AN117" s="138"/>
      <c r="AO117" s="86"/>
      <c r="AP117" s="138"/>
      <c r="AQ117" s="138"/>
      <c r="AR117" s="138"/>
      <c r="AS117" s="138"/>
      <c r="AT117" s="86"/>
      <c r="AU117" s="138"/>
      <c r="AV117" s="138"/>
      <c r="AW117" s="138"/>
      <c r="AX117" s="138"/>
      <c r="AY117" s="85"/>
    </row>
    <row r="118" spans="1:51">
      <c r="A118" s="137" t="s">
        <v>261</v>
      </c>
      <c r="B118" s="138"/>
      <c r="C118" s="138"/>
      <c r="D118" s="138"/>
      <c r="E118" s="138"/>
      <c r="F118" s="86"/>
      <c r="G118" s="138"/>
      <c r="H118" s="138"/>
      <c r="I118" s="138"/>
      <c r="J118" s="138"/>
      <c r="K118" s="86"/>
      <c r="L118" s="138"/>
      <c r="M118" s="138"/>
      <c r="N118" s="138"/>
      <c r="O118" s="138"/>
      <c r="P118" s="86"/>
      <c r="Q118" s="138"/>
      <c r="R118" s="138"/>
      <c r="S118" s="138"/>
      <c r="T118" s="138"/>
      <c r="U118" s="86"/>
      <c r="V118" s="138"/>
      <c r="W118" s="138"/>
      <c r="X118" s="138"/>
      <c r="Y118" s="138"/>
      <c r="Z118" s="86"/>
      <c r="AA118" s="138"/>
      <c r="AB118" s="138"/>
      <c r="AC118" s="138"/>
      <c r="AD118" s="138"/>
      <c r="AE118" s="86"/>
      <c r="AF118" s="138"/>
      <c r="AG118" s="138"/>
      <c r="AH118" s="138"/>
      <c r="AI118" s="138"/>
      <c r="AJ118" s="86"/>
      <c r="AK118" s="138"/>
      <c r="AL118" s="138"/>
      <c r="AM118" s="138"/>
      <c r="AN118" s="138"/>
      <c r="AO118" s="86"/>
      <c r="AP118" s="138"/>
      <c r="AQ118" s="138"/>
      <c r="AR118" s="138"/>
      <c r="AS118" s="138"/>
      <c r="AT118" s="86"/>
      <c r="AU118" s="138"/>
      <c r="AV118" s="138"/>
      <c r="AW118" s="138"/>
      <c r="AX118" s="138"/>
      <c r="AY118" s="85"/>
    </row>
    <row r="119" spans="1:51">
      <c r="A119" s="137" t="s">
        <v>263</v>
      </c>
      <c r="B119" s="138"/>
      <c r="C119" s="138"/>
      <c r="D119" s="138"/>
      <c r="E119" s="138"/>
      <c r="F119" s="86"/>
      <c r="G119" s="138"/>
      <c r="H119" s="138"/>
      <c r="I119" s="138"/>
      <c r="J119" s="138"/>
      <c r="K119" s="86"/>
      <c r="L119" s="138"/>
      <c r="M119" s="138"/>
      <c r="N119" s="138"/>
      <c r="O119" s="138"/>
      <c r="P119" s="86"/>
      <c r="Q119" s="138"/>
      <c r="R119" s="138"/>
      <c r="S119" s="138"/>
      <c r="T119" s="138"/>
      <c r="U119" s="86"/>
      <c r="V119" s="138"/>
      <c r="W119" s="138"/>
      <c r="X119" s="138"/>
      <c r="Y119" s="138"/>
      <c r="Z119" s="86"/>
      <c r="AA119" s="138"/>
      <c r="AB119" s="138"/>
      <c r="AC119" s="138"/>
      <c r="AD119" s="138"/>
      <c r="AE119" s="86"/>
      <c r="AF119" s="138"/>
      <c r="AG119" s="138"/>
      <c r="AH119" s="138"/>
      <c r="AI119" s="138"/>
      <c r="AJ119" s="86"/>
      <c r="AK119" s="138"/>
      <c r="AL119" s="138"/>
      <c r="AM119" s="138"/>
      <c r="AN119" s="138"/>
      <c r="AO119" s="86"/>
      <c r="AP119" s="138"/>
      <c r="AQ119" s="138"/>
      <c r="AR119" s="138"/>
      <c r="AS119" s="138"/>
      <c r="AT119" s="86"/>
      <c r="AU119" s="138"/>
      <c r="AV119" s="138"/>
      <c r="AW119" s="138"/>
      <c r="AX119" s="138"/>
      <c r="AY119" s="85"/>
    </row>
    <row r="120" spans="1:51">
      <c r="A120" s="137" t="s">
        <v>265</v>
      </c>
      <c r="B120" s="138"/>
      <c r="C120" s="138"/>
      <c r="D120" s="138"/>
      <c r="E120" s="138"/>
      <c r="F120" s="86"/>
      <c r="G120" s="138"/>
      <c r="H120" s="138"/>
      <c r="I120" s="138"/>
      <c r="J120" s="138"/>
      <c r="K120" s="86"/>
      <c r="L120" s="138"/>
      <c r="M120" s="138"/>
      <c r="N120" s="138"/>
      <c r="O120" s="138"/>
      <c r="P120" s="86"/>
      <c r="Q120" s="138"/>
      <c r="R120" s="138"/>
      <c r="S120" s="138"/>
      <c r="T120" s="138"/>
      <c r="U120" s="86"/>
      <c r="V120" s="138"/>
      <c r="W120" s="138"/>
      <c r="X120" s="138"/>
      <c r="Y120" s="138"/>
      <c r="Z120" s="86"/>
      <c r="AA120" s="138"/>
      <c r="AB120" s="138"/>
      <c r="AC120" s="138"/>
      <c r="AD120" s="138"/>
      <c r="AE120" s="86"/>
      <c r="AF120" s="138"/>
      <c r="AG120" s="138"/>
      <c r="AH120" s="138"/>
      <c r="AI120" s="138"/>
      <c r="AJ120" s="86"/>
      <c r="AK120" s="138"/>
      <c r="AL120" s="138"/>
      <c r="AM120" s="138"/>
      <c r="AN120" s="138"/>
      <c r="AO120" s="86"/>
      <c r="AP120" s="138"/>
      <c r="AQ120" s="138"/>
      <c r="AR120" s="138"/>
      <c r="AS120" s="138"/>
      <c r="AT120" s="86"/>
      <c r="AU120" s="138"/>
      <c r="AV120" s="138"/>
      <c r="AW120" s="138"/>
      <c r="AX120" s="138"/>
      <c r="AY120" s="85"/>
    </row>
    <row r="121" spans="1:51">
      <c r="A121" s="137" t="s">
        <v>267</v>
      </c>
      <c r="B121" s="138"/>
      <c r="C121" s="138"/>
      <c r="D121" s="138"/>
      <c r="E121" s="138"/>
      <c r="F121" s="86"/>
      <c r="G121" s="138"/>
      <c r="H121" s="138"/>
      <c r="I121" s="138"/>
      <c r="J121" s="138"/>
      <c r="K121" s="86"/>
      <c r="L121" s="138"/>
      <c r="M121" s="138"/>
      <c r="N121" s="138"/>
      <c r="O121" s="138"/>
      <c r="P121" s="86"/>
      <c r="Q121" s="138"/>
      <c r="R121" s="138"/>
      <c r="S121" s="138"/>
      <c r="T121" s="138"/>
      <c r="U121" s="86"/>
      <c r="V121" s="138"/>
      <c r="W121" s="138"/>
      <c r="X121" s="138"/>
      <c r="Y121" s="138"/>
      <c r="Z121" s="86"/>
      <c r="AA121" s="138"/>
      <c r="AB121" s="138"/>
      <c r="AC121" s="138"/>
      <c r="AD121" s="138"/>
      <c r="AE121" s="86"/>
      <c r="AF121" s="138"/>
      <c r="AG121" s="138"/>
      <c r="AH121" s="138"/>
      <c r="AI121" s="138"/>
      <c r="AJ121" s="86"/>
      <c r="AK121" s="138"/>
      <c r="AL121" s="138"/>
      <c r="AM121" s="138"/>
      <c r="AN121" s="138"/>
      <c r="AO121" s="86"/>
      <c r="AP121" s="138"/>
      <c r="AQ121" s="138"/>
      <c r="AR121" s="138"/>
      <c r="AS121" s="138"/>
      <c r="AT121" s="86"/>
      <c r="AU121" s="138"/>
      <c r="AV121" s="138"/>
      <c r="AW121" s="138"/>
      <c r="AX121" s="138"/>
      <c r="AY121" s="85"/>
    </row>
    <row r="122" spans="1:51">
      <c r="A122" s="137" t="s">
        <v>269</v>
      </c>
      <c r="B122" s="138"/>
      <c r="C122" s="138"/>
      <c r="D122" s="138"/>
      <c r="E122" s="138"/>
      <c r="F122" s="86"/>
      <c r="G122" s="138"/>
      <c r="H122" s="138"/>
      <c r="I122" s="138"/>
      <c r="J122" s="138"/>
      <c r="K122" s="86"/>
      <c r="L122" s="138"/>
      <c r="M122" s="138"/>
      <c r="N122" s="138"/>
      <c r="O122" s="138"/>
      <c r="P122" s="86"/>
      <c r="Q122" s="138"/>
      <c r="R122" s="138"/>
      <c r="S122" s="138"/>
      <c r="T122" s="138"/>
      <c r="U122" s="86"/>
      <c r="V122" s="138"/>
      <c r="W122" s="138"/>
      <c r="X122" s="138"/>
      <c r="Y122" s="138"/>
      <c r="Z122" s="86"/>
      <c r="AA122" s="138"/>
      <c r="AB122" s="138"/>
      <c r="AC122" s="138"/>
      <c r="AD122" s="138"/>
      <c r="AE122" s="86"/>
      <c r="AF122" s="138"/>
      <c r="AG122" s="138"/>
      <c r="AH122" s="138"/>
      <c r="AI122" s="138"/>
      <c r="AJ122" s="86"/>
      <c r="AK122" s="138"/>
      <c r="AL122" s="138"/>
      <c r="AM122" s="138"/>
      <c r="AN122" s="138"/>
      <c r="AO122" s="86"/>
      <c r="AP122" s="138"/>
      <c r="AQ122" s="138"/>
      <c r="AR122" s="138"/>
      <c r="AS122" s="138"/>
      <c r="AT122" s="86"/>
      <c r="AU122" s="138"/>
      <c r="AV122" s="138"/>
      <c r="AW122" s="138"/>
      <c r="AX122" s="138"/>
      <c r="AY122" s="85"/>
    </row>
    <row r="123" spans="1:51">
      <c r="A123" s="137" t="s">
        <v>271</v>
      </c>
      <c r="B123" s="138"/>
      <c r="C123" s="138"/>
      <c r="D123" s="138"/>
      <c r="E123" s="138"/>
      <c r="F123" s="86"/>
      <c r="G123" s="138"/>
      <c r="H123" s="138"/>
      <c r="I123" s="138"/>
      <c r="J123" s="138"/>
      <c r="K123" s="86"/>
      <c r="L123" s="138"/>
      <c r="M123" s="138"/>
      <c r="N123" s="138"/>
      <c r="O123" s="138"/>
      <c r="P123" s="86"/>
      <c r="Q123" s="138"/>
      <c r="R123" s="138"/>
      <c r="S123" s="138"/>
      <c r="T123" s="138"/>
      <c r="U123" s="86"/>
      <c r="V123" s="138"/>
      <c r="W123" s="138"/>
      <c r="X123" s="138"/>
      <c r="Y123" s="138"/>
      <c r="Z123" s="86"/>
      <c r="AA123" s="138"/>
      <c r="AB123" s="138"/>
      <c r="AC123" s="138"/>
      <c r="AD123" s="138"/>
      <c r="AE123" s="86"/>
      <c r="AF123" s="138"/>
      <c r="AG123" s="138"/>
      <c r="AH123" s="138"/>
      <c r="AI123" s="138"/>
      <c r="AJ123" s="86"/>
      <c r="AK123" s="138"/>
      <c r="AL123" s="138"/>
      <c r="AM123" s="138"/>
      <c r="AN123" s="138"/>
      <c r="AO123" s="86"/>
      <c r="AP123" s="138"/>
      <c r="AQ123" s="138"/>
      <c r="AR123" s="138"/>
      <c r="AS123" s="138"/>
      <c r="AT123" s="86"/>
      <c r="AU123" s="138"/>
      <c r="AV123" s="138"/>
      <c r="AW123" s="138"/>
      <c r="AX123" s="138"/>
      <c r="AY123" s="85"/>
    </row>
    <row r="124" spans="1:51">
      <c r="A124" s="137" t="s">
        <v>273</v>
      </c>
      <c r="B124" s="138"/>
      <c r="C124" s="138"/>
      <c r="D124" s="138"/>
      <c r="E124" s="138"/>
      <c r="F124" s="86"/>
      <c r="G124" s="138"/>
      <c r="H124" s="138"/>
      <c r="I124" s="138"/>
      <c r="J124" s="138"/>
      <c r="K124" s="86"/>
      <c r="L124" s="138"/>
      <c r="M124" s="138"/>
      <c r="N124" s="138"/>
      <c r="O124" s="138"/>
      <c r="P124" s="86"/>
      <c r="Q124" s="138"/>
      <c r="R124" s="138"/>
      <c r="S124" s="138"/>
      <c r="T124" s="138"/>
      <c r="U124" s="86"/>
      <c r="V124" s="138"/>
      <c r="W124" s="138"/>
      <c r="X124" s="138"/>
      <c r="Y124" s="138"/>
      <c r="Z124" s="86"/>
      <c r="AA124" s="138"/>
      <c r="AB124" s="138"/>
      <c r="AC124" s="138"/>
      <c r="AD124" s="138"/>
      <c r="AE124" s="86"/>
      <c r="AF124" s="138"/>
      <c r="AG124" s="138"/>
      <c r="AH124" s="138"/>
      <c r="AI124" s="138"/>
      <c r="AJ124" s="86"/>
      <c r="AK124" s="138"/>
      <c r="AL124" s="138"/>
      <c r="AM124" s="138"/>
      <c r="AN124" s="138"/>
      <c r="AO124" s="86"/>
      <c r="AP124" s="138"/>
      <c r="AQ124" s="138"/>
      <c r="AR124" s="138"/>
      <c r="AS124" s="138"/>
      <c r="AT124" s="86"/>
      <c r="AU124" s="138"/>
      <c r="AV124" s="138"/>
      <c r="AW124" s="138"/>
      <c r="AX124" s="138"/>
      <c r="AY124" s="85"/>
    </row>
    <row r="125" spans="1:51">
      <c r="A125" s="137" t="s">
        <v>275</v>
      </c>
      <c r="B125" s="138"/>
      <c r="C125" s="138"/>
      <c r="D125" s="138"/>
      <c r="E125" s="138"/>
      <c r="F125" s="86"/>
      <c r="G125" s="138"/>
      <c r="H125" s="138"/>
      <c r="I125" s="138"/>
      <c r="J125" s="138"/>
      <c r="K125" s="86"/>
      <c r="L125" s="138"/>
      <c r="M125" s="138"/>
      <c r="N125" s="138"/>
      <c r="O125" s="138"/>
      <c r="P125" s="86"/>
      <c r="Q125" s="138"/>
      <c r="R125" s="138"/>
      <c r="S125" s="138"/>
      <c r="T125" s="138"/>
      <c r="U125" s="86"/>
      <c r="V125" s="138"/>
      <c r="W125" s="138"/>
      <c r="X125" s="138"/>
      <c r="Y125" s="138"/>
      <c r="Z125" s="86"/>
      <c r="AA125" s="138"/>
      <c r="AB125" s="138"/>
      <c r="AC125" s="138"/>
      <c r="AD125" s="138"/>
      <c r="AE125" s="86"/>
      <c r="AF125" s="138"/>
      <c r="AG125" s="138"/>
      <c r="AH125" s="138"/>
      <c r="AI125" s="138"/>
      <c r="AJ125" s="86"/>
      <c r="AK125" s="138"/>
      <c r="AL125" s="138"/>
      <c r="AM125" s="138"/>
      <c r="AN125" s="138"/>
      <c r="AO125" s="86"/>
      <c r="AP125" s="138"/>
      <c r="AQ125" s="138"/>
      <c r="AR125" s="138"/>
      <c r="AS125" s="138"/>
      <c r="AT125" s="86"/>
      <c r="AU125" s="138"/>
      <c r="AV125" s="138"/>
      <c r="AW125" s="138"/>
      <c r="AX125" s="138"/>
      <c r="AY125" s="85"/>
    </row>
    <row r="126" spans="1:51">
      <c r="A126" s="137" t="s">
        <v>277</v>
      </c>
      <c r="B126" s="138"/>
      <c r="C126" s="138"/>
      <c r="D126" s="138"/>
      <c r="E126" s="138"/>
      <c r="F126" s="86"/>
      <c r="G126" s="138"/>
      <c r="H126" s="138"/>
      <c r="I126" s="138"/>
      <c r="J126" s="138"/>
      <c r="K126" s="86"/>
      <c r="L126" s="138"/>
      <c r="M126" s="138"/>
      <c r="N126" s="138"/>
      <c r="O126" s="138"/>
      <c r="P126" s="86"/>
      <c r="Q126" s="138"/>
      <c r="R126" s="138"/>
      <c r="S126" s="138"/>
      <c r="T126" s="138"/>
      <c r="U126" s="86"/>
      <c r="V126" s="138"/>
      <c r="W126" s="138"/>
      <c r="X126" s="138"/>
      <c r="Y126" s="138"/>
      <c r="Z126" s="86"/>
      <c r="AA126" s="138"/>
      <c r="AB126" s="138"/>
      <c r="AC126" s="138"/>
      <c r="AD126" s="138"/>
      <c r="AE126" s="86"/>
      <c r="AF126" s="138"/>
      <c r="AG126" s="138"/>
      <c r="AH126" s="138"/>
      <c r="AI126" s="138"/>
      <c r="AJ126" s="86"/>
      <c r="AK126" s="138"/>
      <c r="AL126" s="138"/>
      <c r="AM126" s="138"/>
      <c r="AN126" s="138"/>
      <c r="AO126" s="86"/>
      <c r="AP126" s="138"/>
      <c r="AQ126" s="138"/>
      <c r="AR126" s="138"/>
      <c r="AS126" s="138"/>
      <c r="AT126" s="86"/>
      <c r="AU126" s="138"/>
      <c r="AV126" s="138"/>
      <c r="AW126" s="138"/>
      <c r="AX126" s="138"/>
      <c r="AY126" s="85"/>
    </row>
    <row r="127" spans="1:51">
      <c r="A127" s="137" t="s">
        <v>279</v>
      </c>
      <c r="B127" s="138"/>
      <c r="C127" s="138"/>
      <c r="D127" s="138"/>
      <c r="E127" s="138"/>
      <c r="F127" s="86"/>
      <c r="G127" s="138"/>
      <c r="H127" s="138"/>
      <c r="I127" s="138"/>
      <c r="J127" s="138"/>
      <c r="K127" s="86"/>
      <c r="L127" s="138"/>
      <c r="M127" s="138"/>
      <c r="N127" s="138"/>
      <c r="O127" s="138"/>
      <c r="P127" s="86"/>
      <c r="Q127" s="138"/>
      <c r="R127" s="138"/>
      <c r="S127" s="138"/>
      <c r="T127" s="138"/>
      <c r="U127" s="86"/>
      <c r="V127" s="138"/>
      <c r="W127" s="138"/>
      <c r="X127" s="138"/>
      <c r="Y127" s="138"/>
      <c r="Z127" s="86"/>
      <c r="AA127" s="138"/>
      <c r="AB127" s="138"/>
      <c r="AC127" s="138"/>
      <c r="AD127" s="138"/>
      <c r="AE127" s="86"/>
      <c r="AF127" s="138"/>
      <c r="AG127" s="138"/>
      <c r="AH127" s="138"/>
      <c r="AI127" s="138"/>
      <c r="AJ127" s="86"/>
      <c r="AK127" s="138"/>
      <c r="AL127" s="138"/>
      <c r="AM127" s="138"/>
      <c r="AN127" s="138"/>
      <c r="AO127" s="86"/>
      <c r="AP127" s="138"/>
      <c r="AQ127" s="138"/>
      <c r="AR127" s="138"/>
      <c r="AS127" s="138"/>
      <c r="AT127" s="86"/>
      <c r="AU127" s="138"/>
      <c r="AV127" s="138"/>
      <c r="AW127" s="138"/>
      <c r="AX127" s="138"/>
      <c r="AY127" s="85"/>
    </row>
    <row r="128" spans="1:51">
      <c r="A128" s="137" t="s">
        <v>281</v>
      </c>
      <c r="B128" s="138"/>
      <c r="C128" s="138"/>
      <c r="D128" s="138"/>
      <c r="E128" s="138"/>
      <c r="F128" s="86"/>
      <c r="G128" s="138"/>
      <c r="H128" s="138"/>
      <c r="I128" s="138"/>
      <c r="J128" s="138"/>
      <c r="K128" s="86"/>
      <c r="L128" s="138"/>
      <c r="M128" s="138"/>
      <c r="N128" s="138"/>
      <c r="O128" s="138"/>
      <c r="P128" s="86"/>
      <c r="Q128" s="138"/>
      <c r="R128" s="138"/>
      <c r="S128" s="138"/>
      <c r="T128" s="138"/>
      <c r="U128" s="86"/>
      <c r="V128" s="138"/>
      <c r="W128" s="138"/>
      <c r="X128" s="138"/>
      <c r="Y128" s="138"/>
      <c r="Z128" s="86"/>
      <c r="AA128" s="138"/>
      <c r="AB128" s="138"/>
      <c r="AC128" s="138"/>
      <c r="AD128" s="138"/>
      <c r="AE128" s="86"/>
      <c r="AF128" s="138"/>
      <c r="AG128" s="138"/>
      <c r="AH128" s="138"/>
      <c r="AI128" s="138"/>
      <c r="AJ128" s="86"/>
      <c r="AK128" s="138"/>
      <c r="AL128" s="138"/>
      <c r="AM128" s="138"/>
      <c r="AN128" s="138"/>
      <c r="AO128" s="86"/>
      <c r="AP128" s="138"/>
      <c r="AQ128" s="138"/>
      <c r="AR128" s="138"/>
      <c r="AS128" s="138"/>
      <c r="AT128" s="86"/>
      <c r="AU128" s="138"/>
      <c r="AV128" s="138"/>
      <c r="AW128" s="138"/>
      <c r="AX128" s="138"/>
      <c r="AY128" s="85"/>
    </row>
    <row r="129" spans="1:51">
      <c r="A129" s="137" t="s">
        <v>283</v>
      </c>
      <c r="B129" s="138"/>
      <c r="C129" s="138"/>
      <c r="D129" s="138"/>
      <c r="E129" s="138"/>
      <c r="F129" s="86"/>
      <c r="G129" s="138"/>
      <c r="H129" s="138"/>
      <c r="I129" s="138"/>
      <c r="J129" s="138"/>
      <c r="K129" s="86"/>
      <c r="L129" s="138"/>
      <c r="M129" s="138"/>
      <c r="N129" s="138"/>
      <c r="O129" s="138"/>
      <c r="P129" s="86"/>
      <c r="Q129" s="138"/>
      <c r="R129" s="138"/>
      <c r="S129" s="138"/>
      <c r="T129" s="138"/>
      <c r="U129" s="86"/>
      <c r="V129" s="138"/>
      <c r="W129" s="138"/>
      <c r="X129" s="138"/>
      <c r="Y129" s="138"/>
      <c r="Z129" s="86"/>
      <c r="AA129" s="138"/>
      <c r="AB129" s="138"/>
      <c r="AC129" s="138"/>
      <c r="AD129" s="138"/>
      <c r="AE129" s="86"/>
      <c r="AF129" s="138"/>
      <c r="AG129" s="138"/>
      <c r="AH129" s="138"/>
      <c r="AI129" s="138"/>
      <c r="AJ129" s="86"/>
      <c r="AK129" s="138"/>
      <c r="AL129" s="138"/>
      <c r="AM129" s="138"/>
      <c r="AN129" s="138"/>
      <c r="AO129" s="86"/>
      <c r="AP129" s="138"/>
      <c r="AQ129" s="138"/>
      <c r="AR129" s="138"/>
      <c r="AS129" s="138"/>
      <c r="AT129" s="86"/>
      <c r="AU129" s="138"/>
      <c r="AV129" s="138"/>
      <c r="AW129" s="138"/>
      <c r="AX129" s="138"/>
      <c r="AY129" s="85"/>
    </row>
    <row r="130" spans="1:51">
      <c r="A130" s="137" t="s">
        <v>287</v>
      </c>
      <c r="B130" s="138"/>
      <c r="C130" s="138"/>
      <c r="D130" s="138"/>
      <c r="E130" s="138"/>
      <c r="F130" s="86"/>
      <c r="G130" s="138"/>
      <c r="H130" s="138"/>
      <c r="I130" s="138"/>
      <c r="J130" s="138"/>
      <c r="K130" s="86"/>
      <c r="L130" s="138"/>
      <c r="M130" s="138"/>
      <c r="N130" s="138"/>
      <c r="O130" s="138"/>
      <c r="P130" s="86"/>
      <c r="Q130" s="138"/>
      <c r="R130" s="138"/>
      <c r="S130" s="138"/>
      <c r="T130" s="138"/>
      <c r="U130" s="86"/>
      <c r="V130" s="138"/>
      <c r="W130" s="138"/>
      <c r="X130" s="138"/>
      <c r="Y130" s="138"/>
      <c r="Z130" s="86"/>
      <c r="AA130" s="138"/>
      <c r="AB130" s="138"/>
      <c r="AC130" s="138"/>
      <c r="AD130" s="138"/>
      <c r="AE130" s="86"/>
      <c r="AF130" s="138"/>
      <c r="AG130" s="138"/>
      <c r="AH130" s="138"/>
      <c r="AI130" s="138"/>
      <c r="AJ130" s="86"/>
      <c r="AK130" s="138"/>
      <c r="AL130" s="138"/>
      <c r="AM130" s="138"/>
      <c r="AN130" s="138"/>
      <c r="AO130" s="86"/>
      <c r="AP130" s="138"/>
      <c r="AQ130" s="138"/>
      <c r="AR130" s="138"/>
      <c r="AS130" s="138"/>
      <c r="AT130" s="86"/>
      <c r="AU130" s="138"/>
      <c r="AV130" s="138"/>
      <c r="AW130" s="138"/>
      <c r="AX130" s="138"/>
      <c r="AY130" s="85"/>
    </row>
    <row r="131" spans="1:51">
      <c r="A131" s="137" t="s">
        <v>285</v>
      </c>
      <c r="B131" s="138"/>
      <c r="C131" s="138"/>
      <c r="D131" s="138"/>
      <c r="E131" s="138"/>
      <c r="F131" s="86"/>
      <c r="G131" s="138"/>
      <c r="H131" s="138"/>
      <c r="I131" s="138"/>
      <c r="J131" s="138"/>
      <c r="K131" s="86"/>
      <c r="L131" s="138"/>
      <c r="M131" s="138"/>
      <c r="N131" s="138"/>
      <c r="O131" s="138"/>
      <c r="P131" s="86"/>
      <c r="Q131" s="138"/>
      <c r="R131" s="138"/>
      <c r="S131" s="138"/>
      <c r="T131" s="138"/>
      <c r="U131" s="86"/>
      <c r="V131" s="138"/>
      <c r="W131" s="138"/>
      <c r="X131" s="138"/>
      <c r="Y131" s="138"/>
      <c r="Z131" s="86"/>
      <c r="AA131" s="138"/>
      <c r="AB131" s="138"/>
      <c r="AC131" s="138"/>
      <c r="AD131" s="138"/>
      <c r="AE131" s="86"/>
      <c r="AF131" s="138"/>
      <c r="AG131" s="138"/>
      <c r="AH131" s="138"/>
      <c r="AI131" s="138"/>
      <c r="AJ131" s="86"/>
      <c r="AK131" s="138"/>
      <c r="AL131" s="138"/>
      <c r="AM131" s="138"/>
      <c r="AN131" s="138"/>
      <c r="AO131" s="86"/>
      <c r="AP131" s="138"/>
      <c r="AQ131" s="138"/>
      <c r="AR131" s="138"/>
      <c r="AS131" s="138"/>
      <c r="AT131" s="86"/>
      <c r="AU131" s="138"/>
      <c r="AV131" s="138"/>
      <c r="AW131" s="138"/>
      <c r="AX131" s="138"/>
      <c r="AY131" s="85"/>
    </row>
    <row r="132" spans="1:51">
      <c r="A132" s="137" t="s">
        <v>289</v>
      </c>
      <c r="B132" s="138"/>
      <c r="C132" s="138"/>
      <c r="D132" s="138"/>
      <c r="E132" s="138"/>
      <c r="F132" s="86"/>
      <c r="G132" s="138"/>
      <c r="H132" s="138"/>
      <c r="I132" s="138"/>
      <c r="J132" s="138"/>
      <c r="K132" s="86"/>
      <c r="L132" s="138"/>
      <c r="M132" s="138"/>
      <c r="N132" s="138"/>
      <c r="O132" s="138"/>
      <c r="P132" s="86"/>
      <c r="Q132" s="138"/>
      <c r="R132" s="138"/>
      <c r="S132" s="138"/>
      <c r="T132" s="138"/>
      <c r="U132" s="86"/>
      <c r="V132" s="138"/>
      <c r="W132" s="138"/>
      <c r="X132" s="138"/>
      <c r="Y132" s="138"/>
      <c r="Z132" s="86"/>
      <c r="AA132" s="138"/>
      <c r="AB132" s="138"/>
      <c r="AC132" s="138"/>
      <c r="AD132" s="138"/>
      <c r="AE132" s="86"/>
      <c r="AF132" s="138"/>
      <c r="AG132" s="138"/>
      <c r="AH132" s="138"/>
      <c r="AI132" s="138"/>
      <c r="AJ132" s="86"/>
      <c r="AK132" s="138"/>
      <c r="AL132" s="138"/>
      <c r="AM132" s="138"/>
      <c r="AN132" s="138"/>
      <c r="AO132" s="86"/>
      <c r="AP132" s="138"/>
      <c r="AQ132" s="138"/>
      <c r="AR132" s="138"/>
      <c r="AS132" s="138"/>
      <c r="AT132" s="86"/>
      <c r="AU132" s="138"/>
      <c r="AV132" s="138"/>
      <c r="AW132" s="138"/>
      <c r="AX132" s="138"/>
      <c r="AY132" s="85"/>
    </row>
    <row r="133" spans="1:51">
      <c r="A133" s="137" t="s">
        <v>291</v>
      </c>
      <c r="B133" s="138"/>
      <c r="C133" s="138"/>
      <c r="D133" s="138"/>
      <c r="E133" s="138"/>
      <c r="F133" s="86"/>
      <c r="G133" s="138"/>
      <c r="H133" s="138"/>
      <c r="I133" s="138"/>
      <c r="J133" s="138"/>
      <c r="K133" s="86"/>
      <c r="L133" s="138"/>
      <c r="M133" s="138"/>
      <c r="N133" s="138"/>
      <c r="O133" s="138"/>
      <c r="P133" s="86"/>
      <c r="Q133" s="138"/>
      <c r="R133" s="138"/>
      <c r="S133" s="138"/>
      <c r="T133" s="138"/>
      <c r="U133" s="86"/>
      <c r="V133" s="138"/>
      <c r="W133" s="138"/>
      <c r="X133" s="138"/>
      <c r="Y133" s="138"/>
      <c r="Z133" s="86"/>
      <c r="AA133" s="138"/>
      <c r="AB133" s="138"/>
      <c r="AC133" s="138"/>
      <c r="AD133" s="138"/>
      <c r="AE133" s="86"/>
      <c r="AF133" s="138"/>
      <c r="AG133" s="138"/>
      <c r="AH133" s="138"/>
      <c r="AI133" s="138"/>
      <c r="AJ133" s="86"/>
      <c r="AK133" s="138"/>
      <c r="AL133" s="138"/>
      <c r="AM133" s="138"/>
      <c r="AN133" s="138"/>
      <c r="AO133" s="86"/>
      <c r="AP133" s="138"/>
      <c r="AQ133" s="138"/>
      <c r="AR133" s="138"/>
      <c r="AS133" s="138"/>
      <c r="AT133" s="86"/>
      <c r="AU133" s="138"/>
      <c r="AV133" s="138"/>
      <c r="AW133" s="138"/>
      <c r="AX133" s="138"/>
      <c r="AY133" s="85"/>
    </row>
    <row r="134" spans="1:51">
      <c r="A134" s="137" t="s">
        <v>293</v>
      </c>
      <c r="B134" s="138"/>
      <c r="C134" s="138"/>
      <c r="D134" s="138"/>
      <c r="E134" s="138"/>
      <c r="F134" s="86"/>
      <c r="G134" s="138"/>
      <c r="H134" s="138"/>
      <c r="I134" s="138"/>
      <c r="J134" s="138"/>
      <c r="K134" s="86"/>
      <c r="L134" s="138"/>
      <c r="M134" s="138"/>
      <c r="N134" s="138"/>
      <c r="O134" s="138"/>
      <c r="P134" s="86"/>
      <c r="Q134" s="138"/>
      <c r="R134" s="138"/>
      <c r="S134" s="138"/>
      <c r="T134" s="138"/>
      <c r="U134" s="86"/>
      <c r="V134" s="138"/>
      <c r="W134" s="138"/>
      <c r="X134" s="138"/>
      <c r="Y134" s="138"/>
      <c r="Z134" s="86"/>
      <c r="AA134" s="138"/>
      <c r="AB134" s="138"/>
      <c r="AC134" s="138"/>
      <c r="AD134" s="138"/>
      <c r="AE134" s="86"/>
      <c r="AF134" s="138"/>
      <c r="AG134" s="138"/>
      <c r="AH134" s="138"/>
      <c r="AI134" s="138"/>
      <c r="AJ134" s="86"/>
      <c r="AK134" s="138"/>
      <c r="AL134" s="138"/>
      <c r="AM134" s="138"/>
      <c r="AN134" s="138"/>
      <c r="AO134" s="86"/>
      <c r="AP134" s="138"/>
      <c r="AQ134" s="138"/>
      <c r="AR134" s="138"/>
      <c r="AS134" s="138"/>
      <c r="AT134" s="86"/>
      <c r="AU134" s="138"/>
      <c r="AV134" s="138"/>
      <c r="AW134" s="138"/>
      <c r="AX134" s="138"/>
      <c r="AY134" s="85"/>
    </row>
    <row r="135" spans="1:51">
      <c r="A135" s="137" t="s">
        <v>295</v>
      </c>
      <c r="B135" s="138"/>
      <c r="C135" s="138"/>
      <c r="D135" s="138"/>
      <c r="E135" s="138"/>
      <c r="F135" s="86"/>
      <c r="G135" s="138"/>
      <c r="H135" s="138"/>
      <c r="I135" s="138"/>
      <c r="J135" s="138"/>
      <c r="K135" s="86"/>
      <c r="L135" s="138"/>
      <c r="M135" s="138"/>
      <c r="N135" s="138"/>
      <c r="O135" s="138"/>
      <c r="P135" s="86"/>
      <c r="Q135" s="138"/>
      <c r="R135" s="138"/>
      <c r="S135" s="138"/>
      <c r="T135" s="138"/>
      <c r="U135" s="86"/>
      <c r="V135" s="138"/>
      <c r="W135" s="138"/>
      <c r="X135" s="138"/>
      <c r="Y135" s="138"/>
      <c r="Z135" s="86"/>
      <c r="AA135" s="138"/>
      <c r="AB135" s="138"/>
      <c r="AC135" s="138"/>
      <c r="AD135" s="138"/>
      <c r="AE135" s="86"/>
      <c r="AF135" s="138"/>
      <c r="AG135" s="138"/>
      <c r="AH135" s="138"/>
      <c r="AI135" s="138"/>
      <c r="AJ135" s="86"/>
      <c r="AK135" s="138"/>
      <c r="AL135" s="138"/>
      <c r="AM135" s="138"/>
      <c r="AN135" s="138"/>
      <c r="AO135" s="86"/>
      <c r="AP135" s="138"/>
      <c r="AQ135" s="138"/>
      <c r="AR135" s="138"/>
      <c r="AS135" s="138"/>
      <c r="AT135" s="86"/>
      <c r="AU135" s="138"/>
      <c r="AV135" s="138"/>
      <c r="AW135" s="138"/>
      <c r="AX135" s="138"/>
      <c r="AY135" s="85"/>
    </row>
    <row r="136" spans="1:51">
      <c r="A136" s="137" t="s">
        <v>297</v>
      </c>
      <c r="B136" s="138"/>
      <c r="C136" s="138"/>
      <c r="D136" s="138"/>
      <c r="E136" s="138"/>
      <c r="F136" s="86"/>
      <c r="G136" s="138"/>
      <c r="H136" s="138"/>
      <c r="I136" s="138"/>
      <c r="J136" s="138"/>
      <c r="K136" s="86"/>
      <c r="L136" s="138"/>
      <c r="M136" s="138"/>
      <c r="N136" s="138"/>
      <c r="O136" s="138"/>
      <c r="P136" s="86"/>
      <c r="Q136" s="138"/>
      <c r="R136" s="138"/>
      <c r="S136" s="138"/>
      <c r="T136" s="138"/>
      <c r="U136" s="86"/>
      <c r="V136" s="138"/>
      <c r="W136" s="138"/>
      <c r="X136" s="138"/>
      <c r="Y136" s="138"/>
      <c r="Z136" s="86"/>
      <c r="AA136" s="138"/>
      <c r="AB136" s="138"/>
      <c r="AC136" s="138"/>
      <c r="AD136" s="138"/>
      <c r="AE136" s="86"/>
      <c r="AF136" s="138"/>
      <c r="AG136" s="138"/>
      <c r="AH136" s="138"/>
      <c r="AI136" s="138"/>
      <c r="AJ136" s="86"/>
      <c r="AK136" s="138"/>
      <c r="AL136" s="138"/>
      <c r="AM136" s="138"/>
      <c r="AN136" s="138"/>
      <c r="AO136" s="86"/>
      <c r="AP136" s="138"/>
      <c r="AQ136" s="138"/>
      <c r="AR136" s="138"/>
      <c r="AS136" s="138"/>
      <c r="AT136" s="86"/>
      <c r="AU136" s="138"/>
      <c r="AV136" s="138"/>
      <c r="AW136" s="138"/>
      <c r="AX136" s="138"/>
      <c r="AY136" s="85"/>
    </row>
    <row r="137" ht="16.5" spans="1:51">
      <c r="A137" s="139" t="s">
        <v>305</v>
      </c>
      <c r="B137" s="140">
        <f>SUM(B3:B136)</f>
        <v>0</v>
      </c>
      <c r="C137" s="140">
        <f>SUM(C3:C136)</f>
        <v>0</v>
      </c>
      <c r="D137" s="140">
        <f>SUM(D3:D136)</f>
        <v>0</v>
      </c>
      <c r="E137" s="140">
        <f>SUM(E3:E136)</f>
        <v>0</v>
      </c>
      <c r="F137" s="141">
        <f t="shared" ref="F137" si="0">AVERAGE(B137:E137)</f>
        <v>0</v>
      </c>
      <c r="G137" s="140">
        <f>SUM(G3:G136)</f>
        <v>0</v>
      </c>
      <c r="H137" s="140">
        <f>SUM(H3:H136)</f>
        <v>0</v>
      </c>
      <c r="I137" s="140">
        <f>SUM(I3:I136)</f>
        <v>0</v>
      </c>
      <c r="J137" s="140">
        <f>SUM(J3:J136)</f>
        <v>0</v>
      </c>
      <c r="K137" s="141">
        <f t="shared" ref="K137" si="1">AVERAGE(G137:J137)</f>
        <v>0</v>
      </c>
      <c r="L137" s="140">
        <f>SUM(L3:L136)</f>
        <v>0</v>
      </c>
      <c r="M137" s="140">
        <f>SUM(M3:M136)</f>
        <v>0</v>
      </c>
      <c r="N137" s="140">
        <f>SUM(N3:N136)</f>
        <v>0</v>
      </c>
      <c r="O137" s="140">
        <f>SUM(O3:O136)</f>
        <v>0</v>
      </c>
      <c r="P137" s="141">
        <f t="shared" ref="P137" si="2">AVERAGE(L137:O137)</f>
        <v>0</v>
      </c>
      <c r="Q137" s="140">
        <f>SUM(Q3:Q136)</f>
        <v>0</v>
      </c>
      <c r="R137" s="140">
        <f>SUM(R3:R136)</f>
        <v>0</v>
      </c>
      <c r="S137" s="140">
        <f>SUM(S3:S136)</f>
        <v>0</v>
      </c>
      <c r="T137" s="140">
        <f>SUM(T3:T136)</f>
        <v>0</v>
      </c>
      <c r="U137" s="141">
        <f t="shared" ref="U137" si="3">AVERAGE(Q137:T137)</f>
        <v>0</v>
      </c>
      <c r="V137" s="140">
        <f>SUM(V3:V136)</f>
        <v>0</v>
      </c>
      <c r="W137" s="140">
        <f>SUM(W3:W136)</f>
        <v>0</v>
      </c>
      <c r="X137" s="140">
        <f>SUM(X3:X136)</f>
        <v>0</v>
      </c>
      <c r="Y137" s="140">
        <f>SUM(Y3:Y136)</f>
        <v>0</v>
      </c>
      <c r="Z137" s="141">
        <f t="shared" ref="Z137" si="4">AVERAGE(V137:Y137)</f>
        <v>0</v>
      </c>
      <c r="AA137" s="140">
        <f>SUM(AA3:AA136)</f>
        <v>0</v>
      </c>
      <c r="AB137" s="140">
        <f>SUM(AB3:AB136)</f>
        <v>0</v>
      </c>
      <c r="AC137" s="140">
        <f>SUM(AC3:AC136)</f>
        <v>0</v>
      </c>
      <c r="AD137" s="140">
        <f>SUM(AD3:AD136)</f>
        <v>0</v>
      </c>
      <c r="AE137" s="141">
        <f t="shared" ref="AE137" si="5">AVERAGE(AA137:AD137)</f>
        <v>0</v>
      </c>
      <c r="AF137" s="140">
        <f>SUM(AF3:AF136)</f>
        <v>0</v>
      </c>
      <c r="AG137" s="140">
        <f>SUM(AG3:AG136)</f>
        <v>0</v>
      </c>
      <c r="AH137" s="140">
        <f>SUM(AH3:AH136)</f>
        <v>0</v>
      </c>
      <c r="AI137" s="140">
        <f>SUM(AI3:AI136)</f>
        <v>0</v>
      </c>
      <c r="AJ137" s="141">
        <f t="shared" ref="AJ137" si="6">AVERAGE(AF137:AI137)</f>
        <v>0</v>
      </c>
      <c r="AK137" s="140">
        <f>SUM(AK3:AK136)</f>
        <v>0</v>
      </c>
      <c r="AL137" s="140">
        <f>SUM(AL3:AL136)</f>
        <v>0</v>
      </c>
      <c r="AM137" s="140">
        <f>SUM(AM3:AM136)</f>
        <v>0</v>
      </c>
      <c r="AN137" s="140">
        <f>SUM(AN3:AN136)</f>
        <v>0</v>
      </c>
      <c r="AO137" s="141">
        <f t="shared" ref="AO137" si="7">AVERAGE(AK137:AN137)</f>
        <v>0</v>
      </c>
      <c r="AP137" s="140">
        <f>SUM(AP3:AP136)</f>
        <v>0</v>
      </c>
      <c r="AQ137" s="140">
        <f>SUM(AQ3:AQ136)</f>
        <v>0</v>
      </c>
      <c r="AR137" s="140">
        <f>SUM(AR3:AR136)</f>
        <v>0</v>
      </c>
      <c r="AS137" s="140">
        <f>SUM(AS3:AS136)</f>
        <v>0</v>
      </c>
      <c r="AT137" s="141">
        <f t="shared" ref="AT137" si="8">AVERAGE(AP137:AS137)</f>
        <v>0</v>
      </c>
      <c r="AU137" s="140">
        <f>SUM(AU3:AU136)</f>
        <v>0</v>
      </c>
      <c r="AV137" s="140">
        <f>SUM(AV3:AV136)</f>
        <v>0</v>
      </c>
      <c r="AW137" s="140">
        <f>SUM(AW3:AW136)</f>
        <v>0</v>
      </c>
      <c r="AX137" s="140">
        <f>SUM(AX3:AX136)</f>
        <v>0</v>
      </c>
      <c r="AY137" s="140">
        <f t="shared" ref="AY137" si="9">AVERAGE(AU137:AX137)</f>
        <v>0</v>
      </c>
    </row>
    <row r="139" ht="16.5" spans="1:51">
      <c r="A139" s="103" t="s">
        <v>386</v>
      </c>
      <c r="B139" s="61" t="s">
        <v>2</v>
      </c>
      <c r="C139" s="61"/>
      <c r="D139" s="61"/>
      <c r="E139" s="61"/>
      <c r="F139" s="62"/>
      <c r="G139" s="63" t="s">
        <v>3</v>
      </c>
      <c r="H139" s="63"/>
      <c r="I139" s="63"/>
      <c r="J139" s="63"/>
      <c r="K139" s="64"/>
      <c r="L139" s="63" t="s">
        <v>4</v>
      </c>
      <c r="M139" s="63"/>
      <c r="N139" s="63"/>
      <c r="O139" s="63"/>
      <c r="P139" s="64"/>
      <c r="Q139" s="63" t="s">
        <v>387</v>
      </c>
      <c r="R139" s="63"/>
      <c r="S139" s="63"/>
      <c r="T139" s="63"/>
      <c r="U139" s="64"/>
      <c r="V139" s="63" t="s">
        <v>6</v>
      </c>
      <c r="W139" s="63"/>
      <c r="X139" s="63"/>
      <c r="Y139" s="63"/>
      <c r="Z139" s="64"/>
      <c r="AA139" s="63" t="s">
        <v>7</v>
      </c>
      <c r="AB139" s="63"/>
      <c r="AC139" s="63"/>
      <c r="AD139" s="63"/>
      <c r="AE139" s="64"/>
      <c r="AF139" s="63" t="s">
        <v>8</v>
      </c>
      <c r="AG139" s="63"/>
      <c r="AH139" s="63"/>
      <c r="AI139" s="63"/>
      <c r="AJ139" s="64"/>
      <c r="AK139" s="63" t="s">
        <v>9</v>
      </c>
      <c r="AL139" s="63"/>
      <c r="AM139" s="63"/>
      <c r="AN139" s="63"/>
      <c r="AO139" s="64"/>
      <c r="AP139" s="63" t="s">
        <v>10</v>
      </c>
      <c r="AQ139" s="63"/>
      <c r="AR139" s="63"/>
      <c r="AS139" s="63"/>
      <c r="AT139" s="64"/>
      <c r="AU139" s="63" t="s">
        <v>11</v>
      </c>
      <c r="AV139" s="63"/>
      <c r="AW139" s="63"/>
      <c r="AX139" s="63"/>
      <c r="AY139" s="63"/>
    </row>
    <row r="140" ht="16.5" spans="1:51">
      <c r="A140" s="142" t="s">
        <v>18</v>
      </c>
      <c r="B140" s="69" t="s">
        <v>20</v>
      </c>
      <c r="C140" s="69" t="s">
        <v>21</v>
      </c>
      <c r="D140" s="69">
        <v>45717</v>
      </c>
      <c r="E140" s="69">
        <v>45748</v>
      </c>
      <c r="F140" s="70" t="s">
        <v>388</v>
      </c>
      <c r="G140" s="71" t="s">
        <v>20</v>
      </c>
      <c r="H140" s="71" t="s">
        <v>21</v>
      </c>
      <c r="I140" s="71">
        <v>45717</v>
      </c>
      <c r="J140" s="71">
        <v>45748</v>
      </c>
      <c r="K140" s="72" t="s">
        <v>388</v>
      </c>
      <c r="L140" s="71" t="s">
        <v>20</v>
      </c>
      <c r="M140" s="71" t="s">
        <v>21</v>
      </c>
      <c r="N140" s="71">
        <v>45717</v>
      </c>
      <c r="O140" s="71">
        <v>45748</v>
      </c>
      <c r="P140" s="72" t="s">
        <v>388</v>
      </c>
      <c r="Q140" s="71" t="s">
        <v>20</v>
      </c>
      <c r="R140" s="71" t="s">
        <v>21</v>
      </c>
      <c r="S140" s="71">
        <v>45717</v>
      </c>
      <c r="T140" s="71">
        <v>45748</v>
      </c>
      <c r="U140" s="72" t="s">
        <v>388</v>
      </c>
      <c r="V140" s="71" t="s">
        <v>20</v>
      </c>
      <c r="W140" s="71" t="s">
        <v>21</v>
      </c>
      <c r="X140" s="71">
        <v>45717</v>
      </c>
      <c r="Y140" s="71">
        <v>45748</v>
      </c>
      <c r="Z140" s="72" t="s">
        <v>388</v>
      </c>
      <c r="AA140" s="71" t="s">
        <v>20</v>
      </c>
      <c r="AB140" s="71" t="s">
        <v>21</v>
      </c>
      <c r="AC140" s="71">
        <v>45717</v>
      </c>
      <c r="AD140" s="71">
        <v>45748</v>
      </c>
      <c r="AE140" s="72" t="s">
        <v>388</v>
      </c>
      <c r="AF140" s="71" t="s">
        <v>20</v>
      </c>
      <c r="AG140" s="71" t="s">
        <v>21</v>
      </c>
      <c r="AH140" s="71">
        <v>45717</v>
      </c>
      <c r="AI140" s="71">
        <v>45748</v>
      </c>
      <c r="AJ140" s="72" t="s">
        <v>388</v>
      </c>
      <c r="AK140" s="71" t="s">
        <v>20</v>
      </c>
      <c r="AL140" s="71" t="s">
        <v>21</v>
      </c>
      <c r="AM140" s="71">
        <v>45717</v>
      </c>
      <c r="AN140" s="71">
        <v>45748</v>
      </c>
      <c r="AO140" s="72" t="s">
        <v>388</v>
      </c>
      <c r="AP140" s="71" t="s">
        <v>20</v>
      </c>
      <c r="AQ140" s="71" t="s">
        <v>21</v>
      </c>
      <c r="AR140" s="71">
        <v>45717</v>
      </c>
      <c r="AS140" s="71">
        <v>45748</v>
      </c>
      <c r="AT140" s="72" t="s">
        <v>388</v>
      </c>
      <c r="AU140" s="71" t="s">
        <v>20</v>
      </c>
      <c r="AV140" s="71" t="s">
        <v>21</v>
      </c>
      <c r="AW140" s="71">
        <v>45717</v>
      </c>
      <c r="AX140" s="71">
        <v>45748</v>
      </c>
      <c r="AY140" s="73" t="s">
        <v>388</v>
      </c>
    </row>
    <row r="141" spans="1:51">
      <c r="A141" s="137" t="s">
        <v>25</v>
      </c>
      <c r="B141" s="111" t="e">
        <f t="shared" ref="B141:AB141" si="10">B3/B$137</f>
        <v>#DIV/0!</v>
      </c>
      <c r="C141" s="111" t="e">
        <f t="shared" si="10"/>
        <v>#DIV/0!</v>
      </c>
      <c r="D141" s="111" t="e">
        <f t="shared" si="10"/>
        <v>#DIV/0!</v>
      </c>
      <c r="E141" s="111" t="e">
        <f t="shared" si="10"/>
        <v>#DIV/0!</v>
      </c>
      <c r="F141" s="112" t="e">
        <f t="shared" si="10"/>
        <v>#DIV/0!</v>
      </c>
      <c r="G141" s="117" t="e">
        <f t="shared" si="10"/>
        <v>#DIV/0!</v>
      </c>
      <c r="H141" s="117" t="e">
        <f t="shared" si="10"/>
        <v>#DIV/0!</v>
      </c>
      <c r="I141" s="117" t="e">
        <f t="shared" si="10"/>
        <v>#DIV/0!</v>
      </c>
      <c r="J141" s="117" t="e">
        <f t="shared" si="10"/>
        <v>#DIV/0!</v>
      </c>
      <c r="K141" s="9" t="e">
        <f t="shared" si="10"/>
        <v>#DIV/0!</v>
      </c>
      <c r="L141" s="117" t="e">
        <f t="shared" si="10"/>
        <v>#DIV/0!</v>
      </c>
      <c r="M141" s="117" t="e">
        <f t="shared" si="10"/>
        <v>#DIV/0!</v>
      </c>
      <c r="N141" s="117" t="e">
        <f t="shared" si="10"/>
        <v>#DIV/0!</v>
      </c>
      <c r="O141" s="117" t="e">
        <f t="shared" si="10"/>
        <v>#DIV/0!</v>
      </c>
      <c r="P141" s="9" t="e">
        <f t="shared" si="10"/>
        <v>#DIV/0!</v>
      </c>
      <c r="Q141" s="144" t="e">
        <f t="shared" si="10"/>
        <v>#DIV/0!</v>
      </c>
      <c r="R141" s="144" t="e">
        <f t="shared" si="10"/>
        <v>#DIV/0!</v>
      </c>
      <c r="S141" s="144" t="e">
        <f t="shared" si="10"/>
        <v>#DIV/0!</v>
      </c>
      <c r="T141" s="144" t="e">
        <f t="shared" si="10"/>
        <v>#DIV/0!</v>
      </c>
      <c r="U141" s="9" t="e">
        <f t="shared" si="10"/>
        <v>#DIV/0!</v>
      </c>
      <c r="V141" s="144" t="e">
        <f t="shared" si="10"/>
        <v>#DIV/0!</v>
      </c>
      <c r="W141" s="144" t="e">
        <f t="shared" si="10"/>
        <v>#DIV/0!</v>
      </c>
      <c r="X141" s="144" t="e">
        <f t="shared" si="10"/>
        <v>#DIV/0!</v>
      </c>
      <c r="Y141" s="144" t="e">
        <f t="shared" si="10"/>
        <v>#DIV/0!</v>
      </c>
      <c r="Z141" s="9" t="e">
        <f t="shared" si="10"/>
        <v>#DIV/0!</v>
      </c>
      <c r="AA141" s="144" t="e">
        <f t="shared" si="10"/>
        <v>#DIV/0!</v>
      </c>
      <c r="AB141" s="144" t="e">
        <f t="shared" si="10"/>
        <v>#DIV/0!</v>
      </c>
      <c r="AC141" s="144" t="e">
        <f t="shared" ref="AC141:AY141" si="11">AC3/AC$137</f>
        <v>#DIV/0!</v>
      </c>
      <c r="AD141" s="144" t="e">
        <f t="shared" si="11"/>
        <v>#DIV/0!</v>
      </c>
      <c r="AE141" s="9" t="e">
        <f t="shared" si="11"/>
        <v>#DIV/0!</v>
      </c>
      <c r="AF141" s="144" t="e">
        <f t="shared" si="11"/>
        <v>#DIV/0!</v>
      </c>
      <c r="AG141" s="144" t="e">
        <f t="shared" si="11"/>
        <v>#DIV/0!</v>
      </c>
      <c r="AH141" s="144" t="e">
        <f t="shared" si="11"/>
        <v>#DIV/0!</v>
      </c>
      <c r="AI141" s="144" t="e">
        <f t="shared" si="11"/>
        <v>#DIV/0!</v>
      </c>
      <c r="AJ141" s="9" t="e">
        <f t="shared" si="11"/>
        <v>#DIV/0!</v>
      </c>
      <c r="AK141" s="144" t="e">
        <f t="shared" si="11"/>
        <v>#DIV/0!</v>
      </c>
      <c r="AL141" s="144" t="e">
        <f t="shared" si="11"/>
        <v>#DIV/0!</v>
      </c>
      <c r="AM141" s="144" t="e">
        <f t="shared" si="11"/>
        <v>#DIV/0!</v>
      </c>
      <c r="AN141" s="144" t="e">
        <f t="shared" si="11"/>
        <v>#DIV/0!</v>
      </c>
      <c r="AO141" s="9" t="e">
        <f t="shared" si="11"/>
        <v>#DIV/0!</v>
      </c>
      <c r="AP141" s="144" t="e">
        <f t="shared" si="11"/>
        <v>#DIV/0!</v>
      </c>
      <c r="AQ141" s="144" t="e">
        <f t="shared" si="11"/>
        <v>#DIV/0!</v>
      </c>
      <c r="AR141" s="144" t="e">
        <f t="shared" si="11"/>
        <v>#DIV/0!</v>
      </c>
      <c r="AS141" s="144" t="e">
        <f t="shared" si="11"/>
        <v>#DIV/0!</v>
      </c>
      <c r="AT141" s="9" t="e">
        <f t="shared" si="11"/>
        <v>#DIV/0!</v>
      </c>
      <c r="AU141" s="144" t="e">
        <f t="shared" si="11"/>
        <v>#DIV/0!</v>
      </c>
      <c r="AV141" s="144" t="e">
        <f t="shared" si="11"/>
        <v>#DIV/0!</v>
      </c>
      <c r="AW141" s="144" t="e">
        <f t="shared" si="11"/>
        <v>#DIV/0!</v>
      </c>
      <c r="AX141" s="144" t="e">
        <f t="shared" si="11"/>
        <v>#DIV/0!</v>
      </c>
      <c r="AY141" s="117" t="e">
        <f t="shared" si="11"/>
        <v>#DIV/0!</v>
      </c>
    </row>
    <row r="142" spans="1:51">
      <c r="A142" s="137" t="s">
        <v>31</v>
      </c>
      <c r="B142" s="117" t="e">
        <f t="shared" ref="B142:AB142" si="12">B4/B$137</f>
        <v>#DIV/0!</v>
      </c>
      <c r="C142" s="117" t="e">
        <f t="shared" si="12"/>
        <v>#DIV/0!</v>
      </c>
      <c r="D142" s="117" t="e">
        <f t="shared" si="12"/>
        <v>#DIV/0!</v>
      </c>
      <c r="E142" s="117" t="e">
        <f t="shared" si="12"/>
        <v>#DIV/0!</v>
      </c>
      <c r="F142" s="9" t="e">
        <f t="shared" si="12"/>
        <v>#DIV/0!</v>
      </c>
      <c r="G142" s="117" t="e">
        <f t="shared" si="12"/>
        <v>#DIV/0!</v>
      </c>
      <c r="H142" s="117" t="e">
        <f t="shared" si="12"/>
        <v>#DIV/0!</v>
      </c>
      <c r="I142" s="117" t="e">
        <f t="shared" si="12"/>
        <v>#DIV/0!</v>
      </c>
      <c r="J142" s="117" t="e">
        <f t="shared" si="12"/>
        <v>#DIV/0!</v>
      </c>
      <c r="K142" s="9" t="e">
        <f t="shared" si="12"/>
        <v>#DIV/0!</v>
      </c>
      <c r="L142" s="117" t="e">
        <f t="shared" si="12"/>
        <v>#DIV/0!</v>
      </c>
      <c r="M142" s="117" t="e">
        <f t="shared" si="12"/>
        <v>#DIV/0!</v>
      </c>
      <c r="N142" s="117" t="e">
        <f t="shared" si="12"/>
        <v>#DIV/0!</v>
      </c>
      <c r="O142" s="117" t="e">
        <f t="shared" si="12"/>
        <v>#DIV/0!</v>
      </c>
      <c r="P142" s="9" t="e">
        <f t="shared" si="12"/>
        <v>#DIV/0!</v>
      </c>
      <c r="Q142" s="144" t="e">
        <f t="shared" si="12"/>
        <v>#DIV/0!</v>
      </c>
      <c r="R142" s="144" t="e">
        <f t="shared" si="12"/>
        <v>#DIV/0!</v>
      </c>
      <c r="S142" s="144" t="e">
        <f t="shared" si="12"/>
        <v>#DIV/0!</v>
      </c>
      <c r="T142" s="144" t="e">
        <f t="shared" si="12"/>
        <v>#DIV/0!</v>
      </c>
      <c r="U142" s="9" t="e">
        <f t="shared" si="12"/>
        <v>#DIV/0!</v>
      </c>
      <c r="V142" s="144" t="e">
        <f t="shared" si="12"/>
        <v>#DIV/0!</v>
      </c>
      <c r="W142" s="144" t="e">
        <f t="shared" si="12"/>
        <v>#DIV/0!</v>
      </c>
      <c r="X142" s="144" t="e">
        <f t="shared" si="12"/>
        <v>#DIV/0!</v>
      </c>
      <c r="Y142" s="144" t="e">
        <f t="shared" si="12"/>
        <v>#DIV/0!</v>
      </c>
      <c r="Z142" s="9" t="e">
        <f t="shared" si="12"/>
        <v>#DIV/0!</v>
      </c>
      <c r="AA142" s="144" t="e">
        <f t="shared" si="12"/>
        <v>#DIV/0!</v>
      </c>
      <c r="AB142" s="144" t="e">
        <f t="shared" si="12"/>
        <v>#DIV/0!</v>
      </c>
      <c r="AC142" s="144" t="e">
        <f t="shared" ref="AC142:AY142" si="13">AC4/AC$137</f>
        <v>#DIV/0!</v>
      </c>
      <c r="AD142" s="144" t="e">
        <f t="shared" si="13"/>
        <v>#DIV/0!</v>
      </c>
      <c r="AE142" s="9" t="e">
        <f t="shared" si="13"/>
        <v>#DIV/0!</v>
      </c>
      <c r="AF142" s="144" t="e">
        <f t="shared" si="13"/>
        <v>#DIV/0!</v>
      </c>
      <c r="AG142" s="144" t="e">
        <f t="shared" si="13"/>
        <v>#DIV/0!</v>
      </c>
      <c r="AH142" s="144" t="e">
        <f t="shared" si="13"/>
        <v>#DIV/0!</v>
      </c>
      <c r="AI142" s="144" t="e">
        <f t="shared" si="13"/>
        <v>#DIV/0!</v>
      </c>
      <c r="AJ142" s="9" t="e">
        <f t="shared" si="13"/>
        <v>#DIV/0!</v>
      </c>
      <c r="AK142" s="144" t="e">
        <f t="shared" si="13"/>
        <v>#DIV/0!</v>
      </c>
      <c r="AL142" s="144" t="e">
        <f t="shared" si="13"/>
        <v>#DIV/0!</v>
      </c>
      <c r="AM142" s="144" t="e">
        <f t="shared" si="13"/>
        <v>#DIV/0!</v>
      </c>
      <c r="AN142" s="144" t="e">
        <f t="shared" si="13"/>
        <v>#DIV/0!</v>
      </c>
      <c r="AO142" s="9" t="e">
        <f t="shared" si="13"/>
        <v>#DIV/0!</v>
      </c>
      <c r="AP142" s="144" t="e">
        <f t="shared" si="13"/>
        <v>#DIV/0!</v>
      </c>
      <c r="AQ142" s="144" t="e">
        <f t="shared" si="13"/>
        <v>#DIV/0!</v>
      </c>
      <c r="AR142" s="144" t="e">
        <f t="shared" si="13"/>
        <v>#DIV/0!</v>
      </c>
      <c r="AS142" s="144" t="e">
        <f t="shared" si="13"/>
        <v>#DIV/0!</v>
      </c>
      <c r="AT142" s="9" t="e">
        <f t="shared" si="13"/>
        <v>#DIV/0!</v>
      </c>
      <c r="AU142" s="144" t="e">
        <f t="shared" si="13"/>
        <v>#DIV/0!</v>
      </c>
      <c r="AV142" s="144" t="e">
        <f t="shared" si="13"/>
        <v>#DIV/0!</v>
      </c>
      <c r="AW142" s="144" t="e">
        <f t="shared" si="13"/>
        <v>#DIV/0!</v>
      </c>
      <c r="AX142" s="144" t="e">
        <f t="shared" si="13"/>
        <v>#DIV/0!</v>
      </c>
      <c r="AY142" s="117" t="e">
        <f t="shared" si="13"/>
        <v>#DIV/0!</v>
      </c>
    </row>
    <row r="143" spans="1:51">
      <c r="A143" s="137" t="s">
        <v>33</v>
      </c>
      <c r="B143" s="117" t="e">
        <f t="shared" ref="B143:AB143" si="14">B5/B$137</f>
        <v>#DIV/0!</v>
      </c>
      <c r="C143" s="117" t="e">
        <f t="shared" si="14"/>
        <v>#DIV/0!</v>
      </c>
      <c r="D143" s="117" t="e">
        <f t="shared" si="14"/>
        <v>#DIV/0!</v>
      </c>
      <c r="E143" s="117" t="e">
        <f t="shared" si="14"/>
        <v>#DIV/0!</v>
      </c>
      <c r="F143" s="9" t="e">
        <f t="shared" si="14"/>
        <v>#DIV/0!</v>
      </c>
      <c r="G143" s="117" t="e">
        <f t="shared" si="14"/>
        <v>#DIV/0!</v>
      </c>
      <c r="H143" s="117" t="e">
        <f t="shared" si="14"/>
        <v>#DIV/0!</v>
      </c>
      <c r="I143" s="117" t="e">
        <f t="shared" si="14"/>
        <v>#DIV/0!</v>
      </c>
      <c r="J143" s="117" t="e">
        <f t="shared" si="14"/>
        <v>#DIV/0!</v>
      </c>
      <c r="K143" s="9" t="e">
        <f t="shared" si="14"/>
        <v>#DIV/0!</v>
      </c>
      <c r="L143" s="117" t="e">
        <f t="shared" si="14"/>
        <v>#DIV/0!</v>
      </c>
      <c r="M143" s="117" t="e">
        <f t="shared" si="14"/>
        <v>#DIV/0!</v>
      </c>
      <c r="N143" s="117" t="e">
        <f t="shared" si="14"/>
        <v>#DIV/0!</v>
      </c>
      <c r="O143" s="117" t="e">
        <f t="shared" si="14"/>
        <v>#DIV/0!</v>
      </c>
      <c r="P143" s="9" t="e">
        <f t="shared" si="14"/>
        <v>#DIV/0!</v>
      </c>
      <c r="Q143" s="144" t="e">
        <f t="shared" si="14"/>
        <v>#DIV/0!</v>
      </c>
      <c r="R143" s="144" t="e">
        <f t="shared" si="14"/>
        <v>#DIV/0!</v>
      </c>
      <c r="S143" s="144" t="e">
        <f t="shared" si="14"/>
        <v>#DIV/0!</v>
      </c>
      <c r="T143" s="144" t="e">
        <f t="shared" si="14"/>
        <v>#DIV/0!</v>
      </c>
      <c r="U143" s="9" t="e">
        <f t="shared" si="14"/>
        <v>#DIV/0!</v>
      </c>
      <c r="V143" s="144" t="e">
        <f t="shared" si="14"/>
        <v>#DIV/0!</v>
      </c>
      <c r="W143" s="144" t="e">
        <f t="shared" si="14"/>
        <v>#DIV/0!</v>
      </c>
      <c r="X143" s="144" t="e">
        <f t="shared" si="14"/>
        <v>#DIV/0!</v>
      </c>
      <c r="Y143" s="144" t="e">
        <f t="shared" si="14"/>
        <v>#DIV/0!</v>
      </c>
      <c r="Z143" s="9" t="e">
        <f t="shared" si="14"/>
        <v>#DIV/0!</v>
      </c>
      <c r="AA143" s="144" t="e">
        <f t="shared" si="14"/>
        <v>#DIV/0!</v>
      </c>
      <c r="AB143" s="144" t="e">
        <f t="shared" si="14"/>
        <v>#DIV/0!</v>
      </c>
      <c r="AC143" s="144" t="e">
        <f t="shared" ref="AC143:AY143" si="15">AC5/AC$137</f>
        <v>#DIV/0!</v>
      </c>
      <c r="AD143" s="144" t="e">
        <f t="shared" si="15"/>
        <v>#DIV/0!</v>
      </c>
      <c r="AE143" s="9" t="e">
        <f t="shared" si="15"/>
        <v>#DIV/0!</v>
      </c>
      <c r="AF143" s="144" t="e">
        <f t="shared" si="15"/>
        <v>#DIV/0!</v>
      </c>
      <c r="AG143" s="144" t="e">
        <f t="shared" si="15"/>
        <v>#DIV/0!</v>
      </c>
      <c r="AH143" s="144" t="e">
        <f t="shared" si="15"/>
        <v>#DIV/0!</v>
      </c>
      <c r="AI143" s="144" t="e">
        <f t="shared" si="15"/>
        <v>#DIV/0!</v>
      </c>
      <c r="AJ143" s="9" t="e">
        <f t="shared" si="15"/>
        <v>#DIV/0!</v>
      </c>
      <c r="AK143" s="144" t="e">
        <f t="shared" si="15"/>
        <v>#DIV/0!</v>
      </c>
      <c r="AL143" s="144" t="e">
        <f t="shared" si="15"/>
        <v>#DIV/0!</v>
      </c>
      <c r="AM143" s="144" t="e">
        <f t="shared" si="15"/>
        <v>#DIV/0!</v>
      </c>
      <c r="AN143" s="144" t="e">
        <f t="shared" si="15"/>
        <v>#DIV/0!</v>
      </c>
      <c r="AO143" s="9" t="e">
        <f t="shared" si="15"/>
        <v>#DIV/0!</v>
      </c>
      <c r="AP143" s="144" t="e">
        <f t="shared" si="15"/>
        <v>#DIV/0!</v>
      </c>
      <c r="AQ143" s="144" t="e">
        <f t="shared" si="15"/>
        <v>#DIV/0!</v>
      </c>
      <c r="AR143" s="144" t="e">
        <f t="shared" si="15"/>
        <v>#DIV/0!</v>
      </c>
      <c r="AS143" s="144" t="e">
        <f t="shared" si="15"/>
        <v>#DIV/0!</v>
      </c>
      <c r="AT143" s="9" t="e">
        <f t="shared" si="15"/>
        <v>#DIV/0!</v>
      </c>
      <c r="AU143" s="144" t="e">
        <f t="shared" si="15"/>
        <v>#DIV/0!</v>
      </c>
      <c r="AV143" s="144" t="e">
        <f t="shared" si="15"/>
        <v>#DIV/0!</v>
      </c>
      <c r="AW143" s="144" t="e">
        <f t="shared" si="15"/>
        <v>#DIV/0!</v>
      </c>
      <c r="AX143" s="144" t="e">
        <f t="shared" si="15"/>
        <v>#DIV/0!</v>
      </c>
      <c r="AY143" s="117" t="e">
        <f t="shared" si="15"/>
        <v>#DIV/0!</v>
      </c>
    </row>
    <row r="144" spans="1:51">
      <c r="A144" s="137" t="s">
        <v>35</v>
      </c>
      <c r="B144" s="117" t="e">
        <f t="shared" ref="B144:AB144" si="16">B6/B$137</f>
        <v>#DIV/0!</v>
      </c>
      <c r="C144" s="117" t="e">
        <f t="shared" si="16"/>
        <v>#DIV/0!</v>
      </c>
      <c r="D144" s="117" t="e">
        <f t="shared" si="16"/>
        <v>#DIV/0!</v>
      </c>
      <c r="E144" s="117" t="e">
        <f t="shared" si="16"/>
        <v>#DIV/0!</v>
      </c>
      <c r="F144" s="9" t="e">
        <f t="shared" si="16"/>
        <v>#DIV/0!</v>
      </c>
      <c r="G144" s="117" t="e">
        <f t="shared" si="16"/>
        <v>#DIV/0!</v>
      </c>
      <c r="H144" s="117" t="e">
        <f t="shared" si="16"/>
        <v>#DIV/0!</v>
      </c>
      <c r="I144" s="117" t="e">
        <f t="shared" si="16"/>
        <v>#DIV/0!</v>
      </c>
      <c r="J144" s="117" t="e">
        <f t="shared" si="16"/>
        <v>#DIV/0!</v>
      </c>
      <c r="K144" s="9" t="e">
        <f t="shared" si="16"/>
        <v>#DIV/0!</v>
      </c>
      <c r="L144" s="117" t="e">
        <f t="shared" si="16"/>
        <v>#DIV/0!</v>
      </c>
      <c r="M144" s="117" t="e">
        <f t="shared" si="16"/>
        <v>#DIV/0!</v>
      </c>
      <c r="N144" s="117" t="e">
        <f t="shared" si="16"/>
        <v>#DIV/0!</v>
      </c>
      <c r="O144" s="117" t="e">
        <f t="shared" si="16"/>
        <v>#DIV/0!</v>
      </c>
      <c r="P144" s="9" t="e">
        <f t="shared" si="16"/>
        <v>#DIV/0!</v>
      </c>
      <c r="Q144" s="144" t="e">
        <f t="shared" si="16"/>
        <v>#DIV/0!</v>
      </c>
      <c r="R144" s="144" t="e">
        <f t="shared" si="16"/>
        <v>#DIV/0!</v>
      </c>
      <c r="S144" s="144" t="e">
        <f t="shared" si="16"/>
        <v>#DIV/0!</v>
      </c>
      <c r="T144" s="144" t="e">
        <f t="shared" si="16"/>
        <v>#DIV/0!</v>
      </c>
      <c r="U144" s="9" t="e">
        <f t="shared" si="16"/>
        <v>#DIV/0!</v>
      </c>
      <c r="V144" s="144" t="e">
        <f t="shared" si="16"/>
        <v>#DIV/0!</v>
      </c>
      <c r="W144" s="144" t="e">
        <f t="shared" si="16"/>
        <v>#DIV/0!</v>
      </c>
      <c r="X144" s="144" t="e">
        <f t="shared" si="16"/>
        <v>#DIV/0!</v>
      </c>
      <c r="Y144" s="144" t="e">
        <f t="shared" si="16"/>
        <v>#DIV/0!</v>
      </c>
      <c r="Z144" s="9" t="e">
        <f t="shared" si="16"/>
        <v>#DIV/0!</v>
      </c>
      <c r="AA144" s="144" t="e">
        <f t="shared" si="16"/>
        <v>#DIV/0!</v>
      </c>
      <c r="AB144" s="144" t="e">
        <f t="shared" si="16"/>
        <v>#DIV/0!</v>
      </c>
      <c r="AC144" s="144" t="e">
        <f t="shared" ref="AC144:AY144" si="17">AC6/AC$137</f>
        <v>#DIV/0!</v>
      </c>
      <c r="AD144" s="144" t="e">
        <f t="shared" si="17"/>
        <v>#DIV/0!</v>
      </c>
      <c r="AE144" s="9" t="e">
        <f t="shared" si="17"/>
        <v>#DIV/0!</v>
      </c>
      <c r="AF144" s="144" t="e">
        <f t="shared" si="17"/>
        <v>#DIV/0!</v>
      </c>
      <c r="AG144" s="144" t="e">
        <f t="shared" si="17"/>
        <v>#DIV/0!</v>
      </c>
      <c r="AH144" s="144" t="e">
        <f t="shared" si="17"/>
        <v>#DIV/0!</v>
      </c>
      <c r="AI144" s="144" t="e">
        <f t="shared" si="17"/>
        <v>#DIV/0!</v>
      </c>
      <c r="AJ144" s="9" t="e">
        <f t="shared" si="17"/>
        <v>#DIV/0!</v>
      </c>
      <c r="AK144" s="144" t="e">
        <f t="shared" si="17"/>
        <v>#DIV/0!</v>
      </c>
      <c r="AL144" s="144" t="e">
        <f t="shared" si="17"/>
        <v>#DIV/0!</v>
      </c>
      <c r="AM144" s="144" t="e">
        <f t="shared" si="17"/>
        <v>#DIV/0!</v>
      </c>
      <c r="AN144" s="144" t="e">
        <f t="shared" si="17"/>
        <v>#DIV/0!</v>
      </c>
      <c r="AO144" s="9" t="e">
        <f t="shared" si="17"/>
        <v>#DIV/0!</v>
      </c>
      <c r="AP144" s="144" t="e">
        <f t="shared" si="17"/>
        <v>#DIV/0!</v>
      </c>
      <c r="AQ144" s="144" t="e">
        <f t="shared" si="17"/>
        <v>#DIV/0!</v>
      </c>
      <c r="AR144" s="144" t="e">
        <f t="shared" si="17"/>
        <v>#DIV/0!</v>
      </c>
      <c r="AS144" s="144" t="e">
        <f t="shared" si="17"/>
        <v>#DIV/0!</v>
      </c>
      <c r="AT144" s="9" t="e">
        <f t="shared" si="17"/>
        <v>#DIV/0!</v>
      </c>
      <c r="AU144" s="144" t="e">
        <f t="shared" si="17"/>
        <v>#DIV/0!</v>
      </c>
      <c r="AV144" s="144" t="e">
        <f t="shared" si="17"/>
        <v>#DIV/0!</v>
      </c>
      <c r="AW144" s="144" t="e">
        <f t="shared" si="17"/>
        <v>#DIV/0!</v>
      </c>
      <c r="AX144" s="144" t="e">
        <f t="shared" si="17"/>
        <v>#DIV/0!</v>
      </c>
      <c r="AY144" s="117" t="e">
        <f t="shared" si="17"/>
        <v>#DIV/0!</v>
      </c>
    </row>
    <row r="145" spans="1:51">
      <c r="A145" s="137" t="s">
        <v>37</v>
      </c>
      <c r="B145" s="117" t="e">
        <f t="shared" ref="B145:AB145" si="18">B7/B$137</f>
        <v>#DIV/0!</v>
      </c>
      <c r="C145" s="117" t="e">
        <f t="shared" si="18"/>
        <v>#DIV/0!</v>
      </c>
      <c r="D145" s="117" t="e">
        <f t="shared" si="18"/>
        <v>#DIV/0!</v>
      </c>
      <c r="E145" s="117" t="e">
        <f t="shared" si="18"/>
        <v>#DIV/0!</v>
      </c>
      <c r="F145" s="9" t="e">
        <f t="shared" si="18"/>
        <v>#DIV/0!</v>
      </c>
      <c r="G145" s="117" t="e">
        <f t="shared" si="18"/>
        <v>#DIV/0!</v>
      </c>
      <c r="H145" s="117" t="e">
        <f t="shared" si="18"/>
        <v>#DIV/0!</v>
      </c>
      <c r="I145" s="117" t="e">
        <f t="shared" si="18"/>
        <v>#DIV/0!</v>
      </c>
      <c r="J145" s="117" t="e">
        <f t="shared" si="18"/>
        <v>#DIV/0!</v>
      </c>
      <c r="K145" s="9" t="e">
        <f t="shared" si="18"/>
        <v>#DIV/0!</v>
      </c>
      <c r="L145" s="117" t="e">
        <f t="shared" si="18"/>
        <v>#DIV/0!</v>
      </c>
      <c r="M145" s="117" t="e">
        <f t="shared" si="18"/>
        <v>#DIV/0!</v>
      </c>
      <c r="N145" s="117" t="e">
        <f t="shared" si="18"/>
        <v>#DIV/0!</v>
      </c>
      <c r="O145" s="117" t="e">
        <f t="shared" si="18"/>
        <v>#DIV/0!</v>
      </c>
      <c r="P145" s="9" t="e">
        <f t="shared" si="18"/>
        <v>#DIV/0!</v>
      </c>
      <c r="Q145" s="144" t="e">
        <f t="shared" si="18"/>
        <v>#DIV/0!</v>
      </c>
      <c r="R145" s="144" t="e">
        <f t="shared" si="18"/>
        <v>#DIV/0!</v>
      </c>
      <c r="S145" s="144" t="e">
        <f t="shared" si="18"/>
        <v>#DIV/0!</v>
      </c>
      <c r="T145" s="144" t="e">
        <f t="shared" si="18"/>
        <v>#DIV/0!</v>
      </c>
      <c r="U145" s="9" t="e">
        <f t="shared" si="18"/>
        <v>#DIV/0!</v>
      </c>
      <c r="V145" s="144" t="e">
        <f t="shared" si="18"/>
        <v>#DIV/0!</v>
      </c>
      <c r="W145" s="144" t="e">
        <f t="shared" si="18"/>
        <v>#DIV/0!</v>
      </c>
      <c r="X145" s="144" t="e">
        <f t="shared" si="18"/>
        <v>#DIV/0!</v>
      </c>
      <c r="Y145" s="144" t="e">
        <f t="shared" si="18"/>
        <v>#DIV/0!</v>
      </c>
      <c r="Z145" s="9" t="e">
        <f t="shared" si="18"/>
        <v>#DIV/0!</v>
      </c>
      <c r="AA145" s="144" t="e">
        <f t="shared" si="18"/>
        <v>#DIV/0!</v>
      </c>
      <c r="AB145" s="144" t="e">
        <f t="shared" si="18"/>
        <v>#DIV/0!</v>
      </c>
      <c r="AC145" s="144" t="e">
        <f t="shared" ref="AC145:AY145" si="19">AC7/AC$137</f>
        <v>#DIV/0!</v>
      </c>
      <c r="AD145" s="144" t="e">
        <f t="shared" si="19"/>
        <v>#DIV/0!</v>
      </c>
      <c r="AE145" s="9" t="e">
        <f t="shared" si="19"/>
        <v>#DIV/0!</v>
      </c>
      <c r="AF145" s="144" t="e">
        <f t="shared" si="19"/>
        <v>#DIV/0!</v>
      </c>
      <c r="AG145" s="144" t="e">
        <f t="shared" si="19"/>
        <v>#DIV/0!</v>
      </c>
      <c r="AH145" s="144" t="e">
        <f t="shared" si="19"/>
        <v>#DIV/0!</v>
      </c>
      <c r="AI145" s="144" t="e">
        <f t="shared" si="19"/>
        <v>#DIV/0!</v>
      </c>
      <c r="AJ145" s="9" t="e">
        <f t="shared" si="19"/>
        <v>#DIV/0!</v>
      </c>
      <c r="AK145" s="144" t="e">
        <f t="shared" si="19"/>
        <v>#DIV/0!</v>
      </c>
      <c r="AL145" s="144" t="e">
        <f t="shared" si="19"/>
        <v>#DIV/0!</v>
      </c>
      <c r="AM145" s="144" t="e">
        <f t="shared" si="19"/>
        <v>#DIV/0!</v>
      </c>
      <c r="AN145" s="144" t="e">
        <f t="shared" si="19"/>
        <v>#DIV/0!</v>
      </c>
      <c r="AO145" s="9" t="e">
        <f t="shared" si="19"/>
        <v>#DIV/0!</v>
      </c>
      <c r="AP145" s="144" t="e">
        <f t="shared" si="19"/>
        <v>#DIV/0!</v>
      </c>
      <c r="AQ145" s="144" t="e">
        <f t="shared" si="19"/>
        <v>#DIV/0!</v>
      </c>
      <c r="AR145" s="144" t="e">
        <f t="shared" si="19"/>
        <v>#DIV/0!</v>
      </c>
      <c r="AS145" s="144" t="e">
        <f t="shared" si="19"/>
        <v>#DIV/0!</v>
      </c>
      <c r="AT145" s="9" t="e">
        <f t="shared" si="19"/>
        <v>#DIV/0!</v>
      </c>
      <c r="AU145" s="144" t="e">
        <f t="shared" si="19"/>
        <v>#DIV/0!</v>
      </c>
      <c r="AV145" s="144" t="e">
        <f t="shared" si="19"/>
        <v>#DIV/0!</v>
      </c>
      <c r="AW145" s="144" t="e">
        <f t="shared" si="19"/>
        <v>#DIV/0!</v>
      </c>
      <c r="AX145" s="144" t="e">
        <f t="shared" si="19"/>
        <v>#DIV/0!</v>
      </c>
      <c r="AY145" s="117" t="e">
        <f t="shared" si="19"/>
        <v>#DIV/0!</v>
      </c>
    </row>
    <row r="146" spans="1:51">
      <c r="A146" s="137" t="s">
        <v>40</v>
      </c>
      <c r="B146" s="117" t="e">
        <f t="shared" ref="B146:AB146" si="20">B8/B$137</f>
        <v>#DIV/0!</v>
      </c>
      <c r="C146" s="117" t="e">
        <f t="shared" si="20"/>
        <v>#DIV/0!</v>
      </c>
      <c r="D146" s="117" t="e">
        <f t="shared" si="20"/>
        <v>#DIV/0!</v>
      </c>
      <c r="E146" s="117" t="e">
        <f t="shared" si="20"/>
        <v>#DIV/0!</v>
      </c>
      <c r="F146" s="9" t="e">
        <f t="shared" si="20"/>
        <v>#DIV/0!</v>
      </c>
      <c r="G146" s="117" t="e">
        <f t="shared" si="20"/>
        <v>#DIV/0!</v>
      </c>
      <c r="H146" s="117" t="e">
        <f t="shared" si="20"/>
        <v>#DIV/0!</v>
      </c>
      <c r="I146" s="117" t="e">
        <f t="shared" si="20"/>
        <v>#DIV/0!</v>
      </c>
      <c r="J146" s="117" t="e">
        <f t="shared" si="20"/>
        <v>#DIV/0!</v>
      </c>
      <c r="K146" s="9" t="e">
        <f t="shared" si="20"/>
        <v>#DIV/0!</v>
      </c>
      <c r="L146" s="117" t="e">
        <f t="shared" si="20"/>
        <v>#DIV/0!</v>
      </c>
      <c r="M146" s="117" t="e">
        <f t="shared" si="20"/>
        <v>#DIV/0!</v>
      </c>
      <c r="N146" s="117" t="e">
        <f t="shared" si="20"/>
        <v>#DIV/0!</v>
      </c>
      <c r="O146" s="117" t="e">
        <f t="shared" si="20"/>
        <v>#DIV/0!</v>
      </c>
      <c r="P146" s="9" t="e">
        <f t="shared" si="20"/>
        <v>#DIV/0!</v>
      </c>
      <c r="Q146" s="144" t="e">
        <f t="shared" si="20"/>
        <v>#DIV/0!</v>
      </c>
      <c r="R146" s="144" t="e">
        <f t="shared" si="20"/>
        <v>#DIV/0!</v>
      </c>
      <c r="S146" s="144" t="e">
        <f t="shared" si="20"/>
        <v>#DIV/0!</v>
      </c>
      <c r="T146" s="144" t="e">
        <f t="shared" si="20"/>
        <v>#DIV/0!</v>
      </c>
      <c r="U146" s="9" t="e">
        <f t="shared" si="20"/>
        <v>#DIV/0!</v>
      </c>
      <c r="V146" s="144" t="e">
        <f t="shared" si="20"/>
        <v>#DIV/0!</v>
      </c>
      <c r="W146" s="144" t="e">
        <f t="shared" si="20"/>
        <v>#DIV/0!</v>
      </c>
      <c r="X146" s="144" t="e">
        <f t="shared" si="20"/>
        <v>#DIV/0!</v>
      </c>
      <c r="Y146" s="144" t="e">
        <f t="shared" si="20"/>
        <v>#DIV/0!</v>
      </c>
      <c r="Z146" s="9" t="e">
        <f t="shared" si="20"/>
        <v>#DIV/0!</v>
      </c>
      <c r="AA146" s="144" t="e">
        <f t="shared" si="20"/>
        <v>#DIV/0!</v>
      </c>
      <c r="AB146" s="144" t="e">
        <f t="shared" si="20"/>
        <v>#DIV/0!</v>
      </c>
      <c r="AC146" s="144" t="e">
        <f t="shared" ref="AC146:AY146" si="21">AC8/AC$137</f>
        <v>#DIV/0!</v>
      </c>
      <c r="AD146" s="144" t="e">
        <f t="shared" si="21"/>
        <v>#DIV/0!</v>
      </c>
      <c r="AE146" s="9" t="e">
        <f t="shared" si="21"/>
        <v>#DIV/0!</v>
      </c>
      <c r="AF146" s="144" t="e">
        <f t="shared" si="21"/>
        <v>#DIV/0!</v>
      </c>
      <c r="AG146" s="144" t="e">
        <f t="shared" si="21"/>
        <v>#DIV/0!</v>
      </c>
      <c r="AH146" s="144" t="e">
        <f t="shared" si="21"/>
        <v>#DIV/0!</v>
      </c>
      <c r="AI146" s="144" t="e">
        <f t="shared" si="21"/>
        <v>#DIV/0!</v>
      </c>
      <c r="AJ146" s="9" t="e">
        <f t="shared" si="21"/>
        <v>#DIV/0!</v>
      </c>
      <c r="AK146" s="144" t="e">
        <f t="shared" si="21"/>
        <v>#DIV/0!</v>
      </c>
      <c r="AL146" s="144" t="e">
        <f t="shared" si="21"/>
        <v>#DIV/0!</v>
      </c>
      <c r="AM146" s="144" t="e">
        <f t="shared" si="21"/>
        <v>#DIV/0!</v>
      </c>
      <c r="AN146" s="144" t="e">
        <f t="shared" si="21"/>
        <v>#DIV/0!</v>
      </c>
      <c r="AO146" s="9" t="e">
        <f t="shared" si="21"/>
        <v>#DIV/0!</v>
      </c>
      <c r="AP146" s="144" t="e">
        <f t="shared" si="21"/>
        <v>#DIV/0!</v>
      </c>
      <c r="AQ146" s="144" t="e">
        <f t="shared" si="21"/>
        <v>#DIV/0!</v>
      </c>
      <c r="AR146" s="144" t="e">
        <f t="shared" si="21"/>
        <v>#DIV/0!</v>
      </c>
      <c r="AS146" s="144" t="e">
        <f t="shared" si="21"/>
        <v>#DIV/0!</v>
      </c>
      <c r="AT146" s="9" t="e">
        <f t="shared" si="21"/>
        <v>#DIV/0!</v>
      </c>
      <c r="AU146" s="144" t="e">
        <f t="shared" si="21"/>
        <v>#DIV/0!</v>
      </c>
      <c r="AV146" s="144" t="e">
        <f t="shared" si="21"/>
        <v>#DIV/0!</v>
      </c>
      <c r="AW146" s="144" t="e">
        <f t="shared" si="21"/>
        <v>#DIV/0!</v>
      </c>
      <c r="AX146" s="144" t="e">
        <f t="shared" si="21"/>
        <v>#DIV/0!</v>
      </c>
      <c r="AY146" s="117" t="e">
        <f t="shared" si="21"/>
        <v>#DIV/0!</v>
      </c>
    </row>
    <row r="147" spans="1:51">
      <c r="A147" s="137" t="s">
        <v>43</v>
      </c>
      <c r="B147" s="117" t="e">
        <f t="shared" ref="B147:AB147" si="22">B9/B$137</f>
        <v>#DIV/0!</v>
      </c>
      <c r="C147" s="117" t="e">
        <f t="shared" si="22"/>
        <v>#DIV/0!</v>
      </c>
      <c r="D147" s="117" t="e">
        <f t="shared" si="22"/>
        <v>#DIV/0!</v>
      </c>
      <c r="E147" s="117" t="e">
        <f t="shared" si="22"/>
        <v>#DIV/0!</v>
      </c>
      <c r="F147" s="9" t="e">
        <f t="shared" si="22"/>
        <v>#DIV/0!</v>
      </c>
      <c r="G147" s="117" t="e">
        <f t="shared" si="22"/>
        <v>#DIV/0!</v>
      </c>
      <c r="H147" s="117" t="e">
        <f t="shared" si="22"/>
        <v>#DIV/0!</v>
      </c>
      <c r="I147" s="117" t="e">
        <f t="shared" si="22"/>
        <v>#DIV/0!</v>
      </c>
      <c r="J147" s="117" t="e">
        <f t="shared" si="22"/>
        <v>#DIV/0!</v>
      </c>
      <c r="K147" s="9" t="e">
        <f t="shared" si="22"/>
        <v>#DIV/0!</v>
      </c>
      <c r="L147" s="117" t="e">
        <f t="shared" si="22"/>
        <v>#DIV/0!</v>
      </c>
      <c r="M147" s="117" t="e">
        <f t="shared" si="22"/>
        <v>#DIV/0!</v>
      </c>
      <c r="N147" s="117" t="e">
        <f t="shared" si="22"/>
        <v>#DIV/0!</v>
      </c>
      <c r="O147" s="117" t="e">
        <f t="shared" si="22"/>
        <v>#DIV/0!</v>
      </c>
      <c r="P147" s="9" t="e">
        <f t="shared" si="22"/>
        <v>#DIV/0!</v>
      </c>
      <c r="Q147" s="144" t="e">
        <f t="shared" si="22"/>
        <v>#DIV/0!</v>
      </c>
      <c r="R147" s="144" t="e">
        <f t="shared" si="22"/>
        <v>#DIV/0!</v>
      </c>
      <c r="S147" s="144" t="e">
        <f t="shared" si="22"/>
        <v>#DIV/0!</v>
      </c>
      <c r="T147" s="144" t="e">
        <f t="shared" si="22"/>
        <v>#DIV/0!</v>
      </c>
      <c r="U147" s="9" t="e">
        <f t="shared" si="22"/>
        <v>#DIV/0!</v>
      </c>
      <c r="V147" s="144" t="e">
        <f t="shared" si="22"/>
        <v>#DIV/0!</v>
      </c>
      <c r="W147" s="144" t="e">
        <f t="shared" si="22"/>
        <v>#DIV/0!</v>
      </c>
      <c r="X147" s="144" t="e">
        <f t="shared" si="22"/>
        <v>#DIV/0!</v>
      </c>
      <c r="Y147" s="144" t="e">
        <f t="shared" si="22"/>
        <v>#DIV/0!</v>
      </c>
      <c r="Z147" s="9" t="e">
        <f t="shared" si="22"/>
        <v>#DIV/0!</v>
      </c>
      <c r="AA147" s="144" t="e">
        <f t="shared" si="22"/>
        <v>#DIV/0!</v>
      </c>
      <c r="AB147" s="144" t="e">
        <f t="shared" si="22"/>
        <v>#DIV/0!</v>
      </c>
      <c r="AC147" s="144" t="e">
        <f t="shared" ref="AC147:AY147" si="23">AC9/AC$137</f>
        <v>#DIV/0!</v>
      </c>
      <c r="AD147" s="144" t="e">
        <f t="shared" si="23"/>
        <v>#DIV/0!</v>
      </c>
      <c r="AE147" s="9" t="e">
        <f t="shared" si="23"/>
        <v>#DIV/0!</v>
      </c>
      <c r="AF147" s="144" t="e">
        <f t="shared" si="23"/>
        <v>#DIV/0!</v>
      </c>
      <c r="AG147" s="144" t="e">
        <f t="shared" si="23"/>
        <v>#DIV/0!</v>
      </c>
      <c r="AH147" s="144" t="e">
        <f t="shared" si="23"/>
        <v>#DIV/0!</v>
      </c>
      <c r="AI147" s="144" t="e">
        <f t="shared" si="23"/>
        <v>#DIV/0!</v>
      </c>
      <c r="AJ147" s="9" t="e">
        <f t="shared" si="23"/>
        <v>#DIV/0!</v>
      </c>
      <c r="AK147" s="144" t="e">
        <f t="shared" si="23"/>
        <v>#DIV/0!</v>
      </c>
      <c r="AL147" s="144" t="e">
        <f t="shared" si="23"/>
        <v>#DIV/0!</v>
      </c>
      <c r="AM147" s="144" t="e">
        <f t="shared" si="23"/>
        <v>#DIV/0!</v>
      </c>
      <c r="AN147" s="144" t="e">
        <f t="shared" si="23"/>
        <v>#DIV/0!</v>
      </c>
      <c r="AO147" s="9" t="e">
        <f t="shared" si="23"/>
        <v>#DIV/0!</v>
      </c>
      <c r="AP147" s="144" t="e">
        <f t="shared" si="23"/>
        <v>#DIV/0!</v>
      </c>
      <c r="AQ147" s="144" t="e">
        <f t="shared" si="23"/>
        <v>#DIV/0!</v>
      </c>
      <c r="AR147" s="144" t="e">
        <f t="shared" si="23"/>
        <v>#DIV/0!</v>
      </c>
      <c r="AS147" s="144" t="e">
        <f t="shared" si="23"/>
        <v>#DIV/0!</v>
      </c>
      <c r="AT147" s="9" t="e">
        <f t="shared" si="23"/>
        <v>#DIV/0!</v>
      </c>
      <c r="AU147" s="144" t="e">
        <f t="shared" si="23"/>
        <v>#DIV/0!</v>
      </c>
      <c r="AV147" s="144" t="e">
        <f t="shared" si="23"/>
        <v>#DIV/0!</v>
      </c>
      <c r="AW147" s="144" t="e">
        <f t="shared" si="23"/>
        <v>#DIV/0!</v>
      </c>
      <c r="AX147" s="144" t="e">
        <f t="shared" si="23"/>
        <v>#DIV/0!</v>
      </c>
      <c r="AY147" s="117" t="e">
        <f t="shared" si="23"/>
        <v>#DIV/0!</v>
      </c>
    </row>
    <row r="148" spans="1:51">
      <c r="A148" s="137" t="s">
        <v>45</v>
      </c>
      <c r="B148" s="117" t="e">
        <f t="shared" ref="B148:AB148" si="24">B10/B$137</f>
        <v>#DIV/0!</v>
      </c>
      <c r="C148" s="117" t="e">
        <f t="shared" si="24"/>
        <v>#DIV/0!</v>
      </c>
      <c r="D148" s="117" t="e">
        <f t="shared" si="24"/>
        <v>#DIV/0!</v>
      </c>
      <c r="E148" s="117" t="e">
        <f t="shared" si="24"/>
        <v>#DIV/0!</v>
      </c>
      <c r="F148" s="9" t="e">
        <f t="shared" si="24"/>
        <v>#DIV/0!</v>
      </c>
      <c r="G148" s="117" t="e">
        <f t="shared" si="24"/>
        <v>#DIV/0!</v>
      </c>
      <c r="H148" s="117" t="e">
        <f t="shared" si="24"/>
        <v>#DIV/0!</v>
      </c>
      <c r="I148" s="117" t="e">
        <f t="shared" si="24"/>
        <v>#DIV/0!</v>
      </c>
      <c r="J148" s="117" t="e">
        <f t="shared" si="24"/>
        <v>#DIV/0!</v>
      </c>
      <c r="K148" s="9" t="e">
        <f t="shared" si="24"/>
        <v>#DIV/0!</v>
      </c>
      <c r="L148" s="117" t="e">
        <f t="shared" si="24"/>
        <v>#DIV/0!</v>
      </c>
      <c r="M148" s="117" t="e">
        <f t="shared" si="24"/>
        <v>#DIV/0!</v>
      </c>
      <c r="N148" s="117" t="e">
        <f t="shared" si="24"/>
        <v>#DIV/0!</v>
      </c>
      <c r="O148" s="117" t="e">
        <f t="shared" si="24"/>
        <v>#DIV/0!</v>
      </c>
      <c r="P148" s="9" t="e">
        <f t="shared" si="24"/>
        <v>#DIV/0!</v>
      </c>
      <c r="Q148" s="144" t="e">
        <f t="shared" si="24"/>
        <v>#DIV/0!</v>
      </c>
      <c r="R148" s="144" t="e">
        <f t="shared" si="24"/>
        <v>#DIV/0!</v>
      </c>
      <c r="S148" s="144" t="e">
        <f t="shared" si="24"/>
        <v>#DIV/0!</v>
      </c>
      <c r="T148" s="144" t="e">
        <f t="shared" si="24"/>
        <v>#DIV/0!</v>
      </c>
      <c r="U148" s="9" t="e">
        <f t="shared" si="24"/>
        <v>#DIV/0!</v>
      </c>
      <c r="V148" s="144" t="e">
        <f t="shared" si="24"/>
        <v>#DIV/0!</v>
      </c>
      <c r="W148" s="144" t="e">
        <f t="shared" si="24"/>
        <v>#DIV/0!</v>
      </c>
      <c r="X148" s="144" t="e">
        <f t="shared" si="24"/>
        <v>#DIV/0!</v>
      </c>
      <c r="Y148" s="144" t="e">
        <f t="shared" si="24"/>
        <v>#DIV/0!</v>
      </c>
      <c r="Z148" s="9" t="e">
        <f t="shared" si="24"/>
        <v>#DIV/0!</v>
      </c>
      <c r="AA148" s="144" t="e">
        <f t="shared" si="24"/>
        <v>#DIV/0!</v>
      </c>
      <c r="AB148" s="144" t="e">
        <f t="shared" si="24"/>
        <v>#DIV/0!</v>
      </c>
      <c r="AC148" s="144" t="e">
        <f t="shared" ref="AC148:AY148" si="25">AC10/AC$137</f>
        <v>#DIV/0!</v>
      </c>
      <c r="AD148" s="144" t="e">
        <f t="shared" si="25"/>
        <v>#DIV/0!</v>
      </c>
      <c r="AE148" s="9" t="e">
        <f t="shared" si="25"/>
        <v>#DIV/0!</v>
      </c>
      <c r="AF148" s="144" t="e">
        <f t="shared" si="25"/>
        <v>#DIV/0!</v>
      </c>
      <c r="AG148" s="144" t="e">
        <f t="shared" si="25"/>
        <v>#DIV/0!</v>
      </c>
      <c r="AH148" s="144" t="e">
        <f t="shared" si="25"/>
        <v>#DIV/0!</v>
      </c>
      <c r="AI148" s="144" t="e">
        <f t="shared" si="25"/>
        <v>#DIV/0!</v>
      </c>
      <c r="AJ148" s="9" t="e">
        <f t="shared" si="25"/>
        <v>#DIV/0!</v>
      </c>
      <c r="AK148" s="144" t="e">
        <f t="shared" si="25"/>
        <v>#DIV/0!</v>
      </c>
      <c r="AL148" s="144" t="e">
        <f t="shared" si="25"/>
        <v>#DIV/0!</v>
      </c>
      <c r="AM148" s="144" t="e">
        <f t="shared" si="25"/>
        <v>#DIV/0!</v>
      </c>
      <c r="AN148" s="144" t="e">
        <f t="shared" si="25"/>
        <v>#DIV/0!</v>
      </c>
      <c r="AO148" s="9" t="e">
        <f t="shared" si="25"/>
        <v>#DIV/0!</v>
      </c>
      <c r="AP148" s="144" t="e">
        <f t="shared" si="25"/>
        <v>#DIV/0!</v>
      </c>
      <c r="AQ148" s="144" t="e">
        <f t="shared" si="25"/>
        <v>#DIV/0!</v>
      </c>
      <c r="AR148" s="144" t="e">
        <f t="shared" si="25"/>
        <v>#DIV/0!</v>
      </c>
      <c r="AS148" s="144" t="e">
        <f t="shared" si="25"/>
        <v>#DIV/0!</v>
      </c>
      <c r="AT148" s="9" t="e">
        <f t="shared" si="25"/>
        <v>#DIV/0!</v>
      </c>
      <c r="AU148" s="144" t="e">
        <f t="shared" si="25"/>
        <v>#DIV/0!</v>
      </c>
      <c r="AV148" s="144" t="e">
        <f t="shared" si="25"/>
        <v>#DIV/0!</v>
      </c>
      <c r="AW148" s="144" t="e">
        <f t="shared" si="25"/>
        <v>#DIV/0!</v>
      </c>
      <c r="AX148" s="144" t="e">
        <f t="shared" si="25"/>
        <v>#DIV/0!</v>
      </c>
      <c r="AY148" s="117" t="e">
        <f t="shared" si="25"/>
        <v>#DIV/0!</v>
      </c>
    </row>
    <row r="149" spans="1:51">
      <c r="A149" s="137" t="s">
        <v>47</v>
      </c>
      <c r="B149" s="117" t="e">
        <f t="shared" ref="B149:AB149" si="26">B11/B$137</f>
        <v>#DIV/0!</v>
      </c>
      <c r="C149" s="117" t="e">
        <f t="shared" si="26"/>
        <v>#DIV/0!</v>
      </c>
      <c r="D149" s="117" t="e">
        <f t="shared" si="26"/>
        <v>#DIV/0!</v>
      </c>
      <c r="E149" s="117" t="e">
        <f t="shared" si="26"/>
        <v>#DIV/0!</v>
      </c>
      <c r="F149" s="9" t="e">
        <f t="shared" si="26"/>
        <v>#DIV/0!</v>
      </c>
      <c r="G149" s="117" t="e">
        <f t="shared" si="26"/>
        <v>#DIV/0!</v>
      </c>
      <c r="H149" s="117" t="e">
        <f t="shared" si="26"/>
        <v>#DIV/0!</v>
      </c>
      <c r="I149" s="117" t="e">
        <f t="shared" si="26"/>
        <v>#DIV/0!</v>
      </c>
      <c r="J149" s="117" t="e">
        <f t="shared" si="26"/>
        <v>#DIV/0!</v>
      </c>
      <c r="K149" s="9" t="e">
        <f t="shared" si="26"/>
        <v>#DIV/0!</v>
      </c>
      <c r="L149" s="117" t="e">
        <f t="shared" si="26"/>
        <v>#DIV/0!</v>
      </c>
      <c r="M149" s="117" t="e">
        <f t="shared" si="26"/>
        <v>#DIV/0!</v>
      </c>
      <c r="N149" s="117" t="e">
        <f t="shared" si="26"/>
        <v>#DIV/0!</v>
      </c>
      <c r="O149" s="117" t="e">
        <f t="shared" si="26"/>
        <v>#DIV/0!</v>
      </c>
      <c r="P149" s="9" t="e">
        <f t="shared" si="26"/>
        <v>#DIV/0!</v>
      </c>
      <c r="Q149" s="144" t="e">
        <f t="shared" si="26"/>
        <v>#DIV/0!</v>
      </c>
      <c r="R149" s="144" t="e">
        <f t="shared" si="26"/>
        <v>#DIV/0!</v>
      </c>
      <c r="S149" s="144" t="e">
        <f t="shared" si="26"/>
        <v>#DIV/0!</v>
      </c>
      <c r="T149" s="144" t="e">
        <f t="shared" si="26"/>
        <v>#DIV/0!</v>
      </c>
      <c r="U149" s="9" t="e">
        <f t="shared" si="26"/>
        <v>#DIV/0!</v>
      </c>
      <c r="V149" s="144" t="e">
        <f t="shared" si="26"/>
        <v>#DIV/0!</v>
      </c>
      <c r="W149" s="144" t="e">
        <f t="shared" si="26"/>
        <v>#DIV/0!</v>
      </c>
      <c r="X149" s="144" t="e">
        <f t="shared" si="26"/>
        <v>#DIV/0!</v>
      </c>
      <c r="Y149" s="144" t="e">
        <f t="shared" si="26"/>
        <v>#DIV/0!</v>
      </c>
      <c r="Z149" s="9" t="e">
        <f t="shared" si="26"/>
        <v>#DIV/0!</v>
      </c>
      <c r="AA149" s="144" t="e">
        <f t="shared" si="26"/>
        <v>#DIV/0!</v>
      </c>
      <c r="AB149" s="144" t="e">
        <f t="shared" si="26"/>
        <v>#DIV/0!</v>
      </c>
      <c r="AC149" s="144" t="e">
        <f t="shared" ref="AC149:AY149" si="27">AC11/AC$137</f>
        <v>#DIV/0!</v>
      </c>
      <c r="AD149" s="144" t="e">
        <f t="shared" si="27"/>
        <v>#DIV/0!</v>
      </c>
      <c r="AE149" s="9" t="e">
        <f t="shared" si="27"/>
        <v>#DIV/0!</v>
      </c>
      <c r="AF149" s="144" t="e">
        <f t="shared" si="27"/>
        <v>#DIV/0!</v>
      </c>
      <c r="AG149" s="144" t="e">
        <f t="shared" si="27"/>
        <v>#DIV/0!</v>
      </c>
      <c r="AH149" s="144" t="e">
        <f t="shared" si="27"/>
        <v>#DIV/0!</v>
      </c>
      <c r="AI149" s="144" t="e">
        <f t="shared" si="27"/>
        <v>#DIV/0!</v>
      </c>
      <c r="AJ149" s="9" t="e">
        <f t="shared" si="27"/>
        <v>#DIV/0!</v>
      </c>
      <c r="AK149" s="144" t="e">
        <f t="shared" si="27"/>
        <v>#DIV/0!</v>
      </c>
      <c r="AL149" s="144" t="e">
        <f t="shared" si="27"/>
        <v>#DIV/0!</v>
      </c>
      <c r="AM149" s="144" t="e">
        <f t="shared" si="27"/>
        <v>#DIV/0!</v>
      </c>
      <c r="AN149" s="144" t="e">
        <f t="shared" si="27"/>
        <v>#DIV/0!</v>
      </c>
      <c r="AO149" s="9" t="e">
        <f t="shared" si="27"/>
        <v>#DIV/0!</v>
      </c>
      <c r="AP149" s="144" t="e">
        <f t="shared" si="27"/>
        <v>#DIV/0!</v>
      </c>
      <c r="AQ149" s="144" t="e">
        <f t="shared" si="27"/>
        <v>#DIV/0!</v>
      </c>
      <c r="AR149" s="144" t="e">
        <f t="shared" si="27"/>
        <v>#DIV/0!</v>
      </c>
      <c r="AS149" s="144" t="e">
        <f t="shared" si="27"/>
        <v>#DIV/0!</v>
      </c>
      <c r="AT149" s="9" t="e">
        <f t="shared" si="27"/>
        <v>#DIV/0!</v>
      </c>
      <c r="AU149" s="144" t="e">
        <f t="shared" si="27"/>
        <v>#DIV/0!</v>
      </c>
      <c r="AV149" s="144" t="e">
        <f t="shared" si="27"/>
        <v>#DIV/0!</v>
      </c>
      <c r="AW149" s="144" t="e">
        <f t="shared" si="27"/>
        <v>#DIV/0!</v>
      </c>
      <c r="AX149" s="144" t="e">
        <f t="shared" si="27"/>
        <v>#DIV/0!</v>
      </c>
      <c r="AY149" s="117" t="e">
        <f t="shared" si="27"/>
        <v>#DIV/0!</v>
      </c>
    </row>
    <row r="150" spans="1:51">
      <c r="A150" s="137" t="s">
        <v>49</v>
      </c>
      <c r="B150" s="117" t="e">
        <f t="shared" ref="B150:AB150" si="28">B12/B$137</f>
        <v>#DIV/0!</v>
      </c>
      <c r="C150" s="117" t="e">
        <f t="shared" si="28"/>
        <v>#DIV/0!</v>
      </c>
      <c r="D150" s="117" t="e">
        <f t="shared" si="28"/>
        <v>#DIV/0!</v>
      </c>
      <c r="E150" s="117" t="e">
        <f t="shared" si="28"/>
        <v>#DIV/0!</v>
      </c>
      <c r="F150" s="9" t="e">
        <f t="shared" si="28"/>
        <v>#DIV/0!</v>
      </c>
      <c r="G150" s="117" t="e">
        <f t="shared" si="28"/>
        <v>#DIV/0!</v>
      </c>
      <c r="H150" s="117" t="e">
        <f t="shared" si="28"/>
        <v>#DIV/0!</v>
      </c>
      <c r="I150" s="117" t="e">
        <f t="shared" si="28"/>
        <v>#DIV/0!</v>
      </c>
      <c r="J150" s="117" t="e">
        <f t="shared" si="28"/>
        <v>#DIV/0!</v>
      </c>
      <c r="K150" s="9" t="e">
        <f t="shared" si="28"/>
        <v>#DIV/0!</v>
      </c>
      <c r="L150" s="117" t="e">
        <f t="shared" si="28"/>
        <v>#DIV/0!</v>
      </c>
      <c r="M150" s="117" t="e">
        <f t="shared" si="28"/>
        <v>#DIV/0!</v>
      </c>
      <c r="N150" s="117" t="e">
        <f t="shared" si="28"/>
        <v>#DIV/0!</v>
      </c>
      <c r="O150" s="117" t="e">
        <f t="shared" si="28"/>
        <v>#DIV/0!</v>
      </c>
      <c r="P150" s="9" t="e">
        <f t="shared" si="28"/>
        <v>#DIV/0!</v>
      </c>
      <c r="Q150" s="144" t="e">
        <f t="shared" si="28"/>
        <v>#DIV/0!</v>
      </c>
      <c r="R150" s="144" t="e">
        <f t="shared" si="28"/>
        <v>#DIV/0!</v>
      </c>
      <c r="S150" s="144" t="e">
        <f t="shared" si="28"/>
        <v>#DIV/0!</v>
      </c>
      <c r="T150" s="144" t="e">
        <f t="shared" si="28"/>
        <v>#DIV/0!</v>
      </c>
      <c r="U150" s="9" t="e">
        <f t="shared" si="28"/>
        <v>#DIV/0!</v>
      </c>
      <c r="V150" s="144" t="e">
        <f t="shared" si="28"/>
        <v>#DIV/0!</v>
      </c>
      <c r="W150" s="144" t="e">
        <f t="shared" si="28"/>
        <v>#DIV/0!</v>
      </c>
      <c r="X150" s="144" t="e">
        <f t="shared" si="28"/>
        <v>#DIV/0!</v>
      </c>
      <c r="Y150" s="144" t="e">
        <f t="shared" si="28"/>
        <v>#DIV/0!</v>
      </c>
      <c r="Z150" s="9" t="e">
        <f t="shared" si="28"/>
        <v>#DIV/0!</v>
      </c>
      <c r="AA150" s="144" t="e">
        <f t="shared" si="28"/>
        <v>#DIV/0!</v>
      </c>
      <c r="AB150" s="144" t="e">
        <f t="shared" si="28"/>
        <v>#DIV/0!</v>
      </c>
      <c r="AC150" s="144" t="e">
        <f t="shared" ref="AC150:AY150" si="29">AC12/AC$137</f>
        <v>#DIV/0!</v>
      </c>
      <c r="AD150" s="144" t="e">
        <f t="shared" si="29"/>
        <v>#DIV/0!</v>
      </c>
      <c r="AE150" s="9" t="e">
        <f t="shared" si="29"/>
        <v>#DIV/0!</v>
      </c>
      <c r="AF150" s="144" t="e">
        <f t="shared" si="29"/>
        <v>#DIV/0!</v>
      </c>
      <c r="AG150" s="144" t="e">
        <f t="shared" si="29"/>
        <v>#DIV/0!</v>
      </c>
      <c r="AH150" s="144" t="e">
        <f t="shared" si="29"/>
        <v>#DIV/0!</v>
      </c>
      <c r="AI150" s="144" t="e">
        <f t="shared" si="29"/>
        <v>#DIV/0!</v>
      </c>
      <c r="AJ150" s="9" t="e">
        <f t="shared" si="29"/>
        <v>#DIV/0!</v>
      </c>
      <c r="AK150" s="144" t="e">
        <f t="shared" si="29"/>
        <v>#DIV/0!</v>
      </c>
      <c r="AL150" s="144" t="e">
        <f t="shared" si="29"/>
        <v>#DIV/0!</v>
      </c>
      <c r="AM150" s="144" t="e">
        <f t="shared" si="29"/>
        <v>#DIV/0!</v>
      </c>
      <c r="AN150" s="144" t="e">
        <f t="shared" si="29"/>
        <v>#DIV/0!</v>
      </c>
      <c r="AO150" s="9" t="e">
        <f t="shared" si="29"/>
        <v>#DIV/0!</v>
      </c>
      <c r="AP150" s="144" t="e">
        <f t="shared" si="29"/>
        <v>#DIV/0!</v>
      </c>
      <c r="AQ150" s="144" t="e">
        <f t="shared" si="29"/>
        <v>#DIV/0!</v>
      </c>
      <c r="AR150" s="144" t="e">
        <f t="shared" si="29"/>
        <v>#DIV/0!</v>
      </c>
      <c r="AS150" s="144" t="e">
        <f t="shared" si="29"/>
        <v>#DIV/0!</v>
      </c>
      <c r="AT150" s="9" t="e">
        <f t="shared" si="29"/>
        <v>#DIV/0!</v>
      </c>
      <c r="AU150" s="144" t="e">
        <f t="shared" si="29"/>
        <v>#DIV/0!</v>
      </c>
      <c r="AV150" s="144" t="e">
        <f t="shared" si="29"/>
        <v>#DIV/0!</v>
      </c>
      <c r="AW150" s="144" t="e">
        <f t="shared" si="29"/>
        <v>#DIV/0!</v>
      </c>
      <c r="AX150" s="144" t="e">
        <f t="shared" si="29"/>
        <v>#DIV/0!</v>
      </c>
      <c r="AY150" s="117" t="e">
        <f t="shared" si="29"/>
        <v>#DIV/0!</v>
      </c>
    </row>
    <row r="151" spans="1:51">
      <c r="A151" s="137" t="s">
        <v>51</v>
      </c>
      <c r="B151" s="117" t="e">
        <f t="shared" ref="B151:AB151" si="30">B13/B$137</f>
        <v>#DIV/0!</v>
      </c>
      <c r="C151" s="117" t="e">
        <f t="shared" si="30"/>
        <v>#DIV/0!</v>
      </c>
      <c r="D151" s="117" t="e">
        <f t="shared" si="30"/>
        <v>#DIV/0!</v>
      </c>
      <c r="E151" s="117" t="e">
        <f t="shared" si="30"/>
        <v>#DIV/0!</v>
      </c>
      <c r="F151" s="9" t="e">
        <f t="shared" si="30"/>
        <v>#DIV/0!</v>
      </c>
      <c r="G151" s="117" t="e">
        <f t="shared" si="30"/>
        <v>#DIV/0!</v>
      </c>
      <c r="H151" s="117" t="e">
        <f t="shared" si="30"/>
        <v>#DIV/0!</v>
      </c>
      <c r="I151" s="117" t="e">
        <f t="shared" si="30"/>
        <v>#DIV/0!</v>
      </c>
      <c r="J151" s="117" t="e">
        <f t="shared" si="30"/>
        <v>#DIV/0!</v>
      </c>
      <c r="K151" s="9" t="e">
        <f t="shared" si="30"/>
        <v>#DIV/0!</v>
      </c>
      <c r="L151" s="117" t="e">
        <f t="shared" si="30"/>
        <v>#DIV/0!</v>
      </c>
      <c r="M151" s="117" t="e">
        <f t="shared" si="30"/>
        <v>#DIV/0!</v>
      </c>
      <c r="N151" s="117" t="e">
        <f t="shared" si="30"/>
        <v>#DIV/0!</v>
      </c>
      <c r="O151" s="117" t="e">
        <f t="shared" si="30"/>
        <v>#DIV/0!</v>
      </c>
      <c r="P151" s="9" t="e">
        <f t="shared" si="30"/>
        <v>#DIV/0!</v>
      </c>
      <c r="Q151" s="144" t="e">
        <f t="shared" si="30"/>
        <v>#DIV/0!</v>
      </c>
      <c r="R151" s="144" t="e">
        <f t="shared" si="30"/>
        <v>#DIV/0!</v>
      </c>
      <c r="S151" s="144" t="e">
        <f t="shared" si="30"/>
        <v>#DIV/0!</v>
      </c>
      <c r="T151" s="144" t="e">
        <f t="shared" si="30"/>
        <v>#DIV/0!</v>
      </c>
      <c r="U151" s="9" t="e">
        <f t="shared" si="30"/>
        <v>#DIV/0!</v>
      </c>
      <c r="V151" s="144" t="e">
        <f t="shared" si="30"/>
        <v>#DIV/0!</v>
      </c>
      <c r="W151" s="144" t="e">
        <f t="shared" si="30"/>
        <v>#DIV/0!</v>
      </c>
      <c r="X151" s="144" t="e">
        <f t="shared" si="30"/>
        <v>#DIV/0!</v>
      </c>
      <c r="Y151" s="144" t="e">
        <f t="shared" si="30"/>
        <v>#DIV/0!</v>
      </c>
      <c r="Z151" s="9" t="e">
        <f t="shared" si="30"/>
        <v>#DIV/0!</v>
      </c>
      <c r="AA151" s="144" t="e">
        <f t="shared" si="30"/>
        <v>#DIV/0!</v>
      </c>
      <c r="AB151" s="144" t="e">
        <f t="shared" si="30"/>
        <v>#DIV/0!</v>
      </c>
      <c r="AC151" s="144" t="e">
        <f t="shared" ref="AC151:AY151" si="31">AC13/AC$137</f>
        <v>#DIV/0!</v>
      </c>
      <c r="AD151" s="144" t="e">
        <f t="shared" si="31"/>
        <v>#DIV/0!</v>
      </c>
      <c r="AE151" s="9" t="e">
        <f t="shared" si="31"/>
        <v>#DIV/0!</v>
      </c>
      <c r="AF151" s="144" t="e">
        <f t="shared" si="31"/>
        <v>#DIV/0!</v>
      </c>
      <c r="AG151" s="144" t="e">
        <f t="shared" si="31"/>
        <v>#DIV/0!</v>
      </c>
      <c r="AH151" s="144" t="e">
        <f t="shared" si="31"/>
        <v>#DIV/0!</v>
      </c>
      <c r="AI151" s="144" t="e">
        <f t="shared" si="31"/>
        <v>#DIV/0!</v>
      </c>
      <c r="AJ151" s="9" t="e">
        <f t="shared" si="31"/>
        <v>#DIV/0!</v>
      </c>
      <c r="AK151" s="144" t="e">
        <f t="shared" si="31"/>
        <v>#DIV/0!</v>
      </c>
      <c r="AL151" s="144" t="e">
        <f t="shared" si="31"/>
        <v>#DIV/0!</v>
      </c>
      <c r="AM151" s="144" t="e">
        <f t="shared" si="31"/>
        <v>#DIV/0!</v>
      </c>
      <c r="AN151" s="144" t="e">
        <f t="shared" si="31"/>
        <v>#DIV/0!</v>
      </c>
      <c r="AO151" s="9" t="e">
        <f t="shared" si="31"/>
        <v>#DIV/0!</v>
      </c>
      <c r="AP151" s="144" t="e">
        <f t="shared" si="31"/>
        <v>#DIV/0!</v>
      </c>
      <c r="AQ151" s="144" t="e">
        <f t="shared" si="31"/>
        <v>#DIV/0!</v>
      </c>
      <c r="AR151" s="144" t="e">
        <f t="shared" si="31"/>
        <v>#DIV/0!</v>
      </c>
      <c r="AS151" s="144" t="e">
        <f t="shared" si="31"/>
        <v>#DIV/0!</v>
      </c>
      <c r="AT151" s="9" t="e">
        <f t="shared" si="31"/>
        <v>#DIV/0!</v>
      </c>
      <c r="AU151" s="144" t="e">
        <f t="shared" si="31"/>
        <v>#DIV/0!</v>
      </c>
      <c r="AV151" s="144" t="e">
        <f t="shared" si="31"/>
        <v>#DIV/0!</v>
      </c>
      <c r="AW151" s="144" t="e">
        <f t="shared" si="31"/>
        <v>#DIV/0!</v>
      </c>
      <c r="AX151" s="144" t="e">
        <f t="shared" si="31"/>
        <v>#DIV/0!</v>
      </c>
      <c r="AY151" s="117" t="e">
        <f t="shared" si="31"/>
        <v>#DIV/0!</v>
      </c>
    </row>
    <row r="152" spans="1:51">
      <c r="A152" s="137" t="s">
        <v>53</v>
      </c>
      <c r="B152" s="117" t="e">
        <f t="shared" ref="B152:AB152" si="32">B14/B$137</f>
        <v>#DIV/0!</v>
      </c>
      <c r="C152" s="117" t="e">
        <f t="shared" si="32"/>
        <v>#DIV/0!</v>
      </c>
      <c r="D152" s="117" t="e">
        <f t="shared" si="32"/>
        <v>#DIV/0!</v>
      </c>
      <c r="E152" s="117" t="e">
        <f t="shared" si="32"/>
        <v>#DIV/0!</v>
      </c>
      <c r="F152" s="9" t="e">
        <f t="shared" si="32"/>
        <v>#DIV/0!</v>
      </c>
      <c r="G152" s="117" t="e">
        <f t="shared" si="32"/>
        <v>#DIV/0!</v>
      </c>
      <c r="H152" s="117" t="e">
        <f t="shared" si="32"/>
        <v>#DIV/0!</v>
      </c>
      <c r="I152" s="117" t="e">
        <f t="shared" si="32"/>
        <v>#DIV/0!</v>
      </c>
      <c r="J152" s="117" t="e">
        <f t="shared" si="32"/>
        <v>#DIV/0!</v>
      </c>
      <c r="K152" s="9" t="e">
        <f t="shared" si="32"/>
        <v>#DIV/0!</v>
      </c>
      <c r="L152" s="117" t="e">
        <f t="shared" si="32"/>
        <v>#DIV/0!</v>
      </c>
      <c r="M152" s="117" t="e">
        <f t="shared" si="32"/>
        <v>#DIV/0!</v>
      </c>
      <c r="N152" s="117" t="e">
        <f t="shared" si="32"/>
        <v>#DIV/0!</v>
      </c>
      <c r="O152" s="117" t="e">
        <f t="shared" si="32"/>
        <v>#DIV/0!</v>
      </c>
      <c r="P152" s="9" t="e">
        <f t="shared" si="32"/>
        <v>#DIV/0!</v>
      </c>
      <c r="Q152" s="144" t="e">
        <f t="shared" si="32"/>
        <v>#DIV/0!</v>
      </c>
      <c r="R152" s="144" t="e">
        <f t="shared" si="32"/>
        <v>#DIV/0!</v>
      </c>
      <c r="S152" s="144" t="e">
        <f t="shared" si="32"/>
        <v>#DIV/0!</v>
      </c>
      <c r="T152" s="144" t="e">
        <f t="shared" si="32"/>
        <v>#DIV/0!</v>
      </c>
      <c r="U152" s="9" t="e">
        <f t="shared" si="32"/>
        <v>#DIV/0!</v>
      </c>
      <c r="V152" s="144" t="e">
        <f t="shared" si="32"/>
        <v>#DIV/0!</v>
      </c>
      <c r="W152" s="144" t="e">
        <f t="shared" si="32"/>
        <v>#DIV/0!</v>
      </c>
      <c r="X152" s="144" t="e">
        <f t="shared" si="32"/>
        <v>#DIV/0!</v>
      </c>
      <c r="Y152" s="144" t="e">
        <f t="shared" si="32"/>
        <v>#DIV/0!</v>
      </c>
      <c r="Z152" s="9" t="e">
        <f t="shared" si="32"/>
        <v>#DIV/0!</v>
      </c>
      <c r="AA152" s="144" t="e">
        <f t="shared" si="32"/>
        <v>#DIV/0!</v>
      </c>
      <c r="AB152" s="144" t="e">
        <f t="shared" si="32"/>
        <v>#DIV/0!</v>
      </c>
      <c r="AC152" s="144" t="e">
        <f t="shared" ref="AC152:AY152" si="33">AC14/AC$137</f>
        <v>#DIV/0!</v>
      </c>
      <c r="AD152" s="144" t="e">
        <f t="shared" si="33"/>
        <v>#DIV/0!</v>
      </c>
      <c r="AE152" s="9" t="e">
        <f t="shared" si="33"/>
        <v>#DIV/0!</v>
      </c>
      <c r="AF152" s="144" t="e">
        <f t="shared" si="33"/>
        <v>#DIV/0!</v>
      </c>
      <c r="AG152" s="144" t="e">
        <f t="shared" si="33"/>
        <v>#DIV/0!</v>
      </c>
      <c r="AH152" s="144" t="e">
        <f t="shared" si="33"/>
        <v>#DIV/0!</v>
      </c>
      <c r="AI152" s="144" t="e">
        <f t="shared" si="33"/>
        <v>#DIV/0!</v>
      </c>
      <c r="AJ152" s="9" t="e">
        <f t="shared" si="33"/>
        <v>#DIV/0!</v>
      </c>
      <c r="AK152" s="144" t="e">
        <f t="shared" si="33"/>
        <v>#DIV/0!</v>
      </c>
      <c r="AL152" s="144" t="e">
        <f t="shared" si="33"/>
        <v>#DIV/0!</v>
      </c>
      <c r="AM152" s="144" t="e">
        <f t="shared" si="33"/>
        <v>#DIV/0!</v>
      </c>
      <c r="AN152" s="144" t="e">
        <f t="shared" si="33"/>
        <v>#DIV/0!</v>
      </c>
      <c r="AO152" s="9" t="e">
        <f t="shared" si="33"/>
        <v>#DIV/0!</v>
      </c>
      <c r="AP152" s="144" t="e">
        <f t="shared" si="33"/>
        <v>#DIV/0!</v>
      </c>
      <c r="AQ152" s="144" t="e">
        <f t="shared" si="33"/>
        <v>#DIV/0!</v>
      </c>
      <c r="AR152" s="144" t="e">
        <f t="shared" si="33"/>
        <v>#DIV/0!</v>
      </c>
      <c r="AS152" s="144" t="e">
        <f t="shared" si="33"/>
        <v>#DIV/0!</v>
      </c>
      <c r="AT152" s="9" t="e">
        <f t="shared" si="33"/>
        <v>#DIV/0!</v>
      </c>
      <c r="AU152" s="144" t="e">
        <f t="shared" si="33"/>
        <v>#DIV/0!</v>
      </c>
      <c r="AV152" s="144" t="e">
        <f t="shared" si="33"/>
        <v>#DIV/0!</v>
      </c>
      <c r="AW152" s="144" t="e">
        <f t="shared" si="33"/>
        <v>#DIV/0!</v>
      </c>
      <c r="AX152" s="144" t="e">
        <f t="shared" si="33"/>
        <v>#DIV/0!</v>
      </c>
      <c r="AY152" s="117" t="e">
        <f t="shared" si="33"/>
        <v>#DIV/0!</v>
      </c>
    </row>
    <row r="153" spans="1:51">
      <c r="A153" s="137" t="s">
        <v>55</v>
      </c>
      <c r="B153" s="117" t="e">
        <f t="shared" ref="B153:AB153" si="34">B15/B$137</f>
        <v>#DIV/0!</v>
      </c>
      <c r="C153" s="117" t="e">
        <f t="shared" si="34"/>
        <v>#DIV/0!</v>
      </c>
      <c r="D153" s="117" t="e">
        <f t="shared" si="34"/>
        <v>#DIV/0!</v>
      </c>
      <c r="E153" s="117" t="e">
        <f t="shared" si="34"/>
        <v>#DIV/0!</v>
      </c>
      <c r="F153" s="9" t="e">
        <f t="shared" si="34"/>
        <v>#DIV/0!</v>
      </c>
      <c r="G153" s="117" t="e">
        <f t="shared" si="34"/>
        <v>#DIV/0!</v>
      </c>
      <c r="H153" s="117" t="e">
        <f t="shared" si="34"/>
        <v>#DIV/0!</v>
      </c>
      <c r="I153" s="117" t="e">
        <f t="shared" si="34"/>
        <v>#DIV/0!</v>
      </c>
      <c r="J153" s="117" t="e">
        <f t="shared" si="34"/>
        <v>#DIV/0!</v>
      </c>
      <c r="K153" s="9" t="e">
        <f t="shared" si="34"/>
        <v>#DIV/0!</v>
      </c>
      <c r="L153" s="117" t="e">
        <f t="shared" si="34"/>
        <v>#DIV/0!</v>
      </c>
      <c r="M153" s="117" t="e">
        <f t="shared" si="34"/>
        <v>#DIV/0!</v>
      </c>
      <c r="N153" s="117" t="e">
        <f t="shared" si="34"/>
        <v>#DIV/0!</v>
      </c>
      <c r="O153" s="117" t="e">
        <f t="shared" si="34"/>
        <v>#DIV/0!</v>
      </c>
      <c r="P153" s="9" t="e">
        <f t="shared" si="34"/>
        <v>#DIV/0!</v>
      </c>
      <c r="Q153" s="144" t="e">
        <f t="shared" si="34"/>
        <v>#DIV/0!</v>
      </c>
      <c r="R153" s="144" t="e">
        <f t="shared" si="34"/>
        <v>#DIV/0!</v>
      </c>
      <c r="S153" s="144" t="e">
        <f t="shared" si="34"/>
        <v>#DIV/0!</v>
      </c>
      <c r="T153" s="144" t="e">
        <f t="shared" si="34"/>
        <v>#DIV/0!</v>
      </c>
      <c r="U153" s="9" t="e">
        <f t="shared" si="34"/>
        <v>#DIV/0!</v>
      </c>
      <c r="V153" s="144" t="e">
        <f t="shared" si="34"/>
        <v>#DIV/0!</v>
      </c>
      <c r="W153" s="144" t="e">
        <f t="shared" si="34"/>
        <v>#DIV/0!</v>
      </c>
      <c r="X153" s="144" t="e">
        <f t="shared" si="34"/>
        <v>#DIV/0!</v>
      </c>
      <c r="Y153" s="144" t="e">
        <f t="shared" si="34"/>
        <v>#DIV/0!</v>
      </c>
      <c r="Z153" s="9" t="e">
        <f t="shared" si="34"/>
        <v>#DIV/0!</v>
      </c>
      <c r="AA153" s="144" t="e">
        <f t="shared" si="34"/>
        <v>#DIV/0!</v>
      </c>
      <c r="AB153" s="144" t="e">
        <f t="shared" si="34"/>
        <v>#DIV/0!</v>
      </c>
      <c r="AC153" s="144" t="e">
        <f t="shared" ref="AC153:AY153" si="35">AC15/AC$137</f>
        <v>#DIV/0!</v>
      </c>
      <c r="AD153" s="144" t="e">
        <f t="shared" si="35"/>
        <v>#DIV/0!</v>
      </c>
      <c r="AE153" s="9" t="e">
        <f t="shared" si="35"/>
        <v>#DIV/0!</v>
      </c>
      <c r="AF153" s="144" t="e">
        <f t="shared" si="35"/>
        <v>#DIV/0!</v>
      </c>
      <c r="AG153" s="144" t="e">
        <f t="shared" si="35"/>
        <v>#DIV/0!</v>
      </c>
      <c r="AH153" s="144" t="e">
        <f t="shared" si="35"/>
        <v>#DIV/0!</v>
      </c>
      <c r="AI153" s="144" t="e">
        <f t="shared" si="35"/>
        <v>#DIV/0!</v>
      </c>
      <c r="AJ153" s="9" t="e">
        <f t="shared" si="35"/>
        <v>#DIV/0!</v>
      </c>
      <c r="AK153" s="144" t="e">
        <f t="shared" si="35"/>
        <v>#DIV/0!</v>
      </c>
      <c r="AL153" s="144" t="e">
        <f t="shared" si="35"/>
        <v>#DIV/0!</v>
      </c>
      <c r="AM153" s="144" t="e">
        <f t="shared" si="35"/>
        <v>#DIV/0!</v>
      </c>
      <c r="AN153" s="144" t="e">
        <f t="shared" si="35"/>
        <v>#DIV/0!</v>
      </c>
      <c r="AO153" s="9" t="e">
        <f t="shared" si="35"/>
        <v>#DIV/0!</v>
      </c>
      <c r="AP153" s="144" t="e">
        <f t="shared" si="35"/>
        <v>#DIV/0!</v>
      </c>
      <c r="AQ153" s="144" t="e">
        <f t="shared" si="35"/>
        <v>#DIV/0!</v>
      </c>
      <c r="AR153" s="144" t="e">
        <f t="shared" si="35"/>
        <v>#DIV/0!</v>
      </c>
      <c r="AS153" s="144" t="e">
        <f t="shared" si="35"/>
        <v>#DIV/0!</v>
      </c>
      <c r="AT153" s="9" t="e">
        <f t="shared" si="35"/>
        <v>#DIV/0!</v>
      </c>
      <c r="AU153" s="144" t="e">
        <f t="shared" si="35"/>
        <v>#DIV/0!</v>
      </c>
      <c r="AV153" s="144" t="e">
        <f t="shared" si="35"/>
        <v>#DIV/0!</v>
      </c>
      <c r="AW153" s="144" t="e">
        <f t="shared" si="35"/>
        <v>#DIV/0!</v>
      </c>
      <c r="AX153" s="144" t="e">
        <f t="shared" si="35"/>
        <v>#DIV/0!</v>
      </c>
      <c r="AY153" s="117" t="e">
        <f t="shared" si="35"/>
        <v>#DIV/0!</v>
      </c>
    </row>
    <row r="154" spans="1:51">
      <c r="A154" s="137" t="s">
        <v>57</v>
      </c>
      <c r="B154" s="117" t="e">
        <f t="shared" ref="B154:AB154" si="36">B16/B$137</f>
        <v>#DIV/0!</v>
      </c>
      <c r="C154" s="117" t="e">
        <f t="shared" si="36"/>
        <v>#DIV/0!</v>
      </c>
      <c r="D154" s="117" t="e">
        <f t="shared" si="36"/>
        <v>#DIV/0!</v>
      </c>
      <c r="E154" s="117" t="e">
        <f t="shared" si="36"/>
        <v>#DIV/0!</v>
      </c>
      <c r="F154" s="9" t="e">
        <f t="shared" si="36"/>
        <v>#DIV/0!</v>
      </c>
      <c r="G154" s="117" t="e">
        <f t="shared" si="36"/>
        <v>#DIV/0!</v>
      </c>
      <c r="H154" s="117" t="e">
        <f t="shared" si="36"/>
        <v>#DIV/0!</v>
      </c>
      <c r="I154" s="117" t="e">
        <f t="shared" si="36"/>
        <v>#DIV/0!</v>
      </c>
      <c r="J154" s="117" t="e">
        <f t="shared" si="36"/>
        <v>#DIV/0!</v>
      </c>
      <c r="K154" s="9" t="e">
        <f t="shared" si="36"/>
        <v>#DIV/0!</v>
      </c>
      <c r="L154" s="117" t="e">
        <f t="shared" si="36"/>
        <v>#DIV/0!</v>
      </c>
      <c r="M154" s="117" t="e">
        <f t="shared" si="36"/>
        <v>#DIV/0!</v>
      </c>
      <c r="N154" s="117" t="e">
        <f t="shared" si="36"/>
        <v>#DIV/0!</v>
      </c>
      <c r="O154" s="117" t="e">
        <f t="shared" si="36"/>
        <v>#DIV/0!</v>
      </c>
      <c r="P154" s="9" t="e">
        <f t="shared" si="36"/>
        <v>#DIV/0!</v>
      </c>
      <c r="Q154" s="144" t="e">
        <f t="shared" si="36"/>
        <v>#DIV/0!</v>
      </c>
      <c r="R154" s="144" t="e">
        <f t="shared" si="36"/>
        <v>#DIV/0!</v>
      </c>
      <c r="S154" s="144" t="e">
        <f t="shared" si="36"/>
        <v>#DIV/0!</v>
      </c>
      <c r="T154" s="144" t="e">
        <f t="shared" si="36"/>
        <v>#DIV/0!</v>
      </c>
      <c r="U154" s="9" t="e">
        <f t="shared" si="36"/>
        <v>#DIV/0!</v>
      </c>
      <c r="V154" s="144" t="e">
        <f t="shared" si="36"/>
        <v>#DIV/0!</v>
      </c>
      <c r="W154" s="144" t="e">
        <f t="shared" si="36"/>
        <v>#DIV/0!</v>
      </c>
      <c r="X154" s="144" t="e">
        <f t="shared" si="36"/>
        <v>#DIV/0!</v>
      </c>
      <c r="Y154" s="144" t="e">
        <f t="shared" si="36"/>
        <v>#DIV/0!</v>
      </c>
      <c r="Z154" s="9" t="e">
        <f t="shared" si="36"/>
        <v>#DIV/0!</v>
      </c>
      <c r="AA154" s="144" t="e">
        <f t="shared" si="36"/>
        <v>#DIV/0!</v>
      </c>
      <c r="AB154" s="144" t="e">
        <f t="shared" si="36"/>
        <v>#DIV/0!</v>
      </c>
      <c r="AC154" s="144" t="e">
        <f t="shared" ref="AC154:AY154" si="37">AC16/AC$137</f>
        <v>#DIV/0!</v>
      </c>
      <c r="AD154" s="144" t="e">
        <f t="shared" si="37"/>
        <v>#DIV/0!</v>
      </c>
      <c r="AE154" s="9" t="e">
        <f t="shared" si="37"/>
        <v>#DIV/0!</v>
      </c>
      <c r="AF154" s="144" t="e">
        <f t="shared" si="37"/>
        <v>#DIV/0!</v>
      </c>
      <c r="AG154" s="144" t="e">
        <f t="shared" si="37"/>
        <v>#DIV/0!</v>
      </c>
      <c r="AH154" s="144" t="e">
        <f t="shared" si="37"/>
        <v>#DIV/0!</v>
      </c>
      <c r="AI154" s="144" t="e">
        <f t="shared" si="37"/>
        <v>#DIV/0!</v>
      </c>
      <c r="AJ154" s="9" t="e">
        <f t="shared" si="37"/>
        <v>#DIV/0!</v>
      </c>
      <c r="AK154" s="144" t="e">
        <f t="shared" si="37"/>
        <v>#DIV/0!</v>
      </c>
      <c r="AL154" s="144" t="e">
        <f t="shared" si="37"/>
        <v>#DIV/0!</v>
      </c>
      <c r="AM154" s="144" t="e">
        <f t="shared" si="37"/>
        <v>#DIV/0!</v>
      </c>
      <c r="AN154" s="144" t="e">
        <f t="shared" si="37"/>
        <v>#DIV/0!</v>
      </c>
      <c r="AO154" s="9" t="e">
        <f t="shared" si="37"/>
        <v>#DIV/0!</v>
      </c>
      <c r="AP154" s="144" t="e">
        <f t="shared" si="37"/>
        <v>#DIV/0!</v>
      </c>
      <c r="AQ154" s="144" t="e">
        <f t="shared" si="37"/>
        <v>#DIV/0!</v>
      </c>
      <c r="AR154" s="144" t="e">
        <f t="shared" si="37"/>
        <v>#DIV/0!</v>
      </c>
      <c r="AS154" s="144" t="e">
        <f t="shared" si="37"/>
        <v>#DIV/0!</v>
      </c>
      <c r="AT154" s="9" t="e">
        <f t="shared" si="37"/>
        <v>#DIV/0!</v>
      </c>
      <c r="AU154" s="144" t="e">
        <f t="shared" si="37"/>
        <v>#DIV/0!</v>
      </c>
      <c r="AV154" s="144" t="e">
        <f t="shared" si="37"/>
        <v>#DIV/0!</v>
      </c>
      <c r="AW154" s="144" t="e">
        <f t="shared" si="37"/>
        <v>#DIV/0!</v>
      </c>
      <c r="AX154" s="144" t="e">
        <f t="shared" si="37"/>
        <v>#DIV/0!</v>
      </c>
      <c r="AY154" s="117" t="e">
        <f t="shared" si="37"/>
        <v>#DIV/0!</v>
      </c>
    </row>
    <row r="155" spans="1:51">
      <c r="A155" s="137" t="s">
        <v>59</v>
      </c>
      <c r="B155" s="117" t="e">
        <f t="shared" ref="B155:AB155" si="38">B17/B$137</f>
        <v>#DIV/0!</v>
      </c>
      <c r="C155" s="117" t="e">
        <f t="shared" si="38"/>
        <v>#DIV/0!</v>
      </c>
      <c r="D155" s="117" t="e">
        <f t="shared" si="38"/>
        <v>#DIV/0!</v>
      </c>
      <c r="E155" s="117" t="e">
        <f t="shared" si="38"/>
        <v>#DIV/0!</v>
      </c>
      <c r="F155" s="9" t="e">
        <f t="shared" si="38"/>
        <v>#DIV/0!</v>
      </c>
      <c r="G155" s="117" t="e">
        <f t="shared" si="38"/>
        <v>#DIV/0!</v>
      </c>
      <c r="H155" s="117" t="e">
        <f t="shared" si="38"/>
        <v>#DIV/0!</v>
      </c>
      <c r="I155" s="117" t="e">
        <f t="shared" si="38"/>
        <v>#DIV/0!</v>
      </c>
      <c r="J155" s="117" t="e">
        <f t="shared" si="38"/>
        <v>#DIV/0!</v>
      </c>
      <c r="K155" s="9" t="e">
        <f t="shared" si="38"/>
        <v>#DIV/0!</v>
      </c>
      <c r="L155" s="117" t="e">
        <f t="shared" si="38"/>
        <v>#DIV/0!</v>
      </c>
      <c r="M155" s="117" t="e">
        <f t="shared" si="38"/>
        <v>#DIV/0!</v>
      </c>
      <c r="N155" s="117" t="e">
        <f t="shared" si="38"/>
        <v>#DIV/0!</v>
      </c>
      <c r="O155" s="117" t="e">
        <f t="shared" si="38"/>
        <v>#DIV/0!</v>
      </c>
      <c r="P155" s="9" t="e">
        <f t="shared" si="38"/>
        <v>#DIV/0!</v>
      </c>
      <c r="Q155" s="144" t="e">
        <f t="shared" si="38"/>
        <v>#DIV/0!</v>
      </c>
      <c r="R155" s="144" t="e">
        <f t="shared" si="38"/>
        <v>#DIV/0!</v>
      </c>
      <c r="S155" s="144" t="e">
        <f t="shared" si="38"/>
        <v>#DIV/0!</v>
      </c>
      <c r="T155" s="144" t="e">
        <f t="shared" si="38"/>
        <v>#DIV/0!</v>
      </c>
      <c r="U155" s="9" t="e">
        <f t="shared" si="38"/>
        <v>#DIV/0!</v>
      </c>
      <c r="V155" s="144" t="e">
        <f t="shared" si="38"/>
        <v>#DIV/0!</v>
      </c>
      <c r="W155" s="144" t="e">
        <f t="shared" si="38"/>
        <v>#DIV/0!</v>
      </c>
      <c r="X155" s="144" t="e">
        <f t="shared" si="38"/>
        <v>#DIV/0!</v>
      </c>
      <c r="Y155" s="144" t="e">
        <f t="shared" si="38"/>
        <v>#DIV/0!</v>
      </c>
      <c r="Z155" s="9" t="e">
        <f t="shared" si="38"/>
        <v>#DIV/0!</v>
      </c>
      <c r="AA155" s="144" t="e">
        <f t="shared" si="38"/>
        <v>#DIV/0!</v>
      </c>
      <c r="AB155" s="144" t="e">
        <f t="shared" si="38"/>
        <v>#DIV/0!</v>
      </c>
      <c r="AC155" s="144" t="e">
        <f t="shared" ref="AC155:AY155" si="39">AC17/AC$137</f>
        <v>#DIV/0!</v>
      </c>
      <c r="AD155" s="144" t="e">
        <f t="shared" si="39"/>
        <v>#DIV/0!</v>
      </c>
      <c r="AE155" s="9" t="e">
        <f t="shared" si="39"/>
        <v>#DIV/0!</v>
      </c>
      <c r="AF155" s="144" t="e">
        <f t="shared" si="39"/>
        <v>#DIV/0!</v>
      </c>
      <c r="AG155" s="144" t="e">
        <f t="shared" si="39"/>
        <v>#DIV/0!</v>
      </c>
      <c r="AH155" s="144" t="e">
        <f t="shared" si="39"/>
        <v>#DIV/0!</v>
      </c>
      <c r="AI155" s="144" t="e">
        <f t="shared" si="39"/>
        <v>#DIV/0!</v>
      </c>
      <c r="AJ155" s="9" t="e">
        <f t="shared" si="39"/>
        <v>#DIV/0!</v>
      </c>
      <c r="AK155" s="144" t="e">
        <f t="shared" si="39"/>
        <v>#DIV/0!</v>
      </c>
      <c r="AL155" s="144" t="e">
        <f t="shared" si="39"/>
        <v>#DIV/0!</v>
      </c>
      <c r="AM155" s="144" t="e">
        <f t="shared" si="39"/>
        <v>#DIV/0!</v>
      </c>
      <c r="AN155" s="144" t="e">
        <f t="shared" si="39"/>
        <v>#DIV/0!</v>
      </c>
      <c r="AO155" s="9" t="e">
        <f t="shared" si="39"/>
        <v>#DIV/0!</v>
      </c>
      <c r="AP155" s="144" t="e">
        <f t="shared" si="39"/>
        <v>#DIV/0!</v>
      </c>
      <c r="AQ155" s="144" t="e">
        <f t="shared" si="39"/>
        <v>#DIV/0!</v>
      </c>
      <c r="AR155" s="144" t="e">
        <f t="shared" si="39"/>
        <v>#DIV/0!</v>
      </c>
      <c r="AS155" s="144" t="e">
        <f t="shared" si="39"/>
        <v>#DIV/0!</v>
      </c>
      <c r="AT155" s="9" t="e">
        <f t="shared" si="39"/>
        <v>#DIV/0!</v>
      </c>
      <c r="AU155" s="144" t="e">
        <f t="shared" si="39"/>
        <v>#DIV/0!</v>
      </c>
      <c r="AV155" s="144" t="e">
        <f t="shared" si="39"/>
        <v>#DIV/0!</v>
      </c>
      <c r="AW155" s="144" t="e">
        <f t="shared" si="39"/>
        <v>#DIV/0!</v>
      </c>
      <c r="AX155" s="144" t="e">
        <f t="shared" si="39"/>
        <v>#DIV/0!</v>
      </c>
      <c r="AY155" s="117" t="e">
        <f t="shared" si="39"/>
        <v>#DIV/0!</v>
      </c>
    </row>
    <row r="156" spans="1:51">
      <c r="A156" s="137" t="s">
        <v>61</v>
      </c>
      <c r="B156" s="117" t="e">
        <f t="shared" ref="B156:AB156" si="40">B18/B$137</f>
        <v>#DIV/0!</v>
      </c>
      <c r="C156" s="117" t="e">
        <f t="shared" si="40"/>
        <v>#DIV/0!</v>
      </c>
      <c r="D156" s="117" t="e">
        <f t="shared" si="40"/>
        <v>#DIV/0!</v>
      </c>
      <c r="E156" s="117" t="e">
        <f t="shared" si="40"/>
        <v>#DIV/0!</v>
      </c>
      <c r="F156" s="9" t="e">
        <f t="shared" si="40"/>
        <v>#DIV/0!</v>
      </c>
      <c r="G156" s="117" t="e">
        <f t="shared" si="40"/>
        <v>#DIV/0!</v>
      </c>
      <c r="H156" s="117" t="e">
        <f t="shared" si="40"/>
        <v>#DIV/0!</v>
      </c>
      <c r="I156" s="117" t="e">
        <f t="shared" si="40"/>
        <v>#DIV/0!</v>
      </c>
      <c r="J156" s="117" t="e">
        <f t="shared" si="40"/>
        <v>#DIV/0!</v>
      </c>
      <c r="K156" s="9" t="e">
        <f t="shared" si="40"/>
        <v>#DIV/0!</v>
      </c>
      <c r="L156" s="117" t="e">
        <f t="shared" si="40"/>
        <v>#DIV/0!</v>
      </c>
      <c r="M156" s="117" t="e">
        <f t="shared" si="40"/>
        <v>#DIV/0!</v>
      </c>
      <c r="N156" s="117" t="e">
        <f t="shared" si="40"/>
        <v>#DIV/0!</v>
      </c>
      <c r="O156" s="117" t="e">
        <f t="shared" si="40"/>
        <v>#DIV/0!</v>
      </c>
      <c r="P156" s="9" t="e">
        <f t="shared" si="40"/>
        <v>#DIV/0!</v>
      </c>
      <c r="Q156" s="144" t="e">
        <f t="shared" si="40"/>
        <v>#DIV/0!</v>
      </c>
      <c r="R156" s="144" t="e">
        <f t="shared" si="40"/>
        <v>#DIV/0!</v>
      </c>
      <c r="S156" s="144" t="e">
        <f t="shared" si="40"/>
        <v>#DIV/0!</v>
      </c>
      <c r="T156" s="144" t="e">
        <f t="shared" si="40"/>
        <v>#DIV/0!</v>
      </c>
      <c r="U156" s="9" t="e">
        <f t="shared" si="40"/>
        <v>#DIV/0!</v>
      </c>
      <c r="V156" s="144" t="e">
        <f t="shared" si="40"/>
        <v>#DIV/0!</v>
      </c>
      <c r="W156" s="144" t="e">
        <f t="shared" si="40"/>
        <v>#DIV/0!</v>
      </c>
      <c r="X156" s="144" t="e">
        <f t="shared" si="40"/>
        <v>#DIV/0!</v>
      </c>
      <c r="Y156" s="144" t="e">
        <f t="shared" si="40"/>
        <v>#DIV/0!</v>
      </c>
      <c r="Z156" s="9" t="e">
        <f t="shared" si="40"/>
        <v>#DIV/0!</v>
      </c>
      <c r="AA156" s="144" t="e">
        <f t="shared" si="40"/>
        <v>#DIV/0!</v>
      </c>
      <c r="AB156" s="144" t="e">
        <f t="shared" si="40"/>
        <v>#DIV/0!</v>
      </c>
      <c r="AC156" s="144" t="e">
        <f t="shared" ref="AC156:AY156" si="41">AC18/AC$137</f>
        <v>#DIV/0!</v>
      </c>
      <c r="AD156" s="144" t="e">
        <f t="shared" si="41"/>
        <v>#DIV/0!</v>
      </c>
      <c r="AE156" s="9" t="e">
        <f t="shared" si="41"/>
        <v>#DIV/0!</v>
      </c>
      <c r="AF156" s="144" t="e">
        <f t="shared" si="41"/>
        <v>#DIV/0!</v>
      </c>
      <c r="AG156" s="144" t="e">
        <f t="shared" si="41"/>
        <v>#DIV/0!</v>
      </c>
      <c r="AH156" s="144" t="e">
        <f t="shared" si="41"/>
        <v>#DIV/0!</v>
      </c>
      <c r="AI156" s="144" t="e">
        <f t="shared" si="41"/>
        <v>#DIV/0!</v>
      </c>
      <c r="AJ156" s="9" t="e">
        <f t="shared" si="41"/>
        <v>#DIV/0!</v>
      </c>
      <c r="AK156" s="144" t="e">
        <f t="shared" si="41"/>
        <v>#DIV/0!</v>
      </c>
      <c r="AL156" s="144" t="e">
        <f t="shared" si="41"/>
        <v>#DIV/0!</v>
      </c>
      <c r="AM156" s="144" t="e">
        <f t="shared" si="41"/>
        <v>#DIV/0!</v>
      </c>
      <c r="AN156" s="144" t="e">
        <f t="shared" si="41"/>
        <v>#DIV/0!</v>
      </c>
      <c r="AO156" s="9" t="e">
        <f t="shared" si="41"/>
        <v>#DIV/0!</v>
      </c>
      <c r="AP156" s="144" t="e">
        <f t="shared" si="41"/>
        <v>#DIV/0!</v>
      </c>
      <c r="AQ156" s="144" t="e">
        <f t="shared" si="41"/>
        <v>#DIV/0!</v>
      </c>
      <c r="AR156" s="144" t="e">
        <f t="shared" si="41"/>
        <v>#DIV/0!</v>
      </c>
      <c r="AS156" s="144" t="e">
        <f t="shared" si="41"/>
        <v>#DIV/0!</v>
      </c>
      <c r="AT156" s="9" t="e">
        <f t="shared" si="41"/>
        <v>#DIV/0!</v>
      </c>
      <c r="AU156" s="144" t="e">
        <f t="shared" si="41"/>
        <v>#DIV/0!</v>
      </c>
      <c r="AV156" s="144" t="e">
        <f t="shared" si="41"/>
        <v>#DIV/0!</v>
      </c>
      <c r="AW156" s="144" t="e">
        <f t="shared" si="41"/>
        <v>#DIV/0!</v>
      </c>
      <c r="AX156" s="144" t="e">
        <f t="shared" si="41"/>
        <v>#DIV/0!</v>
      </c>
      <c r="AY156" s="117" t="e">
        <f t="shared" si="41"/>
        <v>#DIV/0!</v>
      </c>
    </row>
    <row r="157" spans="1:51">
      <c r="A157" s="137" t="s">
        <v>63</v>
      </c>
      <c r="B157" s="117" t="e">
        <f t="shared" ref="B157:AB157" si="42">B19/B$137</f>
        <v>#DIV/0!</v>
      </c>
      <c r="C157" s="117" t="e">
        <f t="shared" si="42"/>
        <v>#DIV/0!</v>
      </c>
      <c r="D157" s="117" t="e">
        <f t="shared" si="42"/>
        <v>#DIV/0!</v>
      </c>
      <c r="E157" s="117" t="e">
        <f t="shared" si="42"/>
        <v>#DIV/0!</v>
      </c>
      <c r="F157" s="9" t="e">
        <f t="shared" si="42"/>
        <v>#DIV/0!</v>
      </c>
      <c r="G157" s="117" t="e">
        <f t="shared" si="42"/>
        <v>#DIV/0!</v>
      </c>
      <c r="H157" s="117" t="e">
        <f t="shared" si="42"/>
        <v>#DIV/0!</v>
      </c>
      <c r="I157" s="117" t="e">
        <f t="shared" si="42"/>
        <v>#DIV/0!</v>
      </c>
      <c r="J157" s="117" t="e">
        <f t="shared" si="42"/>
        <v>#DIV/0!</v>
      </c>
      <c r="K157" s="9" t="e">
        <f t="shared" si="42"/>
        <v>#DIV/0!</v>
      </c>
      <c r="L157" s="117" t="e">
        <f t="shared" si="42"/>
        <v>#DIV/0!</v>
      </c>
      <c r="M157" s="117" t="e">
        <f t="shared" si="42"/>
        <v>#DIV/0!</v>
      </c>
      <c r="N157" s="117" t="e">
        <f t="shared" si="42"/>
        <v>#DIV/0!</v>
      </c>
      <c r="O157" s="117" t="e">
        <f t="shared" si="42"/>
        <v>#DIV/0!</v>
      </c>
      <c r="P157" s="9" t="e">
        <f t="shared" si="42"/>
        <v>#DIV/0!</v>
      </c>
      <c r="Q157" s="144" t="e">
        <f t="shared" si="42"/>
        <v>#DIV/0!</v>
      </c>
      <c r="R157" s="144" t="e">
        <f t="shared" si="42"/>
        <v>#DIV/0!</v>
      </c>
      <c r="S157" s="144" t="e">
        <f t="shared" si="42"/>
        <v>#DIV/0!</v>
      </c>
      <c r="T157" s="144" t="e">
        <f t="shared" si="42"/>
        <v>#DIV/0!</v>
      </c>
      <c r="U157" s="9" t="e">
        <f t="shared" si="42"/>
        <v>#DIV/0!</v>
      </c>
      <c r="V157" s="144" t="e">
        <f t="shared" si="42"/>
        <v>#DIV/0!</v>
      </c>
      <c r="W157" s="144" t="e">
        <f t="shared" si="42"/>
        <v>#DIV/0!</v>
      </c>
      <c r="X157" s="144" t="e">
        <f t="shared" si="42"/>
        <v>#DIV/0!</v>
      </c>
      <c r="Y157" s="144" t="e">
        <f t="shared" si="42"/>
        <v>#DIV/0!</v>
      </c>
      <c r="Z157" s="9" t="e">
        <f t="shared" si="42"/>
        <v>#DIV/0!</v>
      </c>
      <c r="AA157" s="144" t="e">
        <f t="shared" si="42"/>
        <v>#DIV/0!</v>
      </c>
      <c r="AB157" s="144" t="e">
        <f t="shared" si="42"/>
        <v>#DIV/0!</v>
      </c>
      <c r="AC157" s="144" t="e">
        <f t="shared" ref="AC157:AY157" si="43">AC19/AC$137</f>
        <v>#DIV/0!</v>
      </c>
      <c r="AD157" s="144" t="e">
        <f t="shared" si="43"/>
        <v>#DIV/0!</v>
      </c>
      <c r="AE157" s="9" t="e">
        <f t="shared" si="43"/>
        <v>#DIV/0!</v>
      </c>
      <c r="AF157" s="144" t="e">
        <f t="shared" si="43"/>
        <v>#DIV/0!</v>
      </c>
      <c r="AG157" s="144" t="e">
        <f t="shared" si="43"/>
        <v>#DIV/0!</v>
      </c>
      <c r="AH157" s="144" t="e">
        <f t="shared" si="43"/>
        <v>#DIV/0!</v>
      </c>
      <c r="AI157" s="144" t="e">
        <f t="shared" si="43"/>
        <v>#DIV/0!</v>
      </c>
      <c r="AJ157" s="9" t="e">
        <f t="shared" si="43"/>
        <v>#DIV/0!</v>
      </c>
      <c r="AK157" s="144" t="e">
        <f t="shared" si="43"/>
        <v>#DIV/0!</v>
      </c>
      <c r="AL157" s="144" t="e">
        <f t="shared" si="43"/>
        <v>#DIV/0!</v>
      </c>
      <c r="AM157" s="144" t="e">
        <f t="shared" si="43"/>
        <v>#DIV/0!</v>
      </c>
      <c r="AN157" s="144" t="e">
        <f t="shared" si="43"/>
        <v>#DIV/0!</v>
      </c>
      <c r="AO157" s="9" t="e">
        <f t="shared" si="43"/>
        <v>#DIV/0!</v>
      </c>
      <c r="AP157" s="144" t="e">
        <f t="shared" si="43"/>
        <v>#DIV/0!</v>
      </c>
      <c r="AQ157" s="144" t="e">
        <f t="shared" si="43"/>
        <v>#DIV/0!</v>
      </c>
      <c r="AR157" s="144" t="e">
        <f t="shared" si="43"/>
        <v>#DIV/0!</v>
      </c>
      <c r="AS157" s="144" t="e">
        <f t="shared" si="43"/>
        <v>#DIV/0!</v>
      </c>
      <c r="AT157" s="9" t="e">
        <f t="shared" si="43"/>
        <v>#DIV/0!</v>
      </c>
      <c r="AU157" s="144" t="e">
        <f t="shared" si="43"/>
        <v>#DIV/0!</v>
      </c>
      <c r="AV157" s="144" t="e">
        <f t="shared" si="43"/>
        <v>#DIV/0!</v>
      </c>
      <c r="AW157" s="144" t="e">
        <f t="shared" si="43"/>
        <v>#DIV/0!</v>
      </c>
      <c r="AX157" s="144" t="e">
        <f t="shared" si="43"/>
        <v>#DIV/0!</v>
      </c>
      <c r="AY157" s="117" t="e">
        <f t="shared" si="43"/>
        <v>#DIV/0!</v>
      </c>
    </row>
    <row r="158" spans="1:51">
      <c r="A158" s="137" t="s">
        <v>65</v>
      </c>
      <c r="B158" s="117" t="e">
        <f t="shared" ref="B158:AB158" si="44">B20/B$137</f>
        <v>#DIV/0!</v>
      </c>
      <c r="C158" s="117" t="e">
        <f t="shared" si="44"/>
        <v>#DIV/0!</v>
      </c>
      <c r="D158" s="117" t="e">
        <f t="shared" si="44"/>
        <v>#DIV/0!</v>
      </c>
      <c r="E158" s="117" t="e">
        <f t="shared" si="44"/>
        <v>#DIV/0!</v>
      </c>
      <c r="F158" s="9" t="e">
        <f t="shared" si="44"/>
        <v>#DIV/0!</v>
      </c>
      <c r="G158" s="117" t="e">
        <f t="shared" si="44"/>
        <v>#DIV/0!</v>
      </c>
      <c r="H158" s="117" t="e">
        <f t="shared" si="44"/>
        <v>#DIV/0!</v>
      </c>
      <c r="I158" s="117" t="e">
        <f t="shared" si="44"/>
        <v>#DIV/0!</v>
      </c>
      <c r="J158" s="117" t="e">
        <f t="shared" si="44"/>
        <v>#DIV/0!</v>
      </c>
      <c r="K158" s="9" t="e">
        <f t="shared" si="44"/>
        <v>#DIV/0!</v>
      </c>
      <c r="L158" s="117" t="e">
        <f t="shared" si="44"/>
        <v>#DIV/0!</v>
      </c>
      <c r="M158" s="117" t="e">
        <f t="shared" si="44"/>
        <v>#DIV/0!</v>
      </c>
      <c r="N158" s="117" t="e">
        <f t="shared" si="44"/>
        <v>#DIV/0!</v>
      </c>
      <c r="O158" s="117" t="e">
        <f t="shared" si="44"/>
        <v>#DIV/0!</v>
      </c>
      <c r="P158" s="9" t="e">
        <f t="shared" si="44"/>
        <v>#DIV/0!</v>
      </c>
      <c r="Q158" s="144" t="e">
        <f t="shared" si="44"/>
        <v>#DIV/0!</v>
      </c>
      <c r="R158" s="144" t="e">
        <f t="shared" si="44"/>
        <v>#DIV/0!</v>
      </c>
      <c r="S158" s="144" t="e">
        <f t="shared" si="44"/>
        <v>#DIV/0!</v>
      </c>
      <c r="T158" s="144" t="e">
        <f t="shared" si="44"/>
        <v>#DIV/0!</v>
      </c>
      <c r="U158" s="9" t="e">
        <f t="shared" si="44"/>
        <v>#DIV/0!</v>
      </c>
      <c r="V158" s="144" t="e">
        <f t="shared" si="44"/>
        <v>#DIV/0!</v>
      </c>
      <c r="W158" s="144" t="e">
        <f t="shared" si="44"/>
        <v>#DIV/0!</v>
      </c>
      <c r="X158" s="144" t="e">
        <f t="shared" si="44"/>
        <v>#DIV/0!</v>
      </c>
      <c r="Y158" s="144" t="e">
        <f t="shared" si="44"/>
        <v>#DIV/0!</v>
      </c>
      <c r="Z158" s="9" t="e">
        <f t="shared" si="44"/>
        <v>#DIV/0!</v>
      </c>
      <c r="AA158" s="144" t="e">
        <f t="shared" si="44"/>
        <v>#DIV/0!</v>
      </c>
      <c r="AB158" s="144" t="e">
        <f t="shared" si="44"/>
        <v>#DIV/0!</v>
      </c>
      <c r="AC158" s="144" t="e">
        <f t="shared" ref="AC158:AY158" si="45">AC20/AC$137</f>
        <v>#DIV/0!</v>
      </c>
      <c r="AD158" s="144" t="e">
        <f t="shared" si="45"/>
        <v>#DIV/0!</v>
      </c>
      <c r="AE158" s="9" t="e">
        <f t="shared" si="45"/>
        <v>#DIV/0!</v>
      </c>
      <c r="AF158" s="144" t="e">
        <f t="shared" si="45"/>
        <v>#DIV/0!</v>
      </c>
      <c r="AG158" s="144" t="e">
        <f t="shared" si="45"/>
        <v>#DIV/0!</v>
      </c>
      <c r="AH158" s="144" t="e">
        <f t="shared" si="45"/>
        <v>#DIV/0!</v>
      </c>
      <c r="AI158" s="144" t="e">
        <f t="shared" si="45"/>
        <v>#DIV/0!</v>
      </c>
      <c r="AJ158" s="9" t="e">
        <f t="shared" si="45"/>
        <v>#DIV/0!</v>
      </c>
      <c r="AK158" s="144" t="e">
        <f t="shared" si="45"/>
        <v>#DIV/0!</v>
      </c>
      <c r="AL158" s="144" t="e">
        <f t="shared" si="45"/>
        <v>#DIV/0!</v>
      </c>
      <c r="AM158" s="144" t="e">
        <f t="shared" si="45"/>
        <v>#DIV/0!</v>
      </c>
      <c r="AN158" s="144" t="e">
        <f t="shared" si="45"/>
        <v>#DIV/0!</v>
      </c>
      <c r="AO158" s="9" t="e">
        <f t="shared" si="45"/>
        <v>#DIV/0!</v>
      </c>
      <c r="AP158" s="144" t="e">
        <f t="shared" si="45"/>
        <v>#DIV/0!</v>
      </c>
      <c r="AQ158" s="144" t="e">
        <f t="shared" si="45"/>
        <v>#DIV/0!</v>
      </c>
      <c r="AR158" s="144" t="e">
        <f t="shared" si="45"/>
        <v>#DIV/0!</v>
      </c>
      <c r="AS158" s="144" t="e">
        <f t="shared" si="45"/>
        <v>#DIV/0!</v>
      </c>
      <c r="AT158" s="9" t="e">
        <f t="shared" si="45"/>
        <v>#DIV/0!</v>
      </c>
      <c r="AU158" s="144" t="e">
        <f t="shared" si="45"/>
        <v>#DIV/0!</v>
      </c>
      <c r="AV158" s="144" t="e">
        <f t="shared" si="45"/>
        <v>#DIV/0!</v>
      </c>
      <c r="AW158" s="144" t="e">
        <f t="shared" si="45"/>
        <v>#DIV/0!</v>
      </c>
      <c r="AX158" s="144" t="e">
        <f t="shared" si="45"/>
        <v>#DIV/0!</v>
      </c>
      <c r="AY158" s="117" t="e">
        <f t="shared" si="45"/>
        <v>#DIV/0!</v>
      </c>
    </row>
    <row r="159" spans="1:51">
      <c r="A159" s="137" t="s">
        <v>67</v>
      </c>
      <c r="B159" s="117" t="e">
        <f t="shared" ref="B159:AB159" si="46">B21/B$137</f>
        <v>#DIV/0!</v>
      </c>
      <c r="C159" s="117" t="e">
        <f t="shared" si="46"/>
        <v>#DIV/0!</v>
      </c>
      <c r="D159" s="117" t="e">
        <f t="shared" si="46"/>
        <v>#DIV/0!</v>
      </c>
      <c r="E159" s="117" t="e">
        <f t="shared" si="46"/>
        <v>#DIV/0!</v>
      </c>
      <c r="F159" s="9" t="e">
        <f t="shared" si="46"/>
        <v>#DIV/0!</v>
      </c>
      <c r="G159" s="117" t="e">
        <f t="shared" si="46"/>
        <v>#DIV/0!</v>
      </c>
      <c r="H159" s="117" t="e">
        <f t="shared" si="46"/>
        <v>#DIV/0!</v>
      </c>
      <c r="I159" s="117" t="e">
        <f t="shared" si="46"/>
        <v>#DIV/0!</v>
      </c>
      <c r="J159" s="117" t="e">
        <f t="shared" si="46"/>
        <v>#DIV/0!</v>
      </c>
      <c r="K159" s="9" t="e">
        <f t="shared" si="46"/>
        <v>#DIV/0!</v>
      </c>
      <c r="L159" s="117" t="e">
        <f t="shared" si="46"/>
        <v>#DIV/0!</v>
      </c>
      <c r="M159" s="117" t="e">
        <f t="shared" si="46"/>
        <v>#DIV/0!</v>
      </c>
      <c r="N159" s="117" t="e">
        <f t="shared" si="46"/>
        <v>#DIV/0!</v>
      </c>
      <c r="O159" s="117" t="e">
        <f t="shared" si="46"/>
        <v>#DIV/0!</v>
      </c>
      <c r="P159" s="9" t="e">
        <f t="shared" si="46"/>
        <v>#DIV/0!</v>
      </c>
      <c r="Q159" s="144" t="e">
        <f t="shared" si="46"/>
        <v>#DIV/0!</v>
      </c>
      <c r="R159" s="144" t="e">
        <f t="shared" si="46"/>
        <v>#DIV/0!</v>
      </c>
      <c r="S159" s="144" t="e">
        <f t="shared" si="46"/>
        <v>#DIV/0!</v>
      </c>
      <c r="T159" s="144" t="e">
        <f t="shared" si="46"/>
        <v>#DIV/0!</v>
      </c>
      <c r="U159" s="9" t="e">
        <f t="shared" si="46"/>
        <v>#DIV/0!</v>
      </c>
      <c r="V159" s="144" t="e">
        <f t="shared" si="46"/>
        <v>#DIV/0!</v>
      </c>
      <c r="W159" s="144" t="e">
        <f t="shared" si="46"/>
        <v>#DIV/0!</v>
      </c>
      <c r="X159" s="144" t="e">
        <f t="shared" si="46"/>
        <v>#DIV/0!</v>
      </c>
      <c r="Y159" s="144" t="e">
        <f t="shared" si="46"/>
        <v>#DIV/0!</v>
      </c>
      <c r="Z159" s="9" t="e">
        <f t="shared" si="46"/>
        <v>#DIV/0!</v>
      </c>
      <c r="AA159" s="144" t="e">
        <f t="shared" si="46"/>
        <v>#DIV/0!</v>
      </c>
      <c r="AB159" s="144" t="e">
        <f t="shared" si="46"/>
        <v>#DIV/0!</v>
      </c>
      <c r="AC159" s="144" t="e">
        <f t="shared" ref="AC159:AY159" si="47">AC21/AC$137</f>
        <v>#DIV/0!</v>
      </c>
      <c r="AD159" s="144" t="e">
        <f t="shared" si="47"/>
        <v>#DIV/0!</v>
      </c>
      <c r="AE159" s="9" t="e">
        <f t="shared" si="47"/>
        <v>#DIV/0!</v>
      </c>
      <c r="AF159" s="144" t="e">
        <f t="shared" si="47"/>
        <v>#DIV/0!</v>
      </c>
      <c r="AG159" s="144" t="e">
        <f t="shared" si="47"/>
        <v>#DIV/0!</v>
      </c>
      <c r="AH159" s="144" t="e">
        <f t="shared" si="47"/>
        <v>#DIV/0!</v>
      </c>
      <c r="AI159" s="144" t="e">
        <f t="shared" si="47"/>
        <v>#DIV/0!</v>
      </c>
      <c r="AJ159" s="9" t="e">
        <f t="shared" si="47"/>
        <v>#DIV/0!</v>
      </c>
      <c r="AK159" s="144" t="e">
        <f t="shared" si="47"/>
        <v>#DIV/0!</v>
      </c>
      <c r="AL159" s="144" t="e">
        <f t="shared" si="47"/>
        <v>#DIV/0!</v>
      </c>
      <c r="AM159" s="144" t="e">
        <f t="shared" si="47"/>
        <v>#DIV/0!</v>
      </c>
      <c r="AN159" s="144" t="e">
        <f t="shared" si="47"/>
        <v>#DIV/0!</v>
      </c>
      <c r="AO159" s="9" t="e">
        <f t="shared" si="47"/>
        <v>#DIV/0!</v>
      </c>
      <c r="AP159" s="144" t="e">
        <f t="shared" si="47"/>
        <v>#DIV/0!</v>
      </c>
      <c r="AQ159" s="144" t="e">
        <f t="shared" si="47"/>
        <v>#DIV/0!</v>
      </c>
      <c r="AR159" s="144" t="e">
        <f t="shared" si="47"/>
        <v>#DIV/0!</v>
      </c>
      <c r="AS159" s="144" t="e">
        <f t="shared" si="47"/>
        <v>#DIV/0!</v>
      </c>
      <c r="AT159" s="9" t="e">
        <f t="shared" si="47"/>
        <v>#DIV/0!</v>
      </c>
      <c r="AU159" s="144" t="e">
        <f t="shared" si="47"/>
        <v>#DIV/0!</v>
      </c>
      <c r="AV159" s="144" t="e">
        <f t="shared" si="47"/>
        <v>#DIV/0!</v>
      </c>
      <c r="AW159" s="144" t="e">
        <f t="shared" si="47"/>
        <v>#DIV/0!</v>
      </c>
      <c r="AX159" s="144" t="e">
        <f t="shared" si="47"/>
        <v>#DIV/0!</v>
      </c>
      <c r="AY159" s="117" t="e">
        <f t="shared" si="47"/>
        <v>#DIV/0!</v>
      </c>
    </row>
    <row r="160" spans="1:51">
      <c r="A160" s="137" t="s">
        <v>69</v>
      </c>
      <c r="B160" s="117" t="e">
        <f t="shared" ref="B160:AB160" si="48">B22/B$137</f>
        <v>#DIV/0!</v>
      </c>
      <c r="C160" s="117" t="e">
        <f t="shared" si="48"/>
        <v>#DIV/0!</v>
      </c>
      <c r="D160" s="117" t="e">
        <f t="shared" si="48"/>
        <v>#DIV/0!</v>
      </c>
      <c r="E160" s="117" t="e">
        <f t="shared" si="48"/>
        <v>#DIV/0!</v>
      </c>
      <c r="F160" s="9" t="e">
        <f t="shared" si="48"/>
        <v>#DIV/0!</v>
      </c>
      <c r="G160" s="117" t="e">
        <f t="shared" si="48"/>
        <v>#DIV/0!</v>
      </c>
      <c r="H160" s="117" t="e">
        <f t="shared" si="48"/>
        <v>#DIV/0!</v>
      </c>
      <c r="I160" s="117" t="e">
        <f t="shared" si="48"/>
        <v>#DIV/0!</v>
      </c>
      <c r="J160" s="117" t="e">
        <f t="shared" si="48"/>
        <v>#DIV/0!</v>
      </c>
      <c r="K160" s="9" t="e">
        <f t="shared" si="48"/>
        <v>#DIV/0!</v>
      </c>
      <c r="L160" s="117" t="e">
        <f t="shared" si="48"/>
        <v>#DIV/0!</v>
      </c>
      <c r="M160" s="117" t="e">
        <f t="shared" si="48"/>
        <v>#DIV/0!</v>
      </c>
      <c r="N160" s="117" t="e">
        <f t="shared" si="48"/>
        <v>#DIV/0!</v>
      </c>
      <c r="O160" s="117" t="e">
        <f t="shared" si="48"/>
        <v>#DIV/0!</v>
      </c>
      <c r="P160" s="9" t="e">
        <f t="shared" si="48"/>
        <v>#DIV/0!</v>
      </c>
      <c r="Q160" s="144" t="e">
        <f t="shared" si="48"/>
        <v>#DIV/0!</v>
      </c>
      <c r="R160" s="144" t="e">
        <f t="shared" si="48"/>
        <v>#DIV/0!</v>
      </c>
      <c r="S160" s="144" t="e">
        <f t="shared" si="48"/>
        <v>#DIV/0!</v>
      </c>
      <c r="T160" s="144" t="e">
        <f t="shared" si="48"/>
        <v>#DIV/0!</v>
      </c>
      <c r="U160" s="9" t="e">
        <f t="shared" si="48"/>
        <v>#DIV/0!</v>
      </c>
      <c r="V160" s="144" t="e">
        <f t="shared" si="48"/>
        <v>#DIV/0!</v>
      </c>
      <c r="W160" s="144" t="e">
        <f t="shared" si="48"/>
        <v>#DIV/0!</v>
      </c>
      <c r="X160" s="144" t="e">
        <f t="shared" si="48"/>
        <v>#DIV/0!</v>
      </c>
      <c r="Y160" s="144" t="e">
        <f t="shared" si="48"/>
        <v>#DIV/0!</v>
      </c>
      <c r="Z160" s="9" t="e">
        <f t="shared" si="48"/>
        <v>#DIV/0!</v>
      </c>
      <c r="AA160" s="144" t="e">
        <f t="shared" si="48"/>
        <v>#DIV/0!</v>
      </c>
      <c r="AB160" s="144" t="e">
        <f t="shared" si="48"/>
        <v>#DIV/0!</v>
      </c>
      <c r="AC160" s="144" t="e">
        <f t="shared" ref="AC160:AY160" si="49">AC22/AC$137</f>
        <v>#DIV/0!</v>
      </c>
      <c r="AD160" s="144" t="e">
        <f t="shared" si="49"/>
        <v>#DIV/0!</v>
      </c>
      <c r="AE160" s="9" t="e">
        <f t="shared" si="49"/>
        <v>#DIV/0!</v>
      </c>
      <c r="AF160" s="144" t="e">
        <f t="shared" si="49"/>
        <v>#DIV/0!</v>
      </c>
      <c r="AG160" s="144" t="e">
        <f t="shared" si="49"/>
        <v>#DIV/0!</v>
      </c>
      <c r="AH160" s="144" t="e">
        <f t="shared" si="49"/>
        <v>#DIV/0!</v>
      </c>
      <c r="AI160" s="144" t="e">
        <f t="shared" si="49"/>
        <v>#DIV/0!</v>
      </c>
      <c r="AJ160" s="9" t="e">
        <f t="shared" si="49"/>
        <v>#DIV/0!</v>
      </c>
      <c r="AK160" s="144" t="e">
        <f t="shared" si="49"/>
        <v>#DIV/0!</v>
      </c>
      <c r="AL160" s="144" t="e">
        <f t="shared" si="49"/>
        <v>#DIV/0!</v>
      </c>
      <c r="AM160" s="144" t="e">
        <f t="shared" si="49"/>
        <v>#DIV/0!</v>
      </c>
      <c r="AN160" s="144" t="e">
        <f t="shared" si="49"/>
        <v>#DIV/0!</v>
      </c>
      <c r="AO160" s="9" t="e">
        <f t="shared" si="49"/>
        <v>#DIV/0!</v>
      </c>
      <c r="AP160" s="144" t="e">
        <f t="shared" si="49"/>
        <v>#DIV/0!</v>
      </c>
      <c r="AQ160" s="144" t="e">
        <f t="shared" si="49"/>
        <v>#DIV/0!</v>
      </c>
      <c r="AR160" s="144" t="e">
        <f t="shared" si="49"/>
        <v>#DIV/0!</v>
      </c>
      <c r="AS160" s="144" t="e">
        <f t="shared" si="49"/>
        <v>#DIV/0!</v>
      </c>
      <c r="AT160" s="9" t="e">
        <f t="shared" si="49"/>
        <v>#DIV/0!</v>
      </c>
      <c r="AU160" s="144" t="e">
        <f t="shared" si="49"/>
        <v>#DIV/0!</v>
      </c>
      <c r="AV160" s="144" t="e">
        <f t="shared" si="49"/>
        <v>#DIV/0!</v>
      </c>
      <c r="AW160" s="144" t="e">
        <f t="shared" si="49"/>
        <v>#DIV/0!</v>
      </c>
      <c r="AX160" s="144" t="e">
        <f t="shared" si="49"/>
        <v>#DIV/0!</v>
      </c>
      <c r="AY160" s="117" t="e">
        <f t="shared" si="49"/>
        <v>#DIV/0!</v>
      </c>
    </row>
    <row r="161" spans="1:51">
      <c r="A161" s="137" t="s">
        <v>71</v>
      </c>
      <c r="B161" s="117" t="e">
        <f t="shared" ref="B161:AB161" si="50">B23/B$137</f>
        <v>#DIV/0!</v>
      </c>
      <c r="C161" s="117" t="e">
        <f t="shared" si="50"/>
        <v>#DIV/0!</v>
      </c>
      <c r="D161" s="117" t="e">
        <f t="shared" si="50"/>
        <v>#DIV/0!</v>
      </c>
      <c r="E161" s="117" t="e">
        <f t="shared" si="50"/>
        <v>#DIV/0!</v>
      </c>
      <c r="F161" s="9" t="e">
        <f t="shared" si="50"/>
        <v>#DIV/0!</v>
      </c>
      <c r="G161" s="117" t="e">
        <f t="shared" si="50"/>
        <v>#DIV/0!</v>
      </c>
      <c r="H161" s="117" t="e">
        <f t="shared" si="50"/>
        <v>#DIV/0!</v>
      </c>
      <c r="I161" s="117" t="e">
        <f t="shared" si="50"/>
        <v>#DIV/0!</v>
      </c>
      <c r="J161" s="117" t="e">
        <f t="shared" si="50"/>
        <v>#DIV/0!</v>
      </c>
      <c r="K161" s="9" t="e">
        <f t="shared" si="50"/>
        <v>#DIV/0!</v>
      </c>
      <c r="L161" s="117" t="e">
        <f t="shared" si="50"/>
        <v>#DIV/0!</v>
      </c>
      <c r="M161" s="117" t="e">
        <f t="shared" si="50"/>
        <v>#DIV/0!</v>
      </c>
      <c r="N161" s="117" t="e">
        <f t="shared" si="50"/>
        <v>#DIV/0!</v>
      </c>
      <c r="O161" s="117" t="e">
        <f t="shared" si="50"/>
        <v>#DIV/0!</v>
      </c>
      <c r="P161" s="9" t="e">
        <f t="shared" si="50"/>
        <v>#DIV/0!</v>
      </c>
      <c r="Q161" s="144" t="e">
        <f t="shared" si="50"/>
        <v>#DIV/0!</v>
      </c>
      <c r="R161" s="144" t="e">
        <f t="shared" si="50"/>
        <v>#DIV/0!</v>
      </c>
      <c r="S161" s="144" t="e">
        <f t="shared" si="50"/>
        <v>#DIV/0!</v>
      </c>
      <c r="T161" s="144" t="e">
        <f t="shared" si="50"/>
        <v>#DIV/0!</v>
      </c>
      <c r="U161" s="9" t="e">
        <f t="shared" si="50"/>
        <v>#DIV/0!</v>
      </c>
      <c r="V161" s="144" t="e">
        <f t="shared" si="50"/>
        <v>#DIV/0!</v>
      </c>
      <c r="W161" s="144" t="e">
        <f t="shared" si="50"/>
        <v>#DIV/0!</v>
      </c>
      <c r="X161" s="144" t="e">
        <f t="shared" si="50"/>
        <v>#DIV/0!</v>
      </c>
      <c r="Y161" s="144" t="e">
        <f t="shared" si="50"/>
        <v>#DIV/0!</v>
      </c>
      <c r="Z161" s="9" t="e">
        <f t="shared" si="50"/>
        <v>#DIV/0!</v>
      </c>
      <c r="AA161" s="144" t="e">
        <f t="shared" si="50"/>
        <v>#DIV/0!</v>
      </c>
      <c r="AB161" s="144" t="e">
        <f t="shared" si="50"/>
        <v>#DIV/0!</v>
      </c>
      <c r="AC161" s="144" t="e">
        <f t="shared" ref="AC161:AY161" si="51">AC23/AC$137</f>
        <v>#DIV/0!</v>
      </c>
      <c r="AD161" s="144" t="e">
        <f t="shared" si="51"/>
        <v>#DIV/0!</v>
      </c>
      <c r="AE161" s="9" t="e">
        <f t="shared" si="51"/>
        <v>#DIV/0!</v>
      </c>
      <c r="AF161" s="144" t="e">
        <f t="shared" si="51"/>
        <v>#DIV/0!</v>
      </c>
      <c r="AG161" s="144" t="e">
        <f t="shared" si="51"/>
        <v>#DIV/0!</v>
      </c>
      <c r="AH161" s="144" t="e">
        <f t="shared" si="51"/>
        <v>#DIV/0!</v>
      </c>
      <c r="AI161" s="144" t="e">
        <f t="shared" si="51"/>
        <v>#DIV/0!</v>
      </c>
      <c r="AJ161" s="9" t="e">
        <f t="shared" si="51"/>
        <v>#DIV/0!</v>
      </c>
      <c r="AK161" s="144" t="e">
        <f t="shared" si="51"/>
        <v>#DIV/0!</v>
      </c>
      <c r="AL161" s="144" t="e">
        <f t="shared" si="51"/>
        <v>#DIV/0!</v>
      </c>
      <c r="AM161" s="144" t="e">
        <f t="shared" si="51"/>
        <v>#DIV/0!</v>
      </c>
      <c r="AN161" s="144" t="e">
        <f t="shared" si="51"/>
        <v>#DIV/0!</v>
      </c>
      <c r="AO161" s="9" t="e">
        <f t="shared" si="51"/>
        <v>#DIV/0!</v>
      </c>
      <c r="AP161" s="144" t="e">
        <f t="shared" si="51"/>
        <v>#DIV/0!</v>
      </c>
      <c r="AQ161" s="144" t="e">
        <f t="shared" si="51"/>
        <v>#DIV/0!</v>
      </c>
      <c r="AR161" s="144" t="e">
        <f t="shared" si="51"/>
        <v>#DIV/0!</v>
      </c>
      <c r="AS161" s="144" t="e">
        <f t="shared" si="51"/>
        <v>#DIV/0!</v>
      </c>
      <c r="AT161" s="9" t="e">
        <f t="shared" si="51"/>
        <v>#DIV/0!</v>
      </c>
      <c r="AU161" s="144" t="e">
        <f t="shared" si="51"/>
        <v>#DIV/0!</v>
      </c>
      <c r="AV161" s="144" t="e">
        <f t="shared" si="51"/>
        <v>#DIV/0!</v>
      </c>
      <c r="AW161" s="144" t="e">
        <f t="shared" si="51"/>
        <v>#DIV/0!</v>
      </c>
      <c r="AX161" s="144" t="e">
        <f t="shared" si="51"/>
        <v>#DIV/0!</v>
      </c>
      <c r="AY161" s="117" t="e">
        <f t="shared" si="51"/>
        <v>#DIV/0!</v>
      </c>
    </row>
    <row r="162" spans="1:51">
      <c r="A162" s="137" t="s">
        <v>73</v>
      </c>
      <c r="B162" s="117" t="e">
        <f t="shared" ref="B162:AB162" si="52">B24/B$137</f>
        <v>#DIV/0!</v>
      </c>
      <c r="C162" s="117" t="e">
        <f t="shared" si="52"/>
        <v>#DIV/0!</v>
      </c>
      <c r="D162" s="117" t="e">
        <f t="shared" si="52"/>
        <v>#DIV/0!</v>
      </c>
      <c r="E162" s="117" t="e">
        <f t="shared" si="52"/>
        <v>#DIV/0!</v>
      </c>
      <c r="F162" s="9" t="e">
        <f t="shared" si="52"/>
        <v>#DIV/0!</v>
      </c>
      <c r="G162" s="117" t="e">
        <f t="shared" si="52"/>
        <v>#DIV/0!</v>
      </c>
      <c r="H162" s="117" t="e">
        <f t="shared" si="52"/>
        <v>#DIV/0!</v>
      </c>
      <c r="I162" s="117" t="e">
        <f t="shared" si="52"/>
        <v>#DIV/0!</v>
      </c>
      <c r="J162" s="117" t="e">
        <f t="shared" si="52"/>
        <v>#DIV/0!</v>
      </c>
      <c r="K162" s="9" t="e">
        <f t="shared" si="52"/>
        <v>#DIV/0!</v>
      </c>
      <c r="L162" s="117" t="e">
        <f t="shared" si="52"/>
        <v>#DIV/0!</v>
      </c>
      <c r="M162" s="117" t="e">
        <f t="shared" si="52"/>
        <v>#DIV/0!</v>
      </c>
      <c r="N162" s="117" t="e">
        <f t="shared" si="52"/>
        <v>#DIV/0!</v>
      </c>
      <c r="O162" s="117" t="e">
        <f t="shared" si="52"/>
        <v>#DIV/0!</v>
      </c>
      <c r="P162" s="9" t="e">
        <f t="shared" si="52"/>
        <v>#DIV/0!</v>
      </c>
      <c r="Q162" s="144" t="e">
        <f t="shared" si="52"/>
        <v>#DIV/0!</v>
      </c>
      <c r="R162" s="144" t="e">
        <f t="shared" si="52"/>
        <v>#DIV/0!</v>
      </c>
      <c r="S162" s="144" t="e">
        <f t="shared" si="52"/>
        <v>#DIV/0!</v>
      </c>
      <c r="T162" s="144" t="e">
        <f t="shared" si="52"/>
        <v>#DIV/0!</v>
      </c>
      <c r="U162" s="9" t="e">
        <f t="shared" si="52"/>
        <v>#DIV/0!</v>
      </c>
      <c r="V162" s="144" t="e">
        <f t="shared" si="52"/>
        <v>#DIV/0!</v>
      </c>
      <c r="W162" s="144" t="e">
        <f t="shared" si="52"/>
        <v>#DIV/0!</v>
      </c>
      <c r="X162" s="144" t="e">
        <f t="shared" si="52"/>
        <v>#DIV/0!</v>
      </c>
      <c r="Y162" s="144" t="e">
        <f t="shared" si="52"/>
        <v>#DIV/0!</v>
      </c>
      <c r="Z162" s="9" t="e">
        <f t="shared" si="52"/>
        <v>#DIV/0!</v>
      </c>
      <c r="AA162" s="144" t="e">
        <f t="shared" si="52"/>
        <v>#DIV/0!</v>
      </c>
      <c r="AB162" s="144" t="e">
        <f t="shared" si="52"/>
        <v>#DIV/0!</v>
      </c>
      <c r="AC162" s="144" t="e">
        <f t="shared" ref="AC162:AY162" si="53">AC24/AC$137</f>
        <v>#DIV/0!</v>
      </c>
      <c r="AD162" s="144" t="e">
        <f t="shared" si="53"/>
        <v>#DIV/0!</v>
      </c>
      <c r="AE162" s="9" t="e">
        <f t="shared" si="53"/>
        <v>#DIV/0!</v>
      </c>
      <c r="AF162" s="144" t="e">
        <f t="shared" si="53"/>
        <v>#DIV/0!</v>
      </c>
      <c r="AG162" s="144" t="e">
        <f t="shared" si="53"/>
        <v>#DIV/0!</v>
      </c>
      <c r="AH162" s="144" t="e">
        <f t="shared" si="53"/>
        <v>#DIV/0!</v>
      </c>
      <c r="AI162" s="144" t="e">
        <f t="shared" si="53"/>
        <v>#DIV/0!</v>
      </c>
      <c r="AJ162" s="9" t="e">
        <f t="shared" si="53"/>
        <v>#DIV/0!</v>
      </c>
      <c r="AK162" s="144" t="e">
        <f t="shared" si="53"/>
        <v>#DIV/0!</v>
      </c>
      <c r="AL162" s="144" t="e">
        <f t="shared" si="53"/>
        <v>#DIV/0!</v>
      </c>
      <c r="AM162" s="144" t="e">
        <f t="shared" si="53"/>
        <v>#DIV/0!</v>
      </c>
      <c r="AN162" s="144" t="e">
        <f t="shared" si="53"/>
        <v>#DIV/0!</v>
      </c>
      <c r="AO162" s="9" t="e">
        <f t="shared" si="53"/>
        <v>#DIV/0!</v>
      </c>
      <c r="AP162" s="144" t="e">
        <f t="shared" si="53"/>
        <v>#DIV/0!</v>
      </c>
      <c r="AQ162" s="144" t="e">
        <f t="shared" si="53"/>
        <v>#DIV/0!</v>
      </c>
      <c r="AR162" s="144" t="e">
        <f t="shared" si="53"/>
        <v>#DIV/0!</v>
      </c>
      <c r="AS162" s="144" t="e">
        <f t="shared" si="53"/>
        <v>#DIV/0!</v>
      </c>
      <c r="AT162" s="9" t="e">
        <f t="shared" si="53"/>
        <v>#DIV/0!</v>
      </c>
      <c r="AU162" s="144" t="e">
        <f t="shared" si="53"/>
        <v>#DIV/0!</v>
      </c>
      <c r="AV162" s="144" t="e">
        <f t="shared" si="53"/>
        <v>#DIV/0!</v>
      </c>
      <c r="AW162" s="144" t="e">
        <f t="shared" si="53"/>
        <v>#DIV/0!</v>
      </c>
      <c r="AX162" s="144" t="e">
        <f t="shared" si="53"/>
        <v>#DIV/0!</v>
      </c>
      <c r="AY162" s="117" t="e">
        <f t="shared" si="53"/>
        <v>#DIV/0!</v>
      </c>
    </row>
    <row r="163" spans="1:51">
      <c r="A163" s="137" t="s">
        <v>75</v>
      </c>
      <c r="B163" s="117" t="e">
        <f t="shared" ref="B163:AB163" si="54">B25/B$137</f>
        <v>#DIV/0!</v>
      </c>
      <c r="C163" s="117" t="e">
        <f t="shared" si="54"/>
        <v>#DIV/0!</v>
      </c>
      <c r="D163" s="117" t="e">
        <f t="shared" si="54"/>
        <v>#DIV/0!</v>
      </c>
      <c r="E163" s="117" t="e">
        <f t="shared" si="54"/>
        <v>#DIV/0!</v>
      </c>
      <c r="F163" s="9" t="e">
        <f t="shared" si="54"/>
        <v>#DIV/0!</v>
      </c>
      <c r="G163" s="117" t="e">
        <f t="shared" si="54"/>
        <v>#DIV/0!</v>
      </c>
      <c r="H163" s="117" t="e">
        <f t="shared" si="54"/>
        <v>#DIV/0!</v>
      </c>
      <c r="I163" s="117" t="e">
        <f t="shared" si="54"/>
        <v>#DIV/0!</v>
      </c>
      <c r="J163" s="117" t="e">
        <f t="shared" si="54"/>
        <v>#DIV/0!</v>
      </c>
      <c r="K163" s="9" t="e">
        <f t="shared" si="54"/>
        <v>#DIV/0!</v>
      </c>
      <c r="L163" s="117" t="e">
        <f t="shared" si="54"/>
        <v>#DIV/0!</v>
      </c>
      <c r="M163" s="117" t="e">
        <f t="shared" si="54"/>
        <v>#DIV/0!</v>
      </c>
      <c r="N163" s="117" t="e">
        <f t="shared" si="54"/>
        <v>#DIV/0!</v>
      </c>
      <c r="O163" s="117" t="e">
        <f t="shared" si="54"/>
        <v>#DIV/0!</v>
      </c>
      <c r="P163" s="9" t="e">
        <f t="shared" si="54"/>
        <v>#DIV/0!</v>
      </c>
      <c r="Q163" s="144" t="e">
        <f t="shared" si="54"/>
        <v>#DIV/0!</v>
      </c>
      <c r="R163" s="144" t="e">
        <f t="shared" si="54"/>
        <v>#DIV/0!</v>
      </c>
      <c r="S163" s="144" t="e">
        <f t="shared" si="54"/>
        <v>#DIV/0!</v>
      </c>
      <c r="T163" s="144" t="e">
        <f t="shared" si="54"/>
        <v>#DIV/0!</v>
      </c>
      <c r="U163" s="9" t="e">
        <f t="shared" si="54"/>
        <v>#DIV/0!</v>
      </c>
      <c r="V163" s="144" t="e">
        <f t="shared" si="54"/>
        <v>#DIV/0!</v>
      </c>
      <c r="W163" s="144" t="e">
        <f t="shared" si="54"/>
        <v>#DIV/0!</v>
      </c>
      <c r="X163" s="144" t="e">
        <f t="shared" si="54"/>
        <v>#DIV/0!</v>
      </c>
      <c r="Y163" s="144" t="e">
        <f t="shared" si="54"/>
        <v>#DIV/0!</v>
      </c>
      <c r="Z163" s="9" t="e">
        <f t="shared" si="54"/>
        <v>#DIV/0!</v>
      </c>
      <c r="AA163" s="144" t="e">
        <f t="shared" si="54"/>
        <v>#DIV/0!</v>
      </c>
      <c r="AB163" s="144" t="e">
        <f t="shared" si="54"/>
        <v>#DIV/0!</v>
      </c>
      <c r="AC163" s="144" t="e">
        <f t="shared" ref="AC163:AY163" si="55">AC25/AC$137</f>
        <v>#DIV/0!</v>
      </c>
      <c r="AD163" s="144" t="e">
        <f t="shared" si="55"/>
        <v>#DIV/0!</v>
      </c>
      <c r="AE163" s="9" t="e">
        <f t="shared" si="55"/>
        <v>#DIV/0!</v>
      </c>
      <c r="AF163" s="144" t="e">
        <f t="shared" si="55"/>
        <v>#DIV/0!</v>
      </c>
      <c r="AG163" s="144" t="e">
        <f t="shared" si="55"/>
        <v>#DIV/0!</v>
      </c>
      <c r="AH163" s="144" t="e">
        <f t="shared" si="55"/>
        <v>#DIV/0!</v>
      </c>
      <c r="AI163" s="144" t="e">
        <f t="shared" si="55"/>
        <v>#DIV/0!</v>
      </c>
      <c r="AJ163" s="9" t="e">
        <f t="shared" si="55"/>
        <v>#DIV/0!</v>
      </c>
      <c r="AK163" s="144" t="e">
        <f t="shared" si="55"/>
        <v>#DIV/0!</v>
      </c>
      <c r="AL163" s="144" t="e">
        <f t="shared" si="55"/>
        <v>#DIV/0!</v>
      </c>
      <c r="AM163" s="144" t="e">
        <f t="shared" si="55"/>
        <v>#DIV/0!</v>
      </c>
      <c r="AN163" s="144" t="e">
        <f t="shared" si="55"/>
        <v>#DIV/0!</v>
      </c>
      <c r="AO163" s="9" t="e">
        <f t="shared" si="55"/>
        <v>#DIV/0!</v>
      </c>
      <c r="AP163" s="144" t="e">
        <f t="shared" si="55"/>
        <v>#DIV/0!</v>
      </c>
      <c r="AQ163" s="144" t="e">
        <f t="shared" si="55"/>
        <v>#DIV/0!</v>
      </c>
      <c r="AR163" s="144" t="e">
        <f t="shared" si="55"/>
        <v>#DIV/0!</v>
      </c>
      <c r="AS163" s="144" t="e">
        <f t="shared" si="55"/>
        <v>#DIV/0!</v>
      </c>
      <c r="AT163" s="9" t="e">
        <f t="shared" si="55"/>
        <v>#DIV/0!</v>
      </c>
      <c r="AU163" s="144" t="e">
        <f t="shared" si="55"/>
        <v>#DIV/0!</v>
      </c>
      <c r="AV163" s="144" t="e">
        <f t="shared" si="55"/>
        <v>#DIV/0!</v>
      </c>
      <c r="AW163" s="144" t="e">
        <f t="shared" si="55"/>
        <v>#DIV/0!</v>
      </c>
      <c r="AX163" s="144" t="e">
        <f t="shared" si="55"/>
        <v>#DIV/0!</v>
      </c>
      <c r="AY163" s="117" t="e">
        <f t="shared" si="55"/>
        <v>#DIV/0!</v>
      </c>
    </row>
    <row r="164" spans="1:51">
      <c r="A164" s="137" t="s">
        <v>77</v>
      </c>
      <c r="B164" s="117" t="e">
        <f t="shared" ref="B164:AB164" si="56">B26/B$137</f>
        <v>#DIV/0!</v>
      </c>
      <c r="C164" s="117" t="e">
        <f t="shared" si="56"/>
        <v>#DIV/0!</v>
      </c>
      <c r="D164" s="117" t="e">
        <f t="shared" si="56"/>
        <v>#DIV/0!</v>
      </c>
      <c r="E164" s="117" t="e">
        <f t="shared" si="56"/>
        <v>#DIV/0!</v>
      </c>
      <c r="F164" s="9" t="e">
        <f t="shared" si="56"/>
        <v>#DIV/0!</v>
      </c>
      <c r="G164" s="117" t="e">
        <f t="shared" si="56"/>
        <v>#DIV/0!</v>
      </c>
      <c r="H164" s="117" t="e">
        <f t="shared" si="56"/>
        <v>#DIV/0!</v>
      </c>
      <c r="I164" s="117" t="e">
        <f t="shared" si="56"/>
        <v>#DIV/0!</v>
      </c>
      <c r="J164" s="117" t="e">
        <f t="shared" si="56"/>
        <v>#DIV/0!</v>
      </c>
      <c r="K164" s="9" t="e">
        <f t="shared" si="56"/>
        <v>#DIV/0!</v>
      </c>
      <c r="L164" s="117" t="e">
        <f t="shared" si="56"/>
        <v>#DIV/0!</v>
      </c>
      <c r="M164" s="117" t="e">
        <f t="shared" si="56"/>
        <v>#DIV/0!</v>
      </c>
      <c r="N164" s="117" t="e">
        <f t="shared" si="56"/>
        <v>#DIV/0!</v>
      </c>
      <c r="O164" s="117" t="e">
        <f t="shared" si="56"/>
        <v>#DIV/0!</v>
      </c>
      <c r="P164" s="9" t="e">
        <f t="shared" si="56"/>
        <v>#DIV/0!</v>
      </c>
      <c r="Q164" s="144" t="e">
        <f t="shared" si="56"/>
        <v>#DIV/0!</v>
      </c>
      <c r="R164" s="144" t="e">
        <f t="shared" si="56"/>
        <v>#DIV/0!</v>
      </c>
      <c r="S164" s="144" t="e">
        <f t="shared" si="56"/>
        <v>#DIV/0!</v>
      </c>
      <c r="T164" s="144" t="e">
        <f t="shared" si="56"/>
        <v>#DIV/0!</v>
      </c>
      <c r="U164" s="9" t="e">
        <f t="shared" si="56"/>
        <v>#DIV/0!</v>
      </c>
      <c r="V164" s="144" t="e">
        <f t="shared" si="56"/>
        <v>#DIV/0!</v>
      </c>
      <c r="W164" s="144" t="e">
        <f t="shared" si="56"/>
        <v>#DIV/0!</v>
      </c>
      <c r="X164" s="144" t="e">
        <f t="shared" si="56"/>
        <v>#DIV/0!</v>
      </c>
      <c r="Y164" s="144" t="e">
        <f t="shared" si="56"/>
        <v>#DIV/0!</v>
      </c>
      <c r="Z164" s="9" t="e">
        <f t="shared" si="56"/>
        <v>#DIV/0!</v>
      </c>
      <c r="AA164" s="144" t="e">
        <f t="shared" si="56"/>
        <v>#DIV/0!</v>
      </c>
      <c r="AB164" s="144" t="e">
        <f t="shared" si="56"/>
        <v>#DIV/0!</v>
      </c>
      <c r="AC164" s="144" t="e">
        <f t="shared" ref="AC164:AY164" si="57">AC26/AC$137</f>
        <v>#DIV/0!</v>
      </c>
      <c r="AD164" s="144" t="e">
        <f t="shared" si="57"/>
        <v>#DIV/0!</v>
      </c>
      <c r="AE164" s="9" t="e">
        <f t="shared" si="57"/>
        <v>#DIV/0!</v>
      </c>
      <c r="AF164" s="144" t="e">
        <f t="shared" si="57"/>
        <v>#DIV/0!</v>
      </c>
      <c r="AG164" s="144" t="e">
        <f t="shared" si="57"/>
        <v>#DIV/0!</v>
      </c>
      <c r="AH164" s="144" t="e">
        <f t="shared" si="57"/>
        <v>#DIV/0!</v>
      </c>
      <c r="AI164" s="144" t="e">
        <f t="shared" si="57"/>
        <v>#DIV/0!</v>
      </c>
      <c r="AJ164" s="9" t="e">
        <f t="shared" si="57"/>
        <v>#DIV/0!</v>
      </c>
      <c r="AK164" s="144" t="e">
        <f t="shared" si="57"/>
        <v>#DIV/0!</v>
      </c>
      <c r="AL164" s="144" t="e">
        <f t="shared" si="57"/>
        <v>#DIV/0!</v>
      </c>
      <c r="AM164" s="144" t="e">
        <f t="shared" si="57"/>
        <v>#DIV/0!</v>
      </c>
      <c r="AN164" s="144" t="e">
        <f t="shared" si="57"/>
        <v>#DIV/0!</v>
      </c>
      <c r="AO164" s="9" t="e">
        <f t="shared" si="57"/>
        <v>#DIV/0!</v>
      </c>
      <c r="AP164" s="144" t="e">
        <f t="shared" si="57"/>
        <v>#DIV/0!</v>
      </c>
      <c r="AQ164" s="144" t="e">
        <f t="shared" si="57"/>
        <v>#DIV/0!</v>
      </c>
      <c r="AR164" s="144" t="e">
        <f t="shared" si="57"/>
        <v>#DIV/0!</v>
      </c>
      <c r="AS164" s="144" t="e">
        <f t="shared" si="57"/>
        <v>#DIV/0!</v>
      </c>
      <c r="AT164" s="9" t="e">
        <f t="shared" si="57"/>
        <v>#DIV/0!</v>
      </c>
      <c r="AU164" s="144" t="e">
        <f t="shared" si="57"/>
        <v>#DIV/0!</v>
      </c>
      <c r="AV164" s="144" t="e">
        <f t="shared" si="57"/>
        <v>#DIV/0!</v>
      </c>
      <c r="AW164" s="144" t="e">
        <f t="shared" si="57"/>
        <v>#DIV/0!</v>
      </c>
      <c r="AX164" s="144" t="e">
        <f t="shared" si="57"/>
        <v>#DIV/0!</v>
      </c>
      <c r="AY164" s="117" t="e">
        <f t="shared" si="57"/>
        <v>#DIV/0!</v>
      </c>
    </row>
    <row r="165" spans="1:51">
      <c r="A165" s="137" t="s">
        <v>79</v>
      </c>
      <c r="B165" s="117" t="e">
        <f t="shared" ref="B165:AB165" si="58">B27/B$137</f>
        <v>#DIV/0!</v>
      </c>
      <c r="C165" s="117" t="e">
        <f t="shared" si="58"/>
        <v>#DIV/0!</v>
      </c>
      <c r="D165" s="117" t="e">
        <f t="shared" si="58"/>
        <v>#DIV/0!</v>
      </c>
      <c r="E165" s="117" t="e">
        <f t="shared" si="58"/>
        <v>#DIV/0!</v>
      </c>
      <c r="F165" s="9" t="e">
        <f t="shared" si="58"/>
        <v>#DIV/0!</v>
      </c>
      <c r="G165" s="117" t="e">
        <f t="shared" si="58"/>
        <v>#DIV/0!</v>
      </c>
      <c r="H165" s="117" t="e">
        <f t="shared" si="58"/>
        <v>#DIV/0!</v>
      </c>
      <c r="I165" s="117" t="e">
        <f t="shared" si="58"/>
        <v>#DIV/0!</v>
      </c>
      <c r="J165" s="117" t="e">
        <f t="shared" si="58"/>
        <v>#DIV/0!</v>
      </c>
      <c r="K165" s="9" t="e">
        <f t="shared" si="58"/>
        <v>#DIV/0!</v>
      </c>
      <c r="L165" s="117" t="e">
        <f t="shared" si="58"/>
        <v>#DIV/0!</v>
      </c>
      <c r="M165" s="117" t="e">
        <f t="shared" si="58"/>
        <v>#DIV/0!</v>
      </c>
      <c r="N165" s="117" t="e">
        <f t="shared" si="58"/>
        <v>#DIV/0!</v>
      </c>
      <c r="O165" s="117" t="e">
        <f t="shared" si="58"/>
        <v>#DIV/0!</v>
      </c>
      <c r="P165" s="9" t="e">
        <f t="shared" si="58"/>
        <v>#DIV/0!</v>
      </c>
      <c r="Q165" s="144" t="e">
        <f t="shared" si="58"/>
        <v>#DIV/0!</v>
      </c>
      <c r="R165" s="144" t="e">
        <f t="shared" si="58"/>
        <v>#DIV/0!</v>
      </c>
      <c r="S165" s="144" t="e">
        <f t="shared" si="58"/>
        <v>#DIV/0!</v>
      </c>
      <c r="T165" s="144" t="e">
        <f t="shared" si="58"/>
        <v>#DIV/0!</v>
      </c>
      <c r="U165" s="9" t="e">
        <f t="shared" si="58"/>
        <v>#DIV/0!</v>
      </c>
      <c r="V165" s="144" t="e">
        <f t="shared" si="58"/>
        <v>#DIV/0!</v>
      </c>
      <c r="W165" s="144" t="e">
        <f t="shared" si="58"/>
        <v>#DIV/0!</v>
      </c>
      <c r="X165" s="144" t="e">
        <f t="shared" si="58"/>
        <v>#DIV/0!</v>
      </c>
      <c r="Y165" s="144" t="e">
        <f t="shared" si="58"/>
        <v>#DIV/0!</v>
      </c>
      <c r="Z165" s="9" t="e">
        <f t="shared" si="58"/>
        <v>#DIV/0!</v>
      </c>
      <c r="AA165" s="144" t="e">
        <f t="shared" si="58"/>
        <v>#DIV/0!</v>
      </c>
      <c r="AB165" s="144" t="e">
        <f t="shared" si="58"/>
        <v>#DIV/0!</v>
      </c>
      <c r="AC165" s="144" t="e">
        <f t="shared" ref="AC165:AY165" si="59">AC27/AC$137</f>
        <v>#DIV/0!</v>
      </c>
      <c r="AD165" s="144" t="e">
        <f t="shared" si="59"/>
        <v>#DIV/0!</v>
      </c>
      <c r="AE165" s="9" t="e">
        <f t="shared" si="59"/>
        <v>#DIV/0!</v>
      </c>
      <c r="AF165" s="144" t="e">
        <f t="shared" si="59"/>
        <v>#DIV/0!</v>
      </c>
      <c r="AG165" s="144" t="e">
        <f t="shared" si="59"/>
        <v>#DIV/0!</v>
      </c>
      <c r="AH165" s="144" t="e">
        <f t="shared" si="59"/>
        <v>#DIV/0!</v>
      </c>
      <c r="AI165" s="144" t="e">
        <f t="shared" si="59"/>
        <v>#DIV/0!</v>
      </c>
      <c r="AJ165" s="9" t="e">
        <f t="shared" si="59"/>
        <v>#DIV/0!</v>
      </c>
      <c r="AK165" s="144" t="e">
        <f t="shared" si="59"/>
        <v>#DIV/0!</v>
      </c>
      <c r="AL165" s="144" t="e">
        <f t="shared" si="59"/>
        <v>#DIV/0!</v>
      </c>
      <c r="AM165" s="144" t="e">
        <f t="shared" si="59"/>
        <v>#DIV/0!</v>
      </c>
      <c r="AN165" s="144" t="e">
        <f t="shared" si="59"/>
        <v>#DIV/0!</v>
      </c>
      <c r="AO165" s="9" t="e">
        <f t="shared" si="59"/>
        <v>#DIV/0!</v>
      </c>
      <c r="AP165" s="144" t="e">
        <f t="shared" si="59"/>
        <v>#DIV/0!</v>
      </c>
      <c r="AQ165" s="144" t="e">
        <f t="shared" si="59"/>
        <v>#DIV/0!</v>
      </c>
      <c r="AR165" s="144" t="e">
        <f t="shared" si="59"/>
        <v>#DIV/0!</v>
      </c>
      <c r="AS165" s="144" t="e">
        <f t="shared" si="59"/>
        <v>#DIV/0!</v>
      </c>
      <c r="AT165" s="9" t="e">
        <f t="shared" si="59"/>
        <v>#DIV/0!</v>
      </c>
      <c r="AU165" s="144" t="e">
        <f t="shared" si="59"/>
        <v>#DIV/0!</v>
      </c>
      <c r="AV165" s="144" t="e">
        <f t="shared" si="59"/>
        <v>#DIV/0!</v>
      </c>
      <c r="AW165" s="144" t="e">
        <f t="shared" si="59"/>
        <v>#DIV/0!</v>
      </c>
      <c r="AX165" s="144" t="e">
        <f t="shared" si="59"/>
        <v>#DIV/0!</v>
      </c>
      <c r="AY165" s="117" t="e">
        <f t="shared" si="59"/>
        <v>#DIV/0!</v>
      </c>
    </row>
    <row r="166" spans="1:51">
      <c r="A166" s="137" t="s">
        <v>81</v>
      </c>
      <c r="B166" s="117" t="e">
        <f t="shared" ref="B166:AB166" si="60">B28/B$137</f>
        <v>#DIV/0!</v>
      </c>
      <c r="C166" s="117" t="e">
        <f t="shared" si="60"/>
        <v>#DIV/0!</v>
      </c>
      <c r="D166" s="117" t="e">
        <f t="shared" si="60"/>
        <v>#DIV/0!</v>
      </c>
      <c r="E166" s="117" t="e">
        <f t="shared" si="60"/>
        <v>#DIV/0!</v>
      </c>
      <c r="F166" s="9" t="e">
        <f t="shared" si="60"/>
        <v>#DIV/0!</v>
      </c>
      <c r="G166" s="117" t="e">
        <f t="shared" si="60"/>
        <v>#DIV/0!</v>
      </c>
      <c r="H166" s="117" t="e">
        <f t="shared" si="60"/>
        <v>#DIV/0!</v>
      </c>
      <c r="I166" s="117" t="e">
        <f t="shared" si="60"/>
        <v>#DIV/0!</v>
      </c>
      <c r="J166" s="117" t="e">
        <f t="shared" si="60"/>
        <v>#DIV/0!</v>
      </c>
      <c r="K166" s="9" t="e">
        <f t="shared" si="60"/>
        <v>#DIV/0!</v>
      </c>
      <c r="L166" s="117" t="e">
        <f t="shared" si="60"/>
        <v>#DIV/0!</v>
      </c>
      <c r="M166" s="117" t="e">
        <f t="shared" si="60"/>
        <v>#DIV/0!</v>
      </c>
      <c r="N166" s="117" t="e">
        <f t="shared" si="60"/>
        <v>#DIV/0!</v>
      </c>
      <c r="O166" s="117" t="e">
        <f t="shared" si="60"/>
        <v>#DIV/0!</v>
      </c>
      <c r="P166" s="9" t="e">
        <f t="shared" si="60"/>
        <v>#DIV/0!</v>
      </c>
      <c r="Q166" s="144" t="e">
        <f t="shared" si="60"/>
        <v>#DIV/0!</v>
      </c>
      <c r="R166" s="144" t="e">
        <f t="shared" si="60"/>
        <v>#DIV/0!</v>
      </c>
      <c r="S166" s="144" t="e">
        <f t="shared" si="60"/>
        <v>#DIV/0!</v>
      </c>
      <c r="T166" s="144" t="e">
        <f t="shared" si="60"/>
        <v>#DIV/0!</v>
      </c>
      <c r="U166" s="9" t="e">
        <f t="shared" si="60"/>
        <v>#DIV/0!</v>
      </c>
      <c r="V166" s="144" t="e">
        <f t="shared" si="60"/>
        <v>#DIV/0!</v>
      </c>
      <c r="W166" s="144" t="e">
        <f t="shared" si="60"/>
        <v>#DIV/0!</v>
      </c>
      <c r="X166" s="144" t="e">
        <f t="shared" si="60"/>
        <v>#DIV/0!</v>
      </c>
      <c r="Y166" s="144" t="e">
        <f t="shared" si="60"/>
        <v>#DIV/0!</v>
      </c>
      <c r="Z166" s="9" t="e">
        <f t="shared" si="60"/>
        <v>#DIV/0!</v>
      </c>
      <c r="AA166" s="144" t="e">
        <f t="shared" si="60"/>
        <v>#DIV/0!</v>
      </c>
      <c r="AB166" s="144" t="e">
        <f t="shared" si="60"/>
        <v>#DIV/0!</v>
      </c>
      <c r="AC166" s="144" t="e">
        <f t="shared" ref="AC166:AY166" si="61">AC28/AC$137</f>
        <v>#DIV/0!</v>
      </c>
      <c r="AD166" s="144" t="e">
        <f t="shared" si="61"/>
        <v>#DIV/0!</v>
      </c>
      <c r="AE166" s="9" t="e">
        <f t="shared" si="61"/>
        <v>#DIV/0!</v>
      </c>
      <c r="AF166" s="144" t="e">
        <f t="shared" si="61"/>
        <v>#DIV/0!</v>
      </c>
      <c r="AG166" s="144" t="e">
        <f t="shared" si="61"/>
        <v>#DIV/0!</v>
      </c>
      <c r="AH166" s="144" t="e">
        <f t="shared" si="61"/>
        <v>#DIV/0!</v>
      </c>
      <c r="AI166" s="144" t="e">
        <f t="shared" si="61"/>
        <v>#DIV/0!</v>
      </c>
      <c r="AJ166" s="9" t="e">
        <f t="shared" si="61"/>
        <v>#DIV/0!</v>
      </c>
      <c r="AK166" s="144" t="e">
        <f t="shared" si="61"/>
        <v>#DIV/0!</v>
      </c>
      <c r="AL166" s="144" t="e">
        <f t="shared" si="61"/>
        <v>#DIV/0!</v>
      </c>
      <c r="AM166" s="144" t="e">
        <f t="shared" si="61"/>
        <v>#DIV/0!</v>
      </c>
      <c r="AN166" s="144" t="e">
        <f t="shared" si="61"/>
        <v>#DIV/0!</v>
      </c>
      <c r="AO166" s="9" t="e">
        <f t="shared" si="61"/>
        <v>#DIV/0!</v>
      </c>
      <c r="AP166" s="144" t="e">
        <f t="shared" si="61"/>
        <v>#DIV/0!</v>
      </c>
      <c r="AQ166" s="144" t="e">
        <f t="shared" si="61"/>
        <v>#DIV/0!</v>
      </c>
      <c r="AR166" s="144" t="e">
        <f t="shared" si="61"/>
        <v>#DIV/0!</v>
      </c>
      <c r="AS166" s="144" t="e">
        <f t="shared" si="61"/>
        <v>#DIV/0!</v>
      </c>
      <c r="AT166" s="9" t="e">
        <f t="shared" si="61"/>
        <v>#DIV/0!</v>
      </c>
      <c r="AU166" s="144" t="e">
        <f t="shared" si="61"/>
        <v>#DIV/0!</v>
      </c>
      <c r="AV166" s="144" t="e">
        <f t="shared" si="61"/>
        <v>#DIV/0!</v>
      </c>
      <c r="AW166" s="144" t="e">
        <f t="shared" si="61"/>
        <v>#DIV/0!</v>
      </c>
      <c r="AX166" s="144" t="e">
        <f t="shared" si="61"/>
        <v>#DIV/0!</v>
      </c>
      <c r="AY166" s="117" t="e">
        <f t="shared" si="61"/>
        <v>#DIV/0!</v>
      </c>
    </row>
    <row r="167" spans="1:51">
      <c r="A167" s="137" t="s">
        <v>83</v>
      </c>
      <c r="B167" s="117" t="e">
        <f t="shared" ref="B167:AB167" si="62">B29/B$137</f>
        <v>#DIV/0!</v>
      </c>
      <c r="C167" s="117" t="e">
        <f t="shared" si="62"/>
        <v>#DIV/0!</v>
      </c>
      <c r="D167" s="117" t="e">
        <f t="shared" si="62"/>
        <v>#DIV/0!</v>
      </c>
      <c r="E167" s="117" t="e">
        <f t="shared" si="62"/>
        <v>#DIV/0!</v>
      </c>
      <c r="F167" s="9" t="e">
        <f t="shared" si="62"/>
        <v>#DIV/0!</v>
      </c>
      <c r="G167" s="117" t="e">
        <f t="shared" si="62"/>
        <v>#DIV/0!</v>
      </c>
      <c r="H167" s="117" t="e">
        <f t="shared" si="62"/>
        <v>#DIV/0!</v>
      </c>
      <c r="I167" s="117" t="e">
        <f t="shared" si="62"/>
        <v>#DIV/0!</v>
      </c>
      <c r="J167" s="117" t="e">
        <f t="shared" si="62"/>
        <v>#DIV/0!</v>
      </c>
      <c r="K167" s="9" t="e">
        <f t="shared" si="62"/>
        <v>#DIV/0!</v>
      </c>
      <c r="L167" s="117" t="e">
        <f t="shared" si="62"/>
        <v>#DIV/0!</v>
      </c>
      <c r="M167" s="117" t="e">
        <f t="shared" si="62"/>
        <v>#DIV/0!</v>
      </c>
      <c r="N167" s="117" t="e">
        <f t="shared" si="62"/>
        <v>#DIV/0!</v>
      </c>
      <c r="O167" s="117" t="e">
        <f t="shared" si="62"/>
        <v>#DIV/0!</v>
      </c>
      <c r="P167" s="9" t="e">
        <f t="shared" si="62"/>
        <v>#DIV/0!</v>
      </c>
      <c r="Q167" s="144" t="e">
        <f t="shared" si="62"/>
        <v>#DIV/0!</v>
      </c>
      <c r="R167" s="144" t="e">
        <f t="shared" si="62"/>
        <v>#DIV/0!</v>
      </c>
      <c r="S167" s="144" t="e">
        <f t="shared" si="62"/>
        <v>#DIV/0!</v>
      </c>
      <c r="T167" s="144" t="e">
        <f t="shared" si="62"/>
        <v>#DIV/0!</v>
      </c>
      <c r="U167" s="9" t="e">
        <f t="shared" si="62"/>
        <v>#DIV/0!</v>
      </c>
      <c r="V167" s="144" t="e">
        <f t="shared" si="62"/>
        <v>#DIV/0!</v>
      </c>
      <c r="W167" s="144" t="e">
        <f t="shared" si="62"/>
        <v>#DIV/0!</v>
      </c>
      <c r="X167" s="144" t="e">
        <f t="shared" si="62"/>
        <v>#DIV/0!</v>
      </c>
      <c r="Y167" s="144" t="e">
        <f t="shared" si="62"/>
        <v>#DIV/0!</v>
      </c>
      <c r="Z167" s="9" t="e">
        <f t="shared" si="62"/>
        <v>#DIV/0!</v>
      </c>
      <c r="AA167" s="144" t="e">
        <f t="shared" si="62"/>
        <v>#DIV/0!</v>
      </c>
      <c r="AB167" s="144" t="e">
        <f t="shared" si="62"/>
        <v>#DIV/0!</v>
      </c>
      <c r="AC167" s="144" t="e">
        <f t="shared" ref="AC167:AY167" si="63">AC29/AC$137</f>
        <v>#DIV/0!</v>
      </c>
      <c r="AD167" s="144" t="e">
        <f t="shared" si="63"/>
        <v>#DIV/0!</v>
      </c>
      <c r="AE167" s="9" t="e">
        <f t="shared" si="63"/>
        <v>#DIV/0!</v>
      </c>
      <c r="AF167" s="144" t="e">
        <f t="shared" si="63"/>
        <v>#DIV/0!</v>
      </c>
      <c r="AG167" s="144" t="e">
        <f t="shared" si="63"/>
        <v>#DIV/0!</v>
      </c>
      <c r="AH167" s="144" t="e">
        <f t="shared" si="63"/>
        <v>#DIV/0!</v>
      </c>
      <c r="AI167" s="144" t="e">
        <f t="shared" si="63"/>
        <v>#DIV/0!</v>
      </c>
      <c r="AJ167" s="9" t="e">
        <f t="shared" si="63"/>
        <v>#DIV/0!</v>
      </c>
      <c r="AK167" s="144" t="e">
        <f t="shared" si="63"/>
        <v>#DIV/0!</v>
      </c>
      <c r="AL167" s="144" t="e">
        <f t="shared" si="63"/>
        <v>#DIV/0!</v>
      </c>
      <c r="AM167" s="144" t="e">
        <f t="shared" si="63"/>
        <v>#DIV/0!</v>
      </c>
      <c r="AN167" s="144" t="e">
        <f t="shared" si="63"/>
        <v>#DIV/0!</v>
      </c>
      <c r="AO167" s="9" t="e">
        <f t="shared" si="63"/>
        <v>#DIV/0!</v>
      </c>
      <c r="AP167" s="144" t="e">
        <f t="shared" si="63"/>
        <v>#DIV/0!</v>
      </c>
      <c r="AQ167" s="144" t="e">
        <f t="shared" si="63"/>
        <v>#DIV/0!</v>
      </c>
      <c r="AR167" s="144" t="e">
        <f t="shared" si="63"/>
        <v>#DIV/0!</v>
      </c>
      <c r="AS167" s="144" t="e">
        <f t="shared" si="63"/>
        <v>#DIV/0!</v>
      </c>
      <c r="AT167" s="9" t="e">
        <f t="shared" si="63"/>
        <v>#DIV/0!</v>
      </c>
      <c r="AU167" s="144" t="e">
        <f t="shared" si="63"/>
        <v>#DIV/0!</v>
      </c>
      <c r="AV167" s="144" t="e">
        <f t="shared" si="63"/>
        <v>#DIV/0!</v>
      </c>
      <c r="AW167" s="144" t="e">
        <f t="shared" si="63"/>
        <v>#DIV/0!</v>
      </c>
      <c r="AX167" s="144" t="e">
        <f t="shared" si="63"/>
        <v>#DIV/0!</v>
      </c>
      <c r="AY167" s="117" t="e">
        <f t="shared" si="63"/>
        <v>#DIV/0!</v>
      </c>
    </row>
    <row r="168" spans="1:51">
      <c r="A168" s="137" t="s">
        <v>85</v>
      </c>
      <c r="B168" s="117" t="e">
        <f t="shared" ref="B168:AB168" si="64">B30/B$137</f>
        <v>#DIV/0!</v>
      </c>
      <c r="C168" s="117" t="e">
        <f t="shared" si="64"/>
        <v>#DIV/0!</v>
      </c>
      <c r="D168" s="117" t="e">
        <f t="shared" si="64"/>
        <v>#DIV/0!</v>
      </c>
      <c r="E168" s="117" t="e">
        <f t="shared" si="64"/>
        <v>#DIV/0!</v>
      </c>
      <c r="F168" s="9" t="e">
        <f t="shared" si="64"/>
        <v>#DIV/0!</v>
      </c>
      <c r="G168" s="117" t="e">
        <f t="shared" si="64"/>
        <v>#DIV/0!</v>
      </c>
      <c r="H168" s="117" t="e">
        <f t="shared" si="64"/>
        <v>#DIV/0!</v>
      </c>
      <c r="I168" s="117" t="e">
        <f t="shared" si="64"/>
        <v>#DIV/0!</v>
      </c>
      <c r="J168" s="117" t="e">
        <f t="shared" si="64"/>
        <v>#DIV/0!</v>
      </c>
      <c r="K168" s="9" t="e">
        <f t="shared" si="64"/>
        <v>#DIV/0!</v>
      </c>
      <c r="L168" s="117" t="e">
        <f t="shared" si="64"/>
        <v>#DIV/0!</v>
      </c>
      <c r="M168" s="117" t="e">
        <f t="shared" si="64"/>
        <v>#DIV/0!</v>
      </c>
      <c r="N168" s="117" t="e">
        <f t="shared" si="64"/>
        <v>#DIV/0!</v>
      </c>
      <c r="O168" s="117" t="e">
        <f t="shared" si="64"/>
        <v>#DIV/0!</v>
      </c>
      <c r="P168" s="9" t="e">
        <f t="shared" si="64"/>
        <v>#DIV/0!</v>
      </c>
      <c r="Q168" s="144" t="e">
        <f t="shared" si="64"/>
        <v>#DIV/0!</v>
      </c>
      <c r="R168" s="144" t="e">
        <f t="shared" si="64"/>
        <v>#DIV/0!</v>
      </c>
      <c r="S168" s="144" t="e">
        <f t="shared" si="64"/>
        <v>#DIV/0!</v>
      </c>
      <c r="T168" s="144" t="e">
        <f t="shared" si="64"/>
        <v>#DIV/0!</v>
      </c>
      <c r="U168" s="9" t="e">
        <f t="shared" si="64"/>
        <v>#DIV/0!</v>
      </c>
      <c r="V168" s="144" t="e">
        <f t="shared" si="64"/>
        <v>#DIV/0!</v>
      </c>
      <c r="W168" s="144" t="e">
        <f t="shared" si="64"/>
        <v>#DIV/0!</v>
      </c>
      <c r="X168" s="144" t="e">
        <f t="shared" si="64"/>
        <v>#DIV/0!</v>
      </c>
      <c r="Y168" s="144" t="e">
        <f t="shared" si="64"/>
        <v>#DIV/0!</v>
      </c>
      <c r="Z168" s="9" t="e">
        <f t="shared" si="64"/>
        <v>#DIV/0!</v>
      </c>
      <c r="AA168" s="144" t="e">
        <f t="shared" si="64"/>
        <v>#DIV/0!</v>
      </c>
      <c r="AB168" s="144" t="e">
        <f t="shared" si="64"/>
        <v>#DIV/0!</v>
      </c>
      <c r="AC168" s="144" t="e">
        <f t="shared" ref="AC168:AY168" si="65">AC30/AC$137</f>
        <v>#DIV/0!</v>
      </c>
      <c r="AD168" s="144" t="e">
        <f t="shared" si="65"/>
        <v>#DIV/0!</v>
      </c>
      <c r="AE168" s="9" t="e">
        <f t="shared" si="65"/>
        <v>#DIV/0!</v>
      </c>
      <c r="AF168" s="144" t="e">
        <f t="shared" si="65"/>
        <v>#DIV/0!</v>
      </c>
      <c r="AG168" s="144" t="e">
        <f t="shared" si="65"/>
        <v>#DIV/0!</v>
      </c>
      <c r="AH168" s="144" t="e">
        <f t="shared" si="65"/>
        <v>#DIV/0!</v>
      </c>
      <c r="AI168" s="144" t="e">
        <f t="shared" si="65"/>
        <v>#DIV/0!</v>
      </c>
      <c r="AJ168" s="9" t="e">
        <f t="shared" si="65"/>
        <v>#DIV/0!</v>
      </c>
      <c r="AK168" s="144" t="e">
        <f t="shared" si="65"/>
        <v>#DIV/0!</v>
      </c>
      <c r="AL168" s="144" t="e">
        <f t="shared" si="65"/>
        <v>#DIV/0!</v>
      </c>
      <c r="AM168" s="144" t="e">
        <f t="shared" si="65"/>
        <v>#DIV/0!</v>
      </c>
      <c r="AN168" s="144" t="e">
        <f t="shared" si="65"/>
        <v>#DIV/0!</v>
      </c>
      <c r="AO168" s="9" t="e">
        <f t="shared" si="65"/>
        <v>#DIV/0!</v>
      </c>
      <c r="AP168" s="144" t="e">
        <f t="shared" si="65"/>
        <v>#DIV/0!</v>
      </c>
      <c r="AQ168" s="144" t="e">
        <f t="shared" si="65"/>
        <v>#DIV/0!</v>
      </c>
      <c r="AR168" s="144" t="e">
        <f t="shared" si="65"/>
        <v>#DIV/0!</v>
      </c>
      <c r="AS168" s="144" t="e">
        <f t="shared" si="65"/>
        <v>#DIV/0!</v>
      </c>
      <c r="AT168" s="9" t="e">
        <f t="shared" si="65"/>
        <v>#DIV/0!</v>
      </c>
      <c r="AU168" s="144" t="e">
        <f t="shared" si="65"/>
        <v>#DIV/0!</v>
      </c>
      <c r="AV168" s="144" t="e">
        <f t="shared" si="65"/>
        <v>#DIV/0!</v>
      </c>
      <c r="AW168" s="144" t="e">
        <f t="shared" si="65"/>
        <v>#DIV/0!</v>
      </c>
      <c r="AX168" s="144" t="e">
        <f t="shared" si="65"/>
        <v>#DIV/0!</v>
      </c>
      <c r="AY168" s="117" t="e">
        <f t="shared" si="65"/>
        <v>#DIV/0!</v>
      </c>
    </row>
    <row r="169" spans="1:51">
      <c r="A169" s="137" t="s">
        <v>87</v>
      </c>
      <c r="B169" s="117" t="e">
        <f t="shared" ref="B169:AB169" si="66">B31/B$137</f>
        <v>#DIV/0!</v>
      </c>
      <c r="C169" s="117" t="e">
        <f t="shared" si="66"/>
        <v>#DIV/0!</v>
      </c>
      <c r="D169" s="117" t="e">
        <f t="shared" si="66"/>
        <v>#DIV/0!</v>
      </c>
      <c r="E169" s="117" t="e">
        <f t="shared" si="66"/>
        <v>#DIV/0!</v>
      </c>
      <c r="F169" s="9" t="e">
        <f t="shared" si="66"/>
        <v>#DIV/0!</v>
      </c>
      <c r="G169" s="117" t="e">
        <f t="shared" si="66"/>
        <v>#DIV/0!</v>
      </c>
      <c r="H169" s="117" t="e">
        <f t="shared" si="66"/>
        <v>#DIV/0!</v>
      </c>
      <c r="I169" s="117" t="e">
        <f t="shared" si="66"/>
        <v>#DIV/0!</v>
      </c>
      <c r="J169" s="117" t="e">
        <f t="shared" si="66"/>
        <v>#DIV/0!</v>
      </c>
      <c r="K169" s="9" t="e">
        <f t="shared" si="66"/>
        <v>#DIV/0!</v>
      </c>
      <c r="L169" s="117" t="e">
        <f t="shared" si="66"/>
        <v>#DIV/0!</v>
      </c>
      <c r="M169" s="117" t="e">
        <f t="shared" si="66"/>
        <v>#DIV/0!</v>
      </c>
      <c r="N169" s="117" t="e">
        <f t="shared" si="66"/>
        <v>#DIV/0!</v>
      </c>
      <c r="O169" s="117" t="e">
        <f t="shared" si="66"/>
        <v>#DIV/0!</v>
      </c>
      <c r="P169" s="9" t="e">
        <f t="shared" si="66"/>
        <v>#DIV/0!</v>
      </c>
      <c r="Q169" s="144" t="e">
        <f t="shared" si="66"/>
        <v>#DIV/0!</v>
      </c>
      <c r="R169" s="144" t="e">
        <f t="shared" si="66"/>
        <v>#DIV/0!</v>
      </c>
      <c r="S169" s="144" t="e">
        <f t="shared" si="66"/>
        <v>#DIV/0!</v>
      </c>
      <c r="T169" s="144" t="e">
        <f t="shared" si="66"/>
        <v>#DIV/0!</v>
      </c>
      <c r="U169" s="9" t="e">
        <f t="shared" si="66"/>
        <v>#DIV/0!</v>
      </c>
      <c r="V169" s="144" t="e">
        <f t="shared" si="66"/>
        <v>#DIV/0!</v>
      </c>
      <c r="W169" s="144" t="e">
        <f t="shared" si="66"/>
        <v>#DIV/0!</v>
      </c>
      <c r="X169" s="144" t="e">
        <f t="shared" si="66"/>
        <v>#DIV/0!</v>
      </c>
      <c r="Y169" s="144" t="e">
        <f t="shared" si="66"/>
        <v>#DIV/0!</v>
      </c>
      <c r="Z169" s="9" t="e">
        <f t="shared" si="66"/>
        <v>#DIV/0!</v>
      </c>
      <c r="AA169" s="144" t="e">
        <f t="shared" si="66"/>
        <v>#DIV/0!</v>
      </c>
      <c r="AB169" s="144" t="e">
        <f t="shared" si="66"/>
        <v>#DIV/0!</v>
      </c>
      <c r="AC169" s="144" t="e">
        <f t="shared" ref="AC169:AY169" si="67">AC31/AC$137</f>
        <v>#DIV/0!</v>
      </c>
      <c r="AD169" s="144" t="e">
        <f t="shared" si="67"/>
        <v>#DIV/0!</v>
      </c>
      <c r="AE169" s="9" t="e">
        <f t="shared" si="67"/>
        <v>#DIV/0!</v>
      </c>
      <c r="AF169" s="144" t="e">
        <f t="shared" si="67"/>
        <v>#DIV/0!</v>
      </c>
      <c r="AG169" s="144" t="e">
        <f t="shared" si="67"/>
        <v>#DIV/0!</v>
      </c>
      <c r="AH169" s="144" t="e">
        <f t="shared" si="67"/>
        <v>#DIV/0!</v>
      </c>
      <c r="AI169" s="144" t="e">
        <f t="shared" si="67"/>
        <v>#DIV/0!</v>
      </c>
      <c r="AJ169" s="9" t="e">
        <f t="shared" si="67"/>
        <v>#DIV/0!</v>
      </c>
      <c r="AK169" s="144" t="e">
        <f t="shared" si="67"/>
        <v>#DIV/0!</v>
      </c>
      <c r="AL169" s="144" t="e">
        <f t="shared" si="67"/>
        <v>#DIV/0!</v>
      </c>
      <c r="AM169" s="144" t="e">
        <f t="shared" si="67"/>
        <v>#DIV/0!</v>
      </c>
      <c r="AN169" s="144" t="e">
        <f t="shared" si="67"/>
        <v>#DIV/0!</v>
      </c>
      <c r="AO169" s="9" t="e">
        <f t="shared" si="67"/>
        <v>#DIV/0!</v>
      </c>
      <c r="AP169" s="144" t="e">
        <f t="shared" si="67"/>
        <v>#DIV/0!</v>
      </c>
      <c r="AQ169" s="144" t="e">
        <f t="shared" si="67"/>
        <v>#DIV/0!</v>
      </c>
      <c r="AR169" s="144" t="e">
        <f t="shared" si="67"/>
        <v>#DIV/0!</v>
      </c>
      <c r="AS169" s="144" t="e">
        <f t="shared" si="67"/>
        <v>#DIV/0!</v>
      </c>
      <c r="AT169" s="9" t="e">
        <f t="shared" si="67"/>
        <v>#DIV/0!</v>
      </c>
      <c r="AU169" s="144" t="e">
        <f t="shared" si="67"/>
        <v>#DIV/0!</v>
      </c>
      <c r="AV169" s="144" t="e">
        <f t="shared" si="67"/>
        <v>#DIV/0!</v>
      </c>
      <c r="AW169" s="144" t="e">
        <f t="shared" si="67"/>
        <v>#DIV/0!</v>
      </c>
      <c r="AX169" s="144" t="e">
        <f t="shared" si="67"/>
        <v>#DIV/0!</v>
      </c>
      <c r="AY169" s="117" t="e">
        <f t="shared" si="67"/>
        <v>#DIV/0!</v>
      </c>
    </row>
    <row r="170" spans="1:51">
      <c r="A170" s="137" t="s">
        <v>89</v>
      </c>
      <c r="B170" s="117" t="e">
        <f t="shared" ref="B170:AB170" si="68">B32/B$137</f>
        <v>#DIV/0!</v>
      </c>
      <c r="C170" s="117" t="e">
        <f t="shared" si="68"/>
        <v>#DIV/0!</v>
      </c>
      <c r="D170" s="117" t="e">
        <f t="shared" si="68"/>
        <v>#DIV/0!</v>
      </c>
      <c r="E170" s="117" t="e">
        <f t="shared" si="68"/>
        <v>#DIV/0!</v>
      </c>
      <c r="F170" s="9" t="e">
        <f t="shared" si="68"/>
        <v>#DIV/0!</v>
      </c>
      <c r="G170" s="117" t="e">
        <f t="shared" si="68"/>
        <v>#DIV/0!</v>
      </c>
      <c r="H170" s="117" t="e">
        <f t="shared" si="68"/>
        <v>#DIV/0!</v>
      </c>
      <c r="I170" s="117" t="e">
        <f t="shared" si="68"/>
        <v>#DIV/0!</v>
      </c>
      <c r="J170" s="117" t="e">
        <f t="shared" si="68"/>
        <v>#DIV/0!</v>
      </c>
      <c r="K170" s="9" t="e">
        <f t="shared" si="68"/>
        <v>#DIV/0!</v>
      </c>
      <c r="L170" s="117" t="e">
        <f t="shared" si="68"/>
        <v>#DIV/0!</v>
      </c>
      <c r="M170" s="117" t="e">
        <f t="shared" si="68"/>
        <v>#DIV/0!</v>
      </c>
      <c r="N170" s="117" t="e">
        <f t="shared" si="68"/>
        <v>#DIV/0!</v>
      </c>
      <c r="O170" s="117" t="e">
        <f t="shared" si="68"/>
        <v>#DIV/0!</v>
      </c>
      <c r="P170" s="9" t="e">
        <f t="shared" si="68"/>
        <v>#DIV/0!</v>
      </c>
      <c r="Q170" s="144" t="e">
        <f t="shared" si="68"/>
        <v>#DIV/0!</v>
      </c>
      <c r="R170" s="144" t="e">
        <f t="shared" si="68"/>
        <v>#DIV/0!</v>
      </c>
      <c r="S170" s="144" t="e">
        <f t="shared" si="68"/>
        <v>#DIV/0!</v>
      </c>
      <c r="T170" s="144" t="e">
        <f t="shared" si="68"/>
        <v>#DIV/0!</v>
      </c>
      <c r="U170" s="9" t="e">
        <f t="shared" si="68"/>
        <v>#DIV/0!</v>
      </c>
      <c r="V170" s="144" t="e">
        <f t="shared" si="68"/>
        <v>#DIV/0!</v>
      </c>
      <c r="W170" s="144" t="e">
        <f t="shared" si="68"/>
        <v>#DIV/0!</v>
      </c>
      <c r="X170" s="144" t="e">
        <f t="shared" si="68"/>
        <v>#DIV/0!</v>
      </c>
      <c r="Y170" s="144" t="e">
        <f t="shared" si="68"/>
        <v>#DIV/0!</v>
      </c>
      <c r="Z170" s="9" t="e">
        <f t="shared" si="68"/>
        <v>#DIV/0!</v>
      </c>
      <c r="AA170" s="144" t="e">
        <f t="shared" si="68"/>
        <v>#DIV/0!</v>
      </c>
      <c r="AB170" s="144" t="e">
        <f t="shared" si="68"/>
        <v>#DIV/0!</v>
      </c>
      <c r="AC170" s="144" t="e">
        <f t="shared" ref="AC170:AY170" si="69">AC32/AC$137</f>
        <v>#DIV/0!</v>
      </c>
      <c r="AD170" s="144" t="e">
        <f t="shared" si="69"/>
        <v>#DIV/0!</v>
      </c>
      <c r="AE170" s="9" t="e">
        <f t="shared" si="69"/>
        <v>#DIV/0!</v>
      </c>
      <c r="AF170" s="144" t="e">
        <f t="shared" si="69"/>
        <v>#DIV/0!</v>
      </c>
      <c r="AG170" s="144" t="e">
        <f t="shared" si="69"/>
        <v>#DIV/0!</v>
      </c>
      <c r="AH170" s="144" t="e">
        <f t="shared" si="69"/>
        <v>#DIV/0!</v>
      </c>
      <c r="AI170" s="144" t="e">
        <f t="shared" si="69"/>
        <v>#DIV/0!</v>
      </c>
      <c r="AJ170" s="9" t="e">
        <f t="shared" si="69"/>
        <v>#DIV/0!</v>
      </c>
      <c r="AK170" s="144" t="e">
        <f t="shared" si="69"/>
        <v>#DIV/0!</v>
      </c>
      <c r="AL170" s="144" t="e">
        <f t="shared" si="69"/>
        <v>#DIV/0!</v>
      </c>
      <c r="AM170" s="144" t="e">
        <f t="shared" si="69"/>
        <v>#DIV/0!</v>
      </c>
      <c r="AN170" s="144" t="e">
        <f t="shared" si="69"/>
        <v>#DIV/0!</v>
      </c>
      <c r="AO170" s="9" t="e">
        <f t="shared" si="69"/>
        <v>#DIV/0!</v>
      </c>
      <c r="AP170" s="144" t="e">
        <f t="shared" si="69"/>
        <v>#DIV/0!</v>
      </c>
      <c r="AQ170" s="144" t="e">
        <f t="shared" si="69"/>
        <v>#DIV/0!</v>
      </c>
      <c r="AR170" s="144" t="e">
        <f t="shared" si="69"/>
        <v>#DIV/0!</v>
      </c>
      <c r="AS170" s="144" t="e">
        <f t="shared" si="69"/>
        <v>#DIV/0!</v>
      </c>
      <c r="AT170" s="9" t="e">
        <f t="shared" si="69"/>
        <v>#DIV/0!</v>
      </c>
      <c r="AU170" s="144" t="e">
        <f t="shared" si="69"/>
        <v>#DIV/0!</v>
      </c>
      <c r="AV170" s="144" t="e">
        <f t="shared" si="69"/>
        <v>#DIV/0!</v>
      </c>
      <c r="AW170" s="144" t="e">
        <f t="shared" si="69"/>
        <v>#DIV/0!</v>
      </c>
      <c r="AX170" s="144" t="e">
        <f t="shared" si="69"/>
        <v>#DIV/0!</v>
      </c>
      <c r="AY170" s="117" t="e">
        <f t="shared" si="69"/>
        <v>#DIV/0!</v>
      </c>
    </row>
    <row r="171" spans="1:51">
      <c r="A171" s="137" t="s">
        <v>91</v>
      </c>
      <c r="B171" s="117" t="e">
        <f t="shared" ref="B171:AB171" si="70">B33/B$137</f>
        <v>#DIV/0!</v>
      </c>
      <c r="C171" s="117" t="e">
        <f t="shared" si="70"/>
        <v>#DIV/0!</v>
      </c>
      <c r="D171" s="117" t="e">
        <f t="shared" si="70"/>
        <v>#DIV/0!</v>
      </c>
      <c r="E171" s="117" t="e">
        <f t="shared" si="70"/>
        <v>#DIV/0!</v>
      </c>
      <c r="F171" s="9" t="e">
        <f t="shared" si="70"/>
        <v>#DIV/0!</v>
      </c>
      <c r="G171" s="117" t="e">
        <f t="shared" si="70"/>
        <v>#DIV/0!</v>
      </c>
      <c r="H171" s="117" t="e">
        <f t="shared" si="70"/>
        <v>#DIV/0!</v>
      </c>
      <c r="I171" s="117" t="e">
        <f t="shared" si="70"/>
        <v>#DIV/0!</v>
      </c>
      <c r="J171" s="117" t="e">
        <f t="shared" si="70"/>
        <v>#DIV/0!</v>
      </c>
      <c r="K171" s="9" t="e">
        <f t="shared" si="70"/>
        <v>#DIV/0!</v>
      </c>
      <c r="L171" s="117" t="e">
        <f t="shared" si="70"/>
        <v>#DIV/0!</v>
      </c>
      <c r="M171" s="117" t="e">
        <f t="shared" si="70"/>
        <v>#DIV/0!</v>
      </c>
      <c r="N171" s="117" t="e">
        <f t="shared" si="70"/>
        <v>#DIV/0!</v>
      </c>
      <c r="O171" s="117" t="e">
        <f t="shared" si="70"/>
        <v>#DIV/0!</v>
      </c>
      <c r="P171" s="9" t="e">
        <f t="shared" si="70"/>
        <v>#DIV/0!</v>
      </c>
      <c r="Q171" s="144" t="e">
        <f t="shared" si="70"/>
        <v>#DIV/0!</v>
      </c>
      <c r="R171" s="144" t="e">
        <f t="shared" si="70"/>
        <v>#DIV/0!</v>
      </c>
      <c r="S171" s="144" t="e">
        <f t="shared" si="70"/>
        <v>#DIV/0!</v>
      </c>
      <c r="T171" s="144" t="e">
        <f t="shared" si="70"/>
        <v>#DIV/0!</v>
      </c>
      <c r="U171" s="9" t="e">
        <f t="shared" si="70"/>
        <v>#DIV/0!</v>
      </c>
      <c r="V171" s="144" t="e">
        <f t="shared" si="70"/>
        <v>#DIV/0!</v>
      </c>
      <c r="W171" s="144" t="e">
        <f t="shared" si="70"/>
        <v>#DIV/0!</v>
      </c>
      <c r="X171" s="144" t="e">
        <f t="shared" si="70"/>
        <v>#DIV/0!</v>
      </c>
      <c r="Y171" s="144" t="e">
        <f t="shared" si="70"/>
        <v>#DIV/0!</v>
      </c>
      <c r="Z171" s="9" t="e">
        <f t="shared" si="70"/>
        <v>#DIV/0!</v>
      </c>
      <c r="AA171" s="144" t="e">
        <f t="shared" si="70"/>
        <v>#DIV/0!</v>
      </c>
      <c r="AB171" s="144" t="e">
        <f t="shared" si="70"/>
        <v>#DIV/0!</v>
      </c>
      <c r="AC171" s="144" t="e">
        <f t="shared" ref="AC171:AY171" si="71">AC33/AC$137</f>
        <v>#DIV/0!</v>
      </c>
      <c r="AD171" s="144" t="e">
        <f t="shared" si="71"/>
        <v>#DIV/0!</v>
      </c>
      <c r="AE171" s="9" t="e">
        <f t="shared" si="71"/>
        <v>#DIV/0!</v>
      </c>
      <c r="AF171" s="144" t="e">
        <f t="shared" si="71"/>
        <v>#DIV/0!</v>
      </c>
      <c r="AG171" s="144" t="e">
        <f t="shared" si="71"/>
        <v>#DIV/0!</v>
      </c>
      <c r="AH171" s="144" t="e">
        <f t="shared" si="71"/>
        <v>#DIV/0!</v>
      </c>
      <c r="AI171" s="144" t="e">
        <f t="shared" si="71"/>
        <v>#DIV/0!</v>
      </c>
      <c r="AJ171" s="9" t="e">
        <f t="shared" si="71"/>
        <v>#DIV/0!</v>
      </c>
      <c r="AK171" s="144" t="e">
        <f t="shared" si="71"/>
        <v>#DIV/0!</v>
      </c>
      <c r="AL171" s="144" t="e">
        <f t="shared" si="71"/>
        <v>#DIV/0!</v>
      </c>
      <c r="AM171" s="144" t="e">
        <f t="shared" si="71"/>
        <v>#DIV/0!</v>
      </c>
      <c r="AN171" s="144" t="e">
        <f t="shared" si="71"/>
        <v>#DIV/0!</v>
      </c>
      <c r="AO171" s="9" t="e">
        <f t="shared" si="71"/>
        <v>#DIV/0!</v>
      </c>
      <c r="AP171" s="144" t="e">
        <f t="shared" si="71"/>
        <v>#DIV/0!</v>
      </c>
      <c r="AQ171" s="144" t="e">
        <f t="shared" si="71"/>
        <v>#DIV/0!</v>
      </c>
      <c r="AR171" s="144" t="e">
        <f t="shared" si="71"/>
        <v>#DIV/0!</v>
      </c>
      <c r="AS171" s="144" t="e">
        <f t="shared" si="71"/>
        <v>#DIV/0!</v>
      </c>
      <c r="AT171" s="9" t="e">
        <f t="shared" si="71"/>
        <v>#DIV/0!</v>
      </c>
      <c r="AU171" s="144" t="e">
        <f t="shared" si="71"/>
        <v>#DIV/0!</v>
      </c>
      <c r="AV171" s="144" t="e">
        <f t="shared" si="71"/>
        <v>#DIV/0!</v>
      </c>
      <c r="AW171" s="144" t="e">
        <f t="shared" si="71"/>
        <v>#DIV/0!</v>
      </c>
      <c r="AX171" s="144" t="e">
        <f t="shared" si="71"/>
        <v>#DIV/0!</v>
      </c>
      <c r="AY171" s="117" t="e">
        <f t="shared" si="71"/>
        <v>#DIV/0!</v>
      </c>
    </row>
    <row r="172" spans="1:51">
      <c r="A172" s="137" t="s">
        <v>93</v>
      </c>
      <c r="B172" s="117" t="e">
        <f t="shared" ref="B172:AB172" si="72">B34/B$137</f>
        <v>#DIV/0!</v>
      </c>
      <c r="C172" s="117" t="e">
        <f t="shared" si="72"/>
        <v>#DIV/0!</v>
      </c>
      <c r="D172" s="117" t="e">
        <f t="shared" si="72"/>
        <v>#DIV/0!</v>
      </c>
      <c r="E172" s="117" t="e">
        <f t="shared" si="72"/>
        <v>#DIV/0!</v>
      </c>
      <c r="F172" s="9" t="e">
        <f t="shared" si="72"/>
        <v>#DIV/0!</v>
      </c>
      <c r="G172" s="117" t="e">
        <f t="shared" si="72"/>
        <v>#DIV/0!</v>
      </c>
      <c r="H172" s="117" t="e">
        <f t="shared" si="72"/>
        <v>#DIV/0!</v>
      </c>
      <c r="I172" s="117" t="e">
        <f t="shared" si="72"/>
        <v>#DIV/0!</v>
      </c>
      <c r="J172" s="117" t="e">
        <f t="shared" si="72"/>
        <v>#DIV/0!</v>
      </c>
      <c r="K172" s="9" t="e">
        <f t="shared" si="72"/>
        <v>#DIV/0!</v>
      </c>
      <c r="L172" s="117" t="e">
        <f t="shared" si="72"/>
        <v>#DIV/0!</v>
      </c>
      <c r="M172" s="117" t="e">
        <f t="shared" si="72"/>
        <v>#DIV/0!</v>
      </c>
      <c r="N172" s="117" t="e">
        <f t="shared" si="72"/>
        <v>#DIV/0!</v>
      </c>
      <c r="O172" s="117" t="e">
        <f t="shared" si="72"/>
        <v>#DIV/0!</v>
      </c>
      <c r="P172" s="9" t="e">
        <f t="shared" si="72"/>
        <v>#DIV/0!</v>
      </c>
      <c r="Q172" s="144" t="e">
        <f t="shared" si="72"/>
        <v>#DIV/0!</v>
      </c>
      <c r="R172" s="144" t="e">
        <f t="shared" si="72"/>
        <v>#DIV/0!</v>
      </c>
      <c r="S172" s="144" t="e">
        <f t="shared" si="72"/>
        <v>#DIV/0!</v>
      </c>
      <c r="T172" s="144" t="e">
        <f t="shared" si="72"/>
        <v>#DIV/0!</v>
      </c>
      <c r="U172" s="9" t="e">
        <f t="shared" si="72"/>
        <v>#DIV/0!</v>
      </c>
      <c r="V172" s="144" t="e">
        <f t="shared" si="72"/>
        <v>#DIV/0!</v>
      </c>
      <c r="W172" s="144" t="e">
        <f t="shared" si="72"/>
        <v>#DIV/0!</v>
      </c>
      <c r="X172" s="144" t="e">
        <f t="shared" si="72"/>
        <v>#DIV/0!</v>
      </c>
      <c r="Y172" s="144" t="e">
        <f t="shared" si="72"/>
        <v>#DIV/0!</v>
      </c>
      <c r="Z172" s="9" t="e">
        <f t="shared" si="72"/>
        <v>#DIV/0!</v>
      </c>
      <c r="AA172" s="144" t="e">
        <f t="shared" si="72"/>
        <v>#DIV/0!</v>
      </c>
      <c r="AB172" s="144" t="e">
        <f t="shared" si="72"/>
        <v>#DIV/0!</v>
      </c>
      <c r="AC172" s="144" t="e">
        <f t="shared" ref="AC172:AY172" si="73">AC34/AC$137</f>
        <v>#DIV/0!</v>
      </c>
      <c r="AD172" s="144" t="e">
        <f t="shared" si="73"/>
        <v>#DIV/0!</v>
      </c>
      <c r="AE172" s="9" t="e">
        <f t="shared" si="73"/>
        <v>#DIV/0!</v>
      </c>
      <c r="AF172" s="144" t="e">
        <f t="shared" si="73"/>
        <v>#DIV/0!</v>
      </c>
      <c r="AG172" s="144" t="e">
        <f t="shared" si="73"/>
        <v>#DIV/0!</v>
      </c>
      <c r="AH172" s="144" t="e">
        <f t="shared" si="73"/>
        <v>#DIV/0!</v>
      </c>
      <c r="AI172" s="144" t="e">
        <f t="shared" si="73"/>
        <v>#DIV/0!</v>
      </c>
      <c r="AJ172" s="9" t="e">
        <f t="shared" si="73"/>
        <v>#DIV/0!</v>
      </c>
      <c r="AK172" s="144" t="e">
        <f t="shared" si="73"/>
        <v>#DIV/0!</v>
      </c>
      <c r="AL172" s="144" t="e">
        <f t="shared" si="73"/>
        <v>#DIV/0!</v>
      </c>
      <c r="AM172" s="144" t="e">
        <f t="shared" si="73"/>
        <v>#DIV/0!</v>
      </c>
      <c r="AN172" s="144" t="e">
        <f t="shared" si="73"/>
        <v>#DIV/0!</v>
      </c>
      <c r="AO172" s="9" t="e">
        <f t="shared" si="73"/>
        <v>#DIV/0!</v>
      </c>
      <c r="AP172" s="144" t="e">
        <f t="shared" si="73"/>
        <v>#DIV/0!</v>
      </c>
      <c r="AQ172" s="144" t="e">
        <f t="shared" si="73"/>
        <v>#DIV/0!</v>
      </c>
      <c r="AR172" s="144" t="e">
        <f t="shared" si="73"/>
        <v>#DIV/0!</v>
      </c>
      <c r="AS172" s="144" t="e">
        <f t="shared" si="73"/>
        <v>#DIV/0!</v>
      </c>
      <c r="AT172" s="9" t="e">
        <f t="shared" si="73"/>
        <v>#DIV/0!</v>
      </c>
      <c r="AU172" s="144" t="e">
        <f t="shared" si="73"/>
        <v>#DIV/0!</v>
      </c>
      <c r="AV172" s="144" t="e">
        <f t="shared" si="73"/>
        <v>#DIV/0!</v>
      </c>
      <c r="AW172" s="144" t="e">
        <f t="shared" si="73"/>
        <v>#DIV/0!</v>
      </c>
      <c r="AX172" s="144" t="e">
        <f t="shared" si="73"/>
        <v>#DIV/0!</v>
      </c>
      <c r="AY172" s="117" t="e">
        <f t="shared" si="73"/>
        <v>#DIV/0!</v>
      </c>
    </row>
    <row r="173" spans="1:51">
      <c r="A173" s="137" t="s">
        <v>95</v>
      </c>
      <c r="B173" s="117" t="e">
        <f t="shared" ref="B173:AY176" si="74">B35/B$137</f>
        <v>#DIV/0!</v>
      </c>
      <c r="C173" s="117" t="e">
        <f t="shared" si="74"/>
        <v>#DIV/0!</v>
      </c>
      <c r="D173" s="117" t="e">
        <f t="shared" si="74"/>
        <v>#DIV/0!</v>
      </c>
      <c r="E173" s="117" t="e">
        <f t="shared" si="74"/>
        <v>#DIV/0!</v>
      </c>
      <c r="F173" s="9" t="e">
        <f t="shared" si="74"/>
        <v>#DIV/0!</v>
      </c>
      <c r="G173" s="117" t="e">
        <f t="shared" si="74"/>
        <v>#DIV/0!</v>
      </c>
      <c r="H173" s="117" t="e">
        <f t="shared" si="74"/>
        <v>#DIV/0!</v>
      </c>
      <c r="I173" s="117" t="e">
        <f t="shared" si="74"/>
        <v>#DIV/0!</v>
      </c>
      <c r="J173" s="117" t="e">
        <f t="shared" si="74"/>
        <v>#DIV/0!</v>
      </c>
      <c r="K173" s="9" t="e">
        <f t="shared" si="74"/>
        <v>#DIV/0!</v>
      </c>
      <c r="L173" s="117" t="e">
        <f t="shared" si="74"/>
        <v>#DIV/0!</v>
      </c>
      <c r="M173" s="117" t="e">
        <f t="shared" si="74"/>
        <v>#DIV/0!</v>
      </c>
      <c r="N173" s="117" t="e">
        <f t="shared" si="74"/>
        <v>#DIV/0!</v>
      </c>
      <c r="O173" s="117" t="e">
        <f t="shared" si="74"/>
        <v>#DIV/0!</v>
      </c>
      <c r="P173" s="9" t="e">
        <f t="shared" si="74"/>
        <v>#DIV/0!</v>
      </c>
      <c r="Q173" s="144" t="e">
        <f t="shared" si="74"/>
        <v>#DIV/0!</v>
      </c>
      <c r="R173" s="144" t="e">
        <f t="shared" si="74"/>
        <v>#DIV/0!</v>
      </c>
      <c r="S173" s="144" t="e">
        <f t="shared" si="74"/>
        <v>#DIV/0!</v>
      </c>
      <c r="T173" s="144" t="e">
        <f t="shared" si="74"/>
        <v>#DIV/0!</v>
      </c>
      <c r="U173" s="9" t="e">
        <f t="shared" si="74"/>
        <v>#DIV/0!</v>
      </c>
      <c r="V173" s="144" t="e">
        <f t="shared" si="74"/>
        <v>#DIV/0!</v>
      </c>
      <c r="W173" s="144" t="e">
        <f t="shared" si="74"/>
        <v>#DIV/0!</v>
      </c>
      <c r="X173" s="144" t="e">
        <f t="shared" si="74"/>
        <v>#DIV/0!</v>
      </c>
      <c r="Y173" s="144" t="e">
        <f t="shared" si="74"/>
        <v>#DIV/0!</v>
      </c>
      <c r="Z173" s="9" t="e">
        <f t="shared" si="74"/>
        <v>#DIV/0!</v>
      </c>
      <c r="AA173" s="144" t="e">
        <f t="shared" si="74"/>
        <v>#DIV/0!</v>
      </c>
      <c r="AB173" s="144" t="e">
        <f t="shared" si="74"/>
        <v>#DIV/0!</v>
      </c>
      <c r="AC173" s="144" t="e">
        <f t="shared" si="74"/>
        <v>#DIV/0!</v>
      </c>
      <c r="AD173" s="144" t="e">
        <f t="shared" si="74"/>
        <v>#DIV/0!</v>
      </c>
      <c r="AE173" s="9" t="e">
        <f t="shared" si="74"/>
        <v>#DIV/0!</v>
      </c>
      <c r="AF173" s="144" t="e">
        <f t="shared" si="74"/>
        <v>#DIV/0!</v>
      </c>
      <c r="AG173" s="144" t="e">
        <f t="shared" si="74"/>
        <v>#DIV/0!</v>
      </c>
      <c r="AH173" s="144" t="e">
        <f t="shared" si="74"/>
        <v>#DIV/0!</v>
      </c>
      <c r="AI173" s="144" t="e">
        <f t="shared" si="74"/>
        <v>#DIV/0!</v>
      </c>
      <c r="AJ173" s="9" t="e">
        <f t="shared" si="74"/>
        <v>#DIV/0!</v>
      </c>
      <c r="AK173" s="144" t="e">
        <f t="shared" si="74"/>
        <v>#DIV/0!</v>
      </c>
      <c r="AL173" s="144" t="e">
        <f t="shared" si="74"/>
        <v>#DIV/0!</v>
      </c>
      <c r="AM173" s="144" t="e">
        <f t="shared" si="74"/>
        <v>#DIV/0!</v>
      </c>
      <c r="AN173" s="144" t="e">
        <f t="shared" si="74"/>
        <v>#DIV/0!</v>
      </c>
      <c r="AO173" s="9" t="e">
        <f t="shared" si="74"/>
        <v>#DIV/0!</v>
      </c>
      <c r="AP173" s="144" t="e">
        <f t="shared" si="74"/>
        <v>#DIV/0!</v>
      </c>
      <c r="AQ173" s="144" t="e">
        <f t="shared" si="74"/>
        <v>#DIV/0!</v>
      </c>
      <c r="AR173" s="144" t="e">
        <f t="shared" si="74"/>
        <v>#DIV/0!</v>
      </c>
      <c r="AS173" s="144" t="e">
        <f t="shared" si="74"/>
        <v>#DIV/0!</v>
      </c>
      <c r="AT173" s="9" t="e">
        <f t="shared" si="74"/>
        <v>#DIV/0!</v>
      </c>
      <c r="AU173" s="144" t="e">
        <f t="shared" si="74"/>
        <v>#DIV/0!</v>
      </c>
      <c r="AV173" s="144" t="e">
        <f t="shared" si="74"/>
        <v>#DIV/0!</v>
      </c>
      <c r="AW173" s="144" t="e">
        <f t="shared" si="74"/>
        <v>#DIV/0!</v>
      </c>
      <c r="AX173" s="144" t="e">
        <f t="shared" si="74"/>
        <v>#DIV/0!</v>
      </c>
      <c r="AY173" s="117" t="e">
        <f t="shared" si="74"/>
        <v>#DIV/0!</v>
      </c>
    </row>
    <row r="174" spans="1:51">
      <c r="A174" s="137" t="s">
        <v>97</v>
      </c>
      <c r="B174" s="117" t="e">
        <f t="shared" si="74"/>
        <v>#DIV/0!</v>
      </c>
      <c r="C174" s="117" t="e">
        <f t="shared" si="74"/>
        <v>#DIV/0!</v>
      </c>
      <c r="D174" s="117" t="e">
        <f t="shared" si="74"/>
        <v>#DIV/0!</v>
      </c>
      <c r="E174" s="117" t="e">
        <f t="shared" si="74"/>
        <v>#DIV/0!</v>
      </c>
      <c r="F174" s="9" t="e">
        <f t="shared" si="74"/>
        <v>#DIV/0!</v>
      </c>
      <c r="G174" s="117" t="e">
        <f t="shared" si="74"/>
        <v>#DIV/0!</v>
      </c>
      <c r="H174" s="117" t="e">
        <f t="shared" si="74"/>
        <v>#DIV/0!</v>
      </c>
      <c r="I174" s="117" t="e">
        <f t="shared" si="74"/>
        <v>#DIV/0!</v>
      </c>
      <c r="J174" s="117" t="e">
        <f t="shared" si="74"/>
        <v>#DIV/0!</v>
      </c>
      <c r="K174" s="9" t="e">
        <f t="shared" si="74"/>
        <v>#DIV/0!</v>
      </c>
      <c r="L174" s="117" t="e">
        <f t="shared" si="74"/>
        <v>#DIV/0!</v>
      </c>
      <c r="M174" s="117" t="e">
        <f t="shared" si="74"/>
        <v>#DIV/0!</v>
      </c>
      <c r="N174" s="117" t="e">
        <f t="shared" si="74"/>
        <v>#DIV/0!</v>
      </c>
      <c r="O174" s="117" t="e">
        <f t="shared" si="74"/>
        <v>#DIV/0!</v>
      </c>
      <c r="P174" s="9" t="e">
        <f t="shared" si="74"/>
        <v>#DIV/0!</v>
      </c>
      <c r="Q174" s="144" t="e">
        <f t="shared" si="74"/>
        <v>#DIV/0!</v>
      </c>
      <c r="R174" s="144" t="e">
        <f t="shared" si="74"/>
        <v>#DIV/0!</v>
      </c>
      <c r="S174" s="144" t="e">
        <f t="shared" si="74"/>
        <v>#DIV/0!</v>
      </c>
      <c r="T174" s="144" t="e">
        <f t="shared" si="74"/>
        <v>#DIV/0!</v>
      </c>
      <c r="U174" s="9" t="e">
        <f t="shared" si="74"/>
        <v>#DIV/0!</v>
      </c>
      <c r="V174" s="144" t="e">
        <f t="shared" si="74"/>
        <v>#DIV/0!</v>
      </c>
      <c r="W174" s="144" t="e">
        <f t="shared" si="74"/>
        <v>#DIV/0!</v>
      </c>
      <c r="X174" s="144" t="e">
        <f t="shared" si="74"/>
        <v>#DIV/0!</v>
      </c>
      <c r="Y174" s="144" t="e">
        <f t="shared" si="74"/>
        <v>#DIV/0!</v>
      </c>
      <c r="Z174" s="9" t="e">
        <f t="shared" si="74"/>
        <v>#DIV/0!</v>
      </c>
      <c r="AA174" s="144" t="e">
        <f t="shared" si="74"/>
        <v>#DIV/0!</v>
      </c>
      <c r="AB174" s="144" t="e">
        <f t="shared" si="74"/>
        <v>#DIV/0!</v>
      </c>
      <c r="AC174" s="144" t="e">
        <f t="shared" si="74"/>
        <v>#DIV/0!</v>
      </c>
      <c r="AD174" s="144" t="e">
        <f t="shared" si="74"/>
        <v>#DIV/0!</v>
      </c>
      <c r="AE174" s="9" t="e">
        <f t="shared" si="74"/>
        <v>#DIV/0!</v>
      </c>
      <c r="AF174" s="144" t="e">
        <f t="shared" si="74"/>
        <v>#DIV/0!</v>
      </c>
      <c r="AG174" s="144" t="e">
        <f t="shared" si="74"/>
        <v>#DIV/0!</v>
      </c>
      <c r="AH174" s="144" t="e">
        <f t="shared" si="74"/>
        <v>#DIV/0!</v>
      </c>
      <c r="AI174" s="144" t="e">
        <f t="shared" si="74"/>
        <v>#DIV/0!</v>
      </c>
      <c r="AJ174" s="9" t="e">
        <f t="shared" si="74"/>
        <v>#DIV/0!</v>
      </c>
      <c r="AK174" s="144" t="e">
        <f t="shared" si="74"/>
        <v>#DIV/0!</v>
      </c>
      <c r="AL174" s="144" t="e">
        <f t="shared" si="74"/>
        <v>#DIV/0!</v>
      </c>
      <c r="AM174" s="144" t="e">
        <f t="shared" si="74"/>
        <v>#DIV/0!</v>
      </c>
      <c r="AN174" s="144" t="e">
        <f t="shared" si="74"/>
        <v>#DIV/0!</v>
      </c>
      <c r="AO174" s="9" t="e">
        <f t="shared" si="74"/>
        <v>#DIV/0!</v>
      </c>
      <c r="AP174" s="144" t="e">
        <f t="shared" si="74"/>
        <v>#DIV/0!</v>
      </c>
      <c r="AQ174" s="144" t="e">
        <f t="shared" si="74"/>
        <v>#DIV/0!</v>
      </c>
      <c r="AR174" s="144" t="e">
        <f t="shared" si="74"/>
        <v>#DIV/0!</v>
      </c>
      <c r="AS174" s="144" t="e">
        <f t="shared" si="74"/>
        <v>#DIV/0!</v>
      </c>
      <c r="AT174" s="9" t="e">
        <f t="shared" si="74"/>
        <v>#DIV/0!</v>
      </c>
      <c r="AU174" s="144" t="e">
        <f t="shared" si="74"/>
        <v>#DIV/0!</v>
      </c>
      <c r="AV174" s="144" t="e">
        <f t="shared" si="74"/>
        <v>#DIV/0!</v>
      </c>
      <c r="AW174" s="144" t="e">
        <f t="shared" si="74"/>
        <v>#DIV/0!</v>
      </c>
      <c r="AX174" s="144" t="e">
        <f t="shared" si="74"/>
        <v>#DIV/0!</v>
      </c>
      <c r="AY174" s="117" t="e">
        <f t="shared" si="74"/>
        <v>#DIV/0!</v>
      </c>
    </row>
    <row r="175" spans="1:51">
      <c r="A175" s="137" t="s">
        <v>99</v>
      </c>
      <c r="B175" s="117" t="e">
        <f t="shared" si="74"/>
        <v>#DIV/0!</v>
      </c>
      <c r="C175" s="117" t="e">
        <f t="shared" si="74"/>
        <v>#DIV/0!</v>
      </c>
      <c r="D175" s="117" t="e">
        <f t="shared" si="74"/>
        <v>#DIV/0!</v>
      </c>
      <c r="E175" s="117" t="e">
        <f t="shared" si="74"/>
        <v>#DIV/0!</v>
      </c>
      <c r="F175" s="9" t="e">
        <f t="shared" si="74"/>
        <v>#DIV/0!</v>
      </c>
      <c r="G175" s="117" t="e">
        <f t="shared" si="74"/>
        <v>#DIV/0!</v>
      </c>
      <c r="H175" s="117" t="e">
        <f t="shared" si="74"/>
        <v>#DIV/0!</v>
      </c>
      <c r="I175" s="117" t="e">
        <f t="shared" si="74"/>
        <v>#DIV/0!</v>
      </c>
      <c r="J175" s="117" t="e">
        <f t="shared" si="74"/>
        <v>#DIV/0!</v>
      </c>
      <c r="K175" s="9" t="e">
        <f t="shared" si="74"/>
        <v>#DIV/0!</v>
      </c>
      <c r="L175" s="117" t="e">
        <f t="shared" si="74"/>
        <v>#DIV/0!</v>
      </c>
      <c r="M175" s="117" t="e">
        <f t="shared" si="74"/>
        <v>#DIV/0!</v>
      </c>
      <c r="N175" s="117" t="e">
        <f t="shared" si="74"/>
        <v>#DIV/0!</v>
      </c>
      <c r="O175" s="117" t="e">
        <f t="shared" si="74"/>
        <v>#DIV/0!</v>
      </c>
      <c r="P175" s="9" t="e">
        <f t="shared" si="74"/>
        <v>#DIV/0!</v>
      </c>
      <c r="Q175" s="144" t="e">
        <f t="shared" si="74"/>
        <v>#DIV/0!</v>
      </c>
      <c r="R175" s="144" t="e">
        <f t="shared" si="74"/>
        <v>#DIV/0!</v>
      </c>
      <c r="S175" s="144" t="e">
        <f t="shared" si="74"/>
        <v>#DIV/0!</v>
      </c>
      <c r="T175" s="144" t="e">
        <f t="shared" si="74"/>
        <v>#DIV/0!</v>
      </c>
      <c r="U175" s="9" t="e">
        <f t="shared" si="74"/>
        <v>#DIV/0!</v>
      </c>
      <c r="V175" s="144" t="e">
        <f t="shared" si="74"/>
        <v>#DIV/0!</v>
      </c>
      <c r="W175" s="144" t="e">
        <f t="shared" si="74"/>
        <v>#DIV/0!</v>
      </c>
      <c r="X175" s="144" t="e">
        <f t="shared" si="74"/>
        <v>#DIV/0!</v>
      </c>
      <c r="Y175" s="144" t="e">
        <f t="shared" si="74"/>
        <v>#DIV/0!</v>
      </c>
      <c r="Z175" s="9" t="e">
        <f t="shared" si="74"/>
        <v>#DIV/0!</v>
      </c>
      <c r="AA175" s="144" t="e">
        <f t="shared" si="74"/>
        <v>#DIV/0!</v>
      </c>
      <c r="AB175" s="144" t="e">
        <f t="shared" si="74"/>
        <v>#DIV/0!</v>
      </c>
      <c r="AC175" s="144" t="e">
        <f t="shared" si="74"/>
        <v>#DIV/0!</v>
      </c>
      <c r="AD175" s="144" t="e">
        <f t="shared" si="74"/>
        <v>#DIV/0!</v>
      </c>
      <c r="AE175" s="9" t="e">
        <f t="shared" si="74"/>
        <v>#DIV/0!</v>
      </c>
      <c r="AF175" s="144" t="e">
        <f t="shared" si="74"/>
        <v>#DIV/0!</v>
      </c>
      <c r="AG175" s="144" t="e">
        <f t="shared" si="74"/>
        <v>#DIV/0!</v>
      </c>
      <c r="AH175" s="144" t="e">
        <f t="shared" si="74"/>
        <v>#DIV/0!</v>
      </c>
      <c r="AI175" s="144" t="e">
        <f t="shared" si="74"/>
        <v>#DIV/0!</v>
      </c>
      <c r="AJ175" s="9" t="e">
        <f t="shared" si="74"/>
        <v>#DIV/0!</v>
      </c>
      <c r="AK175" s="144" t="e">
        <f t="shared" si="74"/>
        <v>#DIV/0!</v>
      </c>
      <c r="AL175" s="144" t="e">
        <f t="shared" si="74"/>
        <v>#DIV/0!</v>
      </c>
      <c r="AM175" s="144" t="e">
        <f t="shared" si="74"/>
        <v>#DIV/0!</v>
      </c>
      <c r="AN175" s="144" t="e">
        <f t="shared" si="74"/>
        <v>#DIV/0!</v>
      </c>
      <c r="AO175" s="9" t="e">
        <f t="shared" si="74"/>
        <v>#DIV/0!</v>
      </c>
      <c r="AP175" s="144" t="e">
        <f t="shared" si="74"/>
        <v>#DIV/0!</v>
      </c>
      <c r="AQ175" s="144" t="e">
        <f t="shared" si="74"/>
        <v>#DIV/0!</v>
      </c>
      <c r="AR175" s="144" t="e">
        <f t="shared" si="74"/>
        <v>#DIV/0!</v>
      </c>
      <c r="AS175" s="144" t="e">
        <f t="shared" si="74"/>
        <v>#DIV/0!</v>
      </c>
      <c r="AT175" s="9" t="e">
        <f t="shared" si="74"/>
        <v>#DIV/0!</v>
      </c>
      <c r="AU175" s="144" t="e">
        <f t="shared" si="74"/>
        <v>#DIV/0!</v>
      </c>
      <c r="AV175" s="144" t="e">
        <f t="shared" si="74"/>
        <v>#DIV/0!</v>
      </c>
      <c r="AW175" s="144" t="e">
        <f t="shared" si="74"/>
        <v>#DIV/0!</v>
      </c>
      <c r="AX175" s="144" t="e">
        <f t="shared" si="74"/>
        <v>#DIV/0!</v>
      </c>
      <c r="AY175" s="117" t="e">
        <f t="shared" si="74"/>
        <v>#DIV/0!</v>
      </c>
    </row>
    <row r="176" spans="1:51">
      <c r="A176" s="137" t="s">
        <v>101</v>
      </c>
      <c r="B176" s="117" t="e">
        <f t="shared" si="74"/>
        <v>#DIV/0!</v>
      </c>
      <c r="C176" s="117" t="e">
        <f t="shared" si="74"/>
        <v>#DIV/0!</v>
      </c>
      <c r="D176" s="117" t="e">
        <f t="shared" si="74"/>
        <v>#DIV/0!</v>
      </c>
      <c r="E176" s="117" t="e">
        <f t="shared" si="74"/>
        <v>#DIV/0!</v>
      </c>
      <c r="F176" s="9" t="e">
        <f t="shared" si="74"/>
        <v>#DIV/0!</v>
      </c>
      <c r="G176" s="117" t="e">
        <f t="shared" si="74"/>
        <v>#DIV/0!</v>
      </c>
      <c r="H176" s="117" t="e">
        <f t="shared" si="74"/>
        <v>#DIV/0!</v>
      </c>
      <c r="I176" s="117" t="e">
        <f t="shared" si="74"/>
        <v>#DIV/0!</v>
      </c>
      <c r="J176" s="117" t="e">
        <f t="shared" si="74"/>
        <v>#DIV/0!</v>
      </c>
      <c r="K176" s="9" t="e">
        <f t="shared" si="74"/>
        <v>#DIV/0!</v>
      </c>
      <c r="L176" s="117" t="e">
        <f t="shared" si="74"/>
        <v>#DIV/0!</v>
      </c>
      <c r="M176" s="117" t="e">
        <f t="shared" si="74"/>
        <v>#DIV/0!</v>
      </c>
      <c r="N176" s="117" t="e">
        <f t="shared" si="74"/>
        <v>#DIV/0!</v>
      </c>
      <c r="O176" s="117" t="e">
        <f t="shared" si="74"/>
        <v>#DIV/0!</v>
      </c>
      <c r="P176" s="9" t="e">
        <f t="shared" si="74"/>
        <v>#DIV/0!</v>
      </c>
      <c r="Q176" s="144" t="e">
        <f t="shared" si="74"/>
        <v>#DIV/0!</v>
      </c>
      <c r="R176" s="144" t="e">
        <f t="shared" si="74"/>
        <v>#DIV/0!</v>
      </c>
      <c r="S176" s="144" t="e">
        <f t="shared" si="74"/>
        <v>#DIV/0!</v>
      </c>
      <c r="T176" s="144" t="e">
        <f t="shared" si="74"/>
        <v>#DIV/0!</v>
      </c>
      <c r="U176" s="9" t="e">
        <f t="shared" si="74"/>
        <v>#DIV/0!</v>
      </c>
      <c r="V176" s="144" t="e">
        <f t="shared" si="74"/>
        <v>#DIV/0!</v>
      </c>
      <c r="W176" s="144" t="e">
        <f t="shared" si="74"/>
        <v>#DIV/0!</v>
      </c>
      <c r="X176" s="144" t="e">
        <f t="shared" si="74"/>
        <v>#DIV/0!</v>
      </c>
      <c r="Y176" s="144" t="e">
        <f t="shared" si="74"/>
        <v>#DIV/0!</v>
      </c>
      <c r="Z176" s="9" t="e">
        <f t="shared" si="74"/>
        <v>#DIV/0!</v>
      </c>
      <c r="AA176" s="144" t="e">
        <f t="shared" si="74"/>
        <v>#DIV/0!</v>
      </c>
      <c r="AB176" s="144" t="e">
        <f t="shared" si="74"/>
        <v>#DIV/0!</v>
      </c>
      <c r="AC176" s="144" t="e">
        <f t="shared" si="74"/>
        <v>#DIV/0!</v>
      </c>
      <c r="AD176" s="144" t="e">
        <f t="shared" si="74"/>
        <v>#DIV/0!</v>
      </c>
      <c r="AE176" s="9" t="e">
        <f t="shared" si="74"/>
        <v>#DIV/0!</v>
      </c>
      <c r="AF176" s="144" t="e">
        <f t="shared" si="74"/>
        <v>#DIV/0!</v>
      </c>
      <c r="AG176" s="144" t="e">
        <f t="shared" si="74"/>
        <v>#DIV/0!</v>
      </c>
      <c r="AH176" s="144" t="e">
        <f t="shared" si="74"/>
        <v>#DIV/0!</v>
      </c>
      <c r="AI176" s="144" t="e">
        <f t="shared" si="74"/>
        <v>#DIV/0!</v>
      </c>
      <c r="AJ176" s="9" t="e">
        <f t="shared" si="74"/>
        <v>#DIV/0!</v>
      </c>
      <c r="AK176" s="144" t="e">
        <f t="shared" si="74"/>
        <v>#DIV/0!</v>
      </c>
      <c r="AL176" s="144" t="e">
        <f t="shared" si="74"/>
        <v>#DIV/0!</v>
      </c>
      <c r="AM176" s="144" t="e">
        <f t="shared" si="74"/>
        <v>#DIV/0!</v>
      </c>
      <c r="AN176" s="144" t="e">
        <f t="shared" si="74"/>
        <v>#DIV/0!</v>
      </c>
      <c r="AO176" s="9" t="e">
        <f t="shared" si="74"/>
        <v>#DIV/0!</v>
      </c>
      <c r="AP176" s="144" t="e">
        <f t="shared" si="74"/>
        <v>#DIV/0!</v>
      </c>
      <c r="AQ176" s="144" t="e">
        <f t="shared" si="74"/>
        <v>#DIV/0!</v>
      </c>
      <c r="AR176" s="144" t="e">
        <f t="shared" si="74"/>
        <v>#DIV/0!</v>
      </c>
      <c r="AS176" s="144" t="e">
        <f t="shared" si="74"/>
        <v>#DIV/0!</v>
      </c>
      <c r="AT176" s="9" t="e">
        <f t="shared" si="74"/>
        <v>#DIV/0!</v>
      </c>
      <c r="AU176" s="144" t="e">
        <f t="shared" si="74"/>
        <v>#DIV/0!</v>
      </c>
      <c r="AV176" s="144" t="e">
        <f t="shared" si="74"/>
        <v>#DIV/0!</v>
      </c>
      <c r="AW176" s="144" t="e">
        <f t="shared" si="74"/>
        <v>#DIV/0!</v>
      </c>
      <c r="AX176" s="144" t="e">
        <f t="shared" si="74"/>
        <v>#DIV/0!</v>
      </c>
      <c r="AY176" s="117" t="e">
        <f t="shared" si="74"/>
        <v>#DIV/0!</v>
      </c>
    </row>
    <row r="177" spans="1:51">
      <c r="A177" s="137" t="s">
        <v>103</v>
      </c>
      <c r="B177" s="117" t="e">
        <f t="shared" ref="B177:AY180" si="75">B39/B$137</f>
        <v>#DIV/0!</v>
      </c>
      <c r="C177" s="117" t="e">
        <f t="shared" si="75"/>
        <v>#DIV/0!</v>
      </c>
      <c r="D177" s="117" t="e">
        <f t="shared" si="75"/>
        <v>#DIV/0!</v>
      </c>
      <c r="E177" s="117" t="e">
        <f t="shared" si="75"/>
        <v>#DIV/0!</v>
      </c>
      <c r="F177" s="9" t="e">
        <f t="shared" si="75"/>
        <v>#DIV/0!</v>
      </c>
      <c r="G177" s="117" t="e">
        <f t="shared" si="75"/>
        <v>#DIV/0!</v>
      </c>
      <c r="H177" s="117" t="e">
        <f t="shared" si="75"/>
        <v>#DIV/0!</v>
      </c>
      <c r="I177" s="117" t="e">
        <f t="shared" si="75"/>
        <v>#DIV/0!</v>
      </c>
      <c r="J177" s="117" t="e">
        <f t="shared" si="75"/>
        <v>#DIV/0!</v>
      </c>
      <c r="K177" s="9" t="e">
        <f t="shared" si="75"/>
        <v>#DIV/0!</v>
      </c>
      <c r="L177" s="117" t="e">
        <f t="shared" si="75"/>
        <v>#DIV/0!</v>
      </c>
      <c r="M177" s="117" t="e">
        <f t="shared" si="75"/>
        <v>#DIV/0!</v>
      </c>
      <c r="N177" s="117" t="e">
        <f t="shared" si="75"/>
        <v>#DIV/0!</v>
      </c>
      <c r="O177" s="117" t="e">
        <f t="shared" si="75"/>
        <v>#DIV/0!</v>
      </c>
      <c r="P177" s="9" t="e">
        <f t="shared" si="75"/>
        <v>#DIV/0!</v>
      </c>
      <c r="Q177" s="144" t="e">
        <f t="shared" si="75"/>
        <v>#DIV/0!</v>
      </c>
      <c r="R177" s="144" t="e">
        <f t="shared" si="75"/>
        <v>#DIV/0!</v>
      </c>
      <c r="S177" s="144" t="e">
        <f t="shared" si="75"/>
        <v>#DIV/0!</v>
      </c>
      <c r="T177" s="144" t="e">
        <f t="shared" si="75"/>
        <v>#DIV/0!</v>
      </c>
      <c r="U177" s="9" t="e">
        <f t="shared" si="75"/>
        <v>#DIV/0!</v>
      </c>
      <c r="V177" s="144" t="e">
        <f t="shared" si="75"/>
        <v>#DIV/0!</v>
      </c>
      <c r="W177" s="144" t="e">
        <f t="shared" si="75"/>
        <v>#DIV/0!</v>
      </c>
      <c r="X177" s="144" t="e">
        <f t="shared" si="75"/>
        <v>#DIV/0!</v>
      </c>
      <c r="Y177" s="144" t="e">
        <f t="shared" si="75"/>
        <v>#DIV/0!</v>
      </c>
      <c r="Z177" s="9" t="e">
        <f t="shared" si="75"/>
        <v>#DIV/0!</v>
      </c>
      <c r="AA177" s="144" t="e">
        <f t="shared" si="75"/>
        <v>#DIV/0!</v>
      </c>
      <c r="AB177" s="144" t="e">
        <f t="shared" si="75"/>
        <v>#DIV/0!</v>
      </c>
      <c r="AC177" s="144" t="e">
        <f t="shared" si="75"/>
        <v>#DIV/0!</v>
      </c>
      <c r="AD177" s="144" t="e">
        <f t="shared" si="75"/>
        <v>#DIV/0!</v>
      </c>
      <c r="AE177" s="9" t="e">
        <f t="shared" si="75"/>
        <v>#DIV/0!</v>
      </c>
      <c r="AF177" s="144" t="e">
        <f t="shared" si="75"/>
        <v>#DIV/0!</v>
      </c>
      <c r="AG177" s="144" t="e">
        <f t="shared" si="75"/>
        <v>#DIV/0!</v>
      </c>
      <c r="AH177" s="144" t="e">
        <f t="shared" si="75"/>
        <v>#DIV/0!</v>
      </c>
      <c r="AI177" s="144" t="e">
        <f t="shared" si="75"/>
        <v>#DIV/0!</v>
      </c>
      <c r="AJ177" s="9" t="e">
        <f t="shared" si="75"/>
        <v>#DIV/0!</v>
      </c>
      <c r="AK177" s="144" t="e">
        <f t="shared" si="75"/>
        <v>#DIV/0!</v>
      </c>
      <c r="AL177" s="144" t="e">
        <f t="shared" si="75"/>
        <v>#DIV/0!</v>
      </c>
      <c r="AM177" s="144" t="e">
        <f t="shared" si="75"/>
        <v>#DIV/0!</v>
      </c>
      <c r="AN177" s="144" t="e">
        <f t="shared" si="75"/>
        <v>#DIV/0!</v>
      </c>
      <c r="AO177" s="9" t="e">
        <f t="shared" si="75"/>
        <v>#DIV/0!</v>
      </c>
      <c r="AP177" s="144" t="e">
        <f t="shared" si="75"/>
        <v>#DIV/0!</v>
      </c>
      <c r="AQ177" s="144" t="e">
        <f t="shared" si="75"/>
        <v>#DIV/0!</v>
      </c>
      <c r="AR177" s="144" t="e">
        <f t="shared" si="75"/>
        <v>#DIV/0!</v>
      </c>
      <c r="AS177" s="144" t="e">
        <f t="shared" si="75"/>
        <v>#DIV/0!</v>
      </c>
      <c r="AT177" s="9" t="e">
        <f t="shared" si="75"/>
        <v>#DIV/0!</v>
      </c>
      <c r="AU177" s="144" t="e">
        <f t="shared" si="75"/>
        <v>#DIV/0!</v>
      </c>
      <c r="AV177" s="144" t="e">
        <f t="shared" si="75"/>
        <v>#DIV/0!</v>
      </c>
      <c r="AW177" s="144" t="e">
        <f t="shared" si="75"/>
        <v>#DIV/0!</v>
      </c>
      <c r="AX177" s="144" t="e">
        <f t="shared" si="75"/>
        <v>#DIV/0!</v>
      </c>
      <c r="AY177" s="117" t="e">
        <f t="shared" si="75"/>
        <v>#DIV/0!</v>
      </c>
    </row>
    <row r="178" spans="1:51">
      <c r="A178" s="137" t="s">
        <v>105</v>
      </c>
      <c r="B178" s="117" t="e">
        <f t="shared" si="75"/>
        <v>#DIV/0!</v>
      </c>
      <c r="C178" s="117" t="e">
        <f t="shared" si="75"/>
        <v>#DIV/0!</v>
      </c>
      <c r="D178" s="117" t="e">
        <f t="shared" si="75"/>
        <v>#DIV/0!</v>
      </c>
      <c r="E178" s="117" t="e">
        <f t="shared" si="75"/>
        <v>#DIV/0!</v>
      </c>
      <c r="F178" s="9" t="e">
        <f t="shared" si="75"/>
        <v>#DIV/0!</v>
      </c>
      <c r="G178" s="117" t="e">
        <f t="shared" si="75"/>
        <v>#DIV/0!</v>
      </c>
      <c r="H178" s="117" t="e">
        <f t="shared" si="75"/>
        <v>#DIV/0!</v>
      </c>
      <c r="I178" s="117" t="e">
        <f t="shared" si="75"/>
        <v>#DIV/0!</v>
      </c>
      <c r="J178" s="117" t="e">
        <f t="shared" si="75"/>
        <v>#DIV/0!</v>
      </c>
      <c r="K178" s="9" t="e">
        <f t="shared" si="75"/>
        <v>#DIV/0!</v>
      </c>
      <c r="L178" s="117" t="e">
        <f t="shared" si="75"/>
        <v>#DIV/0!</v>
      </c>
      <c r="M178" s="117" t="e">
        <f t="shared" si="75"/>
        <v>#DIV/0!</v>
      </c>
      <c r="N178" s="117" t="e">
        <f t="shared" si="75"/>
        <v>#DIV/0!</v>
      </c>
      <c r="O178" s="117" t="e">
        <f t="shared" si="75"/>
        <v>#DIV/0!</v>
      </c>
      <c r="P178" s="9" t="e">
        <f t="shared" si="75"/>
        <v>#DIV/0!</v>
      </c>
      <c r="Q178" s="144" t="e">
        <f t="shared" si="75"/>
        <v>#DIV/0!</v>
      </c>
      <c r="R178" s="144" t="e">
        <f t="shared" si="75"/>
        <v>#DIV/0!</v>
      </c>
      <c r="S178" s="144" t="e">
        <f t="shared" si="75"/>
        <v>#DIV/0!</v>
      </c>
      <c r="T178" s="144" t="e">
        <f t="shared" si="75"/>
        <v>#DIV/0!</v>
      </c>
      <c r="U178" s="9" t="e">
        <f t="shared" si="75"/>
        <v>#DIV/0!</v>
      </c>
      <c r="V178" s="144" t="e">
        <f t="shared" si="75"/>
        <v>#DIV/0!</v>
      </c>
      <c r="W178" s="144" t="e">
        <f t="shared" si="75"/>
        <v>#DIV/0!</v>
      </c>
      <c r="X178" s="144" t="e">
        <f t="shared" si="75"/>
        <v>#DIV/0!</v>
      </c>
      <c r="Y178" s="144" t="e">
        <f t="shared" si="75"/>
        <v>#DIV/0!</v>
      </c>
      <c r="Z178" s="9" t="e">
        <f t="shared" si="75"/>
        <v>#DIV/0!</v>
      </c>
      <c r="AA178" s="144" t="e">
        <f t="shared" si="75"/>
        <v>#DIV/0!</v>
      </c>
      <c r="AB178" s="144" t="e">
        <f t="shared" si="75"/>
        <v>#DIV/0!</v>
      </c>
      <c r="AC178" s="144" t="e">
        <f t="shared" si="75"/>
        <v>#DIV/0!</v>
      </c>
      <c r="AD178" s="144" t="e">
        <f t="shared" si="75"/>
        <v>#DIV/0!</v>
      </c>
      <c r="AE178" s="9" t="e">
        <f t="shared" si="75"/>
        <v>#DIV/0!</v>
      </c>
      <c r="AF178" s="144" t="e">
        <f t="shared" si="75"/>
        <v>#DIV/0!</v>
      </c>
      <c r="AG178" s="144" t="e">
        <f t="shared" si="75"/>
        <v>#DIV/0!</v>
      </c>
      <c r="AH178" s="144" t="e">
        <f t="shared" si="75"/>
        <v>#DIV/0!</v>
      </c>
      <c r="AI178" s="144" t="e">
        <f t="shared" si="75"/>
        <v>#DIV/0!</v>
      </c>
      <c r="AJ178" s="9" t="e">
        <f t="shared" si="75"/>
        <v>#DIV/0!</v>
      </c>
      <c r="AK178" s="144" t="e">
        <f t="shared" si="75"/>
        <v>#DIV/0!</v>
      </c>
      <c r="AL178" s="144" t="e">
        <f t="shared" si="75"/>
        <v>#DIV/0!</v>
      </c>
      <c r="AM178" s="144" t="e">
        <f t="shared" si="75"/>
        <v>#DIV/0!</v>
      </c>
      <c r="AN178" s="144" t="e">
        <f t="shared" si="75"/>
        <v>#DIV/0!</v>
      </c>
      <c r="AO178" s="9" t="e">
        <f t="shared" si="75"/>
        <v>#DIV/0!</v>
      </c>
      <c r="AP178" s="144" t="e">
        <f t="shared" si="75"/>
        <v>#DIV/0!</v>
      </c>
      <c r="AQ178" s="144" t="e">
        <f t="shared" si="75"/>
        <v>#DIV/0!</v>
      </c>
      <c r="AR178" s="144" t="e">
        <f t="shared" si="75"/>
        <v>#DIV/0!</v>
      </c>
      <c r="AS178" s="144" t="e">
        <f t="shared" si="75"/>
        <v>#DIV/0!</v>
      </c>
      <c r="AT178" s="9" t="e">
        <f t="shared" si="75"/>
        <v>#DIV/0!</v>
      </c>
      <c r="AU178" s="144" t="e">
        <f t="shared" si="75"/>
        <v>#DIV/0!</v>
      </c>
      <c r="AV178" s="144" t="e">
        <f t="shared" si="75"/>
        <v>#DIV/0!</v>
      </c>
      <c r="AW178" s="144" t="e">
        <f t="shared" si="75"/>
        <v>#DIV/0!</v>
      </c>
      <c r="AX178" s="144" t="e">
        <f t="shared" si="75"/>
        <v>#DIV/0!</v>
      </c>
      <c r="AY178" s="117" t="e">
        <f t="shared" si="75"/>
        <v>#DIV/0!</v>
      </c>
    </row>
    <row r="179" spans="1:51">
      <c r="A179" s="137" t="s">
        <v>107</v>
      </c>
      <c r="B179" s="117" t="e">
        <f t="shared" si="75"/>
        <v>#DIV/0!</v>
      </c>
      <c r="C179" s="117" t="e">
        <f t="shared" si="75"/>
        <v>#DIV/0!</v>
      </c>
      <c r="D179" s="117" t="e">
        <f t="shared" si="75"/>
        <v>#DIV/0!</v>
      </c>
      <c r="E179" s="117" t="e">
        <f t="shared" si="75"/>
        <v>#DIV/0!</v>
      </c>
      <c r="F179" s="9" t="e">
        <f t="shared" si="75"/>
        <v>#DIV/0!</v>
      </c>
      <c r="G179" s="117" t="e">
        <f t="shared" si="75"/>
        <v>#DIV/0!</v>
      </c>
      <c r="H179" s="117" t="e">
        <f t="shared" si="75"/>
        <v>#DIV/0!</v>
      </c>
      <c r="I179" s="117" t="e">
        <f t="shared" si="75"/>
        <v>#DIV/0!</v>
      </c>
      <c r="J179" s="117" t="e">
        <f t="shared" si="75"/>
        <v>#DIV/0!</v>
      </c>
      <c r="K179" s="9" t="e">
        <f t="shared" si="75"/>
        <v>#DIV/0!</v>
      </c>
      <c r="L179" s="117" t="e">
        <f t="shared" si="75"/>
        <v>#DIV/0!</v>
      </c>
      <c r="M179" s="117" t="e">
        <f t="shared" si="75"/>
        <v>#DIV/0!</v>
      </c>
      <c r="N179" s="117" t="e">
        <f t="shared" si="75"/>
        <v>#DIV/0!</v>
      </c>
      <c r="O179" s="117" t="e">
        <f t="shared" si="75"/>
        <v>#DIV/0!</v>
      </c>
      <c r="P179" s="9" t="e">
        <f t="shared" si="75"/>
        <v>#DIV/0!</v>
      </c>
      <c r="Q179" s="144" t="e">
        <f t="shared" si="75"/>
        <v>#DIV/0!</v>
      </c>
      <c r="R179" s="144" t="e">
        <f t="shared" si="75"/>
        <v>#DIV/0!</v>
      </c>
      <c r="S179" s="144" t="e">
        <f t="shared" si="75"/>
        <v>#DIV/0!</v>
      </c>
      <c r="T179" s="144" t="e">
        <f t="shared" si="75"/>
        <v>#DIV/0!</v>
      </c>
      <c r="U179" s="9" t="e">
        <f t="shared" si="75"/>
        <v>#DIV/0!</v>
      </c>
      <c r="V179" s="144" t="e">
        <f t="shared" si="75"/>
        <v>#DIV/0!</v>
      </c>
      <c r="W179" s="144" t="e">
        <f t="shared" si="75"/>
        <v>#DIV/0!</v>
      </c>
      <c r="X179" s="144" t="e">
        <f t="shared" si="75"/>
        <v>#DIV/0!</v>
      </c>
      <c r="Y179" s="144" t="e">
        <f t="shared" si="75"/>
        <v>#DIV/0!</v>
      </c>
      <c r="Z179" s="9" t="e">
        <f t="shared" si="75"/>
        <v>#DIV/0!</v>
      </c>
      <c r="AA179" s="144" t="e">
        <f t="shared" si="75"/>
        <v>#DIV/0!</v>
      </c>
      <c r="AB179" s="144" t="e">
        <f t="shared" si="75"/>
        <v>#DIV/0!</v>
      </c>
      <c r="AC179" s="144" t="e">
        <f t="shared" si="75"/>
        <v>#DIV/0!</v>
      </c>
      <c r="AD179" s="144" t="e">
        <f t="shared" si="75"/>
        <v>#DIV/0!</v>
      </c>
      <c r="AE179" s="9" t="e">
        <f t="shared" si="75"/>
        <v>#DIV/0!</v>
      </c>
      <c r="AF179" s="144" t="e">
        <f t="shared" si="75"/>
        <v>#DIV/0!</v>
      </c>
      <c r="AG179" s="144" t="e">
        <f t="shared" si="75"/>
        <v>#DIV/0!</v>
      </c>
      <c r="AH179" s="144" t="e">
        <f t="shared" si="75"/>
        <v>#DIV/0!</v>
      </c>
      <c r="AI179" s="144" t="e">
        <f t="shared" si="75"/>
        <v>#DIV/0!</v>
      </c>
      <c r="AJ179" s="9" t="e">
        <f t="shared" si="75"/>
        <v>#DIV/0!</v>
      </c>
      <c r="AK179" s="144" t="e">
        <f t="shared" si="75"/>
        <v>#DIV/0!</v>
      </c>
      <c r="AL179" s="144" t="e">
        <f t="shared" si="75"/>
        <v>#DIV/0!</v>
      </c>
      <c r="AM179" s="144" t="e">
        <f t="shared" si="75"/>
        <v>#DIV/0!</v>
      </c>
      <c r="AN179" s="144" t="e">
        <f t="shared" si="75"/>
        <v>#DIV/0!</v>
      </c>
      <c r="AO179" s="9" t="e">
        <f t="shared" si="75"/>
        <v>#DIV/0!</v>
      </c>
      <c r="AP179" s="144" t="e">
        <f t="shared" si="75"/>
        <v>#DIV/0!</v>
      </c>
      <c r="AQ179" s="144" t="e">
        <f t="shared" si="75"/>
        <v>#DIV/0!</v>
      </c>
      <c r="AR179" s="144" t="e">
        <f t="shared" si="75"/>
        <v>#DIV/0!</v>
      </c>
      <c r="AS179" s="144" t="e">
        <f t="shared" si="75"/>
        <v>#DIV/0!</v>
      </c>
      <c r="AT179" s="9" t="e">
        <f t="shared" si="75"/>
        <v>#DIV/0!</v>
      </c>
      <c r="AU179" s="144" t="e">
        <f t="shared" si="75"/>
        <v>#DIV/0!</v>
      </c>
      <c r="AV179" s="144" t="e">
        <f t="shared" si="75"/>
        <v>#DIV/0!</v>
      </c>
      <c r="AW179" s="144" t="e">
        <f t="shared" si="75"/>
        <v>#DIV/0!</v>
      </c>
      <c r="AX179" s="144" t="e">
        <f t="shared" si="75"/>
        <v>#DIV/0!</v>
      </c>
      <c r="AY179" s="117" t="e">
        <f t="shared" si="75"/>
        <v>#DIV/0!</v>
      </c>
    </row>
    <row r="180" spans="1:51">
      <c r="A180" s="137" t="s">
        <v>109</v>
      </c>
      <c r="B180" s="117" t="e">
        <f t="shared" si="75"/>
        <v>#DIV/0!</v>
      </c>
      <c r="C180" s="117" t="e">
        <f t="shared" si="75"/>
        <v>#DIV/0!</v>
      </c>
      <c r="D180" s="117" t="e">
        <f t="shared" si="75"/>
        <v>#DIV/0!</v>
      </c>
      <c r="E180" s="117" t="e">
        <f t="shared" si="75"/>
        <v>#DIV/0!</v>
      </c>
      <c r="F180" s="9" t="e">
        <f t="shared" si="75"/>
        <v>#DIV/0!</v>
      </c>
      <c r="G180" s="117" t="e">
        <f t="shared" si="75"/>
        <v>#DIV/0!</v>
      </c>
      <c r="H180" s="117" t="e">
        <f t="shared" si="75"/>
        <v>#DIV/0!</v>
      </c>
      <c r="I180" s="117" t="e">
        <f t="shared" si="75"/>
        <v>#DIV/0!</v>
      </c>
      <c r="J180" s="117" t="e">
        <f t="shared" si="75"/>
        <v>#DIV/0!</v>
      </c>
      <c r="K180" s="9" t="e">
        <f t="shared" si="75"/>
        <v>#DIV/0!</v>
      </c>
      <c r="L180" s="117" t="e">
        <f t="shared" si="75"/>
        <v>#DIV/0!</v>
      </c>
      <c r="M180" s="117" t="e">
        <f t="shared" si="75"/>
        <v>#DIV/0!</v>
      </c>
      <c r="N180" s="117" t="e">
        <f t="shared" si="75"/>
        <v>#DIV/0!</v>
      </c>
      <c r="O180" s="117" t="e">
        <f t="shared" si="75"/>
        <v>#DIV/0!</v>
      </c>
      <c r="P180" s="9" t="e">
        <f t="shared" si="75"/>
        <v>#DIV/0!</v>
      </c>
      <c r="Q180" s="144" t="e">
        <f t="shared" si="75"/>
        <v>#DIV/0!</v>
      </c>
      <c r="R180" s="144" t="e">
        <f t="shared" si="75"/>
        <v>#DIV/0!</v>
      </c>
      <c r="S180" s="144" t="e">
        <f t="shared" si="75"/>
        <v>#DIV/0!</v>
      </c>
      <c r="T180" s="144" t="e">
        <f t="shared" si="75"/>
        <v>#DIV/0!</v>
      </c>
      <c r="U180" s="9" t="e">
        <f t="shared" si="75"/>
        <v>#DIV/0!</v>
      </c>
      <c r="V180" s="144" t="e">
        <f t="shared" si="75"/>
        <v>#DIV/0!</v>
      </c>
      <c r="W180" s="144" t="e">
        <f t="shared" si="75"/>
        <v>#DIV/0!</v>
      </c>
      <c r="X180" s="144" t="e">
        <f t="shared" si="75"/>
        <v>#DIV/0!</v>
      </c>
      <c r="Y180" s="144" t="e">
        <f t="shared" si="75"/>
        <v>#DIV/0!</v>
      </c>
      <c r="Z180" s="9" t="e">
        <f t="shared" si="75"/>
        <v>#DIV/0!</v>
      </c>
      <c r="AA180" s="144" t="e">
        <f t="shared" si="75"/>
        <v>#DIV/0!</v>
      </c>
      <c r="AB180" s="144" t="e">
        <f t="shared" si="75"/>
        <v>#DIV/0!</v>
      </c>
      <c r="AC180" s="144" t="e">
        <f t="shared" si="75"/>
        <v>#DIV/0!</v>
      </c>
      <c r="AD180" s="144" t="e">
        <f t="shared" si="75"/>
        <v>#DIV/0!</v>
      </c>
      <c r="AE180" s="9" t="e">
        <f t="shared" si="75"/>
        <v>#DIV/0!</v>
      </c>
      <c r="AF180" s="144" t="e">
        <f t="shared" si="75"/>
        <v>#DIV/0!</v>
      </c>
      <c r="AG180" s="144" t="e">
        <f t="shared" si="75"/>
        <v>#DIV/0!</v>
      </c>
      <c r="AH180" s="144" t="e">
        <f t="shared" si="75"/>
        <v>#DIV/0!</v>
      </c>
      <c r="AI180" s="144" t="e">
        <f t="shared" si="75"/>
        <v>#DIV/0!</v>
      </c>
      <c r="AJ180" s="9" t="e">
        <f t="shared" si="75"/>
        <v>#DIV/0!</v>
      </c>
      <c r="AK180" s="144" t="e">
        <f t="shared" si="75"/>
        <v>#DIV/0!</v>
      </c>
      <c r="AL180" s="144" t="e">
        <f t="shared" si="75"/>
        <v>#DIV/0!</v>
      </c>
      <c r="AM180" s="144" t="e">
        <f t="shared" si="75"/>
        <v>#DIV/0!</v>
      </c>
      <c r="AN180" s="144" t="e">
        <f t="shared" si="75"/>
        <v>#DIV/0!</v>
      </c>
      <c r="AO180" s="9" t="e">
        <f t="shared" si="75"/>
        <v>#DIV/0!</v>
      </c>
      <c r="AP180" s="144" t="e">
        <f t="shared" si="75"/>
        <v>#DIV/0!</v>
      </c>
      <c r="AQ180" s="144" t="e">
        <f t="shared" si="75"/>
        <v>#DIV/0!</v>
      </c>
      <c r="AR180" s="144" t="e">
        <f t="shared" si="75"/>
        <v>#DIV/0!</v>
      </c>
      <c r="AS180" s="144" t="e">
        <f t="shared" si="75"/>
        <v>#DIV/0!</v>
      </c>
      <c r="AT180" s="9" t="e">
        <f t="shared" si="75"/>
        <v>#DIV/0!</v>
      </c>
      <c r="AU180" s="144" t="e">
        <f t="shared" si="75"/>
        <v>#DIV/0!</v>
      </c>
      <c r="AV180" s="144" t="e">
        <f t="shared" si="75"/>
        <v>#DIV/0!</v>
      </c>
      <c r="AW180" s="144" t="e">
        <f t="shared" si="75"/>
        <v>#DIV/0!</v>
      </c>
      <c r="AX180" s="144" t="e">
        <f t="shared" si="75"/>
        <v>#DIV/0!</v>
      </c>
      <c r="AY180" s="117" t="e">
        <f t="shared" si="75"/>
        <v>#DIV/0!</v>
      </c>
    </row>
    <row r="181" spans="1:51">
      <c r="A181" s="137" t="s">
        <v>111</v>
      </c>
      <c r="B181" s="117" t="e">
        <f t="shared" ref="B181:AY184" si="76">B43/B$137</f>
        <v>#DIV/0!</v>
      </c>
      <c r="C181" s="117" t="e">
        <f t="shared" si="76"/>
        <v>#DIV/0!</v>
      </c>
      <c r="D181" s="117" t="e">
        <f t="shared" si="76"/>
        <v>#DIV/0!</v>
      </c>
      <c r="E181" s="117" t="e">
        <f t="shared" si="76"/>
        <v>#DIV/0!</v>
      </c>
      <c r="F181" s="9" t="e">
        <f t="shared" si="76"/>
        <v>#DIV/0!</v>
      </c>
      <c r="G181" s="117" t="e">
        <f t="shared" si="76"/>
        <v>#DIV/0!</v>
      </c>
      <c r="H181" s="117" t="e">
        <f t="shared" si="76"/>
        <v>#DIV/0!</v>
      </c>
      <c r="I181" s="117" t="e">
        <f t="shared" si="76"/>
        <v>#DIV/0!</v>
      </c>
      <c r="J181" s="117" t="e">
        <f t="shared" si="76"/>
        <v>#DIV/0!</v>
      </c>
      <c r="K181" s="9" t="e">
        <f t="shared" si="76"/>
        <v>#DIV/0!</v>
      </c>
      <c r="L181" s="117" t="e">
        <f t="shared" si="76"/>
        <v>#DIV/0!</v>
      </c>
      <c r="M181" s="117" t="e">
        <f t="shared" si="76"/>
        <v>#DIV/0!</v>
      </c>
      <c r="N181" s="117" t="e">
        <f t="shared" si="76"/>
        <v>#DIV/0!</v>
      </c>
      <c r="O181" s="117" t="e">
        <f t="shared" si="76"/>
        <v>#DIV/0!</v>
      </c>
      <c r="P181" s="9" t="e">
        <f t="shared" si="76"/>
        <v>#DIV/0!</v>
      </c>
      <c r="Q181" s="144" t="e">
        <f t="shared" si="76"/>
        <v>#DIV/0!</v>
      </c>
      <c r="R181" s="144" t="e">
        <f t="shared" si="76"/>
        <v>#DIV/0!</v>
      </c>
      <c r="S181" s="144" t="e">
        <f t="shared" si="76"/>
        <v>#DIV/0!</v>
      </c>
      <c r="T181" s="144" t="e">
        <f t="shared" si="76"/>
        <v>#DIV/0!</v>
      </c>
      <c r="U181" s="9" t="e">
        <f t="shared" si="76"/>
        <v>#DIV/0!</v>
      </c>
      <c r="V181" s="144" t="e">
        <f t="shared" si="76"/>
        <v>#DIV/0!</v>
      </c>
      <c r="W181" s="144" t="e">
        <f t="shared" si="76"/>
        <v>#DIV/0!</v>
      </c>
      <c r="X181" s="144" t="e">
        <f t="shared" si="76"/>
        <v>#DIV/0!</v>
      </c>
      <c r="Y181" s="144" t="e">
        <f t="shared" si="76"/>
        <v>#DIV/0!</v>
      </c>
      <c r="Z181" s="9" t="e">
        <f t="shared" si="76"/>
        <v>#DIV/0!</v>
      </c>
      <c r="AA181" s="144" t="e">
        <f t="shared" si="76"/>
        <v>#DIV/0!</v>
      </c>
      <c r="AB181" s="144" t="e">
        <f t="shared" si="76"/>
        <v>#DIV/0!</v>
      </c>
      <c r="AC181" s="144" t="e">
        <f t="shared" si="76"/>
        <v>#DIV/0!</v>
      </c>
      <c r="AD181" s="144" t="e">
        <f t="shared" si="76"/>
        <v>#DIV/0!</v>
      </c>
      <c r="AE181" s="9" t="e">
        <f t="shared" si="76"/>
        <v>#DIV/0!</v>
      </c>
      <c r="AF181" s="144" t="e">
        <f t="shared" si="76"/>
        <v>#DIV/0!</v>
      </c>
      <c r="AG181" s="144" t="e">
        <f t="shared" si="76"/>
        <v>#DIV/0!</v>
      </c>
      <c r="AH181" s="144" t="e">
        <f t="shared" si="76"/>
        <v>#DIV/0!</v>
      </c>
      <c r="AI181" s="144" t="e">
        <f t="shared" si="76"/>
        <v>#DIV/0!</v>
      </c>
      <c r="AJ181" s="9" t="e">
        <f t="shared" si="76"/>
        <v>#DIV/0!</v>
      </c>
      <c r="AK181" s="144" t="e">
        <f t="shared" si="76"/>
        <v>#DIV/0!</v>
      </c>
      <c r="AL181" s="144" t="e">
        <f t="shared" si="76"/>
        <v>#DIV/0!</v>
      </c>
      <c r="AM181" s="144" t="e">
        <f t="shared" si="76"/>
        <v>#DIV/0!</v>
      </c>
      <c r="AN181" s="144" t="e">
        <f t="shared" si="76"/>
        <v>#DIV/0!</v>
      </c>
      <c r="AO181" s="9" t="e">
        <f t="shared" si="76"/>
        <v>#DIV/0!</v>
      </c>
      <c r="AP181" s="144" t="e">
        <f t="shared" si="76"/>
        <v>#DIV/0!</v>
      </c>
      <c r="AQ181" s="144" t="e">
        <f t="shared" si="76"/>
        <v>#DIV/0!</v>
      </c>
      <c r="AR181" s="144" t="e">
        <f t="shared" si="76"/>
        <v>#DIV/0!</v>
      </c>
      <c r="AS181" s="144" t="e">
        <f t="shared" si="76"/>
        <v>#DIV/0!</v>
      </c>
      <c r="AT181" s="9" t="e">
        <f t="shared" si="76"/>
        <v>#DIV/0!</v>
      </c>
      <c r="AU181" s="144" t="e">
        <f t="shared" si="76"/>
        <v>#DIV/0!</v>
      </c>
      <c r="AV181" s="144" t="e">
        <f t="shared" si="76"/>
        <v>#DIV/0!</v>
      </c>
      <c r="AW181" s="144" t="e">
        <f t="shared" si="76"/>
        <v>#DIV/0!</v>
      </c>
      <c r="AX181" s="144" t="e">
        <f t="shared" si="76"/>
        <v>#DIV/0!</v>
      </c>
      <c r="AY181" s="117" t="e">
        <f t="shared" si="76"/>
        <v>#DIV/0!</v>
      </c>
    </row>
    <row r="182" spans="1:51">
      <c r="A182" s="137" t="s">
        <v>113</v>
      </c>
      <c r="B182" s="117" t="e">
        <f t="shared" si="76"/>
        <v>#DIV/0!</v>
      </c>
      <c r="C182" s="117" t="e">
        <f t="shared" si="76"/>
        <v>#DIV/0!</v>
      </c>
      <c r="D182" s="117" t="e">
        <f t="shared" si="76"/>
        <v>#DIV/0!</v>
      </c>
      <c r="E182" s="117" t="e">
        <f t="shared" si="76"/>
        <v>#DIV/0!</v>
      </c>
      <c r="F182" s="9" t="e">
        <f t="shared" si="76"/>
        <v>#DIV/0!</v>
      </c>
      <c r="G182" s="117" t="e">
        <f t="shared" si="76"/>
        <v>#DIV/0!</v>
      </c>
      <c r="H182" s="117" t="e">
        <f t="shared" si="76"/>
        <v>#DIV/0!</v>
      </c>
      <c r="I182" s="117" t="e">
        <f t="shared" si="76"/>
        <v>#DIV/0!</v>
      </c>
      <c r="J182" s="117" t="e">
        <f t="shared" si="76"/>
        <v>#DIV/0!</v>
      </c>
      <c r="K182" s="9" t="e">
        <f t="shared" si="76"/>
        <v>#DIV/0!</v>
      </c>
      <c r="L182" s="117" t="e">
        <f t="shared" si="76"/>
        <v>#DIV/0!</v>
      </c>
      <c r="M182" s="117" t="e">
        <f t="shared" si="76"/>
        <v>#DIV/0!</v>
      </c>
      <c r="N182" s="117" t="e">
        <f t="shared" si="76"/>
        <v>#DIV/0!</v>
      </c>
      <c r="O182" s="117" t="e">
        <f t="shared" si="76"/>
        <v>#DIV/0!</v>
      </c>
      <c r="P182" s="9" t="e">
        <f t="shared" si="76"/>
        <v>#DIV/0!</v>
      </c>
      <c r="Q182" s="144" t="e">
        <f t="shared" si="76"/>
        <v>#DIV/0!</v>
      </c>
      <c r="R182" s="144" t="e">
        <f t="shared" si="76"/>
        <v>#DIV/0!</v>
      </c>
      <c r="S182" s="144" t="e">
        <f t="shared" si="76"/>
        <v>#DIV/0!</v>
      </c>
      <c r="T182" s="144" t="e">
        <f t="shared" si="76"/>
        <v>#DIV/0!</v>
      </c>
      <c r="U182" s="9" t="e">
        <f t="shared" si="76"/>
        <v>#DIV/0!</v>
      </c>
      <c r="V182" s="144" t="e">
        <f t="shared" si="76"/>
        <v>#DIV/0!</v>
      </c>
      <c r="W182" s="144" t="e">
        <f t="shared" si="76"/>
        <v>#DIV/0!</v>
      </c>
      <c r="X182" s="144" t="e">
        <f t="shared" si="76"/>
        <v>#DIV/0!</v>
      </c>
      <c r="Y182" s="144" t="e">
        <f t="shared" si="76"/>
        <v>#DIV/0!</v>
      </c>
      <c r="Z182" s="9" t="e">
        <f t="shared" si="76"/>
        <v>#DIV/0!</v>
      </c>
      <c r="AA182" s="144" t="e">
        <f t="shared" si="76"/>
        <v>#DIV/0!</v>
      </c>
      <c r="AB182" s="144" t="e">
        <f t="shared" si="76"/>
        <v>#DIV/0!</v>
      </c>
      <c r="AC182" s="144" t="e">
        <f t="shared" si="76"/>
        <v>#DIV/0!</v>
      </c>
      <c r="AD182" s="144" t="e">
        <f t="shared" si="76"/>
        <v>#DIV/0!</v>
      </c>
      <c r="AE182" s="9" t="e">
        <f t="shared" si="76"/>
        <v>#DIV/0!</v>
      </c>
      <c r="AF182" s="144" t="e">
        <f t="shared" si="76"/>
        <v>#DIV/0!</v>
      </c>
      <c r="AG182" s="144" t="e">
        <f t="shared" si="76"/>
        <v>#DIV/0!</v>
      </c>
      <c r="AH182" s="144" t="e">
        <f t="shared" si="76"/>
        <v>#DIV/0!</v>
      </c>
      <c r="AI182" s="144" t="e">
        <f t="shared" si="76"/>
        <v>#DIV/0!</v>
      </c>
      <c r="AJ182" s="9" t="e">
        <f t="shared" si="76"/>
        <v>#DIV/0!</v>
      </c>
      <c r="AK182" s="144" t="e">
        <f t="shared" si="76"/>
        <v>#DIV/0!</v>
      </c>
      <c r="AL182" s="144" t="e">
        <f t="shared" si="76"/>
        <v>#DIV/0!</v>
      </c>
      <c r="AM182" s="144" t="e">
        <f t="shared" si="76"/>
        <v>#DIV/0!</v>
      </c>
      <c r="AN182" s="144" t="e">
        <f t="shared" si="76"/>
        <v>#DIV/0!</v>
      </c>
      <c r="AO182" s="9" t="e">
        <f t="shared" si="76"/>
        <v>#DIV/0!</v>
      </c>
      <c r="AP182" s="144" t="e">
        <f t="shared" si="76"/>
        <v>#DIV/0!</v>
      </c>
      <c r="AQ182" s="144" t="e">
        <f t="shared" si="76"/>
        <v>#DIV/0!</v>
      </c>
      <c r="AR182" s="144" t="e">
        <f t="shared" si="76"/>
        <v>#DIV/0!</v>
      </c>
      <c r="AS182" s="144" t="e">
        <f t="shared" si="76"/>
        <v>#DIV/0!</v>
      </c>
      <c r="AT182" s="9" t="e">
        <f t="shared" si="76"/>
        <v>#DIV/0!</v>
      </c>
      <c r="AU182" s="144" t="e">
        <f t="shared" si="76"/>
        <v>#DIV/0!</v>
      </c>
      <c r="AV182" s="144" t="e">
        <f t="shared" si="76"/>
        <v>#DIV/0!</v>
      </c>
      <c r="AW182" s="144" t="e">
        <f t="shared" si="76"/>
        <v>#DIV/0!</v>
      </c>
      <c r="AX182" s="144" t="e">
        <f t="shared" si="76"/>
        <v>#DIV/0!</v>
      </c>
      <c r="AY182" s="117" t="e">
        <f t="shared" si="76"/>
        <v>#DIV/0!</v>
      </c>
    </row>
    <row r="183" spans="1:51">
      <c r="A183" s="137" t="s">
        <v>115</v>
      </c>
      <c r="B183" s="117" t="e">
        <f t="shared" si="76"/>
        <v>#DIV/0!</v>
      </c>
      <c r="C183" s="117" t="e">
        <f t="shared" si="76"/>
        <v>#DIV/0!</v>
      </c>
      <c r="D183" s="117" t="e">
        <f t="shared" si="76"/>
        <v>#DIV/0!</v>
      </c>
      <c r="E183" s="117" t="e">
        <f t="shared" si="76"/>
        <v>#DIV/0!</v>
      </c>
      <c r="F183" s="9" t="e">
        <f t="shared" si="76"/>
        <v>#DIV/0!</v>
      </c>
      <c r="G183" s="117" t="e">
        <f t="shared" si="76"/>
        <v>#DIV/0!</v>
      </c>
      <c r="H183" s="117" t="e">
        <f t="shared" si="76"/>
        <v>#DIV/0!</v>
      </c>
      <c r="I183" s="117" t="e">
        <f t="shared" si="76"/>
        <v>#DIV/0!</v>
      </c>
      <c r="J183" s="117" t="e">
        <f t="shared" si="76"/>
        <v>#DIV/0!</v>
      </c>
      <c r="K183" s="9" t="e">
        <f t="shared" si="76"/>
        <v>#DIV/0!</v>
      </c>
      <c r="L183" s="117" t="e">
        <f t="shared" si="76"/>
        <v>#DIV/0!</v>
      </c>
      <c r="M183" s="117" t="e">
        <f t="shared" si="76"/>
        <v>#DIV/0!</v>
      </c>
      <c r="N183" s="117" t="e">
        <f t="shared" si="76"/>
        <v>#DIV/0!</v>
      </c>
      <c r="O183" s="117" t="e">
        <f t="shared" si="76"/>
        <v>#DIV/0!</v>
      </c>
      <c r="P183" s="9" t="e">
        <f t="shared" si="76"/>
        <v>#DIV/0!</v>
      </c>
      <c r="Q183" s="144" t="e">
        <f t="shared" si="76"/>
        <v>#DIV/0!</v>
      </c>
      <c r="R183" s="144" t="e">
        <f t="shared" si="76"/>
        <v>#DIV/0!</v>
      </c>
      <c r="S183" s="144" t="e">
        <f t="shared" si="76"/>
        <v>#DIV/0!</v>
      </c>
      <c r="T183" s="144" t="e">
        <f t="shared" si="76"/>
        <v>#DIV/0!</v>
      </c>
      <c r="U183" s="9" t="e">
        <f t="shared" si="76"/>
        <v>#DIV/0!</v>
      </c>
      <c r="V183" s="144" t="e">
        <f t="shared" si="76"/>
        <v>#DIV/0!</v>
      </c>
      <c r="W183" s="144" t="e">
        <f t="shared" si="76"/>
        <v>#DIV/0!</v>
      </c>
      <c r="X183" s="144" t="e">
        <f t="shared" si="76"/>
        <v>#DIV/0!</v>
      </c>
      <c r="Y183" s="144" t="e">
        <f t="shared" si="76"/>
        <v>#DIV/0!</v>
      </c>
      <c r="Z183" s="9" t="e">
        <f t="shared" si="76"/>
        <v>#DIV/0!</v>
      </c>
      <c r="AA183" s="144" t="e">
        <f t="shared" si="76"/>
        <v>#DIV/0!</v>
      </c>
      <c r="AB183" s="144" t="e">
        <f t="shared" si="76"/>
        <v>#DIV/0!</v>
      </c>
      <c r="AC183" s="144" t="e">
        <f t="shared" si="76"/>
        <v>#DIV/0!</v>
      </c>
      <c r="AD183" s="144" t="e">
        <f t="shared" si="76"/>
        <v>#DIV/0!</v>
      </c>
      <c r="AE183" s="9" t="e">
        <f t="shared" si="76"/>
        <v>#DIV/0!</v>
      </c>
      <c r="AF183" s="144" t="e">
        <f t="shared" si="76"/>
        <v>#DIV/0!</v>
      </c>
      <c r="AG183" s="144" t="e">
        <f t="shared" si="76"/>
        <v>#DIV/0!</v>
      </c>
      <c r="AH183" s="144" t="e">
        <f t="shared" si="76"/>
        <v>#DIV/0!</v>
      </c>
      <c r="AI183" s="144" t="e">
        <f t="shared" si="76"/>
        <v>#DIV/0!</v>
      </c>
      <c r="AJ183" s="9" t="e">
        <f t="shared" si="76"/>
        <v>#DIV/0!</v>
      </c>
      <c r="AK183" s="144" t="e">
        <f t="shared" si="76"/>
        <v>#DIV/0!</v>
      </c>
      <c r="AL183" s="144" t="e">
        <f t="shared" si="76"/>
        <v>#DIV/0!</v>
      </c>
      <c r="AM183" s="144" t="e">
        <f t="shared" si="76"/>
        <v>#DIV/0!</v>
      </c>
      <c r="AN183" s="144" t="e">
        <f t="shared" si="76"/>
        <v>#DIV/0!</v>
      </c>
      <c r="AO183" s="9" t="e">
        <f t="shared" si="76"/>
        <v>#DIV/0!</v>
      </c>
      <c r="AP183" s="144" t="e">
        <f t="shared" si="76"/>
        <v>#DIV/0!</v>
      </c>
      <c r="AQ183" s="144" t="e">
        <f t="shared" si="76"/>
        <v>#DIV/0!</v>
      </c>
      <c r="AR183" s="144" t="e">
        <f t="shared" si="76"/>
        <v>#DIV/0!</v>
      </c>
      <c r="AS183" s="144" t="e">
        <f t="shared" si="76"/>
        <v>#DIV/0!</v>
      </c>
      <c r="AT183" s="9" t="e">
        <f t="shared" si="76"/>
        <v>#DIV/0!</v>
      </c>
      <c r="AU183" s="144" t="e">
        <f t="shared" si="76"/>
        <v>#DIV/0!</v>
      </c>
      <c r="AV183" s="144" t="e">
        <f t="shared" si="76"/>
        <v>#DIV/0!</v>
      </c>
      <c r="AW183" s="144" t="e">
        <f t="shared" si="76"/>
        <v>#DIV/0!</v>
      </c>
      <c r="AX183" s="144" t="e">
        <f t="shared" si="76"/>
        <v>#DIV/0!</v>
      </c>
      <c r="AY183" s="117" t="e">
        <f t="shared" si="76"/>
        <v>#DIV/0!</v>
      </c>
    </row>
    <row r="184" spans="1:51">
      <c r="A184" s="137" t="s">
        <v>117</v>
      </c>
      <c r="B184" s="117" t="e">
        <f t="shared" si="76"/>
        <v>#DIV/0!</v>
      </c>
      <c r="C184" s="117" t="e">
        <f t="shared" si="76"/>
        <v>#DIV/0!</v>
      </c>
      <c r="D184" s="117" t="e">
        <f t="shared" si="76"/>
        <v>#DIV/0!</v>
      </c>
      <c r="E184" s="117" t="e">
        <f t="shared" si="76"/>
        <v>#DIV/0!</v>
      </c>
      <c r="F184" s="9" t="e">
        <f t="shared" si="76"/>
        <v>#DIV/0!</v>
      </c>
      <c r="G184" s="117" t="e">
        <f t="shared" si="76"/>
        <v>#DIV/0!</v>
      </c>
      <c r="H184" s="117" t="e">
        <f t="shared" si="76"/>
        <v>#DIV/0!</v>
      </c>
      <c r="I184" s="117" t="e">
        <f t="shared" si="76"/>
        <v>#DIV/0!</v>
      </c>
      <c r="J184" s="117" t="e">
        <f t="shared" si="76"/>
        <v>#DIV/0!</v>
      </c>
      <c r="K184" s="9" t="e">
        <f t="shared" si="76"/>
        <v>#DIV/0!</v>
      </c>
      <c r="L184" s="117" t="e">
        <f t="shared" si="76"/>
        <v>#DIV/0!</v>
      </c>
      <c r="M184" s="117" t="e">
        <f t="shared" si="76"/>
        <v>#DIV/0!</v>
      </c>
      <c r="N184" s="117" t="e">
        <f t="shared" si="76"/>
        <v>#DIV/0!</v>
      </c>
      <c r="O184" s="117" t="e">
        <f t="shared" si="76"/>
        <v>#DIV/0!</v>
      </c>
      <c r="P184" s="9" t="e">
        <f t="shared" si="76"/>
        <v>#DIV/0!</v>
      </c>
      <c r="Q184" s="144" t="e">
        <f t="shared" si="76"/>
        <v>#DIV/0!</v>
      </c>
      <c r="R184" s="144" t="e">
        <f t="shared" si="76"/>
        <v>#DIV/0!</v>
      </c>
      <c r="S184" s="144" t="e">
        <f t="shared" si="76"/>
        <v>#DIV/0!</v>
      </c>
      <c r="T184" s="144" t="e">
        <f t="shared" si="76"/>
        <v>#DIV/0!</v>
      </c>
      <c r="U184" s="9" t="e">
        <f t="shared" si="76"/>
        <v>#DIV/0!</v>
      </c>
      <c r="V184" s="144" t="e">
        <f t="shared" si="76"/>
        <v>#DIV/0!</v>
      </c>
      <c r="W184" s="144" t="e">
        <f t="shared" si="76"/>
        <v>#DIV/0!</v>
      </c>
      <c r="X184" s="144" t="e">
        <f t="shared" si="76"/>
        <v>#DIV/0!</v>
      </c>
      <c r="Y184" s="144" t="e">
        <f t="shared" si="76"/>
        <v>#DIV/0!</v>
      </c>
      <c r="Z184" s="9" t="e">
        <f t="shared" si="76"/>
        <v>#DIV/0!</v>
      </c>
      <c r="AA184" s="144" t="e">
        <f t="shared" si="76"/>
        <v>#DIV/0!</v>
      </c>
      <c r="AB184" s="144" t="e">
        <f t="shared" si="76"/>
        <v>#DIV/0!</v>
      </c>
      <c r="AC184" s="144" t="e">
        <f t="shared" si="76"/>
        <v>#DIV/0!</v>
      </c>
      <c r="AD184" s="144" t="e">
        <f t="shared" si="76"/>
        <v>#DIV/0!</v>
      </c>
      <c r="AE184" s="9" t="e">
        <f t="shared" si="76"/>
        <v>#DIV/0!</v>
      </c>
      <c r="AF184" s="144" t="e">
        <f t="shared" si="76"/>
        <v>#DIV/0!</v>
      </c>
      <c r="AG184" s="144" t="e">
        <f t="shared" si="76"/>
        <v>#DIV/0!</v>
      </c>
      <c r="AH184" s="144" t="e">
        <f t="shared" si="76"/>
        <v>#DIV/0!</v>
      </c>
      <c r="AI184" s="144" t="e">
        <f t="shared" si="76"/>
        <v>#DIV/0!</v>
      </c>
      <c r="AJ184" s="9" t="e">
        <f t="shared" si="76"/>
        <v>#DIV/0!</v>
      </c>
      <c r="AK184" s="144" t="e">
        <f t="shared" si="76"/>
        <v>#DIV/0!</v>
      </c>
      <c r="AL184" s="144" t="e">
        <f t="shared" si="76"/>
        <v>#DIV/0!</v>
      </c>
      <c r="AM184" s="144" t="e">
        <f t="shared" si="76"/>
        <v>#DIV/0!</v>
      </c>
      <c r="AN184" s="144" t="e">
        <f t="shared" si="76"/>
        <v>#DIV/0!</v>
      </c>
      <c r="AO184" s="9" t="e">
        <f t="shared" si="76"/>
        <v>#DIV/0!</v>
      </c>
      <c r="AP184" s="144" t="e">
        <f t="shared" si="76"/>
        <v>#DIV/0!</v>
      </c>
      <c r="AQ184" s="144" t="e">
        <f t="shared" si="76"/>
        <v>#DIV/0!</v>
      </c>
      <c r="AR184" s="144" t="e">
        <f t="shared" si="76"/>
        <v>#DIV/0!</v>
      </c>
      <c r="AS184" s="144" t="e">
        <f t="shared" si="76"/>
        <v>#DIV/0!</v>
      </c>
      <c r="AT184" s="9" t="e">
        <f t="shared" si="76"/>
        <v>#DIV/0!</v>
      </c>
      <c r="AU184" s="144" t="e">
        <f t="shared" si="76"/>
        <v>#DIV/0!</v>
      </c>
      <c r="AV184" s="144" t="e">
        <f t="shared" si="76"/>
        <v>#DIV/0!</v>
      </c>
      <c r="AW184" s="144" t="e">
        <f t="shared" si="76"/>
        <v>#DIV/0!</v>
      </c>
      <c r="AX184" s="144" t="e">
        <f t="shared" si="76"/>
        <v>#DIV/0!</v>
      </c>
      <c r="AY184" s="117" t="e">
        <f t="shared" si="76"/>
        <v>#DIV/0!</v>
      </c>
    </row>
    <row r="185" spans="1:51">
      <c r="A185" s="137" t="s">
        <v>119</v>
      </c>
      <c r="B185" s="117" t="e">
        <f t="shared" ref="B185:AY188" si="77">B47/B$137</f>
        <v>#DIV/0!</v>
      </c>
      <c r="C185" s="117" t="e">
        <f t="shared" si="77"/>
        <v>#DIV/0!</v>
      </c>
      <c r="D185" s="117" t="e">
        <f t="shared" si="77"/>
        <v>#DIV/0!</v>
      </c>
      <c r="E185" s="117" t="e">
        <f t="shared" si="77"/>
        <v>#DIV/0!</v>
      </c>
      <c r="F185" s="9" t="e">
        <f t="shared" si="77"/>
        <v>#DIV/0!</v>
      </c>
      <c r="G185" s="117" t="e">
        <f t="shared" si="77"/>
        <v>#DIV/0!</v>
      </c>
      <c r="H185" s="117" t="e">
        <f t="shared" si="77"/>
        <v>#DIV/0!</v>
      </c>
      <c r="I185" s="117" t="e">
        <f t="shared" si="77"/>
        <v>#DIV/0!</v>
      </c>
      <c r="J185" s="117" t="e">
        <f t="shared" si="77"/>
        <v>#DIV/0!</v>
      </c>
      <c r="K185" s="9" t="e">
        <f t="shared" si="77"/>
        <v>#DIV/0!</v>
      </c>
      <c r="L185" s="117" t="e">
        <f t="shared" si="77"/>
        <v>#DIV/0!</v>
      </c>
      <c r="M185" s="117" t="e">
        <f t="shared" si="77"/>
        <v>#DIV/0!</v>
      </c>
      <c r="N185" s="117" t="e">
        <f t="shared" si="77"/>
        <v>#DIV/0!</v>
      </c>
      <c r="O185" s="117" t="e">
        <f t="shared" si="77"/>
        <v>#DIV/0!</v>
      </c>
      <c r="P185" s="9" t="e">
        <f t="shared" si="77"/>
        <v>#DIV/0!</v>
      </c>
      <c r="Q185" s="144" t="e">
        <f t="shared" si="77"/>
        <v>#DIV/0!</v>
      </c>
      <c r="R185" s="144" t="e">
        <f t="shared" si="77"/>
        <v>#DIV/0!</v>
      </c>
      <c r="S185" s="144" t="e">
        <f t="shared" si="77"/>
        <v>#DIV/0!</v>
      </c>
      <c r="T185" s="144" t="e">
        <f t="shared" si="77"/>
        <v>#DIV/0!</v>
      </c>
      <c r="U185" s="9" t="e">
        <f t="shared" si="77"/>
        <v>#DIV/0!</v>
      </c>
      <c r="V185" s="144" t="e">
        <f t="shared" si="77"/>
        <v>#DIV/0!</v>
      </c>
      <c r="W185" s="144" t="e">
        <f t="shared" si="77"/>
        <v>#DIV/0!</v>
      </c>
      <c r="X185" s="144" t="e">
        <f t="shared" si="77"/>
        <v>#DIV/0!</v>
      </c>
      <c r="Y185" s="144" t="e">
        <f t="shared" si="77"/>
        <v>#DIV/0!</v>
      </c>
      <c r="Z185" s="9" t="e">
        <f t="shared" si="77"/>
        <v>#DIV/0!</v>
      </c>
      <c r="AA185" s="144" t="e">
        <f t="shared" si="77"/>
        <v>#DIV/0!</v>
      </c>
      <c r="AB185" s="144" t="e">
        <f t="shared" si="77"/>
        <v>#DIV/0!</v>
      </c>
      <c r="AC185" s="144" t="e">
        <f t="shared" si="77"/>
        <v>#DIV/0!</v>
      </c>
      <c r="AD185" s="144" t="e">
        <f t="shared" si="77"/>
        <v>#DIV/0!</v>
      </c>
      <c r="AE185" s="9" t="e">
        <f t="shared" si="77"/>
        <v>#DIV/0!</v>
      </c>
      <c r="AF185" s="144" t="e">
        <f t="shared" si="77"/>
        <v>#DIV/0!</v>
      </c>
      <c r="AG185" s="144" t="e">
        <f t="shared" si="77"/>
        <v>#DIV/0!</v>
      </c>
      <c r="AH185" s="144" t="e">
        <f t="shared" si="77"/>
        <v>#DIV/0!</v>
      </c>
      <c r="AI185" s="144" t="e">
        <f t="shared" si="77"/>
        <v>#DIV/0!</v>
      </c>
      <c r="AJ185" s="9" t="e">
        <f t="shared" si="77"/>
        <v>#DIV/0!</v>
      </c>
      <c r="AK185" s="144" t="e">
        <f t="shared" si="77"/>
        <v>#DIV/0!</v>
      </c>
      <c r="AL185" s="144" t="e">
        <f t="shared" si="77"/>
        <v>#DIV/0!</v>
      </c>
      <c r="AM185" s="144" t="e">
        <f t="shared" si="77"/>
        <v>#DIV/0!</v>
      </c>
      <c r="AN185" s="144" t="e">
        <f t="shared" si="77"/>
        <v>#DIV/0!</v>
      </c>
      <c r="AO185" s="9" t="e">
        <f t="shared" si="77"/>
        <v>#DIV/0!</v>
      </c>
      <c r="AP185" s="144" t="e">
        <f t="shared" si="77"/>
        <v>#DIV/0!</v>
      </c>
      <c r="AQ185" s="144" t="e">
        <f t="shared" si="77"/>
        <v>#DIV/0!</v>
      </c>
      <c r="AR185" s="144" t="e">
        <f t="shared" si="77"/>
        <v>#DIV/0!</v>
      </c>
      <c r="AS185" s="144" t="e">
        <f t="shared" si="77"/>
        <v>#DIV/0!</v>
      </c>
      <c r="AT185" s="9" t="e">
        <f t="shared" si="77"/>
        <v>#DIV/0!</v>
      </c>
      <c r="AU185" s="144" t="e">
        <f t="shared" si="77"/>
        <v>#DIV/0!</v>
      </c>
      <c r="AV185" s="144" t="e">
        <f t="shared" si="77"/>
        <v>#DIV/0!</v>
      </c>
      <c r="AW185" s="144" t="e">
        <f t="shared" si="77"/>
        <v>#DIV/0!</v>
      </c>
      <c r="AX185" s="144" t="e">
        <f t="shared" si="77"/>
        <v>#DIV/0!</v>
      </c>
      <c r="AY185" s="117" t="e">
        <f t="shared" si="77"/>
        <v>#DIV/0!</v>
      </c>
    </row>
    <row r="186" spans="1:51">
      <c r="A186" s="137" t="s">
        <v>121</v>
      </c>
      <c r="B186" s="117" t="e">
        <f t="shared" si="77"/>
        <v>#DIV/0!</v>
      </c>
      <c r="C186" s="117" t="e">
        <f t="shared" si="77"/>
        <v>#DIV/0!</v>
      </c>
      <c r="D186" s="117" t="e">
        <f t="shared" si="77"/>
        <v>#DIV/0!</v>
      </c>
      <c r="E186" s="117" t="e">
        <f t="shared" si="77"/>
        <v>#DIV/0!</v>
      </c>
      <c r="F186" s="9" t="e">
        <f t="shared" si="77"/>
        <v>#DIV/0!</v>
      </c>
      <c r="G186" s="117" t="e">
        <f t="shared" si="77"/>
        <v>#DIV/0!</v>
      </c>
      <c r="H186" s="117" t="e">
        <f t="shared" si="77"/>
        <v>#DIV/0!</v>
      </c>
      <c r="I186" s="117" t="e">
        <f t="shared" si="77"/>
        <v>#DIV/0!</v>
      </c>
      <c r="J186" s="117" t="e">
        <f t="shared" si="77"/>
        <v>#DIV/0!</v>
      </c>
      <c r="K186" s="9" t="e">
        <f t="shared" si="77"/>
        <v>#DIV/0!</v>
      </c>
      <c r="L186" s="117" t="e">
        <f t="shared" si="77"/>
        <v>#DIV/0!</v>
      </c>
      <c r="M186" s="117" t="e">
        <f t="shared" si="77"/>
        <v>#DIV/0!</v>
      </c>
      <c r="N186" s="117" t="e">
        <f t="shared" si="77"/>
        <v>#DIV/0!</v>
      </c>
      <c r="O186" s="117" t="e">
        <f t="shared" si="77"/>
        <v>#DIV/0!</v>
      </c>
      <c r="P186" s="9" t="e">
        <f t="shared" si="77"/>
        <v>#DIV/0!</v>
      </c>
      <c r="Q186" s="144" t="e">
        <f t="shared" si="77"/>
        <v>#DIV/0!</v>
      </c>
      <c r="R186" s="144" t="e">
        <f t="shared" si="77"/>
        <v>#DIV/0!</v>
      </c>
      <c r="S186" s="144" t="e">
        <f t="shared" si="77"/>
        <v>#DIV/0!</v>
      </c>
      <c r="T186" s="144" t="e">
        <f t="shared" si="77"/>
        <v>#DIV/0!</v>
      </c>
      <c r="U186" s="9" t="e">
        <f t="shared" si="77"/>
        <v>#DIV/0!</v>
      </c>
      <c r="V186" s="144" t="e">
        <f t="shared" si="77"/>
        <v>#DIV/0!</v>
      </c>
      <c r="W186" s="144" t="e">
        <f t="shared" si="77"/>
        <v>#DIV/0!</v>
      </c>
      <c r="X186" s="144" t="e">
        <f t="shared" si="77"/>
        <v>#DIV/0!</v>
      </c>
      <c r="Y186" s="144" t="e">
        <f t="shared" si="77"/>
        <v>#DIV/0!</v>
      </c>
      <c r="Z186" s="9" t="e">
        <f t="shared" si="77"/>
        <v>#DIV/0!</v>
      </c>
      <c r="AA186" s="144" t="e">
        <f t="shared" si="77"/>
        <v>#DIV/0!</v>
      </c>
      <c r="AB186" s="144" t="e">
        <f t="shared" si="77"/>
        <v>#DIV/0!</v>
      </c>
      <c r="AC186" s="144" t="e">
        <f t="shared" si="77"/>
        <v>#DIV/0!</v>
      </c>
      <c r="AD186" s="144" t="e">
        <f t="shared" si="77"/>
        <v>#DIV/0!</v>
      </c>
      <c r="AE186" s="9" t="e">
        <f t="shared" si="77"/>
        <v>#DIV/0!</v>
      </c>
      <c r="AF186" s="144" t="e">
        <f t="shared" si="77"/>
        <v>#DIV/0!</v>
      </c>
      <c r="AG186" s="144" t="e">
        <f t="shared" si="77"/>
        <v>#DIV/0!</v>
      </c>
      <c r="AH186" s="144" t="e">
        <f t="shared" si="77"/>
        <v>#DIV/0!</v>
      </c>
      <c r="AI186" s="144" t="e">
        <f t="shared" si="77"/>
        <v>#DIV/0!</v>
      </c>
      <c r="AJ186" s="9" t="e">
        <f t="shared" si="77"/>
        <v>#DIV/0!</v>
      </c>
      <c r="AK186" s="144" t="e">
        <f t="shared" si="77"/>
        <v>#DIV/0!</v>
      </c>
      <c r="AL186" s="144" t="e">
        <f t="shared" si="77"/>
        <v>#DIV/0!</v>
      </c>
      <c r="AM186" s="144" t="e">
        <f t="shared" si="77"/>
        <v>#DIV/0!</v>
      </c>
      <c r="AN186" s="144" t="e">
        <f t="shared" si="77"/>
        <v>#DIV/0!</v>
      </c>
      <c r="AO186" s="9" t="e">
        <f t="shared" si="77"/>
        <v>#DIV/0!</v>
      </c>
      <c r="AP186" s="144" t="e">
        <f t="shared" si="77"/>
        <v>#DIV/0!</v>
      </c>
      <c r="AQ186" s="144" t="e">
        <f t="shared" si="77"/>
        <v>#DIV/0!</v>
      </c>
      <c r="AR186" s="144" t="e">
        <f t="shared" si="77"/>
        <v>#DIV/0!</v>
      </c>
      <c r="AS186" s="144" t="e">
        <f t="shared" si="77"/>
        <v>#DIV/0!</v>
      </c>
      <c r="AT186" s="9" t="e">
        <f t="shared" si="77"/>
        <v>#DIV/0!</v>
      </c>
      <c r="AU186" s="144" t="e">
        <f t="shared" si="77"/>
        <v>#DIV/0!</v>
      </c>
      <c r="AV186" s="144" t="e">
        <f t="shared" si="77"/>
        <v>#DIV/0!</v>
      </c>
      <c r="AW186" s="144" t="e">
        <f t="shared" si="77"/>
        <v>#DIV/0!</v>
      </c>
      <c r="AX186" s="144" t="e">
        <f t="shared" si="77"/>
        <v>#DIV/0!</v>
      </c>
      <c r="AY186" s="117" t="e">
        <f t="shared" si="77"/>
        <v>#DIV/0!</v>
      </c>
    </row>
    <row r="187" spans="1:51">
      <c r="A187" s="137" t="s">
        <v>123</v>
      </c>
      <c r="B187" s="117" t="e">
        <f t="shared" si="77"/>
        <v>#DIV/0!</v>
      </c>
      <c r="C187" s="117" t="e">
        <f t="shared" si="77"/>
        <v>#DIV/0!</v>
      </c>
      <c r="D187" s="117" t="e">
        <f t="shared" si="77"/>
        <v>#DIV/0!</v>
      </c>
      <c r="E187" s="117" t="e">
        <f t="shared" si="77"/>
        <v>#DIV/0!</v>
      </c>
      <c r="F187" s="9" t="e">
        <f t="shared" si="77"/>
        <v>#DIV/0!</v>
      </c>
      <c r="G187" s="117" t="e">
        <f t="shared" si="77"/>
        <v>#DIV/0!</v>
      </c>
      <c r="H187" s="117" t="e">
        <f t="shared" si="77"/>
        <v>#DIV/0!</v>
      </c>
      <c r="I187" s="117" t="e">
        <f t="shared" si="77"/>
        <v>#DIV/0!</v>
      </c>
      <c r="J187" s="117" t="e">
        <f t="shared" si="77"/>
        <v>#DIV/0!</v>
      </c>
      <c r="K187" s="9" t="e">
        <f t="shared" si="77"/>
        <v>#DIV/0!</v>
      </c>
      <c r="L187" s="117" t="e">
        <f t="shared" si="77"/>
        <v>#DIV/0!</v>
      </c>
      <c r="M187" s="117" t="e">
        <f t="shared" si="77"/>
        <v>#DIV/0!</v>
      </c>
      <c r="N187" s="117" t="e">
        <f t="shared" si="77"/>
        <v>#DIV/0!</v>
      </c>
      <c r="O187" s="117" t="e">
        <f t="shared" si="77"/>
        <v>#DIV/0!</v>
      </c>
      <c r="P187" s="9" t="e">
        <f t="shared" si="77"/>
        <v>#DIV/0!</v>
      </c>
      <c r="Q187" s="144" t="e">
        <f t="shared" si="77"/>
        <v>#DIV/0!</v>
      </c>
      <c r="R187" s="144" t="e">
        <f t="shared" si="77"/>
        <v>#DIV/0!</v>
      </c>
      <c r="S187" s="144" t="e">
        <f t="shared" si="77"/>
        <v>#DIV/0!</v>
      </c>
      <c r="T187" s="144" t="e">
        <f t="shared" si="77"/>
        <v>#DIV/0!</v>
      </c>
      <c r="U187" s="9" t="e">
        <f t="shared" si="77"/>
        <v>#DIV/0!</v>
      </c>
      <c r="V187" s="144" t="e">
        <f t="shared" si="77"/>
        <v>#DIV/0!</v>
      </c>
      <c r="W187" s="144" t="e">
        <f t="shared" si="77"/>
        <v>#DIV/0!</v>
      </c>
      <c r="X187" s="144" t="e">
        <f t="shared" si="77"/>
        <v>#DIV/0!</v>
      </c>
      <c r="Y187" s="144" t="e">
        <f t="shared" si="77"/>
        <v>#DIV/0!</v>
      </c>
      <c r="Z187" s="9" t="e">
        <f t="shared" si="77"/>
        <v>#DIV/0!</v>
      </c>
      <c r="AA187" s="144" t="e">
        <f t="shared" si="77"/>
        <v>#DIV/0!</v>
      </c>
      <c r="AB187" s="144" t="e">
        <f t="shared" si="77"/>
        <v>#DIV/0!</v>
      </c>
      <c r="AC187" s="144" t="e">
        <f t="shared" si="77"/>
        <v>#DIV/0!</v>
      </c>
      <c r="AD187" s="144" t="e">
        <f t="shared" si="77"/>
        <v>#DIV/0!</v>
      </c>
      <c r="AE187" s="9" t="e">
        <f t="shared" si="77"/>
        <v>#DIV/0!</v>
      </c>
      <c r="AF187" s="144" t="e">
        <f t="shared" si="77"/>
        <v>#DIV/0!</v>
      </c>
      <c r="AG187" s="144" t="e">
        <f t="shared" si="77"/>
        <v>#DIV/0!</v>
      </c>
      <c r="AH187" s="144" t="e">
        <f t="shared" si="77"/>
        <v>#DIV/0!</v>
      </c>
      <c r="AI187" s="144" t="e">
        <f t="shared" si="77"/>
        <v>#DIV/0!</v>
      </c>
      <c r="AJ187" s="9" t="e">
        <f t="shared" si="77"/>
        <v>#DIV/0!</v>
      </c>
      <c r="AK187" s="144" t="e">
        <f t="shared" si="77"/>
        <v>#DIV/0!</v>
      </c>
      <c r="AL187" s="144" t="e">
        <f t="shared" si="77"/>
        <v>#DIV/0!</v>
      </c>
      <c r="AM187" s="144" t="e">
        <f t="shared" si="77"/>
        <v>#DIV/0!</v>
      </c>
      <c r="AN187" s="144" t="e">
        <f t="shared" si="77"/>
        <v>#DIV/0!</v>
      </c>
      <c r="AO187" s="9" t="e">
        <f t="shared" si="77"/>
        <v>#DIV/0!</v>
      </c>
      <c r="AP187" s="144" t="e">
        <f t="shared" si="77"/>
        <v>#DIV/0!</v>
      </c>
      <c r="AQ187" s="144" t="e">
        <f t="shared" si="77"/>
        <v>#DIV/0!</v>
      </c>
      <c r="AR187" s="144" t="e">
        <f t="shared" si="77"/>
        <v>#DIV/0!</v>
      </c>
      <c r="AS187" s="144" t="e">
        <f t="shared" si="77"/>
        <v>#DIV/0!</v>
      </c>
      <c r="AT187" s="9" t="e">
        <f t="shared" si="77"/>
        <v>#DIV/0!</v>
      </c>
      <c r="AU187" s="144" t="e">
        <f t="shared" si="77"/>
        <v>#DIV/0!</v>
      </c>
      <c r="AV187" s="144" t="e">
        <f t="shared" si="77"/>
        <v>#DIV/0!</v>
      </c>
      <c r="AW187" s="144" t="e">
        <f t="shared" si="77"/>
        <v>#DIV/0!</v>
      </c>
      <c r="AX187" s="144" t="e">
        <f t="shared" si="77"/>
        <v>#DIV/0!</v>
      </c>
      <c r="AY187" s="117" t="e">
        <f t="shared" si="77"/>
        <v>#DIV/0!</v>
      </c>
    </row>
    <row r="188" spans="1:51">
      <c r="A188" s="137" t="s">
        <v>125</v>
      </c>
      <c r="B188" s="117" t="e">
        <f t="shared" si="77"/>
        <v>#DIV/0!</v>
      </c>
      <c r="C188" s="117" t="e">
        <f t="shared" si="77"/>
        <v>#DIV/0!</v>
      </c>
      <c r="D188" s="117" t="e">
        <f t="shared" si="77"/>
        <v>#DIV/0!</v>
      </c>
      <c r="E188" s="117" t="e">
        <f t="shared" si="77"/>
        <v>#DIV/0!</v>
      </c>
      <c r="F188" s="9" t="e">
        <f t="shared" si="77"/>
        <v>#DIV/0!</v>
      </c>
      <c r="G188" s="117" t="e">
        <f t="shared" si="77"/>
        <v>#DIV/0!</v>
      </c>
      <c r="H188" s="117" t="e">
        <f t="shared" si="77"/>
        <v>#DIV/0!</v>
      </c>
      <c r="I188" s="117" t="e">
        <f t="shared" si="77"/>
        <v>#DIV/0!</v>
      </c>
      <c r="J188" s="117" t="e">
        <f t="shared" si="77"/>
        <v>#DIV/0!</v>
      </c>
      <c r="K188" s="9" t="e">
        <f t="shared" si="77"/>
        <v>#DIV/0!</v>
      </c>
      <c r="L188" s="117" t="e">
        <f t="shared" si="77"/>
        <v>#DIV/0!</v>
      </c>
      <c r="M188" s="117" t="e">
        <f t="shared" si="77"/>
        <v>#DIV/0!</v>
      </c>
      <c r="N188" s="117" t="e">
        <f t="shared" si="77"/>
        <v>#DIV/0!</v>
      </c>
      <c r="O188" s="117" t="e">
        <f t="shared" si="77"/>
        <v>#DIV/0!</v>
      </c>
      <c r="P188" s="9" t="e">
        <f t="shared" si="77"/>
        <v>#DIV/0!</v>
      </c>
      <c r="Q188" s="144" t="e">
        <f t="shared" si="77"/>
        <v>#DIV/0!</v>
      </c>
      <c r="R188" s="144" t="e">
        <f t="shared" si="77"/>
        <v>#DIV/0!</v>
      </c>
      <c r="S188" s="144" t="e">
        <f t="shared" si="77"/>
        <v>#DIV/0!</v>
      </c>
      <c r="T188" s="144" t="e">
        <f t="shared" si="77"/>
        <v>#DIV/0!</v>
      </c>
      <c r="U188" s="9" t="e">
        <f t="shared" si="77"/>
        <v>#DIV/0!</v>
      </c>
      <c r="V188" s="144" t="e">
        <f t="shared" si="77"/>
        <v>#DIV/0!</v>
      </c>
      <c r="W188" s="144" t="e">
        <f t="shared" si="77"/>
        <v>#DIV/0!</v>
      </c>
      <c r="X188" s="144" t="e">
        <f t="shared" si="77"/>
        <v>#DIV/0!</v>
      </c>
      <c r="Y188" s="144" t="e">
        <f t="shared" si="77"/>
        <v>#DIV/0!</v>
      </c>
      <c r="Z188" s="9" t="e">
        <f t="shared" si="77"/>
        <v>#DIV/0!</v>
      </c>
      <c r="AA188" s="144" t="e">
        <f t="shared" si="77"/>
        <v>#DIV/0!</v>
      </c>
      <c r="AB188" s="144" t="e">
        <f t="shared" si="77"/>
        <v>#DIV/0!</v>
      </c>
      <c r="AC188" s="144" t="e">
        <f t="shared" si="77"/>
        <v>#DIV/0!</v>
      </c>
      <c r="AD188" s="144" t="e">
        <f t="shared" si="77"/>
        <v>#DIV/0!</v>
      </c>
      <c r="AE188" s="9" t="e">
        <f t="shared" si="77"/>
        <v>#DIV/0!</v>
      </c>
      <c r="AF188" s="144" t="e">
        <f t="shared" si="77"/>
        <v>#DIV/0!</v>
      </c>
      <c r="AG188" s="144" t="e">
        <f t="shared" si="77"/>
        <v>#DIV/0!</v>
      </c>
      <c r="AH188" s="144" t="e">
        <f t="shared" si="77"/>
        <v>#DIV/0!</v>
      </c>
      <c r="AI188" s="144" t="e">
        <f t="shared" si="77"/>
        <v>#DIV/0!</v>
      </c>
      <c r="AJ188" s="9" t="e">
        <f t="shared" si="77"/>
        <v>#DIV/0!</v>
      </c>
      <c r="AK188" s="144" t="e">
        <f t="shared" si="77"/>
        <v>#DIV/0!</v>
      </c>
      <c r="AL188" s="144" t="e">
        <f t="shared" si="77"/>
        <v>#DIV/0!</v>
      </c>
      <c r="AM188" s="144" t="e">
        <f t="shared" si="77"/>
        <v>#DIV/0!</v>
      </c>
      <c r="AN188" s="144" t="e">
        <f t="shared" si="77"/>
        <v>#DIV/0!</v>
      </c>
      <c r="AO188" s="9" t="e">
        <f t="shared" si="77"/>
        <v>#DIV/0!</v>
      </c>
      <c r="AP188" s="144" t="e">
        <f t="shared" si="77"/>
        <v>#DIV/0!</v>
      </c>
      <c r="AQ188" s="144" t="e">
        <f t="shared" si="77"/>
        <v>#DIV/0!</v>
      </c>
      <c r="AR188" s="144" t="e">
        <f t="shared" si="77"/>
        <v>#DIV/0!</v>
      </c>
      <c r="AS188" s="144" t="e">
        <f t="shared" si="77"/>
        <v>#DIV/0!</v>
      </c>
      <c r="AT188" s="9" t="e">
        <f t="shared" si="77"/>
        <v>#DIV/0!</v>
      </c>
      <c r="AU188" s="144" t="e">
        <f t="shared" si="77"/>
        <v>#DIV/0!</v>
      </c>
      <c r="AV188" s="144" t="e">
        <f t="shared" si="77"/>
        <v>#DIV/0!</v>
      </c>
      <c r="AW188" s="144" t="e">
        <f t="shared" si="77"/>
        <v>#DIV/0!</v>
      </c>
      <c r="AX188" s="144" t="e">
        <f t="shared" si="77"/>
        <v>#DIV/0!</v>
      </c>
      <c r="AY188" s="117" t="e">
        <f t="shared" si="77"/>
        <v>#DIV/0!</v>
      </c>
    </row>
    <row r="189" spans="1:51">
      <c r="A189" s="137" t="s">
        <v>127</v>
      </c>
      <c r="B189" s="117" t="e">
        <f t="shared" ref="B189:AY192" si="78">B51/B$137</f>
        <v>#DIV/0!</v>
      </c>
      <c r="C189" s="117" t="e">
        <f t="shared" si="78"/>
        <v>#DIV/0!</v>
      </c>
      <c r="D189" s="117" t="e">
        <f t="shared" si="78"/>
        <v>#DIV/0!</v>
      </c>
      <c r="E189" s="117" t="e">
        <f t="shared" si="78"/>
        <v>#DIV/0!</v>
      </c>
      <c r="F189" s="9" t="e">
        <f t="shared" si="78"/>
        <v>#DIV/0!</v>
      </c>
      <c r="G189" s="117" t="e">
        <f t="shared" si="78"/>
        <v>#DIV/0!</v>
      </c>
      <c r="H189" s="117" t="e">
        <f t="shared" si="78"/>
        <v>#DIV/0!</v>
      </c>
      <c r="I189" s="117" t="e">
        <f t="shared" si="78"/>
        <v>#DIV/0!</v>
      </c>
      <c r="J189" s="117" t="e">
        <f t="shared" si="78"/>
        <v>#DIV/0!</v>
      </c>
      <c r="K189" s="9" t="e">
        <f t="shared" si="78"/>
        <v>#DIV/0!</v>
      </c>
      <c r="L189" s="117" t="e">
        <f t="shared" si="78"/>
        <v>#DIV/0!</v>
      </c>
      <c r="M189" s="117" t="e">
        <f t="shared" si="78"/>
        <v>#DIV/0!</v>
      </c>
      <c r="N189" s="117" t="e">
        <f t="shared" si="78"/>
        <v>#DIV/0!</v>
      </c>
      <c r="O189" s="117" t="e">
        <f t="shared" si="78"/>
        <v>#DIV/0!</v>
      </c>
      <c r="P189" s="9" t="e">
        <f t="shared" si="78"/>
        <v>#DIV/0!</v>
      </c>
      <c r="Q189" s="144" t="e">
        <f t="shared" si="78"/>
        <v>#DIV/0!</v>
      </c>
      <c r="R189" s="144" t="e">
        <f t="shared" si="78"/>
        <v>#DIV/0!</v>
      </c>
      <c r="S189" s="144" t="e">
        <f t="shared" si="78"/>
        <v>#DIV/0!</v>
      </c>
      <c r="T189" s="144" t="e">
        <f t="shared" si="78"/>
        <v>#DIV/0!</v>
      </c>
      <c r="U189" s="9" t="e">
        <f t="shared" si="78"/>
        <v>#DIV/0!</v>
      </c>
      <c r="V189" s="144" t="e">
        <f t="shared" si="78"/>
        <v>#DIV/0!</v>
      </c>
      <c r="W189" s="144" t="e">
        <f t="shared" si="78"/>
        <v>#DIV/0!</v>
      </c>
      <c r="X189" s="144" t="e">
        <f t="shared" si="78"/>
        <v>#DIV/0!</v>
      </c>
      <c r="Y189" s="144" t="e">
        <f t="shared" si="78"/>
        <v>#DIV/0!</v>
      </c>
      <c r="Z189" s="9" t="e">
        <f t="shared" si="78"/>
        <v>#DIV/0!</v>
      </c>
      <c r="AA189" s="144" t="e">
        <f t="shared" si="78"/>
        <v>#DIV/0!</v>
      </c>
      <c r="AB189" s="144" t="e">
        <f t="shared" si="78"/>
        <v>#DIV/0!</v>
      </c>
      <c r="AC189" s="144" t="e">
        <f t="shared" si="78"/>
        <v>#DIV/0!</v>
      </c>
      <c r="AD189" s="144" t="e">
        <f t="shared" si="78"/>
        <v>#DIV/0!</v>
      </c>
      <c r="AE189" s="9" t="e">
        <f t="shared" si="78"/>
        <v>#DIV/0!</v>
      </c>
      <c r="AF189" s="144" t="e">
        <f t="shared" si="78"/>
        <v>#DIV/0!</v>
      </c>
      <c r="AG189" s="144" t="e">
        <f t="shared" si="78"/>
        <v>#DIV/0!</v>
      </c>
      <c r="AH189" s="144" t="e">
        <f t="shared" si="78"/>
        <v>#DIV/0!</v>
      </c>
      <c r="AI189" s="144" t="e">
        <f t="shared" si="78"/>
        <v>#DIV/0!</v>
      </c>
      <c r="AJ189" s="9" t="e">
        <f t="shared" si="78"/>
        <v>#DIV/0!</v>
      </c>
      <c r="AK189" s="144" t="e">
        <f t="shared" si="78"/>
        <v>#DIV/0!</v>
      </c>
      <c r="AL189" s="144" t="e">
        <f t="shared" si="78"/>
        <v>#DIV/0!</v>
      </c>
      <c r="AM189" s="144" t="e">
        <f t="shared" si="78"/>
        <v>#DIV/0!</v>
      </c>
      <c r="AN189" s="144" t="e">
        <f t="shared" si="78"/>
        <v>#DIV/0!</v>
      </c>
      <c r="AO189" s="9" t="e">
        <f t="shared" si="78"/>
        <v>#DIV/0!</v>
      </c>
      <c r="AP189" s="144" t="e">
        <f t="shared" si="78"/>
        <v>#DIV/0!</v>
      </c>
      <c r="AQ189" s="144" t="e">
        <f t="shared" si="78"/>
        <v>#DIV/0!</v>
      </c>
      <c r="AR189" s="144" t="e">
        <f t="shared" si="78"/>
        <v>#DIV/0!</v>
      </c>
      <c r="AS189" s="144" t="e">
        <f t="shared" si="78"/>
        <v>#DIV/0!</v>
      </c>
      <c r="AT189" s="9" t="e">
        <f t="shared" si="78"/>
        <v>#DIV/0!</v>
      </c>
      <c r="AU189" s="144" t="e">
        <f t="shared" si="78"/>
        <v>#DIV/0!</v>
      </c>
      <c r="AV189" s="144" t="e">
        <f t="shared" si="78"/>
        <v>#DIV/0!</v>
      </c>
      <c r="AW189" s="144" t="e">
        <f t="shared" si="78"/>
        <v>#DIV/0!</v>
      </c>
      <c r="AX189" s="144" t="e">
        <f t="shared" si="78"/>
        <v>#DIV/0!</v>
      </c>
      <c r="AY189" s="117" t="e">
        <f t="shared" si="78"/>
        <v>#DIV/0!</v>
      </c>
    </row>
    <row r="190" spans="1:51">
      <c r="A190" s="137" t="s">
        <v>129</v>
      </c>
      <c r="B190" s="117" t="e">
        <f t="shared" si="78"/>
        <v>#DIV/0!</v>
      </c>
      <c r="C190" s="117" t="e">
        <f t="shared" si="78"/>
        <v>#DIV/0!</v>
      </c>
      <c r="D190" s="117" t="e">
        <f t="shared" si="78"/>
        <v>#DIV/0!</v>
      </c>
      <c r="E190" s="117" t="e">
        <f t="shared" si="78"/>
        <v>#DIV/0!</v>
      </c>
      <c r="F190" s="9" t="e">
        <f t="shared" si="78"/>
        <v>#DIV/0!</v>
      </c>
      <c r="G190" s="117" t="e">
        <f t="shared" si="78"/>
        <v>#DIV/0!</v>
      </c>
      <c r="H190" s="117" t="e">
        <f t="shared" si="78"/>
        <v>#DIV/0!</v>
      </c>
      <c r="I190" s="117" t="e">
        <f t="shared" si="78"/>
        <v>#DIV/0!</v>
      </c>
      <c r="J190" s="117" t="e">
        <f t="shared" si="78"/>
        <v>#DIV/0!</v>
      </c>
      <c r="K190" s="9" t="e">
        <f t="shared" si="78"/>
        <v>#DIV/0!</v>
      </c>
      <c r="L190" s="117" t="e">
        <f t="shared" si="78"/>
        <v>#DIV/0!</v>
      </c>
      <c r="M190" s="117" t="e">
        <f t="shared" si="78"/>
        <v>#DIV/0!</v>
      </c>
      <c r="N190" s="117" t="e">
        <f t="shared" si="78"/>
        <v>#DIV/0!</v>
      </c>
      <c r="O190" s="117" t="e">
        <f t="shared" si="78"/>
        <v>#DIV/0!</v>
      </c>
      <c r="P190" s="9" t="e">
        <f t="shared" si="78"/>
        <v>#DIV/0!</v>
      </c>
      <c r="Q190" s="144" t="e">
        <f t="shared" si="78"/>
        <v>#DIV/0!</v>
      </c>
      <c r="R190" s="144" t="e">
        <f t="shared" si="78"/>
        <v>#DIV/0!</v>
      </c>
      <c r="S190" s="144" t="e">
        <f t="shared" si="78"/>
        <v>#DIV/0!</v>
      </c>
      <c r="T190" s="144" t="e">
        <f t="shared" si="78"/>
        <v>#DIV/0!</v>
      </c>
      <c r="U190" s="9" t="e">
        <f t="shared" si="78"/>
        <v>#DIV/0!</v>
      </c>
      <c r="V190" s="144" t="e">
        <f t="shared" si="78"/>
        <v>#DIV/0!</v>
      </c>
      <c r="W190" s="144" t="e">
        <f t="shared" si="78"/>
        <v>#DIV/0!</v>
      </c>
      <c r="X190" s="144" t="e">
        <f t="shared" si="78"/>
        <v>#DIV/0!</v>
      </c>
      <c r="Y190" s="144" t="e">
        <f t="shared" si="78"/>
        <v>#DIV/0!</v>
      </c>
      <c r="Z190" s="9" t="e">
        <f t="shared" si="78"/>
        <v>#DIV/0!</v>
      </c>
      <c r="AA190" s="144" t="e">
        <f t="shared" si="78"/>
        <v>#DIV/0!</v>
      </c>
      <c r="AB190" s="144" t="e">
        <f t="shared" si="78"/>
        <v>#DIV/0!</v>
      </c>
      <c r="AC190" s="144" t="e">
        <f t="shared" si="78"/>
        <v>#DIV/0!</v>
      </c>
      <c r="AD190" s="144" t="e">
        <f t="shared" si="78"/>
        <v>#DIV/0!</v>
      </c>
      <c r="AE190" s="9" t="e">
        <f t="shared" si="78"/>
        <v>#DIV/0!</v>
      </c>
      <c r="AF190" s="144" t="e">
        <f t="shared" si="78"/>
        <v>#DIV/0!</v>
      </c>
      <c r="AG190" s="144" t="e">
        <f t="shared" si="78"/>
        <v>#DIV/0!</v>
      </c>
      <c r="AH190" s="144" t="e">
        <f t="shared" si="78"/>
        <v>#DIV/0!</v>
      </c>
      <c r="AI190" s="144" t="e">
        <f t="shared" si="78"/>
        <v>#DIV/0!</v>
      </c>
      <c r="AJ190" s="9" t="e">
        <f t="shared" si="78"/>
        <v>#DIV/0!</v>
      </c>
      <c r="AK190" s="144" t="e">
        <f t="shared" si="78"/>
        <v>#DIV/0!</v>
      </c>
      <c r="AL190" s="144" t="e">
        <f t="shared" si="78"/>
        <v>#DIV/0!</v>
      </c>
      <c r="AM190" s="144" t="e">
        <f t="shared" si="78"/>
        <v>#DIV/0!</v>
      </c>
      <c r="AN190" s="144" t="e">
        <f t="shared" si="78"/>
        <v>#DIV/0!</v>
      </c>
      <c r="AO190" s="9" t="e">
        <f t="shared" si="78"/>
        <v>#DIV/0!</v>
      </c>
      <c r="AP190" s="144" t="e">
        <f t="shared" si="78"/>
        <v>#DIV/0!</v>
      </c>
      <c r="AQ190" s="144" t="e">
        <f t="shared" si="78"/>
        <v>#DIV/0!</v>
      </c>
      <c r="AR190" s="144" t="e">
        <f t="shared" si="78"/>
        <v>#DIV/0!</v>
      </c>
      <c r="AS190" s="144" t="e">
        <f t="shared" si="78"/>
        <v>#DIV/0!</v>
      </c>
      <c r="AT190" s="9" t="e">
        <f t="shared" si="78"/>
        <v>#DIV/0!</v>
      </c>
      <c r="AU190" s="144" t="e">
        <f t="shared" si="78"/>
        <v>#DIV/0!</v>
      </c>
      <c r="AV190" s="144" t="e">
        <f t="shared" si="78"/>
        <v>#DIV/0!</v>
      </c>
      <c r="AW190" s="144" t="e">
        <f t="shared" si="78"/>
        <v>#DIV/0!</v>
      </c>
      <c r="AX190" s="144" t="e">
        <f t="shared" si="78"/>
        <v>#DIV/0!</v>
      </c>
      <c r="AY190" s="117" t="e">
        <f t="shared" si="78"/>
        <v>#DIV/0!</v>
      </c>
    </row>
    <row r="191" spans="1:51">
      <c r="A191" s="137" t="s">
        <v>131</v>
      </c>
      <c r="B191" s="117" t="e">
        <f t="shared" si="78"/>
        <v>#DIV/0!</v>
      </c>
      <c r="C191" s="117" t="e">
        <f t="shared" si="78"/>
        <v>#DIV/0!</v>
      </c>
      <c r="D191" s="117" t="e">
        <f t="shared" si="78"/>
        <v>#DIV/0!</v>
      </c>
      <c r="E191" s="117" t="e">
        <f t="shared" si="78"/>
        <v>#DIV/0!</v>
      </c>
      <c r="F191" s="9" t="e">
        <f t="shared" si="78"/>
        <v>#DIV/0!</v>
      </c>
      <c r="G191" s="117" t="e">
        <f t="shared" si="78"/>
        <v>#DIV/0!</v>
      </c>
      <c r="H191" s="117" t="e">
        <f t="shared" si="78"/>
        <v>#DIV/0!</v>
      </c>
      <c r="I191" s="117" t="e">
        <f t="shared" si="78"/>
        <v>#DIV/0!</v>
      </c>
      <c r="J191" s="117" t="e">
        <f t="shared" si="78"/>
        <v>#DIV/0!</v>
      </c>
      <c r="K191" s="9" t="e">
        <f t="shared" si="78"/>
        <v>#DIV/0!</v>
      </c>
      <c r="L191" s="117" t="e">
        <f t="shared" si="78"/>
        <v>#DIV/0!</v>
      </c>
      <c r="M191" s="117" t="e">
        <f t="shared" si="78"/>
        <v>#DIV/0!</v>
      </c>
      <c r="N191" s="117" t="e">
        <f t="shared" si="78"/>
        <v>#DIV/0!</v>
      </c>
      <c r="O191" s="117" t="e">
        <f t="shared" si="78"/>
        <v>#DIV/0!</v>
      </c>
      <c r="P191" s="9" t="e">
        <f t="shared" si="78"/>
        <v>#DIV/0!</v>
      </c>
      <c r="Q191" s="144" t="e">
        <f t="shared" si="78"/>
        <v>#DIV/0!</v>
      </c>
      <c r="R191" s="144" t="e">
        <f t="shared" si="78"/>
        <v>#DIV/0!</v>
      </c>
      <c r="S191" s="144" t="e">
        <f t="shared" si="78"/>
        <v>#DIV/0!</v>
      </c>
      <c r="T191" s="144" t="e">
        <f t="shared" si="78"/>
        <v>#DIV/0!</v>
      </c>
      <c r="U191" s="9" t="e">
        <f t="shared" si="78"/>
        <v>#DIV/0!</v>
      </c>
      <c r="V191" s="144" t="e">
        <f t="shared" si="78"/>
        <v>#DIV/0!</v>
      </c>
      <c r="W191" s="144" t="e">
        <f t="shared" si="78"/>
        <v>#DIV/0!</v>
      </c>
      <c r="X191" s="144" t="e">
        <f t="shared" si="78"/>
        <v>#DIV/0!</v>
      </c>
      <c r="Y191" s="144" t="e">
        <f t="shared" si="78"/>
        <v>#DIV/0!</v>
      </c>
      <c r="Z191" s="9" t="e">
        <f t="shared" si="78"/>
        <v>#DIV/0!</v>
      </c>
      <c r="AA191" s="144" t="e">
        <f t="shared" si="78"/>
        <v>#DIV/0!</v>
      </c>
      <c r="AB191" s="144" t="e">
        <f t="shared" si="78"/>
        <v>#DIV/0!</v>
      </c>
      <c r="AC191" s="144" t="e">
        <f t="shared" si="78"/>
        <v>#DIV/0!</v>
      </c>
      <c r="AD191" s="144" t="e">
        <f t="shared" si="78"/>
        <v>#DIV/0!</v>
      </c>
      <c r="AE191" s="9" t="e">
        <f t="shared" si="78"/>
        <v>#DIV/0!</v>
      </c>
      <c r="AF191" s="144" t="e">
        <f t="shared" si="78"/>
        <v>#DIV/0!</v>
      </c>
      <c r="AG191" s="144" t="e">
        <f t="shared" si="78"/>
        <v>#DIV/0!</v>
      </c>
      <c r="AH191" s="144" t="e">
        <f t="shared" si="78"/>
        <v>#DIV/0!</v>
      </c>
      <c r="AI191" s="144" t="e">
        <f t="shared" si="78"/>
        <v>#DIV/0!</v>
      </c>
      <c r="AJ191" s="9" t="e">
        <f t="shared" si="78"/>
        <v>#DIV/0!</v>
      </c>
      <c r="AK191" s="144" t="e">
        <f t="shared" si="78"/>
        <v>#DIV/0!</v>
      </c>
      <c r="AL191" s="144" t="e">
        <f t="shared" si="78"/>
        <v>#DIV/0!</v>
      </c>
      <c r="AM191" s="144" t="e">
        <f t="shared" si="78"/>
        <v>#DIV/0!</v>
      </c>
      <c r="AN191" s="144" t="e">
        <f t="shared" si="78"/>
        <v>#DIV/0!</v>
      </c>
      <c r="AO191" s="9" t="e">
        <f t="shared" si="78"/>
        <v>#DIV/0!</v>
      </c>
      <c r="AP191" s="144" t="e">
        <f t="shared" si="78"/>
        <v>#DIV/0!</v>
      </c>
      <c r="AQ191" s="144" t="e">
        <f t="shared" si="78"/>
        <v>#DIV/0!</v>
      </c>
      <c r="AR191" s="144" t="e">
        <f t="shared" si="78"/>
        <v>#DIV/0!</v>
      </c>
      <c r="AS191" s="144" t="e">
        <f t="shared" si="78"/>
        <v>#DIV/0!</v>
      </c>
      <c r="AT191" s="9" t="e">
        <f t="shared" si="78"/>
        <v>#DIV/0!</v>
      </c>
      <c r="AU191" s="144" t="e">
        <f t="shared" si="78"/>
        <v>#DIV/0!</v>
      </c>
      <c r="AV191" s="144" t="e">
        <f t="shared" si="78"/>
        <v>#DIV/0!</v>
      </c>
      <c r="AW191" s="144" t="e">
        <f t="shared" si="78"/>
        <v>#DIV/0!</v>
      </c>
      <c r="AX191" s="144" t="e">
        <f t="shared" si="78"/>
        <v>#DIV/0!</v>
      </c>
      <c r="AY191" s="117" t="e">
        <f t="shared" si="78"/>
        <v>#DIV/0!</v>
      </c>
    </row>
    <row r="192" spans="1:51">
      <c r="A192" s="137" t="s">
        <v>133</v>
      </c>
      <c r="B192" s="117" t="e">
        <f t="shared" si="78"/>
        <v>#DIV/0!</v>
      </c>
      <c r="C192" s="117" t="e">
        <f t="shared" si="78"/>
        <v>#DIV/0!</v>
      </c>
      <c r="D192" s="117" t="e">
        <f t="shared" si="78"/>
        <v>#DIV/0!</v>
      </c>
      <c r="E192" s="117" t="e">
        <f t="shared" si="78"/>
        <v>#DIV/0!</v>
      </c>
      <c r="F192" s="9" t="e">
        <f t="shared" si="78"/>
        <v>#DIV/0!</v>
      </c>
      <c r="G192" s="117" t="e">
        <f t="shared" si="78"/>
        <v>#DIV/0!</v>
      </c>
      <c r="H192" s="117" t="e">
        <f t="shared" si="78"/>
        <v>#DIV/0!</v>
      </c>
      <c r="I192" s="117" t="e">
        <f t="shared" si="78"/>
        <v>#DIV/0!</v>
      </c>
      <c r="J192" s="117" t="e">
        <f t="shared" si="78"/>
        <v>#DIV/0!</v>
      </c>
      <c r="K192" s="9" t="e">
        <f t="shared" si="78"/>
        <v>#DIV/0!</v>
      </c>
      <c r="L192" s="117" t="e">
        <f t="shared" si="78"/>
        <v>#DIV/0!</v>
      </c>
      <c r="M192" s="117" t="e">
        <f t="shared" si="78"/>
        <v>#DIV/0!</v>
      </c>
      <c r="N192" s="117" t="e">
        <f t="shared" si="78"/>
        <v>#DIV/0!</v>
      </c>
      <c r="O192" s="117" t="e">
        <f t="shared" si="78"/>
        <v>#DIV/0!</v>
      </c>
      <c r="P192" s="9" t="e">
        <f t="shared" si="78"/>
        <v>#DIV/0!</v>
      </c>
      <c r="Q192" s="144" t="e">
        <f t="shared" si="78"/>
        <v>#DIV/0!</v>
      </c>
      <c r="R192" s="144" t="e">
        <f t="shared" si="78"/>
        <v>#DIV/0!</v>
      </c>
      <c r="S192" s="144" t="e">
        <f t="shared" si="78"/>
        <v>#DIV/0!</v>
      </c>
      <c r="T192" s="144" t="e">
        <f t="shared" si="78"/>
        <v>#DIV/0!</v>
      </c>
      <c r="U192" s="9" t="e">
        <f t="shared" si="78"/>
        <v>#DIV/0!</v>
      </c>
      <c r="V192" s="144" t="e">
        <f t="shared" si="78"/>
        <v>#DIV/0!</v>
      </c>
      <c r="W192" s="144" t="e">
        <f t="shared" si="78"/>
        <v>#DIV/0!</v>
      </c>
      <c r="X192" s="144" t="e">
        <f t="shared" si="78"/>
        <v>#DIV/0!</v>
      </c>
      <c r="Y192" s="144" t="e">
        <f t="shared" si="78"/>
        <v>#DIV/0!</v>
      </c>
      <c r="Z192" s="9" t="e">
        <f t="shared" si="78"/>
        <v>#DIV/0!</v>
      </c>
      <c r="AA192" s="144" t="e">
        <f t="shared" si="78"/>
        <v>#DIV/0!</v>
      </c>
      <c r="AB192" s="144" t="e">
        <f t="shared" si="78"/>
        <v>#DIV/0!</v>
      </c>
      <c r="AC192" s="144" t="e">
        <f t="shared" si="78"/>
        <v>#DIV/0!</v>
      </c>
      <c r="AD192" s="144" t="e">
        <f t="shared" si="78"/>
        <v>#DIV/0!</v>
      </c>
      <c r="AE192" s="9" t="e">
        <f t="shared" si="78"/>
        <v>#DIV/0!</v>
      </c>
      <c r="AF192" s="144" t="e">
        <f t="shared" si="78"/>
        <v>#DIV/0!</v>
      </c>
      <c r="AG192" s="144" t="e">
        <f t="shared" si="78"/>
        <v>#DIV/0!</v>
      </c>
      <c r="AH192" s="144" t="e">
        <f t="shared" si="78"/>
        <v>#DIV/0!</v>
      </c>
      <c r="AI192" s="144" t="e">
        <f t="shared" si="78"/>
        <v>#DIV/0!</v>
      </c>
      <c r="AJ192" s="9" t="e">
        <f t="shared" si="78"/>
        <v>#DIV/0!</v>
      </c>
      <c r="AK192" s="144" t="e">
        <f t="shared" si="78"/>
        <v>#DIV/0!</v>
      </c>
      <c r="AL192" s="144" t="e">
        <f t="shared" si="78"/>
        <v>#DIV/0!</v>
      </c>
      <c r="AM192" s="144" t="e">
        <f t="shared" si="78"/>
        <v>#DIV/0!</v>
      </c>
      <c r="AN192" s="144" t="e">
        <f t="shared" si="78"/>
        <v>#DIV/0!</v>
      </c>
      <c r="AO192" s="9" t="e">
        <f t="shared" si="78"/>
        <v>#DIV/0!</v>
      </c>
      <c r="AP192" s="144" t="e">
        <f t="shared" si="78"/>
        <v>#DIV/0!</v>
      </c>
      <c r="AQ192" s="144" t="e">
        <f t="shared" si="78"/>
        <v>#DIV/0!</v>
      </c>
      <c r="AR192" s="144" t="e">
        <f t="shared" si="78"/>
        <v>#DIV/0!</v>
      </c>
      <c r="AS192" s="144" t="e">
        <f t="shared" si="78"/>
        <v>#DIV/0!</v>
      </c>
      <c r="AT192" s="9" t="e">
        <f t="shared" si="78"/>
        <v>#DIV/0!</v>
      </c>
      <c r="AU192" s="144" t="e">
        <f t="shared" si="78"/>
        <v>#DIV/0!</v>
      </c>
      <c r="AV192" s="144" t="e">
        <f t="shared" si="78"/>
        <v>#DIV/0!</v>
      </c>
      <c r="AW192" s="144" t="e">
        <f t="shared" si="78"/>
        <v>#DIV/0!</v>
      </c>
      <c r="AX192" s="144" t="e">
        <f t="shared" si="78"/>
        <v>#DIV/0!</v>
      </c>
      <c r="AY192" s="117" t="e">
        <f t="shared" si="78"/>
        <v>#DIV/0!</v>
      </c>
    </row>
    <row r="193" spans="1:51">
      <c r="A193" s="137" t="s">
        <v>135</v>
      </c>
      <c r="B193" s="117" t="e">
        <f t="shared" ref="B193:AY196" si="79">B55/B$137</f>
        <v>#DIV/0!</v>
      </c>
      <c r="C193" s="117" t="e">
        <f t="shared" si="79"/>
        <v>#DIV/0!</v>
      </c>
      <c r="D193" s="117" t="e">
        <f t="shared" si="79"/>
        <v>#DIV/0!</v>
      </c>
      <c r="E193" s="117" t="e">
        <f t="shared" si="79"/>
        <v>#DIV/0!</v>
      </c>
      <c r="F193" s="9" t="e">
        <f t="shared" si="79"/>
        <v>#DIV/0!</v>
      </c>
      <c r="G193" s="117" t="e">
        <f t="shared" si="79"/>
        <v>#DIV/0!</v>
      </c>
      <c r="H193" s="117" t="e">
        <f t="shared" si="79"/>
        <v>#DIV/0!</v>
      </c>
      <c r="I193" s="117" t="e">
        <f t="shared" si="79"/>
        <v>#DIV/0!</v>
      </c>
      <c r="J193" s="117" t="e">
        <f t="shared" si="79"/>
        <v>#DIV/0!</v>
      </c>
      <c r="K193" s="9" t="e">
        <f t="shared" si="79"/>
        <v>#DIV/0!</v>
      </c>
      <c r="L193" s="117" t="e">
        <f t="shared" si="79"/>
        <v>#DIV/0!</v>
      </c>
      <c r="M193" s="117" t="e">
        <f t="shared" si="79"/>
        <v>#DIV/0!</v>
      </c>
      <c r="N193" s="117" t="e">
        <f t="shared" si="79"/>
        <v>#DIV/0!</v>
      </c>
      <c r="O193" s="117" t="e">
        <f t="shared" si="79"/>
        <v>#DIV/0!</v>
      </c>
      <c r="P193" s="9" t="e">
        <f t="shared" si="79"/>
        <v>#DIV/0!</v>
      </c>
      <c r="Q193" s="144" t="e">
        <f t="shared" si="79"/>
        <v>#DIV/0!</v>
      </c>
      <c r="R193" s="144" t="e">
        <f t="shared" si="79"/>
        <v>#DIV/0!</v>
      </c>
      <c r="S193" s="144" t="e">
        <f t="shared" si="79"/>
        <v>#DIV/0!</v>
      </c>
      <c r="T193" s="144" t="e">
        <f t="shared" si="79"/>
        <v>#DIV/0!</v>
      </c>
      <c r="U193" s="9" t="e">
        <f t="shared" si="79"/>
        <v>#DIV/0!</v>
      </c>
      <c r="V193" s="144" t="e">
        <f t="shared" si="79"/>
        <v>#DIV/0!</v>
      </c>
      <c r="W193" s="144" t="e">
        <f t="shared" si="79"/>
        <v>#DIV/0!</v>
      </c>
      <c r="X193" s="144" t="e">
        <f t="shared" si="79"/>
        <v>#DIV/0!</v>
      </c>
      <c r="Y193" s="144" t="e">
        <f t="shared" si="79"/>
        <v>#DIV/0!</v>
      </c>
      <c r="Z193" s="9" t="e">
        <f t="shared" si="79"/>
        <v>#DIV/0!</v>
      </c>
      <c r="AA193" s="144" t="e">
        <f t="shared" si="79"/>
        <v>#DIV/0!</v>
      </c>
      <c r="AB193" s="144" t="e">
        <f t="shared" si="79"/>
        <v>#DIV/0!</v>
      </c>
      <c r="AC193" s="144" t="e">
        <f t="shared" si="79"/>
        <v>#DIV/0!</v>
      </c>
      <c r="AD193" s="144" t="e">
        <f t="shared" si="79"/>
        <v>#DIV/0!</v>
      </c>
      <c r="AE193" s="9" t="e">
        <f t="shared" si="79"/>
        <v>#DIV/0!</v>
      </c>
      <c r="AF193" s="144" t="e">
        <f t="shared" si="79"/>
        <v>#DIV/0!</v>
      </c>
      <c r="AG193" s="144" t="e">
        <f t="shared" si="79"/>
        <v>#DIV/0!</v>
      </c>
      <c r="AH193" s="144" t="e">
        <f t="shared" si="79"/>
        <v>#DIV/0!</v>
      </c>
      <c r="AI193" s="144" t="e">
        <f t="shared" si="79"/>
        <v>#DIV/0!</v>
      </c>
      <c r="AJ193" s="9" t="e">
        <f t="shared" si="79"/>
        <v>#DIV/0!</v>
      </c>
      <c r="AK193" s="144" t="e">
        <f t="shared" si="79"/>
        <v>#DIV/0!</v>
      </c>
      <c r="AL193" s="144" t="e">
        <f t="shared" si="79"/>
        <v>#DIV/0!</v>
      </c>
      <c r="AM193" s="144" t="e">
        <f t="shared" si="79"/>
        <v>#DIV/0!</v>
      </c>
      <c r="AN193" s="144" t="e">
        <f t="shared" si="79"/>
        <v>#DIV/0!</v>
      </c>
      <c r="AO193" s="9" t="e">
        <f t="shared" si="79"/>
        <v>#DIV/0!</v>
      </c>
      <c r="AP193" s="144" t="e">
        <f t="shared" si="79"/>
        <v>#DIV/0!</v>
      </c>
      <c r="AQ193" s="144" t="e">
        <f t="shared" si="79"/>
        <v>#DIV/0!</v>
      </c>
      <c r="AR193" s="144" t="e">
        <f t="shared" si="79"/>
        <v>#DIV/0!</v>
      </c>
      <c r="AS193" s="144" t="e">
        <f t="shared" si="79"/>
        <v>#DIV/0!</v>
      </c>
      <c r="AT193" s="9" t="e">
        <f t="shared" si="79"/>
        <v>#DIV/0!</v>
      </c>
      <c r="AU193" s="144" t="e">
        <f t="shared" si="79"/>
        <v>#DIV/0!</v>
      </c>
      <c r="AV193" s="144" t="e">
        <f t="shared" si="79"/>
        <v>#DIV/0!</v>
      </c>
      <c r="AW193" s="144" t="e">
        <f t="shared" si="79"/>
        <v>#DIV/0!</v>
      </c>
      <c r="AX193" s="144" t="e">
        <f t="shared" si="79"/>
        <v>#DIV/0!</v>
      </c>
      <c r="AY193" s="117" t="e">
        <f t="shared" si="79"/>
        <v>#DIV/0!</v>
      </c>
    </row>
    <row r="194" spans="1:51">
      <c r="A194" s="137" t="s">
        <v>137</v>
      </c>
      <c r="B194" s="117" t="e">
        <f t="shared" si="79"/>
        <v>#DIV/0!</v>
      </c>
      <c r="C194" s="117" t="e">
        <f t="shared" si="79"/>
        <v>#DIV/0!</v>
      </c>
      <c r="D194" s="117" t="e">
        <f t="shared" si="79"/>
        <v>#DIV/0!</v>
      </c>
      <c r="E194" s="117" t="e">
        <f t="shared" si="79"/>
        <v>#DIV/0!</v>
      </c>
      <c r="F194" s="9" t="e">
        <f t="shared" si="79"/>
        <v>#DIV/0!</v>
      </c>
      <c r="G194" s="117" t="e">
        <f t="shared" si="79"/>
        <v>#DIV/0!</v>
      </c>
      <c r="H194" s="117" t="e">
        <f t="shared" si="79"/>
        <v>#DIV/0!</v>
      </c>
      <c r="I194" s="117" t="e">
        <f t="shared" si="79"/>
        <v>#DIV/0!</v>
      </c>
      <c r="J194" s="117" t="e">
        <f t="shared" si="79"/>
        <v>#DIV/0!</v>
      </c>
      <c r="K194" s="9" t="e">
        <f t="shared" si="79"/>
        <v>#DIV/0!</v>
      </c>
      <c r="L194" s="117" t="e">
        <f t="shared" si="79"/>
        <v>#DIV/0!</v>
      </c>
      <c r="M194" s="117" t="e">
        <f t="shared" si="79"/>
        <v>#DIV/0!</v>
      </c>
      <c r="N194" s="117" t="e">
        <f t="shared" si="79"/>
        <v>#DIV/0!</v>
      </c>
      <c r="O194" s="117" t="e">
        <f t="shared" si="79"/>
        <v>#DIV/0!</v>
      </c>
      <c r="P194" s="9" t="e">
        <f t="shared" si="79"/>
        <v>#DIV/0!</v>
      </c>
      <c r="Q194" s="144" t="e">
        <f t="shared" si="79"/>
        <v>#DIV/0!</v>
      </c>
      <c r="R194" s="144" t="e">
        <f t="shared" si="79"/>
        <v>#DIV/0!</v>
      </c>
      <c r="S194" s="144" t="e">
        <f t="shared" si="79"/>
        <v>#DIV/0!</v>
      </c>
      <c r="T194" s="144" t="e">
        <f t="shared" si="79"/>
        <v>#DIV/0!</v>
      </c>
      <c r="U194" s="9" t="e">
        <f t="shared" si="79"/>
        <v>#DIV/0!</v>
      </c>
      <c r="V194" s="144" t="e">
        <f t="shared" si="79"/>
        <v>#DIV/0!</v>
      </c>
      <c r="W194" s="144" t="e">
        <f t="shared" si="79"/>
        <v>#DIV/0!</v>
      </c>
      <c r="X194" s="144" t="e">
        <f t="shared" si="79"/>
        <v>#DIV/0!</v>
      </c>
      <c r="Y194" s="144" t="e">
        <f t="shared" si="79"/>
        <v>#DIV/0!</v>
      </c>
      <c r="Z194" s="9" t="e">
        <f t="shared" si="79"/>
        <v>#DIV/0!</v>
      </c>
      <c r="AA194" s="144" t="e">
        <f t="shared" si="79"/>
        <v>#DIV/0!</v>
      </c>
      <c r="AB194" s="144" t="e">
        <f t="shared" si="79"/>
        <v>#DIV/0!</v>
      </c>
      <c r="AC194" s="144" t="e">
        <f t="shared" si="79"/>
        <v>#DIV/0!</v>
      </c>
      <c r="AD194" s="144" t="e">
        <f t="shared" si="79"/>
        <v>#DIV/0!</v>
      </c>
      <c r="AE194" s="9" t="e">
        <f t="shared" si="79"/>
        <v>#DIV/0!</v>
      </c>
      <c r="AF194" s="144" t="e">
        <f t="shared" si="79"/>
        <v>#DIV/0!</v>
      </c>
      <c r="AG194" s="144" t="e">
        <f t="shared" si="79"/>
        <v>#DIV/0!</v>
      </c>
      <c r="AH194" s="144" t="e">
        <f t="shared" si="79"/>
        <v>#DIV/0!</v>
      </c>
      <c r="AI194" s="144" t="e">
        <f t="shared" si="79"/>
        <v>#DIV/0!</v>
      </c>
      <c r="AJ194" s="9" t="e">
        <f t="shared" si="79"/>
        <v>#DIV/0!</v>
      </c>
      <c r="AK194" s="144" t="e">
        <f t="shared" si="79"/>
        <v>#DIV/0!</v>
      </c>
      <c r="AL194" s="144" t="e">
        <f t="shared" si="79"/>
        <v>#DIV/0!</v>
      </c>
      <c r="AM194" s="144" t="e">
        <f t="shared" si="79"/>
        <v>#DIV/0!</v>
      </c>
      <c r="AN194" s="144" t="e">
        <f t="shared" si="79"/>
        <v>#DIV/0!</v>
      </c>
      <c r="AO194" s="9" t="e">
        <f t="shared" si="79"/>
        <v>#DIV/0!</v>
      </c>
      <c r="AP194" s="144" t="e">
        <f t="shared" si="79"/>
        <v>#DIV/0!</v>
      </c>
      <c r="AQ194" s="144" t="e">
        <f t="shared" si="79"/>
        <v>#DIV/0!</v>
      </c>
      <c r="AR194" s="144" t="e">
        <f t="shared" si="79"/>
        <v>#DIV/0!</v>
      </c>
      <c r="AS194" s="144" t="e">
        <f t="shared" si="79"/>
        <v>#DIV/0!</v>
      </c>
      <c r="AT194" s="9" t="e">
        <f t="shared" si="79"/>
        <v>#DIV/0!</v>
      </c>
      <c r="AU194" s="144" t="e">
        <f t="shared" si="79"/>
        <v>#DIV/0!</v>
      </c>
      <c r="AV194" s="144" t="e">
        <f t="shared" si="79"/>
        <v>#DIV/0!</v>
      </c>
      <c r="AW194" s="144" t="e">
        <f t="shared" si="79"/>
        <v>#DIV/0!</v>
      </c>
      <c r="AX194" s="144" t="e">
        <f t="shared" si="79"/>
        <v>#DIV/0!</v>
      </c>
      <c r="AY194" s="117" t="e">
        <f t="shared" si="79"/>
        <v>#DIV/0!</v>
      </c>
    </row>
    <row r="195" spans="1:51">
      <c r="A195" s="137" t="s">
        <v>139</v>
      </c>
      <c r="B195" s="117" t="e">
        <f t="shared" si="79"/>
        <v>#DIV/0!</v>
      </c>
      <c r="C195" s="117" t="e">
        <f t="shared" si="79"/>
        <v>#DIV/0!</v>
      </c>
      <c r="D195" s="117" t="e">
        <f t="shared" si="79"/>
        <v>#DIV/0!</v>
      </c>
      <c r="E195" s="117" t="e">
        <f t="shared" si="79"/>
        <v>#DIV/0!</v>
      </c>
      <c r="F195" s="9" t="e">
        <f t="shared" si="79"/>
        <v>#DIV/0!</v>
      </c>
      <c r="G195" s="117" t="e">
        <f t="shared" si="79"/>
        <v>#DIV/0!</v>
      </c>
      <c r="H195" s="117" t="e">
        <f t="shared" si="79"/>
        <v>#DIV/0!</v>
      </c>
      <c r="I195" s="117" t="e">
        <f t="shared" si="79"/>
        <v>#DIV/0!</v>
      </c>
      <c r="J195" s="117" t="e">
        <f t="shared" si="79"/>
        <v>#DIV/0!</v>
      </c>
      <c r="K195" s="9" t="e">
        <f t="shared" si="79"/>
        <v>#DIV/0!</v>
      </c>
      <c r="L195" s="117" t="e">
        <f t="shared" si="79"/>
        <v>#DIV/0!</v>
      </c>
      <c r="M195" s="117" t="e">
        <f t="shared" si="79"/>
        <v>#DIV/0!</v>
      </c>
      <c r="N195" s="117" t="e">
        <f t="shared" si="79"/>
        <v>#DIV/0!</v>
      </c>
      <c r="O195" s="117" t="e">
        <f t="shared" si="79"/>
        <v>#DIV/0!</v>
      </c>
      <c r="P195" s="9" t="e">
        <f t="shared" si="79"/>
        <v>#DIV/0!</v>
      </c>
      <c r="Q195" s="144" t="e">
        <f t="shared" si="79"/>
        <v>#DIV/0!</v>
      </c>
      <c r="R195" s="144" t="e">
        <f t="shared" si="79"/>
        <v>#DIV/0!</v>
      </c>
      <c r="S195" s="144" t="e">
        <f t="shared" si="79"/>
        <v>#DIV/0!</v>
      </c>
      <c r="T195" s="144" t="e">
        <f t="shared" si="79"/>
        <v>#DIV/0!</v>
      </c>
      <c r="U195" s="9" t="e">
        <f t="shared" si="79"/>
        <v>#DIV/0!</v>
      </c>
      <c r="V195" s="144" t="e">
        <f t="shared" si="79"/>
        <v>#DIV/0!</v>
      </c>
      <c r="W195" s="144" t="e">
        <f t="shared" si="79"/>
        <v>#DIV/0!</v>
      </c>
      <c r="X195" s="144" t="e">
        <f t="shared" si="79"/>
        <v>#DIV/0!</v>
      </c>
      <c r="Y195" s="144" t="e">
        <f t="shared" si="79"/>
        <v>#DIV/0!</v>
      </c>
      <c r="Z195" s="9" t="e">
        <f t="shared" si="79"/>
        <v>#DIV/0!</v>
      </c>
      <c r="AA195" s="144" t="e">
        <f t="shared" si="79"/>
        <v>#DIV/0!</v>
      </c>
      <c r="AB195" s="144" t="e">
        <f t="shared" si="79"/>
        <v>#DIV/0!</v>
      </c>
      <c r="AC195" s="144" t="e">
        <f t="shared" si="79"/>
        <v>#DIV/0!</v>
      </c>
      <c r="AD195" s="144" t="e">
        <f t="shared" si="79"/>
        <v>#DIV/0!</v>
      </c>
      <c r="AE195" s="9" t="e">
        <f t="shared" si="79"/>
        <v>#DIV/0!</v>
      </c>
      <c r="AF195" s="144" t="e">
        <f t="shared" si="79"/>
        <v>#DIV/0!</v>
      </c>
      <c r="AG195" s="144" t="e">
        <f t="shared" si="79"/>
        <v>#DIV/0!</v>
      </c>
      <c r="AH195" s="144" t="e">
        <f t="shared" si="79"/>
        <v>#DIV/0!</v>
      </c>
      <c r="AI195" s="144" t="e">
        <f t="shared" si="79"/>
        <v>#DIV/0!</v>
      </c>
      <c r="AJ195" s="9" t="e">
        <f t="shared" si="79"/>
        <v>#DIV/0!</v>
      </c>
      <c r="AK195" s="144" t="e">
        <f t="shared" si="79"/>
        <v>#DIV/0!</v>
      </c>
      <c r="AL195" s="144" t="e">
        <f t="shared" si="79"/>
        <v>#DIV/0!</v>
      </c>
      <c r="AM195" s="144" t="e">
        <f t="shared" si="79"/>
        <v>#DIV/0!</v>
      </c>
      <c r="AN195" s="144" t="e">
        <f t="shared" si="79"/>
        <v>#DIV/0!</v>
      </c>
      <c r="AO195" s="9" t="e">
        <f t="shared" si="79"/>
        <v>#DIV/0!</v>
      </c>
      <c r="AP195" s="144" t="e">
        <f t="shared" si="79"/>
        <v>#DIV/0!</v>
      </c>
      <c r="AQ195" s="144" t="e">
        <f t="shared" si="79"/>
        <v>#DIV/0!</v>
      </c>
      <c r="AR195" s="144" t="e">
        <f t="shared" si="79"/>
        <v>#DIV/0!</v>
      </c>
      <c r="AS195" s="144" t="e">
        <f t="shared" si="79"/>
        <v>#DIV/0!</v>
      </c>
      <c r="AT195" s="9" t="e">
        <f t="shared" si="79"/>
        <v>#DIV/0!</v>
      </c>
      <c r="AU195" s="144" t="e">
        <f t="shared" si="79"/>
        <v>#DIV/0!</v>
      </c>
      <c r="AV195" s="144" t="e">
        <f t="shared" si="79"/>
        <v>#DIV/0!</v>
      </c>
      <c r="AW195" s="144" t="e">
        <f t="shared" si="79"/>
        <v>#DIV/0!</v>
      </c>
      <c r="AX195" s="144" t="e">
        <f t="shared" si="79"/>
        <v>#DIV/0!</v>
      </c>
      <c r="AY195" s="117" t="e">
        <f t="shared" si="79"/>
        <v>#DIV/0!</v>
      </c>
    </row>
    <row r="196" spans="1:51">
      <c r="A196" s="137" t="s">
        <v>141</v>
      </c>
      <c r="B196" s="117" t="e">
        <f t="shared" si="79"/>
        <v>#DIV/0!</v>
      </c>
      <c r="C196" s="117" t="e">
        <f t="shared" si="79"/>
        <v>#DIV/0!</v>
      </c>
      <c r="D196" s="117" t="e">
        <f t="shared" si="79"/>
        <v>#DIV/0!</v>
      </c>
      <c r="E196" s="117" t="e">
        <f t="shared" si="79"/>
        <v>#DIV/0!</v>
      </c>
      <c r="F196" s="9" t="e">
        <f t="shared" si="79"/>
        <v>#DIV/0!</v>
      </c>
      <c r="G196" s="117" t="e">
        <f t="shared" si="79"/>
        <v>#DIV/0!</v>
      </c>
      <c r="H196" s="117" t="e">
        <f t="shared" si="79"/>
        <v>#DIV/0!</v>
      </c>
      <c r="I196" s="117" t="e">
        <f t="shared" si="79"/>
        <v>#DIV/0!</v>
      </c>
      <c r="J196" s="117" t="e">
        <f t="shared" si="79"/>
        <v>#DIV/0!</v>
      </c>
      <c r="K196" s="9" t="e">
        <f t="shared" si="79"/>
        <v>#DIV/0!</v>
      </c>
      <c r="L196" s="117" t="e">
        <f t="shared" si="79"/>
        <v>#DIV/0!</v>
      </c>
      <c r="M196" s="117" t="e">
        <f t="shared" si="79"/>
        <v>#DIV/0!</v>
      </c>
      <c r="N196" s="117" t="e">
        <f t="shared" si="79"/>
        <v>#DIV/0!</v>
      </c>
      <c r="O196" s="117" t="e">
        <f t="shared" si="79"/>
        <v>#DIV/0!</v>
      </c>
      <c r="P196" s="9" t="e">
        <f t="shared" si="79"/>
        <v>#DIV/0!</v>
      </c>
      <c r="Q196" s="144" t="e">
        <f t="shared" si="79"/>
        <v>#DIV/0!</v>
      </c>
      <c r="R196" s="144" t="e">
        <f t="shared" si="79"/>
        <v>#DIV/0!</v>
      </c>
      <c r="S196" s="144" t="e">
        <f t="shared" si="79"/>
        <v>#DIV/0!</v>
      </c>
      <c r="T196" s="144" t="e">
        <f t="shared" si="79"/>
        <v>#DIV/0!</v>
      </c>
      <c r="U196" s="9" t="e">
        <f t="shared" si="79"/>
        <v>#DIV/0!</v>
      </c>
      <c r="V196" s="144" t="e">
        <f t="shared" si="79"/>
        <v>#DIV/0!</v>
      </c>
      <c r="W196" s="144" t="e">
        <f t="shared" si="79"/>
        <v>#DIV/0!</v>
      </c>
      <c r="X196" s="144" t="e">
        <f t="shared" si="79"/>
        <v>#DIV/0!</v>
      </c>
      <c r="Y196" s="144" t="e">
        <f t="shared" si="79"/>
        <v>#DIV/0!</v>
      </c>
      <c r="Z196" s="9" t="e">
        <f t="shared" si="79"/>
        <v>#DIV/0!</v>
      </c>
      <c r="AA196" s="144" t="e">
        <f t="shared" si="79"/>
        <v>#DIV/0!</v>
      </c>
      <c r="AB196" s="144" t="e">
        <f t="shared" si="79"/>
        <v>#DIV/0!</v>
      </c>
      <c r="AC196" s="144" t="e">
        <f t="shared" si="79"/>
        <v>#DIV/0!</v>
      </c>
      <c r="AD196" s="144" t="e">
        <f t="shared" si="79"/>
        <v>#DIV/0!</v>
      </c>
      <c r="AE196" s="9" t="e">
        <f t="shared" si="79"/>
        <v>#DIV/0!</v>
      </c>
      <c r="AF196" s="144" t="e">
        <f t="shared" si="79"/>
        <v>#DIV/0!</v>
      </c>
      <c r="AG196" s="144" t="e">
        <f t="shared" si="79"/>
        <v>#DIV/0!</v>
      </c>
      <c r="AH196" s="144" t="e">
        <f t="shared" si="79"/>
        <v>#DIV/0!</v>
      </c>
      <c r="AI196" s="144" t="e">
        <f t="shared" si="79"/>
        <v>#DIV/0!</v>
      </c>
      <c r="AJ196" s="9" t="e">
        <f t="shared" si="79"/>
        <v>#DIV/0!</v>
      </c>
      <c r="AK196" s="144" t="e">
        <f t="shared" si="79"/>
        <v>#DIV/0!</v>
      </c>
      <c r="AL196" s="144" t="e">
        <f t="shared" si="79"/>
        <v>#DIV/0!</v>
      </c>
      <c r="AM196" s="144" t="e">
        <f t="shared" si="79"/>
        <v>#DIV/0!</v>
      </c>
      <c r="AN196" s="144" t="e">
        <f t="shared" si="79"/>
        <v>#DIV/0!</v>
      </c>
      <c r="AO196" s="9" t="e">
        <f t="shared" si="79"/>
        <v>#DIV/0!</v>
      </c>
      <c r="AP196" s="144" t="e">
        <f t="shared" si="79"/>
        <v>#DIV/0!</v>
      </c>
      <c r="AQ196" s="144" t="e">
        <f t="shared" si="79"/>
        <v>#DIV/0!</v>
      </c>
      <c r="AR196" s="144" t="e">
        <f t="shared" si="79"/>
        <v>#DIV/0!</v>
      </c>
      <c r="AS196" s="144" t="e">
        <f t="shared" si="79"/>
        <v>#DIV/0!</v>
      </c>
      <c r="AT196" s="9" t="e">
        <f t="shared" si="79"/>
        <v>#DIV/0!</v>
      </c>
      <c r="AU196" s="144" t="e">
        <f t="shared" si="79"/>
        <v>#DIV/0!</v>
      </c>
      <c r="AV196" s="144" t="e">
        <f t="shared" si="79"/>
        <v>#DIV/0!</v>
      </c>
      <c r="AW196" s="144" t="e">
        <f t="shared" si="79"/>
        <v>#DIV/0!</v>
      </c>
      <c r="AX196" s="144" t="e">
        <f t="shared" si="79"/>
        <v>#DIV/0!</v>
      </c>
      <c r="AY196" s="117" t="e">
        <f t="shared" si="79"/>
        <v>#DIV/0!</v>
      </c>
    </row>
    <row r="197" spans="1:51">
      <c r="A197" s="137" t="s">
        <v>143</v>
      </c>
      <c r="B197" s="117" t="e">
        <f t="shared" ref="B197:AY200" si="80">B59/B$137</f>
        <v>#DIV/0!</v>
      </c>
      <c r="C197" s="117" t="e">
        <f t="shared" si="80"/>
        <v>#DIV/0!</v>
      </c>
      <c r="D197" s="117" t="e">
        <f t="shared" si="80"/>
        <v>#DIV/0!</v>
      </c>
      <c r="E197" s="117" t="e">
        <f t="shared" si="80"/>
        <v>#DIV/0!</v>
      </c>
      <c r="F197" s="9" t="e">
        <f t="shared" si="80"/>
        <v>#DIV/0!</v>
      </c>
      <c r="G197" s="117" t="e">
        <f t="shared" si="80"/>
        <v>#DIV/0!</v>
      </c>
      <c r="H197" s="117" t="e">
        <f t="shared" si="80"/>
        <v>#DIV/0!</v>
      </c>
      <c r="I197" s="117" t="e">
        <f t="shared" si="80"/>
        <v>#DIV/0!</v>
      </c>
      <c r="J197" s="117" t="e">
        <f t="shared" si="80"/>
        <v>#DIV/0!</v>
      </c>
      <c r="K197" s="9" t="e">
        <f t="shared" si="80"/>
        <v>#DIV/0!</v>
      </c>
      <c r="L197" s="117" t="e">
        <f t="shared" si="80"/>
        <v>#DIV/0!</v>
      </c>
      <c r="M197" s="117" t="e">
        <f t="shared" si="80"/>
        <v>#DIV/0!</v>
      </c>
      <c r="N197" s="117" t="e">
        <f t="shared" si="80"/>
        <v>#DIV/0!</v>
      </c>
      <c r="O197" s="117" t="e">
        <f t="shared" si="80"/>
        <v>#DIV/0!</v>
      </c>
      <c r="P197" s="9" t="e">
        <f t="shared" si="80"/>
        <v>#DIV/0!</v>
      </c>
      <c r="Q197" s="144" t="e">
        <f t="shared" si="80"/>
        <v>#DIV/0!</v>
      </c>
      <c r="R197" s="144" t="e">
        <f t="shared" si="80"/>
        <v>#DIV/0!</v>
      </c>
      <c r="S197" s="144" t="e">
        <f t="shared" si="80"/>
        <v>#DIV/0!</v>
      </c>
      <c r="T197" s="144" t="e">
        <f t="shared" si="80"/>
        <v>#DIV/0!</v>
      </c>
      <c r="U197" s="9" t="e">
        <f t="shared" si="80"/>
        <v>#DIV/0!</v>
      </c>
      <c r="V197" s="144" t="e">
        <f t="shared" si="80"/>
        <v>#DIV/0!</v>
      </c>
      <c r="W197" s="144" t="e">
        <f t="shared" si="80"/>
        <v>#DIV/0!</v>
      </c>
      <c r="X197" s="144" t="e">
        <f t="shared" si="80"/>
        <v>#DIV/0!</v>
      </c>
      <c r="Y197" s="144" t="e">
        <f t="shared" si="80"/>
        <v>#DIV/0!</v>
      </c>
      <c r="Z197" s="9" t="e">
        <f t="shared" si="80"/>
        <v>#DIV/0!</v>
      </c>
      <c r="AA197" s="144" t="e">
        <f t="shared" si="80"/>
        <v>#DIV/0!</v>
      </c>
      <c r="AB197" s="144" t="e">
        <f t="shared" si="80"/>
        <v>#DIV/0!</v>
      </c>
      <c r="AC197" s="144" t="e">
        <f t="shared" si="80"/>
        <v>#DIV/0!</v>
      </c>
      <c r="AD197" s="144" t="e">
        <f t="shared" si="80"/>
        <v>#DIV/0!</v>
      </c>
      <c r="AE197" s="9" t="e">
        <f t="shared" si="80"/>
        <v>#DIV/0!</v>
      </c>
      <c r="AF197" s="144" t="e">
        <f t="shared" si="80"/>
        <v>#DIV/0!</v>
      </c>
      <c r="AG197" s="144" t="e">
        <f t="shared" si="80"/>
        <v>#DIV/0!</v>
      </c>
      <c r="AH197" s="144" t="e">
        <f t="shared" si="80"/>
        <v>#DIV/0!</v>
      </c>
      <c r="AI197" s="144" t="e">
        <f t="shared" si="80"/>
        <v>#DIV/0!</v>
      </c>
      <c r="AJ197" s="9" t="e">
        <f t="shared" si="80"/>
        <v>#DIV/0!</v>
      </c>
      <c r="AK197" s="144" t="e">
        <f t="shared" si="80"/>
        <v>#DIV/0!</v>
      </c>
      <c r="AL197" s="144" t="e">
        <f t="shared" si="80"/>
        <v>#DIV/0!</v>
      </c>
      <c r="AM197" s="144" t="e">
        <f t="shared" si="80"/>
        <v>#DIV/0!</v>
      </c>
      <c r="AN197" s="144" t="e">
        <f t="shared" si="80"/>
        <v>#DIV/0!</v>
      </c>
      <c r="AO197" s="9" t="e">
        <f t="shared" si="80"/>
        <v>#DIV/0!</v>
      </c>
      <c r="AP197" s="144" t="e">
        <f t="shared" si="80"/>
        <v>#DIV/0!</v>
      </c>
      <c r="AQ197" s="144" t="e">
        <f t="shared" si="80"/>
        <v>#DIV/0!</v>
      </c>
      <c r="AR197" s="144" t="e">
        <f t="shared" si="80"/>
        <v>#DIV/0!</v>
      </c>
      <c r="AS197" s="144" t="e">
        <f t="shared" si="80"/>
        <v>#DIV/0!</v>
      </c>
      <c r="AT197" s="9" t="e">
        <f t="shared" si="80"/>
        <v>#DIV/0!</v>
      </c>
      <c r="AU197" s="144" t="e">
        <f t="shared" si="80"/>
        <v>#DIV/0!</v>
      </c>
      <c r="AV197" s="144" t="e">
        <f t="shared" si="80"/>
        <v>#DIV/0!</v>
      </c>
      <c r="AW197" s="144" t="e">
        <f t="shared" si="80"/>
        <v>#DIV/0!</v>
      </c>
      <c r="AX197" s="144" t="e">
        <f t="shared" si="80"/>
        <v>#DIV/0!</v>
      </c>
      <c r="AY197" s="117" t="e">
        <f t="shared" si="80"/>
        <v>#DIV/0!</v>
      </c>
    </row>
    <row r="198" spans="1:51">
      <c r="A198" s="137" t="s">
        <v>145</v>
      </c>
      <c r="B198" s="117" t="e">
        <f t="shared" si="80"/>
        <v>#DIV/0!</v>
      </c>
      <c r="C198" s="117" t="e">
        <f t="shared" si="80"/>
        <v>#DIV/0!</v>
      </c>
      <c r="D198" s="117" t="e">
        <f t="shared" si="80"/>
        <v>#DIV/0!</v>
      </c>
      <c r="E198" s="117" t="e">
        <f t="shared" si="80"/>
        <v>#DIV/0!</v>
      </c>
      <c r="F198" s="9" t="e">
        <f t="shared" si="80"/>
        <v>#DIV/0!</v>
      </c>
      <c r="G198" s="117" t="e">
        <f t="shared" si="80"/>
        <v>#DIV/0!</v>
      </c>
      <c r="H198" s="117" t="e">
        <f t="shared" si="80"/>
        <v>#DIV/0!</v>
      </c>
      <c r="I198" s="117" t="e">
        <f t="shared" si="80"/>
        <v>#DIV/0!</v>
      </c>
      <c r="J198" s="117" t="e">
        <f t="shared" si="80"/>
        <v>#DIV/0!</v>
      </c>
      <c r="K198" s="9" t="e">
        <f t="shared" si="80"/>
        <v>#DIV/0!</v>
      </c>
      <c r="L198" s="117" t="e">
        <f t="shared" si="80"/>
        <v>#DIV/0!</v>
      </c>
      <c r="M198" s="117" t="e">
        <f t="shared" si="80"/>
        <v>#DIV/0!</v>
      </c>
      <c r="N198" s="117" t="e">
        <f t="shared" si="80"/>
        <v>#DIV/0!</v>
      </c>
      <c r="O198" s="117" t="e">
        <f t="shared" si="80"/>
        <v>#DIV/0!</v>
      </c>
      <c r="P198" s="9" t="e">
        <f t="shared" si="80"/>
        <v>#DIV/0!</v>
      </c>
      <c r="Q198" s="144" t="e">
        <f t="shared" si="80"/>
        <v>#DIV/0!</v>
      </c>
      <c r="R198" s="144" t="e">
        <f t="shared" si="80"/>
        <v>#DIV/0!</v>
      </c>
      <c r="S198" s="144" t="e">
        <f t="shared" si="80"/>
        <v>#DIV/0!</v>
      </c>
      <c r="T198" s="144" t="e">
        <f t="shared" si="80"/>
        <v>#DIV/0!</v>
      </c>
      <c r="U198" s="9" t="e">
        <f t="shared" si="80"/>
        <v>#DIV/0!</v>
      </c>
      <c r="V198" s="144" t="e">
        <f t="shared" si="80"/>
        <v>#DIV/0!</v>
      </c>
      <c r="W198" s="144" t="e">
        <f t="shared" si="80"/>
        <v>#DIV/0!</v>
      </c>
      <c r="X198" s="144" t="e">
        <f t="shared" si="80"/>
        <v>#DIV/0!</v>
      </c>
      <c r="Y198" s="144" t="e">
        <f t="shared" si="80"/>
        <v>#DIV/0!</v>
      </c>
      <c r="Z198" s="9" t="e">
        <f t="shared" si="80"/>
        <v>#DIV/0!</v>
      </c>
      <c r="AA198" s="144" t="e">
        <f t="shared" si="80"/>
        <v>#DIV/0!</v>
      </c>
      <c r="AB198" s="144" t="e">
        <f t="shared" si="80"/>
        <v>#DIV/0!</v>
      </c>
      <c r="AC198" s="144" t="e">
        <f t="shared" si="80"/>
        <v>#DIV/0!</v>
      </c>
      <c r="AD198" s="144" t="e">
        <f t="shared" si="80"/>
        <v>#DIV/0!</v>
      </c>
      <c r="AE198" s="9" t="e">
        <f t="shared" si="80"/>
        <v>#DIV/0!</v>
      </c>
      <c r="AF198" s="144" t="e">
        <f t="shared" si="80"/>
        <v>#DIV/0!</v>
      </c>
      <c r="AG198" s="144" t="e">
        <f t="shared" si="80"/>
        <v>#DIV/0!</v>
      </c>
      <c r="AH198" s="144" t="e">
        <f t="shared" si="80"/>
        <v>#DIV/0!</v>
      </c>
      <c r="AI198" s="144" t="e">
        <f t="shared" si="80"/>
        <v>#DIV/0!</v>
      </c>
      <c r="AJ198" s="9" t="e">
        <f t="shared" si="80"/>
        <v>#DIV/0!</v>
      </c>
      <c r="AK198" s="144" t="e">
        <f t="shared" si="80"/>
        <v>#DIV/0!</v>
      </c>
      <c r="AL198" s="144" t="e">
        <f t="shared" si="80"/>
        <v>#DIV/0!</v>
      </c>
      <c r="AM198" s="144" t="e">
        <f t="shared" si="80"/>
        <v>#DIV/0!</v>
      </c>
      <c r="AN198" s="144" t="e">
        <f t="shared" si="80"/>
        <v>#DIV/0!</v>
      </c>
      <c r="AO198" s="9" t="e">
        <f t="shared" si="80"/>
        <v>#DIV/0!</v>
      </c>
      <c r="AP198" s="144" t="e">
        <f t="shared" si="80"/>
        <v>#DIV/0!</v>
      </c>
      <c r="AQ198" s="144" t="e">
        <f t="shared" si="80"/>
        <v>#DIV/0!</v>
      </c>
      <c r="AR198" s="144" t="e">
        <f t="shared" si="80"/>
        <v>#DIV/0!</v>
      </c>
      <c r="AS198" s="144" t="e">
        <f t="shared" si="80"/>
        <v>#DIV/0!</v>
      </c>
      <c r="AT198" s="9" t="e">
        <f t="shared" si="80"/>
        <v>#DIV/0!</v>
      </c>
      <c r="AU198" s="144" t="e">
        <f t="shared" si="80"/>
        <v>#DIV/0!</v>
      </c>
      <c r="AV198" s="144" t="e">
        <f t="shared" si="80"/>
        <v>#DIV/0!</v>
      </c>
      <c r="AW198" s="144" t="e">
        <f t="shared" si="80"/>
        <v>#DIV/0!</v>
      </c>
      <c r="AX198" s="144" t="e">
        <f t="shared" si="80"/>
        <v>#DIV/0!</v>
      </c>
      <c r="AY198" s="117" t="e">
        <f t="shared" si="80"/>
        <v>#DIV/0!</v>
      </c>
    </row>
    <row r="199" spans="1:51">
      <c r="A199" s="137" t="s">
        <v>147</v>
      </c>
      <c r="B199" s="117" t="e">
        <f t="shared" si="80"/>
        <v>#DIV/0!</v>
      </c>
      <c r="C199" s="117" t="e">
        <f t="shared" si="80"/>
        <v>#DIV/0!</v>
      </c>
      <c r="D199" s="117" t="e">
        <f t="shared" si="80"/>
        <v>#DIV/0!</v>
      </c>
      <c r="E199" s="117" t="e">
        <f t="shared" si="80"/>
        <v>#DIV/0!</v>
      </c>
      <c r="F199" s="9" t="e">
        <f t="shared" si="80"/>
        <v>#DIV/0!</v>
      </c>
      <c r="G199" s="117" t="e">
        <f t="shared" si="80"/>
        <v>#DIV/0!</v>
      </c>
      <c r="H199" s="117" t="e">
        <f t="shared" si="80"/>
        <v>#DIV/0!</v>
      </c>
      <c r="I199" s="117" t="e">
        <f t="shared" si="80"/>
        <v>#DIV/0!</v>
      </c>
      <c r="J199" s="117" t="e">
        <f t="shared" si="80"/>
        <v>#DIV/0!</v>
      </c>
      <c r="K199" s="9" t="e">
        <f t="shared" si="80"/>
        <v>#DIV/0!</v>
      </c>
      <c r="L199" s="117" t="e">
        <f t="shared" si="80"/>
        <v>#DIV/0!</v>
      </c>
      <c r="M199" s="117" t="e">
        <f t="shared" si="80"/>
        <v>#DIV/0!</v>
      </c>
      <c r="N199" s="117" t="e">
        <f t="shared" si="80"/>
        <v>#DIV/0!</v>
      </c>
      <c r="O199" s="117" t="e">
        <f t="shared" si="80"/>
        <v>#DIV/0!</v>
      </c>
      <c r="P199" s="9" t="e">
        <f t="shared" si="80"/>
        <v>#DIV/0!</v>
      </c>
      <c r="Q199" s="144" t="e">
        <f t="shared" si="80"/>
        <v>#DIV/0!</v>
      </c>
      <c r="R199" s="144" t="e">
        <f t="shared" si="80"/>
        <v>#DIV/0!</v>
      </c>
      <c r="S199" s="144" t="e">
        <f t="shared" si="80"/>
        <v>#DIV/0!</v>
      </c>
      <c r="T199" s="144" t="e">
        <f t="shared" si="80"/>
        <v>#DIV/0!</v>
      </c>
      <c r="U199" s="9" t="e">
        <f t="shared" si="80"/>
        <v>#DIV/0!</v>
      </c>
      <c r="V199" s="144" t="e">
        <f t="shared" si="80"/>
        <v>#DIV/0!</v>
      </c>
      <c r="W199" s="144" t="e">
        <f t="shared" si="80"/>
        <v>#DIV/0!</v>
      </c>
      <c r="X199" s="144" t="e">
        <f t="shared" si="80"/>
        <v>#DIV/0!</v>
      </c>
      <c r="Y199" s="144" t="e">
        <f t="shared" si="80"/>
        <v>#DIV/0!</v>
      </c>
      <c r="Z199" s="9" t="e">
        <f t="shared" si="80"/>
        <v>#DIV/0!</v>
      </c>
      <c r="AA199" s="144" t="e">
        <f t="shared" si="80"/>
        <v>#DIV/0!</v>
      </c>
      <c r="AB199" s="144" t="e">
        <f t="shared" si="80"/>
        <v>#DIV/0!</v>
      </c>
      <c r="AC199" s="144" t="e">
        <f t="shared" si="80"/>
        <v>#DIV/0!</v>
      </c>
      <c r="AD199" s="144" t="e">
        <f t="shared" si="80"/>
        <v>#DIV/0!</v>
      </c>
      <c r="AE199" s="9" t="e">
        <f t="shared" si="80"/>
        <v>#DIV/0!</v>
      </c>
      <c r="AF199" s="144" t="e">
        <f t="shared" si="80"/>
        <v>#DIV/0!</v>
      </c>
      <c r="AG199" s="144" t="e">
        <f t="shared" si="80"/>
        <v>#DIV/0!</v>
      </c>
      <c r="AH199" s="144" t="e">
        <f t="shared" si="80"/>
        <v>#DIV/0!</v>
      </c>
      <c r="AI199" s="144" t="e">
        <f t="shared" si="80"/>
        <v>#DIV/0!</v>
      </c>
      <c r="AJ199" s="9" t="e">
        <f t="shared" si="80"/>
        <v>#DIV/0!</v>
      </c>
      <c r="AK199" s="144" t="e">
        <f t="shared" si="80"/>
        <v>#DIV/0!</v>
      </c>
      <c r="AL199" s="144" t="e">
        <f t="shared" si="80"/>
        <v>#DIV/0!</v>
      </c>
      <c r="AM199" s="144" t="e">
        <f t="shared" si="80"/>
        <v>#DIV/0!</v>
      </c>
      <c r="AN199" s="144" t="e">
        <f t="shared" si="80"/>
        <v>#DIV/0!</v>
      </c>
      <c r="AO199" s="9" t="e">
        <f t="shared" si="80"/>
        <v>#DIV/0!</v>
      </c>
      <c r="AP199" s="144" t="e">
        <f t="shared" si="80"/>
        <v>#DIV/0!</v>
      </c>
      <c r="AQ199" s="144" t="e">
        <f t="shared" si="80"/>
        <v>#DIV/0!</v>
      </c>
      <c r="AR199" s="144" t="e">
        <f t="shared" si="80"/>
        <v>#DIV/0!</v>
      </c>
      <c r="AS199" s="144" t="e">
        <f t="shared" si="80"/>
        <v>#DIV/0!</v>
      </c>
      <c r="AT199" s="9" t="e">
        <f t="shared" si="80"/>
        <v>#DIV/0!</v>
      </c>
      <c r="AU199" s="144" t="e">
        <f t="shared" si="80"/>
        <v>#DIV/0!</v>
      </c>
      <c r="AV199" s="144" t="e">
        <f t="shared" si="80"/>
        <v>#DIV/0!</v>
      </c>
      <c r="AW199" s="144" t="e">
        <f t="shared" si="80"/>
        <v>#DIV/0!</v>
      </c>
      <c r="AX199" s="144" t="e">
        <f t="shared" si="80"/>
        <v>#DIV/0!</v>
      </c>
      <c r="AY199" s="117" t="e">
        <f t="shared" si="80"/>
        <v>#DIV/0!</v>
      </c>
    </row>
    <row r="200" spans="1:51">
      <c r="A200" s="137" t="s">
        <v>149</v>
      </c>
      <c r="B200" s="117" t="e">
        <f t="shared" si="80"/>
        <v>#DIV/0!</v>
      </c>
      <c r="C200" s="117" t="e">
        <f t="shared" si="80"/>
        <v>#DIV/0!</v>
      </c>
      <c r="D200" s="117" t="e">
        <f t="shared" si="80"/>
        <v>#DIV/0!</v>
      </c>
      <c r="E200" s="117" t="e">
        <f t="shared" si="80"/>
        <v>#DIV/0!</v>
      </c>
      <c r="F200" s="9" t="e">
        <f t="shared" si="80"/>
        <v>#DIV/0!</v>
      </c>
      <c r="G200" s="117" t="e">
        <f t="shared" si="80"/>
        <v>#DIV/0!</v>
      </c>
      <c r="H200" s="117" t="e">
        <f t="shared" si="80"/>
        <v>#DIV/0!</v>
      </c>
      <c r="I200" s="117" t="e">
        <f t="shared" si="80"/>
        <v>#DIV/0!</v>
      </c>
      <c r="J200" s="117" t="e">
        <f t="shared" si="80"/>
        <v>#DIV/0!</v>
      </c>
      <c r="K200" s="9" t="e">
        <f t="shared" si="80"/>
        <v>#DIV/0!</v>
      </c>
      <c r="L200" s="117" t="e">
        <f t="shared" si="80"/>
        <v>#DIV/0!</v>
      </c>
      <c r="M200" s="117" t="e">
        <f t="shared" si="80"/>
        <v>#DIV/0!</v>
      </c>
      <c r="N200" s="117" t="e">
        <f t="shared" si="80"/>
        <v>#DIV/0!</v>
      </c>
      <c r="O200" s="117" t="e">
        <f t="shared" si="80"/>
        <v>#DIV/0!</v>
      </c>
      <c r="P200" s="9" t="e">
        <f t="shared" si="80"/>
        <v>#DIV/0!</v>
      </c>
      <c r="Q200" s="144" t="e">
        <f t="shared" si="80"/>
        <v>#DIV/0!</v>
      </c>
      <c r="R200" s="144" t="e">
        <f t="shared" si="80"/>
        <v>#DIV/0!</v>
      </c>
      <c r="S200" s="144" t="e">
        <f t="shared" si="80"/>
        <v>#DIV/0!</v>
      </c>
      <c r="T200" s="144" t="e">
        <f t="shared" si="80"/>
        <v>#DIV/0!</v>
      </c>
      <c r="U200" s="9" t="e">
        <f t="shared" si="80"/>
        <v>#DIV/0!</v>
      </c>
      <c r="V200" s="144" t="e">
        <f t="shared" si="80"/>
        <v>#DIV/0!</v>
      </c>
      <c r="W200" s="144" t="e">
        <f t="shared" si="80"/>
        <v>#DIV/0!</v>
      </c>
      <c r="X200" s="144" t="e">
        <f t="shared" si="80"/>
        <v>#DIV/0!</v>
      </c>
      <c r="Y200" s="144" t="e">
        <f t="shared" si="80"/>
        <v>#DIV/0!</v>
      </c>
      <c r="Z200" s="9" t="e">
        <f t="shared" si="80"/>
        <v>#DIV/0!</v>
      </c>
      <c r="AA200" s="144" t="e">
        <f t="shared" si="80"/>
        <v>#DIV/0!</v>
      </c>
      <c r="AB200" s="144" t="e">
        <f t="shared" si="80"/>
        <v>#DIV/0!</v>
      </c>
      <c r="AC200" s="144" t="e">
        <f t="shared" si="80"/>
        <v>#DIV/0!</v>
      </c>
      <c r="AD200" s="144" t="e">
        <f t="shared" si="80"/>
        <v>#DIV/0!</v>
      </c>
      <c r="AE200" s="9" t="e">
        <f t="shared" si="80"/>
        <v>#DIV/0!</v>
      </c>
      <c r="AF200" s="144" t="e">
        <f t="shared" si="80"/>
        <v>#DIV/0!</v>
      </c>
      <c r="AG200" s="144" t="e">
        <f t="shared" si="80"/>
        <v>#DIV/0!</v>
      </c>
      <c r="AH200" s="144" t="e">
        <f t="shared" si="80"/>
        <v>#DIV/0!</v>
      </c>
      <c r="AI200" s="144" t="e">
        <f t="shared" si="80"/>
        <v>#DIV/0!</v>
      </c>
      <c r="AJ200" s="9" t="e">
        <f t="shared" si="80"/>
        <v>#DIV/0!</v>
      </c>
      <c r="AK200" s="144" t="e">
        <f t="shared" si="80"/>
        <v>#DIV/0!</v>
      </c>
      <c r="AL200" s="144" t="e">
        <f t="shared" si="80"/>
        <v>#DIV/0!</v>
      </c>
      <c r="AM200" s="144" t="e">
        <f t="shared" si="80"/>
        <v>#DIV/0!</v>
      </c>
      <c r="AN200" s="144" t="e">
        <f t="shared" si="80"/>
        <v>#DIV/0!</v>
      </c>
      <c r="AO200" s="9" t="e">
        <f t="shared" si="80"/>
        <v>#DIV/0!</v>
      </c>
      <c r="AP200" s="144" t="e">
        <f t="shared" si="80"/>
        <v>#DIV/0!</v>
      </c>
      <c r="AQ200" s="144" t="e">
        <f t="shared" si="80"/>
        <v>#DIV/0!</v>
      </c>
      <c r="AR200" s="144" t="e">
        <f t="shared" si="80"/>
        <v>#DIV/0!</v>
      </c>
      <c r="AS200" s="144" t="e">
        <f t="shared" si="80"/>
        <v>#DIV/0!</v>
      </c>
      <c r="AT200" s="9" t="e">
        <f t="shared" si="80"/>
        <v>#DIV/0!</v>
      </c>
      <c r="AU200" s="144" t="e">
        <f t="shared" si="80"/>
        <v>#DIV/0!</v>
      </c>
      <c r="AV200" s="144" t="e">
        <f t="shared" si="80"/>
        <v>#DIV/0!</v>
      </c>
      <c r="AW200" s="144" t="e">
        <f t="shared" si="80"/>
        <v>#DIV/0!</v>
      </c>
      <c r="AX200" s="144" t="e">
        <f t="shared" si="80"/>
        <v>#DIV/0!</v>
      </c>
      <c r="AY200" s="117" t="e">
        <f t="shared" si="80"/>
        <v>#DIV/0!</v>
      </c>
    </row>
    <row r="201" spans="1:51">
      <c r="A201" s="137" t="s">
        <v>151</v>
      </c>
      <c r="B201" s="117" t="e">
        <f t="shared" ref="B201:AY204" si="81">B63/B$137</f>
        <v>#DIV/0!</v>
      </c>
      <c r="C201" s="117" t="e">
        <f t="shared" si="81"/>
        <v>#DIV/0!</v>
      </c>
      <c r="D201" s="117" t="e">
        <f t="shared" si="81"/>
        <v>#DIV/0!</v>
      </c>
      <c r="E201" s="117" t="e">
        <f t="shared" si="81"/>
        <v>#DIV/0!</v>
      </c>
      <c r="F201" s="9" t="e">
        <f t="shared" si="81"/>
        <v>#DIV/0!</v>
      </c>
      <c r="G201" s="117" t="e">
        <f t="shared" si="81"/>
        <v>#DIV/0!</v>
      </c>
      <c r="H201" s="117" t="e">
        <f t="shared" si="81"/>
        <v>#DIV/0!</v>
      </c>
      <c r="I201" s="117" t="e">
        <f t="shared" si="81"/>
        <v>#DIV/0!</v>
      </c>
      <c r="J201" s="117" t="e">
        <f t="shared" si="81"/>
        <v>#DIV/0!</v>
      </c>
      <c r="K201" s="9" t="e">
        <f t="shared" si="81"/>
        <v>#DIV/0!</v>
      </c>
      <c r="L201" s="117" t="e">
        <f t="shared" si="81"/>
        <v>#DIV/0!</v>
      </c>
      <c r="M201" s="117" t="e">
        <f t="shared" si="81"/>
        <v>#DIV/0!</v>
      </c>
      <c r="N201" s="117" t="e">
        <f t="shared" si="81"/>
        <v>#DIV/0!</v>
      </c>
      <c r="O201" s="117" t="e">
        <f t="shared" si="81"/>
        <v>#DIV/0!</v>
      </c>
      <c r="P201" s="9" t="e">
        <f t="shared" si="81"/>
        <v>#DIV/0!</v>
      </c>
      <c r="Q201" s="144" t="e">
        <f t="shared" si="81"/>
        <v>#DIV/0!</v>
      </c>
      <c r="R201" s="144" t="e">
        <f t="shared" si="81"/>
        <v>#DIV/0!</v>
      </c>
      <c r="S201" s="144" t="e">
        <f t="shared" si="81"/>
        <v>#DIV/0!</v>
      </c>
      <c r="T201" s="144" t="e">
        <f t="shared" si="81"/>
        <v>#DIV/0!</v>
      </c>
      <c r="U201" s="9" t="e">
        <f t="shared" si="81"/>
        <v>#DIV/0!</v>
      </c>
      <c r="V201" s="144" t="e">
        <f t="shared" si="81"/>
        <v>#DIV/0!</v>
      </c>
      <c r="W201" s="144" t="e">
        <f t="shared" si="81"/>
        <v>#DIV/0!</v>
      </c>
      <c r="X201" s="144" t="e">
        <f t="shared" si="81"/>
        <v>#DIV/0!</v>
      </c>
      <c r="Y201" s="144" t="e">
        <f t="shared" si="81"/>
        <v>#DIV/0!</v>
      </c>
      <c r="Z201" s="9" t="e">
        <f t="shared" si="81"/>
        <v>#DIV/0!</v>
      </c>
      <c r="AA201" s="144" t="e">
        <f t="shared" si="81"/>
        <v>#DIV/0!</v>
      </c>
      <c r="AB201" s="144" t="e">
        <f t="shared" si="81"/>
        <v>#DIV/0!</v>
      </c>
      <c r="AC201" s="144" t="e">
        <f t="shared" si="81"/>
        <v>#DIV/0!</v>
      </c>
      <c r="AD201" s="144" t="e">
        <f t="shared" si="81"/>
        <v>#DIV/0!</v>
      </c>
      <c r="AE201" s="9" t="e">
        <f t="shared" si="81"/>
        <v>#DIV/0!</v>
      </c>
      <c r="AF201" s="144" t="e">
        <f t="shared" si="81"/>
        <v>#DIV/0!</v>
      </c>
      <c r="AG201" s="144" t="e">
        <f t="shared" si="81"/>
        <v>#DIV/0!</v>
      </c>
      <c r="AH201" s="144" t="e">
        <f t="shared" si="81"/>
        <v>#DIV/0!</v>
      </c>
      <c r="AI201" s="144" t="e">
        <f t="shared" si="81"/>
        <v>#DIV/0!</v>
      </c>
      <c r="AJ201" s="9" t="e">
        <f t="shared" si="81"/>
        <v>#DIV/0!</v>
      </c>
      <c r="AK201" s="144" t="e">
        <f t="shared" si="81"/>
        <v>#DIV/0!</v>
      </c>
      <c r="AL201" s="144" t="e">
        <f t="shared" si="81"/>
        <v>#DIV/0!</v>
      </c>
      <c r="AM201" s="144" t="e">
        <f t="shared" si="81"/>
        <v>#DIV/0!</v>
      </c>
      <c r="AN201" s="144" t="e">
        <f t="shared" si="81"/>
        <v>#DIV/0!</v>
      </c>
      <c r="AO201" s="9" t="e">
        <f t="shared" si="81"/>
        <v>#DIV/0!</v>
      </c>
      <c r="AP201" s="144" t="e">
        <f t="shared" si="81"/>
        <v>#DIV/0!</v>
      </c>
      <c r="AQ201" s="144" t="e">
        <f t="shared" si="81"/>
        <v>#DIV/0!</v>
      </c>
      <c r="AR201" s="144" t="e">
        <f t="shared" si="81"/>
        <v>#DIV/0!</v>
      </c>
      <c r="AS201" s="144" t="e">
        <f t="shared" si="81"/>
        <v>#DIV/0!</v>
      </c>
      <c r="AT201" s="9" t="e">
        <f t="shared" si="81"/>
        <v>#DIV/0!</v>
      </c>
      <c r="AU201" s="144" t="e">
        <f t="shared" si="81"/>
        <v>#DIV/0!</v>
      </c>
      <c r="AV201" s="144" t="e">
        <f t="shared" si="81"/>
        <v>#DIV/0!</v>
      </c>
      <c r="AW201" s="144" t="e">
        <f t="shared" si="81"/>
        <v>#DIV/0!</v>
      </c>
      <c r="AX201" s="144" t="e">
        <f t="shared" si="81"/>
        <v>#DIV/0!</v>
      </c>
      <c r="AY201" s="117" t="e">
        <f t="shared" si="81"/>
        <v>#DIV/0!</v>
      </c>
    </row>
    <row r="202" spans="1:51">
      <c r="A202" s="137" t="s">
        <v>153</v>
      </c>
      <c r="B202" s="117" t="e">
        <f t="shared" si="81"/>
        <v>#DIV/0!</v>
      </c>
      <c r="C202" s="117" t="e">
        <f t="shared" si="81"/>
        <v>#DIV/0!</v>
      </c>
      <c r="D202" s="117" t="e">
        <f t="shared" si="81"/>
        <v>#DIV/0!</v>
      </c>
      <c r="E202" s="117" t="e">
        <f t="shared" si="81"/>
        <v>#DIV/0!</v>
      </c>
      <c r="F202" s="9" t="e">
        <f t="shared" si="81"/>
        <v>#DIV/0!</v>
      </c>
      <c r="G202" s="117" t="e">
        <f t="shared" si="81"/>
        <v>#DIV/0!</v>
      </c>
      <c r="H202" s="117" t="e">
        <f t="shared" si="81"/>
        <v>#DIV/0!</v>
      </c>
      <c r="I202" s="117" t="e">
        <f t="shared" si="81"/>
        <v>#DIV/0!</v>
      </c>
      <c r="J202" s="117" t="e">
        <f t="shared" si="81"/>
        <v>#DIV/0!</v>
      </c>
      <c r="K202" s="9" t="e">
        <f t="shared" si="81"/>
        <v>#DIV/0!</v>
      </c>
      <c r="L202" s="117" t="e">
        <f t="shared" si="81"/>
        <v>#DIV/0!</v>
      </c>
      <c r="M202" s="117" t="e">
        <f t="shared" si="81"/>
        <v>#DIV/0!</v>
      </c>
      <c r="N202" s="117" t="e">
        <f t="shared" si="81"/>
        <v>#DIV/0!</v>
      </c>
      <c r="O202" s="117" t="e">
        <f t="shared" si="81"/>
        <v>#DIV/0!</v>
      </c>
      <c r="P202" s="9" t="e">
        <f t="shared" si="81"/>
        <v>#DIV/0!</v>
      </c>
      <c r="Q202" s="144" t="e">
        <f t="shared" si="81"/>
        <v>#DIV/0!</v>
      </c>
      <c r="R202" s="144" t="e">
        <f t="shared" si="81"/>
        <v>#DIV/0!</v>
      </c>
      <c r="S202" s="144" t="e">
        <f t="shared" si="81"/>
        <v>#DIV/0!</v>
      </c>
      <c r="T202" s="144" t="e">
        <f t="shared" si="81"/>
        <v>#DIV/0!</v>
      </c>
      <c r="U202" s="9" t="e">
        <f t="shared" si="81"/>
        <v>#DIV/0!</v>
      </c>
      <c r="V202" s="144" t="e">
        <f t="shared" si="81"/>
        <v>#DIV/0!</v>
      </c>
      <c r="W202" s="144" t="e">
        <f t="shared" si="81"/>
        <v>#DIV/0!</v>
      </c>
      <c r="X202" s="144" t="e">
        <f t="shared" si="81"/>
        <v>#DIV/0!</v>
      </c>
      <c r="Y202" s="144" t="e">
        <f t="shared" si="81"/>
        <v>#DIV/0!</v>
      </c>
      <c r="Z202" s="9" t="e">
        <f t="shared" si="81"/>
        <v>#DIV/0!</v>
      </c>
      <c r="AA202" s="144" t="e">
        <f t="shared" si="81"/>
        <v>#DIV/0!</v>
      </c>
      <c r="AB202" s="144" t="e">
        <f t="shared" si="81"/>
        <v>#DIV/0!</v>
      </c>
      <c r="AC202" s="144" t="e">
        <f t="shared" si="81"/>
        <v>#DIV/0!</v>
      </c>
      <c r="AD202" s="144" t="e">
        <f t="shared" si="81"/>
        <v>#DIV/0!</v>
      </c>
      <c r="AE202" s="9" t="e">
        <f t="shared" si="81"/>
        <v>#DIV/0!</v>
      </c>
      <c r="AF202" s="144" t="e">
        <f t="shared" si="81"/>
        <v>#DIV/0!</v>
      </c>
      <c r="AG202" s="144" t="e">
        <f t="shared" si="81"/>
        <v>#DIV/0!</v>
      </c>
      <c r="AH202" s="144" t="e">
        <f t="shared" si="81"/>
        <v>#DIV/0!</v>
      </c>
      <c r="AI202" s="144" t="e">
        <f t="shared" si="81"/>
        <v>#DIV/0!</v>
      </c>
      <c r="AJ202" s="9" t="e">
        <f t="shared" si="81"/>
        <v>#DIV/0!</v>
      </c>
      <c r="AK202" s="144" t="e">
        <f t="shared" si="81"/>
        <v>#DIV/0!</v>
      </c>
      <c r="AL202" s="144" t="e">
        <f t="shared" si="81"/>
        <v>#DIV/0!</v>
      </c>
      <c r="AM202" s="144" t="e">
        <f t="shared" si="81"/>
        <v>#DIV/0!</v>
      </c>
      <c r="AN202" s="144" t="e">
        <f t="shared" si="81"/>
        <v>#DIV/0!</v>
      </c>
      <c r="AO202" s="9" t="e">
        <f t="shared" si="81"/>
        <v>#DIV/0!</v>
      </c>
      <c r="AP202" s="144" t="e">
        <f t="shared" si="81"/>
        <v>#DIV/0!</v>
      </c>
      <c r="AQ202" s="144" t="e">
        <f t="shared" si="81"/>
        <v>#DIV/0!</v>
      </c>
      <c r="AR202" s="144" t="e">
        <f t="shared" si="81"/>
        <v>#DIV/0!</v>
      </c>
      <c r="AS202" s="144" t="e">
        <f t="shared" si="81"/>
        <v>#DIV/0!</v>
      </c>
      <c r="AT202" s="9" t="e">
        <f t="shared" si="81"/>
        <v>#DIV/0!</v>
      </c>
      <c r="AU202" s="144" t="e">
        <f t="shared" si="81"/>
        <v>#DIV/0!</v>
      </c>
      <c r="AV202" s="144" t="e">
        <f t="shared" si="81"/>
        <v>#DIV/0!</v>
      </c>
      <c r="AW202" s="144" t="e">
        <f t="shared" si="81"/>
        <v>#DIV/0!</v>
      </c>
      <c r="AX202" s="144" t="e">
        <f t="shared" si="81"/>
        <v>#DIV/0!</v>
      </c>
      <c r="AY202" s="117" t="e">
        <f t="shared" si="81"/>
        <v>#DIV/0!</v>
      </c>
    </row>
    <row r="203" spans="1:51">
      <c r="A203" s="137" t="s">
        <v>155</v>
      </c>
      <c r="B203" s="117" t="e">
        <f t="shared" si="81"/>
        <v>#DIV/0!</v>
      </c>
      <c r="C203" s="117" t="e">
        <f t="shared" si="81"/>
        <v>#DIV/0!</v>
      </c>
      <c r="D203" s="117" t="e">
        <f t="shared" si="81"/>
        <v>#DIV/0!</v>
      </c>
      <c r="E203" s="117" t="e">
        <f t="shared" si="81"/>
        <v>#DIV/0!</v>
      </c>
      <c r="F203" s="9" t="e">
        <f t="shared" si="81"/>
        <v>#DIV/0!</v>
      </c>
      <c r="G203" s="117" t="e">
        <f t="shared" si="81"/>
        <v>#DIV/0!</v>
      </c>
      <c r="H203" s="117" t="e">
        <f t="shared" si="81"/>
        <v>#DIV/0!</v>
      </c>
      <c r="I203" s="117" t="e">
        <f t="shared" si="81"/>
        <v>#DIV/0!</v>
      </c>
      <c r="J203" s="117" t="e">
        <f t="shared" si="81"/>
        <v>#DIV/0!</v>
      </c>
      <c r="K203" s="9" t="e">
        <f t="shared" si="81"/>
        <v>#DIV/0!</v>
      </c>
      <c r="L203" s="117" t="e">
        <f t="shared" si="81"/>
        <v>#DIV/0!</v>
      </c>
      <c r="M203" s="117" t="e">
        <f t="shared" si="81"/>
        <v>#DIV/0!</v>
      </c>
      <c r="N203" s="117" t="e">
        <f t="shared" si="81"/>
        <v>#DIV/0!</v>
      </c>
      <c r="O203" s="117" t="e">
        <f t="shared" si="81"/>
        <v>#DIV/0!</v>
      </c>
      <c r="P203" s="9" t="e">
        <f t="shared" si="81"/>
        <v>#DIV/0!</v>
      </c>
      <c r="Q203" s="144" t="e">
        <f t="shared" si="81"/>
        <v>#DIV/0!</v>
      </c>
      <c r="R203" s="144" t="e">
        <f t="shared" si="81"/>
        <v>#DIV/0!</v>
      </c>
      <c r="S203" s="144" t="e">
        <f t="shared" si="81"/>
        <v>#DIV/0!</v>
      </c>
      <c r="T203" s="144" t="e">
        <f t="shared" si="81"/>
        <v>#DIV/0!</v>
      </c>
      <c r="U203" s="9" t="e">
        <f t="shared" si="81"/>
        <v>#DIV/0!</v>
      </c>
      <c r="V203" s="144" t="e">
        <f t="shared" si="81"/>
        <v>#DIV/0!</v>
      </c>
      <c r="W203" s="144" t="e">
        <f t="shared" si="81"/>
        <v>#DIV/0!</v>
      </c>
      <c r="X203" s="144" t="e">
        <f t="shared" si="81"/>
        <v>#DIV/0!</v>
      </c>
      <c r="Y203" s="144" t="e">
        <f t="shared" si="81"/>
        <v>#DIV/0!</v>
      </c>
      <c r="Z203" s="9" t="e">
        <f t="shared" si="81"/>
        <v>#DIV/0!</v>
      </c>
      <c r="AA203" s="144" t="e">
        <f t="shared" si="81"/>
        <v>#DIV/0!</v>
      </c>
      <c r="AB203" s="144" t="e">
        <f t="shared" si="81"/>
        <v>#DIV/0!</v>
      </c>
      <c r="AC203" s="144" t="e">
        <f t="shared" si="81"/>
        <v>#DIV/0!</v>
      </c>
      <c r="AD203" s="144" t="e">
        <f t="shared" si="81"/>
        <v>#DIV/0!</v>
      </c>
      <c r="AE203" s="9" t="e">
        <f t="shared" si="81"/>
        <v>#DIV/0!</v>
      </c>
      <c r="AF203" s="144" t="e">
        <f t="shared" si="81"/>
        <v>#DIV/0!</v>
      </c>
      <c r="AG203" s="144" t="e">
        <f t="shared" si="81"/>
        <v>#DIV/0!</v>
      </c>
      <c r="AH203" s="144" t="e">
        <f t="shared" si="81"/>
        <v>#DIV/0!</v>
      </c>
      <c r="AI203" s="144" t="e">
        <f t="shared" si="81"/>
        <v>#DIV/0!</v>
      </c>
      <c r="AJ203" s="9" t="e">
        <f t="shared" si="81"/>
        <v>#DIV/0!</v>
      </c>
      <c r="AK203" s="144" t="e">
        <f t="shared" si="81"/>
        <v>#DIV/0!</v>
      </c>
      <c r="AL203" s="144" t="e">
        <f t="shared" si="81"/>
        <v>#DIV/0!</v>
      </c>
      <c r="AM203" s="144" t="e">
        <f t="shared" si="81"/>
        <v>#DIV/0!</v>
      </c>
      <c r="AN203" s="144" t="e">
        <f t="shared" si="81"/>
        <v>#DIV/0!</v>
      </c>
      <c r="AO203" s="9" t="e">
        <f t="shared" si="81"/>
        <v>#DIV/0!</v>
      </c>
      <c r="AP203" s="144" t="e">
        <f t="shared" si="81"/>
        <v>#DIV/0!</v>
      </c>
      <c r="AQ203" s="144" t="e">
        <f t="shared" si="81"/>
        <v>#DIV/0!</v>
      </c>
      <c r="AR203" s="144" t="e">
        <f t="shared" si="81"/>
        <v>#DIV/0!</v>
      </c>
      <c r="AS203" s="144" t="e">
        <f t="shared" si="81"/>
        <v>#DIV/0!</v>
      </c>
      <c r="AT203" s="9" t="e">
        <f t="shared" si="81"/>
        <v>#DIV/0!</v>
      </c>
      <c r="AU203" s="144" t="e">
        <f t="shared" si="81"/>
        <v>#DIV/0!</v>
      </c>
      <c r="AV203" s="144" t="e">
        <f t="shared" si="81"/>
        <v>#DIV/0!</v>
      </c>
      <c r="AW203" s="144" t="e">
        <f t="shared" si="81"/>
        <v>#DIV/0!</v>
      </c>
      <c r="AX203" s="144" t="e">
        <f t="shared" si="81"/>
        <v>#DIV/0!</v>
      </c>
      <c r="AY203" s="117" t="e">
        <f t="shared" si="81"/>
        <v>#DIV/0!</v>
      </c>
    </row>
    <row r="204" spans="1:51">
      <c r="A204" s="137" t="s">
        <v>157</v>
      </c>
      <c r="B204" s="117" t="e">
        <f t="shared" si="81"/>
        <v>#DIV/0!</v>
      </c>
      <c r="C204" s="117" t="e">
        <f t="shared" si="81"/>
        <v>#DIV/0!</v>
      </c>
      <c r="D204" s="117" t="e">
        <f t="shared" si="81"/>
        <v>#DIV/0!</v>
      </c>
      <c r="E204" s="117" t="e">
        <f t="shared" si="81"/>
        <v>#DIV/0!</v>
      </c>
      <c r="F204" s="9" t="e">
        <f t="shared" si="81"/>
        <v>#DIV/0!</v>
      </c>
      <c r="G204" s="117" t="e">
        <f t="shared" si="81"/>
        <v>#DIV/0!</v>
      </c>
      <c r="H204" s="117" t="e">
        <f t="shared" si="81"/>
        <v>#DIV/0!</v>
      </c>
      <c r="I204" s="117" t="e">
        <f t="shared" si="81"/>
        <v>#DIV/0!</v>
      </c>
      <c r="J204" s="117" t="e">
        <f t="shared" si="81"/>
        <v>#DIV/0!</v>
      </c>
      <c r="K204" s="9" t="e">
        <f t="shared" si="81"/>
        <v>#DIV/0!</v>
      </c>
      <c r="L204" s="117" t="e">
        <f t="shared" si="81"/>
        <v>#DIV/0!</v>
      </c>
      <c r="M204" s="117" t="e">
        <f t="shared" si="81"/>
        <v>#DIV/0!</v>
      </c>
      <c r="N204" s="117" t="e">
        <f t="shared" si="81"/>
        <v>#DIV/0!</v>
      </c>
      <c r="O204" s="117" t="e">
        <f t="shared" si="81"/>
        <v>#DIV/0!</v>
      </c>
      <c r="P204" s="9" t="e">
        <f t="shared" si="81"/>
        <v>#DIV/0!</v>
      </c>
      <c r="Q204" s="144" t="e">
        <f t="shared" si="81"/>
        <v>#DIV/0!</v>
      </c>
      <c r="R204" s="144" t="e">
        <f t="shared" si="81"/>
        <v>#DIV/0!</v>
      </c>
      <c r="S204" s="144" t="e">
        <f t="shared" si="81"/>
        <v>#DIV/0!</v>
      </c>
      <c r="T204" s="144" t="e">
        <f t="shared" si="81"/>
        <v>#DIV/0!</v>
      </c>
      <c r="U204" s="9" t="e">
        <f t="shared" si="81"/>
        <v>#DIV/0!</v>
      </c>
      <c r="V204" s="144" t="e">
        <f t="shared" si="81"/>
        <v>#DIV/0!</v>
      </c>
      <c r="W204" s="144" t="e">
        <f t="shared" si="81"/>
        <v>#DIV/0!</v>
      </c>
      <c r="X204" s="144" t="e">
        <f t="shared" si="81"/>
        <v>#DIV/0!</v>
      </c>
      <c r="Y204" s="144" t="e">
        <f t="shared" si="81"/>
        <v>#DIV/0!</v>
      </c>
      <c r="Z204" s="9" t="e">
        <f t="shared" si="81"/>
        <v>#DIV/0!</v>
      </c>
      <c r="AA204" s="144" t="e">
        <f t="shared" si="81"/>
        <v>#DIV/0!</v>
      </c>
      <c r="AB204" s="144" t="e">
        <f t="shared" si="81"/>
        <v>#DIV/0!</v>
      </c>
      <c r="AC204" s="144" t="e">
        <f t="shared" si="81"/>
        <v>#DIV/0!</v>
      </c>
      <c r="AD204" s="144" t="e">
        <f t="shared" si="81"/>
        <v>#DIV/0!</v>
      </c>
      <c r="AE204" s="9" t="e">
        <f t="shared" si="81"/>
        <v>#DIV/0!</v>
      </c>
      <c r="AF204" s="144" t="e">
        <f t="shared" si="81"/>
        <v>#DIV/0!</v>
      </c>
      <c r="AG204" s="144" t="e">
        <f t="shared" si="81"/>
        <v>#DIV/0!</v>
      </c>
      <c r="AH204" s="144" t="e">
        <f t="shared" si="81"/>
        <v>#DIV/0!</v>
      </c>
      <c r="AI204" s="144" t="e">
        <f t="shared" si="81"/>
        <v>#DIV/0!</v>
      </c>
      <c r="AJ204" s="9" t="e">
        <f t="shared" si="81"/>
        <v>#DIV/0!</v>
      </c>
      <c r="AK204" s="144" t="e">
        <f t="shared" si="81"/>
        <v>#DIV/0!</v>
      </c>
      <c r="AL204" s="144" t="e">
        <f t="shared" si="81"/>
        <v>#DIV/0!</v>
      </c>
      <c r="AM204" s="144" t="e">
        <f t="shared" si="81"/>
        <v>#DIV/0!</v>
      </c>
      <c r="AN204" s="144" t="e">
        <f t="shared" si="81"/>
        <v>#DIV/0!</v>
      </c>
      <c r="AO204" s="9" t="e">
        <f t="shared" si="81"/>
        <v>#DIV/0!</v>
      </c>
      <c r="AP204" s="144" t="e">
        <f t="shared" si="81"/>
        <v>#DIV/0!</v>
      </c>
      <c r="AQ204" s="144" t="e">
        <f t="shared" si="81"/>
        <v>#DIV/0!</v>
      </c>
      <c r="AR204" s="144" t="e">
        <f t="shared" si="81"/>
        <v>#DIV/0!</v>
      </c>
      <c r="AS204" s="144" t="e">
        <f t="shared" si="81"/>
        <v>#DIV/0!</v>
      </c>
      <c r="AT204" s="9" t="e">
        <f t="shared" si="81"/>
        <v>#DIV/0!</v>
      </c>
      <c r="AU204" s="144" t="e">
        <f t="shared" si="81"/>
        <v>#DIV/0!</v>
      </c>
      <c r="AV204" s="144" t="e">
        <f t="shared" si="81"/>
        <v>#DIV/0!</v>
      </c>
      <c r="AW204" s="144" t="e">
        <f t="shared" si="81"/>
        <v>#DIV/0!</v>
      </c>
      <c r="AX204" s="144" t="e">
        <f t="shared" si="81"/>
        <v>#DIV/0!</v>
      </c>
      <c r="AY204" s="117" t="e">
        <f t="shared" si="81"/>
        <v>#DIV/0!</v>
      </c>
    </row>
    <row r="205" spans="1:51">
      <c r="A205" s="137" t="s">
        <v>159</v>
      </c>
      <c r="B205" s="117" t="e">
        <f t="shared" ref="B205:AY208" si="82">B67/B$137</f>
        <v>#DIV/0!</v>
      </c>
      <c r="C205" s="117" t="e">
        <f t="shared" si="82"/>
        <v>#DIV/0!</v>
      </c>
      <c r="D205" s="117" t="e">
        <f t="shared" si="82"/>
        <v>#DIV/0!</v>
      </c>
      <c r="E205" s="117" t="e">
        <f t="shared" si="82"/>
        <v>#DIV/0!</v>
      </c>
      <c r="F205" s="9" t="e">
        <f t="shared" si="82"/>
        <v>#DIV/0!</v>
      </c>
      <c r="G205" s="117" t="e">
        <f t="shared" si="82"/>
        <v>#DIV/0!</v>
      </c>
      <c r="H205" s="117" t="e">
        <f t="shared" si="82"/>
        <v>#DIV/0!</v>
      </c>
      <c r="I205" s="117" t="e">
        <f t="shared" si="82"/>
        <v>#DIV/0!</v>
      </c>
      <c r="J205" s="117" t="e">
        <f t="shared" si="82"/>
        <v>#DIV/0!</v>
      </c>
      <c r="K205" s="9" t="e">
        <f t="shared" si="82"/>
        <v>#DIV/0!</v>
      </c>
      <c r="L205" s="117" t="e">
        <f t="shared" si="82"/>
        <v>#DIV/0!</v>
      </c>
      <c r="M205" s="117" t="e">
        <f t="shared" si="82"/>
        <v>#DIV/0!</v>
      </c>
      <c r="N205" s="117" t="e">
        <f t="shared" si="82"/>
        <v>#DIV/0!</v>
      </c>
      <c r="O205" s="117" t="e">
        <f t="shared" si="82"/>
        <v>#DIV/0!</v>
      </c>
      <c r="P205" s="9" t="e">
        <f t="shared" si="82"/>
        <v>#DIV/0!</v>
      </c>
      <c r="Q205" s="144" t="e">
        <f t="shared" si="82"/>
        <v>#DIV/0!</v>
      </c>
      <c r="R205" s="144" t="e">
        <f t="shared" si="82"/>
        <v>#DIV/0!</v>
      </c>
      <c r="S205" s="144" t="e">
        <f t="shared" si="82"/>
        <v>#DIV/0!</v>
      </c>
      <c r="T205" s="144" t="e">
        <f t="shared" si="82"/>
        <v>#DIV/0!</v>
      </c>
      <c r="U205" s="9" t="e">
        <f t="shared" si="82"/>
        <v>#DIV/0!</v>
      </c>
      <c r="V205" s="144" t="e">
        <f t="shared" si="82"/>
        <v>#DIV/0!</v>
      </c>
      <c r="W205" s="144" t="e">
        <f t="shared" si="82"/>
        <v>#DIV/0!</v>
      </c>
      <c r="X205" s="144" t="e">
        <f t="shared" si="82"/>
        <v>#DIV/0!</v>
      </c>
      <c r="Y205" s="144" t="e">
        <f t="shared" si="82"/>
        <v>#DIV/0!</v>
      </c>
      <c r="Z205" s="9" t="e">
        <f t="shared" si="82"/>
        <v>#DIV/0!</v>
      </c>
      <c r="AA205" s="144" t="e">
        <f t="shared" si="82"/>
        <v>#DIV/0!</v>
      </c>
      <c r="AB205" s="144" t="e">
        <f t="shared" si="82"/>
        <v>#DIV/0!</v>
      </c>
      <c r="AC205" s="144" t="e">
        <f t="shared" si="82"/>
        <v>#DIV/0!</v>
      </c>
      <c r="AD205" s="144" t="e">
        <f t="shared" si="82"/>
        <v>#DIV/0!</v>
      </c>
      <c r="AE205" s="9" t="e">
        <f t="shared" si="82"/>
        <v>#DIV/0!</v>
      </c>
      <c r="AF205" s="144" t="e">
        <f t="shared" si="82"/>
        <v>#DIV/0!</v>
      </c>
      <c r="AG205" s="144" t="e">
        <f t="shared" si="82"/>
        <v>#DIV/0!</v>
      </c>
      <c r="AH205" s="144" t="e">
        <f t="shared" si="82"/>
        <v>#DIV/0!</v>
      </c>
      <c r="AI205" s="144" t="e">
        <f t="shared" si="82"/>
        <v>#DIV/0!</v>
      </c>
      <c r="AJ205" s="9" t="e">
        <f t="shared" si="82"/>
        <v>#DIV/0!</v>
      </c>
      <c r="AK205" s="144" t="e">
        <f t="shared" si="82"/>
        <v>#DIV/0!</v>
      </c>
      <c r="AL205" s="144" t="e">
        <f t="shared" si="82"/>
        <v>#DIV/0!</v>
      </c>
      <c r="AM205" s="144" t="e">
        <f t="shared" si="82"/>
        <v>#DIV/0!</v>
      </c>
      <c r="AN205" s="144" t="e">
        <f t="shared" si="82"/>
        <v>#DIV/0!</v>
      </c>
      <c r="AO205" s="9" t="e">
        <f t="shared" si="82"/>
        <v>#DIV/0!</v>
      </c>
      <c r="AP205" s="144" t="e">
        <f t="shared" si="82"/>
        <v>#DIV/0!</v>
      </c>
      <c r="AQ205" s="144" t="e">
        <f t="shared" si="82"/>
        <v>#DIV/0!</v>
      </c>
      <c r="AR205" s="144" t="e">
        <f t="shared" si="82"/>
        <v>#DIV/0!</v>
      </c>
      <c r="AS205" s="144" t="e">
        <f t="shared" si="82"/>
        <v>#DIV/0!</v>
      </c>
      <c r="AT205" s="9" t="e">
        <f t="shared" si="82"/>
        <v>#DIV/0!</v>
      </c>
      <c r="AU205" s="144" t="e">
        <f t="shared" si="82"/>
        <v>#DIV/0!</v>
      </c>
      <c r="AV205" s="144" t="e">
        <f t="shared" si="82"/>
        <v>#DIV/0!</v>
      </c>
      <c r="AW205" s="144" t="e">
        <f t="shared" si="82"/>
        <v>#DIV/0!</v>
      </c>
      <c r="AX205" s="144" t="e">
        <f t="shared" si="82"/>
        <v>#DIV/0!</v>
      </c>
      <c r="AY205" s="117" t="e">
        <f t="shared" si="82"/>
        <v>#DIV/0!</v>
      </c>
    </row>
    <row r="206" spans="1:51">
      <c r="A206" s="137" t="s">
        <v>161</v>
      </c>
      <c r="B206" s="117" t="e">
        <f t="shared" si="82"/>
        <v>#DIV/0!</v>
      </c>
      <c r="C206" s="117" t="e">
        <f t="shared" si="82"/>
        <v>#DIV/0!</v>
      </c>
      <c r="D206" s="117" t="e">
        <f t="shared" si="82"/>
        <v>#DIV/0!</v>
      </c>
      <c r="E206" s="117" t="e">
        <f t="shared" si="82"/>
        <v>#DIV/0!</v>
      </c>
      <c r="F206" s="9" t="e">
        <f t="shared" si="82"/>
        <v>#DIV/0!</v>
      </c>
      <c r="G206" s="117" t="e">
        <f t="shared" si="82"/>
        <v>#DIV/0!</v>
      </c>
      <c r="H206" s="117" t="e">
        <f t="shared" si="82"/>
        <v>#DIV/0!</v>
      </c>
      <c r="I206" s="117" t="e">
        <f t="shared" si="82"/>
        <v>#DIV/0!</v>
      </c>
      <c r="J206" s="117" t="e">
        <f t="shared" si="82"/>
        <v>#DIV/0!</v>
      </c>
      <c r="K206" s="9" t="e">
        <f t="shared" si="82"/>
        <v>#DIV/0!</v>
      </c>
      <c r="L206" s="117" t="e">
        <f t="shared" si="82"/>
        <v>#DIV/0!</v>
      </c>
      <c r="M206" s="117" t="e">
        <f t="shared" si="82"/>
        <v>#DIV/0!</v>
      </c>
      <c r="N206" s="117" t="e">
        <f t="shared" si="82"/>
        <v>#DIV/0!</v>
      </c>
      <c r="O206" s="117" t="e">
        <f t="shared" si="82"/>
        <v>#DIV/0!</v>
      </c>
      <c r="P206" s="9" t="e">
        <f t="shared" si="82"/>
        <v>#DIV/0!</v>
      </c>
      <c r="Q206" s="144" t="e">
        <f t="shared" si="82"/>
        <v>#DIV/0!</v>
      </c>
      <c r="R206" s="144" t="e">
        <f t="shared" si="82"/>
        <v>#DIV/0!</v>
      </c>
      <c r="S206" s="144" t="e">
        <f t="shared" si="82"/>
        <v>#DIV/0!</v>
      </c>
      <c r="T206" s="144" t="e">
        <f t="shared" si="82"/>
        <v>#DIV/0!</v>
      </c>
      <c r="U206" s="9" t="e">
        <f t="shared" si="82"/>
        <v>#DIV/0!</v>
      </c>
      <c r="V206" s="144" t="e">
        <f t="shared" si="82"/>
        <v>#DIV/0!</v>
      </c>
      <c r="W206" s="144" t="e">
        <f t="shared" si="82"/>
        <v>#DIV/0!</v>
      </c>
      <c r="X206" s="144" t="e">
        <f t="shared" si="82"/>
        <v>#DIV/0!</v>
      </c>
      <c r="Y206" s="144" t="e">
        <f t="shared" si="82"/>
        <v>#DIV/0!</v>
      </c>
      <c r="Z206" s="9" t="e">
        <f t="shared" si="82"/>
        <v>#DIV/0!</v>
      </c>
      <c r="AA206" s="144" t="e">
        <f t="shared" si="82"/>
        <v>#DIV/0!</v>
      </c>
      <c r="AB206" s="144" t="e">
        <f t="shared" si="82"/>
        <v>#DIV/0!</v>
      </c>
      <c r="AC206" s="144" t="e">
        <f t="shared" si="82"/>
        <v>#DIV/0!</v>
      </c>
      <c r="AD206" s="144" t="e">
        <f t="shared" si="82"/>
        <v>#DIV/0!</v>
      </c>
      <c r="AE206" s="9" t="e">
        <f t="shared" si="82"/>
        <v>#DIV/0!</v>
      </c>
      <c r="AF206" s="144" t="e">
        <f t="shared" si="82"/>
        <v>#DIV/0!</v>
      </c>
      <c r="AG206" s="144" t="e">
        <f t="shared" si="82"/>
        <v>#DIV/0!</v>
      </c>
      <c r="AH206" s="144" t="e">
        <f t="shared" si="82"/>
        <v>#DIV/0!</v>
      </c>
      <c r="AI206" s="144" t="e">
        <f t="shared" si="82"/>
        <v>#DIV/0!</v>
      </c>
      <c r="AJ206" s="9" t="e">
        <f t="shared" si="82"/>
        <v>#DIV/0!</v>
      </c>
      <c r="AK206" s="144" t="e">
        <f t="shared" si="82"/>
        <v>#DIV/0!</v>
      </c>
      <c r="AL206" s="144" t="e">
        <f t="shared" si="82"/>
        <v>#DIV/0!</v>
      </c>
      <c r="AM206" s="144" t="e">
        <f t="shared" si="82"/>
        <v>#DIV/0!</v>
      </c>
      <c r="AN206" s="144" t="e">
        <f t="shared" si="82"/>
        <v>#DIV/0!</v>
      </c>
      <c r="AO206" s="9" t="e">
        <f t="shared" si="82"/>
        <v>#DIV/0!</v>
      </c>
      <c r="AP206" s="144" t="e">
        <f t="shared" si="82"/>
        <v>#DIV/0!</v>
      </c>
      <c r="AQ206" s="144" t="e">
        <f t="shared" si="82"/>
        <v>#DIV/0!</v>
      </c>
      <c r="AR206" s="144" t="e">
        <f t="shared" si="82"/>
        <v>#DIV/0!</v>
      </c>
      <c r="AS206" s="144" t="e">
        <f t="shared" si="82"/>
        <v>#DIV/0!</v>
      </c>
      <c r="AT206" s="9" t="e">
        <f t="shared" si="82"/>
        <v>#DIV/0!</v>
      </c>
      <c r="AU206" s="144" t="e">
        <f t="shared" si="82"/>
        <v>#DIV/0!</v>
      </c>
      <c r="AV206" s="144" t="e">
        <f t="shared" si="82"/>
        <v>#DIV/0!</v>
      </c>
      <c r="AW206" s="144" t="e">
        <f t="shared" si="82"/>
        <v>#DIV/0!</v>
      </c>
      <c r="AX206" s="144" t="e">
        <f t="shared" si="82"/>
        <v>#DIV/0!</v>
      </c>
      <c r="AY206" s="117" t="e">
        <f t="shared" si="82"/>
        <v>#DIV/0!</v>
      </c>
    </row>
    <row r="207" spans="1:51">
      <c r="A207" s="137" t="s">
        <v>163</v>
      </c>
      <c r="B207" s="117" t="e">
        <f t="shared" si="82"/>
        <v>#DIV/0!</v>
      </c>
      <c r="C207" s="117" t="e">
        <f t="shared" si="82"/>
        <v>#DIV/0!</v>
      </c>
      <c r="D207" s="117" t="e">
        <f t="shared" si="82"/>
        <v>#DIV/0!</v>
      </c>
      <c r="E207" s="117" t="e">
        <f t="shared" si="82"/>
        <v>#DIV/0!</v>
      </c>
      <c r="F207" s="9" t="e">
        <f t="shared" si="82"/>
        <v>#DIV/0!</v>
      </c>
      <c r="G207" s="117" t="e">
        <f t="shared" si="82"/>
        <v>#DIV/0!</v>
      </c>
      <c r="H207" s="117" t="e">
        <f t="shared" si="82"/>
        <v>#DIV/0!</v>
      </c>
      <c r="I207" s="117" t="e">
        <f t="shared" si="82"/>
        <v>#DIV/0!</v>
      </c>
      <c r="J207" s="117" t="e">
        <f t="shared" si="82"/>
        <v>#DIV/0!</v>
      </c>
      <c r="K207" s="9" t="e">
        <f t="shared" si="82"/>
        <v>#DIV/0!</v>
      </c>
      <c r="L207" s="117" t="e">
        <f t="shared" si="82"/>
        <v>#DIV/0!</v>
      </c>
      <c r="M207" s="117" t="e">
        <f t="shared" si="82"/>
        <v>#DIV/0!</v>
      </c>
      <c r="N207" s="117" t="e">
        <f t="shared" si="82"/>
        <v>#DIV/0!</v>
      </c>
      <c r="O207" s="117" t="e">
        <f t="shared" si="82"/>
        <v>#DIV/0!</v>
      </c>
      <c r="P207" s="9" t="e">
        <f t="shared" si="82"/>
        <v>#DIV/0!</v>
      </c>
      <c r="Q207" s="144" t="e">
        <f t="shared" si="82"/>
        <v>#DIV/0!</v>
      </c>
      <c r="R207" s="144" t="e">
        <f t="shared" si="82"/>
        <v>#DIV/0!</v>
      </c>
      <c r="S207" s="144" t="e">
        <f t="shared" si="82"/>
        <v>#DIV/0!</v>
      </c>
      <c r="T207" s="144" t="e">
        <f t="shared" si="82"/>
        <v>#DIV/0!</v>
      </c>
      <c r="U207" s="9" t="e">
        <f t="shared" si="82"/>
        <v>#DIV/0!</v>
      </c>
      <c r="V207" s="144" t="e">
        <f t="shared" si="82"/>
        <v>#DIV/0!</v>
      </c>
      <c r="W207" s="144" t="e">
        <f t="shared" si="82"/>
        <v>#DIV/0!</v>
      </c>
      <c r="X207" s="144" t="e">
        <f t="shared" si="82"/>
        <v>#DIV/0!</v>
      </c>
      <c r="Y207" s="144" t="e">
        <f t="shared" si="82"/>
        <v>#DIV/0!</v>
      </c>
      <c r="Z207" s="9" t="e">
        <f t="shared" si="82"/>
        <v>#DIV/0!</v>
      </c>
      <c r="AA207" s="144" t="e">
        <f t="shared" si="82"/>
        <v>#DIV/0!</v>
      </c>
      <c r="AB207" s="144" t="e">
        <f t="shared" si="82"/>
        <v>#DIV/0!</v>
      </c>
      <c r="AC207" s="144" t="e">
        <f t="shared" si="82"/>
        <v>#DIV/0!</v>
      </c>
      <c r="AD207" s="144" t="e">
        <f t="shared" si="82"/>
        <v>#DIV/0!</v>
      </c>
      <c r="AE207" s="9" t="e">
        <f t="shared" si="82"/>
        <v>#DIV/0!</v>
      </c>
      <c r="AF207" s="144" t="e">
        <f t="shared" si="82"/>
        <v>#DIV/0!</v>
      </c>
      <c r="AG207" s="144" t="e">
        <f t="shared" si="82"/>
        <v>#DIV/0!</v>
      </c>
      <c r="AH207" s="144" t="e">
        <f t="shared" si="82"/>
        <v>#DIV/0!</v>
      </c>
      <c r="AI207" s="144" t="e">
        <f t="shared" si="82"/>
        <v>#DIV/0!</v>
      </c>
      <c r="AJ207" s="9" t="e">
        <f t="shared" si="82"/>
        <v>#DIV/0!</v>
      </c>
      <c r="AK207" s="144" t="e">
        <f t="shared" si="82"/>
        <v>#DIV/0!</v>
      </c>
      <c r="AL207" s="144" t="e">
        <f t="shared" si="82"/>
        <v>#DIV/0!</v>
      </c>
      <c r="AM207" s="144" t="e">
        <f t="shared" si="82"/>
        <v>#DIV/0!</v>
      </c>
      <c r="AN207" s="144" t="e">
        <f t="shared" si="82"/>
        <v>#DIV/0!</v>
      </c>
      <c r="AO207" s="9" t="e">
        <f t="shared" si="82"/>
        <v>#DIV/0!</v>
      </c>
      <c r="AP207" s="144" t="e">
        <f t="shared" si="82"/>
        <v>#DIV/0!</v>
      </c>
      <c r="AQ207" s="144" t="e">
        <f t="shared" si="82"/>
        <v>#DIV/0!</v>
      </c>
      <c r="AR207" s="144" t="e">
        <f t="shared" si="82"/>
        <v>#DIV/0!</v>
      </c>
      <c r="AS207" s="144" t="e">
        <f t="shared" si="82"/>
        <v>#DIV/0!</v>
      </c>
      <c r="AT207" s="9" t="e">
        <f t="shared" si="82"/>
        <v>#DIV/0!</v>
      </c>
      <c r="AU207" s="144" t="e">
        <f t="shared" si="82"/>
        <v>#DIV/0!</v>
      </c>
      <c r="AV207" s="144" t="e">
        <f t="shared" si="82"/>
        <v>#DIV/0!</v>
      </c>
      <c r="AW207" s="144" t="e">
        <f t="shared" si="82"/>
        <v>#DIV/0!</v>
      </c>
      <c r="AX207" s="144" t="e">
        <f t="shared" si="82"/>
        <v>#DIV/0!</v>
      </c>
      <c r="AY207" s="117" t="e">
        <f t="shared" si="82"/>
        <v>#DIV/0!</v>
      </c>
    </row>
    <row r="208" spans="1:51">
      <c r="A208" s="137" t="s">
        <v>165</v>
      </c>
      <c r="B208" s="117" t="e">
        <f t="shared" si="82"/>
        <v>#DIV/0!</v>
      </c>
      <c r="C208" s="117" t="e">
        <f t="shared" si="82"/>
        <v>#DIV/0!</v>
      </c>
      <c r="D208" s="117" t="e">
        <f t="shared" si="82"/>
        <v>#DIV/0!</v>
      </c>
      <c r="E208" s="117" t="e">
        <f t="shared" si="82"/>
        <v>#DIV/0!</v>
      </c>
      <c r="F208" s="9" t="e">
        <f t="shared" si="82"/>
        <v>#DIV/0!</v>
      </c>
      <c r="G208" s="117" t="e">
        <f t="shared" si="82"/>
        <v>#DIV/0!</v>
      </c>
      <c r="H208" s="117" t="e">
        <f t="shared" si="82"/>
        <v>#DIV/0!</v>
      </c>
      <c r="I208" s="117" t="e">
        <f t="shared" si="82"/>
        <v>#DIV/0!</v>
      </c>
      <c r="J208" s="117" t="e">
        <f t="shared" si="82"/>
        <v>#DIV/0!</v>
      </c>
      <c r="K208" s="9" t="e">
        <f t="shared" si="82"/>
        <v>#DIV/0!</v>
      </c>
      <c r="L208" s="117" t="e">
        <f t="shared" si="82"/>
        <v>#DIV/0!</v>
      </c>
      <c r="M208" s="117" t="e">
        <f t="shared" si="82"/>
        <v>#DIV/0!</v>
      </c>
      <c r="N208" s="117" t="e">
        <f t="shared" si="82"/>
        <v>#DIV/0!</v>
      </c>
      <c r="O208" s="117" t="e">
        <f t="shared" si="82"/>
        <v>#DIV/0!</v>
      </c>
      <c r="P208" s="9" t="e">
        <f t="shared" si="82"/>
        <v>#DIV/0!</v>
      </c>
      <c r="Q208" s="144" t="e">
        <f t="shared" si="82"/>
        <v>#DIV/0!</v>
      </c>
      <c r="R208" s="144" t="e">
        <f t="shared" si="82"/>
        <v>#DIV/0!</v>
      </c>
      <c r="S208" s="144" t="e">
        <f t="shared" si="82"/>
        <v>#DIV/0!</v>
      </c>
      <c r="T208" s="144" t="e">
        <f t="shared" si="82"/>
        <v>#DIV/0!</v>
      </c>
      <c r="U208" s="9" t="e">
        <f t="shared" si="82"/>
        <v>#DIV/0!</v>
      </c>
      <c r="V208" s="144" t="e">
        <f t="shared" si="82"/>
        <v>#DIV/0!</v>
      </c>
      <c r="W208" s="144" t="e">
        <f t="shared" si="82"/>
        <v>#DIV/0!</v>
      </c>
      <c r="X208" s="144" t="e">
        <f t="shared" si="82"/>
        <v>#DIV/0!</v>
      </c>
      <c r="Y208" s="144" t="e">
        <f t="shared" si="82"/>
        <v>#DIV/0!</v>
      </c>
      <c r="Z208" s="9" t="e">
        <f t="shared" si="82"/>
        <v>#DIV/0!</v>
      </c>
      <c r="AA208" s="144" t="e">
        <f t="shared" si="82"/>
        <v>#DIV/0!</v>
      </c>
      <c r="AB208" s="144" t="e">
        <f t="shared" si="82"/>
        <v>#DIV/0!</v>
      </c>
      <c r="AC208" s="144" t="e">
        <f t="shared" si="82"/>
        <v>#DIV/0!</v>
      </c>
      <c r="AD208" s="144" t="e">
        <f t="shared" si="82"/>
        <v>#DIV/0!</v>
      </c>
      <c r="AE208" s="9" t="e">
        <f t="shared" si="82"/>
        <v>#DIV/0!</v>
      </c>
      <c r="AF208" s="144" t="e">
        <f t="shared" si="82"/>
        <v>#DIV/0!</v>
      </c>
      <c r="AG208" s="144" t="e">
        <f t="shared" si="82"/>
        <v>#DIV/0!</v>
      </c>
      <c r="AH208" s="144" t="e">
        <f t="shared" si="82"/>
        <v>#DIV/0!</v>
      </c>
      <c r="AI208" s="144" t="e">
        <f t="shared" si="82"/>
        <v>#DIV/0!</v>
      </c>
      <c r="AJ208" s="9" t="e">
        <f t="shared" si="82"/>
        <v>#DIV/0!</v>
      </c>
      <c r="AK208" s="144" t="e">
        <f t="shared" si="82"/>
        <v>#DIV/0!</v>
      </c>
      <c r="AL208" s="144" t="e">
        <f t="shared" si="82"/>
        <v>#DIV/0!</v>
      </c>
      <c r="AM208" s="144" t="e">
        <f t="shared" si="82"/>
        <v>#DIV/0!</v>
      </c>
      <c r="AN208" s="144" t="e">
        <f t="shared" si="82"/>
        <v>#DIV/0!</v>
      </c>
      <c r="AO208" s="9" t="e">
        <f t="shared" si="82"/>
        <v>#DIV/0!</v>
      </c>
      <c r="AP208" s="144" t="e">
        <f t="shared" si="82"/>
        <v>#DIV/0!</v>
      </c>
      <c r="AQ208" s="144" t="e">
        <f t="shared" si="82"/>
        <v>#DIV/0!</v>
      </c>
      <c r="AR208" s="144" t="e">
        <f t="shared" si="82"/>
        <v>#DIV/0!</v>
      </c>
      <c r="AS208" s="144" t="e">
        <f t="shared" si="82"/>
        <v>#DIV/0!</v>
      </c>
      <c r="AT208" s="9" t="e">
        <f t="shared" si="82"/>
        <v>#DIV/0!</v>
      </c>
      <c r="AU208" s="144" t="e">
        <f t="shared" si="82"/>
        <v>#DIV/0!</v>
      </c>
      <c r="AV208" s="144" t="e">
        <f t="shared" si="82"/>
        <v>#DIV/0!</v>
      </c>
      <c r="AW208" s="144" t="e">
        <f t="shared" si="82"/>
        <v>#DIV/0!</v>
      </c>
      <c r="AX208" s="144" t="e">
        <f t="shared" si="82"/>
        <v>#DIV/0!</v>
      </c>
      <c r="AY208" s="117" t="e">
        <f t="shared" si="82"/>
        <v>#DIV/0!</v>
      </c>
    </row>
    <row r="209" spans="1:51">
      <c r="A209" s="137" t="s">
        <v>167</v>
      </c>
      <c r="B209" s="117" t="e">
        <f t="shared" ref="B209:AY212" si="83">B71/B$137</f>
        <v>#DIV/0!</v>
      </c>
      <c r="C209" s="117" t="e">
        <f t="shared" si="83"/>
        <v>#DIV/0!</v>
      </c>
      <c r="D209" s="117" t="e">
        <f t="shared" si="83"/>
        <v>#DIV/0!</v>
      </c>
      <c r="E209" s="117" t="e">
        <f t="shared" si="83"/>
        <v>#DIV/0!</v>
      </c>
      <c r="F209" s="9" t="e">
        <f t="shared" si="83"/>
        <v>#DIV/0!</v>
      </c>
      <c r="G209" s="117" t="e">
        <f t="shared" si="83"/>
        <v>#DIV/0!</v>
      </c>
      <c r="H209" s="117" t="e">
        <f t="shared" si="83"/>
        <v>#DIV/0!</v>
      </c>
      <c r="I209" s="117" t="e">
        <f t="shared" si="83"/>
        <v>#DIV/0!</v>
      </c>
      <c r="J209" s="117" t="e">
        <f t="shared" si="83"/>
        <v>#DIV/0!</v>
      </c>
      <c r="K209" s="9" t="e">
        <f t="shared" si="83"/>
        <v>#DIV/0!</v>
      </c>
      <c r="L209" s="117" t="e">
        <f t="shared" si="83"/>
        <v>#DIV/0!</v>
      </c>
      <c r="M209" s="117" t="e">
        <f t="shared" si="83"/>
        <v>#DIV/0!</v>
      </c>
      <c r="N209" s="117" t="e">
        <f t="shared" si="83"/>
        <v>#DIV/0!</v>
      </c>
      <c r="O209" s="117" t="e">
        <f t="shared" si="83"/>
        <v>#DIV/0!</v>
      </c>
      <c r="P209" s="9" t="e">
        <f t="shared" si="83"/>
        <v>#DIV/0!</v>
      </c>
      <c r="Q209" s="144" t="e">
        <f t="shared" si="83"/>
        <v>#DIV/0!</v>
      </c>
      <c r="R209" s="144" t="e">
        <f t="shared" si="83"/>
        <v>#DIV/0!</v>
      </c>
      <c r="S209" s="144" t="e">
        <f t="shared" si="83"/>
        <v>#DIV/0!</v>
      </c>
      <c r="T209" s="144" t="e">
        <f t="shared" si="83"/>
        <v>#DIV/0!</v>
      </c>
      <c r="U209" s="9" t="e">
        <f t="shared" si="83"/>
        <v>#DIV/0!</v>
      </c>
      <c r="V209" s="144" t="e">
        <f t="shared" si="83"/>
        <v>#DIV/0!</v>
      </c>
      <c r="W209" s="144" t="e">
        <f t="shared" si="83"/>
        <v>#DIV/0!</v>
      </c>
      <c r="X209" s="144" t="e">
        <f t="shared" si="83"/>
        <v>#DIV/0!</v>
      </c>
      <c r="Y209" s="144" t="e">
        <f t="shared" si="83"/>
        <v>#DIV/0!</v>
      </c>
      <c r="Z209" s="9" t="e">
        <f t="shared" si="83"/>
        <v>#DIV/0!</v>
      </c>
      <c r="AA209" s="144" t="e">
        <f t="shared" si="83"/>
        <v>#DIV/0!</v>
      </c>
      <c r="AB209" s="144" t="e">
        <f t="shared" si="83"/>
        <v>#DIV/0!</v>
      </c>
      <c r="AC209" s="144" t="e">
        <f t="shared" si="83"/>
        <v>#DIV/0!</v>
      </c>
      <c r="AD209" s="144" t="e">
        <f t="shared" si="83"/>
        <v>#DIV/0!</v>
      </c>
      <c r="AE209" s="9" t="e">
        <f t="shared" si="83"/>
        <v>#DIV/0!</v>
      </c>
      <c r="AF209" s="144" t="e">
        <f t="shared" si="83"/>
        <v>#DIV/0!</v>
      </c>
      <c r="AG209" s="144" t="e">
        <f t="shared" si="83"/>
        <v>#DIV/0!</v>
      </c>
      <c r="AH209" s="144" t="e">
        <f t="shared" si="83"/>
        <v>#DIV/0!</v>
      </c>
      <c r="AI209" s="144" t="e">
        <f t="shared" si="83"/>
        <v>#DIV/0!</v>
      </c>
      <c r="AJ209" s="9" t="e">
        <f t="shared" si="83"/>
        <v>#DIV/0!</v>
      </c>
      <c r="AK209" s="144" t="e">
        <f t="shared" si="83"/>
        <v>#DIV/0!</v>
      </c>
      <c r="AL209" s="144" t="e">
        <f t="shared" si="83"/>
        <v>#DIV/0!</v>
      </c>
      <c r="AM209" s="144" t="e">
        <f t="shared" si="83"/>
        <v>#DIV/0!</v>
      </c>
      <c r="AN209" s="144" t="e">
        <f t="shared" si="83"/>
        <v>#DIV/0!</v>
      </c>
      <c r="AO209" s="9" t="e">
        <f t="shared" si="83"/>
        <v>#DIV/0!</v>
      </c>
      <c r="AP209" s="144" t="e">
        <f t="shared" si="83"/>
        <v>#DIV/0!</v>
      </c>
      <c r="AQ209" s="144" t="e">
        <f t="shared" si="83"/>
        <v>#DIV/0!</v>
      </c>
      <c r="AR209" s="144" t="e">
        <f t="shared" si="83"/>
        <v>#DIV/0!</v>
      </c>
      <c r="AS209" s="144" t="e">
        <f t="shared" si="83"/>
        <v>#DIV/0!</v>
      </c>
      <c r="AT209" s="9" t="e">
        <f t="shared" si="83"/>
        <v>#DIV/0!</v>
      </c>
      <c r="AU209" s="144" t="e">
        <f t="shared" si="83"/>
        <v>#DIV/0!</v>
      </c>
      <c r="AV209" s="144" t="e">
        <f t="shared" si="83"/>
        <v>#DIV/0!</v>
      </c>
      <c r="AW209" s="144" t="e">
        <f t="shared" si="83"/>
        <v>#DIV/0!</v>
      </c>
      <c r="AX209" s="144" t="e">
        <f t="shared" si="83"/>
        <v>#DIV/0!</v>
      </c>
      <c r="AY209" s="117" t="e">
        <f t="shared" si="83"/>
        <v>#DIV/0!</v>
      </c>
    </row>
    <row r="210" spans="1:51">
      <c r="A210" s="137" t="s">
        <v>169</v>
      </c>
      <c r="B210" s="117" t="e">
        <f t="shared" si="83"/>
        <v>#DIV/0!</v>
      </c>
      <c r="C210" s="117" t="e">
        <f t="shared" si="83"/>
        <v>#DIV/0!</v>
      </c>
      <c r="D210" s="117" t="e">
        <f t="shared" si="83"/>
        <v>#DIV/0!</v>
      </c>
      <c r="E210" s="117" t="e">
        <f t="shared" si="83"/>
        <v>#DIV/0!</v>
      </c>
      <c r="F210" s="9" t="e">
        <f t="shared" si="83"/>
        <v>#DIV/0!</v>
      </c>
      <c r="G210" s="117" t="e">
        <f t="shared" si="83"/>
        <v>#DIV/0!</v>
      </c>
      <c r="H210" s="117" t="e">
        <f t="shared" si="83"/>
        <v>#DIV/0!</v>
      </c>
      <c r="I210" s="117" t="e">
        <f t="shared" si="83"/>
        <v>#DIV/0!</v>
      </c>
      <c r="J210" s="117" t="e">
        <f t="shared" si="83"/>
        <v>#DIV/0!</v>
      </c>
      <c r="K210" s="9" t="e">
        <f t="shared" si="83"/>
        <v>#DIV/0!</v>
      </c>
      <c r="L210" s="117" t="e">
        <f t="shared" si="83"/>
        <v>#DIV/0!</v>
      </c>
      <c r="M210" s="117" t="e">
        <f t="shared" si="83"/>
        <v>#DIV/0!</v>
      </c>
      <c r="N210" s="117" t="e">
        <f t="shared" si="83"/>
        <v>#DIV/0!</v>
      </c>
      <c r="O210" s="117" t="e">
        <f t="shared" si="83"/>
        <v>#DIV/0!</v>
      </c>
      <c r="P210" s="9" t="e">
        <f t="shared" si="83"/>
        <v>#DIV/0!</v>
      </c>
      <c r="Q210" s="144" t="e">
        <f t="shared" si="83"/>
        <v>#DIV/0!</v>
      </c>
      <c r="R210" s="144" t="e">
        <f t="shared" si="83"/>
        <v>#DIV/0!</v>
      </c>
      <c r="S210" s="144" t="e">
        <f t="shared" si="83"/>
        <v>#DIV/0!</v>
      </c>
      <c r="T210" s="144" t="e">
        <f t="shared" si="83"/>
        <v>#DIV/0!</v>
      </c>
      <c r="U210" s="9" t="e">
        <f t="shared" si="83"/>
        <v>#DIV/0!</v>
      </c>
      <c r="V210" s="144" t="e">
        <f t="shared" si="83"/>
        <v>#DIV/0!</v>
      </c>
      <c r="W210" s="144" t="e">
        <f t="shared" si="83"/>
        <v>#DIV/0!</v>
      </c>
      <c r="X210" s="144" t="e">
        <f t="shared" si="83"/>
        <v>#DIV/0!</v>
      </c>
      <c r="Y210" s="144" t="e">
        <f t="shared" si="83"/>
        <v>#DIV/0!</v>
      </c>
      <c r="Z210" s="9" t="e">
        <f t="shared" si="83"/>
        <v>#DIV/0!</v>
      </c>
      <c r="AA210" s="144" t="e">
        <f t="shared" si="83"/>
        <v>#DIV/0!</v>
      </c>
      <c r="AB210" s="144" t="e">
        <f t="shared" si="83"/>
        <v>#DIV/0!</v>
      </c>
      <c r="AC210" s="144" t="e">
        <f t="shared" si="83"/>
        <v>#DIV/0!</v>
      </c>
      <c r="AD210" s="144" t="e">
        <f t="shared" si="83"/>
        <v>#DIV/0!</v>
      </c>
      <c r="AE210" s="9" t="e">
        <f t="shared" si="83"/>
        <v>#DIV/0!</v>
      </c>
      <c r="AF210" s="144" t="e">
        <f t="shared" si="83"/>
        <v>#DIV/0!</v>
      </c>
      <c r="AG210" s="144" t="e">
        <f t="shared" si="83"/>
        <v>#DIV/0!</v>
      </c>
      <c r="AH210" s="144" t="e">
        <f t="shared" si="83"/>
        <v>#DIV/0!</v>
      </c>
      <c r="AI210" s="144" t="e">
        <f t="shared" si="83"/>
        <v>#DIV/0!</v>
      </c>
      <c r="AJ210" s="9" t="e">
        <f t="shared" si="83"/>
        <v>#DIV/0!</v>
      </c>
      <c r="AK210" s="144" t="e">
        <f t="shared" si="83"/>
        <v>#DIV/0!</v>
      </c>
      <c r="AL210" s="144" t="e">
        <f t="shared" si="83"/>
        <v>#DIV/0!</v>
      </c>
      <c r="AM210" s="144" t="e">
        <f t="shared" si="83"/>
        <v>#DIV/0!</v>
      </c>
      <c r="AN210" s="144" t="e">
        <f t="shared" si="83"/>
        <v>#DIV/0!</v>
      </c>
      <c r="AO210" s="9" t="e">
        <f t="shared" si="83"/>
        <v>#DIV/0!</v>
      </c>
      <c r="AP210" s="144" t="e">
        <f t="shared" si="83"/>
        <v>#DIV/0!</v>
      </c>
      <c r="AQ210" s="144" t="e">
        <f t="shared" si="83"/>
        <v>#DIV/0!</v>
      </c>
      <c r="AR210" s="144" t="e">
        <f t="shared" si="83"/>
        <v>#DIV/0!</v>
      </c>
      <c r="AS210" s="144" t="e">
        <f t="shared" si="83"/>
        <v>#DIV/0!</v>
      </c>
      <c r="AT210" s="9" t="e">
        <f t="shared" si="83"/>
        <v>#DIV/0!</v>
      </c>
      <c r="AU210" s="144" t="e">
        <f t="shared" si="83"/>
        <v>#DIV/0!</v>
      </c>
      <c r="AV210" s="144" t="e">
        <f t="shared" si="83"/>
        <v>#DIV/0!</v>
      </c>
      <c r="AW210" s="144" t="e">
        <f t="shared" si="83"/>
        <v>#DIV/0!</v>
      </c>
      <c r="AX210" s="144" t="e">
        <f t="shared" si="83"/>
        <v>#DIV/0!</v>
      </c>
      <c r="AY210" s="117" t="e">
        <f t="shared" si="83"/>
        <v>#DIV/0!</v>
      </c>
    </row>
    <row r="211" spans="1:51">
      <c r="A211" s="137" t="s">
        <v>171</v>
      </c>
      <c r="B211" s="117" t="e">
        <f t="shared" si="83"/>
        <v>#DIV/0!</v>
      </c>
      <c r="C211" s="117" t="e">
        <f t="shared" si="83"/>
        <v>#DIV/0!</v>
      </c>
      <c r="D211" s="117" t="e">
        <f t="shared" si="83"/>
        <v>#DIV/0!</v>
      </c>
      <c r="E211" s="117" t="e">
        <f t="shared" si="83"/>
        <v>#DIV/0!</v>
      </c>
      <c r="F211" s="9" t="e">
        <f t="shared" si="83"/>
        <v>#DIV/0!</v>
      </c>
      <c r="G211" s="117" t="e">
        <f t="shared" si="83"/>
        <v>#DIV/0!</v>
      </c>
      <c r="H211" s="117" t="e">
        <f t="shared" si="83"/>
        <v>#DIV/0!</v>
      </c>
      <c r="I211" s="117" t="e">
        <f t="shared" si="83"/>
        <v>#DIV/0!</v>
      </c>
      <c r="J211" s="117" t="e">
        <f t="shared" si="83"/>
        <v>#DIV/0!</v>
      </c>
      <c r="K211" s="9" t="e">
        <f t="shared" si="83"/>
        <v>#DIV/0!</v>
      </c>
      <c r="L211" s="117" t="e">
        <f t="shared" si="83"/>
        <v>#DIV/0!</v>
      </c>
      <c r="M211" s="117" t="e">
        <f t="shared" si="83"/>
        <v>#DIV/0!</v>
      </c>
      <c r="N211" s="117" t="e">
        <f t="shared" si="83"/>
        <v>#DIV/0!</v>
      </c>
      <c r="O211" s="117" t="e">
        <f t="shared" si="83"/>
        <v>#DIV/0!</v>
      </c>
      <c r="P211" s="9" t="e">
        <f t="shared" si="83"/>
        <v>#DIV/0!</v>
      </c>
      <c r="Q211" s="144" t="e">
        <f t="shared" si="83"/>
        <v>#DIV/0!</v>
      </c>
      <c r="R211" s="144" t="e">
        <f t="shared" si="83"/>
        <v>#DIV/0!</v>
      </c>
      <c r="S211" s="144" t="e">
        <f t="shared" si="83"/>
        <v>#DIV/0!</v>
      </c>
      <c r="T211" s="144" t="e">
        <f t="shared" si="83"/>
        <v>#DIV/0!</v>
      </c>
      <c r="U211" s="9" t="e">
        <f t="shared" si="83"/>
        <v>#DIV/0!</v>
      </c>
      <c r="V211" s="144" t="e">
        <f t="shared" si="83"/>
        <v>#DIV/0!</v>
      </c>
      <c r="W211" s="144" t="e">
        <f t="shared" si="83"/>
        <v>#DIV/0!</v>
      </c>
      <c r="X211" s="144" t="e">
        <f t="shared" si="83"/>
        <v>#DIV/0!</v>
      </c>
      <c r="Y211" s="144" t="e">
        <f t="shared" si="83"/>
        <v>#DIV/0!</v>
      </c>
      <c r="Z211" s="9" t="e">
        <f t="shared" si="83"/>
        <v>#DIV/0!</v>
      </c>
      <c r="AA211" s="144" t="e">
        <f t="shared" si="83"/>
        <v>#DIV/0!</v>
      </c>
      <c r="AB211" s="144" t="e">
        <f t="shared" si="83"/>
        <v>#DIV/0!</v>
      </c>
      <c r="AC211" s="144" t="e">
        <f t="shared" si="83"/>
        <v>#DIV/0!</v>
      </c>
      <c r="AD211" s="144" t="e">
        <f t="shared" si="83"/>
        <v>#DIV/0!</v>
      </c>
      <c r="AE211" s="9" t="e">
        <f t="shared" si="83"/>
        <v>#DIV/0!</v>
      </c>
      <c r="AF211" s="144" t="e">
        <f t="shared" si="83"/>
        <v>#DIV/0!</v>
      </c>
      <c r="AG211" s="144" t="e">
        <f t="shared" si="83"/>
        <v>#DIV/0!</v>
      </c>
      <c r="AH211" s="144" t="e">
        <f t="shared" si="83"/>
        <v>#DIV/0!</v>
      </c>
      <c r="AI211" s="144" t="e">
        <f t="shared" si="83"/>
        <v>#DIV/0!</v>
      </c>
      <c r="AJ211" s="9" t="e">
        <f t="shared" si="83"/>
        <v>#DIV/0!</v>
      </c>
      <c r="AK211" s="144" t="e">
        <f t="shared" si="83"/>
        <v>#DIV/0!</v>
      </c>
      <c r="AL211" s="144" t="e">
        <f t="shared" si="83"/>
        <v>#DIV/0!</v>
      </c>
      <c r="AM211" s="144" t="e">
        <f t="shared" si="83"/>
        <v>#DIV/0!</v>
      </c>
      <c r="AN211" s="144" t="e">
        <f t="shared" si="83"/>
        <v>#DIV/0!</v>
      </c>
      <c r="AO211" s="9" t="e">
        <f t="shared" si="83"/>
        <v>#DIV/0!</v>
      </c>
      <c r="AP211" s="144" t="e">
        <f t="shared" si="83"/>
        <v>#DIV/0!</v>
      </c>
      <c r="AQ211" s="144" t="e">
        <f t="shared" si="83"/>
        <v>#DIV/0!</v>
      </c>
      <c r="AR211" s="144" t="e">
        <f t="shared" si="83"/>
        <v>#DIV/0!</v>
      </c>
      <c r="AS211" s="144" t="e">
        <f t="shared" si="83"/>
        <v>#DIV/0!</v>
      </c>
      <c r="AT211" s="9" t="e">
        <f t="shared" si="83"/>
        <v>#DIV/0!</v>
      </c>
      <c r="AU211" s="144" t="e">
        <f t="shared" si="83"/>
        <v>#DIV/0!</v>
      </c>
      <c r="AV211" s="144" t="e">
        <f t="shared" si="83"/>
        <v>#DIV/0!</v>
      </c>
      <c r="AW211" s="144" t="e">
        <f t="shared" si="83"/>
        <v>#DIV/0!</v>
      </c>
      <c r="AX211" s="144" t="e">
        <f t="shared" si="83"/>
        <v>#DIV/0!</v>
      </c>
      <c r="AY211" s="117" t="e">
        <f t="shared" si="83"/>
        <v>#DIV/0!</v>
      </c>
    </row>
    <row r="212" spans="1:51">
      <c r="A212" s="137" t="s">
        <v>173</v>
      </c>
      <c r="B212" s="117" t="e">
        <f t="shared" si="83"/>
        <v>#DIV/0!</v>
      </c>
      <c r="C212" s="117" t="e">
        <f t="shared" si="83"/>
        <v>#DIV/0!</v>
      </c>
      <c r="D212" s="117" t="e">
        <f t="shared" si="83"/>
        <v>#DIV/0!</v>
      </c>
      <c r="E212" s="117" t="e">
        <f t="shared" si="83"/>
        <v>#DIV/0!</v>
      </c>
      <c r="F212" s="9" t="e">
        <f t="shared" si="83"/>
        <v>#DIV/0!</v>
      </c>
      <c r="G212" s="117" t="e">
        <f t="shared" si="83"/>
        <v>#DIV/0!</v>
      </c>
      <c r="H212" s="117" t="e">
        <f t="shared" si="83"/>
        <v>#DIV/0!</v>
      </c>
      <c r="I212" s="117" t="e">
        <f t="shared" si="83"/>
        <v>#DIV/0!</v>
      </c>
      <c r="J212" s="117" t="e">
        <f t="shared" si="83"/>
        <v>#DIV/0!</v>
      </c>
      <c r="K212" s="9" t="e">
        <f t="shared" si="83"/>
        <v>#DIV/0!</v>
      </c>
      <c r="L212" s="117" t="e">
        <f t="shared" si="83"/>
        <v>#DIV/0!</v>
      </c>
      <c r="M212" s="117" t="e">
        <f t="shared" si="83"/>
        <v>#DIV/0!</v>
      </c>
      <c r="N212" s="117" t="e">
        <f t="shared" si="83"/>
        <v>#DIV/0!</v>
      </c>
      <c r="O212" s="117" t="e">
        <f t="shared" si="83"/>
        <v>#DIV/0!</v>
      </c>
      <c r="P212" s="9" t="e">
        <f t="shared" si="83"/>
        <v>#DIV/0!</v>
      </c>
      <c r="Q212" s="144" t="e">
        <f t="shared" si="83"/>
        <v>#DIV/0!</v>
      </c>
      <c r="R212" s="144" t="e">
        <f t="shared" si="83"/>
        <v>#DIV/0!</v>
      </c>
      <c r="S212" s="144" t="e">
        <f t="shared" si="83"/>
        <v>#DIV/0!</v>
      </c>
      <c r="T212" s="144" t="e">
        <f t="shared" si="83"/>
        <v>#DIV/0!</v>
      </c>
      <c r="U212" s="9" t="e">
        <f t="shared" si="83"/>
        <v>#DIV/0!</v>
      </c>
      <c r="V212" s="144" t="e">
        <f t="shared" si="83"/>
        <v>#DIV/0!</v>
      </c>
      <c r="W212" s="144" t="e">
        <f t="shared" si="83"/>
        <v>#DIV/0!</v>
      </c>
      <c r="X212" s="144" t="e">
        <f t="shared" si="83"/>
        <v>#DIV/0!</v>
      </c>
      <c r="Y212" s="144" t="e">
        <f t="shared" si="83"/>
        <v>#DIV/0!</v>
      </c>
      <c r="Z212" s="9" t="e">
        <f t="shared" si="83"/>
        <v>#DIV/0!</v>
      </c>
      <c r="AA212" s="144" t="e">
        <f t="shared" si="83"/>
        <v>#DIV/0!</v>
      </c>
      <c r="AB212" s="144" t="e">
        <f t="shared" si="83"/>
        <v>#DIV/0!</v>
      </c>
      <c r="AC212" s="144" t="e">
        <f t="shared" si="83"/>
        <v>#DIV/0!</v>
      </c>
      <c r="AD212" s="144" t="e">
        <f t="shared" si="83"/>
        <v>#DIV/0!</v>
      </c>
      <c r="AE212" s="9" t="e">
        <f t="shared" si="83"/>
        <v>#DIV/0!</v>
      </c>
      <c r="AF212" s="144" t="e">
        <f t="shared" si="83"/>
        <v>#DIV/0!</v>
      </c>
      <c r="AG212" s="144" t="e">
        <f t="shared" si="83"/>
        <v>#DIV/0!</v>
      </c>
      <c r="AH212" s="144" t="e">
        <f t="shared" si="83"/>
        <v>#DIV/0!</v>
      </c>
      <c r="AI212" s="144" t="e">
        <f t="shared" si="83"/>
        <v>#DIV/0!</v>
      </c>
      <c r="AJ212" s="9" t="e">
        <f t="shared" si="83"/>
        <v>#DIV/0!</v>
      </c>
      <c r="AK212" s="144" t="e">
        <f t="shared" si="83"/>
        <v>#DIV/0!</v>
      </c>
      <c r="AL212" s="144" t="e">
        <f t="shared" si="83"/>
        <v>#DIV/0!</v>
      </c>
      <c r="AM212" s="144" t="e">
        <f t="shared" si="83"/>
        <v>#DIV/0!</v>
      </c>
      <c r="AN212" s="144" t="e">
        <f t="shared" si="83"/>
        <v>#DIV/0!</v>
      </c>
      <c r="AO212" s="9" t="e">
        <f t="shared" si="83"/>
        <v>#DIV/0!</v>
      </c>
      <c r="AP212" s="144" t="e">
        <f t="shared" si="83"/>
        <v>#DIV/0!</v>
      </c>
      <c r="AQ212" s="144" t="e">
        <f t="shared" si="83"/>
        <v>#DIV/0!</v>
      </c>
      <c r="AR212" s="144" t="e">
        <f t="shared" si="83"/>
        <v>#DIV/0!</v>
      </c>
      <c r="AS212" s="144" t="e">
        <f t="shared" si="83"/>
        <v>#DIV/0!</v>
      </c>
      <c r="AT212" s="9" t="e">
        <f t="shared" si="83"/>
        <v>#DIV/0!</v>
      </c>
      <c r="AU212" s="144" t="e">
        <f t="shared" si="83"/>
        <v>#DIV/0!</v>
      </c>
      <c r="AV212" s="144" t="e">
        <f t="shared" si="83"/>
        <v>#DIV/0!</v>
      </c>
      <c r="AW212" s="144" t="e">
        <f t="shared" si="83"/>
        <v>#DIV/0!</v>
      </c>
      <c r="AX212" s="144" t="e">
        <f t="shared" si="83"/>
        <v>#DIV/0!</v>
      </c>
      <c r="AY212" s="117" t="e">
        <f t="shared" si="83"/>
        <v>#DIV/0!</v>
      </c>
    </row>
    <row r="213" spans="1:51">
      <c r="A213" s="137" t="s">
        <v>175</v>
      </c>
      <c r="B213" s="117" t="e">
        <f t="shared" ref="B213:AY216" si="84">B75/B$137</f>
        <v>#DIV/0!</v>
      </c>
      <c r="C213" s="117" t="e">
        <f t="shared" si="84"/>
        <v>#DIV/0!</v>
      </c>
      <c r="D213" s="117" t="e">
        <f t="shared" si="84"/>
        <v>#DIV/0!</v>
      </c>
      <c r="E213" s="117" t="e">
        <f t="shared" si="84"/>
        <v>#DIV/0!</v>
      </c>
      <c r="F213" s="9" t="e">
        <f t="shared" si="84"/>
        <v>#DIV/0!</v>
      </c>
      <c r="G213" s="117" t="e">
        <f t="shared" si="84"/>
        <v>#DIV/0!</v>
      </c>
      <c r="H213" s="117" t="e">
        <f t="shared" si="84"/>
        <v>#DIV/0!</v>
      </c>
      <c r="I213" s="117" t="e">
        <f t="shared" si="84"/>
        <v>#DIV/0!</v>
      </c>
      <c r="J213" s="117" t="e">
        <f t="shared" si="84"/>
        <v>#DIV/0!</v>
      </c>
      <c r="K213" s="9" t="e">
        <f t="shared" si="84"/>
        <v>#DIV/0!</v>
      </c>
      <c r="L213" s="117" t="e">
        <f t="shared" si="84"/>
        <v>#DIV/0!</v>
      </c>
      <c r="M213" s="117" t="e">
        <f t="shared" si="84"/>
        <v>#DIV/0!</v>
      </c>
      <c r="N213" s="117" t="e">
        <f t="shared" si="84"/>
        <v>#DIV/0!</v>
      </c>
      <c r="O213" s="117" t="e">
        <f t="shared" si="84"/>
        <v>#DIV/0!</v>
      </c>
      <c r="P213" s="9" t="e">
        <f t="shared" si="84"/>
        <v>#DIV/0!</v>
      </c>
      <c r="Q213" s="144" t="e">
        <f t="shared" si="84"/>
        <v>#DIV/0!</v>
      </c>
      <c r="R213" s="144" t="e">
        <f t="shared" si="84"/>
        <v>#DIV/0!</v>
      </c>
      <c r="S213" s="144" t="e">
        <f t="shared" si="84"/>
        <v>#DIV/0!</v>
      </c>
      <c r="T213" s="144" t="e">
        <f t="shared" si="84"/>
        <v>#DIV/0!</v>
      </c>
      <c r="U213" s="9" t="e">
        <f t="shared" si="84"/>
        <v>#DIV/0!</v>
      </c>
      <c r="V213" s="144" t="e">
        <f t="shared" si="84"/>
        <v>#DIV/0!</v>
      </c>
      <c r="W213" s="144" t="e">
        <f t="shared" si="84"/>
        <v>#DIV/0!</v>
      </c>
      <c r="X213" s="144" t="e">
        <f t="shared" si="84"/>
        <v>#DIV/0!</v>
      </c>
      <c r="Y213" s="144" t="e">
        <f t="shared" si="84"/>
        <v>#DIV/0!</v>
      </c>
      <c r="Z213" s="9" t="e">
        <f t="shared" si="84"/>
        <v>#DIV/0!</v>
      </c>
      <c r="AA213" s="144" t="e">
        <f t="shared" si="84"/>
        <v>#DIV/0!</v>
      </c>
      <c r="AB213" s="144" t="e">
        <f t="shared" si="84"/>
        <v>#DIV/0!</v>
      </c>
      <c r="AC213" s="144" t="e">
        <f t="shared" si="84"/>
        <v>#DIV/0!</v>
      </c>
      <c r="AD213" s="144" t="e">
        <f t="shared" si="84"/>
        <v>#DIV/0!</v>
      </c>
      <c r="AE213" s="9" t="e">
        <f t="shared" si="84"/>
        <v>#DIV/0!</v>
      </c>
      <c r="AF213" s="144" t="e">
        <f t="shared" si="84"/>
        <v>#DIV/0!</v>
      </c>
      <c r="AG213" s="144" t="e">
        <f t="shared" si="84"/>
        <v>#DIV/0!</v>
      </c>
      <c r="AH213" s="144" t="e">
        <f t="shared" si="84"/>
        <v>#DIV/0!</v>
      </c>
      <c r="AI213" s="144" t="e">
        <f t="shared" si="84"/>
        <v>#DIV/0!</v>
      </c>
      <c r="AJ213" s="9" t="e">
        <f t="shared" si="84"/>
        <v>#DIV/0!</v>
      </c>
      <c r="AK213" s="144" t="e">
        <f t="shared" si="84"/>
        <v>#DIV/0!</v>
      </c>
      <c r="AL213" s="144" t="e">
        <f t="shared" si="84"/>
        <v>#DIV/0!</v>
      </c>
      <c r="AM213" s="144" t="e">
        <f t="shared" si="84"/>
        <v>#DIV/0!</v>
      </c>
      <c r="AN213" s="144" t="e">
        <f t="shared" si="84"/>
        <v>#DIV/0!</v>
      </c>
      <c r="AO213" s="9" t="e">
        <f t="shared" si="84"/>
        <v>#DIV/0!</v>
      </c>
      <c r="AP213" s="144" t="e">
        <f t="shared" si="84"/>
        <v>#DIV/0!</v>
      </c>
      <c r="AQ213" s="144" t="e">
        <f t="shared" si="84"/>
        <v>#DIV/0!</v>
      </c>
      <c r="AR213" s="144" t="e">
        <f t="shared" si="84"/>
        <v>#DIV/0!</v>
      </c>
      <c r="AS213" s="144" t="e">
        <f t="shared" si="84"/>
        <v>#DIV/0!</v>
      </c>
      <c r="AT213" s="9" t="e">
        <f t="shared" si="84"/>
        <v>#DIV/0!</v>
      </c>
      <c r="AU213" s="144" t="e">
        <f t="shared" si="84"/>
        <v>#DIV/0!</v>
      </c>
      <c r="AV213" s="144" t="e">
        <f t="shared" si="84"/>
        <v>#DIV/0!</v>
      </c>
      <c r="AW213" s="144" t="e">
        <f t="shared" si="84"/>
        <v>#DIV/0!</v>
      </c>
      <c r="AX213" s="144" t="e">
        <f t="shared" si="84"/>
        <v>#DIV/0!</v>
      </c>
      <c r="AY213" s="117" t="e">
        <f t="shared" si="84"/>
        <v>#DIV/0!</v>
      </c>
    </row>
    <row r="214" spans="1:51">
      <c r="A214" s="137" t="s">
        <v>177</v>
      </c>
      <c r="B214" s="117" t="e">
        <f t="shared" si="84"/>
        <v>#DIV/0!</v>
      </c>
      <c r="C214" s="117" t="e">
        <f t="shared" si="84"/>
        <v>#DIV/0!</v>
      </c>
      <c r="D214" s="117" t="e">
        <f t="shared" si="84"/>
        <v>#DIV/0!</v>
      </c>
      <c r="E214" s="117" t="e">
        <f t="shared" si="84"/>
        <v>#DIV/0!</v>
      </c>
      <c r="F214" s="9" t="e">
        <f t="shared" si="84"/>
        <v>#DIV/0!</v>
      </c>
      <c r="G214" s="117" t="e">
        <f t="shared" si="84"/>
        <v>#DIV/0!</v>
      </c>
      <c r="H214" s="117" t="e">
        <f t="shared" si="84"/>
        <v>#DIV/0!</v>
      </c>
      <c r="I214" s="117" t="e">
        <f t="shared" si="84"/>
        <v>#DIV/0!</v>
      </c>
      <c r="J214" s="117" t="e">
        <f t="shared" si="84"/>
        <v>#DIV/0!</v>
      </c>
      <c r="K214" s="9" t="e">
        <f t="shared" si="84"/>
        <v>#DIV/0!</v>
      </c>
      <c r="L214" s="117" t="e">
        <f t="shared" si="84"/>
        <v>#DIV/0!</v>
      </c>
      <c r="M214" s="117" t="e">
        <f t="shared" si="84"/>
        <v>#DIV/0!</v>
      </c>
      <c r="N214" s="117" t="e">
        <f t="shared" si="84"/>
        <v>#DIV/0!</v>
      </c>
      <c r="O214" s="117" t="e">
        <f t="shared" si="84"/>
        <v>#DIV/0!</v>
      </c>
      <c r="P214" s="9" t="e">
        <f t="shared" si="84"/>
        <v>#DIV/0!</v>
      </c>
      <c r="Q214" s="144" t="e">
        <f t="shared" si="84"/>
        <v>#DIV/0!</v>
      </c>
      <c r="R214" s="144" t="e">
        <f t="shared" si="84"/>
        <v>#DIV/0!</v>
      </c>
      <c r="S214" s="144" t="e">
        <f t="shared" si="84"/>
        <v>#DIV/0!</v>
      </c>
      <c r="T214" s="144" t="e">
        <f t="shared" si="84"/>
        <v>#DIV/0!</v>
      </c>
      <c r="U214" s="9" t="e">
        <f t="shared" si="84"/>
        <v>#DIV/0!</v>
      </c>
      <c r="V214" s="144" t="e">
        <f t="shared" si="84"/>
        <v>#DIV/0!</v>
      </c>
      <c r="W214" s="144" t="e">
        <f t="shared" si="84"/>
        <v>#DIV/0!</v>
      </c>
      <c r="X214" s="144" t="e">
        <f t="shared" si="84"/>
        <v>#DIV/0!</v>
      </c>
      <c r="Y214" s="144" t="e">
        <f t="shared" si="84"/>
        <v>#DIV/0!</v>
      </c>
      <c r="Z214" s="9" t="e">
        <f t="shared" si="84"/>
        <v>#DIV/0!</v>
      </c>
      <c r="AA214" s="144" t="e">
        <f t="shared" si="84"/>
        <v>#DIV/0!</v>
      </c>
      <c r="AB214" s="144" t="e">
        <f t="shared" si="84"/>
        <v>#DIV/0!</v>
      </c>
      <c r="AC214" s="144" t="e">
        <f t="shared" si="84"/>
        <v>#DIV/0!</v>
      </c>
      <c r="AD214" s="144" t="e">
        <f t="shared" si="84"/>
        <v>#DIV/0!</v>
      </c>
      <c r="AE214" s="9" t="e">
        <f t="shared" si="84"/>
        <v>#DIV/0!</v>
      </c>
      <c r="AF214" s="144" t="e">
        <f t="shared" si="84"/>
        <v>#DIV/0!</v>
      </c>
      <c r="AG214" s="144" t="e">
        <f t="shared" si="84"/>
        <v>#DIV/0!</v>
      </c>
      <c r="AH214" s="144" t="e">
        <f t="shared" si="84"/>
        <v>#DIV/0!</v>
      </c>
      <c r="AI214" s="144" t="e">
        <f t="shared" si="84"/>
        <v>#DIV/0!</v>
      </c>
      <c r="AJ214" s="9" t="e">
        <f t="shared" si="84"/>
        <v>#DIV/0!</v>
      </c>
      <c r="AK214" s="144" t="e">
        <f t="shared" si="84"/>
        <v>#DIV/0!</v>
      </c>
      <c r="AL214" s="144" t="e">
        <f t="shared" si="84"/>
        <v>#DIV/0!</v>
      </c>
      <c r="AM214" s="144" t="e">
        <f t="shared" si="84"/>
        <v>#DIV/0!</v>
      </c>
      <c r="AN214" s="144" t="e">
        <f t="shared" si="84"/>
        <v>#DIV/0!</v>
      </c>
      <c r="AO214" s="9" t="e">
        <f t="shared" si="84"/>
        <v>#DIV/0!</v>
      </c>
      <c r="AP214" s="144" t="e">
        <f t="shared" si="84"/>
        <v>#DIV/0!</v>
      </c>
      <c r="AQ214" s="144" t="e">
        <f t="shared" si="84"/>
        <v>#DIV/0!</v>
      </c>
      <c r="AR214" s="144" t="e">
        <f t="shared" si="84"/>
        <v>#DIV/0!</v>
      </c>
      <c r="AS214" s="144" t="e">
        <f t="shared" si="84"/>
        <v>#DIV/0!</v>
      </c>
      <c r="AT214" s="9" t="e">
        <f t="shared" si="84"/>
        <v>#DIV/0!</v>
      </c>
      <c r="AU214" s="144" t="e">
        <f t="shared" si="84"/>
        <v>#DIV/0!</v>
      </c>
      <c r="AV214" s="144" t="e">
        <f t="shared" si="84"/>
        <v>#DIV/0!</v>
      </c>
      <c r="AW214" s="144" t="e">
        <f t="shared" si="84"/>
        <v>#DIV/0!</v>
      </c>
      <c r="AX214" s="144" t="e">
        <f t="shared" si="84"/>
        <v>#DIV/0!</v>
      </c>
      <c r="AY214" s="117" t="e">
        <f t="shared" si="84"/>
        <v>#DIV/0!</v>
      </c>
    </row>
    <row r="215" spans="1:51">
      <c r="A215" s="137" t="s">
        <v>179</v>
      </c>
      <c r="B215" s="117" t="e">
        <f t="shared" si="84"/>
        <v>#DIV/0!</v>
      </c>
      <c r="C215" s="117" t="e">
        <f t="shared" si="84"/>
        <v>#DIV/0!</v>
      </c>
      <c r="D215" s="117" t="e">
        <f t="shared" si="84"/>
        <v>#DIV/0!</v>
      </c>
      <c r="E215" s="117" t="e">
        <f t="shared" si="84"/>
        <v>#DIV/0!</v>
      </c>
      <c r="F215" s="9" t="e">
        <f t="shared" si="84"/>
        <v>#DIV/0!</v>
      </c>
      <c r="G215" s="117" t="e">
        <f t="shared" si="84"/>
        <v>#DIV/0!</v>
      </c>
      <c r="H215" s="117" t="e">
        <f t="shared" si="84"/>
        <v>#DIV/0!</v>
      </c>
      <c r="I215" s="117" t="e">
        <f t="shared" si="84"/>
        <v>#DIV/0!</v>
      </c>
      <c r="J215" s="117" t="e">
        <f t="shared" si="84"/>
        <v>#DIV/0!</v>
      </c>
      <c r="K215" s="9" t="e">
        <f t="shared" si="84"/>
        <v>#DIV/0!</v>
      </c>
      <c r="L215" s="117" t="e">
        <f t="shared" si="84"/>
        <v>#DIV/0!</v>
      </c>
      <c r="M215" s="117" t="e">
        <f t="shared" si="84"/>
        <v>#DIV/0!</v>
      </c>
      <c r="N215" s="117" t="e">
        <f t="shared" si="84"/>
        <v>#DIV/0!</v>
      </c>
      <c r="O215" s="117" t="e">
        <f t="shared" si="84"/>
        <v>#DIV/0!</v>
      </c>
      <c r="P215" s="9" t="e">
        <f t="shared" si="84"/>
        <v>#DIV/0!</v>
      </c>
      <c r="Q215" s="144" t="e">
        <f t="shared" si="84"/>
        <v>#DIV/0!</v>
      </c>
      <c r="R215" s="144" t="e">
        <f t="shared" si="84"/>
        <v>#DIV/0!</v>
      </c>
      <c r="S215" s="144" t="e">
        <f t="shared" si="84"/>
        <v>#DIV/0!</v>
      </c>
      <c r="T215" s="144" t="e">
        <f t="shared" si="84"/>
        <v>#DIV/0!</v>
      </c>
      <c r="U215" s="9" t="e">
        <f t="shared" si="84"/>
        <v>#DIV/0!</v>
      </c>
      <c r="V215" s="144" t="e">
        <f t="shared" si="84"/>
        <v>#DIV/0!</v>
      </c>
      <c r="W215" s="144" t="e">
        <f t="shared" si="84"/>
        <v>#DIV/0!</v>
      </c>
      <c r="X215" s="144" t="e">
        <f t="shared" si="84"/>
        <v>#DIV/0!</v>
      </c>
      <c r="Y215" s="144" t="e">
        <f t="shared" si="84"/>
        <v>#DIV/0!</v>
      </c>
      <c r="Z215" s="9" t="e">
        <f t="shared" si="84"/>
        <v>#DIV/0!</v>
      </c>
      <c r="AA215" s="144" t="e">
        <f t="shared" si="84"/>
        <v>#DIV/0!</v>
      </c>
      <c r="AB215" s="144" t="e">
        <f t="shared" si="84"/>
        <v>#DIV/0!</v>
      </c>
      <c r="AC215" s="144" t="e">
        <f t="shared" si="84"/>
        <v>#DIV/0!</v>
      </c>
      <c r="AD215" s="144" t="e">
        <f t="shared" si="84"/>
        <v>#DIV/0!</v>
      </c>
      <c r="AE215" s="9" t="e">
        <f t="shared" si="84"/>
        <v>#DIV/0!</v>
      </c>
      <c r="AF215" s="144" t="e">
        <f t="shared" si="84"/>
        <v>#DIV/0!</v>
      </c>
      <c r="AG215" s="144" t="e">
        <f t="shared" si="84"/>
        <v>#DIV/0!</v>
      </c>
      <c r="AH215" s="144" t="e">
        <f t="shared" si="84"/>
        <v>#DIV/0!</v>
      </c>
      <c r="AI215" s="144" t="e">
        <f t="shared" si="84"/>
        <v>#DIV/0!</v>
      </c>
      <c r="AJ215" s="9" t="e">
        <f t="shared" si="84"/>
        <v>#DIV/0!</v>
      </c>
      <c r="AK215" s="144" t="e">
        <f t="shared" si="84"/>
        <v>#DIV/0!</v>
      </c>
      <c r="AL215" s="144" t="e">
        <f t="shared" si="84"/>
        <v>#DIV/0!</v>
      </c>
      <c r="AM215" s="144" t="e">
        <f t="shared" si="84"/>
        <v>#DIV/0!</v>
      </c>
      <c r="AN215" s="144" t="e">
        <f t="shared" si="84"/>
        <v>#DIV/0!</v>
      </c>
      <c r="AO215" s="9" t="e">
        <f t="shared" si="84"/>
        <v>#DIV/0!</v>
      </c>
      <c r="AP215" s="144" t="e">
        <f t="shared" si="84"/>
        <v>#DIV/0!</v>
      </c>
      <c r="AQ215" s="144" t="e">
        <f t="shared" si="84"/>
        <v>#DIV/0!</v>
      </c>
      <c r="AR215" s="144" t="e">
        <f t="shared" si="84"/>
        <v>#DIV/0!</v>
      </c>
      <c r="AS215" s="144" t="e">
        <f t="shared" si="84"/>
        <v>#DIV/0!</v>
      </c>
      <c r="AT215" s="9" t="e">
        <f t="shared" si="84"/>
        <v>#DIV/0!</v>
      </c>
      <c r="AU215" s="144" t="e">
        <f t="shared" si="84"/>
        <v>#DIV/0!</v>
      </c>
      <c r="AV215" s="144" t="e">
        <f t="shared" si="84"/>
        <v>#DIV/0!</v>
      </c>
      <c r="AW215" s="144" t="e">
        <f t="shared" si="84"/>
        <v>#DIV/0!</v>
      </c>
      <c r="AX215" s="144" t="e">
        <f t="shared" si="84"/>
        <v>#DIV/0!</v>
      </c>
      <c r="AY215" s="117" t="e">
        <f t="shared" si="84"/>
        <v>#DIV/0!</v>
      </c>
    </row>
    <row r="216" spans="1:51">
      <c r="A216" s="137" t="s">
        <v>181</v>
      </c>
      <c r="B216" s="117" t="e">
        <f t="shared" si="84"/>
        <v>#DIV/0!</v>
      </c>
      <c r="C216" s="117" t="e">
        <f t="shared" si="84"/>
        <v>#DIV/0!</v>
      </c>
      <c r="D216" s="117" t="e">
        <f t="shared" si="84"/>
        <v>#DIV/0!</v>
      </c>
      <c r="E216" s="117" t="e">
        <f t="shared" si="84"/>
        <v>#DIV/0!</v>
      </c>
      <c r="F216" s="9" t="e">
        <f t="shared" si="84"/>
        <v>#DIV/0!</v>
      </c>
      <c r="G216" s="117" t="e">
        <f t="shared" si="84"/>
        <v>#DIV/0!</v>
      </c>
      <c r="H216" s="117" t="e">
        <f t="shared" si="84"/>
        <v>#DIV/0!</v>
      </c>
      <c r="I216" s="117" t="e">
        <f t="shared" si="84"/>
        <v>#DIV/0!</v>
      </c>
      <c r="J216" s="117" t="e">
        <f t="shared" si="84"/>
        <v>#DIV/0!</v>
      </c>
      <c r="K216" s="9" t="e">
        <f t="shared" si="84"/>
        <v>#DIV/0!</v>
      </c>
      <c r="L216" s="117" t="e">
        <f t="shared" si="84"/>
        <v>#DIV/0!</v>
      </c>
      <c r="M216" s="117" t="e">
        <f t="shared" si="84"/>
        <v>#DIV/0!</v>
      </c>
      <c r="N216" s="117" t="e">
        <f t="shared" si="84"/>
        <v>#DIV/0!</v>
      </c>
      <c r="O216" s="117" t="e">
        <f t="shared" si="84"/>
        <v>#DIV/0!</v>
      </c>
      <c r="P216" s="9" t="e">
        <f t="shared" si="84"/>
        <v>#DIV/0!</v>
      </c>
      <c r="Q216" s="144" t="e">
        <f t="shared" si="84"/>
        <v>#DIV/0!</v>
      </c>
      <c r="R216" s="144" t="e">
        <f t="shared" si="84"/>
        <v>#DIV/0!</v>
      </c>
      <c r="S216" s="144" t="e">
        <f t="shared" si="84"/>
        <v>#DIV/0!</v>
      </c>
      <c r="T216" s="144" t="e">
        <f t="shared" si="84"/>
        <v>#DIV/0!</v>
      </c>
      <c r="U216" s="9" t="e">
        <f t="shared" si="84"/>
        <v>#DIV/0!</v>
      </c>
      <c r="V216" s="144" t="e">
        <f t="shared" si="84"/>
        <v>#DIV/0!</v>
      </c>
      <c r="W216" s="144" t="e">
        <f t="shared" si="84"/>
        <v>#DIV/0!</v>
      </c>
      <c r="X216" s="144" t="e">
        <f t="shared" si="84"/>
        <v>#DIV/0!</v>
      </c>
      <c r="Y216" s="144" t="e">
        <f t="shared" si="84"/>
        <v>#DIV/0!</v>
      </c>
      <c r="Z216" s="9" t="e">
        <f t="shared" si="84"/>
        <v>#DIV/0!</v>
      </c>
      <c r="AA216" s="144" t="e">
        <f t="shared" si="84"/>
        <v>#DIV/0!</v>
      </c>
      <c r="AB216" s="144" t="e">
        <f t="shared" si="84"/>
        <v>#DIV/0!</v>
      </c>
      <c r="AC216" s="144" t="e">
        <f t="shared" si="84"/>
        <v>#DIV/0!</v>
      </c>
      <c r="AD216" s="144" t="e">
        <f t="shared" si="84"/>
        <v>#DIV/0!</v>
      </c>
      <c r="AE216" s="9" t="e">
        <f t="shared" si="84"/>
        <v>#DIV/0!</v>
      </c>
      <c r="AF216" s="144" t="e">
        <f t="shared" si="84"/>
        <v>#DIV/0!</v>
      </c>
      <c r="AG216" s="144" t="e">
        <f t="shared" si="84"/>
        <v>#DIV/0!</v>
      </c>
      <c r="AH216" s="144" t="e">
        <f t="shared" si="84"/>
        <v>#DIV/0!</v>
      </c>
      <c r="AI216" s="144" t="e">
        <f t="shared" si="84"/>
        <v>#DIV/0!</v>
      </c>
      <c r="AJ216" s="9" t="e">
        <f t="shared" si="84"/>
        <v>#DIV/0!</v>
      </c>
      <c r="AK216" s="144" t="e">
        <f t="shared" si="84"/>
        <v>#DIV/0!</v>
      </c>
      <c r="AL216" s="144" t="e">
        <f t="shared" si="84"/>
        <v>#DIV/0!</v>
      </c>
      <c r="AM216" s="144" t="e">
        <f t="shared" si="84"/>
        <v>#DIV/0!</v>
      </c>
      <c r="AN216" s="144" t="e">
        <f t="shared" si="84"/>
        <v>#DIV/0!</v>
      </c>
      <c r="AO216" s="9" t="e">
        <f t="shared" si="84"/>
        <v>#DIV/0!</v>
      </c>
      <c r="AP216" s="144" t="e">
        <f t="shared" si="84"/>
        <v>#DIV/0!</v>
      </c>
      <c r="AQ216" s="144" t="e">
        <f t="shared" si="84"/>
        <v>#DIV/0!</v>
      </c>
      <c r="AR216" s="144" t="e">
        <f t="shared" si="84"/>
        <v>#DIV/0!</v>
      </c>
      <c r="AS216" s="144" t="e">
        <f t="shared" si="84"/>
        <v>#DIV/0!</v>
      </c>
      <c r="AT216" s="9" t="e">
        <f t="shared" si="84"/>
        <v>#DIV/0!</v>
      </c>
      <c r="AU216" s="144" t="e">
        <f t="shared" si="84"/>
        <v>#DIV/0!</v>
      </c>
      <c r="AV216" s="144" t="e">
        <f t="shared" si="84"/>
        <v>#DIV/0!</v>
      </c>
      <c r="AW216" s="144" t="e">
        <f t="shared" si="84"/>
        <v>#DIV/0!</v>
      </c>
      <c r="AX216" s="144" t="e">
        <f t="shared" si="84"/>
        <v>#DIV/0!</v>
      </c>
      <c r="AY216" s="117" t="e">
        <f t="shared" si="84"/>
        <v>#DIV/0!</v>
      </c>
    </row>
    <row r="217" spans="1:51">
      <c r="A217" s="137" t="s">
        <v>183</v>
      </c>
      <c r="B217" s="117" t="e">
        <f t="shared" ref="B217:AY220" si="85">B79/B$137</f>
        <v>#DIV/0!</v>
      </c>
      <c r="C217" s="117" t="e">
        <f t="shared" si="85"/>
        <v>#DIV/0!</v>
      </c>
      <c r="D217" s="117" t="e">
        <f t="shared" si="85"/>
        <v>#DIV/0!</v>
      </c>
      <c r="E217" s="117" t="e">
        <f t="shared" si="85"/>
        <v>#DIV/0!</v>
      </c>
      <c r="F217" s="9" t="e">
        <f t="shared" si="85"/>
        <v>#DIV/0!</v>
      </c>
      <c r="G217" s="117" t="e">
        <f t="shared" si="85"/>
        <v>#DIV/0!</v>
      </c>
      <c r="H217" s="117" t="e">
        <f t="shared" si="85"/>
        <v>#DIV/0!</v>
      </c>
      <c r="I217" s="117" t="e">
        <f t="shared" si="85"/>
        <v>#DIV/0!</v>
      </c>
      <c r="J217" s="117" t="e">
        <f t="shared" si="85"/>
        <v>#DIV/0!</v>
      </c>
      <c r="K217" s="9" t="e">
        <f t="shared" si="85"/>
        <v>#DIV/0!</v>
      </c>
      <c r="L217" s="117" t="e">
        <f t="shared" si="85"/>
        <v>#DIV/0!</v>
      </c>
      <c r="M217" s="117" t="e">
        <f t="shared" si="85"/>
        <v>#DIV/0!</v>
      </c>
      <c r="N217" s="117" t="e">
        <f t="shared" si="85"/>
        <v>#DIV/0!</v>
      </c>
      <c r="O217" s="117" t="e">
        <f t="shared" si="85"/>
        <v>#DIV/0!</v>
      </c>
      <c r="P217" s="9" t="e">
        <f t="shared" si="85"/>
        <v>#DIV/0!</v>
      </c>
      <c r="Q217" s="144" t="e">
        <f t="shared" si="85"/>
        <v>#DIV/0!</v>
      </c>
      <c r="R217" s="144" t="e">
        <f t="shared" si="85"/>
        <v>#DIV/0!</v>
      </c>
      <c r="S217" s="144" t="e">
        <f t="shared" si="85"/>
        <v>#DIV/0!</v>
      </c>
      <c r="T217" s="144" t="e">
        <f t="shared" si="85"/>
        <v>#DIV/0!</v>
      </c>
      <c r="U217" s="9" t="e">
        <f t="shared" si="85"/>
        <v>#DIV/0!</v>
      </c>
      <c r="V217" s="144" t="e">
        <f t="shared" si="85"/>
        <v>#DIV/0!</v>
      </c>
      <c r="W217" s="144" t="e">
        <f t="shared" si="85"/>
        <v>#DIV/0!</v>
      </c>
      <c r="X217" s="144" t="e">
        <f t="shared" si="85"/>
        <v>#DIV/0!</v>
      </c>
      <c r="Y217" s="144" t="e">
        <f t="shared" si="85"/>
        <v>#DIV/0!</v>
      </c>
      <c r="Z217" s="9" t="e">
        <f t="shared" si="85"/>
        <v>#DIV/0!</v>
      </c>
      <c r="AA217" s="144" t="e">
        <f t="shared" si="85"/>
        <v>#DIV/0!</v>
      </c>
      <c r="AB217" s="144" t="e">
        <f t="shared" si="85"/>
        <v>#DIV/0!</v>
      </c>
      <c r="AC217" s="144" t="e">
        <f t="shared" si="85"/>
        <v>#DIV/0!</v>
      </c>
      <c r="AD217" s="144" t="e">
        <f t="shared" si="85"/>
        <v>#DIV/0!</v>
      </c>
      <c r="AE217" s="9" t="e">
        <f t="shared" si="85"/>
        <v>#DIV/0!</v>
      </c>
      <c r="AF217" s="144" t="e">
        <f t="shared" si="85"/>
        <v>#DIV/0!</v>
      </c>
      <c r="AG217" s="144" t="e">
        <f t="shared" si="85"/>
        <v>#DIV/0!</v>
      </c>
      <c r="AH217" s="144" t="e">
        <f t="shared" si="85"/>
        <v>#DIV/0!</v>
      </c>
      <c r="AI217" s="144" t="e">
        <f t="shared" si="85"/>
        <v>#DIV/0!</v>
      </c>
      <c r="AJ217" s="9" t="e">
        <f t="shared" si="85"/>
        <v>#DIV/0!</v>
      </c>
      <c r="AK217" s="144" t="e">
        <f t="shared" si="85"/>
        <v>#DIV/0!</v>
      </c>
      <c r="AL217" s="144" t="e">
        <f t="shared" si="85"/>
        <v>#DIV/0!</v>
      </c>
      <c r="AM217" s="144" t="e">
        <f t="shared" si="85"/>
        <v>#DIV/0!</v>
      </c>
      <c r="AN217" s="144" t="e">
        <f t="shared" si="85"/>
        <v>#DIV/0!</v>
      </c>
      <c r="AO217" s="9" t="e">
        <f t="shared" si="85"/>
        <v>#DIV/0!</v>
      </c>
      <c r="AP217" s="144" t="e">
        <f t="shared" si="85"/>
        <v>#DIV/0!</v>
      </c>
      <c r="AQ217" s="144" t="e">
        <f t="shared" si="85"/>
        <v>#DIV/0!</v>
      </c>
      <c r="AR217" s="144" t="e">
        <f t="shared" si="85"/>
        <v>#DIV/0!</v>
      </c>
      <c r="AS217" s="144" t="e">
        <f t="shared" si="85"/>
        <v>#DIV/0!</v>
      </c>
      <c r="AT217" s="9" t="e">
        <f t="shared" si="85"/>
        <v>#DIV/0!</v>
      </c>
      <c r="AU217" s="144" t="e">
        <f t="shared" si="85"/>
        <v>#DIV/0!</v>
      </c>
      <c r="AV217" s="144" t="e">
        <f t="shared" si="85"/>
        <v>#DIV/0!</v>
      </c>
      <c r="AW217" s="144" t="e">
        <f t="shared" si="85"/>
        <v>#DIV/0!</v>
      </c>
      <c r="AX217" s="144" t="e">
        <f t="shared" si="85"/>
        <v>#DIV/0!</v>
      </c>
      <c r="AY217" s="117" t="e">
        <f t="shared" si="85"/>
        <v>#DIV/0!</v>
      </c>
    </row>
    <row r="218" spans="1:51">
      <c r="A218" s="137" t="s">
        <v>185</v>
      </c>
      <c r="B218" s="117" t="e">
        <f t="shared" si="85"/>
        <v>#DIV/0!</v>
      </c>
      <c r="C218" s="117" t="e">
        <f t="shared" si="85"/>
        <v>#DIV/0!</v>
      </c>
      <c r="D218" s="117" t="e">
        <f t="shared" si="85"/>
        <v>#DIV/0!</v>
      </c>
      <c r="E218" s="117" t="e">
        <f t="shared" si="85"/>
        <v>#DIV/0!</v>
      </c>
      <c r="F218" s="9" t="e">
        <f t="shared" si="85"/>
        <v>#DIV/0!</v>
      </c>
      <c r="G218" s="117" t="e">
        <f t="shared" si="85"/>
        <v>#DIV/0!</v>
      </c>
      <c r="H218" s="117" t="e">
        <f t="shared" si="85"/>
        <v>#DIV/0!</v>
      </c>
      <c r="I218" s="117" t="e">
        <f t="shared" si="85"/>
        <v>#DIV/0!</v>
      </c>
      <c r="J218" s="117" t="e">
        <f t="shared" si="85"/>
        <v>#DIV/0!</v>
      </c>
      <c r="K218" s="9" t="e">
        <f t="shared" si="85"/>
        <v>#DIV/0!</v>
      </c>
      <c r="L218" s="117" t="e">
        <f t="shared" si="85"/>
        <v>#DIV/0!</v>
      </c>
      <c r="M218" s="117" t="e">
        <f t="shared" si="85"/>
        <v>#DIV/0!</v>
      </c>
      <c r="N218" s="117" t="e">
        <f t="shared" si="85"/>
        <v>#DIV/0!</v>
      </c>
      <c r="O218" s="117" t="e">
        <f t="shared" si="85"/>
        <v>#DIV/0!</v>
      </c>
      <c r="P218" s="9" t="e">
        <f t="shared" si="85"/>
        <v>#DIV/0!</v>
      </c>
      <c r="Q218" s="144" t="e">
        <f t="shared" si="85"/>
        <v>#DIV/0!</v>
      </c>
      <c r="R218" s="144" t="e">
        <f t="shared" si="85"/>
        <v>#DIV/0!</v>
      </c>
      <c r="S218" s="144" t="e">
        <f t="shared" si="85"/>
        <v>#DIV/0!</v>
      </c>
      <c r="T218" s="144" t="e">
        <f t="shared" si="85"/>
        <v>#DIV/0!</v>
      </c>
      <c r="U218" s="9" t="e">
        <f t="shared" si="85"/>
        <v>#DIV/0!</v>
      </c>
      <c r="V218" s="144" t="e">
        <f t="shared" si="85"/>
        <v>#DIV/0!</v>
      </c>
      <c r="W218" s="144" t="e">
        <f t="shared" si="85"/>
        <v>#DIV/0!</v>
      </c>
      <c r="X218" s="144" t="e">
        <f t="shared" si="85"/>
        <v>#DIV/0!</v>
      </c>
      <c r="Y218" s="144" t="e">
        <f t="shared" si="85"/>
        <v>#DIV/0!</v>
      </c>
      <c r="Z218" s="9" t="e">
        <f t="shared" si="85"/>
        <v>#DIV/0!</v>
      </c>
      <c r="AA218" s="144" t="e">
        <f t="shared" si="85"/>
        <v>#DIV/0!</v>
      </c>
      <c r="AB218" s="144" t="e">
        <f t="shared" si="85"/>
        <v>#DIV/0!</v>
      </c>
      <c r="AC218" s="144" t="e">
        <f t="shared" si="85"/>
        <v>#DIV/0!</v>
      </c>
      <c r="AD218" s="144" t="e">
        <f t="shared" si="85"/>
        <v>#DIV/0!</v>
      </c>
      <c r="AE218" s="9" t="e">
        <f t="shared" si="85"/>
        <v>#DIV/0!</v>
      </c>
      <c r="AF218" s="144" t="e">
        <f t="shared" si="85"/>
        <v>#DIV/0!</v>
      </c>
      <c r="AG218" s="144" t="e">
        <f t="shared" si="85"/>
        <v>#DIV/0!</v>
      </c>
      <c r="AH218" s="144" t="e">
        <f t="shared" si="85"/>
        <v>#DIV/0!</v>
      </c>
      <c r="AI218" s="144" t="e">
        <f t="shared" si="85"/>
        <v>#DIV/0!</v>
      </c>
      <c r="AJ218" s="9" t="e">
        <f t="shared" si="85"/>
        <v>#DIV/0!</v>
      </c>
      <c r="AK218" s="144" t="e">
        <f t="shared" si="85"/>
        <v>#DIV/0!</v>
      </c>
      <c r="AL218" s="144" t="e">
        <f t="shared" si="85"/>
        <v>#DIV/0!</v>
      </c>
      <c r="AM218" s="144" t="e">
        <f t="shared" si="85"/>
        <v>#DIV/0!</v>
      </c>
      <c r="AN218" s="144" t="e">
        <f t="shared" si="85"/>
        <v>#DIV/0!</v>
      </c>
      <c r="AO218" s="9" t="e">
        <f t="shared" si="85"/>
        <v>#DIV/0!</v>
      </c>
      <c r="AP218" s="144" t="e">
        <f t="shared" si="85"/>
        <v>#DIV/0!</v>
      </c>
      <c r="AQ218" s="144" t="e">
        <f t="shared" si="85"/>
        <v>#DIV/0!</v>
      </c>
      <c r="AR218" s="144" t="e">
        <f t="shared" si="85"/>
        <v>#DIV/0!</v>
      </c>
      <c r="AS218" s="144" t="e">
        <f t="shared" si="85"/>
        <v>#DIV/0!</v>
      </c>
      <c r="AT218" s="9" t="e">
        <f t="shared" si="85"/>
        <v>#DIV/0!</v>
      </c>
      <c r="AU218" s="144" t="e">
        <f t="shared" si="85"/>
        <v>#DIV/0!</v>
      </c>
      <c r="AV218" s="144" t="e">
        <f t="shared" si="85"/>
        <v>#DIV/0!</v>
      </c>
      <c r="AW218" s="144" t="e">
        <f t="shared" si="85"/>
        <v>#DIV/0!</v>
      </c>
      <c r="AX218" s="144" t="e">
        <f t="shared" si="85"/>
        <v>#DIV/0!</v>
      </c>
      <c r="AY218" s="117" t="e">
        <f t="shared" si="85"/>
        <v>#DIV/0!</v>
      </c>
    </row>
    <row r="219" spans="1:51">
      <c r="A219" s="137" t="s">
        <v>187</v>
      </c>
      <c r="B219" s="117" t="e">
        <f t="shared" si="85"/>
        <v>#DIV/0!</v>
      </c>
      <c r="C219" s="117" t="e">
        <f t="shared" si="85"/>
        <v>#DIV/0!</v>
      </c>
      <c r="D219" s="117" t="e">
        <f t="shared" si="85"/>
        <v>#DIV/0!</v>
      </c>
      <c r="E219" s="117" t="e">
        <f t="shared" si="85"/>
        <v>#DIV/0!</v>
      </c>
      <c r="F219" s="9" t="e">
        <f t="shared" si="85"/>
        <v>#DIV/0!</v>
      </c>
      <c r="G219" s="117" t="e">
        <f t="shared" si="85"/>
        <v>#DIV/0!</v>
      </c>
      <c r="H219" s="117" t="e">
        <f t="shared" si="85"/>
        <v>#DIV/0!</v>
      </c>
      <c r="I219" s="117" t="e">
        <f t="shared" si="85"/>
        <v>#DIV/0!</v>
      </c>
      <c r="J219" s="117" t="e">
        <f t="shared" si="85"/>
        <v>#DIV/0!</v>
      </c>
      <c r="K219" s="9" t="e">
        <f t="shared" si="85"/>
        <v>#DIV/0!</v>
      </c>
      <c r="L219" s="117" t="e">
        <f t="shared" si="85"/>
        <v>#DIV/0!</v>
      </c>
      <c r="M219" s="117" t="e">
        <f t="shared" si="85"/>
        <v>#DIV/0!</v>
      </c>
      <c r="N219" s="117" t="e">
        <f t="shared" si="85"/>
        <v>#DIV/0!</v>
      </c>
      <c r="O219" s="117" t="e">
        <f t="shared" si="85"/>
        <v>#DIV/0!</v>
      </c>
      <c r="P219" s="9" t="e">
        <f t="shared" si="85"/>
        <v>#DIV/0!</v>
      </c>
      <c r="Q219" s="144" t="e">
        <f t="shared" si="85"/>
        <v>#DIV/0!</v>
      </c>
      <c r="R219" s="144" t="e">
        <f t="shared" si="85"/>
        <v>#DIV/0!</v>
      </c>
      <c r="S219" s="144" t="e">
        <f t="shared" si="85"/>
        <v>#DIV/0!</v>
      </c>
      <c r="T219" s="144" t="e">
        <f t="shared" si="85"/>
        <v>#DIV/0!</v>
      </c>
      <c r="U219" s="9" t="e">
        <f t="shared" si="85"/>
        <v>#DIV/0!</v>
      </c>
      <c r="V219" s="144" t="e">
        <f t="shared" si="85"/>
        <v>#DIV/0!</v>
      </c>
      <c r="W219" s="144" t="e">
        <f t="shared" si="85"/>
        <v>#DIV/0!</v>
      </c>
      <c r="X219" s="144" t="e">
        <f t="shared" si="85"/>
        <v>#DIV/0!</v>
      </c>
      <c r="Y219" s="144" t="e">
        <f t="shared" si="85"/>
        <v>#DIV/0!</v>
      </c>
      <c r="Z219" s="9" t="e">
        <f t="shared" si="85"/>
        <v>#DIV/0!</v>
      </c>
      <c r="AA219" s="144" t="e">
        <f t="shared" si="85"/>
        <v>#DIV/0!</v>
      </c>
      <c r="AB219" s="144" t="e">
        <f t="shared" si="85"/>
        <v>#DIV/0!</v>
      </c>
      <c r="AC219" s="144" t="e">
        <f t="shared" si="85"/>
        <v>#DIV/0!</v>
      </c>
      <c r="AD219" s="144" t="e">
        <f t="shared" si="85"/>
        <v>#DIV/0!</v>
      </c>
      <c r="AE219" s="9" t="e">
        <f t="shared" si="85"/>
        <v>#DIV/0!</v>
      </c>
      <c r="AF219" s="144" t="e">
        <f t="shared" si="85"/>
        <v>#DIV/0!</v>
      </c>
      <c r="AG219" s="144" t="e">
        <f t="shared" si="85"/>
        <v>#DIV/0!</v>
      </c>
      <c r="AH219" s="144" t="e">
        <f t="shared" si="85"/>
        <v>#DIV/0!</v>
      </c>
      <c r="AI219" s="144" t="e">
        <f t="shared" si="85"/>
        <v>#DIV/0!</v>
      </c>
      <c r="AJ219" s="9" t="e">
        <f t="shared" si="85"/>
        <v>#DIV/0!</v>
      </c>
      <c r="AK219" s="144" t="e">
        <f t="shared" si="85"/>
        <v>#DIV/0!</v>
      </c>
      <c r="AL219" s="144" t="e">
        <f t="shared" si="85"/>
        <v>#DIV/0!</v>
      </c>
      <c r="AM219" s="144" t="e">
        <f t="shared" si="85"/>
        <v>#DIV/0!</v>
      </c>
      <c r="AN219" s="144" t="e">
        <f t="shared" si="85"/>
        <v>#DIV/0!</v>
      </c>
      <c r="AO219" s="9" t="e">
        <f t="shared" si="85"/>
        <v>#DIV/0!</v>
      </c>
      <c r="AP219" s="144" t="e">
        <f t="shared" si="85"/>
        <v>#DIV/0!</v>
      </c>
      <c r="AQ219" s="144" t="e">
        <f t="shared" si="85"/>
        <v>#DIV/0!</v>
      </c>
      <c r="AR219" s="144" t="e">
        <f t="shared" si="85"/>
        <v>#DIV/0!</v>
      </c>
      <c r="AS219" s="144" t="e">
        <f t="shared" si="85"/>
        <v>#DIV/0!</v>
      </c>
      <c r="AT219" s="9" t="e">
        <f t="shared" si="85"/>
        <v>#DIV/0!</v>
      </c>
      <c r="AU219" s="144" t="e">
        <f t="shared" si="85"/>
        <v>#DIV/0!</v>
      </c>
      <c r="AV219" s="144" t="e">
        <f t="shared" si="85"/>
        <v>#DIV/0!</v>
      </c>
      <c r="AW219" s="144" t="e">
        <f t="shared" si="85"/>
        <v>#DIV/0!</v>
      </c>
      <c r="AX219" s="144" t="e">
        <f t="shared" si="85"/>
        <v>#DIV/0!</v>
      </c>
      <c r="AY219" s="117" t="e">
        <f t="shared" si="85"/>
        <v>#DIV/0!</v>
      </c>
    </row>
    <row r="220" spans="1:51">
      <c r="A220" s="137" t="s">
        <v>189</v>
      </c>
      <c r="B220" s="117" t="e">
        <f t="shared" si="85"/>
        <v>#DIV/0!</v>
      </c>
      <c r="C220" s="117" t="e">
        <f t="shared" si="85"/>
        <v>#DIV/0!</v>
      </c>
      <c r="D220" s="117" t="e">
        <f t="shared" si="85"/>
        <v>#DIV/0!</v>
      </c>
      <c r="E220" s="117" t="e">
        <f t="shared" si="85"/>
        <v>#DIV/0!</v>
      </c>
      <c r="F220" s="9" t="e">
        <f t="shared" si="85"/>
        <v>#DIV/0!</v>
      </c>
      <c r="G220" s="117" t="e">
        <f t="shared" si="85"/>
        <v>#DIV/0!</v>
      </c>
      <c r="H220" s="117" t="e">
        <f t="shared" si="85"/>
        <v>#DIV/0!</v>
      </c>
      <c r="I220" s="117" t="e">
        <f t="shared" si="85"/>
        <v>#DIV/0!</v>
      </c>
      <c r="J220" s="117" t="e">
        <f t="shared" si="85"/>
        <v>#DIV/0!</v>
      </c>
      <c r="K220" s="9" t="e">
        <f t="shared" si="85"/>
        <v>#DIV/0!</v>
      </c>
      <c r="L220" s="117" t="e">
        <f t="shared" si="85"/>
        <v>#DIV/0!</v>
      </c>
      <c r="M220" s="117" t="e">
        <f t="shared" si="85"/>
        <v>#DIV/0!</v>
      </c>
      <c r="N220" s="117" t="e">
        <f t="shared" si="85"/>
        <v>#DIV/0!</v>
      </c>
      <c r="O220" s="117" t="e">
        <f t="shared" si="85"/>
        <v>#DIV/0!</v>
      </c>
      <c r="P220" s="9" t="e">
        <f t="shared" si="85"/>
        <v>#DIV/0!</v>
      </c>
      <c r="Q220" s="144" t="e">
        <f t="shared" si="85"/>
        <v>#DIV/0!</v>
      </c>
      <c r="R220" s="144" t="e">
        <f t="shared" si="85"/>
        <v>#DIV/0!</v>
      </c>
      <c r="S220" s="144" t="e">
        <f t="shared" si="85"/>
        <v>#DIV/0!</v>
      </c>
      <c r="T220" s="144" t="e">
        <f t="shared" si="85"/>
        <v>#DIV/0!</v>
      </c>
      <c r="U220" s="9" t="e">
        <f t="shared" si="85"/>
        <v>#DIV/0!</v>
      </c>
      <c r="V220" s="144" t="e">
        <f t="shared" si="85"/>
        <v>#DIV/0!</v>
      </c>
      <c r="W220" s="144" t="e">
        <f t="shared" si="85"/>
        <v>#DIV/0!</v>
      </c>
      <c r="X220" s="144" t="e">
        <f t="shared" si="85"/>
        <v>#DIV/0!</v>
      </c>
      <c r="Y220" s="144" t="e">
        <f t="shared" si="85"/>
        <v>#DIV/0!</v>
      </c>
      <c r="Z220" s="9" t="e">
        <f t="shared" si="85"/>
        <v>#DIV/0!</v>
      </c>
      <c r="AA220" s="144" t="e">
        <f t="shared" si="85"/>
        <v>#DIV/0!</v>
      </c>
      <c r="AB220" s="144" t="e">
        <f t="shared" si="85"/>
        <v>#DIV/0!</v>
      </c>
      <c r="AC220" s="144" t="e">
        <f t="shared" si="85"/>
        <v>#DIV/0!</v>
      </c>
      <c r="AD220" s="144" t="e">
        <f t="shared" si="85"/>
        <v>#DIV/0!</v>
      </c>
      <c r="AE220" s="9" t="e">
        <f t="shared" si="85"/>
        <v>#DIV/0!</v>
      </c>
      <c r="AF220" s="144" t="e">
        <f t="shared" si="85"/>
        <v>#DIV/0!</v>
      </c>
      <c r="AG220" s="144" t="e">
        <f t="shared" si="85"/>
        <v>#DIV/0!</v>
      </c>
      <c r="AH220" s="144" t="e">
        <f t="shared" si="85"/>
        <v>#DIV/0!</v>
      </c>
      <c r="AI220" s="144" t="e">
        <f t="shared" si="85"/>
        <v>#DIV/0!</v>
      </c>
      <c r="AJ220" s="9" t="e">
        <f t="shared" si="85"/>
        <v>#DIV/0!</v>
      </c>
      <c r="AK220" s="144" t="e">
        <f t="shared" si="85"/>
        <v>#DIV/0!</v>
      </c>
      <c r="AL220" s="144" t="e">
        <f t="shared" si="85"/>
        <v>#DIV/0!</v>
      </c>
      <c r="AM220" s="144" t="e">
        <f t="shared" si="85"/>
        <v>#DIV/0!</v>
      </c>
      <c r="AN220" s="144" t="e">
        <f t="shared" si="85"/>
        <v>#DIV/0!</v>
      </c>
      <c r="AO220" s="9" t="e">
        <f t="shared" si="85"/>
        <v>#DIV/0!</v>
      </c>
      <c r="AP220" s="144" t="e">
        <f t="shared" si="85"/>
        <v>#DIV/0!</v>
      </c>
      <c r="AQ220" s="144" t="e">
        <f t="shared" si="85"/>
        <v>#DIV/0!</v>
      </c>
      <c r="AR220" s="144" t="e">
        <f t="shared" si="85"/>
        <v>#DIV/0!</v>
      </c>
      <c r="AS220" s="144" t="e">
        <f t="shared" si="85"/>
        <v>#DIV/0!</v>
      </c>
      <c r="AT220" s="9" t="e">
        <f t="shared" si="85"/>
        <v>#DIV/0!</v>
      </c>
      <c r="AU220" s="144" t="e">
        <f t="shared" si="85"/>
        <v>#DIV/0!</v>
      </c>
      <c r="AV220" s="144" t="e">
        <f t="shared" si="85"/>
        <v>#DIV/0!</v>
      </c>
      <c r="AW220" s="144" t="e">
        <f t="shared" si="85"/>
        <v>#DIV/0!</v>
      </c>
      <c r="AX220" s="144" t="e">
        <f t="shared" si="85"/>
        <v>#DIV/0!</v>
      </c>
      <c r="AY220" s="117" t="e">
        <f t="shared" si="85"/>
        <v>#DIV/0!</v>
      </c>
    </row>
    <row r="221" spans="1:51">
      <c r="A221" s="137" t="s">
        <v>191</v>
      </c>
      <c r="B221" s="117" t="e">
        <f t="shared" ref="B221:AY224" si="86">B83/B$137</f>
        <v>#DIV/0!</v>
      </c>
      <c r="C221" s="117" t="e">
        <f t="shared" si="86"/>
        <v>#DIV/0!</v>
      </c>
      <c r="D221" s="117" t="e">
        <f t="shared" si="86"/>
        <v>#DIV/0!</v>
      </c>
      <c r="E221" s="117" t="e">
        <f t="shared" si="86"/>
        <v>#DIV/0!</v>
      </c>
      <c r="F221" s="9" t="e">
        <f t="shared" si="86"/>
        <v>#DIV/0!</v>
      </c>
      <c r="G221" s="117" t="e">
        <f t="shared" si="86"/>
        <v>#DIV/0!</v>
      </c>
      <c r="H221" s="117" t="e">
        <f t="shared" si="86"/>
        <v>#DIV/0!</v>
      </c>
      <c r="I221" s="117" t="e">
        <f t="shared" si="86"/>
        <v>#DIV/0!</v>
      </c>
      <c r="J221" s="117" t="e">
        <f t="shared" si="86"/>
        <v>#DIV/0!</v>
      </c>
      <c r="K221" s="9" t="e">
        <f t="shared" si="86"/>
        <v>#DIV/0!</v>
      </c>
      <c r="L221" s="117" t="e">
        <f t="shared" si="86"/>
        <v>#DIV/0!</v>
      </c>
      <c r="M221" s="117" t="e">
        <f t="shared" si="86"/>
        <v>#DIV/0!</v>
      </c>
      <c r="N221" s="117" t="e">
        <f t="shared" si="86"/>
        <v>#DIV/0!</v>
      </c>
      <c r="O221" s="117" t="e">
        <f t="shared" si="86"/>
        <v>#DIV/0!</v>
      </c>
      <c r="P221" s="9" t="e">
        <f t="shared" si="86"/>
        <v>#DIV/0!</v>
      </c>
      <c r="Q221" s="144" t="e">
        <f t="shared" si="86"/>
        <v>#DIV/0!</v>
      </c>
      <c r="R221" s="144" t="e">
        <f t="shared" si="86"/>
        <v>#DIV/0!</v>
      </c>
      <c r="S221" s="144" t="e">
        <f t="shared" si="86"/>
        <v>#DIV/0!</v>
      </c>
      <c r="T221" s="144" t="e">
        <f t="shared" si="86"/>
        <v>#DIV/0!</v>
      </c>
      <c r="U221" s="9" t="e">
        <f t="shared" si="86"/>
        <v>#DIV/0!</v>
      </c>
      <c r="V221" s="144" t="e">
        <f t="shared" si="86"/>
        <v>#DIV/0!</v>
      </c>
      <c r="W221" s="144" t="e">
        <f t="shared" si="86"/>
        <v>#DIV/0!</v>
      </c>
      <c r="X221" s="144" t="e">
        <f t="shared" si="86"/>
        <v>#DIV/0!</v>
      </c>
      <c r="Y221" s="144" t="e">
        <f t="shared" si="86"/>
        <v>#DIV/0!</v>
      </c>
      <c r="Z221" s="9" t="e">
        <f t="shared" si="86"/>
        <v>#DIV/0!</v>
      </c>
      <c r="AA221" s="144" t="e">
        <f t="shared" si="86"/>
        <v>#DIV/0!</v>
      </c>
      <c r="AB221" s="144" t="e">
        <f t="shared" si="86"/>
        <v>#DIV/0!</v>
      </c>
      <c r="AC221" s="144" t="e">
        <f t="shared" si="86"/>
        <v>#DIV/0!</v>
      </c>
      <c r="AD221" s="144" t="e">
        <f t="shared" si="86"/>
        <v>#DIV/0!</v>
      </c>
      <c r="AE221" s="9" t="e">
        <f t="shared" si="86"/>
        <v>#DIV/0!</v>
      </c>
      <c r="AF221" s="144" t="e">
        <f t="shared" si="86"/>
        <v>#DIV/0!</v>
      </c>
      <c r="AG221" s="144" t="e">
        <f t="shared" si="86"/>
        <v>#DIV/0!</v>
      </c>
      <c r="AH221" s="144" t="e">
        <f t="shared" si="86"/>
        <v>#DIV/0!</v>
      </c>
      <c r="AI221" s="144" t="e">
        <f t="shared" si="86"/>
        <v>#DIV/0!</v>
      </c>
      <c r="AJ221" s="9" t="e">
        <f t="shared" si="86"/>
        <v>#DIV/0!</v>
      </c>
      <c r="AK221" s="144" t="e">
        <f t="shared" si="86"/>
        <v>#DIV/0!</v>
      </c>
      <c r="AL221" s="144" t="e">
        <f t="shared" si="86"/>
        <v>#DIV/0!</v>
      </c>
      <c r="AM221" s="144" t="e">
        <f t="shared" si="86"/>
        <v>#DIV/0!</v>
      </c>
      <c r="AN221" s="144" t="e">
        <f t="shared" si="86"/>
        <v>#DIV/0!</v>
      </c>
      <c r="AO221" s="9" t="e">
        <f t="shared" si="86"/>
        <v>#DIV/0!</v>
      </c>
      <c r="AP221" s="144" t="e">
        <f t="shared" si="86"/>
        <v>#DIV/0!</v>
      </c>
      <c r="AQ221" s="144" t="e">
        <f t="shared" si="86"/>
        <v>#DIV/0!</v>
      </c>
      <c r="AR221" s="144" t="e">
        <f t="shared" si="86"/>
        <v>#DIV/0!</v>
      </c>
      <c r="AS221" s="144" t="e">
        <f t="shared" si="86"/>
        <v>#DIV/0!</v>
      </c>
      <c r="AT221" s="9" t="e">
        <f t="shared" si="86"/>
        <v>#DIV/0!</v>
      </c>
      <c r="AU221" s="144" t="e">
        <f t="shared" si="86"/>
        <v>#DIV/0!</v>
      </c>
      <c r="AV221" s="144" t="e">
        <f t="shared" si="86"/>
        <v>#DIV/0!</v>
      </c>
      <c r="AW221" s="144" t="e">
        <f t="shared" si="86"/>
        <v>#DIV/0!</v>
      </c>
      <c r="AX221" s="144" t="e">
        <f t="shared" si="86"/>
        <v>#DIV/0!</v>
      </c>
      <c r="AY221" s="117" t="e">
        <f t="shared" si="86"/>
        <v>#DIV/0!</v>
      </c>
    </row>
    <row r="222" spans="1:51">
      <c r="A222" s="137" t="s">
        <v>193</v>
      </c>
      <c r="B222" s="117" t="e">
        <f t="shared" si="86"/>
        <v>#DIV/0!</v>
      </c>
      <c r="C222" s="117" t="e">
        <f t="shared" si="86"/>
        <v>#DIV/0!</v>
      </c>
      <c r="D222" s="117" t="e">
        <f t="shared" si="86"/>
        <v>#DIV/0!</v>
      </c>
      <c r="E222" s="117" t="e">
        <f t="shared" si="86"/>
        <v>#DIV/0!</v>
      </c>
      <c r="F222" s="9" t="e">
        <f t="shared" si="86"/>
        <v>#DIV/0!</v>
      </c>
      <c r="G222" s="117" t="e">
        <f t="shared" si="86"/>
        <v>#DIV/0!</v>
      </c>
      <c r="H222" s="117" t="e">
        <f t="shared" si="86"/>
        <v>#DIV/0!</v>
      </c>
      <c r="I222" s="117" t="e">
        <f t="shared" si="86"/>
        <v>#DIV/0!</v>
      </c>
      <c r="J222" s="117" t="e">
        <f t="shared" si="86"/>
        <v>#DIV/0!</v>
      </c>
      <c r="K222" s="9" t="e">
        <f t="shared" si="86"/>
        <v>#DIV/0!</v>
      </c>
      <c r="L222" s="117" t="e">
        <f t="shared" si="86"/>
        <v>#DIV/0!</v>
      </c>
      <c r="M222" s="117" t="e">
        <f t="shared" si="86"/>
        <v>#DIV/0!</v>
      </c>
      <c r="N222" s="117" t="e">
        <f t="shared" si="86"/>
        <v>#DIV/0!</v>
      </c>
      <c r="O222" s="117" t="e">
        <f t="shared" si="86"/>
        <v>#DIV/0!</v>
      </c>
      <c r="P222" s="9" t="e">
        <f t="shared" si="86"/>
        <v>#DIV/0!</v>
      </c>
      <c r="Q222" s="144" t="e">
        <f t="shared" si="86"/>
        <v>#DIV/0!</v>
      </c>
      <c r="R222" s="144" t="e">
        <f t="shared" si="86"/>
        <v>#DIV/0!</v>
      </c>
      <c r="S222" s="144" t="e">
        <f t="shared" si="86"/>
        <v>#DIV/0!</v>
      </c>
      <c r="T222" s="144" t="e">
        <f t="shared" si="86"/>
        <v>#DIV/0!</v>
      </c>
      <c r="U222" s="9" t="e">
        <f t="shared" si="86"/>
        <v>#DIV/0!</v>
      </c>
      <c r="V222" s="144" t="e">
        <f t="shared" si="86"/>
        <v>#DIV/0!</v>
      </c>
      <c r="W222" s="144" t="e">
        <f t="shared" si="86"/>
        <v>#DIV/0!</v>
      </c>
      <c r="X222" s="144" t="e">
        <f t="shared" si="86"/>
        <v>#DIV/0!</v>
      </c>
      <c r="Y222" s="144" t="e">
        <f t="shared" si="86"/>
        <v>#DIV/0!</v>
      </c>
      <c r="Z222" s="9" t="e">
        <f t="shared" si="86"/>
        <v>#DIV/0!</v>
      </c>
      <c r="AA222" s="144" t="e">
        <f t="shared" si="86"/>
        <v>#DIV/0!</v>
      </c>
      <c r="AB222" s="144" t="e">
        <f t="shared" si="86"/>
        <v>#DIV/0!</v>
      </c>
      <c r="AC222" s="144" t="e">
        <f t="shared" si="86"/>
        <v>#DIV/0!</v>
      </c>
      <c r="AD222" s="144" t="e">
        <f t="shared" si="86"/>
        <v>#DIV/0!</v>
      </c>
      <c r="AE222" s="9" t="e">
        <f t="shared" si="86"/>
        <v>#DIV/0!</v>
      </c>
      <c r="AF222" s="144" t="e">
        <f t="shared" si="86"/>
        <v>#DIV/0!</v>
      </c>
      <c r="AG222" s="144" t="e">
        <f t="shared" si="86"/>
        <v>#DIV/0!</v>
      </c>
      <c r="AH222" s="144" t="e">
        <f t="shared" si="86"/>
        <v>#DIV/0!</v>
      </c>
      <c r="AI222" s="144" t="e">
        <f t="shared" si="86"/>
        <v>#DIV/0!</v>
      </c>
      <c r="AJ222" s="9" t="e">
        <f t="shared" si="86"/>
        <v>#DIV/0!</v>
      </c>
      <c r="AK222" s="144" t="e">
        <f t="shared" si="86"/>
        <v>#DIV/0!</v>
      </c>
      <c r="AL222" s="144" t="e">
        <f t="shared" si="86"/>
        <v>#DIV/0!</v>
      </c>
      <c r="AM222" s="144" t="e">
        <f t="shared" si="86"/>
        <v>#DIV/0!</v>
      </c>
      <c r="AN222" s="144" t="e">
        <f t="shared" si="86"/>
        <v>#DIV/0!</v>
      </c>
      <c r="AO222" s="9" t="e">
        <f t="shared" si="86"/>
        <v>#DIV/0!</v>
      </c>
      <c r="AP222" s="144" t="e">
        <f t="shared" si="86"/>
        <v>#DIV/0!</v>
      </c>
      <c r="AQ222" s="144" t="e">
        <f t="shared" si="86"/>
        <v>#DIV/0!</v>
      </c>
      <c r="AR222" s="144" t="e">
        <f t="shared" si="86"/>
        <v>#DIV/0!</v>
      </c>
      <c r="AS222" s="144" t="e">
        <f t="shared" si="86"/>
        <v>#DIV/0!</v>
      </c>
      <c r="AT222" s="9" t="e">
        <f t="shared" si="86"/>
        <v>#DIV/0!</v>
      </c>
      <c r="AU222" s="144" t="e">
        <f t="shared" si="86"/>
        <v>#DIV/0!</v>
      </c>
      <c r="AV222" s="144" t="e">
        <f t="shared" si="86"/>
        <v>#DIV/0!</v>
      </c>
      <c r="AW222" s="144" t="e">
        <f t="shared" si="86"/>
        <v>#DIV/0!</v>
      </c>
      <c r="AX222" s="144" t="e">
        <f t="shared" si="86"/>
        <v>#DIV/0!</v>
      </c>
      <c r="AY222" s="117" t="e">
        <f t="shared" si="86"/>
        <v>#DIV/0!</v>
      </c>
    </row>
    <row r="223" spans="1:51">
      <c r="A223" s="137" t="s">
        <v>195</v>
      </c>
      <c r="B223" s="117" t="e">
        <f t="shared" si="86"/>
        <v>#DIV/0!</v>
      </c>
      <c r="C223" s="117" t="e">
        <f t="shared" si="86"/>
        <v>#DIV/0!</v>
      </c>
      <c r="D223" s="117" t="e">
        <f t="shared" si="86"/>
        <v>#DIV/0!</v>
      </c>
      <c r="E223" s="117" t="e">
        <f t="shared" si="86"/>
        <v>#DIV/0!</v>
      </c>
      <c r="F223" s="9" t="e">
        <f t="shared" si="86"/>
        <v>#DIV/0!</v>
      </c>
      <c r="G223" s="117" t="e">
        <f t="shared" si="86"/>
        <v>#DIV/0!</v>
      </c>
      <c r="H223" s="117" t="e">
        <f t="shared" si="86"/>
        <v>#DIV/0!</v>
      </c>
      <c r="I223" s="117" t="e">
        <f t="shared" si="86"/>
        <v>#DIV/0!</v>
      </c>
      <c r="J223" s="117" t="e">
        <f t="shared" si="86"/>
        <v>#DIV/0!</v>
      </c>
      <c r="K223" s="9" t="e">
        <f t="shared" si="86"/>
        <v>#DIV/0!</v>
      </c>
      <c r="L223" s="117" t="e">
        <f t="shared" si="86"/>
        <v>#DIV/0!</v>
      </c>
      <c r="M223" s="117" t="e">
        <f t="shared" si="86"/>
        <v>#DIV/0!</v>
      </c>
      <c r="N223" s="117" t="e">
        <f t="shared" si="86"/>
        <v>#DIV/0!</v>
      </c>
      <c r="O223" s="117" t="e">
        <f t="shared" si="86"/>
        <v>#DIV/0!</v>
      </c>
      <c r="P223" s="9" t="e">
        <f t="shared" si="86"/>
        <v>#DIV/0!</v>
      </c>
      <c r="Q223" s="144" t="e">
        <f t="shared" si="86"/>
        <v>#DIV/0!</v>
      </c>
      <c r="R223" s="144" t="e">
        <f t="shared" si="86"/>
        <v>#DIV/0!</v>
      </c>
      <c r="S223" s="144" t="e">
        <f t="shared" si="86"/>
        <v>#DIV/0!</v>
      </c>
      <c r="T223" s="144" t="e">
        <f t="shared" si="86"/>
        <v>#DIV/0!</v>
      </c>
      <c r="U223" s="9" t="e">
        <f t="shared" si="86"/>
        <v>#DIV/0!</v>
      </c>
      <c r="V223" s="144" t="e">
        <f t="shared" si="86"/>
        <v>#DIV/0!</v>
      </c>
      <c r="W223" s="144" t="e">
        <f t="shared" si="86"/>
        <v>#DIV/0!</v>
      </c>
      <c r="X223" s="144" t="e">
        <f t="shared" si="86"/>
        <v>#DIV/0!</v>
      </c>
      <c r="Y223" s="144" t="e">
        <f t="shared" si="86"/>
        <v>#DIV/0!</v>
      </c>
      <c r="Z223" s="9" t="e">
        <f t="shared" si="86"/>
        <v>#DIV/0!</v>
      </c>
      <c r="AA223" s="144" t="e">
        <f t="shared" si="86"/>
        <v>#DIV/0!</v>
      </c>
      <c r="AB223" s="144" t="e">
        <f t="shared" si="86"/>
        <v>#DIV/0!</v>
      </c>
      <c r="AC223" s="144" t="e">
        <f t="shared" si="86"/>
        <v>#DIV/0!</v>
      </c>
      <c r="AD223" s="144" t="e">
        <f t="shared" si="86"/>
        <v>#DIV/0!</v>
      </c>
      <c r="AE223" s="9" t="e">
        <f t="shared" si="86"/>
        <v>#DIV/0!</v>
      </c>
      <c r="AF223" s="144" t="e">
        <f t="shared" si="86"/>
        <v>#DIV/0!</v>
      </c>
      <c r="AG223" s="144" t="e">
        <f t="shared" si="86"/>
        <v>#DIV/0!</v>
      </c>
      <c r="AH223" s="144" t="e">
        <f t="shared" si="86"/>
        <v>#DIV/0!</v>
      </c>
      <c r="AI223" s="144" t="e">
        <f t="shared" si="86"/>
        <v>#DIV/0!</v>
      </c>
      <c r="AJ223" s="9" t="e">
        <f t="shared" si="86"/>
        <v>#DIV/0!</v>
      </c>
      <c r="AK223" s="144" t="e">
        <f t="shared" si="86"/>
        <v>#DIV/0!</v>
      </c>
      <c r="AL223" s="144" t="e">
        <f t="shared" si="86"/>
        <v>#DIV/0!</v>
      </c>
      <c r="AM223" s="144" t="e">
        <f t="shared" si="86"/>
        <v>#DIV/0!</v>
      </c>
      <c r="AN223" s="144" t="e">
        <f t="shared" si="86"/>
        <v>#DIV/0!</v>
      </c>
      <c r="AO223" s="9" t="e">
        <f t="shared" si="86"/>
        <v>#DIV/0!</v>
      </c>
      <c r="AP223" s="144" t="e">
        <f t="shared" si="86"/>
        <v>#DIV/0!</v>
      </c>
      <c r="AQ223" s="144" t="e">
        <f t="shared" si="86"/>
        <v>#DIV/0!</v>
      </c>
      <c r="AR223" s="144" t="e">
        <f t="shared" si="86"/>
        <v>#DIV/0!</v>
      </c>
      <c r="AS223" s="144" t="e">
        <f t="shared" si="86"/>
        <v>#DIV/0!</v>
      </c>
      <c r="AT223" s="9" t="e">
        <f t="shared" si="86"/>
        <v>#DIV/0!</v>
      </c>
      <c r="AU223" s="144" t="e">
        <f t="shared" si="86"/>
        <v>#DIV/0!</v>
      </c>
      <c r="AV223" s="144" t="e">
        <f t="shared" si="86"/>
        <v>#DIV/0!</v>
      </c>
      <c r="AW223" s="144" t="e">
        <f t="shared" si="86"/>
        <v>#DIV/0!</v>
      </c>
      <c r="AX223" s="144" t="e">
        <f t="shared" si="86"/>
        <v>#DIV/0!</v>
      </c>
      <c r="AY223" s="117" t="e">
        <f t="shared" si="86"/>
        <v>#DIV/0!</v>
      </c>
    </row>
    <row r="224" spans="1:51">
      <c r="A224" s="137" t="s">
        <v>197</v>
      </c>
      <c r="B224" s="117" t="e">
        <f t="shared" si="86"/>
        <v>#DIV/0!</v>
      </c>
      <c r="C224" s="117" t="e">
        <f t="shared" si="86"/>
        <v>#DIV/0!</v>
      </c>
      <c r="D224" s="117" t="e">
        <f t="shared" si="86"/>
        <v>#DIV/0!</v>
      </c>
      <c r="E224" s="117" t="e">
        <f t="shared" si="86"/>
        <v>#DIV/0!</v>
      </c>
      <c r="F224" s="9" t="e">
        <f t="shared" si="86"/>
        <v>#DIV/0!</v>
      </c>
      <c r="G224" s="117" t="e">
        <f t="shared" si="86"/>
        <v>#DIV/0!</v>
      </c>
      <c r="H224" s="117" t="e">
        <f t="shared" si="86"/>
        <v>#DIV/0!</v>
      </c>
      <c r="I224" s="117" t="e">
        <f t="shared" si="86"/>
        <v>#DIV/0!</v>
      </c>
      <c r="J224" s="117" t="e">
        <f t="shared" si="86"/>
        <v>#DIV/0!</v>
      </c>
      <c r="K224" s="9" t="e">
        <f t="shared" si="86"/>
        <v>#DIV/0!</v>
      </c>
      <c r="L224" s="117" t="e">
        <f t="shared" si="86"/>
        <v>#DIV/0!</v>
      </c>
      <c r="M224" s="117" t="e">
        <f t="shared" si="86"/>
        <v>#DIV/0!</v>
      </c>
      <c r="N224" s="117" t="e">
        <f t="shared" si="86"/>
        <v>#DIV/0!</v>
      </c>
      <c r="O224" s="117" t="e">
        <f t="shared" si="86"/>
        <v>#DIV/0!</v>
      </c>
      <c r="P224" s="9" t="e">
        <f t="shared" si="86"/>
        <v>#DIV/0!</v>
      </c>
      <c r="Q224" s="144" t="e">
        <f t="shared" si="86"/>
        <v>#DIV/0!</v>
      </c>
      <c r="R224" s="144" t="e">
        <f t="shared" si="86"/>
        <v>#DIV/0!</v>
      </c>
      <c r="S224" s="144" t="e">
        <f t="shared" si="86"/>
        <v>#DIV/0!</v>
      </c>
      <c r="T224" s="144" t="e">
        <f t="shared" si="86"/>
        <v>#DIV/0!</v>
      </c>
      <c r="U224" s="9" t="e">
        <f t="shared" si="86"/>
        <v>#DIV/0!</v>
      </c>
      <c r="V224" s="144" t="e">
        <f t="shared" si="86"/>
        <v>#DIV/0!</v>
      </c>
      <c r="W224" s="144" t="e">
        <f t="shared" si="86"/>
        <v>#DIV/0!</v>
      </c>
      <c r="X224" s="144" t="e">
        <f t="shared" si="86"/>
        <v>#DIV/0!</v>
      </c>
      <c r="Y224" s="144" t="e">
        <f t="shared" si="86"/>
        <v>#DIV/0!</v>
      </c>
      <c r="Z224" s="9" t="e">
        <f t="shared" si="86"/>
        <v>#DIV/0!</v>
      </c>
      <c r="AA224" s="144" t="e">
        <f t="shared" si="86"/>
        <v>#DIV/0!</v>
      </c>
      <c r="AB224" s="144" t="e">
        <f t="shared" si="86"/>
        <v>#DIV/0!</v>
      </c>
      <c r="AC224" s="144" t="e">
        <f t="shared" si="86"/>
        <v>#DIV/0!</v>
      </c>
      <c r="AD224" s="144" t="e">
        <f t="shared" si="86"/>
        <v>#DIV/0!</v>
      </c>
      <c r="AE224" s="9" t="e">
        <f t="shared" si="86"/>
        <v>#DIV/0!</v>
      </c>
      <c r="AF224" s="144" t="e">
        <f t="shared" si="86"/>
        <v>#DIV/0!</v>
      </c>
      <c r="AG224" s="144" t="e">
        <f t="shared" si="86"/>
        <v>#DIV/0!</v>
      </c>
      <c r="AH224" s="144" t="e">
        <f t="shared" si="86"/>
        <v>#DIV/0!</v>
      </c>
      <c r="AI224" s="144" t="e">
        <f t="shared" si="86"/>
        <v>#DIV/0!</v>
      </c>
      <c r="AJ224" s="9" t="e">
        <f t="shared" si="86"/>
        <v>#DIV/0!</v>
      </c>
      <c r="AK224" s="144" t="e">
        <f t="shared" si="86"/>
        <v>#DIV/0!</v>
      </c>
      <c r="AL224" s="144" t="e">
        <f t="shared" si="86"/>
        <v>#DIV/0!</v>
      </c>
      <c r="AM224" s="144" t="e">
        <f t="shared" si="86"/>
        <v>#DIV/0!</v>
      </c>
      <c r="AN224" s="144" t="e">
        <f t="shared" si="86"/>
        <v>#DIV/0!</v>
      </c>
      <c r="AO224" s="9" t="e">
        <f t="shared" si="86"/>
        <v>#DIV/0!</v>
      </c>
      <c r="AP224" s="144" t="e">
        <f t="shared" si="86"/>
        <v>#DIV/0!</v>
      </c>
      <c r="AQ224" s="144" t="e">
        <f t="shared" si="86"/>
        <v>#DIV/0!</v>
      </c>
      <c r="AR224" s="144" t="e">
        <f t="shared" si="86"/>
        <v>#DIV/0!</v>
      </c>
      <c r="AS224" s="144" t="e">
        <f t="shared" si="86"/>
        <v>#DIV/0!</v>
      </c>
      <c r="AT224" s="9" t="e">
        <f t="shared" si="86"/>
        <v>#DIV/0!</v>
      </c>
      <c r="AU224" s="144" t="e">
        <f t="shared" si="86"/>
        <v>#DIV/0!</v>
      </c>
      <c r="AV224" s="144" t="e">
        <f t="shared" si="86"/>
        <v>#DIV/0!</v>
      </c>
      <c r="AW224" s="144" t="e">
        <f t="shared" si="86"/>
        <v>#DIV/0!</v>
      </c>
      <c r="AX224" s="144" t="e">
        <f t="shared" si="86"/>
        <v>#DIV/0!</v>
      </c>
      <c r="AY224" s="117" t="e">
        <f t="shared" si="86"/>
        <v>#DIV/0!</v>
      </c>
    </row>
    <row r="225" spans="1:51">
      <c r="A225" s="137" t="s">
        <v>199</v>
      </c>
      <c r="B225" s="117" t="e">
        <f t="shared" ref="B225:AY228" si="87">B87/B$137</f>
        <v>#DIV/0!</v>
      </c>
      <c r="C225" s="117" t="e">
        <f t="shared" si="87"/>
        <v>#DIV/0!</v>
      </c>
      <c r="D225" s="117" t="e">
        <f t="shared" si="87"/>
        <v>#DIV/0!</v>
      </c>
      <c r="E225" s="117" t="e">
        <f t="shared" si="87"/>
        <v>#DIV/0!</v>
      </c>
      <c r="F225" s="9" t="e">
        <f t="shared" si="87"/>
        <v>#DIV/0!</v>
      </c>
      <c r="G225" s="117" t="e">
        <f t="shared" si="87"/>
        <v>#DIV/0!</v>
      </c>
      <c r="H225" s="117" t="e">
        <f t="shared" si="87"/>
        <v>#DIV/0!</v>
      </c>
      <c r="I225" s="117" t="e">
        <f t="shared" si="87"/>
        <v>#DIV/0!</v>
      </c>
      <c r="J225" s="117" t="e">
        <f t="shared" si="87"/>
        <v>#DIV/0!</v>
      </c>
      <c r="K225" s="9" t="e">
        <f t="shared" si="87"/>
        <v>#DIV/0!</v>
      </c>
      <c r="L225" s="117" t="e">
        <f t="shared" si="87"/>
        <v>#DIV/0!</v>
      </c>
      <c r="M225" s="117" t="e">
        <f t="shared" si="87"/>
        <v>#DIV/0!</v>
      </c>
      <c r="N225" s="117" t="e">
        <f t="shared" si="87"/>
        <v>#DIV/0!</v>
      </c>
      <c r="O225" s="117" t="e">
        <f t="shared" si="87"/>
        <v>#DIV/0!</v>
      </c>
      <c r="P225" s="9" t="e">
        <f t="shared" si="87"/>
        <v>#DIV/0!</v>
      </c>
      <c r="Q225" s="144" t="e">
        <f t="shared" si="87"/>
        <v>#DIV/0!</v>
      </c>
      <c r="R225" s="144" t="e">
        <f t="shared" si="87"/>
        <v>#DIV/0!</v>
      </c>
      <c r="S225" s="144" t="e">
        <f t="shared" si="87"/>
        <v>#DIV/0!</v>
      </c>
      <c r="T225" s="144" t="e">
        <f t="shared" si="87"/>
        <v>#DIV/0!</v>
      </c>
      <c r="U225" s="9" t="e">
        <f t="shared" si="87"/>
        <v>#DIV/0!</v>
      </c>
      <c r="V225" s="144" t="e">
        <f t="shared" si="87"/>
        <v>#DIV/0!</v>
      </c>
      <c r="W225" s="144" t="e">
        <f t="shared" si="87"/>
        <v>#DIV/0!</v>
      </c>
      <c r="X225" s="144" t="e">
        <f t="shared" si="87"/>
        <v>#DIV/0!</v>
      </c>
      <c r="Y225" s="144" t="e">
        <f t="shared" si="87"/>
        <v>#DIV/0!</v>
      </c>
      <c r="Z225" s="9" t="e">
        <f t="shared" si="87"/>
        <v>#DIV/0!</v>
      </c>
      <c r="AA225" s="144" t="e">
        <f t="shared" si="87"/>
        <v>#DIV/0!</v>
      </c>
      <c r="AB225" s="144" t="e">
        <f t="shared" si="87"/>
        <v>#DIV/0!</v>
      </c>
      <c r="AC225" s="144" t="e">
        <f t="shared" si="87"/>
        <v>#DIV/0!</v>
      </c>
      <c r="AD225" s="144" t="e">
        <f t="shared" si="87"/>
        <v>#DIV/0!</v>
      </c>
      <c r="AE225" s="9" t="e">
        <f t="shared" si="87"/>
        <v>#DIV/0!</v>
      </c>
      <c r="AF225" s="144" t="e">
        <f t="shared" si="87"/>
        <v>#DIV/0!</v>
      </c>
      <c r="AG225" s="144" t="e">
        <f t="shared" si="87"/>
        <v>#DIV/0!</v>
      </c>
      <c r="AH225" s="144" t="e">
        <f t="shared" si="87"/>
        <v>#DIV/0!</v>
      </c>
      <c r="AI225" s="144" t="e">
        <f t="shared" si="87"/>
        <v>#DIV/0!</v>
      </c>
      <c r="AJ225" s="9" t="e">
        <f t="shared" si="87"/>
        <v>#DIV/0!</v>
      </c>
      <c r="AK225" s="144" t="e">
        <f t="shared" si="87"/>
        <v>#DIV/0!</v>
      </c>
      <c r="AL225" s="144" t="e">
        <f t="shared" si="87"/>
        <v>#DIV/0!</v>
      </c>
      <c r="AM225" s="144" t="e">
        <f t="shared" si="87"/>
        <v>#DIV/0!</v>
      </c>
      <c r="AN225" s="144" t="e">
        <f t="shared" si="87"/>
        <v>#DIV/0!</v>
      </c>
      <c r="AO225" s="9" t="e">
        <f t="shared" si="87"/>
        <v>#DIV/0!</v>
      </c>
      <c r="AP225" s="144" t="e">
        <f t="shared" si="87"/>
        <v>#DIV/0!</v>
      </c>
      <c r="AQ225" s="144" t="e">
        <f t="shared" si="87"/>
        <v>#DIV/0!</v>
      </c>
      <c r="AR225" s="144" t="e">
        <f t="shared" si="87"/>
        <v>#DIV/0!</v>
      </c>
      <c r="AS225" s="144" t="e">
        <f t="shared" si="87"/>
        <v>#DIV/0!</v>
      </c>
      <c r="AT225" s="9" t="e">
        <f t="shared" si="87"/>
        <v>#DIV/0!</v>
      </c>
      <c r="AU225" s="144" t="e">
        <f t="shared" si="87"/>
        <v>#DIV/0!</v>
      </c>
      <c r="AV225" s="144" t="e">
        <f t="shared" si="87"/>
        <v>#DIV/0!</v>
      </c>
      <c r="AW225" s="144" t="e">
        <f t="shared" si="87"/>
        <v>#DIV/0!</v>
      </c>
      <c r="AX225" s="144" t="e">
        <f t="shared" si="87"/>
        <v>#DIV/0!</v>
      </c>
      <c r="AY225" s="117" t="e">
        <f t="shared" si="87"/>
        <v>#DIV/0!</v>
      </c>
    </row>
    <row r="226" spans="1:51">
      <c r="A226" s="137" t="s">
        <v>201</v>
      </c>
      <c r="B226" s="117" t="e">
        <f t="shared" si="87"/>
        <v>#DIV/0!</v>
      </c>
      <c r="C226" s="117" t="e">
        <f t="shared" si="87"/>
        <v>#DIV/0!</v>
      </c>
      <c r="D226" s="117" t="e">
        <f t="shared" si="87"/>
        <v>#DIV/0!</v>
      </c>
      <c r="E226" s="117" t="e">
        <f t="shared" si="87"/>
        <v>#DIV/0!</v>
      </c>
      <c r="F226" s="9" t="e">
        <f t="shared" si="87"/>
        <v>#DIV/0!</v>
      </c>
      <c r="G226" s="117" t="e">
        <f t="shared" si="87"/>
        <v>#DIV/0!</v>
      </c>
      <c r="H226" s="117" t="e">
        <f t="shared" si="87"/>
        <v>#DIV/0!</v>
      </c>
      <c r="I226" s="117" t="e">
        <f t="shared" si="87"/>
        <v>#DIV/0!</v>
      </c>
      <c r="J226" s="117" t="e">
        <f t="shared" si="87"/>
        <v>#DIV/0!</v>
      </c>
      <c r="K226" s="9" t="e">
        <f t="shared" si="87"/>
        <v>#DIV/0!</v>
      </c>
      <c r="L226" s="117" t="e">
        <f t="shared" si="87"/>
        <v>#DIV/0!</v>
      </c>
      <c r="M226" s="117" t="e">
        <f t="shared" si="87"/>
        <v>#DIV/0!</v>
      </c>
      <c r="N226" s="117" t="e">
        <f t="shared" si="87"/>
        <v>#DIV/0!</v>
      </c>
      <c r="O226" s="117" t="e">
        <f t="shared" si="87"/>
        <v>#DIV/0!</v>
      </c>
      <c r="P226" s="9" t="e">
        <f t="shared" si="87"/>
        <v>#DIV/0!</v>
      </c>
      <c r="Q226" s="144" t="e">
        <f t="shared" si="87"/>
        <v>#DIV/0!</v>
      </c>
      <c r="R226" s="144" t="e">
        <f t="shared" si="87"/>
        <v>#DIV/0!</v>
      </c>
      <c r="S226" s="144" t="e">
        <f t="shared" si="87"/>
        <v>#DIV/0!</v>
      </c>
      <c r="T226" s="144" t="e">
        <f t="shared" si="87"/>
        <v>#DIV/0!</v>
      </c>
      <c r="U226" s="9" t="e">
        <f t="shared" si="87"/>
        <v>#DIV/0!</v>
      </c>
      <c r="V226" s="144" t="e">
        <f t="shared" si="87"/>
        <v>#DIV/0!</v>
      </c>
      <c r="W226" s="144" t="e">
        <f t="shared" si="87"/>
        <v>#DIV/0!</v>
      </c>
      <c r="X226" s="144" t="e">
        <f t="shared" si="87"/>
        <v>#DIV/0!</v>
      </c>
      <c r="Y226" s="144" t="e">
        <f t="shared" si="87"/>
        <v>#DIV/0!</v>
      </c>
      <c r="Z226" s="9" t="e">
        <f t="shared" si="87"/>
        <v>#DIV/0!</v>
      </c>
      <c r="AA226" s="144" t="e">
        <f t="shared" si="87"/>
        <v>#DIV/0!</v>
      </c>
      <c r="AB226" s="144" t="e">
        <f t="shared" si="87"/>
        <v>#DIV/0!</v>
      </c>
      <c r="AC226" s="144" t="e">
        <f t="shared" si="87"/>
        <v>#DIV/0!</v>
      </c>
      <c r="AD226" s="144" t="e">
        <f t="shared" si="87"/>
        <v>#DIV/0!</v>
      </c>
      <c r="AE226" s="9" t="e">
        <f t="shared" si="87"/>
        <v>#DIV/0!</v>
      </c>
      <c r="AF226" s="144" t="e">
        <f t="shared" si="87"/>
        <v>#DIV/0!</v>
      </c>
      <c r="AG226" s="144" t="e">
        <f t="shared" si="87"/>
        <v>#DIV/0!</v>
      </c>
      <c r="AH226" s="144" t="e">
        <f t="shared" si="87"/>
        <v>#DIV/0!</v>
      </c>
      <c r="AI226" s="144" t="e">
        <f t="shared" si="87"/>
        <v>#DIV/0!</v>
      </c>
      <c r="AJ226" s="9" t="e">
        <f t="shared" si="87"/>
        <v>#DIV/0!</v>
      </c>
      <c r="AK226" s="144" t="e">
        <f t="shared" si="87"/>
        <v>#DIV/0!</v>
      </c>
      <c r="AL226" s="144" t="e">
        <f t="shared" si="87"/>
        <v>#DIV/0!</v>
      </c>
      <c r="AM226" s="144" t="e">
        <f t="shared" si="87"/>
        <v>#DIV/0!</v>
      </c>
      <c r="AN226" s="144" t="e">
        <f t="shared" si="87"/>
        <v>#DIV/0!</v>
      </c>
      <c r="AO226" s="9" t="e">
        <f t="shared" si="87"/>
        <v>#DIV/0!</v>
      </c>
      <c r="AP226" s="144" t="e">
        <f t="shared" si="87"/>
        <v>#DIV/0!</v>
      </c>
      <c r="AQ226" s="144" t="e">
        <f t="shared" si="87"/>
        <v>#DIV/0!</v>
      </c>
      <c r="AR226" s="144" t="e">
        <f t="shared" si="87"/>
        <v>#DIV/0!</v>
      </c>
      <c r="AS226" s="144" t="e">
        <f t="shared" si="87"/>
        <v>#DIV/0!</v>
      </c>
      <c r="AT226" s="9" t="e">
        <f t="shared" si="87"/>
        <v>#DIV/0!</v>
      </c>
      <c r="AU226" s="144" t="e">
        <f t="shared" si="87"/>
        <v>#DIV/0!</v>
      </c>
      <c r="AV226" s="144" t="e">
        <f t="shared" si="87"/>
        <v>#DIV/0!</v>
      </c>
      <c r="AW226" s="144" t="e">
        <f t="shared" si="87"/>
        <v>#DIV/0!</v>
      </c>
      <c r="AX226" s="144" t="e">
        <f t="shared" si="87"/>
        <v>#DIV/0!</v>
      </c>
      <c r="AY226" s="117" t="e">
        <f t="shared" si="87"/>
        <v>#DIV/0!</v>
      </c>
    </row>
    <row r="227" spans="1:51">
      <c r="A227" s="137" t="s">
        <v>203</v>
      </c>
      <c r="B227" s="117" t="e">
        <f t="shared" si="87"/>
        <v>#DIV/0!</v>
      </c>
      <c r="C227" s="117" t="e">
        <f t="shared" si="87"/>
        <v>#DIV/0!</v>
      </c>
      <c r="D227" s="117" t="e">
        <f t="shared" si="87"/>
        <v>#DIV/0!</v>
      </c>
      <c r="E227" s="117" t="e">
        <f t="shared" si="87"/>
        <v>#DIV/0!</v>
      </c>
      <c r="F227" s="9" t="e">
        <f t="shared" si="87"/>
        <v>#DIV/0!</v>
      </c>
      <c r="G227" s="117" t="e">
        <f t="shared" si="87"/>
        <v>#DIV/0!</v>
      </c>
      <c r="H227" s="117" t="e">
        <f t="shared" si="87"/>
        <v>#DIV/0!</v>
      </c>
      <c r="I227" s="117" t="e">
        <f t="shared" si="87"/>
        <v>#DIV/0!</v>
      </c>
      <c r="J227" s="117" t="e">
        <f t="shared" si="87"/>
        <v>#DIV/0!</v>
      </c>
      <c r="K227" s="9" t="e">
        <f t="shared" si="87"/>
        <v>#DIV/0!</v>
      </c>
      <c r="L227" s="117" t="e">
        <f t="shared" si="87"/>
        <v>#DIV/0!</v>
      </c>
      <c r="M227" s="117" t="e">
        <f t="shared" si="87"/>
        <v>#DIV/0!</v>
      </c>
      <c r="N227" s="117" t="e">
        <f t="shared" si="87"/>
        <v>#DIV/0!</v>
      </c>
      <c r="O227" s="117" t="e">
        <f t="shared" si="87"/>
        <v>#DIV/0!</v>
      </c>
      <c r="P227" s="9" t="e">
        <f t="shared" si="87"/>
        <v>#DIV/0!</v>
      </c>
      <c r="Q227" s="144" t="e">
        <f t="shared" si="87"/>
        <v>#DIV/0!</v>
      </c>
      <c r="R227" s="144" t="e">
        <f t="shared" si="87"/>
        <v>#DIV/0!</v>
      </c>
      <c r="S227" s="144" t="e">
        <f t="shared" si="87"/>
        <v>#DIV/0!</v>
      </c>
      <c r="T227" s="144" t="e">
        <f t="shared" si="87"/>
        <v>#DIV/0!</v>
      </c>
      <c r="U227" s="9" t="e">
        <f t="shared" si="87"/>
        <v>#DIV/0!</v>
      </c>
      <c r="V227" s="144" t="e">
        <f t="shared" si="87"/>
        <v>#DIV/0!</v>
      </c>
      <c r="W227" s="144" t="e">
        <f t="shared" si="87"/>
        <v>#DIV/0!</v>
      </c>
      <c r="X227" s="144" t="e">
        <f t="shared" si="87"/>
        <v>#DIV/0!</v>
      </c>
      <c r="Y227" s="144" t="e">
        <f t="shared" si="87"/>
        <v>#DIV/0!</v>
      </c>
      <c r="Z227" s="9" t="e">
        <f t="shared" si="87"/>
        <v>#DIV/0!</v>
      </c>
      <c r="AA227" s="144" t="e">
        <f t="shared" si="87"/>
        <v>#DIV/0!</v>
      </c>
      <c r="AB227" s="144" t="e">
        <f t="shared" si="87"/>
        <v>#DIV/0!</v>
      </c>
      <c r="AC227" s="144" t="e">
        <f t="shared" si="87"/>
        <v>#DIV/0!</v>
      </c>
      <c r="AD227" s="144" t="e">
        <f t="shared" si="87"/>
        <v>#DIV/0!</v>
      </c>
      <c r="AE227" s="9" t="e">
        <f t="shared" si="87"/>
        <v>#DIV/0!</v>
      </c>
      <c r="AF227" s="144" t="e">
        <f t="shared" si="87"/>
        <v>#DIV/0!</v>
      </c>
      <c r="AG227" s="144" t="e">
        <f t="shared" si="87"/>
        <v>#DIV/0!</v>
      </c>
      <c r="AH227" s="144" t="e">
        <f t="shared" si="87"/>
        <v>#DIV/0!</v>
      </c>
      <c r="AI227" s="144" t="e">
        <f t="shared" si="87"/>
        <v>#DIV/0!</v>
      </c>
      <c r="AJ227" s="9" t="e">
        <f t="shared" si="87"/>
        <v>#DIV/0!</v>
      </c>
      <c r="AK227" s="144" t="e">
        <f t="shared" si="87"/>
        <v>#DIV/0!</v>
      </c>
      <c r="AL227" s="144" t="e">
        <f t="shared" si="87"/>
        <v>#DIV/0!</v>
      </c>
      <c r="AM227" s="144" t="e">
        <f t="shared" si="87"/>
        <v>#DIV/0!</v>
      </c>
      <c r="AN227" s="144" t="e">
        <f t="shared" si="87"/>
        <v>#DIV/0!</v>
      </c>
      <c r="AO227" s="9" t="e">
        <f t="shared" si="87"/>
        <v>#DIV/0!</v>
      </c>
      <c r="AP227" s="144" t="e">
        <f t="shared" si="87"/>
        <v>#DIV/0!</v>
      </c>
      <c r="AQ227" s="144" t="e">
        <f t="shared" si="87"/>
        <v>#DIV/0!</v>
      </c>
      <c r="AR227" s="144" t="e">
        <f t="shared" si="87"/>
        <v>#DIV/0!</v>
      </c>
      <c r="AS227" s="144" t="e">
        <f t="shared" si="87"/>
        <v>#DIV/0!</v>
      </c>
      <c r="AT227" s="9" t="e">
        <f t="shared" si="87"/>
        <v>#DIV/0!</v>
      </c>
      <c r="AU227" s="144" t="e">
        <f t="shared" si="87"/>
        <v>#DIV/0!</v>
      </c>
      <c r="AV227" s="144" t="e">
        <f t="shared" si="87"/>
        <v>#DIV/0!</v>
      </c>
      <c r="AW227" s="144" t="e">
        <f t="shared" si="87"/>
        <v>#DIV/0!</v>
      </c>
      <c r="AX227" s="144" t="e">
        <f t="shared" si="87"/>
        <v>#DIV/0!</v>
      </c>
      <c r="AY227" s="117" t="e">
        <f t="shared" si="87"/>
        <v>#DIV/0!</v>
      </c>
    </row>
    <row r="228" spans="1:51">
      <c r="A228" s="137" t="s">
        <v>205</v>
      </c>
      <c r="B228" s="117" t="e">
        <f t="shared" si="87"/>
        <v>#DIV/0!</v>
      </c>
      <c r="C228" s="117" t="e">
        <f t="shared" si="87"/>
        <v>#DIV/0!</v>
      </c>
      <c r="D228" s="117" t="e">
        <f t="shared" si="87"/>
        <v>#DIV/0!</v>
      </c>
      <c r="E228" s="117" t="e">
        <f t="shared" si="87"/>
        <v>#DIV/0!</v>
      </c>
      <c r="F228" s="9" t="e">
        <f t="shared" si="87"/>
        <v>#DIV/0!</v>
      </c>
      <c r="G228" s="117" t="e">
        <f t="shared" si="87"/>
        <v>#DIV/0!</v>
      </c>
      <c r="H228" s="117" t="e">
        <f t="shared" si="87"/>
        <v>#DIV/0!</v>
      </c>
      <c r="I228" s="117" t="e">
        <f t="shared" si="87"/>
        <v>#DIV/0!</v>
      </c>
      <c r="J228" s="117" t="e">
        <f t="shared" si="87"/>
        <v>#DIV/0!</v>
      </c>
      <c r="K228" s="9" t="e">
        <f t="shared" si="87"/>
        <v>#DIV/0!</v>
      </c>
      <c r="L228" s="117" t="e">
        <f t="shared" si="87"/>
        <v>#DIV/0!</v>
      </c>
      <c r="M228" s="117" t="e">
        <f t="shared" si="87"/>
        <v>#DIV/0!</v>
      </c>
      <c r="N228" s="117" t="e">
        <f t="shared" si="87"/>
        <v>#DIV/0!</v>
      </c>
      <c r="O228" s="117" t="e">
        <f t="shared" si="87"/>
        <v>#DIV/0!</v>
      </c>
      <c r="P228" s="9" t="e">
        <f t="shared" si="87"/>
        <v>#DIV/0!</v>
      </c>
      <c r="Q228" s="144" t="e">
        <f t="shared" si="87"/>
        <v>#DIV/0!</v>
      </c>
      <c r="R228" s="144" t="e">
        <f t="shared" si="87"/>
        <v>#DIV/0!</v>
      </c>
      <c r="S228" s="144" t="e">
        <f t="shared" si="87"/>
        <v>#DIV/0!</v>
      </c>
      <c r="T228" s="144" t="e">
        <f t="shared" si="87"/>
        <v>#DIV/0!</v>
      </c>
      <c r="U228" s="9" t="e">
        <f t="shared" si="87"/>
        <v>#DIV/0!</v>
      </c>
      <c r="V228" s="144" t="e">
        <f t="shared" si="87"/>
        <v>#DIV/0!</v>
      </c>
      <c r="W228" s="144" t="e">
        <f t="shared" si="87"/>
        <v>#DIV/0!</v>
      </c>
      <c r="X228" s="144" t="e">
        <f t="shared" si="87"/>
        <v>#DIV/0!</v>
      </c>
      <c r="Y228" s="144" t="e">
        <f t="shared" si="87"/>
        <v>#DIV/0!</v>
      </c>
      <c r="Z228" s="9" t="e">
        <f t="shared" si="87"/>
        <v>#DIV/0!</v>
      </c>
      <c r="AA228" s="144" t="e">
        <f t="shared" si="87"/>
        <v>#DIV/0!</v>
      </c>
      <c r="AB228" s="144" t="e">
        <f t="shared" si="87"/>
        <v>#DIV/0!</v>
      </c>
      <c r="AC228" s="144" t="e">
        <f t="shared" si="87"/>
        <v>#DIV/0!</v>
      </c>
      <c r="AD228" s="144" t="e">
        <f t="shared" si="87"/>
        <v>#DIV/0!</v>
      </c>
      <c r="AE228" s="9" t="e">
        <f t="shared" si="87"/>
        <v>#DIV/0!</v>
      </c>
      <c r="AF228" s="144" t="e">
        <f t="shared" si="87"/>
        <v>#DIV/0!</v>
      </c>
      <c r="AG228" s="144" t="e">
        <f t="shared" si="87"/>
        <v>#DIV/0!</v>
      </c>
      <c r="AH228" s="144" t="e">
        <f t="shared" si="87"/>
        <v>#DIV/0!</v>
      </c>
      <c r="AI228" s="144" t="e">
        <f t="shared" si="87"/>
        <v>#DIV/0!</v>
      </c>
      <c r="AJ228" s="9" t="e">
        <f t="shared" si="87"/>
        <v>#DIV/0!</v>
      </c>
      <c r="AK228" s="144" t="e">
        <f t="shared" si="87"/>
        <v>#DIV/0!</v>
      </c>
      <c r="AL228" s="144" t="e">
        <f t="shared" si="87"/>
        <v>#DIV/0!</v>
      </c>
      <c r="AM228" s="144" t="e">
        <f t="shared" si="87"/>
        <v>#DIV/0!</v>
      </c>
      <c r="AN228" s="144" t="e">
        <f t="shared" si="87"/>
        <v>#DIV/0!</v>
      </c>
      <c r="AO228" s="9" t="e">
        <f t="shared" si="87"/>
        <v>#DIV/0!</v>
      </c>
      <c r="AP228" s="144" t="e">
        <f t="shared" si="87"/>
        <v>#DIV/0!</v>
      </c>
      <c r="AQ228" s="144" t="e">
        <f t="shared" si="87"/>
        <v>#DIV/0!</v>
      </c>
      <c r="AR228" s="144" t="e">
        <f t="shared" si="87"/>
        <v>#DIV/0!</v>
      </c>
      <c r="AS228" s="144" t="e">
        <f t="shared" si="87"/>
        <v>#DIV/0!</v>
      </c>
      <c r="AT228" s="9" t="e">
        <f t="shared" si="87"/>
        <v>#DIV/0!</v>
      </c>
      <c r="AU228" s="144" t="e">
        <f t="shared" si="87"/>
        <v>#DIV/0!</v>
      </c>
      <c r="AV228" s="144" t="e">
        <f t="shared" si="87"/>
        <v>#DIV/0!</v>
      </c>
      <c r="AW228" s="144" t="e">
        <f t="shared" si="87"/>
        <v>#DIV/0!</v>
      </c>
      <c r="AX228" s="144" t="e">
        <f t="shared" si="87"/>
        <v>#DIV/0!</v>
      </c>
      <c r="AY228" s="117" t="e">
        <f t="shared" si="87"/>
        <v>#DIV/0!</v>
      </c>
    </row>
    <row r="229" spans="1:51">
      <c r="A229" s="137" t="s">
        <v>207</v>
      </c>
      <c r="B229" s="117" t="e">
        <f t="shared" ref="B229:AY232" si="88">B91/B$137</f>
        <v>#DIV/0!</v>
      </c>
      <c r="C229" s="117" t="e">
        <f t="shared" si="88"/>
        <v>#DIV/0!</v>
      </c>
      <c r="D229" s="117" t="e">
        <f t="shared" si="88"/>
        <v>#DIV/0!</v>
      </c>
      <c r="E229" s="117" t="e">
        <f t="shared" si="88"/>
        <v>#DIV/0!</v>
      </c>
      <c r="F229" s="9" t="e">
        <f t="shared" si="88"/>
        <v>#DIV/0!</v>
      </c>
      <c r="G229" s="117" t="e">
        <f t="shared" si="88"/>
        <v>#DIV/0!</v>
      </c>
      <c r="H229" s="117" t="e">
        <f t="shared" si="88"/>
        <v>#DIV/0!</v>
      </c>
      <c r="I229" s="117" t="e">
        <f t="shared" si="88"/>
        <v>#DIV/0!</v>
      </c>
      <c r="J229" s="117" t="e">
        <f t="shared" si="88"/>
        <v>#DIV/0!</v>
      </c>
      <c r="K229" s="9" t="e">
        <f t="shared" si="88"/>
        <v>#DIV/0!</v>
      </c>
      <c r="L229" s="117" t="e">
        <f t="shared" si="88"/>
        <v>#DIV/0!</v>
      </c>
      <c r="M229" s="117" t="e">
        <f t="shared" si="88"/>
        <v>#DIV/0!</v>
      </c>
      <c r="N229" s="117" t="e">
        <f t="shared" si="88"/>
        <v>#DIV/0!</v>
      </c>
      <c r="O229" s="117" t="e">
        <f t="shared" si="88"/>
        <v>#DIV/0!</v>
      </c>
      <c r="P229" s="9" t="e">
        <f t="shared" si="88"/>
        <v>#DIV/0!</v>
      </c>
      <c r="Q229" s="144" t="e">
        <f t="shared" si="88"/>
        <v>#DIV/0!</v>
      </c>
      <c r="R229" s="144" t="e">
        <f t="shared" si="88"/>
        <v>#DIV/0!</v>
      </c>
      <c r="S229" s="144" t="e">
        <f t="shared" si="88"/>
        <v>#DIV/0!</v>
      </c>
      <c r="T229" s="144" t="e">
        <f t="shared" si="88"/>
        <v>#DIV/0!</v>
      </c>
      <c r="U229" s="9" t="e">
        <f t="shared" si="88"/>
        <v>#DIV/0!</v>
      </c>
      <c r="V229" s="144" t="e">
        <f t="shared" si="88"/>
        <v>#DIV/0!</v>
      </c>
      <c r="W229" s="144" t="e">
        <f t="shared" si="88"/>
        <v>#DIV/0!</v>
      </c>
      <c r="X229" s="144" t="e">
        <f t="shared" si="88"/>
        <v>#DIV/0!</v>
      </c>
      <c r="Y229" s="144" t="e">
        <f t="shared" si="88"/>
        <v>#DIV/0!</v>
      </c>
      <c r="Z229" s="9" t="e">
        <f t="shared" si="88"/>
        <v>#DIV/0!</v>
      </c>
      <c r="AA229" s="144" t="e">
        <f t="shared" si="88"/>
        <v>#DIV/0!</v>
      </c>
      <c r="AB229" s="144" t="e">
        <f t="shared" si="88"/>
        <v>#DIV/0!</v>
      </c>
      <c r="AC229" s="144" t="e">
        <f t="shared" si="88"/>
        <v>#DIV/0!</v>
      </c>
      <c r="AD229" s="144" t="e">
        <f t="shared" si="88"/>
        <v>#DIV/0!</v>
      </c>
      <c r="AE229" s="9" t="e">
        <f t="shared" si="88"/>
        <v>#DIV/0!</v>
      </c>
      <c r="AF229" s="144" t="e">
        <f t="shared" si="88"/>
        <v>#DIV/0!</v>
      </c>
      <c r="AG229" s="144" t="e">
        <f t="shared" si="88"/>
        <v>#DIV/0!</v>
      </c>
      <c r="AH229" s="144" t="e">
        <f t="shared" si="88"/>
        <v>#DIV/0!</v>
      </c>
      <c r="AI229" s="144" t="e">
        <f t="shared" si="88"/>
        <v>#DIV/0!</v>
      </c>
      <c r="AJ229" s="9" t="e">
        <f t="shared" si="88"/>
        <v>#DIV/0!</v>
      </c>
      <c r="AK229" s="144" t="e">
        <f t="shared" si="88"/>
        <v>#DIV/0!</v>
      </c>
      <c r="AL229" s="144" t="e">
        <f t="shared" si="88"/>
        <v>#DIV/0!</v>
      </c>
      <c r="AM229" s="144" t="e">
        <f t="shared" si="88"/>
        <v>#DIV/0!</v>
      </c>
      <c r="AN229" s="144" t="e">
        <f t="shared" si="88"/>
        <v>#DIV/0!</v>
      </c>
      <c r="AO229" s="9" t="e">
        <f t="shared" si="88"/>
        <v>#DIV/0!</v>
      </c>
      <c r="AP229" s="144" t="e">
        <f t="shared" si="88"/>
        <v>#DIV/0!</v>
      </c>
      <c r="AQ229" s="144" t="e">
        <f t="shared" si="88"/>
        <v>#DIV/0!</v>
      </c>
      <c r="AR229" s="144" t="e">
        <f t="shared" si="88"/>
        <v>#DIV/0!</v>
      </c>
      <c r="AS229" s="144" t="e">
        <f t="shared" si="88"/>
        <v>#DIV/0!</v>
      </c>
      <c r="AT229" s="9" t="e">
        <f t="shared" si="88"/>
        <v>#DIV/0!</v>
      </c>
      <c r="AU229" s="144" t="e">
        <f t="shared" si="88"/>
        <v>#DIV/0!</v>
      </c>
      <c r="AV229" s="144" t="e">
        <f t="shared" si="88"/>
        <v>#DIV/0!</v>
      </c>
      <c r="AW229" s="144" t="e">
        <f t="shared" si="88"/>
        <v>#DIV/0!</v>
      </c>
      <c r="AX229" s="144" t="e">
        <f t="shared" si="88"/>
        <v>#DIV/0!</v>
      </c>
      <c r="AY229" s="117" t="e">
        <f t="shared" si="88"/>
        <v>#DIV/0!</v>
      </c>
    </row>
    <row r="230" spans="1:51">
      <c r="A230" s="137" t="s">
        <v>209</v>
      </c>
      <c r="B230" s="117" t="e">
        <f t="shared" si="88"/>
        <v>#DIV/0!</v>
      </c>
      <c r="C230" s="117" t="e">
        <f t="shared" si="88"/>
        <v>#DIV/0!</v>
      </c>
      <c r="D230" s="117" t="e">
        <f t="shared" si="88"/>
        <v>#DIV/0!</v>
      </c>
      <c r="E230" s="117" t="e">
        <f t="shared" si="88"/>
        <v>#DIV/0!</v>
      </c>
      <c r="F230" s="9" t="e">
        <f t="shared" si="88"/>
        <v>#DIV/0!</v>
      </c>
      <c r="G230" s="117" t="e">
        <f t="shared" si="88"/>
        <v>#DIV/0!</v>
      </c>
      <c r="H230" s="117" t="e">
        <f t="shared" si="88"/>
        <v>#DIV/0!</v>
      </c>
      <c r="I230" s="117" t="e">
        <f t="shared" si="88"/>
        <v>#DIV/0!</v>
      </c>
      <c r="J230" s="117" t="e">
        <f t="shared" si="88"/>
        <v>#DIV/0!</v>
      </c>
      <c r="K230" s="9" t="e">
        <f t="shared" si="88"/>
        <v>#DIV/0!</v>
      </c>
      <c r="L230" s="117" t="e">
        <f t="shared" si="88"/>
        <v>#DIV/0!</v>
      </c>
      <c r="M230" s="117" t="e">
        <f t="shared" si="88"/>
        <v>#DIV/0!</v>
      </c>
      <c r="N230" s="117" t="e">
        <f t="shared" si="88"/>
        <v>#DIV/0!</v>
      </c>
      <c r="O230" s="117" t="e">
        <f t="shared" si="88"/>
        <v>#DIV/0!</v>
      </c>
      <c r="P230" s="9" t="e">
        <f t="shared" si="88"/>
        <v>#DIV/0!</v>
      </c>
      <c r="Q230" s="144" t="e">
        <f t="shared" si="88"/>
        <v>#DIV/0!</v>
      </c>
      <c r="R230" s="144" t="e">
        <f t="shared" si="88"/>
        <v>#DIV/0!</v>
      </c>
      <c r="S230" s="144" t="e">
        <f t="shared" si="88"/>
        <v>#DIV/0!</v>
      </c>
      <c r="T230" s="144" t="e">
        <f t="shared" si="88"/>
        <v>#DIV/0!</v>
      </c>
      <c r="U230" s="9" t="e">
        <f t="shared" si="88"/>
        <v>#DIV/0!</v>
      </c>
      <c r="V230" s="144" t="e">
        <f t="shared" si="88"/>
        <v>#DIV/0!</v>
      </c>
      <c r="W230" s="144" t="e">
        <f t="shared" si="88"/>
        <v>#DIV/0!</v>
      </c>
      <c r="X230" s="144" t="e">
        <f t="shared" si="88"/>
        <v>#DIV/0!</v>
      </c>
      <c r="Y230" s="144" t="e">
        <f t="shared" si="88"/>
        <v>#DIV/0!</v>
      </c>
      <c r="Z230" s="9" t="e">
        <f t="shared" si="88"/>
        <v>#DIV/0!</v>
      </c>
      <c r="AA230" s="144" t="e">
        <f t="shared" si="88"/>
        <v>#DIV/0!</v>
      </c>
      <c r="AB230" s="144" t="e">
        <f t="shared" si="88"/>
        <v>#DIV/0!</v>
      </c>
      <c r="AC230" s="144" t="e">
        <f t="shared" si="88"/>
        <v>#DIV/0!</v>
      </c>
      <c r="AD230" s="144" t="e">
        <f t="shared" si="88"/>
        <v>#DIV/0!</v>
      </c>
      <c r="AE230" s="9" t="e">
        <f t="shared" si="88"/>
        <v>#DIV/0!</v>
      </c>
      <c r="AF230" s="144" t="e">
        <f t="shared" si="88"/>
        <v>#DIV/0!</v>
      </c>
      <c r="AG230" s="144" t="e">
        <f t="shared" si="88"/>
        <v>#DIV/0!</v>
      </c>
      <c r="AH230" s="144" t="e">
        <f t="shared" si="88"/>
        <v>#DIV/0!</v>
      </c>
      <c r="AI230" s="144" t="e">
        <f t="shared" si="88"/>
        <v>#DIV/0!</v>
      </c>
      <c r="AJ230" s="9" t="e">
        <f t="shared" si="88"/>
        <v>#DIV/0!</v>
      </c>
      <c r="AK230" s="144" t="e">
        <f t="shared" si="88"/>
        <v>#DIV/0!</v>
      </c>
      <c r="AL230" s="144" t="e">
        <f t="shared" si="88"/>
        <v>#DIV/0!</v>
      </c>
      <c r="AM230" s="144" t="e">
        <f t="shared" si="88"/>
        <v>#DIV/0!</v>
      </c>
      <c r="AN230" s="144" t="e">
        <f t="shared" si="88"/>
        <v>#DIV/0!</v>
      </c>
      <c r="AO230" s="9" t="e">
        <f t="shared" si="88"/>
        <v>#DIV/0!</v>
      </c>
      <c r="AP230" s="144" t="e">
        <f t="shared" si="88"/>
        <v>#DIV/0!</v>
      </c>
      <c r="AQ230" s="144" t="e">
        <f t="shared" si="88"/>
        <v>#DIV/0!</v>
      </c>
      <c r="AR230" s="144" t="e">
        <f t="shared" si="88"/>
        <v>#DIV/0!</v>
      </c>
      <c r="AS230" s="144" t="e">
        <f t="shared" si="88"/>
        <v>#DIV/0!</v>
      </c>
      <c r="AT230" s="9" t="e">
        <f t="shared" si="88"/>
        <v>#DIV/0!</v>
      </c>
      <c r="AU230" s="144" t="e">
        <f t="shared" si="88"/>
        <v>#DIV/0!</v>
      </c>
      <c r="AV230" s="144" t="e">
        <f t="shared" si="88"/>
        <v>#DIV/0!</v>
      </c>
      <c r="AW230" s="144" t="e">
        <f t="shared" si="88"/>
        <v>#DIV/0!</v>
      </c>
      <c r="AX230" s="144" t="e">
        <f t="shared" si="88"/>
        <v>#DIV/0!</v>
      </c>
      <c r="AY230" s="117" t="e">
        <f t="shared" si="88"/>
        <v>#DIV/0!</v>
      </c>
    </row>
    <row r="231" spans="1:51">
      <c r="A231" s="137" t="s">
        <v>211</v>
      </c>
      <c r="B231" s="117" t="e">
        <f t="shared" si="88"/>
        <v>#DIV/0!</v>
      </c>
      <c r="C231" s="117" t="e">
        <f t="shared" si="88"/>
        <v>#DIV/0!</v>
      </c>
      <c r="D231" s="117" t="e">
        <f t="shared" si="88"/>
        <v>#DIV/0!</v>
      </c>
      <c r="E231" s="117" t="e">
        <f t="shared" si="88"/>
        <v>#DIV/0!</v>
      </c>
      <c r="F231" s="9" t="e">
        <f t="shared" si="88"/>
        <v>#DIV/0!</v>
      </c>
      <c r="G231" s="117" t="e">
        <f t="shared" si="88"/>
        <v>#DIV/0!</v>
      </c>
      <c r="H231" s="117" t="e">
        <f t="shared" si="88"/>
        <v>#DIV/0!</v>
      </c>
      <c r="I231" s="117" t="e">
        <f t="shared" si="88"/>
        <v>#DIV/0!</v>
      </c>
      <c r="J231" s="117" t="e">
        <f t="shared" si="88"/>
        <v>#DIV/0!</v>
      </c>
      <c r="K231" s="9" t="e">
        <f t="shared" si="88"/>
        <v>#DIV/0!</v>
      </c>
      <c r="L231" s="117" t="e">
        <f t="shared" si="88"/>
        <v>#DIV/0!</v>
      </c>
      <c r="M231" s="117" t="e">
        <f t="shared" si="88"/>
        <v>#DIV/0!</v>
      </c>
      <c r="N231" s="117" t="e">
        <f t="shared" si="88"/>
        <v>#DIV/0!</v>
      </c>
      <c r="O231" s="117" t="e">
        <f t="shared" si="88"/>
        <v>#DIV/0!</v>
      </c>
      <c r="P231" s="9" t="e">
        <f t="shared" si="88"/>
        <v>#DIV/0!</v>
      </c>
      <c r="Q231" s="144" t="e">
        <f t="shared" si="88"/>
        <v>#DIV/0!</v>
      </c>
      <c r="R231" s="144" t="e">
        <f t="shared" si="88"/>
        <v>#DIV/0!</v>
      </c>
      <c r="S231" s="144" t="e">
        <f t="shared" si="88"/>
        <v>#DIV/0!</v>
      </c>
      <c r="T231" s="144" t="e">
        <f t="shared" si="88"/>
        <v>#DIV/0!</v>
      </c>
      <c r="U231" s="9" t="e">
        <f t="shared" si="88"/>
        <v>#DIV/0!</v>
      </c>
      <c r="V231" s="144" t="e">
        <f t="shared" si="88"/>
        <v>#DIV/0!</v>
      </c>
      <c r="W231" s="144" t="e">
        <f t="shared" si="88"/>
        <v>#DIV/0!</v>
      </c>
      <c r="X231" s="144" t="e">
        <f t="shared" si="88"/>
        <v>#DIV/0!</v>
      </c>
      <c r="Y231" s="144" t="e">
        <f t="shared" si="88"/>
        <v>#DIV/0!</v>
      </c>
      <c r="Z231" s="9" t="e">
        <f t="shared" si="88"/>
        <v>#DIV/0!</v>
      </c>
      <c r="AA231" s="144" t="e">
        <f t="shared" si="88"/>
        <v>#DIV/0!</v>
      </c>
      <c r="AB231" s="144" t="e">
        <f t="shared" si="88"/>
        <v>#DIV/0!</v>
      </c>
      <c r="AC231" s="144" t="e">
        <f t="shared" si="88"/>
        <v>#DIV/0!</v>
      </c>
      <c r="AD231" s="144" t="e">
        <f t="shared" si="88"/>
        <v>#DIV/0!</v>
      </c>
      <c r="AE231" s="9" t="e">
        <f t="shared" si="88"/>
        <v>#DIV/0!</v>
      </c>
      <c r="AF231" s="144" t="e">
        <f t="shared" si="88"/>
        <v>#DIV/0!</v>
      </c>
      <c r="AG231" s="144" t="e">
        <f t="shared" si="88"/>
        <v>#DIV/0!</v>
      </c>
      <c r="AH231" s="144" t="e">
        <f t="shared" si="88"/>
        <v>#DIV/0!</v>
      </c>
      <c r="AI231" s="144" t="e">
        <f t="shared" si="88"/>
        <v>#DIV/0!</v>
      </c>
      <c r="AJ231" s="9" t="e">
        <f t="shared" si="88"/>
        <v>#DIV/0!</v>
      </c>
      <c r="AK231" s="144" t="e">
        <f t="shared" si="88"/>
        <v>#DIV/0!</v>
      </c>
      <c r="AL231" s="144" t="e">
        <f t="shared" si="88"/>
        <v>#DIV/0!</v>
      </c>
      <c r="AM231" s="144" t="e">
        <f t="shared" si="88"/>
        <v>#DIV/0!</v>
      </c>
      <c r="AN231" s="144" t="e">
        <f t="shared" si="88"/>
        <v>#DIV/0!</v>
      </c>
      <c r="AO231" s="9" t="e">
        <f t="shared" si="88"/>
        <v>#DIV/0!</v>
      </c>
      <c r="AP231" s="144" t="e">
        <f t="shared" si="88"/>
        <v>#DIV/0!</v>
      </c>
      <c r="AQ231" s="144" t="e">
        <f t="shared" si="88"/>
        <v>#DIV/0!</v>
      </c>
      <c r="AR231" s="144" t="e">
        <f t="shared" si="88"/>
        <v>#DIV/0!</v>
      </c>
      <c r="AS231" s="144" t="e">
        <f t="shared" si="88"/>
        <v>#DIV/0!</v>
      </c>
      <c r="AT231" s="9" t="e">
        <f t="shared" si="88"/>
        <v>#DIV/0!</v>
      </c>
      <c r="AU231" s="144" t="e">
        <f t="shared" si="88"/>
        <v>#DIV/0!</v>
      </c>
      <c r="AV231" s="144" t="e">
        <f t="shared" si="88"/>
        <v>#DIV/0!</v>
      </c>
      <c r="AW231" s="144" t="e">
        <f t="shared" si="88"/>
        <v>#DIV/0!</v>
      </c>
      <c r="AX231" s="144" t="e">
        <f t="shared" si="88"/>
        <v>#DIV/0!</v>
      </c>
      <c r="AY231" s="117" t="e">
        <f t="shared" si="88"/>
        <v>#DIV/0!</v>
      </c>
    </row>
    <row r="232" spans="1:51">
      <c r="A232" s="137" t="s">
        <v>213</v>
      </c>
      <c r="B232" s="117" t="e">
        <f t="shared" si="88"/>
        <v>#DIV/0!</v>
      </c>
      <c r="C232" s="117" t="e">
        <f t="shared" si="88"/>
        <v>#DIV/0!</v>
      </c>
      <c r="D232" s="117" t="e">
        <f t="shared" si="88"/>
        <v>#DIV/0!</v>
      </c>
      <c r="E232" s="117" t="e">
        <f t="shared" si="88"/>
        <v>#DIV/0!</v>
      </c>
      <c r="F232" s="9" t="e">
        <f t="shared" si="88"/>
        <v>#DIV/0!</v>
      </c>
      <c r="G232" s="117" t="e">
        <f t="shared" si="88"/>
        <v>#DIV/0!</v>
      </c>
      <c r="H232" s="117" t="e">
        <f t="shared" si="88"/>
        <v>#DIV/0!</v>
      </c>
      <c r="I232" s="117" t="e">
        <f t="shared" si="88"/>
        <v>#DIV/0!</v>
      </c>
      <c r="J232" s="117" t="e">
        <f t="shared" si="88"/>
        <v>#DIV/0!</v>
      </c>
      <c r="K232" s="9" t="e">
        <f t="shared" si="88"/>
        <v>#DIV/0!</v>
      </c>
      <c r="L232" s="117" t="e">
        <f t="shared" si="88"/>
        <v>#DIV/0!</v>
      </c>
      <c r="M232" s="117" t="e">
        <f t="shared" si="88"/>
        <v>#DIV/0!</v>
      </c>
      <c r="N232" s="117" t="e">
        <f t="shared" si="88"/>
        <v>#DIV/0!</v>
      </c>
      <c r="O232" s="117" t="e">
        <f t="shared" si="88"/>
        <v>#DIV/0!</v>
      </c>
      <c r="P232" s="9" t="e">
        <f t="shared" si="88"/>
        <v>#DIV/0!</v>
      </c>
      <c r="Q232" s="144" t="e">
        <f t="shared" si="88"/>
        <v>#DIV/0!</v>
      </c>
      <c r="R232" s="144" t="e">
        <f t="shared" si="88"/>
        <v>#DIV/0!</v>
      </c>
      <c r="S232" s="144" t="e">
        <f t="shared" si="88"/>
        <v>#DIV/0!</v>
      </c>
      <c r="T232" s="144" t="e">
        <f t="shared" si="88"/>
        <v>#DIV/0!</v>
      </c>
      <c r="U232" s="9" t="e">
        <f t="shared" si="88"/>
        <v>#DIV/0!</v>
      </c>
      <c r="V232" s="144" t="e">
        <f t="shared" si="88"/>
        <v>#DIV/0!</v>
      </c>
      <c r="W232" s="144" t="e">
        <f t="shared" si="88"/>
        <v>#DIV/0!</v>
      </c>
      <c r="X232" s="144" t="e">
        <f t="shared" si="88"/>
        <v>#DIV/0!</v>
      </c>
      <c r="Y232" s="144" t="e">
        <f t="shared" si="88"/>
        <v>#DIV/0!</v>
      </c>
      <c r="Z232" s="9" t="e">
        <f t="shared" si="88"/>
        <v>#DIV/0!</v>
      </c>
      <c r="AA232" s="144" t="e">
        <f t="shared" si="88"/>
        <v>#DIV/0!</v>
      </c>
      <c r="AB232" s="144" t="e">
        <f t="shared" si="88"/>
        <v>#DIV/0!</v>
      </c>
      <c r="AC232" s="144" t="e">
        <f t="shared" si="88"/>
        <v>#DIV/0!</v>
      </c>
      <c r="AD232" s="144" t="e">
        <f t="shared" si="88"/>
        <v>#DIV/0!</v>
      </c>
      <c r="AE232" s="9" t="e">
        <f t="shared" si="88"/>
        <v>#DIV/0!</v>
      </c>
      <c r="AF232" s="144" t="e">
        <f t="shared" si="88"/>
        <v>#DIV/0!</v>
      </c>
      <c r="AG232" s="144" t="e">
        <f t="shared" si="88"/>
        <v>#DIV/0!</v>
      </c>
      <c r="AH232" s="144" t="e">
        <f t="shared" si="88"/>
        <v>#DIV/0!</v>
      </c>
      <c r="AI232" s="144" t="e">
        <f t="shared" si="88"/>
        <v>#DIV/0!</v>
      </c>
      <c r="AJ232" s="9" t="e">
        <f t="shared" si="88"/>
        <v>#DIV/0!</v>
      </c>
      <c r="AK232" s="144" t="e">
        <f t="shared" si="88"/>
        <v>#DIV/0!</v>
      </c>
      <c r="AL232" s="144" t="e">
        <f t="shared" si="88"/>
        <v>#DIV/0!</v>
      </c>
      <c r="AM232" s="144" t="e">
        <f t="shared" si="88"/>
        <v>#DIV/0!</v>
      </c>
      <c r="AN232" s="144" t="e">
        <f t="shared" si="88"/>
        <v>#DIV/0!</v>
      </c>
      <c r="AO232" s="9" t="e">
        <f t="shared" si="88"/>
        <v>#DIV/0!</v>
      </c>
      <c r="AP232" s="144" t="e">
        <f t="shared" si="88"/>
        <v>#DIV/0!</v>
      </c>
      <c r="AQ232" s="144" t="e">
        <f t="shared" si="88"/>
        <v>#DIV/0!</v>
      </c>
      <c r="AR232" s="144" t="e">
        <f t="shared" si="88"/>
        <v>#DIV/0!</v>
      </c>
      <c r="AS232" s="144" t="e">
        <f t="shared" si="88"/>
        <v>#DIV/0!</v>
      </c>
      <c r="AT232" s="9" t="e">
        <f t="shared" si="88"/>
        <v>#DIV/0!</v>
      </c>
      <c r="AU232" s="144" t="e">
        <f t="shared" si="88"/>
        <v>#DIV/0!</v>
      </c>
      <c r="AV232" s="144" t="e">
        <f t="shared" si="88"/>
        <v>#DIV/0!</v>
      </c>
      <c r="AW232" s="144" t="e">
        <f t="shared" si="88"/>
        <v>#DIV/0!</v>
      </c>
      <c r="AX232" s="144" t="e">
        <f t="shared" si="88"/>
        <v>#DIV/0!</v>
      </c>
      <c r="AY232" s="117" t="e">
        <f t="shared" si="88"/>
        <v>#DIV/0!</v>
      </c>
    </row>
    <row r="233" spans="1:51">
      <c r="A233" s="137" t="s">
        <v>215</v>
      </c>
      <c r="B233" s="117" t="e">
        <f t="shared" ref="B233:AY236" si="89">B95/B$137</f>
        <v>#DIV/0!</v>
      </c>
      <c r="C233" s="117" t="e">
        <f t="shared" si="89"/>
        <v>#DIV/0!</v>
      </c>
      <c r="D233" s="117" t="e">
        <f t="shared" si="89"/>
        <v>#DIV/0!</v>
      </c>
      <c r="E233" s="117" t="e">
        <f t="shared" si="89"/>
        <v>#DIV/0!</v>
      </c>
      <c r="F233" s="9" t="e">
        <f t="shared" si="89"/>
        <v>#DIV/0!</v>
      </c>
      <c r="G233" s="117" t="e">
        <f t="shared" si="89"/>
        <v>#DIV/0!</v>
      </c>
      <c r="H233" s="117" t="e">
        <f t="shared" si="89"/>
        <v>#DIV/0!</v>
      </c>
      <c r="I233" s="117" t="e">
        <f t="shared" si="89"/>
        <v>#DIV/0!</v>
      </c>
      <c r="J233" s="117" t="e">
        <f t="shared" si="89"/>
        <v>#DIV/0!</v>
      </c>
      <c r="K233" s="9" t="e">
        <f t="shared" si="89"/>
        <v>#DIV/0!</v>
      </c>
      <c r="L233" s="117" t="e">
        <f t="shared" si="89"/>
        <v>#DIV/0!</v>
      </c>
      <c r="M233" s="117" t="e">
        <f t="shared" si="89"/>
        <v>#DIV/0!</v>
      </c>
      <c r="N233" s="117" t="e">
        <f t="shared" si="89"/>
        <v>#DIV/0!</v>
      </c>
      <c r="O233" s="117" t="e">
        <f t="shared" si="89"/>
        <v>#DIV/0!</v>
      </c>
      <c r="P233" s="9" t="e">
        <f t="shared" si="89"/>
        <v>#DIV/0!</v>
      </c>
      <c r="Q233" s="144" t="e">
        <f t="shared" si="89"/>
        <v>#DIV/0!</v>
      </c>
      <c r="R233" s="144" t="e">
        <f t="shared" si="89"/>
        <v>#DIV/0!</v>
      </c>
      <c r="S233" s="144" t="e">
        <f t="shared" si="89"/>
        <v>#DIV/0!</v>
      </c>
      <c r="T233" s="144" t="e">
        <f t="shared" si="89"/>
        <v>#DIV/0!</v>
      </c>
      <c r="U233" s="9" t="e">
        <f t="shared" si="89"/>
        <v>#DIV/0!</v>
      </c>
      <c r="V233" s="144" t="e">
        <f t="shared" si="89"/>
        <v>#DIV/0!</v>
      </c>
      <c r="W233" s="144" t="e">
        <f t="shared" si="89"/>
        <v>#DIV/0!</v>
      </c>
      <c r="X233" s="144" t="e">
        <f t="shared" si="89"/>
        <v>#DIV/0!</v>
      </c>
      <c r="Y233" s="144" t="e">
        <f t="shared" si="89"/>
        <v>#DIV/0!</v>
      </c>
      <c r="Z233" s="9" t="e">
        <f t="shared" si="89"/>
        <v>#DIV/0!</v>
      </c>
      <c r="AA233" s="144" t="e">
        <f t="shared" si="89"/>
        <v>#DIV/0!</v>
      </c>
      <c r="AB233" s="144" t="e">
        <f t="shared" si="89"/>
        <v>#DIV/0!</v>
      </c>
      <c r="AC233" s="144" t="e">
        <f t="shared" si="89"/>
        <v>#DIV/0!</v>
      </c>
      <c r="AD233" s="144" t="e">
        <f t="shared" si="89"/>
        <v>#DIV/0!</v>
      </c>
      <c r="AE233" s="9" t="e">
        <f t="shared" si="89"/>
        <v>#DIV/0!</v>
      </c>
      <c r="AF233" s="144" t="e">
        <f t="shared" si="89"/>
        <v>#DIV/0!</v>
      </c>
      <c r="AG233" s="144" t="e">
        <f t="shared" si="89"/>
        <v>#DIV/0!</v>
      </c>
      <c r="AH233" s="144" t="e">
        <f t="shared" si="89"/>
        <v>#DIV/0!</v>
      </c>
      <c r="AI233" s="144" t="e">
        <f t="shared" si="89"/>
        <v>#DIV/0!</v>
      </c>
      <c r="AJ233" s="9" t="e">
        <f t="shared" si="89"/>
        <v>#DIV/0!</v>
      </c>
      <c r="AK233" s="144" t="e">
        <f t="shared" si="89"/>
        <v>#DIV/0!</v>
      </c>
      <c r="AL233" s="144" t="e">
        <f t="shared" si="89"/>
        <v>#DIV/0!</v>
      </c>
      <c r="AM233" s="144" t="e">
        <f t="shared" si="89"/>
        <v>#DIV/0!</v>
      </c>
      <c r="AN233" s="144" t="e">
        <f t="shared" si="89"/>
        <v>#DIV/0!</v>
      </c>
      <c r="AO233" s="9" t="e">
        <f t="shared" si="89"/>
        <v>#DIV/0!</v>
      </c>
      <c r="AP233" s="144" t="e">
        <f t="shared" si="89"/>
        <v>#DIV/0!</v>
      </c>
      <c r="AQ233" s="144" t="e">
        <f t="shared" si="89"/>
        <v>#DIV/0!</v>
      </c>
      <c r="AR233" s="144" t="e">
        <f t="shared" si="89"/>
        <v>#DIV/0!</v>
      </c>
      <c r="AS233" s="144" t="e">
        <f t="shared" si="89"/>
        <v>#DIV/0!</v>
      </c>
      <c r="AT233" s="9" t="e">
        <f t="shared" si="89"/>
        <v>#DIV/0!</v>
      </c>
      <c r="AU233" s="144" t="e">
        <f t="shared" si="89"/>
        <v>#DIV/0!</v>
      </c>
      <c r="AV233" s="144" t="e">
        <f t="shared" si="89"/>
        <v>#DIV/0!</v>
      </c>
      <c r="AW233" s="144" t="e">
        <f t="shared" si="89"/>
        <v>#DIV/0!</v>
      </c>
      <c r="AX233" s="144" t="e">
        <f t="shared" si="89"/>
        <v>#DIV/0!</v>
      </c>
      <c r="AY233" s="117" t="e">
        <f t="shared" si="89"/>
        <v>#DIV/0!</v>
      </c>
    </row>
    <row r="234" spans="1:51">
      <c r="A234" s="137" t="s">
        <v>217</v>
      </c>
      <c r="B234" s="117" t="e">
        <f t="shared" si="89"/>
        <v>#DIV/0!</v>
      </c>
      <c r="C234" s="117" t="e">
        <f t="shared" si="89"/>
        <v>#DIV/0!</v>
      </c>
      <c r="D234" s="117" t="e">
        <f t="shared" si="89"/>
        <v>#DIV/0!</v>
      </c>
      <c r="E234" s="117" t="e">
        <f t="shared" si="89"/>
        <v>#DIV/0!</v>
      </c>
      <c r="F234" s="9" t="e">
        <f t="shared" si="89"/>
        <v>#DIV/0!</v>
      </c>
      <c r="G234" s="117" t="e">
        <f t="shared" si="89"/>
        <v>#DIV/0!</v>
      </c>
      <c r="H234" s="117" t="e">
        <f t="shared" si="89"/>
        <v>#DIV/0!</v>
      </c>
      <c r="I234" s="117" t="e">
        <f t="shared" si="89"/>
        <v>#DIV/0!</v>
      </c>
      <c r="J234" s="117" t="e">
        <f t="shared" si="89"/>
        <v>#DIV/0!</v>
      </c>
      <c r="K234" s="9" t="e">
        <f t="shared" si="89"/>
        <v>#DIV/0!</v>
      </c>
      <c r="L234" s="117" t="e">
        <f t="shared" si="89"/>
        <v>#DIV/0!</v>
      </c>
      <c r="M234" s="117" t="e">
        <f t="shared" si="89"/>
        <v>#DIV/0!</v>
      </c>
      <c r="N234" s="117" t="e">
        <f t="shared" si="89"/>
        <v>#DIV/0!</v>
      </c>
      <c r="O234" s="117" t="e">
        <f t="shared" si="89"/>
        <v>#DIV/0!</v>
      </c>
      <c r="P234" s="9" t="e">
        <f t="shared" si="89"/>
        <v>#DIV/0!</v>
      </c>
      <c r="Q234" s="144" t="e">
        <f t="shared" si="89"/>
        <v>#DIV/0!</v>
      </c>
      <c r="R234" s="144" t="e">
        <f t="shared" si="89"/>
        <v>#DIV/0!</v>
      </c>
      <c r="S234" s="144" t="e">
        <f t="shared" si="89"/>
        <v>#DIV/0!</v>
      </c>
      <c r="T234" s="144" t="e">
        <f t="shared" si="89"/>
        <v>#DIV/0!</v>
      </c>
      <c r="U234" s="9" t="e">
        <f t="shared" si="89"/>
        <v>#DIV/0!</v>
      </c>
      <c r="V234" s="144" t="e">
        <f t="shared" si="89"/>
        <v>#DIV/0!</v>
      </c>
      <c r="W234" s="144" t="e">
        <f t="shared" si="89"/>
        <v>#DIV/0!</v>
      </c>
      <c r="X234" s="144" t="e">
        <f t="shared" si="89"/>
        <v>#DIV/0!</v>
      </c>
      <c r="Y234" s="144" t="e">
        <f t="shared" si="89"/>
        <v>#DIV/0!</v>
      </c>
      <c r="Z234" s="9" t="e">
        <f t="shared" si="89"/>
        <v>#DIV/0!</v>
      </c>
      <c r="AA234" s="144" t="e">
        <f t="shared" si="89"/>
        <v>#DIV/0!</v>
      </c>
      <c r="AB234" s="144" t="e">
        <f t="shared" si="89"/>
        <v>#DIV/0!</v>
      </c>
      <c r="AC234" s="144" t="e">
        <f t="shared" si="89"/>
        <v>#DIV/0!</v>
      </c>
      <c r="AD234" s="144" t="e">
        <f t="shared" si="89"/>
        <v>#DIV/0!</v>
      </c>
      <c r="AE234" s="9" t="e">
        <f t="shared" si="89"/>
        <v>#DIV/0!</v>
      </c>
      <c r="AF234" s="144" t="e">
        <f t="shared" si="89"/>
        <v>#DIV/0!</v>
      </c>
      <c r="AG234" s="144" t="e">
        <f t="shared" si="89"/>
        <v>#DIV/0!</v>
      </c>
      <c r="AH234" s="144" t="e">
        <f t="shared" si="89"/>
        <v>#DIV/0!</v>
      </c>
      <c r="AI234" s="144" t="e">
        <f t="shared" si="89"/>
        <v>#DIV/0!</v>
      </c>
      <c r="AJ234" s="9" t="e">
        <f t="shared" si="89"/>
        <v>#DIV/0!</v>
      </c>
      <c r="AK234" s="144" t="e">
        <f t="shared" si="89"/>
        <v>#DIV/0!</v>
      </c>
      <c r="AL234" s="144" t="e">
        <f t="shared" si="89"/>
        <v>#DIV/0!</v>
      </c>
      <c r="AM234" s="144" t="e">
        <f t="shared" si="89"/>
        <v>#DIV/0!</v>
      </c>
      <c r="AN234" s="144" t="e">
        <f t="shared" si="89"/>
        <v>#DIV/0!</v>
      </c>
      <c r="AO234" s="9" t="e">
        <f t="shared" si="89"/>
        <v>#DIV/0!</v>
      </c>
      <c r="AP234" s="144" t="e">
        <f t="shared" si="89"/>
        <v>#DIV/0!</v>
      </c>
      <c r="AQ234" s="144" t="e">
        <f t="shared" si="89"/>
        <v>#DIV/0!</v>
      </c>
      <c r="AR234" s="144" t="e">
        <f t="shared" si="89"/>
        <v>#DIV/0!</v>
      </c>
      <c r="AS234" s="144" t="e">
        <f t="shared" si="89"/>
        <v>#DIV/0!</v>
      </c>
      <c r="AT234" s="9" t="e">
        <f t="shared" si="89"/>
        <v>#DIV/0!</v>
      </c>
      <c r="AU234" s="144" t="e">
        <f t="shared" si="89"/>
        <v>#DIV/0!</v>
      </c>
      <c r="AV234" s="144" t="e">
        <f t="shared" si="89"/>
        <v>#DIV/0!</v>
      </c>
      <c r="AW234" s="144" t="e">
        <f t="shared" si="89"/>
        <v>#DIV/0!</v>
      </c>
      <c r="AX234" s="144" t="e">
        <f t="shared" si="89"/>
        <v>#DIV/0!</v>
      </c>
      <c r="AY234" s="117" t="e">
        <f t="shared" si="89"/>
        <v>#DIV/0!</v>
      </c>
    </row>
    <row r="235" spans="1:51">
      <c r="A235" s="137" t="s">
        <v>219</v>
      </c>
      <c r="B235" s="117" t="e">
        <f t="shared" si="89"/>
        <v>#DIV/0!</v>
      </c>
      <c r="C235" s="117" t="e">
        <f t="shared" si="89"/>
        <v>#DIV/0!</v>
      </c>
      <c r="D235" s="117" t="e">
        <f t="shared" si="89"/>
        <v>#DIV/0!</v>
      </c>
      <c r="E235" s="117" t="e">
        <f t="shared" si="89"/>
        <v>#DIV/0!</v>
      </c>
      <c r="F235" s="9" t="e">
        <f t="shared" si="89"/>
        <v>#DIV/0!</v>
      </c>
      <c r="G235" s="117" t="e">
        <f t="shared" si="89"/>
        <v>#DIV/0!</v>
      </c>
      <c r="H235" s="117" t="e">
        <f t="shared" si="89"/>
        <v>#DIV/0!</v>
      </c>
      <c r="I235" s="117" t="e">
        <f t="shared" si="89"/>
        <v>#DIV/0!</v>
      </c>
      <c r="J235" s="117" t="e">
        <f t="shared" si="89"/>
        <v>#DIV/0!</v>
      </c>
      <c r="K235" s="9" t="e">
        <f t="shared" si="89"/>
        <v>#DIV/0!</v>
      </c>
      <c r="L235" s="117" t="e">
        <f t="shared" si="89"/>
        <v>#DIV/0!</v>
      </c>
      <c r="M235" s="117" t="e">
        <f t="shared" si="89"/>
        <v>#DIV/0!</v>
      </c>
      <c r="N235" s="117" t="e">
        <f t="shared" si="89"/>
        <v>#DIV/0!</v>
      </c>
      <c r="O235" s="117" t="e">
        <f t="shared" si="89"/>
        <v>#DIV/0!</v>
      </c>
      <c r="P235" s="9" t="e">
        <f t="shared" si="89"/>
        <v>#DIV/0!</v>
      </c>
      <c r="Q235" s="144" t="e">
        <f t="shared" si="89"/>
        <v>#DIV/0!</v>
      </c>
      <c r="R235" s="144" t="e">
        <f t="shared" si="89"/>
        <v>#DIV/0!</v>
      </c>
      <c r="S235" s="144" t="e">
        <f t="shared" si="89"/>
        <v>#DIV/0!</v>
      </c>
      <c r="T235" s="144" t="e">
        <f t="shared" si="89"/>
        <v>#DIV/0!</v>
      </c>
      <c r="U235" s="9" t="e">
        <f t="shared" si="89"/>
        <v>#DIV/0!</v>
      </c>
      <c r="V235" s="144" t="e">
        <f t="shared" si="89"/>
        <v>#DIV/0!</v>
      </c>
      <c r="W235" s="144" t="e">
        <f t="shared" si="89"/>
        <v>#DIV/0!</v>
      </c>
      <c r="X235" s="144" t="e">
        <f t="shared" si="89"/>
        <v>#DIV/0!</v>
      </c>
      <c r="Y235" s="144" t="e">
        <f t="shared" si="89"/>
        <v>#DIV/0!</v>
      </c>
      <c r="Z235" s="9" t="e">
        <f t="shared" si="89"/>
        <v>#DIV/0!</v>
      </c>
      <c r="AA235" s="144" t="e">
        <f t="shared" si="89"/>
        <v>#DIV/0!</v>
      </c>
      <c r="AB235" s="144" t="e">
        <f t="shared" si="89"/>
        <v>#DIV/0!</v>
      </c>
      <c r="AC235" s="144" t="e">
        <f t="shared" si="89"/>
        <v>#DIV/0!</v>
      </c>
      <c r="AD235" s="144" t="e">
        <f t="shared" si="89"/>
        <v>#DIV/0!</v>
      </c>
      <c r="AE235" s="9" t="e">
        <f t="shared" si="89"/>
        <v>#DIV/0!</v>
      </c>
      <c r="AF235" s="144" t="e">
        <f t="shared" si="89"/>
        <v>#DIV/0!</v>
      </c>
      <c r="AG235" s="144" t="e">
        <f t="shared" si="89"/>
        <v>#DIV/0!</v>
      </c>
      <c r="AH235" s="144" t="e">
        <f t="shared" si="89"/>
        <v>#DIV/0!</v>
      </c>
      <c r="AI235" s="144" t="e">
        <f t="shared" si="89"/>
        <v>#DIV/0!</v>
      </c>
      <c r="AJ235" s="9" t="e">
        <f t="shared" si="89"/>
        <v>#DIV/0!</v>
      </c>
      <c r="AK235" s="144" t="e">
        <f t="shared" si="89"/>
        <v>#DIV/0!</v>
      </c>
      <c r="AL235" s="144" t="e">
        <f t="shared" si="89"/>
        <v>#DIV/0!</v>
      </c>
      <c r="AM235" s="144" t="e">
        <f t="shared" si="89"/>
        <v>#DIV/0!</v>
      </c>
      <c r="AN235" s="144" t="e">
        <f t="shared" si="89"/>
        <v>#DIV/0!</v>
      </c>
      <c r="AO235" s="9" t="e">
        <f t="shared" si="89"/>
        <v>#DIV/0!</v>
      </c>
      <c r="AP235" s="144" t="e">
        <f t="shared" si="89"/>
        <v>#DIV/0!</v>
      </c>
      <c r="AQ235" s="144" t="e">
        <f t="shared" si="89"/>
        <v>#DIV/0!</v>
      </c>
      <c r="AR235" s="144" t="e">
        <f t="shared" si="89"/>
        <v>#DIV/0!</v>
      </c>
      <c r="AS235" s="144" t="e">
        <f t="shared" si="89"/>
        <v>#DIV/0!</v>
      </c>
      <c r="AT235" s="9" t="e">
        <f t="shared" si="89"/>
        <v>#DIV/0!</v>
      </c>
      <c r="AU235" s="144" t="e">
        <f t="shared" si="89"/>
        <v>#DIV/0!</v>
      </c>
      <c r="AV235" s="144" t="e">
        <f t="shared" si="89"/>
        <v>#DIV/0!</v>
      </c>
      <c r="AW235" s="144" t="e">
        <f t="shared" si="89"/>
        <v>#DIV/0!</v>
      </c>
      <c r="AX235" s="144" t="e">
        <f t="shared" si="89"/>
        <v>#DIV/0!</v>
      </c>
      <c r="AY235" s="117" t="e">
        <f t="shared" si="89"/>
        <v>#DIV/0!</v>
      </c>
    </row>
    <row r="236" spans="1:51">
      <c r="A236" s="137" t="s">
        <v>221</v>
      </c>
      <c r="B236" s="117" t="e">
        <f t="shared" si="89"/>
        <v>#DIV/0!</v>
      </c>
      <c r="C236" s="117" t="e">
        <f t="shared" si="89"/>
        <v>#DIV/0!</v>
      </c>
      <c r="D236" s="117" t="e">
        <f t="shared" si="89"/>
        <v>#DIV/0!</v>
      </c>
      <c r="E236" s="117" t="e">
        <f t="shared" si="89"/>
        <v>#DIV/0!</v>
      </c>
      <c r="F236" s="9" t="e">
        <f t="shared" si="89"/>
        <v>#DIV/0!</v>
      </c>
      <c r="G236" s="117" t="e">
        <f t="shared" si="89"/>
        <v>#DIV/0!</v>
      </c>
      <c r="H236" s="117" t="e">
        <f t="shared" si="89"/>
        <v>#DIV/0!</v>
      </c>
      <c r="I236" s="117" t="e">
        <f t="shared" si="89"/>
        <v>#DIV/0!</v>
      </c>
      <c r="J236" s="117" t="e">
        <f t="shared" si="89"/>
        <v>#DIV/0!</v>
      </c>
      <c r="K236" s="9" t="e">
        <f t="shared" si="89"/>
        <v>#DIV/0!</v>
      </c>
      <c r="L236" s="117" t="e">
        <f t="shared" si="89"/>
        <v>#DIV/0!</v>
      </c>
      <c r="M236" s="117" t="e">
        <f t="shared" si="89"/>
        <v>#DIV/0!</v>
      </c>
      <c r="N236" s="117" t="e">
        <f t="shared" si="89"/>
        <v>#DIV/0!</v>
      </c>
      <c r="O236" s="117" t="e">
        <f t="shared" si="89"/>
        <v>#DIV/0!</v>
      </c>
      <c r="P236" s="9" t="e">
        <f t="shared" si="89"/>
        <v>#DIV/0!</v>
      </c>
      <c r="Q236" s="144" t="e">
        <f t="shared" si="89"/>
        <v>#DIV/0!</v>
      </c>
      <c r="R236" s="144" t="e">
        <f t="shared" si="89"/>
        <v>#DIV/0!</v>
      </c>
      <c r="S236" s="144" t="e">
        <f t="shared" si="89"/>
        <v>#DIV/0!</v>
      </c>
      <c r="T236" s="144" t="e">
        <f t="shared" si="89"/>
        <v>#DIV/0!</v>
      </c>
      <c r="U236" s="9" t="e">
        <f t="shared" si="89"/>
        <v>#DIV/0!</v>
      </c>
      <c r="V236" s="144" t="e">
        <f t="shared" si="89"/>
        <v>#DIV/0!</v>
      </c>
      <c r="W236" s="144" t="e">
        <f t="shared" si="89"/>
        <v>#DIV/0!</v>
      </c>
      <c r="X236" s="144" t="e">
        <f t="shared" si="89"/>
        <v>#DIV/0!</v>
      </c>
      <c r="Y236" s="144" t="e">
        <f t="shared" si="89"/>
        <v>#DIV/0!</v>
      </c>
      <c r="Z236" s="9" t="e">
        <f t="shared" si="89"/>
        <v>#DIV/0!</v>
      </c>
      <c r="AA236" s="144" t="e">
        <f t="shared" si="89"/>
        <v>#DIV/0!</v>
      </c>
      <c r="AB236" s="144" t="e">
        <f t="shared" si="89"/>
        <v>#DIV/0!</v>
      </c>
      <c r="AC236" s="144" t="e">
        <f t="shared" si="89"/>
        <v>#DIV/0!</v>
      </c>
      <c r="AD236" s="144" t="e">
        <f t="shared" si="89"/>
        <v>#DIV/0!</v>
      </c>
      <c r="AE236" s="9" t="e">
        <f t="shared" si="89"/>
        <v>#DIV/0!</v>
      </c>
      <c r="AF236" s="144" t="e">
        <f t="shared" si="89"/>
        <v>#DIV/0!</v>
      </c>
      <c r="AG236" s="144" t="e">
        <f t="shared" si="89"/>
        <v>#DIV/0!</v>
      </c>
      <c r="AH236" s="144" t="e">
        <f t="shared" si="89"/>
        <v>#DIV/0!</v>
      </c>
      <c r="AI236" s="144" t="e">
        <f t="shared" si="89"/>
        <v>#DIV/0!</v>
      </c>
      <c r="AJ236" s="9" t="e">
        <f t="shared" si="89"/>
        <v>#DIV/0!</v>
      </c>
      <c r="AK236" s="144" t="e">
        <f t="shared" si="89"/>
        <v>#DIV/0!</v>
      </c>
      <c r="AL236" s="144" t="e">
        <f t="shared" si="89"/>
        <v>#DIV/0!</v>
      </c>
      <c r="AM236" s="144" t="e">
        <f t="shared" si="89"/>
        <v>#DIV/0!</v>
      </c>
      <c r="AN236" s="144" t="e">
        <f t="shared" si="89"/>
        <v>#DIV/0!</v>
      </c>
      <c r="AO236" s="9" t="e">
        <f t="shared" si="89"/>
        <v>#DIV/0!</v>
      </c>
      <c r="AP236" s="144" t="e">
        <f t="shared" si="89"/>
        <v>#DIV/0!</v>
      </c>
      <c r="AQ236" s="144" t="e">
        <f t="shared" si="89"/>
        <v>#DIV/0!</v>
      </c>
      <c r="AR236" s="144" t="e">
        <f t="shared" si="89"/>
        <v>#DIV/0!</v>
      </c>
      <c r="AS236" s="144" t="e">
        <f t="shared" si="89"/>
        <v>#DIV/0!</v>
      </c>
      <c r="AT236" s="9" t="e">
        <f t="shared" si="89"/>
        <v>#DIV/0!</v>
      </c>
      <c r="AU236" s="144" t="e">
        <f t="shared" si="89"/>
        <v>#DIV/0!</v>
      </c>
      <c r="AV236" s="144" t="e">
        <f t="shared" si="89"/>
        <v>#DIV/0!</v>
      </c>
      <c r="AW236" s="144" t="e">
        <f t="shared" si="89"/>
        <v>#DIV/0!</v>
      </c>
      <c r="AX236" s="144" t="e">
        <f t="shared" si="89"/>
        <v>#DIV/0!</v>
      </c>
      <c r="AY236" s="117" t="e">
        <f t="shared" si="89"/>
        <v>#DIV/0!</v>
      </c>
    </row>
    <row r="237" spans="1:51">
      <c r="A237" s="137" t="s">
        <v>223</v>
      </c>
      <c r="B237" s="117" t="e">
        <f t="shared" ref="B237:AY240" si="90">B99/B$137</f>
        <v>#DIV/0!</v>
      </c>
      <c r="C237" s="117" t="e">
        <f t="shared" si="90"/>
        <v>#DIV/0!</v>
      </c>
      <c r="D237" s="117" t="e">
        <f t="shared" si="90"/>
        <v>#DIV/0!</v>
      </c>
      <c r="E237" s="117" t="e">
        <f t="shared" si="90"/>
        <v>#DIV/0!</v>
      </c>
      <c r="F237" s="9" t="e">
        <f t="shared" si="90"/>
        <v>#DIV/0!</v>
      </c>
      <c r="G237" s="117" t="e">
        <f t="shared" si="90"/>
        <v>#DIV/0!</v>
      </c>
      <c r="H237" s="117" t="e">
        <f t="shared" si="90"/>
        <v>#DIV/0!</v>
      </c>
      <c r="I237" s="117" t="e">
        <f t="shared" si="90"/>
        <v>#DIV/0!</v>
      </c>
      <c r="J237" s="117" t="e">
        <f t="shared" si="90"/>
        <v>#DIV/0!</v>
      </c>
      <c r="K237" s="9" t="e">
        <f t="shared" si="90"/>
        <v>#DIV/0!</v>
      </c>
      <c r="L237" s="117" t="e">
        <f t="shared" si="90"/>
        <v>#DIV/0!</v>
      </c>
      <c r="M237" s="117" t="e">
        <f t="shared" si="90"/>
        <v>#DIV/0!</v>
      </c>
      <c r="N237" s="117" t="e">
        <f t="shared" si="90"/>
        <v>#DIV/0!</v>
      </c>
      <c r="O237" s="117" t="e">
        <f t="shared" si="90"/>
        <v>#DIV/0!</v>
      </c>
      <c r="P237" s="9" t="e">
        <f t="shared" si="90"/>
        <v>#DIV/0!</v>
      </c>
      <c r="Q237" s="144" t="e">
        <f t="shared" si="90"/>
        <v>#DIV/0!</v>
      </c>
      <c r="R237" s="144" t="e">
        <f t="shared" si="90"/>
        <v>#DIV/0!</v>
      </c>
      <c r="S237" s="144" t="e">
        <f t="shared" si="90"/>
        <v>#DIV/0!</v>
      </c>
      <c r="T237" s="144" t="e">
        <f t="shared" si="90"/>
        <v>#DIV/0!</v>
      </c>
      <c r="U237" s="9" t="e">
        <f t="shared" si="90"/>
        <v>#DIV/0!</v>
      </c>
      <c r="V237" s="144" t="e">
        <f t="shared" si="90"/>
        <v>#DIV/0!</v>
      </c>
      <c r="W237" s="144" t="e">
        <f t="shared" si="90"/>
        <v>#DIV/0!</v>
      </c>
      <c r="X237" s="144" t="e">
        <f t="shared" si="90"/>
        <v>#DIV/0!</v>
      </c>
      <c r="Y237" s="144" t="e">
        <f t="shared" si="90"/>
        <v>#DIV/0!</v>
      </c>
      <c r="Z237" s="9" t="e">
        <f t="shared" si="90"/>
        <v>#DIV/0!</v>
      </c>
      <c r="AA237" s="144" t="e">
        <f t="shared" si="90"/>
        <v>#DIV/0!</v>
      </c>
      <c r="AB237" s="144" t="e">
        <f t="shared" si="90"/>
        <v>#DIV/0!</v>
      </c>
      <c r="AC237" s="144" t="e">
        <f t="shared" si="90"/>
        <v>#DIV/0!</v>
      </c>
      <c r="AD237" s="144" t="e">
        <f t="shared" si="90"/>
        <v>#DIV/0!</v>
      </c>
      <c r="AE237" s="9" t="e">
        <f t="shared" si="90"/>
        <v>#DIV/0!</v>
      </c>
      <c r="AF237" s="144" t="e">
        <f t="shared" si="90"/>
        <v>#DIV/0!</v>
      </c>
      <c r="AG237" s="144" t="e">
        <f t="shared" si="90"/>
        <v>#DIV/0!</v>
      </c>
      <c r="AH237" s="144" t="e">
        <f t="shared" si="90"/>
        <v>#DIV/0!</v>
      </c>
      <c r="AI237" s="144" t="e">
        <f t="shared" si="90"/>
        <v>#DIV/0!</v>
      </c>
      <c r="AJ237" s="9" t="e">
        <f t="shared" si="90"/>
        <v>#DIV/0!</v>
      </c>
      <c r="AK237" s="144" t="e">
        <f t="shared" si="90"/>
        <v>#DIV/0!</v>
      </c>
      <c r="AL237" s="144" t="e">
        <f t="shared" si="90"/>
        <v>#DIV/0!</v>
      </c>
      <c r="AM237" s="144" t="e">
        <f t="shared" si="90"/>
        <v>#DIV/0!</v>
      </c>
      <c r="AN237" s="144" t="e">
        <f t="shared" si="90"/>
        <v>#DIV/0!</v>
      </c>
      <c r="AO237" s="9" t="e">
        <f t="shared" si="90"/>
        <v>#DIV/0!</v>
      </c>
      <c r="AP237" s="144" t="e">
        <f t="shared" si="90"/>
        <v>#DIV/0!</v>
      </c>
      <c r="AQ237" s="144" t="e">
        <f t="shared" si="90"/>
        <v>#DIV/0!</v>
      </c>
      <c r="AR237" s="144" t="e">
        <f t="shared" si="90"/>
        <v>#DIV/0!</v>
      </c>
      <c r="AS237" s="144" t="e">
        <f t="shared" si="90"/>
        <v>#DIV/0!</v>
      </c>
      <c r="AT237" s="9" t="e">
        <f t="shared" si="90"/>
        <v>#DIV/0!</v>
      </c>
      <c r="AU237" s="144" t="e">
        <f t="shared" si="90"/>
        <v>#DIV/0!</v>
      </c>
      <c r="AV237" s="144" t="e">
        <f t="shared" si="90"/>
        <v>#DIV/0!</v>
      </c>
      <c r="AW237" s="144" t="e">
        <f t="shared" si="90"/>
        <v>#DIV/0!</v>
      </c>
      <c r="AX237" s="144" t="e">
        <f t="shared" si="90"/>
        <v>#DIV/0!</v>
      </c>
      <c r="AY237" s="117" t="e">
        <f t="shared" si="90"/>
        <v>#DIV/0!</v>
      </c>
    </row>
    <row r="238" spans="1:51">
      <c r="A238" s="137" t="s">
        <v>225</v>
      </c>
      <c r="B238" s="117" t="e">
        <f t="shared" si="90"/>
        <v>#DIV/0!</v>
      </c>
      <c r="C238" s="117" t="e">
        <f t="shared" si="90"/>
        <v>#DIV/0!</v>
      </c>
      <c r="D238" s="117" t="e">
        <f t="shared" si="90"/>
        <v>#DIV/0!</v>
      </c>
      <c r="E238" s="117" t="e">
        <f t="shared" si="90"/>
        <v>#DIV/0!</v>
      </c>
      <c r="F238" s="9" t="e">
        <f t="shared" si="90"/>
        <v>#DIV/0!</v>
      </c>
      <c r="G238" s="117" t="e">
        <f t="shared" si="90"/>
        <v>#DIV/0!</v>
      </c>
      <c r="H238" s="117" t="e">
        <f t="shared" si="90"/>
        <v>#DIV/0!</v>
      </c>
      <c r="I238" s="117" t="e">
        <f t="shared" si="90"/>
        <v>#DIV/0!</v>
      </c>
      <c r="J238" s="117" t="e">
        <f t="shared" si="90"/>
        <v>#DIV/0!</v>
      </c>
      <c r="K238" s="9" t="e">
        <f t="shared" si="90"/>
        <v>#DIV/0!</v>
      </c>
      <c r="L238" s="117" t="e">
        <f t="shared" si="90"/>
        <v>#DIV/0!</v>
      </c>
      <c r="M238" s="117" t="e">
        <f t="shared" si="90"/>
        <v>#DIV/0!</v>
      </c>
      <c r="N238" s="117" t="e">
        <f t="shared" si="90"/>
        <v>#DIV/0!</v>
      </c>
      <c r="O238" s="117" t="e">
        <f t="shared" si="90"/>
        <v>#DIV/0!</v>
      </c>
      <c r="P238" s="9" t="e">
        <f t="shared" si="90"/>
        <v>#DIV/0!</v>
      </c>
      <c r="Q238" s="144" t="e">
        <f t="shared" si="90"/>
        <v>#DIV/0!</v>
      </c>
      <c r="R238" s="144" t="e">
        <f t="shared" si="90"/>
        <v>#DIV/0!</v>
      </c>
      <c r="S238" s="144" t="e">
        <f t="shared" si="90"/>
        <v>#DIV/0!</v>
      </c>
      <c r="T238" s="144" t="e">
        <f t="shared" si="90"/>
        <v>#DIV/0!</v>
      </c>
      <c r="U238" s="9" t="e">
        <f t="shared" si="90"/>
        <v>#DIV/0!</v>
      </c>
      <c r="V238" s="144" t="e">
        <f t="shared" si="90"/>
        <v>#DIV/0!</v>
      </c>
      <c r="W238" s="144" t="e">
        <f t="shared" si="90"/>
        <v>#DIV/0!</v>
      </c>
      <c r="X238" s="144" t="e">
        <f t="shared" si="90"/>
        <v>#DIV/0!</v>
      </c>
      <c r="Y238" s="144" t="e">
        <f t="shared" si="90"/>
        <v>#DIV/0!</v>
      </c>
      <c r="Z238" s="9" t="e">
        <f t="shared" si="90"/>
        <v>#DIV/0!</v>
      </c>
      <c r="AA238" s="144" t="e">
        <f t="shared" si="90"/>
        <v>#DIV/0!</v>
      </c>
      <c r="AB238" s="144" t="e">
        <f t="shared" si="90"/>
        <v>#DIV/0!</v>
      </c>
      <c r="AC238" s="144" t="e">
        <f t="shared" si="90"/>
        <v>#DIV/0!</v>
      </c>
      <c r="AD238" s="144" t="e">
        <f t="shared" si="90"/>
        <v>#DIV/0!</v>
      </c>
      <c r="AE238" s="9" t="e">
        <f t="shared" si="90"/>
        <v>#DIV/0!</v>
      </c>
      <c r="AF238" s="144" t="e">
        <f t="shared" si="90"/>
        <v>#DIV/0!</v>
      </c>
      <c r="AG238" s="144" t="e">
        <f t="shared" si="90"/>
        <v>#DIV/0!</v>
      </c>
      <c r="AH238" s="144" t="e">
        <f t="shared" si="90"/>
        <v>#DIV/0!</v>
      </c>
      <c r="AI238" s="144" t="e">
        <f t="shared" si="90"/>
        <v>#DIV/0!</v>
      </c>
      <c r="AJ238" s="9" t="e">
        <f t="shared" si="90"/>
        <v>#DIV/0!</v>
      </c>
      <c r="AK238" s="144" t="e">
        <f t="shared" si="90"/>
        <v>#DIV/0!</v>
      </c>
      <c r="AL238" s="144" t="e">
        <f t="shared" si="90"/>
        <v>#DIV/0!</v>
      </c>
      <c r="AM238" s="144" t="e">
        <f t="shared" si="90"/>
        <v>#DIV/0!</v>
      </c>
      <c r="AN238" s="144" t="e">
        <f t="shared" si="90"/>
        <v>#DIV/0!</v>
      </c>
      <c r="AO238" s="9" t="e">
        <f t="shared" si="90"/>
        <v>#DIV/0!</v>
      </c>
      <c r="AP238" s="144" t="e">
        <f t="shared" si="90"/>
        <v>#DIV/0!</v>
      </c>
      <c r="AQ238" s="144" t="e">
        <f t="shared" si="90"/>
        <v>#DIV/0!</v>
      </c>
      <c r="AR238" s="144" t="e">
        <f t="shared" si="90"/>
        <v>#DIV/0!</v>
      </c>
      <c r="AS238" s="144" t="e">
        <f t="shared" si="90"/>
        <v>#DIV/0!</v>
      </c>
      <c r="AT238" s="9" t="e">
        <f t="shared" si="90"/>
        <v>#DIV/0!</v>
      </c>
      <c r="AU238" s="144" t="e">
        <f t="shared" si="90"/>
        <v>#DIV/0!</v>
      </c>
      <c r="AV238" s="144" t="e">
        <f t="shared" si="90"/>
        <v>#DIV/0!</v>
      </c>
      <c r="AW238" s="144" t="e">
        <f t="shared" si="90"/>
        <v>#DIV/0!</v>
      </c>
      <c r="AX238" s="144" t="e">
        <f t="shared" si="90"/>
        <v>#DIV/0!</v>
      </c>
      <c r="AY238" s="117" t="e">
        <f t="shared" si="90"/>
        <v>#DIV/0!</v>
      </c>
    </row>
    <row r="239" spans="1:51">
      <c r="A239" s="137" t="s">
        <v>227</v>
      </c>
      <c r="B239" s="117" t="e">
        <f t="shared" si="90"/>
        <v>#DIV/0!</v>
      </c>
      <c r="C239" s="117" t="e">
        <f t="shared" si="90"/>
        <v>#DIV/0!</v>
      </c>
      <c r="D239" s="117" t="e">
        <f t="shared" si="90"/>
        <v>#DIV/0!</v>
      </c>
      <c r="E239" s="117" t="e">
        <f t="shared" si="90"/>
        <v>#DIV/0!</v>
      </c>
      <c r="F239" s="9" t="e">
        <f t="shared" si="90"/>
        <v>#DIV/0!</v>
      </c>
      <c r="G239" s="117" t="e">
        <f t="shared" si="90"/>
        <v>#DIV/0!</v>
      </c>
      <c r="H239" s="117" t="e">
        <f t="shared" si="90"/>
        <v>#DIV/0!</v>
      </c>
      <c r="I239" s="117" t="e">
        <f t="shared" si="90"/>
        <v>#DIV/0!</v>
      </c>
      <c r="J239" s="117" t="e">
        <f t="shared" si="90"/>
        <v>#DIV/0!</v>
      </c>
      <c r="K239" s="9" t="e">
        <f t="shared" si="90"/>
        <v>#DIV/0!</v>
      </c>
      <c r="L239" s="117" t="e">
        <f t="shared" si="90"/>
        <v>#DIV/0!</v>
      </c>
      <c r="M239" s="117" t="e">
        <f t="shared" si="90"/>
        <v>#DIV/0!</v>
      </c>
      <c r="N239" s="117" t="e">
        <f t="shared" si="90"/>
        <v>#DIV/0!</v>
      </c>
      <c r="O239" s="117" t="e">
        <f t="shared" si="90"/>
        <v>#DIV/0!</v>
      </c>
      <c r="P239" s="9" t="e">
        <f t="shared" si="90"/>
        <v>#DIV/0!</v>
      </c>
      <c r="Q239" s="144" t="e">
        <f t="shared" si="90"/>
        <v>#DIV/0!</v>
      </c>
      <c r="R239" s="144" t="e">
        <f t="shared" si="90"/>
        <v>#DIV/0!</v>
      </c>
      <c r="S239" s="144" t="e">
        <f t="shared" si="90"/>
        <v>#DIV/0!</v>
      </c>
      <c r="T239" s="144" t="e">
        <f t="shared" si="90"/>
        <v>#DIV/0!</v>
      </c>
      <c r="U239" s="9" t="e">
        <f t="shared" si="90"/>
        <v>#DIV/0!</v>
      </c>
      <c r="V239" s="144" t="e">
        <f t="shared" si="90"/>
        <v>#DIV/0!</v>
      </c>
      <c r="W239" s="144" t="e">
        <f t="shared" si="90"/>
        <v>#DIV/0!</v>
      </c>
      <c r="X239" s="144" t="e">
        <f t="shared" si="90"/>
        <v>#DIV/0!</v>
      </c>
      <c r="Y239" s="144" t="e">
        <f t="shared" si="90"/>
        <v>#DIV/0!</v>
      </c>
      <c r="Z239" s="9" t="e">
        <f t="shared" si="90"/>
        <v>#DIV/0!</v>
      </c>
      <c r="AA239" s="144" t="e">
        <f t="shared" si="90"/>
        <v>#DIV/0!</v>
      </c>
      <c r="AB239" s="144" t="e">
        <f t="shared" si="90"/>
        <v>#DIV/0!</v>
      </c>
      <c r="AC239" s="144" t="e">
        <f t="shared" si="90"/>
        <v>#DIV/0!</v>
      </c>
      <c r="AD239" s="144" t="e">
        <f t="shared" si="90"/>
        <v>#DIV/0!</v>
      </c>
      <c r="AE239" s="9" t="e">
        <f t="shared" si="90"/>
        <v>#DIV/0!</v>
      </c>
      <c r="AF239" s="144" t="e">
        <f t="shared" si="90"/>
        <v>#DIV/0!</v>
      </c>
      <c r="AG239" s="144" t="e">
        <f t="shared" si="90"/>
        <v>#DIV/0!</v>
      </c>
      <c r="AH239" s="144" t="e">
        <f t="shared" si="90"/>
        <v>#DIV/0!</v>
      </c>
      <c r="AI239" s="144" t="e">
        <f t="shared" si="90"/>
        <v>#DIV/0!</v>
      </c>
      <c r="AJ239" s="9" t="e">
        <f t="shared" si="90"/>
        <v>#DIV/0!</v>
      </c>
      <c r="AK239" s="144" t="e">
        <f t="shared" si="90"/>
        <v>#DIV/0!</v>
      </c>
      <c r="AL239" s="144" t="e">
        <f t="shared" si="90"/>
        <v>#DIV/0!</v>
      </c>
      <c r="AM239" s="144" t="e">
        <f t="shared" si="90"/>
        <v>#DIV/0!</v>
      </c>
      <c r="AN239" s="144" t="e">
        <f t="shared" si="90"/>
        <v>#DIV/0!</v>
      </c>
      <c r="AO239" s="9" t="e">
        <f t="shared" si="90"/>
        <v>#DIV/0!</v>
      </c>
      <c r="AP239" s="144" t="e">
        <f t="shared" si="90"/>
        <v>#DIV/0!</v>
      </c>
      <c r="AQ239" s="144" t="e">
        <f t="shared" si="90"/>
        <v>#DIV/0!</v>
      </c>
      <c r="AR239" s="144" t="e">
        <f t="shared" si="90"/>
        <v>#DIV/0!</v>
      </c>
      <c r="AS239" s="144" t="e">
        <f t="shared" si="90"/>
        <v>#DIV/0!</v>
      </c>
      <c r="AT239" s="9" t="e">
        <f t="shared" si="90"/>
        <v>#DIV/0!</v>
      </c>
      <c r="AU239" s="144" t="e">
        <f t="shared" si="90"/>
        <v>#DIV/0!</v>
      </c>
      <c r="AV239" s="144" t="e">
        <f t="shared" si="90"/>
        <v>#DIV/0!</v>
      </c>
      <c r="AW239" s="144" t="e">
        <f t="shared" si="90"/>
        <v>#DIV/0!</v>
      </c>
      <c r="AX239" s="144" t="e">
        <f t="shared" si="90"/>
        <v>#DIV/0!</v>
      </c>
      <c r="AY239" s="117" t="e">
        <f t="shared" si="90"/>
        <v>#DIV/0!</v>
      </c>
    </row>
    <row r="240" spans="1:51">
      <c r="A240" s="137" t="s">
        <v>229</v>
      </c>
      <c r="B240" s="117" t="e">
        <f t="shared" si="90"/>
        <v>#DIV/0!</v>
      </c>
      <c r="C240" s="117" t="e">
        <f t="shared" si="90"/>
        <v>#DIV/0!</v>
      </c>
      <c r="D240" s="117" t="e">
        <f t="shared" si="90"/>
        <v>#DIV/0!</v>
      </c>
      <c r="E240" s="117" t="e">
        <f t="shared" si="90"/>
        <v>#DIV/0!</v>
      </c>
      <c r="F240" s="9" t="e">
        <f t="shared" si="90"/>
        <v>#DIV/0!</v>
      </c>
      <c r="G240" s="117" t="e">
        <f t="shared" si="90"/>
        <v>#DIV/0!</v>
      </c>
      <c r="H240" s="117" t="e">
        <f t="shared" si="90"/>
        <v>#DIV/0!</v>
      </c>
      <c r="I240" s="117" t="e">
        <f t="shared" si="90"/>
        <v>#DIV/0!</v>
      </c>
      <c r="J240" s="117" t="e">
        <f t="shared" si="90"/>
        <v>#DIV/0!</v>
      </c>
      <c r="K240" s="9" t="e">
        <f t="shared" si="90"/>
        <v>#DIV/0!</v>
      </c>
      <c r="L240" s="117" t="e">
        <f t="shared" si="90"/>
        <v>#DIV/0!</v>
      </c>
      <c r="M240" s="117" t="e">
        <f t="shared" si="90"/>
        <v>#DIV/0!</v>
      </c>
      <c r="N240" s="117" t="e">
        <f t="shared" si="90"/>
        <v>#DIV/0!</v>
      </c>
      <c r="O240" s="117" t="e">
        <f t="shared" si="90"/>
        <v>#DIV/0!</v>
      </c>
      <c r="P240" s="9" t="e">
        <f t="shared" si="90"/>
        <v>#DIV/0!</v>
      </c>
      <c r="Q240" s="144" t="e">
        <f t="shared" si="90"/>
        <v>#DIV/0!</v>
      </c>
      <c r="R240" s="144" t="e">
        <f t="shared" si="90"/>
        <v>#DIV/0!</v>
      </c>
      <c r="S240" s="144" t="e">
        <f t="shared" si="90"/>
        <v>#DIV/0!</v>
      </c>
      <c r="T240" s="144" t="e">
        <f t="shared" si="90"/>
        <v>#DIV/0!</v>
      </c>
      <c r="U240" s="9" t="e">
        <f t="shared" si="90"/>
        <v>#DIV/0!</v>
      </c>
      <c r="V240" s="144" t="e">
        <f t="shared" si="90"/>
        <v>#DIV/0!</v>
      </c>
      <c r="W240" s="144" t="e">
        <f t="shared" si="90"/>
        <v>#DIV/0!</v>
      </c>
      <c r="X240" s="144" t="e">
        <f t="shared" si="90"/>
        <v>#DIV/0!</v>
      </c>
      <c r="Y240" s="144" t="e">
        <f t="shared" si="90"/>
        <v>#DIV/0!</v>
      </c>
      <c r="Z240" s="9" t="e">
        <f t="shared" si="90"/>
        <v>#DIV/0!</v>
      </c>
      <c r="AA240" s="144" t="e">
        <f t="shared" si="90"/>
        <v>#DIV/0!</v>
      </c>
      <c r="AB240" s="144" t="e">
        <f t="shared" si="90"/>
        <v>#DIV/0!</v>
      </c>
      <c r="AC240" s="144" t="e">
        <f t="shared" si="90"/>
        <v>#DIV/0!</v>
      </c>
      <c r="AD240" s="144" t="e">
        <f t="shared" si="90"/>
        <v>#DIV/0!</v>
      </c>
      <c r="AE240" s="9" t="e">
        <f t="shared" si="90"/>
        <v>#DIV/0!</v>
      </c>
      <c r="AF240" s="144" t="e">
        <f t="shared" si="90"/>
        <v>#DIV/0!</v>
      </c>
      <c r="AG240" s="144" t="e">
        <f t="shared" si="90"/>
        <v>#DIV/0!</v>
      </c>
      <c r="AH240" s="144" t="e">
        <f t="shared" si="90"/>
        <v>#DIV/0!</v>
      </c>
      <c r="AI240" s="144" t="e">
        <f t="shared" si="90"/>
        <v>#DIV/0!</v>
      </c>
      <c r="AJ240" s="9" t="e">
        <f t="shared" si="90"/>
        <v>#DIV/0!</v>
      </c>
      <c r="AK240" s="144" t="e">
        <f t="shared" si="90"/>
        <v>#DIV/0!</v>
      </c>
      <c r="AL240" s="144" t="e">
        <f t="shared" si="90"/>
        <v>#DIV/0!</v>
      </c>
      <c r="AM240" s="144" t="e">
        <f t="shared" si="90"/>
        <v>#DIV/0!</v>
      </c>
      <c r="AN240" s="144" t="e">
        <f t="shared" si="90"/>
        <v>#DIV/0!</v>
      </c>
      <c r="AO240" s="9" t="e">
        <f t="shared" si="90"/>
        <v>#DIV/0!</v>
      </c>
      <c r="AP240" s="144" t="e">
        <f t="shared" si="90"/>
        <v>#DIV/0!</v>
      </c>
      <c r="AQ240" s="144" t="e">
        <f t="shared" si="90"/>
        <v>#DIV/0!</v>
      </c>
      <c r="AR240" s="144" t="e">
        <f t="shared" si="90"/>
        <v>#DIV/0!</v>
      </c>
      <c r="AS240" s="144" t="e">
        <f t="shared" si="90"/>
        <v>#DIV/0!</v>
      </c>
      <c r="AT240" s="9" t="e">
        <f t="shared" si="90"/>
        <v>#DIV/0!</v>
      </c>
      <c r="AU240" s="144" t="e">
        <f t="shared" si="90"/>
        <v>#DIV/0!</v>
      </c>
      <c r="AV240" s="144" t="e">
        <f t="shared" si="90"/>
        <v>#DIV/0!</v>
      </c>
      <c r="AW240" s="144" t="e">
        <f t="shared" si="90"/>
        <v>#DIV/0!</v>
      </c>
      <c r="AX240" s="144" t="e">
        <f t="shared" si="90"/>
        <v>#DIV/0!</v>
      </c>
      <c r="AY240" s="117" t="e">
        <f t="shared" si="90"/>
        <v>#DIV/0!</v>
      </c>
    </row>
    <row r="241" spans="1:51">
      <c r="A241" s="137" t="s">
        <v>231</v>
      </c>
      <c r="B241" s="117" t="e">
        <f t="shared" ref="B241:AY244" si="91">B103/B$137</f>
        <v>#DIV/0!</v>
      </c>
      <c r="C241" s="117" t="e">
        <f t="shared" si="91"/>
        <v>#DIV/0!</v>
      </c>
      <c r="D241" s="117" t="e">
        <f t="shared" si="91"/>
        <v>#DIV/0!</v>
      </c>
      <c r="E241" s="117" t="e">
        <f t="shared" si="91"/>
        <v>#DIV/0!</v>
      </c>
      <c r="F241" s="9" t="e">
        <f t="shared" si="91"/>
        <v>#DIV/0!</v>
      </c>
      <c r="G241" s="117" t="e">
        <f t="shared" si="91"/>
        <v>#DIV/0!</v>
      </c>
      <c r="H241" s="117" t="e">
        <f t="shared" si="91"/>
        <v>#DIV/0!</v>
      </c>
      <c r="I241" s="117" t="e">
        <f t="shared" si="91"/>
        <v>#DIV/0!</v>
      </c>
      <c r="J241" s="117" t="e">
        <f t="shared" si="91"/>
        <v>#DIV/0!</v>
      </c>
      <c r="K241" s="9" t="e">
        <f t="shared" si="91"/>
        <v>#DIV/0!</v>
      </c>
      <c r="L241" s="117" t="e">
        <f t="shared" si="91"/>
        <v>#DIV/0!</v>
      </c>
      <c r="M241" s="117" t="e">
        <f t="shared" si="91"/>
        <v>#DIV/0!</v>
      </c>
      <c r="N241" s="117" t="e">
        <f t="shared" si="91"/>
        <v>#DIV/0!</v>
      </c>
      <c r="O241" s="117" t="e">
        <f t="shared" si="91"/>
        <v>#DIV/0!</v>
      </c>
      <c r="P241" s="9" t="e">
        <f t="shared" si="91"/>
        <v>#DIV/0!</v>
      </c>
      <c r="Q241" s="144" t="e">
        <f t="shared" si="91"/>
        <v>#DIV/0!</v>
      </c>
      <c r="R241" s="144" t="e">
        <f t="shared" si="91"/>
        <v>#DIV/0!</v>
      </c>
      <c r="S241" s="144" t="e">
        <f t="shared" si="91"/>
        <v>#DIV/0!</v>
      </c>
      <c r="T241" s="144" t="e">
        <f t="shared" si="91"/>
        <v>#DIV/0!</v>
      </c>
      <c r="U241" s="9" t="e">
        <f t="shared" si="91"/>
        <v>#DIV/0!</v>
      </c>
      <c r="V241" s="144" t="e">
        <f t="shared" si="91"/>
        <v>#DIV/0!</v>
      </c>
      <c r="W241" s="144" t="e">
        <f t="shared" si="91"/>
        <v>#DIV/0!</v>
      </c>
      <c r="X241" s="144" t="e">
        <f t="shared" si="91"/>
        <v>#DIV/0!</v>
      </c>
      <c r="Y241" s="144" t="e">
        <f t="shared" si="91"/>
        <v>#DIV/0!</v>
      </c>
      <c r="Z241" s="9" t="e">
        <f t="shared" si="91"/>
        <v>#DIV/0!</v>
      </c>
      <c r="AA241" s="144" t="e">
        <f t="shared" si="91"/>
        <v>#DIV/0!</v>
      </c>
      <c r="AB241" s="144" t="e">
        <f t="shared" si="91"/>
        <v>#DIV/0!</v>
      </c>
      <c r="AC241" s="144" t="e">
        <f t="shared" si="91"/>
        <v>#DIV/0!</v>
      </c>
      <c r="AD241" s="144" t="e">
        <f t="shared" si="91"/>
        <v>#DIV/0!</v>
      </c>
      <c r="AE241" s="9" t="e">
        <f t="shared" si="91"/>
        <v>#DIV/0!</v>
      </c>
      <c r="AF241" s="144" t="e">
        <f t="shared" si="91"/>
        <v>#DIV/0!</v>
      </c>
      <c r="AG241" s="144" t="e">
        <f t="shared" si="91"/>
        <v>#DIV/0!</v>
      </c>
      <c r="AH241" s="144" t="e">
        <f t="shared" si="91"/>
        <v>#DIV/0!</v>
      </c>
      <c r="AI241" s="144" t="e">
        <f t="shared" si="91"/>
        <v>#DIV/0!</v>
      </c>
      <c r="AJ241" s="9" t="e">
        <f t="shared" si="91"/>
        <v>#DIV/0!</v>
      </c>
      <c r="AK241" s="144" t="e">
        <f t="shared" si="91"/>
        <v>#DIV/0!</v>
      </c>
      <c r="AL241" s="144" t="e">
        <f t="shared" si="91"/>
        <v>#DIV/0!</v>
      </c>
      <c r="AM241" s="144" t="e">
        <f t="shared" si="91"/>
        <v>#DIV/0!</v>
      </c>
      <c r="AN241" s="144" t="e">
        <f t="shared" si="91"/>
        <v>#DIV/0!</v>
      </c>
      <c r="AO241" s="9" t="e">
        <f t="shared" si="91"/>
        <v>#DIV/0!</v>
      </c>
      <c r="AP241" s="144" t="e">
        <f t="shared" si="91"/>
        <v>#DIV/0!</v>
      </c>
      <c r="AQ241" s="144" t="e">
        <f t="shared" si="91"/>
        <v>#DIV/0!</v>
      </c>
      <c r="AR241" s="144" t="e">
        <f t="shared" si="91"/>
        <v>#DIV/0!</v>
      </c>
      <c r="AS241" s="144" t="e">
        <f t="shared" si="91"/>
        <v>#DIV/0!</v>
      </c>
      <c r="AT241" s="9" t="e">
        <f t="shared" si="91"/>
        <v>#DIV/0!</v>
      </c>
      <c r="AU241" s="144" t="e">
        <f t="shared" si="91"/>
        <v>#DIV/0!</v>
      </c>
      <c r="AV241" s="144" t="e">
        <f t="shared" si="91"/>
        <v>#DIV/0!</v>
      </c>
      <c r="AW241" s="144" t="e">
        <f t="shared" si="91"/>
        <v>#DIV/0!</v>
      </c>
      <c r="AX241" s="144" t="e">
        <f t="shared" si="91"/>
        <v>#DIV/0!</v>
      </c>
      <c r="AY241" s="117" t="e">
        <f t="shared" si="91"/>
        <v>#DIV/0!</v>
      </c>
    </row>
    <row r="242" spans="1:51">
      <c r="A242" s="137" t="s">
        <v>233</v>
      </c>
      <c r="B242" s="117" t="e">
        <f t="shared" si="91"/>
        <v>#DIV/0!</v>
      </c>
      <c r="C242" s="117" t="e">
        <f t="shared" si="91"/>
        <v>#DIV/0!</v>
      </c>
      <c r="D242" s="117" t="e">
        <f t="shared" si="91"/>
        <v>#DIV/0!</v>
      </c>
      <c r="E242" s="117" t="e">
        <f t="shared" si="91"/>
        <v>#DIV/0!</v>
      </c>
      <c r="F242" s="9" t="e">
        <f t="shared" si="91"/>
        <v>#DIV/0!</v>
      </c>
      <c r="G242" s="117" t="e">
        <f t="shared" si="91"/>
        <v>#DIV/0!</v>
      </c>
      <c r="H242" s="117" t="e">
        <f t="shared" si="91"/>
        <v>#DIV/0!</v>
      </c>
      <c r="I242" s="117" t="e">
        <f t="shared" si="91"/>
        <v>#DIV/0!</v>
      </c>
      <c r="J242" s="117" t="e">
        <f t="shared" si="91"/>
        <v>#DIV/0!</v>
      </c>
      <c r="K242" s="9" t="e">
        <f t="shared" si="91"/>
        <v>#DIV/0!</v>
      </c>
      <c r="L242" s="117" t="e">
        <f t="shared" si="91"/>
        <v>#DIV/0!</v>
      </c>
      <c r="M242" s="117" t="e">
        <f t="shared" si="91"/>
        <v>#DIV/0!</v>
      </c>
      <c r="N242" s="117" t="e">
        <f t="shared" si="91"/>
        <v>#DIV/0!</v>
      </c>
      <c r="O242" s="117" t="e">
        <f t="shared" si="91"/>
        <v>#DIV/0!</v>
      </c>
      <c r="P242" s="9" t="e">
        <f t="shared" si="91"/>
        <v>#DIV/0!</v>
      </c>
      <c r="Q242" s="144" t="e">
        <f t="shared" si="91"/>
        <v>#DIV/0!</v>
      </c>
      <c r="R242" s="144" t="e">
        <f t="shared" si="91"/>
        <v>#DIV/0!</v>
      </c>
      <c r="S242" s="144" t="e">
        <f t="shared" si="91"/>
        <v>#DIV/0!</v>
      </c>
      <c r="T242" s="144" t="e">
        <f t="shared" si="91"/>
        <v>#DIV/0!</v>
      </c>
      <c r="U242" s="9" t="e">
        <f t="shared" si="91"/>
        <v>#DIV/0!</v>
      </c>
      <c r="V242" s="144" t="e">
        <f t="shared" si="91"/>
        <v>#DIV/0!</v>
      </c>
      <c r="W242" s="144" t="e">
        <f t="shared" si="91"/>
        <v>#DIV/0!</v>
      </c>
      <c r="X242" s="144" t="e">
        <f t="shared" si="91"/>
        <v>#DIV/0!</v>
      </c>
      <c r="Y242" s="144" t="e">
        <f t="shared" si="91"/>
        <v>#DIV/0!</v>
      </c>
      <c r="Z242" s="9" t="e">
        <f t="shared" si="91"/>
        <v>#DIV/0!</v>
      </c>
      <c r="AA242" s="144" t="e">
        <f t="shared" si="91"/>
        <v>#DIV/0!</v>
      </c>
      <c r="AB242" s="144" t="e">
        <f t="shared" si="91"/>
        <v>#DIV/0!</v>
      </c>
      <c r="AC242" s="144" t="e">
        <f t="shared" si="91"/>
        <v>#DIV/0!</v>
      </c>
      <c r="AD242" s="144" t="e">
        <f t="shared" si="91"/>
        <v>#DIV/0!</v>
      </c>
      <c r="AE242" s="9" t="e">
        <f t="shared" si="91"/>
        <v>#DIV/0!</v>
      </c>
      <c r="AF242" s="144" t="e">
        <f t="shared" si="91"/>
        <v>#DIV/0!</v>
      </c>
      <c r="AG242" s="144" t="e">
        <f t="shared" si="91"/>
        <v>#DIV/0!</v>
      </c>
      <c r="AH242" s="144" t="e">
        <f t="shared" si="91"/>
        <v>#DIV/0!</v>
      </c>
      <c r="AI242" s="144" t="e">
        <f t="shared" si="91"/>
        <v>#DIV/0!</v>
      </c>
      <c r="AJ242" s="9" t="e">
        <f t="shared" si="91"/>
        <v>#DIV/0!</v>
      </c>
      <c r="AK242" s="144" t="e">
        <f t="shared" si="91"/>
        <v>#DIV/0!</v>
      </c>
      <c r="AL242" s="144" t="e">
        <f t="shared" si="91"/>
        <v>#DIV/0!</v>
      </c>
      <c r="AM242" s="144" t="e">
        <f t="shared" si="91"/>
        <v>#DIV/0!</v>
      </c>
      <c r="AN242" s="144" t="e">
        <f t="shared" si="91"/>
        <v>#DIV/0!</v>
      </c>
      <c r="AO242" s="9" t="e">
        <f t="shared" si="91"/>
        <v>#DIV/0!</v>
      </c>
      <c r="AP242" s="144" t="e">
        <f t="shared" si="91"/>
        <v>#DIV/0!</v>
      </c>
      <c r="AQ242" s="144" t="e">
        <f t="shared" si="91"/>
        <v>#DIV/0!</v>
      </c>
      <c r="AR242" s="144" t="e">
        <f t="shared" si="91"/>
        <v>#DIV/0!</v>
      </c>
      <c r="AS242" s="144" t="e">
        <f t="shared" si="91"/>
        <v>#DIV/0!</v>
      </c>
      <c r="AT242" s="9" t="e">
        <f t="shared" si="91"/>
        <v>#DIV/0!</v>
      </c>
      <c r="AU242" s="144" t="e">
        <f t="shared" si="91"/>
        <v>#DIV/0!</v>
      </c>
      <c r="AV242" s="144" t="e">
        <f t="shared" si="91"/>
        <v>#DIV/0!</v>
      </c>
      <c r="AW242" s="144" t="e">
        <f t="shared" si="91"/>
        <v>#DIV/0!</v>
      </c>
      <c r="AX242" s="144" t="e">
        <f t="shared" si="91"/>
        <v>#DIV/0!</v>
      </c>
      <c r="AY242" s="117" t="e">
        <f t="shared" si="91"/>
        <v>#DIV/0!</v>
      </c>
    </row>
    <row r="243" spans="1:51">
      <c r="A243" s="137" t="s">
        <v>235</v>
      </c>
      <c r="B243" s="117" t="e">
        <f t="shared" si="91"/>
        <v>#DIV/0!</v>
      </c>
      <c r="C243" s="117" t="e">
        <f t="shared" si="91"/>
        <v>#DIV/0!</v>
      </c>
      <c r="D243" s="117" t="e">
        <f t="shared" si="91"/>
        <v>#DIV/0!</v>
      </c>
      <c r="E243" s="117" t="e">
        <f t="shared" si="91"/>
        <v>#DIV/0!</v>
      </c>
      <c r="F243" s="9" t="e">
        <f t="shared" si="91"/>
        <v>#DIV/0!</v>
      </c>
      <c r="G243" s="117" t="e">
        <f t="shared" si="91"/>
        <v>#DIV/0!</v>
      </c>
      <c r="H243" s="117" t="e">
        <f t="shared" si="91"/>
        <v>#DIV/0!</v>
      </c>
      <c r="I243" s="117" t="e">
        <f t="shared" si="91"/>
        <v>#DIV/0!</v>
      </c>
      <c r="J243" s="117" t="e">
        <f t="shared" si="91"/>
        <v>#DIV/0!</v>
      </c>
      <c r="K243" s="9" t="e">
        <f t="shared" si="91"/>
        <v>#DIV/0!</v>
      </c>
      <c r="L243" s="117" t="e">
        <f t="shared" si="91"/>
        <v>#DIV/0!</v>
      </c>
      <c r="M243" s="117" t="e">
        <f t="shared" si="91"/>
        <v>#DIV/0!</v>
      </c>
      <c r="N243" s="117" t="e">
        <f t="shared" si="91"/>
        <v>#DIV/0!</v>
      </c>
      <c r="O243" s="117" t="e">
        <f t="shared" si="91"/>
        <v>#DIV/0!</v>
      </c>
      <c r="P243" s="9" t="e">
        <f t="shared" si="91"/>
        <v>#DIV/0!</v>
      </c>
      <c r="Q243" s="144" t="e">
        <f t="shared" si="91"/>
        <v>#DIV/0!</v>
      </c>
      <c r="R243" s="144" t="e">
        <f t="shared" si="91"/>
        <v>#DIV/0!</v>
      </c>
      <c r="S243" s="144" t="e">
        <f t="shared" si="91"/>
        <v>#DIV/0!</v>
      </c>
      <c r="T243" s="144" t="e">
        <f t="shared" si="91"/>
        <v>#DIV/0!</v>
      </c>
      <c r="U243" s="9" t="e">
        <f t="shared" si="91"/>
        <v>#DIV/0!</v>
      </c>
      <c r="V243" s="144" t="e">
        <f t="shared" si="91"/>
        <v>#DIV/0!</v>
      </c>
      <c r="W243" s="144" t="e">
        <f t="shared" si="91"/>
        <v>#DIV/0!</v>
      </c>
      <c r="X243" s="144" t="e">
        <f t="shared" si="91"/>
        <v>#DIV/0!</v>
      </c>
      <c r="Y243" s="144" t="e">
        <f t="shared" si="91"/>
        <v>#DIV/0!</v>
      </c>
      <c r="Z243" s="9" t="e">
        <f t="shared" si="91"/>
        <v>#DIV/0!</v>
      </c>
      <c r="AA243" s="144" t="e">
        <f t="shared" si="91"/>
        <v>#DIV/0!</v>
      </c>
      <c r="AB243" s="144" t="e">
        <f t="shared" si="91"/>
        <v>#DIV/0!</v>
      </c>
      <c r="AC243" s="144" t="e">
        <f t="shared" si="91"/>
        <v>#DIV/0!</v>
      </c>
      <c r="AD243" s="144" t="e">
        <f t="shared" si="91"/>
        <v>#DIV/0!</v>
      </c>
      <c r="AE243" s="9" t="e">
        <f t="shared" si="91"/>
        <v>#DIV/0!</v>
      </c>
      <c r="AF243" s="144" t="e">
        <f t="shared" si="91"/>
        <v>#DIV/0!</v>
      </c>
      <c r="AG243" s="144" t="e">
        <f t="shared" si="91"/>
        <v>#DIV/0!</v>
      </c>
      <c r="AH243" s="144" t="e">
        <f t="shared" si="91"/>
        <v>#DIV/0!</v>
      </c>
      <c r="AI243" s="144" t="e">
        <f t="shared" si="91"/>
        <v>#DIV/0!</v>
      </c>
      <c r="AJ243" s="9" t="e">
        <f t="shared" si="91"/>
        <v>#DIV/0!</v>
      </c>
      <c r="AK243" s="144" t="e">
        <f t="shared" si="91"/>
        <v>#DIV/0!</v>
      </c>
      <c r="AL243" s="144" t="e">
        <f t="shared" si="91"/>
        <v>#DIV/0!</v>
      </c>
      <c r="AM243" s="144" t="e">
        <f t="shared" si="91"/>
        <v>#DIV/0!</v>
      </c>
      <c r="AN243" s="144" t="e">
        <f t="shared" si="91"/>
        <v>#DIV/0!</v>
      </c>
      <c r="AO243" s="9" t="e">
        <f t="shared" si="91"/>
        <v>#DIV/0!</v>
      </c>
      <c r="AP243" s="144" t="e">
        <f t="shared" si="91"/>
        <v>#DIV/0!</v>
      </c>
      <c r="AQ243" s="144" t="e">
        <f t="shared" si="91"/>
        <v>#DIV/0!</v>
      </c>
      <c r="AR243" s="144" t="e">
        <f t="shared" si="91"/>
        <v>#DIV/0!</v>
      </c>
      <c r="AS243" s="144" t="e">
        <f t="shared" si="91"/>
        <v>#DIV/0!</v>
      </c>
      <c r="AT243" s="9" t="e">
        <f t="shared" si="91"/>
        <v>#DIV/0!</v>
      </c>
      <c r="AU243" s="144" t="e">
        <f t="shared" si="91"/>
        <v>#DIV/0!</v>
      </c>
      <c r="AV243" s="144" t="e">
        <f t="shared" si="91"/>
        <v>#DIV/0!</v>
      </c>
      <c r="AW243" s="144" t="e">
        <f t="shared" si="91"/>
        <v>#DIV/0!</v>
      </c>
      <c r="AX243" s="144" t="e">
        <f t="shared" si="91"/>
        <v>#DIV/0!</v>
      </c>
      <c r="AY243" s="117" t="e">
        <f t="shared" si="91"/>
        <v>#DIV/0!</v>
      </c>
    </row>
    <row r="244" spans="1:51">
      <c r="A244" s="137" t="s">
        <v>237</v>
      </c>
      <c r="B244" s="117" t="e">
        <f t="shared" si="91"/>
        <v>#DIV/0!</v>
      </c>
      <c r="C244" s="117" t="e">
        <f t="shared" si="91"/>
        <v>#DIV/0!</v>
      </c>
      <c r="D244" s="117" t="e">
        <f t="shared" si="91"/>
        <v>#DIV/0!</v>
      </c>
      <c r="E244" s="117" t="e">
        <f t="shared" si="91"/>
        <v>#DIV/0!</v>
      </c>
      <c r="F244" s="9" t="e">
        <f t="shared" si="91"/>
        <v>#DIV/0!</v>
      </c>
      <c r="G244" s="117" t="e">
        <f t="shared" si="91"/>
        <v>#DIV/0!</v>
      </c>
      <c r="H244" s="117" t="e">
        <f t="shared" si="91"/>
        <v>#DIV/0!</v>
      </c>
      <c r="I244" s="117" t="e">
        <f t="shared" si="91"/>
        <v>#DIV/0!</v>
      </c>
      <c r="J244" s="117" t="e">
        <f t="shared" si="91"/>
        <v>#DIV/0!</v>
      </c>
      <c r="K244" s="9" t="e">
        <f t="shared" si="91"/>
        <v>#DIV/0!</v>
      </c>
      <c r="L244" s="117" t="e">
        <f t="shared" si="91"/>
        <v>#DIV/0!</v>
      </c>
      <c r="M244" s="117" t="e">
        <f t="shared" si="91"/>
        <v>#DIV/0!</v>
      </c>
      <c r="N244" s="117" t="e">
        <f t="shared" si="91"/>
        <v>#DIV/0!</v>
      </c>
      <c r="O244" s="117" t="e">
        <f t="shared" si="91"/>
        <v>#DIV/0!</v>
      </c>
      <c r="P244" s="9" t="e">
        <f t="shared" si="91"/>
        <v>#DIV/0!</v>
      </c>
      <c r="Q244" s="144" t="e">
        <f t="shared" si="91"/>
        <v>#DIV/0!</v>
      </c>
      <c r="R244" s="144" t="e">
        <f t="shared" si="91"/>
        <v>#DIV/0!</v>
      </c>
      <c r="S244" s="144" t="e">
        <f t="shared" si="91"/>
        <v>#DIV/0!</v>
      </c>
      <c r="T244" s="144" t="e">
        <f t="shared" si="91"/>
        <v>#DIV/0!</v>
      </c>
      <c r="U244" s="9" t="e">
        <f t="shared" si="91"/>
        <v>#DIV/0!</v>
      </c>
      <c r="V244" s="144" t="e">
        <f t="shared" si="91"/>
        <v>#DIV/0!</v>
      </c>
      <c r="W244" s="144" t="e">
        <f t="shared" si="91"/>
        <v>#DIV/0!</v>
      </c>
      <c r="X244" s="144" t="e">
        <f t="shared" si="91"/>
        <v>#DIV/0!</v>
      </c>
      <c r="Y244" s="144" t="e">
        <f t="shared" si="91"/>
        <v>#DIV/0!</v>
      </c>
      <c r="Z244" s="9" t="e">
        <f t="shared" si="91"/>
        <v>#DIV/0!</v>
      </c>
      <c r="AA244" s="144" t="e">
        <f t="shared" si="91"/>
        <v>#DIV/0!</v>
      </c>
      <c r="AB244" s="144" t="e">
        <f t="shared" si="91"/>
        <v>#DIV/0!</v>
      </c>
      <c r="AC244" s="144" t="e">
        <f t="shared" si="91"/>
        <v>#DIV/0!</v>
      </c>
      <c r="AD244" s="144" t="e">
        <f t="shared" si="91"/>
        <v>#DIV/0!</v>
      </c>
      <c r="AE244" s="9" t="e">
        <f t="shared" si="91"/>
        <v>#DIV/0!</v>
      </c>
      <c r="AF244" s="144" t="e">
        <f t="shared" si="91"/>
        <v>#DIV/0!</v>
      </c>
      <c r="AG244" s="144" t="e">
        <f t="shared" si="91"/>
        <v>#DIV/0!</v>
      </c>
      <c r="AH244" s="144" t="e">
        <f t="shared" si="91"/>
        <v>#DIV/0!</v>
      </c>
      <c r="AI244" s="144" t="e">
        <f t="shared" si="91"/>
        <v>#DIV/0!</v>
      </c>
      <c r="AJ244" s="9" t="e">
        <f t="shared" si="91"/>
        <v>#DIV/0!</v>
      </c>
      <c r="AK244" s="144" t="e">
        <f t="shared" si="91"/>
        <v>#DIV/0!</v>
      </c>
      <c r="AL244" s="144" t="e">
        <f t="shared" si="91"/>
        <v>#DIV/0!</v>
      </c>
      <c r="AM244" s="144" t="e">
        <f t="shared" si="91"/>
        <v>#DIV/0!</v>
      </c>
      <c r="AN244" s="144" t="e">
        <f t="shared" si="91"/>
        <v>#DIV/0!</v>
      </c>
      <c r="AO244" s="9" t="e">
        <f t="shared" si="91"/>
        <v>#DIV/0!</v>
      </c>
      <c r="AP244" s="144" t="e">
        <f t="shared" si="91"/>
        <v>#DIV/0!</v>
      </c>
      <c r="AQ244" s="144" t="e">
        <f t="shared" si="91"/>
        <v>#DIV/0!</v>
      </c>
      <c r="AR244" s="144" t="e">
        <f t="shared" si="91"/>
        <v>#DIV/0!</v>
      </c>
      <c r="AS244" s="144" t="e">
        <f t="shared" si="91"/>
        <v>#DIV/0!</v>
      </c>
      <c r="AT244" s="9" t="e">
        <f t="shared" si="91"/>
        <v>#DIV/0!</v>
      </c>
      <c r="AU244" s="144" t="e">
        <f t="shared" si="91"/>
        <v>#DIV/0!</v>
      </c>
      <c r="AV244" s="144" t="e">
        <f t="shared" si="91"/>
        <v>#DIV/0!</v>
      </c>
      <c r="AW244" s="144" t="e">
        <f t="shared" si="91"/>
        <v>#DIV/0!</v>
      </c>
      <c r="AX244" s="144" t="e">
        <f t="shared" si="91"/>
        <v>#DIV/0!</v>
      </c>
      <c r="AY244" s="117" t="e">
        <f t="shared" si="91"/>
        <v>#DIV/0!</v>
      </c>
    </row>
    <row r="245" spans="1:51">
      <c r="A245" s="137" t="s">
        <v>239</v>
      </c>
      <c r="B245" s="117" t="e">
        <f t="shared" ref="B245:AY248" si="92">B107/B$137</f>
        <v>#DIV/0!</v>
      </c>
      <c r="C245" s="117" t="e">
        <f t="shared" si="92"/>
        <v>#DIV/0!</v>
      </c>
      <c r="D245" s="117" t="e">
        <f t="shared" si="92"/>
        <v>#DIV/0!</v>
      </c>
      <c r="E245" s="117" t="e">
        <f t="shared" si="92"/>
        <v>#DIV/0!</v>
      </c>
      <c r="F245" s="9" t="e">
        <f t="shared" si="92"/>
        <v>#DIV/0!</v>
      </c>
      <c r="G245" s="117" t="e">
        <f t="shared" si="92"/>
        <v>#DIV/0!</v>
      </c>
      <c r="H245" s="117" t="e">
        <f t="shared" si="92"/>
        <v>#DIV/0!</v>
      </c>
      <c r="I245" s="117" t="e">
        <f t="shared" si="92"/>
        <v>#DIV/0!</v>
      </c>
      <c r="J245" s="117" t="e">
        <f t="shared" si="92"/>
        <v>#DIV/0!</v>
      </c>
      <c r="K245" s="9" t="e">
        <f t="shared" si="92"/>
        <v>#DIV/0!</v>
      </c>
      <c r="L245" s="117" t="e">
        <f t="shared" si="92"/>
        <v>#DIV/0!</v>
      </c>
      <c r="M245" s="117" t="e">
        <f t="shared" si="92"/>
        <v>#DIV/0!</v>
      </c>
      <c r="N245" s="117" t="e">
        <f t="shared" si="92"/>
        <v>#DIV/0!</v>
      </c>
      <c r="O245" s="117" t="e">
        <f t="shared" si="92"/>
        <v>#DIV/0!</v>
      </c>
      <c r="P245" s="9" t="e">
        <f t="shared" si="92"/>
        <v>#DIV/0!</v>
      </c>
      <c r="Q245" s="144" t="e">
        <f t="shared" si="92"/>
        <v>#DIV/0!</v>
      </c>
      <c r="R245" s="144" t="e">
        <f t="shared" si="92"/>
        <v>#DIV/0!</v>
      </c>
      <c r="S245" s="144" t="e">
        <f t="shared" si="92"/>
        <v>#DIV/0!</v>
      </c>
      <c r="T245" s="144" t="e">
        <f t="shared" si="92"/>
        <v>#DIV/0!</v>
      </c>
      <c r="U245" s="9" t="e">
        <f t="shared" si="92"/>
        <v>#DIV/0!</v>
      </c>
      <c r="V245" s="144" t="e">
        <f t="shared" si="92"/>
        <v>#DIV/0!</v>
      </c>
      <c r="W245" s="144" t="e">
        <f t="shared" si="92"/>
        <v>#DIV/0!</v>
      </c>
      <c r="X245" s="144" t="e">
        <f t="shared" si="92"/>
        <v>#DIV/0!</v>
      </c>
      <c r="Y245" s="144" t="e">
        <f t="shared" si="92"/>
        <v>#DIV/0!</v>
      </c>
      <c r="Z245" s="9" t="e">
        <f t="shared" si="92"/>
        <v>#DIV/0!</v>
      </c>
      <c r="AA245" s="144" t="e">
        <f t="shared" si="92"/>
        <v>#DIV/0!</v>
      </c>
      <c r="AB245" s="144" t="e">
        <f t="shared" si="92"/>
        <v>#DIV/0!</v>
      </c>
      <c r="AC245" s="144" t="e">
        <f t="shared" si="92"/>
        <v>#DIV/0!</v>
      </c>
      <c r="AD245" s="144" t="e">
        <f t="shared" si="92"/>
        <v>#DIV/0!</v>
      </c>
      <c r="AE245" s="9" t="e">
        <f t="shared" si="92"/>
        <v>#DIV/0!</v>
      </c>
      <c r="AF245" s="144" t="e">
        <f t="shared" si="92"/>
        <v>#DIV/0!</v>
      </c>
      <c r="AG245" s="144" t="e">
        <f t="shared" si="92"/>
        <v>#DIV/0!</v>
      </c>
      <c r="AH245" s="144" t="e">
        <f t="shared" si="92"/>
        <v>#DIV/0!</v>
      </c>
      <c r="AI245" s="144" t="e">
        <f t="shared" si="92"/>
        <v>#DIV/0!</v>
      </c>
      <c r="AJ245" s="9" t="e">
        <f t="shared" si="92"/>
        <v>#DIV/0!</v>
      </c>
      <c r="AK245" s="144" t="e">
        <f t="shared" si="92"/>
        <v>#DIV/0!</v>
      </c>
      <c r="AL245" s="144" t="e">
        <f t="shared" si="92"/>
        <v>#DIV/0!</v>
      </c>
      <c r="AM245" s="144" t="e">
        <f t="shared" si="92"/>
        <v>#DIV/0!</v>
      </c>
      <c r="AN245" s="144" t="e">
        <f t="shared" si="92"/>
        <v>#DIV/0!</v>
      </c>
      <c r="AO245" s="9" t="e">
        <f t="shared" si="92"/>
        <v>#DIV/0!</v>
      </c>
      <c r="AP245" s="144" t="e">
        <f t="shared" si="92"/>
        <v>#DIV/0!</v>
      </c>
      <c r="AQ245" s="144" t="e">
        <f t="shared" si="92"/>
        <v>#DIV/0!</v>
      </c>
      <c r="AR245" s="144" t="e">
        <f t="shared" si="92"/>
        <v>#DIV/0!</v>
      </c>
      <c r="AS245" s="144" t="e">
        <f t="shared" si="92"/>
        <v>#DIV/0!</v>
      </c>
      <c r="AT245" s="9" t="e">
        <f t="shared" si="92"/>
        <v>#DIV/0!</v>
      </c>
      <c r="AU245" s="144" t="e">
        <f t="shared" si="92"/>
        <v>#DIV/0!</v>
      </c>
      <c r="AV245" s="144" t="e">
        <f t="shared" si="92"/>
        <v>#DIV/0!</v>
      </c>
      <c r="AW245" s="144" t="e">
        <f t="shared" si="92"/>
        <v>#DIV/0!</v>
      </c>
      <c r="AX245" s="144" t="e">
        <f t="shared" si="92"/>
        <v>#DIV/0!</v>
      </c>
      <c r="AY245" s="117" t="e">
        <f t="shared" si="92"/>
        <v>#DIV/0!</v>
      </c>
    </row>
    <row r="246" spans="1:51">
      <c r="A246" s="137" t="s">
        <v>241</v>
      </c>
      <c r="B246" s="117" t="e">
        <f t="shared" si="92"/>
        <v>#DIV/0!</v>
      </c>
      <c r="C246" s="117" t="e">
        <f t="shared" si="92"/>
        <v>#DIV/0!</v>
      </c>
      <c r="D246" s="117" t="e">
        <f t="shared" si="92"/>
        <v>#DIV/0!</v>
      </c>
      <c r="E246" s="117" t="e">
        <f t="shared" si="92"/>
        <v>#DIV/0!</v>
      </c>
      <c r="F246" s="9" t="e">
        <f t="shared" si="92"/>
        <v>#DIV/0!</v>
      </c>
      <c r="G246" s="117" t="e">
        <f t="shared" si="92"/>
        <v>#DIV/0!</v>
      </c>
      <c r="H246" s="117" t="e">
        <f t="shared" si="92"/>
        <v>#DIV/0!</v>
      </c>
      <c r="I246" s="117" t="e">
        <f t="shared" si="92"/>
        <v>#DIV/0!</v>
      </c>
      <c r="J246" s="117" t="e">
        <f t="shared" si="92"/>
        <v>#DIV/0!</v>
      </c>
      <c r="K246" s="9" t="e">
        <f t="shared" si="92"/>
        <v>#DIV/0!</v>
      </c>
      <c r="L246" s="117" t="e">
        <f t="shared" si="92"/>
        <v>#DIV/0!</v>
      </c>
      <c r="M246" s="117" t="e">
        <f t="shared" si="92"/>
        <v>#DIV/0!</v>
      </c>
      <c r="N246" s="117" t="e">
        <f t="shared" si="92"/>
        <v>#DIV/0!</v>
      </c>
      <c r="O246" s="117" t="e">
        <f t="shared" si="92"/>
        <v>#DIV/0!</v>
      </c>
      <c r="P246" s="9" t="e">
        <f t="shared" si="92"/>
        <v>#DIV/0!</v>
      </c>
      <c r="Q246" s="144" t="e">
        <f t="shared" si="92"/>
        <v>#DIV/0!</v>
      </c>
      <c r="R246" s="144" t="e">
        <f t="shared" si="92"/>
        <v>#DIV/0!</v>
      </c>
      <c r="S246" s="144" t="e">
        <f t="shared" si="92"/>
        <v>#DIV/0!</v>
      </c>
      <c r="T246" s="144" t="e">
        <f t="shared" si="92"/>
        <v>#DIV/0!</v>
      </c>
      <c r="U246" s="9" t="e">
        <f t="shared" si="92"/>
        <v>#DIV/0!</v>
      </c>
      <c r="V246" s="144" t="e">
        <f t="shared" si="92"/>
        <v>#DIV/0!</v>
      </c>
      <c r="W246" s="144" t="e">
        <f t="shared" si="92"/>
        <v>#DIV/0!</v>
      </c>
      <c r="X246" s="144" t="e">
        <f t="shared" si="92"/>
        <v>#DIV/0!</v>
      </c>
      <c r="Y246" s="144" t="e">
        <f t="shared" si="92"/>
        <v>#DIV/0!</v>
      </c>
      <c r="Z246" s="9" t="e">
        <f t="shared" si="92"/>
        <v>#DIV/0!</v>
      </c>
      <c r="AA246" s="144" t="e">
        <f t="shared" si="92"/>
        <v>#DIV/0!</v>
      </c>
      <c r="AB246" s="144" t="e">
        <f t="shared" si="92"/>
        <v>#DIV/0!</v>
      </c>
      <c r="AC246" s="144" t="e">
        <f t="shared" si="92"/>
        <v>#DIV/0!</v>
      </c>
      <c r="AD246" s="144" t="e">
        <f t="shared" si="92"/>
        <v>#DIV/0!</v>
      </c>
      <c r="AE246" s="9" t="e">
        <f t="shared" si="92"/>
        <v>#DIV/0!</v>
      </c>
      <c r="AF246" s="144" t="e">
        <f t="shared" si="92"/>
        <v>#DIV/0!</v>
      </c>
      <c r="AG246" s="144" t="e">
        <f t="shared" si="92"/>
        <v>#DIV/0!</v>
      </c>
      <c r="AH246" s="144" t="e">
        <f t="shared" si="92"/>
        <v>#DIV/0!</v>
      </c>
      <c r="AI246" s="144" t="e">
        <f t="shared" si="92"/>
        <v>#DIV/0!</v>
      </c>
      <c r="AJ246" s="9" t="e">
        <f t="shared" si="92"/>
        <v>#DIV/0!</v>
      </c>
      <c r="AK246" s="144" t="e">
        <f t="shared" si="92"/>
        <v>#DIV/0!</v>
      </c>
      <c r="AL246" s="144" t="e">
        <f t="shared" si="92"/>
        <v>#DIV/0!</v>
      </c>
      <c r="AM246" s="144" t="e">
        <f t="shared" si="92"/>
        <v>#DIV/0!</v>
      </c>
      <c r="AN246" s="144" t="e">
        <f t="shared" si="92"/>
        <v>#DIV/0!</v>
      </c>
      <c r="AO246" s="9" t="e">
        <f t="shared" si="92"/>
        <v>#DIV/0!</v>
      </c>
      <c r="AP246" s="144" t="e">
        <f t="shared" si="92"/>
        <v>#DIV/0!</v>
      </c>
      <c r="AQ246" s="144" t="e">
        <f t="shared" si="92"/>
        <v>#DIV/0!</v>
      </c>
      <c r="AR246" s="144" t="e">
        <f t="shared" si="92"/>
        <v>#DIV/0!</v>
      </c>
      <c r="AS246" s="144" t="e">
        <f t="shared" si="92"/>
        <v>#DIV/0!</v>
      </c>
      <c r="AT246" s="9" t="e">
        <f t="shared" si="92"/>
        <v>#DIV/0!</v>
      </c>
      <c r="AU246" s="144" t="e">
        <f t="shared" si="92"/>
        <v>#DIV/0!</v>
      </c>
      <c r="AV246" s="144" t="e">
        <f t="shared" si="92"/>
        <v>#DIV/0!</v>
      </c>
      <c r="AW246" s="144" t="e">
        <f t="shared" si="92"/>
        <v>#DIV/0!</v>
      </c>
      <c r="AX246" s="144" t="e">
        <f t="shared" si="92"/>
        <v>#DIV/0!</v>
      </c>
      <c r="AY246" s="117" t="e">
        <f t="shared" si="92"/>
        <v>#DIV/0!</v>
      </c>
    </row>
    <row r="247" spans="1:51">
      <c r="A247" s="137" t="s">
        <v>243</v>
      </c>
      <c r="B247" s="117" t="e">
        <f t="shared" si="92"/>
        <v>#DIV/0!</v>
      </c>
      <c r="C247" s="117" t="e">
        <f t="shared" si="92"/>
        <v>#DIV/0!</v>
      </c>
      <c r="D247" s="117" t="e">
        <f t="shared" si="92"/>
        <v>#DIV/0!</v>
      </c>
      <c r="E247" s="117" t="e">
        <f t="shared" si="92"/>
        <v>#DIV/0!</v>
      </c>
      <c r="F247" s="9" t="e">
        <f t="shared" si="92"/>
        <v>#DIV/0!</v>
      </c>
      <c r="G247" s="117" t="e">
        <f t="shared" si="92"/>
        <v>#DIV/0!</v>
      </c>
      <c r="H247" s="117" t="e">
        <f t="shared" si="92"/>
        <v>#DIV/0!</v>
      </c>
      <c r="I247" s="117" t="e">
        <f t="shared" si="92"/>
        <v>#DIV/0!</v>
      </c>
      <c r="J247" s="117" t="e">
        <f t="shared" si="92"/>
        <v>#DIV/0!</v>
      </c>
      <c r="K247" s="9" t="e">
        <f t="shared" si="92"/>
        <v>#DIV/0!</v>
      </c>
      <c r="L247" s="117" t="e">
        <f t="shared" si="92"/>
        <v>#DIV/0!</v>
      </c>
      <c r="M247" s="117" t="e">
        <f t="shared" si="92"/>
        <v>#DIV/0!</v>
      </c>
      <c r="N247" s="117" t="e">
        <f t="shared" si="92"/>
        <v>#DIV/0!</v>
      </c>
      <c r="O247" s="117" t="e">
        <f t="shared" si="92"/>
        <v>#DIV/0!</v>
      </c>
      <c r="P247" s="9" t="e">
        <f t="shared" si="92"/>
        <v>#DIV/0!</v>
      </c>
      <c r="Q247" s="144" t="e">
        <f t="shared" si="92"/>
        <v>#DIV/0!</v>
      </c>
      <c r="R247" s="144" t="e">
        <f t="shared" si="92"/>
        <v>#DIV/0!</v>
      </c>
      <c r="S247" s="144" t="e">
        <f t="shared" si="92"/>
        <v>#DIV/0!</v>
      </c>
      <c r="T247" s="144" t="e">
        <f t="shared" si="92"/>
        <v>#DIV/0!</v>
      </c>
      <c r="U247" s="9" t="e">
        <f t="shared" si="92"/>
        <v>#DIV/0!</v>
      </c>
      <c r="V247" s="144" t="e">
        <f t="shared" si="92"/>
        <v>#DIV/0!</v>
      </c>
      <c r="W247" s="144" t="e">
        <f t="shared" si="92"/>
        <v>#DIV/0!</v>
      </c>
      <c r="X247" s="144" t="e">
        <f t="shared" si="92"/>
        <v>#DIV/0!</v>
      </c>
      <c r="Y247" s="144" t="e">
        <f t="shared" si="92"/>
        <v>#DIV/0!</v>
      </c>
      <c r="Z247" s="9" t="e">
        <f t="shared" si="92"/>
        <v>#DIV/0!</v>
      </c>
      <c r="AA247" s="144" t="e">
        <f t="shared" si="92"/>
        <v>#DIV/0!</v>
      </c>
      <c r="AB247" s="144" t="e">
        <f t="shared" si="92"/>
        <v>#DIV/0!</v>
      </c>
      <c r="AC247" s="144" t="e">
        <f t="shared" si="92"/>
        <v>#DIV/0!</v>
      </c>
      <c r="AD247" s="144" t="e">
        <f t="shared" si="92"/>
        <v>#DIV/0!</v>
      </c>
      <c r="AE247" s="9" t="e">
        <f t="shared" si="92"/>
        <v>#DIV/0!</v>
      </c>
      <c r="AF247" s="144" t="e">
        <f t="shared" si="92"/>
        <v>#DIV/0!</v>
      </c>
      <c r="AG247" s="144" t="e">
        <f t="shared" si="92"/>
        <v>#DIV/0!</v>
      </c>
      <c r="AH247" s="144" t="e">
        <f t="shared" si="92"/>
        <v>#DIV/0!</v>
      </c>
      <c r="AI247" s="144" t="e">
        <f t="shared" si="92"/>
        <v>#DIV/0!</v>
      </c>
      <c r="AJ247" s="9" t="e">
        <f t="shared" si="92"/>
        <v>#DIV/0!</v>
      </c>
      <c r="AK247" s="144" t="e">
        <f t="shared" si="92"/>
        <v>#DIV/0!</v>
      </c>
      <c r="AL247" s="144" t="e">
        <f t="shared" si="92"/>
        <v>#DIV/0!</v>
      </c>
      <c r="AM247" s="144" t="e">
        <f t="shared" si="92"/>
        <v>#DIV/0!</v>
      </c>
      <c r="AN247" s="144" t="e">
        <f t="shared" si="92"/>
        <v>#DIV/0!</v>
      </c>
      <c r="AO247" s="9" t="e">
        <f t="shared" si="92"/>
        <v>#DIV/0!</v>
      </c>
      <c r="AP247" s="144" t="e">
        <f t="shared" si="92"/>
        <v>#DIV/0!</v>
      </c>
      <c r="AQ247" s="144" t="e">
        <f t="shared" si="92"/>
        <v>#DIV/0!</v>
      </c>
      <c r="AR247" s="144" t="e">
        <f t="shared" si="92"/>
        <v>#DIV/0!</v>
      </c>
      <c r="AS247" s="144" t="e">
        <f t="shared" si="92"/>
        <v>#DIV/0!</v>
      </c>
      <c r="AT247" s="9" t="e">
        <f t="shared" si="92"/>
        <v>#DIV/0!</v>
      </c>
      <c r="AU247" s="144" t="e">
        <f t="shared" si="92"/>
        <v>#DIV/0!</v>
      </c>
      <c r="AV247" s="144" t="e">
        <f t="shared" si="92"/>
        <v>#DIV/0!</v>
      </c>
      <c r="AW247" s="144" t="e">
        <f t="shared" si="92"/>
        <v>#DIV/0!</v>
      </c>
      <c r="AX247" s="144" t="e">
        <f t="shared" si="92"/>
        <v>#DIV/0!</v>
      </c>
      <c r="AY247" s="117" t="e">
        <f t="shared" si="92"/>
        <v>#DIV/0!</v>
      </c>
    </row>
    <row r="248" spans="1:51">
      <c r="A248" s="137" t="s">
        <v>245</v>
      </c>
      <c r="B248" s="117" t="e">
        <f t="shared" si="92"/>
        <v>#DIV/0!</v>
      </c>
      <c r="C248" s="117" t="e">
        <f t="shared" si="92"/>
        <v>#DIV/0!</v>
      </c>
      <c r="D248" s="117" t="e">
        <f t="shared" si="92"/>
        <v>#DIV/0!</v>
      </c>
      <c r="E248" s="117" t="e">
        <f t="shared" si="92"/>
        <v>#DIV/0!</v>
      </c>
      <c r="F248" s="9" t="e">
        <f t="shared" si="92"/>
        <v>#DIV/0!</v>
      </c>
      <c r="G248" s="117" t="e">
        <f t="shared" si="92"/>
        <v>#DIV/0!</v>
      </c>
      <c r="H248" s="117" t="e">
        <f t="shared" si="92"/>
        <v>#DIV/0!</v>
      </c>
      <c r="I248" s="117" t="e">
        <f t="shared" si="92"/>
        <v>#DIV/0!</v>
      </c>
      <c r="J248" s="117" t="e">
        <f t="shared" si="92"/>
        <v>#DIV/0!</v>
      </c>
      <c r="K248" s="9" t="e">
        <f t="shared" si="92"/>
        <v>#DIV/0!</v>
      </c>
      <c r="L248" s="117" t="e">
        <f t="shared" si="92"/>
        <v>#DIV/0!</v>
      </c>
      <c r="M248" s="117" t="e">
        <f t="shared" si="92"/>
        <v>#DIV/0!</v>
      </c>
      <c r="N248" s="117" t="e">
        <f t="shared" si="92"/>
        <v>#DIV/0!</v>
      </c>
      <c r="O248" s="117" t="e">
        <f t="shared" si="92"/>
        <v>#DIV/0!</v>
      </c>
      <c r="P248" s="9" t="e">
        <f t="shared" si="92"/>
        <v>#DIV/0!</v>
      </c>
      <c r="Q248" s="144" t="e">
        <f t="shared" si="92"/>
        <v>#DIV/0!</v>
      </c>
      <c r="R248" s="144" t="e">
        <f t="shared" si="92"/>
        <v>#DIV/0!</v>
      </c>
      <c r="S248" s="144" t="e">
        <f t="shared" si="92"/>
        <v>#DIV/0!</v>
      </c>
      <c r="T248" s="144" t="e">
        <f t="shared" si="92"/>
        <v>#DIV/0!</v>
      </c>
      <c r="U248" s="9" t="e">
        <f t="shared" si="92"/>
        <v>#DIV/0!</v>
      </c>
      <c r="V248" s="144" t="e">
        <f t="shared" si="92"/>
        <v>#DIV/0!</v>
      </c>
      <c r="W248" s="144" t="e">
        <f t="shared" si="92"/>
        <v>#DIV/0!</v>
      </c>
      <c r="X248" s="144" t="e">
        <f t="shared" si="92"/>
        <v>#DIV/0!</v>
      </c>
      <c r="Y248" s="144" t="e">
        <f t="shared" si="92"/>
        <v>#DIV/0!</v>
      </c>
      <c r="Z248" s="9" t="e">
        <f t="shared" si="92"/>
        <v>#DIV/0!</v>
      </c>
      <c r="AA248" s="144" t="e">
        <f t="shared" si="92"/>
        <v>#DIV/0!</v>
      </c>
      <c r="AB248" s="144" t="e">
        <f t="shared" si="92"/>
        <v>#DIV/0!</v>
      </c>
      <c r="AC248" s="144" t="e">
        <f t="shared" si="92"/>
        <v>#DIV/0!</v>
      </c>
      <c r="AD248" s="144" t="e">
        <f t="shared" si="92"/>
        <v>#DIV/0!</v>
      </c>
      <c r="AE248" s="9" t="e">
        <f t="shared" si="92"/>
        <v>#DIV/0!</v>
      </c>
      <c r="AF248" s="144" t="e">
        <f t="shared" si="92"/>
        <v>#DIV/0!</v>
      </c>
      <c r="AG248" s="144" t="e">
        <f t="shared" si="92"/>
        <v>#DIV/0!</v>
      </c>
      <c r="AH248" s="144" t="e">
        <f t="shared" si="92"/>
        <v>#DIV/0!</v>
      </c>
      <c r="AI248" s="144" t="e">
        <f t="shared" si="92"/>
        <v>#DIV/0!</v>
      </c>
      <c r="AJ248" s="9" t="e">
        <f t="shared" si="92"/>
        <v>#DIV/0!</v>
      </c>
      <c r="AK248" s="144" t="e">
        <f t="shared" si="92"/>
        <v>#DIV/0!</v>
      </c>
      <c r="AL248" s="144" t="e">
        <f t="shared" si="92"/>
        <v>#DIV/0!</v>
      </c>
      <c r="AM248" s="144" t="e">
        <f t="shared" si="92"/>
        <v>#DIV/0!</v>
      </c>
      <c r="AN248" s="144" t="e">
        <f t="shared" si="92"/>
        <v>#DIV/0!</v>
      </c>
      <c r="AO248" s="9" t="e">
        <f t="shared" si="92"/>
        <v>#DIV/0!</v>
      </c>
      <c r="AP248" s="144" t="e">
        <f t="shared" si="92"/>
        <v>#DIV/0!</v>
      </c>
      <c r="AQ248" s="144" t="e">
        <f t="shared" si="92"/>
        <v>#DIV/0!</v>
      </c>
      <c r="AR248" s="144" t="e">
        <f t="shared" si="92"/>
        <v>#DIV/0!</v>
      </c>
      <c r="AS248" s="144" t="e">
        <f t="shared" si="92"/>
        <v>#DIV/0!</v>
      </c>
      <c r="AT248" s="9" t="e">
        <f t="shared" si="92"/>
        <v>#DIV/0!</v>
      </c>
      <c r="AU248" s="144" t="e">
        <f t="shared" si="92"/>
        <v>#DIV/0!</v>
      </c>
      <c r="AV248" s="144" t="e">
        <f t="shared" si="92"/>
        <v>#DIV/0!</v>
      </c>
      <c r="AW248" s="144" t="e">
        <f t="shared" si="92"/>
        <v>#DIV/0!</v>
      </c>
      <c r="AX248" s="144" t="e">
        <f t="shared" si="92"/>
        <v>#DIV/0!</v>
      </c>
      <c r="AY248" s="117" t="e">
        <f t="shared" si="92"/>
        <v>#DIV/0!</v>
      </c>
    </row>
    <row r="249" spans="1:51">
      <c r="A249" s="137" t="s">
        <v>247</v>
      </c>
      <c r="B249" s="117" t="e">
        <f t="shared" ref="B249:AY252" si="93">B111/B$137</f>
        <v>#DIV/0!</v>
      </c>
      <c r="C249" s="117" t="e">
        <f t="shared" si="93"/>
        <v>#DIV/0!</v>
      </c>
      <c r="D249" s="117" t="e">
        <f t="shared" si="93"/>
        <v>#DIV/0!</v>
      </c>
      <c r="E249" s="117" t="e">
        <f t="shared" si="93"/>
        <v>#DIV/0!</v>
      </c>
      <c r="F249" s="9" t="e">
        <f t="shared" si="93"/>
        <v>#DIV/0!</v>
      </c>
      <c r="G249" s="117" t="e">
        <f t="shared" si="93"/>
        <v>#DIV/0!</v>
      </c>
      <c r="H249" s="117" t="e">
        <f t="shared" si="93"/>
        <v>#DIV/0!</v>
      </c>
      <c r="I249" s="117" t="e">
        <f t="shared" si="93"/>
        <v>#DIV/0!</v>
      </c>
      <c r="J249" s="117" t="e">
        <f t="shared" si="93"/>
        <v>#DIV/0!</v>
      </c>
      <c r="K249" s="9" t="e">
        <f t="shared" si="93"/>
        <v>#DIV/0!</v>
      </c>
      <c r="L249" s="117" t="e">
        <f t="shared" si="93"/>
        <v>#DIV/0!</v>
      </c>
      <c r="M249" s="117" t="e">
        <f t="shared" si="93"/>
        <v>#DIV/0!</v>
      </c>
      <c r="N249" s="117" t="e">
        <f t="shared" si="93"/>
        <v>#DIV/0!</v>
      </c>
      <c r="O249" s="117" t="e">
        <f t="shared" si="93"/>
        <v>#DIV/0!</v>
      </c>
      <c r="P249" s="9" t="e">
        <f t="shared" si="93"/>
        <v>#DIV/0!</v>
      </c>
      <c r="Q249" s="144" t="e">
        <f t="shared" si="93"/>
        <v>#DIV/0!</v>
      </c>
      <c r="R249" s="144" t="e">
        <f t="shared" si="93"/>
        <v>#DIV/0!</v>
      </c>
      <c r="S249" s="144" t="e">
        <f t="shared" si="93"/>
        <v>#DIV/0!</v>
      </c>
      <c r="T249" s="144" t="e">
        <f t="shared" si="93"/>
        <v>#DIV/0!</v>
      </c>
      <c r="U249" s="9" t="e">
        <f t="shared" si="93"/>
        <v>#DIV/0!</v>
      </c>
      <c r="V249" s="144" t="e">
        <f t="shared" si="93"/>
        <v>#DIV/0!</v>
      </c>
      <c r="W249" s="144" t="e">
        <f t="shared" si="93"/>
        <v>#DIV/0!</v>
      </c>
      <c r="X249" s="144" t="e">
        <f t="shared" si="93"/>
        <v>#DIV/0!</v>
      </c>
      <c r="Y249" s="144" t="e">
        <f t="shared" si="93"/>
        <v>#DIV/0!</v>
      </c>
      <c r="Z249" s="9" t="e">
        <f t="shared" si="93"/>
        <v>#DIV/0!</v>
      </c>
      <c r="AA249" s="144" t="e">
        <f t="shared" si="93"/>
        <v>#DIV/0!</v>
      </c>
      <c r="AB249" s="144" t="e">
        <f t="shared" si="93"/>
        <v>#DIV/0!</v>
      </c>
      <c r="AC249" s="144" t="e">
        <f t="shared" si="93"/>
        <v>#DIV/0!</v>
      </c>
      <c r="AD249" s="144" t="e">
        <f t="shared" si="93"/>
        <v>#DIV/0!</v>
      </c>
      <c r="AE249" s="9" t="e">
        <f t="shared" si="93"/>
        <v>#DIV/0!</v>
      </c>
      <c r="AF249" s="144" t="e">
        <f t="shared" si="93"/>
        <v>#DIV/0!</v>
      </c>
      <c r="AG249" s="144" t="e">
        <f t="shared" si="93"/>
        <v>#DIV/0!</v>
      </c>
      <c r="AH249" s="144" t="e">
        <f t="shared" si="93"/>
        <v>#DIV/0!</v>
      </c>
      <c r="AI249" s="144" t="e">
        <f t="shared" si="93"/>
        <v>#DIV/0!</v>
      </c>
      <c r="AJ249" s="9" t="e">
        <f t="shared" si="93"/>
        <v>#DIV/0!</v>
      </c>
      <c r="AK249" s="144" t="e">
        <f t="shared" si="93"/>
        <v>#DIV/0!</v>
      </c>
      <c r="AL249" s="144" t="e">
        <f t="shared" si="93"/>
        <v>#DIV/0!</v>
      </c>
      <c r="AM249" s="144" t="e">
        <f t="shared" si="93"/>
        <v>#DIV/0!</v>
      </c>
      <c r="AN249" s="144" t="e">
        <f t="shared" si="93"/>
        <v>#DIV/0!</v>
      </c>
      <c r="AO249" s="9" t="e">
        <f t="shared" si="93"/>
        <v>#DIV/0!</v>
      </c>
      <c r="AP249" s="144" t="e">
        <f t="shared" si="93"/>
        <v>#DIV/0!</v>
      </c>
      <c r="AQ249" s="144" t="e">
        <f t="shared" si="93"/>
        <v>#DIV/0!</v>
      </c>
      <c r="AR249" s="144" t="e">
        <f t="shared" si="93"/>
        <v>#DIV/0!</v>
      </c>
      <c r="AS249" s="144" t="e">
        <f t="shared" si="93"/>
        <v>#DIV/0!</v>
      </c>
      <c r="AT249" s="9" t="e">
        <f t="shared" si="93"/>
        <v>#DIV/0!</v>
      </c>
      <c r="AU249" s="144" t="e">
        <f t="shared" si="93"/>
        <v>#DIV/0!</v>
      </c>
      <c r="AV249" s="144" t="e">
        <f t="shared" si="93"/>
        <v>#DIV/0!</v>
      </c>
      <c r="AW249" s="144" t="e">
        <f t="shared" si="93"/>
        <v>#DIV/0!</v>
      </c>
      <c r="AX249" s="144" t="e">
        <f t="shared" si="93"/>
        <v>#DIV/0!</v>
      </c>
      <c r="AY249" s="117" t="e">
        <f t="shared" si="93"/>
        <v>#DIV/0!</v>
      </c>
    </row>
    <row r="250" spans="1:51">
      <c r="A250" s="137" t="s">
        <v>249</v>
      </c>
      <c r="B250" s="117" t="e">
        <f t="shared" si="93"/>
        <v>#DIV/0!</v>
      </c>
      <c r="C250" s="117" t="e">
        <f t="shared" si="93"/>
        <v>#DIV/0!</v>
      </c>
      <c r="D250" s="117" t="e">
        <f t="shared" si="93"/>
        <v>#DIV/0!</v>
      </c>
      <c r="E250" s="117" t="e">
        <f t="shared" si="93"/>
        <v>#DIV/0!</v>
      </c>
      <c r="F250" s="9" t="e">
        <f t="shared" si="93"/>
        <v>#DIV/0!</v>
      </c>
      <c r="G250" s="117" t="e">
        <f t="shared" si="93"/>
        <v>#DIV/0!</v>
      </c>
      <c r="H250" s="117" t="e">
        <f t="shared" si="93"/>
        <v>#DIV/0!</v>
      </c>
      <c r="I250" s="117" t="e">
        <f t="shared" si="93"/>
        <v>#DIV/0!</v>
      </c>
      <c r="J250" s="117" t="e">
        <f t="shared" si="93"/>
        <v>#DIV/0!</v>
      </c>
      <c r="K250" s="9" t="e">
        <f t="shared" si="93"/>
        <v>#DIV/0!</v>
      </c>
      <c r="L250" s="117" t="e">
        <f t="shared" si="93"/>
        <v>#DIV/0!</v>
      </c>
      <c r="M250" s="117" t="e">
        <f t="shared" si="93"/>
        <v>#DIV/0!</v>
      </c>
      <c r="N250" s="117" t="e">
        <f t="shared" si="93"/>
        <v>#DIV/0!</v>
      </c>
      <c r="O250" s="117" t="e">
        <f t="shared" si="93"/>
        <v>#DIV/0!</v>
      </c>
      <c r="P250" s="9" t="e">
        <f t="shared" si="93"/>
        <v>#DIV/0!</v>
      </c>
      <c r="Q250" s="144" t="e">
        <f t="shared" si="93"/>
        <v>#DIV/0!</v>
      </c>
      <c r="R250" s="144" t="e">
        <f t="shared" si="93"/>
        <v>#DIV/0!</v>
      </c>
      <c r="S250" s="144" t="e">
        <f t="shared" si="93"/>
        <v>#DIV/0!</v>
      </c>
      <c r="T250" s="144" t="e">
        <f t="shared" si="93"/>
        <v>#DIV/0!</v>
      </c>
      <c r="U250" s="9" t="e">
        <f t="shared" si="93"/>
        <v>#DIV/0!</v>
      </c>
      <c r="V250" s="144" t="e">
        <f t="shared" si="93"/>
        <v>#DIV/0!</v>
      </c>
      <c r="W250" s="144" t="e">
        <f t="shared" si="93"/>
        <v>#DIV/0!</v>
      </c>
      <c r="X250" s="144" t="e">
        <f t="shared" si="93"/>
        <v>#DIV/0!</v>
      </c>
      <c r="Y250" s="144" t="e">
        <f t="shared" si="93"/>
        <v>#DIV/0!</v>
      </c>
      <c r="Z250" s="9" t="e">
        <f t="shared" si="93"/>
        <v>#DIV/0!</v>
      </c>
      <c r="AA250" s="144" t="e">
        <f t="shared" si="93"/>
        <v>#DIV/0!</v>
      </c>
      <c r="AB250" s="144" t="e">
        <f t="shared" si="93"/>
        <v>#DIV/0!</v>
      </c>
      <c r="AC250" s="144" t="e">
        <f t="shared" si="93"/>
        <v>#DIV/0!</v>
      </c>
      <c r="AD250" s="144" t="e">
        <f t="shared" si="93"/>
        <v>#DIV/0!</v>
      </c>
      <c r="AE250" s="9" t="e">
        <f t="shared" si="93"/>
        <v>#DIV/0!</v>
      </c>
      <c r="AF250" s="144" t="e">
        <f t="shared" si="93"/>
        <v>#DIV/0!</v>
      </c>
      <c r="AG250" s="144" t="e">
        <f t="shared" si="93"/>
        <v>#DIV/0!</v>
      </c>
      <c r="AH250" s="144" t="e">
        <f t="shared" si="93"/>
        <v>#DIV/0!</v>
      </c>
      <c r="AI250" s="144" t="e">
        <f t="shared" si="93"/>
        <v>#DIV/0!</v>
      </c>
      <c r="AJ250" s="9" t="e">
        <f t="shared" si="93"/>
        <v>#DIV/0!</v>
      </c>
      <c r="AK250" s="144" t="e">
        <f t="shared" si="93"/>
        <v>#DIV/0!</v>
      </c>
      <c r="AL250" s="144" t="e">
        <f t="shared" si="93"/>
        <v>#DIV/0!</v>
      </c>
      <c r="AM250" s="144" t="e">
        <f t="shared" si="93"/>
        <v>#DIV/0!</v>
      </c>
      <c r="AN250" s="144" t="e">
        <f t="shared" si="93"/>
        <v>#DIV/0!</v>
      </c>
      <c r="AO250" s="9" t="e">
        <f t="shared" si="93"/>
        <v>#DIV/0!</v>
      </c>
      <c r="AP250" s="144" t="e">
        <f t="shared" si="93"/>
        <v>#DIV/0!</v>
      </c>
      <c r="AQ250" s="144" t="e">
        <f t="shared" si="93"/>
        <v>#DIV/0!</v>
      </c>
      <c r="AR250" s="144" t="e">
        <f t="shared" si="93"/>
        <v>#DIV/0!</v>
      </c>
      <c r="AS250" s="144" t="e">
        <f t="shared" si="93"/>
        <v>#DIV/0!</v>
      </c>
      <c r="AT250" s="9" t="e">
        <f t="shared" si="93"/>
        <v>#DIV/0!</v>
      </c>
      <c r="AU250" s="144" t="e">
        <f t="shared" si="93"/>
        <v>#DIV/0!</v>
      </c>
      <c r="AV250" s="144" t="e">
        <f t="shared" si="93"/>
        <v>#DIV/0!</v>
      </c>
      <c r="AW250" s="144" t="e">
        <f t="shared" si="93"/>
        <v>#DIV/0!</v>
      </c>
      <c r="AX250" s="144" t="e">
        <f t="shared" si="93"/>
        <v>#DIV/0!</v>
      </c>
      <c r="AY250" s="117" t="e">
        <f t="shared" si="93"/>
        <v>#DIV/0!</v>
      </c>
    </row>
    <row r="251" spans="1:51">
      <c r="A251" s="137" t="s">
        <v>251</v>
      </c>
      <c r="B251" s="117" t="e">
        <f t="shared" si="93"/>
        <v>#DIV/0!</v>
      </c>
      <c r="C251" s="117" t="e">
        <f t="shared" si="93"/>
        <v>#DIV/0!</v>
      </c>
      <c r="D251" s="117" t="e">
        <f t="shared" si="93"/>
        <v>#DIV/0!</v>
      </c>
      <c r="E251" s="117" t="e">
        <f t="shared" si="93"/>
        <v>#DIV/0!</v>
      </c>
      <c r="F251" s="9" t="e">
        <f t="shared" si="93"/>
        <v>#DIV/0!</v>
      </c>
      <c r="G251" s="117" t="e">
        <f t="shared" si="93"/>
        <v>#DIV/0!</v>
      </c>
      <c r="H251" s="117" t="e">
        <f t="shared" si="93"/>
        <v>#DIV/0!</v>
      </c>
      <c r="I251" s="117" t="e">
        <f t="shared" si="93"/>
        <v>#DIV/0!</v>
      </c>
      <c r="J251" s="117" t="e">
        <f t="shared" si="93"/>
        <v>#DIV/0!</v>
      </c>
      <c r="K251" s="9" t="e">
        <f t="shared" si="93"/>
        <v>#DIV/0!</v>
      </c>
      <c r="L251" s="117" t="e">
        <f t="shared" si="93"/>
        <v>#DIV/0!</v>
      </c>
      <c r="M251" s="117" t="e">
        <f t="shared" si="93"/>
        <v>#DIV/0!</v>
      </c>
      <c r="N251" s="117" t="e">
        <f t="shared" si="93"/>
        <v>#DIV/0!</v>
      </c>
      <c r="O251" s="117" t="e">
        <f t="shared" si="93"/>
        <v>#DIV/0!</v>
      </c>
      <c r="P251" s="9" t="e">
        <f t="shared" si="93"/>
        <v>#DIV/0!</v>
      </c>
      <c r="Q251" s="144" t="e">
        <f t="shared" si="93"/>
        <v>#DIV/0!</v>
      </c>
      <c r="R251" s="144" t="e">
        <f t="shared" si="93"/>
        <v>#DIV/0!</v>
      </c>
      <c r="S251" s="144" t="e">
        <f t="shared" si="93"/>
        <v>#DIV/0!</v>
      </c>
      <c r="T251" s="144" t="e">
        <f t="shared" si="93"/>
        <v>#DIV/0!</v>
      </c>
      <c r="U251" s="9" t="e">
        <f t="shared" si="93"/>
        <v>#DIV/0!</v>
      </c>
      <c r="V251" s="144" t="e">
        <f t="shared" si="93"/>
        <v>#DIV/0!</v>
      </c>
      <c r="W251" s="144" t="e">
        <f t="shared" si="93"/>
        <v>#DIV/0!</v>
      </c>
      <c r="X251" s="144" t="e">
        <f t="shared" si="93"/>
        <v>#DIV/0!</v>
      </c>
      <c r="Y251" s="144" t="e">
        <f t="shared" si="93"/>
        <v>#DIV/0!</v>
      </c>
      <c r="Z251" s="9" t="e">
        <f t="shared" si="93"/>
        <v>#DIV/0!</v>
      </c>
      <c r="AA251" s="144" t="e">
        <f t="shared" si="93"/>
        <v>#DIV/0!</v>
      </c>
      <c r="AB251" s="144" t="e">
        <f t="shared" si="93"/>
        <v>#DIV/0!</v>
      </c>
      <c r="AC251" s="144" t="e">
        <f t="shared" si="93"/>
        <v>#DIV/0!</v>
      </c>
      <c r="AD251" s="144" t="e">
        <f t="shared" si="93"/>
        <v>#DIV/0!</v>
      </c>
      <c r="AE251" s="9" t="e">
        <f t="shared" si="93"/>
        <v>#DIV/0!</v>
      </c>
      <c r="AF251" s="144" t="e">
        <f t="shared" si="93"/>
        <v>#DIV/0!</v>
      </c>
      <c r="AG251" s="144" t="e">
        <f t="shared" si="93"/>
        <v>#DIV/0!</v>
      </c>
      <c r="AH251" s="144" t="e">
        <f t="shared" si="93"/>
        <v>#DIV/0!</v>
      </c>
      <c r="AI251" s="144" t="e">
        <f t="shared" si="93"/>
        <v>#DIV/0!</v>
      </c>
      <c r="AJ251" s="9" t="e">
        <f t="shared" si="93"/>
        <v>#DIV/0!</v>
      </c>
      <c r="AK251" s="144" t="e">
        <f t="shared" si="93"/>
        <v>#DIV/0!</v>
      </c>
      <c r="AL251" s="144" t="e">
        <f t="shared" si="93"/>
        <v>#DIV/0!</v>
      </c>
      <c r="AM251" s="144" t="e">
        <f t="shared" si="93"/>
        <v>#DIV/0!</v>
      </c>
      <c r="AN251" s="144" t="e">
        <f t="shared" si="93"/>
        <v>#DIV/0!</v>
      </c>
      <c r="AO251" s="9" t="e">
        <f t="shared" si="93"/>
        <v>#DIV/0!</v>
      </c>
      <c r="AP251" s="144" t="e">
        <f t="shared" si="93"/>
        <v>#DIV/0!</v>
      </c>
      <c r="AQ251" s="144" t="e">
        <f t="shared" si="93"/>
        <v>#DIV/0!</v>
      </c>
      <c r="AR251" s="144" t="e">
        <f t="shared" si="93"/>
        <v>#DIV/0!</v>
      </c>
      <c r="AS251" s="144" t="e">
        <f t="shared" si="93"/>
        <v>#DIV/0!</v>
      </c>
      <c r="AT251" s="9" t="e">
        <f t="shared" si="93"/>
        <v>#DIV/0!</v>
      </c>
      <c r="AU251" s="144" t="e">
        <f t="shared" si="93"/>
        <v>#DIV/0!</v>
      </c>
      <c r="AV251" s="144" t="e">
        <f t="shared" si="93"/>
        <v>#DIV/0!</v>
      </c>
      <c r="AW251" s="144" t="e">
        <f t="shared" si="93"/>
        <v>#DIV/0!</v>
      </c>
      <c r="AX251" s="144" t="e">
        <f t="shared" si="93"/>
        <v>#DIV/0!</v>
      </c>
      <c r="AY251" s="117" t="e">
        <f t="shared" si="93"/>
        <v>#DIV/0!</v>
      </c>
    </row>
    <row r="252" spans="1:51">
      <c r="A252" s="137" t="s">
        <v>253</v>
      </c>
      <c r="B252" s="117" t="e">
        <f t="shared" si="93"/>
        <v>#DIV/0!</v>
      </c>
      <c r="C252" s="117" t="e">
        <f t="shared" si="93"/>
        <v>#DIV/0!</v>
      </c>
      <c r="D252" s="117" t="e">
        <f t="shared" si="93"/>
        <v>#DIV/0!</v>
      </c>
      <c r="E252" s="117" t="e">
        <f t="shared" si="93"/>
        <v>#DIV/0!</v>
      </c>
      <c r="F252" s="9" t="e">
        <f t="shared" si="93"/>
        <v>#DIV/0!</v>
      </c>
      <c r="G252" s="117" t="e">
        <f t="shared" si="93"/>
        <v>#DIV/0!</v>
      </c>
      <c r="H252" s="117" t="e">
        <f t="shared" si="93"/>
        <v>#DIV/0!</v>
      </c>
      <c r="I252" s="117" t="e">
        <f t="shared" si="93"/>
        <v>#DIV/0!</v>
      </c>
      <c r="J252" s="117" t="e">
        <f t="shared" si="93"/>
        <v>#DIV/0!</v>
      </c>
      <c r="K252" s="9" t="e">
        <f t="shared" si="93"/>
        <v>#DIV/0!</v>
      </c>
      <c r="L252" s="117" t="e">
        <f t="shared" si="93"/>
        <v>#DIV/0!</v>
      </c>
      <c r="M252" s="117" t="e">
        <f t="shared" si="93"/>
        <v>#DIV/0!</v>
      </c>
      <c r="N252" s="117" t="e">
        <f t="shared" si="93"/>
        <v>#DIV/0!</v>
      </c>
      <c r="O252" s="117" t="e">
        <f t="shared" si="93"/>
        <v>#DIV/0!</v>
      </c>
      <c r="P252" s="9" t="e">
        <f t="shared" si="93"/>
        <v>#DIV/0!</v>
      </c>
      <c r="Q252" s="144" t="e">
        <f t="shared" si="93"/>
        <v>#DIV/0!</v>
      </c>
      <c r="R252" s="144" t="e">
        <f t="shared" si="93"/>
        <v>#DIV/0!</v>
      </c>
      <c r="S252" s="144" t="e">
        <f t="shared" si="93"/>
        <v>#DIV/0!</v>
      </c>
      <c r="T252" s="144" t="e">
        <f t="shared" si="93"/>
        <v>#DIV/0!</v>
      </c>
      <c r="U252" s="9" t="e">
        <f t="shared" si="93"/>
        <v>#DIV/0!</v>
      </c>
      <c r="V252" s="144" t="e">
        <f t="shared" si="93"/>
        <v>#DIV/0!</v>
      </c>
      <c r="W252" s="144" t="e">
        <f t="shared" si="93"/>
        <v>#DIV/0!</v>
      </c>
      <c r="X252" s="144" t="e">
        <f t="shared" si="93"/>
        <v>#DIV/0!</v>
      </c>
      <c r="Y252" s="144" t="e">
        <f t="shared" si="93"/>
        <v>#DIV/0!</v>
      </c>
      <c r="Z252" s="9" t="e">
        <f t="shared" si="93"/>
        <v>#DIV/0!</v>
      </c>
      <c r="AA252" s="144" t="e">
        <f t="shared" si="93"/>
        <v>#DIV/0!</v>
      </c>
      <c r="AB252" s="144" t="e">
        <f t="shared" si="93"/>
        <v>#DIV/0!</v>
      </c>
      <c r="AC252" s="144" t="e">
        <f t="shared" si="93"/>
        <v>#DIV/0!</v>
      </c>
      <c r="AD252" s="144" t="e">
        <f t="shared" si="93"/>
        <v>#DIV/0!</v>
      </c>
      <c r="AE252" s="9" t="e">
        <f t="shared" si="93"/>
        <v>#DIV/0!</v>
      </c>
      <c r="AF252" s="144" t="e">
        <f t="shared" si="93"/>
        <v>#DIV/0!</v>
      </c>
      <c r="AG252" s="144" t="e">
        <f t="shared" si="93"/>
        <v>#DIV/0!</v>
      </c>
      <c r="AH252" s="144" t="e">
        <f t="shared" si="93"/>
        <v>#DIV/0!</v>
      </c>
      <c r="AI252" s="144" t="e">
        <f t="shared" si="93"/>
        <v>#DIV/0!</v>
      </c>
      <c r="AJ252" s="9" t="e">
        <f t="shared" si="93"/>
        <v>#DIV/0!</v>
      </c>
      <c r="AK252" s="144" t="e">
        <f t="shared" si="93"/>
        <v>#DIV/0!</v>
      </c>
      <c r="AL252" s="144" t="e">
        <f t="shared" si="93"/>
        <v>#DIV/0!</v>
      </c>
      <c r="AM252" s="144" t="e">
        <f t="shared" si="93"/>
        <v>#DIV/0!</v>
      </c>
      <c r="AN252" s="144" t="e">
        <f t="shared" si="93"/>
        <v>#DIV/0!</v>
      </c>
      <c r="AO252" s="9" t="e">
        <f t="shared" si="93"/>
        <v>#DIV/0!</v>
      </c>
      <c r="AP252" s="144" t="e">
        <f t="shared" si="93"/>
        <v>#DIV/0!</v>
      </c>
      <c r="AQ252" s="144" t="e">
        <f t="shared" si="93"/>
        <v>#DIV/0!</v>
      </c>
      <c r="AR252" s="144" t="e">
        <f t="shared" si="93"/>
        <v>#DIV/0!</v>
      </c>
      <c r="AS252" s="144" t="e">
        <f t="shared" si="93"/>
        <v>#DIV/0!</v>
      </c>
      <c r="AT252" s="9" t="e">
        <f t="shared" si="93"/>
        <v>#DIV/0!</v>
      </c>
      <c r="AU252" s="144" t="e">
        <f t="shared" si="93"/>
        <v>#DIV/0!</v>
      </c>
      <c r="AV252" s="144" t="e">
        <f t="shared" si="93"/>
        <v>#DIV/0!</v>
      </c>
      <c r="AW252" s="144" t="e">
        <f t="shared" si="93"/>
        <v>#DIV/0!</v>
      </c>
      <c r="AX252" s="144" t="e">
        <f t="shared" si="93"/>
        <v>#DIV/0!</v>
      </c>
      <c r="AY252" s="117" t="e">
        <f t="shared" si="93"/>
        <v>#DIV/0!</v>
      </c>
    </row>
    <row r="253" spans="1:51">
      <c r="A253" s="137" t="s">
        <v>255</v>
      </c>
      <c r="B253" s="117" t="e">
        <f t="shared" ref="B253:AY256" si="94">B115/B$137</f>
        <v>#DIV/0!</v>
      </c>
      <c r="C253" s="117" t="e">
        <f t="shared" si="94"/>
        <v>#DIV/0!</v>
      </c>
      <c r="D253" s="117" t="e">
        <f t="shared" si="94"/>
        <v>#DIV/0!</v>
      </c>
      <c r="E253" s="117" t="e">
        <f t="shared" si="94"/>
        <v>#DIV/0!</v>
      </c>
      <c r="F253" s="9" t="e">
        <f t="shared" si="94"/>
        <v>#DIV/0!</v>
      </c>
      <c r="G253" s="117" t="e">
        <f t="shared" si="94"/>
        <v>#DIV/0!</v>
      </c>
      <c r="H253" s="117" t="e">
        <f t="shared" si="94"/>
        <v>#DIV/0!</v>
      </c>
      <c r="I253" s="117" t="e">
        <f t="shared" si="94"/>
        <v>#DIV/0!</v>
      </c>
      <c r="J253" s="117" t="e">
        <f t="shared" si="94"/>
        <v>#DIV/0!</v>
      </c>
      <c r="K253" s="9" t="e">
        <f t="shared" si="94"/>
        <v>#DIV/0!</v>
      </c>
      <c r="L253" s="117" t="e">
        <f t="shared" si="94"/>
        <v>#DIV/0!</v>
      </c>
      <c r="M253" s="117" t="e">
        <f t="shared" si="94"/>
        <v>#DIV/0!</v>
      </c>
      <c r="N253" s="117" t="e">
        <f t="shared" si="94"/>
        <v>#DIV/0!</v>
      </c>
      <c r="O253" s="117" t="e">
        <f t="shared" si="94"/>
        <v>#DIV/0!</v>
      </c>
      <c r="P253" s="9" t="e">
        <f t="shared" si="94"/>
        <v>#DIV/0!</v>
      </c>
      <c r="Q253" s="144" t="e">
        <f t="shared" si="94"/>
        <v>#DIV/0!</v>
      </c>
      <c r="R253" s="144" t="e">
        <f t="shared" si="94"/>
        <v>#DIV/0!</v>
      </c>
      <c r="S253" s="144" t="e">
        <f t="shared" si="94"/>
        <v>#DIV/0!</v>
      </c>
      <c r="T253" s="144" t="e">
        <f t="shared" si="94"/>
        <v>#DIV/0!</v>
      </c>
      <c r="U253" s="9" t="e">
        <f t="shared" si="94"/>
        <v>#DIV/0!</v>
      </c>
      <c r="V253" s="144" t="e">
        <f t="shared" si="94"/>
        <v>#DIV/0!</v>
      </c>
      <c r="W253" s="144" t="e">
        <f t="shared" si="94"/>
        <v>#DIV/0!</v>
      </c>
      <c r="X253" s="144" t="e">
        <f t="shared" si="94"/>
        <v>#DIV/0!</v>
      </c>
      <c r="Y253" s="144" t="e">
        <f t="shared" si="94"/>
        <v>#DIV/0!</v>
      </c>
      <c r="Z253" s="9" t="e">
        <f t="shared" si="94"/>
        <v>#DIV/0!</v>
      </c>
      <c r="AA253" s="144" t="e">
        <f t="shared" si="94"/>
        <v>#DIV/0!</v>
      </c>
      <c r="AB253" s="144" t="e">
        <f t="shared" si="94"/>
        <v>#DIV/0!</v>
      </c>
      <c r="AC253" s="144" t="e">
        <f t="shared" si="94"/>
        <v>#DIV/0!</v>
      </c>
      <c r="AD253" s="144" t="e">
        <f t="shared" si="94"/>
        <v>#DIV/0!</v>
      </c>
      <c r="AE253" s="9" t="e">
        <f t="shared" si="94"/>
        <v>#DIV/0!</v>
      </c>
      <c r="AF253" s="144" t="e">
        <f t="shared" si="94"/>
        <v>#DIV/0!</v>
      </c>
      <c r="AG253" s="144" t="e">
        <f t="shared" si="94"/>
        <v>#DIV/0!</v>
      </c>
      <c r="AH253" s="144" t="e">
        <f t="shared" si="94"/>
        <v>#DIV/0!</v>
      </c>
      <c r="AI253" s="144" t="e">
        <f t="shared" si="94"/>
        <v>#DIV/0!</v>
      </c>
      <c r="AJ253" s="9" t="e">
        <f t="shared" si="94"/>
        <v>#DIV/0!</v>
      </c>
      <c r="AK253" s="144" t="e">
        <f t="shared" si="94"/>
        <v>#DIV/0!</v>
      </c>
      <c r="AL253" s="144" t="e">
        <f t="shared" si="94"/>
        <v>#DIV/0!</v>
      </c>
      <c r="AM253" s="144" t="e">
        <f t="shared" si="94"/>
        <v>#DIV/0!</v>
      </c>
      <c r="AN253" s="144" t="e">
        <f t="shared" si="94"/>
        <v>#DIV/0!</v>
      </c>
      <c r="AO253" s="9" t="e">
        <f t="shared" si="94"/>
        <v>#DIV/0!</v>
      </c>
      <c r="AP253" s="144" t="e">
        <f t="shared" si="94"/>
        <v>#DIV/0!</v>
      </c>
      <c r="AQ253" s="144" t="e">
        <f t="shared" si="94"/>
        <v>#DIV/0!</v>
      </c>
      <c r="AR253" s="144" t="e">
        <f t="shared" si="94"/>
        <v>#DIV/0!</v>
      </c>
      <c r="AS253" s="144" t="e">
        <f t="shared" si="94"/>
        <v>#DIV/0!</v>
      </c>
      <c r="AT253" s="9" t="e">
        <f t="shared" si="94"/>
        <v>#DIV/0!</v>
      </c>
      <c r="AU253" s="144" t="e">
        <f t="shared" si="94"/>
        <v>#DIV/0!</v>
      </c>
      <c r="AV253" s="144" t="e">
        <f t="shared" si="94"/>
        <v>#DIV/0!</v>
      </c>
      <c r="AW253" s="144" t="e">
        <f t="shared" si="94"/>
        <v>#DIV/0!</v>
      </c>
      <c r="AX253" s="144" t="e">
        <f t="shared" si="94"/>
        <v>#DIV/0!</v>
      </c>
      <c r="AY253" s="117" t="e">
        <f t="shared" si="94"/>
        <v>#DIV/0!</v>
      </c>
    </row>
    <row r="254" spans="1:51">
      <c r="A254" s="137" t="s">
        <v>257</v>
      </c>
      <c r="B254" s="117" t="e">
        <f t="shared" si="94"/>
        <v>#DIV/0!</v>
      </c>
      <c r="C254" s="117" t="e">
        <f t="shared" si="94"/>
        <v>#DIV/0!</v>
      </c>
      <c r="D254" s="117" t="e">
        <f t="shared" si="94"/>
        <v>#DIV/0!</v>
      </c>
      <c r="E254" s="117" t="e">
        <f t="shared" si="94"/>
        <v>#DIV/0!</v>
      </c>
      <c r="F254" s="9" t="e">
        <f t="shared" si="94"/>
        <v>#DIV/0!</v>
      </c>
      <c r="G254" s="117" t="e">
        <f t="shared" si="94"/>
        <v>#DIV/0!</v>
      </c>
      <c r="H254" s="117" t="e">
        <f t="shared" si="94"/>
        <v>#DIV/0!</v>
      </c>
      <c r="I254" s="117" t="e">
        <f t="shared" si="94"/>
        <v>#DIV/0!</v>
      </c>
      <c r="J254" s="117" t="e">
        <f t="shared" si="94"/>
        <v>#DIV/0!</v>
      </c>
      <c r="K254" s="9" t="e">
        <f t="shared" si="94"/>
        <v>#DIV/0!</v>
      </c>
      <c r="L254" s="117" t="e">
        <f t="shared" si="94"/>
        <v>#DIV/0!</v>
      </c>
      <c r="M254" s="117" t="e">
        <f t="shared" si="94"/>
        <v>#DIV/0!</v>
      </c>
      <c r="N254" s="117" t="e">
        <f t="shared" si="94"/>
        <v>#DIV/0!</v>
      </c>
      <c r="O254" s="117" t="e">
        <f t="shared" si="94"/>
        <v>#DIV/0!</v>
      </c>
      <c r="P254" s="9" t="e">
        <f t="shared" si="94"/>
        <v>#DIV/0!</v>
      </c>
      <c r="Q254" s="144" t="e">
        <f t="shared" si="94"/>
        <v>#DIV/0!</v>
      </c>
      <c r="R254" s="144" t="e">
        <f t="shared" si="94"/>
        <v>#DIV/0!</v>
      </c>
      <c r="S254" s="144" t="e">
        <f t="shared" si="94"/>
        <v>#DIV/0!</v>
      </c>
      <c r="T254" s="144" t="e">
        <f t="shared" si="94"/>
        <v>#DIV/0!</v>
      </c>
      <c r="U254" s="9" t="e">
        <f t="shared" si="94"/>
        <v>#DIV/0!</v>
      </c>
      <c r="V254" s="144" t="e">
        <f t="shared" si="94"/>
        <v>#DIV/0!</v>
      </c>
      <c r="W254" s="144" t="e">
        <f t="shared" si="94"/>
        <v>#DIV/0!</v>
      </c>
      <c r="X254" s="144" t="e">
        <f t="shared" si="94"/>
        <v>#DIV/0!</v>
      </c>
      <c r="Y254" s="144" t="e">
        <f t="shared" si="94"/>
        <v>#DIV/0!</v>
      </c>
      <c r="Z254" s="9" t="e">
        <f t="shared" si="94"/>
        <v>#DIV/0!</v>
      </c>
      <c r="AA254" s="144" t="e">
        <f t="shared" si="94"/>
        <v>#DIV/0!</v>
      </c>
      <c r="AB254" s="144" t="e">
        <f t="shared" si="94"/>
        <v>#DIV/0!</v>
      </c>
      <c r="AC254" s="144" t="e">
        <f t="shared" si="94"/>
        <v>#DIV/0!</v>
      </c>
      <c r="AD254" s="144" t="e">
        <f t="shared" si="94"/>
        <v>#DIV/0!</v>
      </c>
      <c r="AE254" s="9" t="e">
        <f t="shared" si="94"/>
        <v>#DIV/0!</v>
      </c>
      <c r="AF254" s="144" t="e">
        <f t="shared" si="94"/>
        <v>#DIV/0!</v>
      </c>
      <c r="AG254" s="144" t="e">
        <f t="shared" si="94"/>
        <v>#DIV/0!</v>
      </c>
      <c r="AH254" s="144" t="e">
        <f t="shared" si="94"/>
        <v>#DIV/0!</v>
      </c>
      <c r="AI254" s="144" t="e">
        <f t="shared" si="94"/>
        <v>#DIV/0!</v>
      </c>
      <c r="AJ254" s="9" t="e">
        <f t="shared" si="94"/>
        <v>#DIV/0!</v>
      </c>
      <c r="AK254" s="144" t="e">
        <f t="shared" si="94"/>
        <v>#DIV/0!</v>
      </c>
      <c r="AL254" s="144" t="e">
        <f t="shared" si="94"/>
        <v>#DIV/0!</v>
      </c>
      <c r="AM254" s="144" t="e">
        <f t="shared" si="94"/>
        <v>#DIV/0!</v>
      </c>
      <c r="AN254" s="144" t="e">
        <f t="shared" si="94"/>
        <v>#DIV/0!</v>
      </c>
      <c r="AO254" s="9" t="e">
        <f t="shared" si="94"/>
        <v>#DIV/0!</v>
      </c>
      <c r="AP254" s="144" t="e">
        <f t="shared" si="94"/>
        <v>#DIV/0!</v>
      </c>
      <c r="AQ254" s="144" t="e">
        <f t="shared" si="94"/>
        <v>#DIV/0!</v>
      </c>
      <c r="AR254" s="144" t="e">
        <f t="shared" si="94"/>
        <v>#DIV/0!</v>
      </c>
      <c r="AS254" s="144" t="e">
        <f t="shared" si="94"/>
        <v>#DIV/0!</v>
      </c>
      <c r="AT254" s="9" t="e">
        <f t="shared" si="94"/>
        <v>#DIV/0!</v>
      </c>
      <c r="AU254" s="144" t="e">
        <f t="shared" si="94"/>
        <v>#DIV/0!</v>
      </c>
      <c r="AV254" s="144" t="e">
        <f t="shared" si="94"/>
        <v>#DIV/0!</v>
      </c>
      <c r="AW254" s="144" t="e">
        <f t="shared" si="94"/>
        <v>#DIV/0!</v>
      </c>
      <c r="AX254" s="144" t="e">
        <f t="shared" si="94"/>
        <v>#DIV/0!</v>
      </c>
      <c r="AY254" s="117" t="e">
        <f t="shared" si="94"/>
        <v>#DIV/0!</v>
      </c>
    </row>
    <row r="255" spans="1:51">
      <c r="A255" s="137" t="s">
        <v>259</v>
      </c>
      <c r="B255" s="117" t="e">
        <f t="shared" si="94"/>
        <v>#DIV/0!</v>
      </c>
      <c r="C255" s="117" t="e">
        <f t="shared" si="94"/>
        <v>#DIV/0!</v>
      </c>
      <c r="D255" s="117" t="e">
        <f t="shared" si="94"/>
        <v>#DIV/0!</v>
      </c>
      <c r="E255" s="117" t="e">
        <f t="shared" si="94"/>
        <v>#DIV/0!</v>
      </c>
      <c r="F255" s="9" t="e">
        <f t="shared" si="94"/>
        <v>#DIV/0!</v>
      </c>
      <c r="G255" s="117" t="e">
        <f t="shared" si="94"/>
        <v>#DIV/0!</v>
      </c>
      <c r="H255" s="117" t="e">
        <f t="shared" si="94"/>
        <v>#DIV/0!</v>
      </c>
      <c r="I255" s="117" t="e">
        <f t="shared" si="94"/>
        <v>#DIV/0!</v>
      </c>
      <c r="J255" s="117" t="e">
        <f t="shared" si="94"/>
        <v>#DIV/0!</v>
      </c>
      <c r="K255" s="9" t="e">
        <f t="shared" si="94"/>
        <v>#DIV/0!</v>
      </c>
      <c r="L255" s="117" t="e">
        <f t="shared" si="94"/>
        <v>#DIV/0!</v>
      </c>
      <c r="M255" s="117" t="e">
        <f t="shared" si="94"/>
        <v>#DIV/0!</v>
      </c>
      <c r="N255" s="117" t="e">
        <f t="shared" si="94"/>
        <v>#DIV/0!</v>
      </c>
      <c r="O255" s="117" t="e">
        <f t="shared" si="94"/>
        <v>#DIV/0!</v>
      </c>
      <c r="P255" s="9" t="e">
        <f t="shared" si="94"/>
        <v>#DIV/0!</v>
      </c>
      <c r="Q255" s="144" t="e">
        <f t="shared" si="94"/>
        <v>#DIV/0!</v>
      </c>
      <c r="R255" s="144" t="e">
        <f t="shared" si="94"/>
        <v>#DIV/0!</v>
      </c>
      <c r="S255" s="144" t="e">
        <f t="shared" si="94"/>
        <v>#DIV/0!</v>
      </c>
      <c r="T255" s="144" t="e">
        <f t="shared" si="94"/>
        <v>#DIV/0!</v>
      </c>
      <c r="U255" s="9" t="e">
        <f t="shared" si="94"/>
        <v>#DIV/0!</v>
      </c>
      <c r="V255" s="144" t="e">
        <f t="shared" si="94"/>
        <v>#DIV/0!</v>
      </c>
      <c r="W255" s="144" t="e">
        <f t="shared" si="94"/>
        <v>#DIV/0!</v>
      </c>
      <c r="X255" s="144" t="e">
        <f t="shared" si="94"/>
        <v>#DIV/0!</v>
      </c>
      <c r="Y255" s="144" t="e">
        <f t="shared" si="94"/>
        <v>#DIV/0!</v>
      </c>
      <c r="Z255" s="9" t="e">
        <f t="shared" si="94"/>
        <v>#DIV/0!</v>
      </c>
      <c r="AA255" s="144" t="e">
        <f t="shared" si="94"/>
        <v>#DIV/0!</v>
      </c>
      <c r="AB255" s="144" t="e">
        <f t="shared" si="94"/>
        <v>#DIV/0!</v>
      </c>
      <c r="AC255" s="144" t="e">
        <f t="shared" si="94"/>
        <v>#DIV/0!</v>
      </c>
      <c r="AD255" s="144" t="e">
        <f t="shared" si="94"/>
        <v>#DIV/0!</v>
      </c>
      <c r="AE255" s="9" t="e">
        <f t="shared" si="94"/>
        <v>#DIV/0!</v>
      </c>
      <c r="AF255" s="144" t="e">
        <f t="shared" si="94"/>
        <v>#DIV/0!</v>
      </c>
      <c r="AG255" s="144" t="e">
        <f t="shared" si="94"/>
        <v>#DIV/0!</v>
      </c>
      <c r="AH255" s="144" t="e">
        <f t="shared" si="94"/>
        <v>#DIV/0!</v>
      </c>
      <c r="AI255" s="144" t="e">
        <f t="shared" si="94"/>
        <v>#DIV/0!</v>
      </c>
      <c r="AJ255" s="9" t="e">
        <f t="shared" si="94"/>
        <v>#DIV/0!</v>
      </c>
      <c r="AK255" s="144" t="e">
        <f t="shared" si="94"/>
        <v>#DIV/0!</v>
      </c>
      <c r="AL255" s="144" t="e">
        <f t="shared" si="94"/>
        <v>#DIV/0!</v>
      </c>
      <c r="AM255" s="144" t="e">
        <f t="shared" si="94"/>
        <v>#DIV/0!</v>
      </c>
      <c r="AN255" s="144" t="e">
        <f t="shared" si="94"/>
        <v>#DIV/0!</v>
      </c>
      <c r="AO255" s="9" t="e">
        <f t="shared" si="94"/>
        <v>#DIV/0!</v>
      </c>
      <c r="AP255" s="144" t="e">
        <f t="shared" si="94"/>
        <v>#DIV/0!</v>
      </c>
      <c r="AQ255" s="144" t="e">
        <f t="shared" si="94"/>
        <v>#DIV/0!</v>
      </c>
      <c r="AR255" s="144" t="e">
        <f t="shared" si="94"/>
        <v>#DIV/0!</v>
      </c>
      <c r="AS255" s="144" t="e">
        <f t="shared" si="94"/>
        <v>#DIV/0!</v>
      </c>
      <c r="AT255" s="9" t="e">
        <f t="shared" si="94"/>
        <v>#DIV/0!</v>
      </c>
      <c r="AU255" s="144" t="e">
        <f t="shared" si="94"/>
        <v>#DIV/0!</v>
      </c>
      <c r="AV255" s="144" t="e">
        <f t="shared" si="94"/>
        <v>#DIV/0!</v>
      </c>
      <c r="AW255" s="144" t="e">
        <f t="shared" si="94"/>
        <v>#DIV/0!</v>
      </c>
      <c r="AX255" s="144" t="e">
        <f t="shared" si="94"/>
        <v>#DIV/0!</v>
      </c>
      <c r="AY255" s="117" t="e">
        <f t="shared" si="94"/>
        <v>#DIV/0!</v>
      </c>
    </row>
    <row r="256" spans="1:51">
      <c r="A256" s="137" t="s">
        <v>261</v>
      </c>
      <c r="B256" s="117" t="e">
        <f t="shared" si="94"/>
        <v>#DIV/0!</v>
      </c>
      <c r="C256" s="117" t="e">
        <f t="shared" si="94"/>
        <v>#DIV/0!</v>
      </c>
      <c r="D256" s="117" t="e">
        <f t="shared" si="94"/>
        <v>#DIV/0!</v>
      </c>
      <c r="E256" s="117" t="e">
        <f t="shared" si="94"/>
        <v>#DIV/0!</v>
      </c>
      <c r="F256" s="9" t="e">
        <f t="shared" si="94"/>
        <v>#DIV/0!</v>
      </c>
      <c r="G256" s="117" t="e">
        <f t="shared" si="94"/>
        <v>#DIV/0!</v>
      </c>
      <c r="H256" s="117" t="e">
        <f t="shared" si="94"/>
        <v>#DIV/0!</v>
      </c>
      <c r="I256" s="117" t="e">
        <f t="shared" si="94"/>
        <v>#DIV/0!</v>
      </c>
      <c r="J256" s="117" t="e">
        <f t="shared" si="94"/>
        <v>#DIV/0!</v>
      </c>
      <c r="K256" s="9" t="e">
        <f t="shared" si="94"/>
        <v>#DIV/0!</v>
      </c>
      <c r="L256" s="117" t="e">
        <f t="shared" si="94"/>
        <v>#DIV/0!</v>
      </c>
      <c r="M256" s="117" t="e">
        <f t="shared" si="94"/>
        <v>#DIV/0!</v>
      </c>
      <c r="N256" s="117" t="e">
        <f t="shared" si="94"/>
        <v>#DIV/0!</v>
      </c>
      <c r="O256" s="117" t="e">
        <f t="shared" si="94"/>
        <v>#DIV/0!</v>
      </c>
      <c r="P256" s="9" t="e">
        <f t="shared" si="94"/>
        <v>#DIV/0!</v>
      </c>
      <c r="Q256" s="144" t="e">
        <f t="shared" si="94"/>
        <v>#DIV/0!</v>
      </c>
      <c r="R256" s="144" t="e">
        <f t="shared" si="94"/>
        <v>#DIV/0!</v>
      </c>
      <c r="S256" s="144" t="e">
        <f t="shared" si="94"/>
        <v>#DIV/0!</v>
      </c>
      <c r="T256" s="144" t="e">
        <f t="shared" si="94"/>
        <v>#DIV/0!</v>
      </c>
      <c r="U256" s="9" t="e">
        <f t="shared" si="94"/>
        <v>#DIV/0!</v>
      </c>
      <c r="V256" s="144" t="e">
        <f t="shared" si="94"/>
        <v>#DIV/0!</v>
      </c>
      <c r="W256" s="144" t="e">
        <f t="shared" si="94"/>
        <v>#DIV/0!</v>
      </c>
      <c r="X256" s="144" t="e">
        <f t="shared" si="94"/>
        <v>#DIV/0!</v>
      </c>
      <c r="Y256" s="144" t="e">
        <f t="shared" si="94"/>
        <v>#DIV/0!</v>
      </c>
      <c r="Z256" s="9" t="e">
        <f t="shared" si="94"/>
        <v>#DIV/0!</v>
      </c>
      <c r="AA256" s="144" t="e">
        <f t="shared" si="94"/>
        <v>#DIV/0!</v>
      </c>
      <c r="AB256" s="144" t="e">
        <f t="shared" si="94"/>
        <v>#DIV/0!</v>
      </c>
      <c r="AC256" s="144" t="e">
        <f t="shared" si="94"/>
        <v>#DIV/0!</v>
      </c>
      <c r="AD256" s="144" t="e">
        <f t="shared" si="94"/>
        <v>#DIV/0!</v>
      </c>
      <c r="AE256" s="9" t="e">
        <f t="shared" si="94"/>
        <v>#DIV/0!</v>
      </c>
      <c r="AF256" s="144" t="e">
        <f t="shared" si="94"/>
        <v>#DIV/0!</v>
      </c>
      <c r="AG256" s="144" t="e">
        <f t="shared" si="94"/>
        <v>#DIV/0!</v>
      </c>
      <c r="AH256" s="144" t="e">
        <f t="shared" si="94"/>
        <v>#DIV/0!</v>
      </c>
      <c r="AI256" s="144" t="e">
        <f t="shared" si="94"/>
        <v>#DIV/0!</v>
      </c>
      <c r="AJ256" s="9" t="e">
        <f t="shared" si="94"/>
        <v>#DIV/0!</v>
      </c>
      <c r="AK256" s="144" t="e">
        <f t="shared" si="94"/>
        <v>#DIV/0!</v>
      </c>
      <c r="AL256" s="144" t="e">
        <f t="shared" si="94"/>
        <v>#DIV/0!</v>
      </c>
      <c r="AM256" s="144" t="e">
        <f t="shared" si="94"/>
        <v>#DIV/0!</v>
      </c>
      <c r="AN256" s="144" t="e">
        <f t="shared" si="94"/>
        <v>#DIV/0!</v>
      </c>
      <c r="AO256" s="9" t="e">
        <f t="shared" si="94"/>
        <v>#DIV/0!</v>
      </c>
      <c r="AP256" s="144" t="e">
        <f t="shared" si="94"/>
        <v>#DIV/0!</v>
      </c>
      <c r="AQ256" s="144" t="e">
        <f t="shared" si="94"/>
        <v>#DIV/0!</v>
      </c>
      <c r="AR256" s="144" t="e">
        <f t="shared" si="94"/>
        <v>#DIV/0!</v>
      </c>
      <c r="AS256" s="144" t="e">
        <f t="shared" si="94"/>
        <v>#DIV/0!</v>
      </c>
      <c r="AT256" s="9" t="e">
        <f t="shared" si="94"/>
        <v>#DIV/0!</v>
      </c>
      <c r="AU256" s="144" t="e">
        <f t="shared" si="94"/>
        <v>#DIV/0!</v>
      </c>
      <c r="AV256" s="144" t="e">
        <f t="shared" si="94"/>
        <v>#DIV/0!</v>
      </c>
      <c r="AW256" s="144" t="e">
        <f t="shared" si="94"/>
        <v>#DIV/0!</v>
      </c>
      <c r="AX256" s="144" t="e">
        <f t="shared" si="94"/>
        <v>#DIV/0!</v>
      </c>
      <c r="AY256" s="117" t="e">
        <f t="shared" si="94"/>
        <v>#DIV/0!</v>
      </c>
    </row>
    <row r="257" spans="1:51">
      <c r="A257" s="137" t="s">
        <v>263</v>
      </c>
      <c r="B257" s="117" t="e">
        <f t="shared" ref="B257:AY260" si="95">B119/B$137</f>
        <v>#DIV/0!</v>
      </c>
      <c r="C257" s="117" t="e">
        <f t="shared" si="95"/>
        <v>#DIV/0!</v>
      </c>
      <c r="D257" s="117" t="e">
        <f t="shared" si="95"/>
        <v>#DIV/0!</v>
      </c>
      <c r="E257" s="117" t="e">
        <f t="shared" si="95"/>
        <v>#DIV/0!</v>
      </c>
      <c r="F257" s="9" t="e">
        <f t="shared" si="95"/>
        <v>#DIV/0!</v>
      </c>
      <c r="G257" s="117" t="e">
        <f t="shared" si="95"/>
        <v>#DIV/0!</v>
      </c>
      <c r="H257" s="117" t="e">
        <f t="shared" si="95"/>
        <v>#DIV/0!</v>
      </c>
      <c r="I257" s="117" t="e">
        <f t="shared" si="95"/>
        <v>#DIV/0!</v>
      </c>
      <c r="J257" s="117" t="e">
        <f t="shared" si="95"/>
        <v>#DIV/0!</v>
      </c>
      <c r="K257" s="9" t="e">
        <f t="shared" si="95"/>
        <v>#DIV/0!</v>
      </c>
      <c r="L257" s="117" t="e">
        <f t="shared" si="95"/>
        <v>#DIV/0!</v>
      </c>
      <c r="M257" s="117" t="e">
        <f t="shared" si="95"/>
        <v>#DIV/0!</v>
      </c>
      <c r="N257" s="117" t="e">
        <f t="shared" si="95"/>
        <v>#DIV/0!</v>
      </c>
      <c r="O257" s="117" t="e">
        <f t="shared" si="95"/>
        <v>#DIV/0!</v>
      </c>
      <c r="P257" s="9" t="e">
        <f t="shared" si="95"/>
        <v>#DIV/0!</v>
      </c>
      <c r="Q257" s="144" t="e">
        <f t="shared" si="95"/>
        <v>#DIV/0!</v>
      </c>
      <c r="R257" s="144" t="e">
        <f t="shared" si="95"/>
        <v>#DIV/0!</v>
      </c>
      <c r="S257" s="144" t="e">
        <f t="shared" si="95"/>
        <v>#DIV/0!</v>
      </c>
      <c r="T257" s="144" t="e">
        <f t="shared" si="95"/>
        <v>#DIV/0!</v>
      </c>
      <c r="U257" s="9" t="e">
        <f t="shared" si="95"/>
        <v>#DIV/0!</v>
      </c>
      <c r="V257" s="144" t="e">
        <f t="shared" si="95"/>
        <v>#DIV/0!</v>
      </c>
      <c r="W257" s="144" t="e">
        <f t="shared" si="95"/>
        <v>#DIV/0!</v>
      </c>
      <c r="X257" s="144" t="e">
        <f t="shared" si="95"/>
        <v>#DIV/0!</v>
      </c>
      <c r="Y257" s="144" t="e">
        <f t="shared" si="95"/>
        <v>#DIV/0!</v>
      </c>
      <c r="Z257" s="9" t="e">
        <f t="shared" si="95"/>
        <v>#DIV/0!</v>
      </c>
      <c r="AA257" s="144" t="e">
        <f t="shared" si="95"/>
        <v>#DIV/0!</v>
      </c>
      <c r="AB257" s="144" t="e">
        <f t="shared" si="95"/>
        <v>#DIV/0!</v>
      </c>
      <c r="AC257" s="144" t="e">
        <f t="shared" si="95"/>
        <v>#DIV/0!</v>
      </c>
      <c r="AD257" s="144" t="e">
        <f t="shared" si="95"/>
        <v>#DIV/0!</v>
      </c>
      <c r="AE257" s="9" t="e">
        <f t="shared" si="95"/>
        <v>#DIV/0!</v>
      </c>
      <c r="AF257" s="144" t="e">
        <f t="shared" si="95"/>
        <v>#DIV/0!</v>
      </c>
      <c r="AG257" s="144" t="e">
        <f t="shared" si="95"/>
        <v>#DIV/0!</v>
      </c>
      <c r="AH257" s="144" t="e">
        <f t="shared" si="95"/>
        <v>#DIV/0!</v>
      </c>
      <c r="AI257" s="144" t="e">
        <f t="shared" si="95"/>
        <v>#DIV/0!</v>
      </c>
      <c r="AJ257" s="9" t="e">
        <f t="shared" si="95"/>
        <v>#DIV/0!</v>
      </c>
      <c r="AK257" s="144" t="e">
        <f t="shared" si="95"/>
        <v>#DIV/0!</v>
      </c>
      <c r="AL257" s="144" t="e">
        <f t="shared" si="95"/>
        <v>#DIV/0!</v>
      </c>
      <c r="AM257" s="144" t="e">
        <f t="shared" si="95"/>
        <v>#DIV/0!</v>
      </c>
      <c r="AN257" s="144" t="e">
        <f t="shared" si="95"/>
        <v>#DIV/0!</v>
      </c>
      <c r="AO257" s="9" t="e">
        <f t="shared" si="95"/>
        <v>#DIV/0!</v>
      </c>
      <c r="AP257" s="144" t="e">
        <f t="shared" si="95"/>
        <v>#DIV/0!</v>
      </c>
      <c r="AQ257" s="144" t="e">
        <f t="shared" si="95"/>
        <v>#DIV/0!</v>
      </c>
      <c r="AR257" s="144" t="e">
        <f t="shared" si="95"/>
        <v>#DIV/0!</v>
      </c>
      <c r="AS257" s="144" t="e">
        <f t="shared" si="95"/>
        <v>#DIV/0!</v>
      </c>
      <c r="AT257" s="9" t="e">
        <f t="shared" si="95"/>
        <v>#DIV/0!</v>
      </c>
      <c r="AU257" s="144" t="e">
        <f t="shared" si="95"/>
        <v>#DIV/0!</v>
      </c>
      <c r="AV257" s="144" t="e">
        <f t="shared" si="95"/>
        <v>#DIV/0!</v>
      </c>
      <c r="AW257" s="144" t="e">
        <f t="shared" si="95"/>
        <v>#DIV/0!</v>
      </c>
      <c r="AX257" s="144" t="e">
        <f t="shared" si="95"/>
        <v>#DIV/0!</v>
      </c>
      <c r="AY257" s="117" t="e">
        <f t="shared" si="95"/>
        <v>#DIV/0!</v>
      </c>
    </row>
    <row r="258" spans="1:51">
      <c r="A258" s="137" t="s">
        <v>265</v>
      </c>
      <c r="B258" s="117" t="e">
        <f t="shared" si="95"/>
        <v>#DIV/0!</v>
      </c>
      <c r="C258" s="117" t="e">
        <f t="shared" si="95"/>
        <v>#DIV/0!</v>
      </c>
      <c r="D258" s="117" t="e">
        <f t="shared" si="95"/>
        <v>#DIV/0!</v>
      </c>
      <c r="E258" s="117" t="e">
        <f t="shared" si="95"/>
        <v>#DIV/0!</v>
      </c>
      <c r="F258" s="9" t="e">
        <f t="shared" si="95"/>
        <v>#DIV/0!</v>
      </c>
      <c r="G258" s="117" t="e">
        <f t="shared" si="95"/>
        <v>#DIV/0!</v>
      </c>
      <c r="H258" s="117" t="e">
        <f t="shared" si="95"/>
        <v>#DIV/0!</v>
      </c>
      <c r="I258" s="117" t="e">
        <f t="shared" si="95"/>
        <v>#DIV/0!</v>
      </c>
      <c r="J258" s="117" t="e">
        <f t="shared" si="95"/>
        <v>#DIV/0!</v>
      </c>
      <c r="K258" s="9" t="e">
        <f t="shared" si="95"/>
        <v>#DIV/0!</v>
      </c>
      <c r="L258" s="117" t="e">
        <f t="shared" si="95"/>
        <v>#DIV/0!</v>
      </c>
      <c r="M258" s="117" t="e">
        <f t="shared" si="95"/>
        <v>#DIV/0!</v>
      </c>
      <c r="N258" s="117" t="e">
        <f t="shared" si="95"/>
        <v>#DIV/0!</v>
      </c>
      <c r="O258" s="117" t="e">
        <f t="shared" si="95"/>
        <v>#DIV/0!</v>
      </c>
      <c r="P258" s="9" t="e">
        <f t="shared" si="95"/>
        <v>#DIV/0!</v>
      </c>
      <c r="Q258" s="144" t="e">
        <f t="shared" si="95"/>
        <v>#DIV/0!</v>
      </c>
      <c r="R258" s="144" t="e">
        <f t="shared" si="95"/>
        <v>#DIV/0!</v>
      </c>
      <c r="S258" s="144" t="e">
        <f t="shared" si="95"/>
        <v>#DIV/0!</v>
      </c>
      <c r="T258" s="144" t="e">
        <f t="shared" si="95"/>
        <v>#DIV/0!</v>
      </c>
      <c r="U258" s="9" t="e">
        <f t="shared" si="95"/>
        <v>#DIV/0!</v>
      </c>
      <c r="V258" s="144" t="e">
        <f t="shared" si="95"/>
        <v>#DIV/0!</v>
      </c>
      <c r="W258" s="144" t="e">
        <f t="shared" si="95"/>
        <v>#DIV/0!</v>
      </c>
      <c r="X258" s="144" t="e">
        <f t="shared" si="95"/>
        <v>#DIV/0!</v>
      </c>
      <c r="Y258" s="144" t="e">
        <f t="shared" si="95"/>
        <v>#DIV/0!</v>
      </c>
      <c r="Z258" s="9" t="e">
        <f t="shared" si="95"/>
        <v>#DIV/0!</v>
      </c>
      <c r="AA258" s="144" t="e">
        <f t="shared" si="95"/>
        <v>#DIV/0!</v>
      </c>
      <c r="AB258" s="144" t="e">
        <f t="shared" si="95"/>
        <v>#DIV/0!</v>
      </c>
      <c r="AC258" s="144" t="e">
        <f t="shared" si="95"/>
        <v>#DIV/0!</v>
      </c>
      <c r="AD258" s="144" t="e">
        <f t="shared" si="95"/>
        <v>#DIV/0!</v>
      </c>
      <c r="AE258" s="9" t="e">
        <f t="shared" si="95"/>
        <v>#DIV/0!</v>
      </c>
      <c r="AF258" s="144" t="e">
        <f t="shared" si="95"/>
        <v>#DIV/0!</v>
      </c>
      <c r="AG258" s="144" t="e">
        <f t="shared" si="95"/>
        <v>#DIV/0!</v>
      </c>
      <c r="AH258" s="144" t="e">
        <f t="shared" si="95"/>
        <v>#DIV/0!</v>
      </c>
      <c r="AI258" s="144" t="e">
        <f t="shared" si="95"/>
        <v>#DIV/0!</v>
      </c>
      <c r="AJ258" s="9" t="e">
        <f t="shared" si="95"/>
        <v>#DIV/0!</v>
      </c>
      <c r="AK258" s="144" t="e">
        <f t="shared" si="95"/>
        <v>#DIV/0!</v>
      </c>
      <c r="AL258" s="144" t="e">
        <f t="shared" si="95"/>
        <v>#DIV/0!</v>
      </c>
      <c r="AM258" s="144" t="e">
        <f t="shared" si="95"/>
        <v>#DIV/0!</v>
      </c>
      <c r="AN258" s="144" t="e">
        <f t="shared" si="95"/>
        <v>#DIV/0!</v>
      </c>
      <c r="AO258" s="9" t="e">
        <f t="shared" si="95"/>
        <v>#DIV/0!</v>
      </c>
      <c r="AP258" s="144" t="e">
        <f t="shared" si="95"/>
        <v>#DIV/0!</v>
      </c>
      <c r="AQ258" s="144" t="e">
        <f t="shared" si="95"/>
        <v>#DIV/0!</v>
      </c>
      <c r="AR258" s="144" t="e">
        <f t="shared" si="95"/>
        <v>#DIV/0!</v>
      </c>
      <c r="AS258" s="144" t="e">
        <f t="shared" si="95"/>
        <v>#DIV/0!</v>
      </c>
      <c r="AT258" s="9" t="e">
        <f t="shared" si="95"/>
        <v>#DIV/0!</v>
      </c>
      <c r="AU258" s="144" t="e">
        <f t="shared" si="95"/>
        <v>#DIV/0!</v>
      </c>
      <c r="AV258" s="144" t="e">
        <f t="shared" si="95"/>
        <v>#DIV/0!</v>
      </c>
      <c r="AW258" s="144" t="e">
        <f t="shared" si="95"/>
        <v>#DIV/0!</v>
      </c>
      <c r="AX258" s="144" t="e">
        <f t="shared" si="95"/>
        <v>#DIV/0!</v>
      </c>
      <c r="AY258" s="117" t="e">
        <f t="shared" si="95"/>
        <v>#DIV/0!</v>
      </c>
    </row>
    <row r="259" spans="1:51">
      <c r="A259" s="137" t="s">
        <v>267</v>
      </c>
      <c r="B259" s="117" t="e">
        <f t="shared" si="95"/>
        <v>#DIV/0!</v>
      </c>
      <c r="C259" s="117" t="e">
        <f t="shared" si="95"/>
        <v>#DIV/0!</v>
      </c>
      <c r="D259" s="117" t="e">
        <f t="shared" si="95"/>
        <v>#DIV/0!</v>
      </c>
      <c r="E259" s="117" t="e">
        <f t="shared" si="95"/>
        <v>#DIV/0!</v>
      </c>
      <c r="F259" s="9" t="e">
        <f t="shared" si="95"/>
        <v>#DIV/0!</v>
      </c>
      <c r="G259" s="117" t="e">
        <f t="shared" si="95"/>
        <v>#DIV/0!</v>
      </c>
      <c r="H259" s="117" t="e">
        <f t="shared" si="95"/>
        <v>#DIV/0!</v>
      </c>
      <c r="I259" s="117" t="e">
        <f t="shared" si="95"/>
        <v>#DIV/0!</v>
      </c>
      <c r="J259" s="117" t="e">
        <f t="shared" si="95"/>
        <v>#DIV/0!</v>
      </c>
      <c r="K259" s="9" t="e">
        <f t="shared" si="95"/>
        <v>#DIV/0!</v>
      </c>
      <c r="L259" s="117" t="e">
        <f t="shared" si="95"/>
        <v>#DIV/0!</v>
      </c>
      <c r="M259" s="117" t="e">
        <f t="shared" si="95"/>
        <v>#DIV/0!</v>
      </c>
      <c r="N259" s="117" t="e">
        <f t="shared" si="95"/>
        <v>#DIV/0!</v>
      </c>
      <c r="O259" s="117" t="e">
        <f t="shared" si="95"/>
        <v>#DIV/0!</v>
      </c>
      <c r="P259" s="9" t="e">
        <f t="shared" si="95"/>
        <v>#DIV/0!</v>
      </c>
      <c r="Q259" s="144" t="e">
        <f t="shared" si="95"/>
        <v>#DIV/0!</v>
      </c>
      <c r="R259" s="144" t="e">
        <f t="shared" si="95"/>
        <v>#DIV/0!</v>
      </c>
      <c r="S259" s="144" t="e">
        <f t="shared" si="95"/>
        <v>#DIV/0!</v>
      </c>
      <c r="T259" s="144" t="e">
        <f t="shared" si="95"/>
        <v>#DIV/0!</v>
      </c>
      <c r="U259" s="9" t="e">
        <f t="shared" si="95"/>
        <v>#DIV/0!</v>
      </c>
      <c r="V259" s="144" t="e">
        <f t="shared" si="95"/>
        <v>#DIV/0!</v>
      </c>
      <c r="W259" s="144" t="e">
        <f t="shared" si="95"/>
        <v>#DIV/0!</v>
      </c>
      <c r="X259" s="144" t="e">
        <f t="shared" si="95"/>
        <v>#DIV/0!</v>
      </c>
      <c r="Y259" s="144" t="e">
        <f t="shared" si="95"/>
        <v>#DIV/0!</v>
      </c>
      <c r="Z259" s="9" t="e">
        <f t="shared" si="95"/>
        <v>#DIV/0!</v>
      </c>
      <c r="AA259" s="144" t="e">
        <f t="shared" si="95"/>
        <v>#DIV/0!</v>
      </c>
      <c r="AB259" s="144" t="e">
        <f t="shared" si="95"/>
        <v>#DIV/0!</v>
      </c>
      <c r="AC259" s="144" t="e">
        <f t="shared" si="95"/>
        <v>#DIV/0!</v>
      </c>
      <c r="AD259" s="144" t="e">
        <f t="shared" si="95"/>
        <v>#DIV/0!</v>
      </c>
      <c r="AE259" s="9" t="e">
        <f t="shared" si="95"/>
        <v>#DIV/0!</v>
      </c>
      <c r="AF259" s="144" t="e">
        <f t="shared" si="95"/>
        <v>#DIV/0!</v>
      </c>
      <c r="AG259" s="144" t="e">
        <f t="shared" si="95"/>
        <v>#DIV/0!</v>
      </c>
      <c r="AH259" s="144" t="e">
        <f t="shared" si="95"/>
        <v>#DIV/0!</v>
      </c>
      <c r="AI259" s="144" t="e">
        <f t="shared" si="95"/>
        <v>#DIV/0!</v>
      </c>
      <c r="AJ259" s="9" t="e">
        <f t="shared" si="95"/>
        <v>#DIV/0!</v>
      </c>
      <c r="AK259" s="144" t="e">
        <f t="shared" si="95"/>
        <v>#DIV/0!</v>
      </c>
      <c r="AL259" s="144" t="e">
        <f t="shared" si="95"/>
        <v>#DIV/0!</v>
      </c>
      <c r="AM259" s="144" t="e">
        <f t="shared" si="95"/>
        <v>#DIV/0!</v>
      </c>
      <c r="AN259" s="144" t="e">
        <f t="shared" si="95"/>
        <v>#DIV/0!</v>
      </c>
      <c r="AO259" s="9" t="e">
        <f t="shared" si="95"/>
        <v>#DIV/0!</v>
      </c>
      <c r="AP259" s="144" t="e">
        <f t="shared" si="95"/>
        <v>#DIV/0!</v>
      </c>
      <c r="AQ259" s="144" t="e">
        <f t="shared" si="95"/>
        <v>#DIV/0!</v>
      </c>
      <c r="AR259" s="144" t="e">
        <f t="shared" si="95"/>
        <v>#DIV/0!</v>
      </c>
      <c r="AS259" s="144" t="e">
        <f t="shared" si="95"/>
        <v>#DIV/0!</v>
      </c>
      <c r="AT259" s="9" t="e">
        <f t="shared" si="95"/>
        <v>#DIV/0!</v>
      </c>
      <c r="AU259" s="144" t="e">
        <f t="shared" si="95"/>
        <v>#DIV/0!</v>
      </c>
      <c r="AV259" s="144" t="e">
        <f t="shared" si="95"/>
        <v>#DIV/0!</v>
      </c>
      <c r="AW259" s="144" t="e">
        <f t="shared" si="95"/>
        <v>#DIV/0!</v>
      </c>
      <c r="AX259" s="144" t="e">
        <f t="shared" si="95"/>
        <v>#DIV/0!</v>
      </c>
      <c r="AY259" s="117" t="e">
        <f t="shared" si="95"/>
        <v>#DIV/0!</v>
      </c>
    </row>
    <row r="260" spans="1:51">
      <c r="A260" s="137" t="s">
        <v>269</v>
      </c>
      <c r="B260" s="117" t="e">
        <f t="shared" si="95"/>
        <v>#DIV/0!</v>
      </c>
      <c r="C260" s="117" t="e">
        <f t="shared" si="95"/>
        <v>#DIV/0!</v>
      </c>
      <c r="D260" s="117" t="e">
        <f t="shared" si="95"/>
        <v>#DIV/0!</v>
      </c>
      <c r="E260" s="117" t="e">
        <f t="shared" si="95"/>
        <v>#DIV/0!</v>
      </c>
      <c r="F260" s="9" t="e">
        <f t="shared" si="95"/>
        <v>#DIV/0!</v>
      </c>
      <c r="G260" s="117" t="e">
        <f t="shared" si="95"/>
        <v>#DIV/0!</v>
      </c>
      <c r="H260" s="117" t="e">
        <f t="shared" si="95"/>
        <v>#DIV/0!</v>
      </c>
      <c r="I260" s="117" t="e">
        <f t="shared" si="95"/>
        <v>#DIV/0!</v>
      </c>
      <c r="J260" s="117" t="e">
        <f t="shared" si="95"/>
        <v>#DIV/0!</v>
      </c>
      <c r="K260" s="9" t="e">
        <f t="shared" si="95"/>
        <v>#DIV/0!</v>
      </c>
      <c r="L260" s="117" t="e">
        <f t="shared" si="95"/>
        <v>#DIV/0!</v>
      </c>
      <c r="M260" s="117" t="e">
        <f t="shared" si="95"/>
        <v>#DIV/0!</v>
      </c>
      <c r="N260" s="117" t="e">
        <f t="shared" si="95"/>
        <v>#DIV/0!</v>
      </c>
      <c r="O260" s="117" t="e">
        <f t="shared" si="95"/>
        <v>#DIV/0!</v>
      </c>
      <c r="P260" s="9" t="e">
        <f t="shared" si="95"/>
        <v>#DIV/0!</v>
      </c>
      <c r="Q260" s="144" t="e">
        <f t="shared" si="95"/>
        <v>#DIV/0!</v>
      </c>
      <c r="R260" s="144" t="e">
        <f t="shared" si="95"/>
        <v>#DIV/0!</v>
      </c>
      <c r="S260" s="144" t="e">
        <f t="shared" si="95"/>
        <v>#DIV/0!</v>
      </c>
      <c r="T260" s="144" t="e">
        <f t="shared" si="95"/>
        <v>#DIV/0!</v>
      </c>
      <c r="U260" s="9" t="e">
        <f t="shared" si="95"/>
        <v>#DIV/0!</v>
      </c>
      <c r="V260" s="144" t="e">
        <f t="shared" si="95"/>
        <v>#DIV/0!</v>
      </c>
      <c r="W260" s="144" t="e">
        <f t="shared" si="95"/>
        <v>#DIV/0!</v>
      </c>
      <c r="X260" s="144" t="e">
        <f t="shared" si="95"/>
        <v>#DIV/0!</v>
      </c>
      <c r="Y260" s="144" t="e">
        <f t="shared" si="95"/>
        <v>#DIV/0!</v>
      </c>
      <c r="Z260" s="9" t="e">
        <f t="shared" si="95"/>
        <v>#DIV/0!</v>
      </c>
      <c r="AA260" s="144" t="e">
        <f t="shared" si="95"/>
        <v>#DIV/0!</v>
      </c>
      <c r="AB260" s="144" t="e">
        <f t="shared" si="95"/>
        <v>#DIV/0!</v>
      </c>
      <c r="AC260" s="144" t="e">
        <f t="shared" si="95"/>
        <v>#DIV/0!</v>
      </c>
      <c r="AD260" s="144" t="e">
        <f t="shared" si="95"/>
        <v>#DIV/0!</v>
      </c>
      <c r="AE260" s="9" t="e">
        <f t="shared" si="95"/>
        <v>#DIV/0!</v>
      </c>
      <c r="AF260" s="144" t="e">
        <f t="shared" si="95"/>
        <v>#DIV/0!</v>
      </c>
      <c r="AG260" s="144" t="e">
        <f t="shared" si="95"/>
        <v>#DIV/0!</v>
      </c>
      <c r="AH260" s="144" t="e">
        <f t="shared" si="95"/>
        <v>#DIV/0!</v>
      </c>
      <c r="AI260" s="144" t="e">
        <f t="shared" si="95"/>
        <v>#DIV/0!</v>
      </c>
      <c r="AJ260" s="9" t="e">
        <f t="shared" si="95"/>
        <v>#DIV/0!</v>
      </c>
      <c r="AK260" s="144" t="e">
        <f t="shared" si="95"/>
        <v>#DIV/0!</v>
      </c>
      <c r="AL260" s="144" t="e">
        <f t="shared" si="95"/>
        <v>#DIV/0!</v>
      </c>
      <c r="AM260" s="144" t="e">
        <f t="shared" si="95"/>
        <v>#DIV/0!</v>
      </c>
      <c r="AN260" s="144" t="e">
        <f t="shared" si="95"/>
        <v>#DIV/0!</v>
      </c>
      <c r="AO260" s="9" t="e">
        <f t="shared" si="95"/>
        <v>#DIV/0!</v>
      </c>
      <c r="AP260" s="144" t="e">
        <f t="shared" si="95"/>
        <v>#DIV/0!</v>
      </c>
      <c r="AQ260" s="144" t="e">
        <f t="shared" si="95"/>
        <v>#DIV/0!</v>
      </c>
      <c r="AR260" s="144" t="e">
        <f t="shared" si="95"/>
        <v>#DIV/0!</v>
      </c>
      <c r="AS260" s="144" t="e">
        <f t="shared" si="95"/>
        <v>#DIV/0!</v>
      </c>
      <c r="AT260" s="9" t="e">
        <f t="shared" si="95"/>
        <v>#DIV/0!</v>
      </c>
      <c r="AU260" s="144" t="e">
        <f t="shared" si="95"/>
        <v>#DIV/0!</v>
      </c>
      <c r="AV260" s="144" t="e">
        <f t="shared" si="95"/>
        <v>#DIV/0!</v>
      </c>
      <c r="AW260" s="144" t="e">
        <f t="shared" si="95"/>
        <v>#DIV/0!</v>
      </c>
      <c r="AX260" s="144" t="e">
        <f t="shared" si="95"/>
        <v>#DIV/0!</v>
      </c>
      <c r="AY260" s="117" t="e">
        <f t="shared" si="95"/>
        <v>#DIV/0!</v>
      </c>
    </row>
    <row r="261" spans="1:51">
      <c r="A261" s="137" t="s">
        <v>271</v>
      </c>
      <c r="B261" s="117" t="e">
        <f t="shared" ref="B261:AY264" si="96">B123/B$137</f>
        <v>#DIV/0!</v>
      </c>
      <c r="C261" s="117" t="e">
        <f t="shared" si="96"/>
        <v>#DIV/0!</v>
      </c>
      <c r="D261" s="117" t="e">
        <f t="shared" si="96"/>
        <v>#DIV/0!</v>
      </c>
      <c r="E261" s="117" t="e">
        <f t="shared" si="96"/>
        <v>#DIV/0!</v>
      </c>
      <c r="F261" s="9" t="e">
        <f t="shared" si="96"/>
        <v>#DIV/0!</v>
      </c>
      <c r="G261" s="117" t="e">
        <f t="shared" si="96"/>
        <v>#DIV/0!</v>
      </c>
      <c r="H261" s="117" t="e">
        <f t="shared" si="96"/>
        <v>#DIV/0!</v>
      </c>
      <c r="I261" s="117" t="e">
        <f t="shared" si="96"/>
        <v>#DIV/0!</v>
      </c>
      <c r="J261" s="117" t="e">
        <f t="shared" si="96"/>
        <v>#DIV/0!</v>
      </c>
      <c r="K261" s="9" t="e">
        <f t="shared" si="96"/>
        <v>#DIV/0!</v>
      </c>
      <c r="L261" s="117" t="e">
        <f t="shared" si="96"/>
        <v>#DIV/0!</v>
      </c>
      <c r="M261" s="117" t="e">
        <f t="shared" si="96"/>
        <v>#DIV/0!</v>
      </c>
      <c r="N261" s="117" t="e">
        <f t="shared" si="96"/>
        <v>#DIV/0!</v>
      </c>
      <c r="O261" s="117" t="e">
        <f t="shared" si="96"/>
        <v>#DIV/0!</v>
      </c>
      <c r="P261" s="9" t="e">
        <f t="shared" si="96"/>
        <v>#DIV/0!</v>
      </c>
      <c r="Q261" s="144" t="e">
        <f t="shared" si="96"/>
        <v>#DIV/0!</v>
      </c>
      <c r="R261" s="144" t="e">
        <f t="shared" si="96"/>
        <v>#DIV/0!</v>
      </c>
      <c r="S261" s="144" t="e">
        <f t="shared" si="96"/>
        <v>#DIV/0!</v>
      </c>
      <c r="T261" s="144" t="e">
        <f t="shared" si="96"/>
        <v>#DIV/0!</v>
      </c>
      <c r="U261" s="9" t="e">
        <f t="shared" si="96"/>
        <v>#DIV/0!</v>
      </c>
      <c r="V261" s="144" t="e">
        <f t="shared" si="96"/>
        <v>#DIV/0!</v>
      </c>
      <c r="W261" s="144" t="e">
        <f t="shared" si="96"/>
        <v>#DIV/0!</v>
      </c>
      <c r="X261" s="144" t="e">
        <f t="shared" si="96"/>
        <v>#DIV/0!</v>
      </c>
      <c r="Y261" s="144" t="e">
        <f t="shared" si="96"/>
        <v>#DIV/0!</v>
      </c>
      <c r="Z261" s="9" t="e">
        <f t="shared" si="96"/>
        <v>#DIV/0!</v>
      </c>
      <c r="AA261" s="144" t="e">
        <f t="shared" si="96"/>
        <v>#DIV/0!</v>
      </c>
      <c r="AB261" s="144" t="e">
        <f t="shared" si="96"/>
        <v>#DIV/0!</v>
      </c>
      <c r="AC261" s="144" t="e">
        <f t="shared" si="96"/>
        <v>#DIV/0!</v>
      </c>
      <c r="AD261" s="144" t="e">
        <f t="shared" si="96"/>
        <v>#DIV/0!</v>
      </c>
      <c r="AE261" s="9" t="e">
        <f t="shared" si="96"/>
        <v>#DIV/0!</v>
      </c>
      <c r="AF261" s="144" t="e">
        <f t="shared" si="96"/>
        <v>#DIV/0!</v>
      </c>
      <c r="AG261" s="144" t="e">
        <f t="shared" si="96"/>
        <v>#DIV/0!</v>
      </c>
      <c r="AH261" s="144" t="e">
        <f t="shared" si="96"/>
        <v>#DIV/0!</v>
      </c>
      <c r="AI261" s="144" t="e">
        <f t="shared" si="96"/>
        <v>#DIV/0!</v>
      </c>
      <c r="AJ261" s="9" t="e">
        <f t="shared" si="96"/>
        <v>#DIV/0!</v>
      </c>
      <c r="AK261" s="144" t="e">
        <f t="shared" si="96"/>
        <v>#DIV/0!</v>
      </c>
      <c r="AL261" s="144" t="e">
        <f t="shared" si="96"/>
        <v>#DIV/0!</v>
      </c>
      <c r="AM261" s="144" t="e">
        <f t="shared" si="96"/>
        <v>#DIV/0!</v>
      </c>
      <c r="AN261" s="144" t="e">
        <f t="shared" si="96"/>
        <v>#DIV/0!</v>
      </c>
      <c r="AO261" s="9" t="e">
        <f t="shared" si="96"/>
        <v>#DIV/0!</v>
      </c>
      <c r="AP261" s="144" t="e">
        <f t="shared" si="96"/>
        <v>#DIV/0!</v>
      </c>
      <c r="AQ261" s="144" t="e">
        <f t="shared" si="96"/>
        <v>#DIV/0!</v>
      </c>
      <c r="AR261" s="144" t="e">
        <f t="shared" si="96"/>
        <v>#DIV/0!</v>
      </c>
      <c r="AS261" s="144" t="e">
        <f t="shared" si="96"/>
        <v>#DIV/0!</v>
      </c>
      <c r="AT261" s="9" t="e">
        <f t="shared" si="96"/>
        <v>#DIV/0!</v>
      </c>
      <c r="AU261" s="144" t="e">
        <f t="shared" si="96"/>
        <v>#DIV/0!</v>
      </c>
      <c r="AV261" s="144" t="e">
        <f t="shared" si="96"/>
        <v>#DIV/0!</v>
      </c>
      <c r="AW261" s="144" t="e">
        <f t="shared" si="96"/>
        <v>#DIV/0!</v>
      </c>
      <c r="AX261" s="144" t="e">
        <f t="shared" si="96"/>
        <v>#DIV/0!</v>
      </c>
      <c r="AY261" s="117" t="e">
        <f t="shared" si="96"/>
        <v>#DIV/0!</v>
      </c>
    </row>
    <row r="262" spans="1:51">
      <c r="A262" s="137" t="s">
        <v>273</v>
      </c>
      <c r="B262" s="117" t="e">
        <f t="shared" si="96"/>
        <v>#DIV/0!</v>
      </c>
      <c r="C262" s="117" t="e">
        <f t="shared" si="96"/>
        <v>#DIV/0!</v>
      </c>
      <c r="D262" s="117" t="e">
        <f t="shared" si="96"/>
        <v>#DIV/0!</v>
      </c>
      <c r="E262" s="117" t="e">
        <f t="shared" si="96"/>
        <v>#DIV/0!</v>
      </c>
      <c r="F262" s="9" t="e">
        <f t="shared" si="96"/>
        <v>#DIV/0!</v>
      </c>
      <c r="G262" s="117" t="e">
        <f t="shared" si="96"/>
        <v>#DIV/0!</v>
      </c>
      <c r="H262" s="117" t="e">
        <f t="shared" si="96"/>
        <v>#DIV/0!</v>
      </c>
      <c r="I262" s="117" t="e">
        <f t="shared" si="96"/>
        <v>#DIV/0!</v>
      </c>
      <c r="J262" s="117" t="e">
        <f t="shared" si="96"/>
        <v>#DIV/0!</v>
      </c>
      <c r="K262" s="9" t="e">
        <f t="shared" si="96"/>
        <v>#DIV/0!</v>
      </c>
      <c r="L262" s="117" t="e">
        <f t="shared" si="96"/>
        <v>#DIV/0!</v>
      </c>
      <c r="M262" s="117" t="e">
        <f t="shared" si="96"/>
        <v>#DIV/0!</v>
      </c>
      <c r="N262" s="117" t="e">
        <f t="shared" si="96"/>
        <v>#DIV/0!</v>
      </c>
      <c r="O262" s="117" t="e">
        <f t="shared" si="96"/>
        <v>#DIV/0!</v>
      </c>
      <c r="P262" s="9" t="e">
        <f t="shared" si="96"/>
        <v>#DIV/0!</v>
      </c>
      <c r="Q262" s="144" t="e">
        <f t="shared" si="96"/>
        <v>#DIV/0!</v>
      </c>
      <c r="R262" s="144" t="e">
        <f t="shared" si="96"/>
        <v>#DIV/0!</v>
      </c>
      <c r="S262" s="144" t="e">
        <f t="shared" si="96"/>
        <v>#DIV/0!</v>
      </c>
      <c r="T262" s="144" t="e">
        <f t="shared" si="96"/>
        <v>#DIV/0!</v>
      </c>
      <c r="U262" s="9" t="e">
        <f t="shared" si="96"/>
        <v>#DIV/0!</v>
      </c>
      <c r="V262" s="144" t="e">
        <f t="shared" si="96"/>
        <v>#DIV/0!</v>
      </c>
      <c r="W262" s="144" t="e">
        <f t="shared" si="96"/>
        <v>#DIV/0!</v>
      </c>
      <c r="X262" s="144" t="e">
        <f t="shared" si="96"/>
        <v>#DIV/0!</v>
      </c>
      <c r="Y262" s="144" t="e">
        <f t="shared" si="96"/>
        <v>#DIV/0!</v>
      </c>
      <c r="Z262" s="9" t="e">
        <f t="shared" si="96"/>
        <v>#DIV/0!</v>
      </c>
      <c r="AA262" s="144" t="e">
        <f t="shared" si="96"/>
        <v>#DIV/0!</v>
      </c>
      <c r="AB262" s="144" t="e">
        <f t="shared" si="96"/>
        <v>#DIV/0!</v>
      </c>
      <c r="AC262" s="144" t="e">
        <f t="shared" si="96"/>
        <v>#DIV/0!</v>
      </c>
      <c r="AD262" s="144" t="e">
        <f t="shared" si="96"/>
        <v>#DIV/0!</v>
      </c>
      <c r="AE262" s="9" t="e">
        <f t="shared" si="96"/>
        <v>#DIV/0!</v>
      </c>
      <c r="AF262" s="144" t="e">
        <f t="shared" si="96"/>
        <v>#DIV/0!</v>
      </c>
      <c r="AG262" s="144" t="e">
        <f t="shared" si="96"/>
        <v>#DIV/0!</v>
      </c>
      <c r="AH262" s="144" t="e">
        <f t="shared" si="96"/>
        <v>#DIV/0!</v>
      </c>
      <c r="AI262" s="144" t="e">
        <f t="shared" si="96"/>
        <v>#DIV/0!</v>
      </c>
      <c r="AJ262" s="9" t="e">
        <f t="shared" si="96"/>
        <v>#DIV/0!</v>
      </c>
      <c r="AK262" s="144" t="e">
        <f t="shared" si="96"/>
        <v>#DIV/0!</v>
      </c>
      <c r="AL262" s="144" t="e">
        <f t="shared" si="96"/>
        <v>#DIV/0!</v>
      </c>
      <c r="AM262" s="144" t="e">
        <f t="shared" si="96"/>
        <v>#DIV/0!</v>
      </c>
      <c r="AN262" s="144" t="e">
        <f t="shared" si="96"/>
        <v>#DIV/0!</v>
      </c>
      <c r="AO262" s="9" t="e">
        <f t="shared" si="96"/>
        <v>#DIV/0!</v>
      </c>
      <c r="AP262" s="144" t="e">
        <f t="shared" si="96"/>
        <v>#DIV/0!</v>
      </c>
      <c r="AQ262" s="144" t="e">
        <f t="shared" si="96"/>
        <v>#DIV/0!</v>
      </c>
      <c r="AR262" s="144" t="e">
        <f t="shared" si="96"/>
        <v>#DIV/0!</v>
      </c>
      <c r="AS262" s="144" t="e">
        <f t="shared" si="96"/>
        <v>#DIV/0!</v>
      </c>
      <c r="AT262" s="9" t="e">
        <f t="shared" si="96"/>
        <v>#DIV/0!</v>
      </c>
      <c r="AU262" s="144" t="e">
        <f t="shared" si="96"/>
        <v>#DIV/0!</v>
      </c>
      <c r="AV262" s="144" t="e">
        <f t="shared" si="96"/>
        <v>#DIV/0!</v>
      </c>
      <c r="AW262" s="144" t="e">
        <f t="shared" si="96"/>
        <v>#DIV/0!</v>
      </c>
      <c r="AX262" s="144" t="e">
        <f t="shared" si="96"/>
        <v>#DIV/0!</v>
      </c>
      <c r="AY262" s="117" t="e">
        <f t="shared" si="96"/>
        <v>#DIV/0!</v>
      </c>
    </row>
    <row r="263" spans="1:51">
      <c r="A263" s="137" t="s">
        <v>275</v>
      </c>
      <c r="B263" s="117" t="e">
        <f t="shared" si="96"/>
        <v>#DIV/0!</v>
      </c>
      <c r="C263" s="117" t="e">
        <f t="shared" si="96"/>
        <v>#DIV/0!</v>
      </c>
      <c r="D263" s="117" t="e">
        <f t="shared" si="96"/>
        <v>#DIV/0!</v>
      </c>
      <c r="E263" s="117" t="e">
        <f t="shared" si="96"/>
        <v>#DIV/0!</v>
      </c>
      <c r="F263" s="9" t="e">
        <f t="shared" si="96"/>
        <v>#DIV/0!</v>
      </c>
      <c r="G263" s="117" t="e">
        <f t="shared" si="96"/>
        <v>#DIV/0!</v>
      </c>
      <c r="H263" s="117" t="e">
        <f t="shared" si="96"/>
        <v>#DIV/0!</v>
      </c>
      <c r="I263" s="117" t="e">
        <f t="shared" si="96"/>
        <v>#DIV/0!</v>
      </c>
      <c r="J263" s="117" t="e">
        <f t="shared" si="96"/>
        <v>#DIV/0!</v>
      </c>
      <c r="K263" s="9" t="e">
        <f t="shared" si="96"/>
        <v>#DIV/0!</v>
      </c>
      <c r="L263" s="117" t="e">
        <f t="shared" si="96"/>
        <v>#DIV/0!</v>
      </c>
      <c r="M263" s="117" t="e">
        <f t="shared" si="96"/>
        <v>#DIV/0!</v>
      </c>
      <c r="N263" s="117" t="e">
        <f t="shared" si="96"/>
        <v>#DIV/0!</v>
      </c>
      <c r="O263" s="117" t="e">
        <f t="shared" si="96"/>
        <v>#DIV/0!</v>
      </c>
      <c r="P263" s="9" t="e">
        <f t="shared" si="96"/>
        <v>#DIV/0!</v>
      </c>
      <c r="Q263" s="144" t="e">
        <f t="shared" si="96"/>
        <v>#DIV/0!</v>
      </c>
      <c r="R263" s="144" t="e">
        <f t="shared" si="96"/>
        <v>#DIV/0!</v>
      </c>
      <c r="S263" s="144" t="e">
        <f t="shared" si="96"/>
        <v>#DIV/0!</v>
      </c>
      <c r="T263" s="144" t="e">
        <f t="shared" si="96"/>
        <v>#DIV/0!</v>
      </c>
      <c r="U263" s="9" t="e">
        <f t="shared" si="96"/>
        <v>#DIV/0!</v>
      </c>
      <c r="V263" s="144" t="e">
        <f t="shared" si="96"/>
        <v>#DIV/0!</v>
      </c>
      <c r="W263" s="144" t="e">
        <f t="shared" si="96"/>
        <v>#DIV/0!</v>
      </c>
      <c r="X263" s="144" t="e">
        <f t="shared" si="96"/>
        <v>#DIV/0!</v>
      </c>
      <c r="Y263" s="144" t="e">
        <f t="shared" si="96"/>
        <v>#DIV/0!</v>
      </c>
      <c r="Z263" s="9" t="e">
        <f t="shared" si="96"/>
        <v>#DIV/0!</v>
      </c>
      <c r="AA263" s="144" t="e">
        <f t="shared" si="96"/>
        <v>#DIV/0!</v>
      </c>
      <c r="AB263" s="144" t="e">
        <f t="shared" si="96"/>
        <v>#DIV/0!</v>
      </c>
      <c r="AC263" s="144" t="e">
        <f t="shared" si="96"/>
        <v>#DIV/0!</v>
      </c>
      <c r="AD263" s="144" t="e">
        <f t="shared" si="96"/>
        <v>#DIV/0!</v>
      </c>
      <c r="AE263" s="9" t="e">
        <f t="shared" si="96"/>
        <v>#DIV/0!</v>
      </c>
      <c r="AF263" s="144" t="e">
        <f t="shared" si="96"/>
        <v>#DIV/0!</v>
      </c>
      <c r="AG263" s="144" t="e">
        <f t="shared" si="96"/>
        <v>#DIV/0!</v>
      </c>
      <c r="AH263" s="144" t="e">
        <f t="shared" si="96"/>
        <v>#DIV/0!</v>
      </c>
      <c r="AI263" s="144" t="e">
        <f t="shared" si="96"/>
        <v>#DIV/0!</v>
      </c>
      <c r="AJ263" s="9" t="e">
        <f t="shared" si="96"/>
        <v>#DIV/0!</v>
      </c>
      <c r="AK263" s="144" t="e">
        <f t="shared" si="96"/>
        <v>#DIV/0!</v>
      </c>
      <c r="AL263" s="144" t="e">
        <f t="shared" si="96"/>
        <v>#DIV/0!</v>
      </c>
      <c r="AM263" s="144" t="e">
        <f t="shared" si="96"/>
        <v>#DIV/0!</v>
      </c>
      <c r="AN263" s="144" t="e">
        <f t="shared" si="96"/>
        <v>#DIV/0!</v>
      </c>
      <c r="AO263" s="9" t="e">
        <f t="shared" si="96"/>
        <v>#DIV/0!</v>
      </c>
      <c r="AP263" s="144" t="e">
        <f t="shared" si="96"/>
        <v>#DIV/0!</v>
      </c>
      <c r="AQ263" s="144" t="e">
        <f t="shared" si="96"/>
        <v>#DIV/0!</v>
      </c>
      <c r="AR263" s="144" t="e">
        <f t="shared" si="96"/>
        <v>#DIV/0!</v>
      </c>
      <c r="AS263" s="144" t="e">
        <f t="shared" si="96"/>
        <v>#DIV/0!</v>
      </c>
      <c r="AT263" s="9" t="e">
        <f t="shared" si="96"/>
        <v>#DIV/0!</v>
      </c>
      <c r="AU263" s="144" t="e">
        <f t="shared" si="96"/>
        <v>#DIV/0!</v>
      </c>
      <c r="AV263" s="144" t="e">
        <f t="shared" si="96"/>
        <v>#DIV/0!</v>
      </c>
      <c r="AW263" s="144" t="e">
        <f t="shared" si="96"/>
        <v>#DIV/0!</v>
      </c>
      <c r="AX263" s="144" t="e">
        <f t="shared" si="96"/>
        <v>#DIV/0!</v>
      </c>
      <c r="AY263" s="117" t="e">
        <f t="shared" si="96"/>
        <v>#DIV/0!</v>
      </c>
    </row>
    <row r="264" spans="1:51">
      <c r="A264" s="137" t="s">
        <v>277</v>
      </c>
      <c r="B264" s="117" t="e">
        <f t="shared" si="96"/>
        <v>#DIV/0!</v>
      </c>
      <c r="C264" s="117" t="e">
        <f t="shared" si="96"/>
        <v>#DIV/0!</v>
      </c>
      <c r="D264" s="117" t="e">
        <f t="shared" si="96"/>
        <v>#DIV/0!</v>
      </c>
      <c r="E264" s="117" t="e">
        <f t="shared" si="96"/>
        <v>#DIV/0!</v>
      </c>
      <c r="F264" s="9" t="e">
        <f t="shared" si="96"/>
        <v>#DIV/0!</v>
      </c>
      <c r="G264" s="117" t="e">
        <f t="shared" si="96"/>
        <v>#DIV/0!</v>
      </c>
      <c r="H264" s="117" t="e">
        <f t="shared" si="96"/>
        <v>#DIV/0!</v>
      </c>
      <c r="I264" s="117" t="e">
        <f t="shared" si="96"/>
        <v>#DIV/0!</v>
      </c>
      <c r="J264" s="117" t="e">
        <f t="shared" si="96"/>
        <v>#DIV/0!</v>
      </c>
      <c r="K264" s="9" t="e">
        <f t="shared" si="96"/>
        <v>#DIV/0!</v>
      </c>
      <c r="L264" s="117" t="e">
        <f t="shared" si="96"/>
        <v>#DIV/0!</v>
      </c>
      <c r="M264" s="117" t="e">
        <f t="shared" si="96"/>
        <v>#DIV/0!</v>
      </c>
      <c r="N264" s="117" t="e">
        <f t="shared" si="96"/>
        <v>#DIV/0!</v>
      </c>
      <c r="O264" s="117" t="e">
        <f t="shared" si="96"/>
        <v>#DIV/0!</v>
      </c>
      <c r="P264" s="9" t="e">
        <f t="shared" si="96"/>
        <v>#DIV/0!</v>
      </c>
      <c r="Q264" s="144" t="e">
        <f t="shared" si="96"/>
        <v>#DIV/0!</v>
      </c>
      <c r="R264" s="144" t="e">
        <f t="shared" si="96"/>
        <v>#DIV/0!</v>
      </c>
      <c r="S264" s="144" t="e">
        <f t="shared" si="96"/>
        <v>#DIV/0!</v>
      </c>
      <c r="T264" s="144" t="e">
        <f t="shared" si="96"/>
        <v>#DIV/0!</v>
      </c>
      <c r="U264" s="9" t="e">
        <f t="shared" si="96"/>
        <v>#DIV/0!</v>
      </c>
      <c r="V264" s="144" t="e">
        <f t="shared" si="96"/>
        <v>#DIV/0!</v>
      </c>
      <c r="W264" s="144" t="e">
        <f t="shared" si="96"/>
        <v>#DIV/0!</v>
      </c>
      <c r="X264" s="144" t="e">
        <f t="shared" si="96"/>
        <v>#DIV/0!</v>
      </c>
      <c r="Y264" s="144" t="e">
        <f t="shared" si="96"/>
        <v>#DIV/0!</v>
      </c>
      <c r="Z264" s="9" t="e">
        <f t="shared" si="96"/>
        <v>#DIV/0!</v>
      </c>
      <c r="AA264" s="144" t="e">
        <f t="shared" si="96"/>
        <v>#DIV/0!</v>
      </c>
      <c r="AB264" s="144" t="e">
        <f t="shared" si="96"/>
        <v>#DIV/0!</v>
      </c>
      <c r="AC264" s="144" t="e">
        <f t="shared" si="96"/>
        <v>#DIV/0!</v>
      </c>
      <c r="AD264" s="144" t="e">
        <f t="shared" si="96"/>
        <v>#DIV/0!</v>
      </c>
      <c r="AE264" s="9" t="e">
        <f t="shared" si="96"/>
        <v>#DIV/0!</v>
      </c>
      <c r="AF264" s="144" t="e">
        <f t="shared" si="96"/>
        <v>#DIV/0!</v>
      </c>
      <c r="AG264" s="144" t="e">
        <f t="shared" si="96"/>
        <v>#DIV/0!</v>
      </c>
      <c r="AH264" s="144" t="e">
        <f t="shared" si="96"/>
        <v>#DIV/0!</v>
      </c>
      <c r="AI264" s="144" t="e">
        <f t="shared" si="96"/>
        <v>#DIV/0!</v>
      </c>
      <c r="AJ264" s="9" t="e">
        <f t="shared" si="96"/>
        <v>#DIV/0!</v>
      </c>
      <c r="AK264" s="144" t="e">
        <f t="shared" si="96"/>
        <v>#DIV/0!</v>
      </c>
      <c r="AL264" s="144" t="e">
        <f t="shared" si="96"/>
        <v>#DIV/0!</v>
      </c>
      <c r="AM264" s="144" t="e">
        <f t="shared" si="96"/>
        <v>#DIV/0!</v>
      </c>
      <c r="AN264" s="144" t="e">
        <f t="shared" si="96"/>
        <v>#DIV/0!</v>
      </c>
      <c r="AO264" s="9" t="e">
        <f t="shared" si="96"/>
        <v>#DIV/0!</v>
      </c>
      <c r="AP264" s="144" t="e">
        <f t="shared" si="96"/>
        <v>#DIV/0!</v>
      </c>
      <c r="AQ264" s="144" t="e">
        <f t="shared" si="96"/>
        <v>#DIV/0!</v>
      </c>
      <c r="AR264" s="144" t="e">
        <f t="shared" si="96"/>
        <v>#DIV/0!</v>
      </c>
      <c r="AS264" s="144" t="e">
        <f t="shared" si="96"/>
        <v>#DIV/0!</v>
      </c>
      <c r="AT264" s="9" t="e">
        <f t="shared" si="96"/>
        <v>#DIV/0!</v>
      </c>
      <c r="AU264" s="144" t="e">
        <f t="shared" si="96"/>
        <v>#DIV/0!</v>
      </c>
      <c r="AV264" s="144" t="e">
        <f t="shared" si="96"/>
        <v>#DIV/0!</v>
      </c>
      <c r="AW264" s="144" t="e">
        <f t="shared" si="96"/>
        <v>#DIV/0!</v>
      </c>
      <c r="AX264" s="144" t="e">
        <f t="shared" si="96"/>
        <v>#DIV/0!</v>
      </c>
      <c r="AY264" s="117" t="e">
        <f t="shared" si="96"/>
        <v>#DIV/0!</v>
      </c>
    </row>
    <row r="265" spans="1:51">
      <c r="A265" s="137" t="s">
        <v>279</v>
      </c>
      <c r="B265" s="117" t="e">
        <f t="shared" ref="B265:AY268" si="97">B127/B$137</f>
        <v>#DIV/0!</v>
      </c>
      <c r="C265" s="117" t="e">
        <f t="shared" si="97"/>
        <v>#DIV/0!</v>
      </c>
      <c r="D265" s="117" t="e">
        <f t="shared" si="97"/>
        <v>#DIV/0!</v>
      </c>
      <c r="E265" s="117" t="e">
        <f t="shared" si="97"/>
        <v>#DIV/0!</v>
      </c>
      <c r="F265" s="9" t="e">
        <f t="shared" si="97"/>
        <v>#DIV/0!</v>
      </c>
      <c r="G265" s="117" t="e">
        <f t="shared" si="97"/>
        <v>#DIV/0!</v>
      </c>
      <c r="H265" s="117" t="e">
        <f t="shared" si="97"/>
        <v>#DIV/0!</v>
      </c>
      <c r="I265" s="117" t="e">
        <f t="shared" si="97"/>
        <v>#DIV/0!</v>
      </c>
      <c r="J265" s="117" t="e">
        <f t="shared" si="97"/>
        <v>#DIV/0!</v>
      </c>
      <c r="K265" s="9" t="e">
        <f t="shared" si="97"/>
        <v>#DIV/0!</v>
      </c>
      <c r="L265" s="117" t="e">
        <f t="shared" si="97"/>
        <v>#DIV/0!</v>
      </c>
      <c r="M265" s="117" t="e">
        <f t="shared" si="97"/>
        <v>#DIV/0!</v>
      </c>
      <c r="N265" s="117" t="e">
        <f t="shared" si="97"/>
        <v>#DIV/0!</v>
      </c>
      <c r="O265" s="117" t="e">
        <f t="shared" si="97"/>
        <v>#DIV/0!</v>
      </c>
      <c r="P265" s="9" t="e">
        <f t="shared" si="97"/>
        <v>#DIV/0!</v>
      </c>
      <c r="Q265" s="144" t="e">
        <f t="shared" si="97"/>
        <v>#DIV/0!</v>
      </c>
      <c r="R265" s="144" t="e">
        <f t="shared" si="97"/>
        <v>#DIV/0!</v>
      </c>
      <c r="S265" s="144" t="e">
        <f t="shared" si="97"/>
        <v>#DIV/0!</v>
      </c>
      <c r="T265" s="144" t="e">
        <f t="shared" si="97"/>
        <v>#DIV/0!</v>
      </c>
      <c r="U265" s="9" t="e">
        <f t="shared" si="97"/>
        <v>#DIV/0!</v>
      </c>
      <c r="V265" s="144" t="e">
        <f t="shared" si="97"/>
        <v>#DIV/0!</v>
      </c>
      <c r="W265" s="144" t="e">
        <f t="shared" si="97"/>
        <v>#DIV/0!</v>
      </c>
      <c r="X265" s="144" t="e">
        <f t="shared" si="97"/>
        <v>#DIV/0!</v>
      </c>
      <c r="Y265" s="144" t="e">
        <f t="shared" si="97"/>
        <v>#DIV/0!</v>
      </c>
      <c r="Z265" s="9" t="e">
        <f t="shared" si="97"/>
        <v>#DIV/0!</v>
      </c>
      <c r="AA265" s="144" t="e">
        <f t="shared" si="97"/>
        <v>#DIV/0!</v>
      </c>
      <c r="AB265" s="144" t="e">
        <f t="shared" si="97"/>
        <v>#DIV/0!</v>
      </c>
      <c r="AC265" s="144" t="e">
        <f t="shared" si="97"/>
        <v>#DIV/0!</v>
      </c>
      <c r="AD265" s="144" t="e">
        <f t="shared" si="97"/>
        <v>#DIV/0!</v>
      </c>
      <c r="AE265" s="9" t="e">
        <f t="shared" si="97"/>
        <v>#DIV/0!</v>
      </c>
      <c r="AF265" s="144" t="e">
        <f t="shared" si="97"/>
        <v>#DIV/0!</v>
      </c>
      <c r="AG265" s="144" t="e">
        <f t="shared" si="97"/>
        <v>#DIV/0!</v>
      </c>
      <c r="AH265" s="144" t="e">
        <f t="shared" si="97"/>
        <v>#DIV/0!</v>
      </c>
      <c r="AI265" s="144" t="e">
        <f t="shared" si="97"/>
        <v>#DIV/0!</v>
      </c>
      <c r="AJ265" s="9" t="e">
        <f t="shared" si="97"/>
        <v>#DIV/0!</v>
      </c>
      <c r="AK265" s="144" t="e">
        <f t="shared" si="97"/>
        <v>#DIV/0!</v>
      </c>
      <c r="AL265" s="144" t="e">
        <f t="shared" si="97"/>
        <v>#DIV/0!</v>
      </c>
      <c r="AM265" s="144" t="e">
        <f t="shared" si="97"/>
        <v>#DIV/0!</v>
      </c>
      <c r="AN265" s="144" t="e">
        <f t="shared" si="97"/>
        <v>#DIV/0!</v>
      </c>
      <c r="AO265" s="9" t="e">
        <f t="shared" si="97"/>
        <v>#DIV/0!</v>
      </c>
      <c r="AP265" s="144" t="e">
        <f t="shared" si="97"/>
        <v>#DIV/0!</v>
      </c>
      <c r="AQ265" s="144" t="e">
        <f t="shared" si="97"/>
        <v>#DIV/0!</v>
      </c>
      <c r="AR265" s="144" t="e">
        <f t="shared" si="97"/>
        <v>#DIV/0!</v>
      </c>
      <c r="AS265" s="144" t="e">
        <f t="shared" si="97"/>
        <v>#DIV/0!</v>
      </c>
      <c r="AT265" s="9" t="e">
        <f t="shared" si="97"/>
        <v>#DIV/0!</v>
      </c>
      <c r="AU265" s="144" t="e">
        <f t="shared" si="97"/>
        <v>#DIV/0!</v>
      </c>
      <c r="AV265" s="144" t="e">
        <f t="shared" si="97"/>
        <v>#DIV/0!</v>
      </c>
      <c r="AW265" s="144" t="e">
        <f t="shared" si="97"/>
        <v>#DIV/0!</v>
      </c>
      <c r="AX265" s="144" t="e">
        <f t="shared" si="97"/>
        <v>#DIV/0!</v>
      </c>
      <c r="AY265" s="117" t="e">
        <f t="shared" si="97"/>
        <v>#DIV/0!</v>
      </c>
    </row>
    <row r="266" spans="1:51">
      <c r="A266" s="137" t="s">
        <v>281</v>
      </c>
      <c r="B266" s="117" t="e">
        <f t="shared" si="97"/>
        <v>#DIV/0!</v>
      </c>
      <c r="C266" s="117" t="e">
        <f t="shared" si="97"/>
        <v>#DIV/0!</v>
      </c>
      <c r="D266" s="117" t="e">
        <f t="shared" si="97"/>
        <v>#DIV/0!</v>
      </c>
      <c r="E266" s="117" t="e">
        <f t="shared" si="97"/>
        <v>#DIV/0!</v>
      </c>
      <c r="F266" s="9" t="e">
        <f t="shared" si="97"/>
        <v>#DIV/0!</v>
      </c>
      <c r="G266" s="117" t="e">
        <f t="shared" si="97"/>
        <v>#DIV/0!</v>
      </c>
      <c r="H266" s="117" t="e">
        <f t="shared" si="97"/>
        <v>#DIV/0!</v>
      </c>
      <c r="I266" s="117" t="e">
        <f t="shared" si="97"/>
        <v>#DIV/0!</v>
      </c>
      <c r="J266" s="117" t="e">
        <f t="shared" si="97"/>
        <v>#DIV/0!</v>
      </c>
      <c r="K266" s="9" t="e">
        <f t="shared" si="97"/>
        <v>#DIV/0!</v>
      </c>
      <c r="L266" s="117" t="e">
        <f t="shared" si="97"/>
        <v>#DIV/0!</v>
      </c>
      <c r="M266" s="117" t="e">
        <f t="shared" si="97"/>
        <v>#DIV/0!</v>
      </c>
      <c r="N266" s="117" t="e">
        <f t="shared" si="97"/>
        <v>#DIV/0!</v>
      </c>
      <c r="O266" s="117" t="e">
        <f t="shared" si="97"/>
        <v>#DIV/0!</v>
      </c>
      <c r="P266" s="9" t="e">
        <f t="shared" si="97"/>
        <v>#DIV/0!</v>
      </c>
      <c r="Q266" s="144" t="e">
        <f t="shared" si="97"/>
        <v>#DIV/0!</v>
      </c>
      <c r="R266" s="144" t="e">
        <f t="shared" si="97"/>
        <v>#DIV/0!</v>
      </c>
      <c r="S266" s="144" t="e">
        <f t="shared" si="97"/>
        <v>#DIV/0!</v>
      </c>
      <c r="T266" s="144" t="e">
        <f t="shared" si="97"/>
        <v>#DIV/0!</v>
      </c>
      <c r="U266" s="9" t="e">
        <f t="shared" si="97"/>
        <v>#DIV/0!</v>
      </c>
      <c r="V266" s="144" t="e">
        <f t="shared" si="97"/>
        <v>#DIV/0!</v>
      </c>
      <c r="W266" s="144" t="e">
        <f t="shared" si="97"/>
        <v>#DIV/0!</v>
      </c>
      <c r="X266" s="144" t="e">
        <f t="shared" si="97"/>
        <v>#DIV/0!</v>
      </c>
      <c r="Y266" s="144" t="e">
        <f t="shared" si="97"/>
        <v>#DIV/0!</v>
      </c>
      <c r="Z266" s="9" t="e">
        <f t="shared" si="97"/>
        <v>#DIV/0!</v>
      </c>
      <c r="AA266" s="144" t="e">
        <f t="shared" si="97"/>
        <v>#DIV/0!</v>
      </c>
      <c r="AB266" s="144" t="e">
        <f t="shared" si="97"/>
        <v>#DIV/0!</v>
      </c>
      <c r="AC266" s="144" t="e">
        <f t="shared" si="97"/>
        <v>#DIV/0!</v>
      </c>
      <c r="AD266" s="144" t="e">
        <f t="shared" si="97"/>
        <v>#DIV/0!</v>
      </c>
      <c r="AE266" s="9" t="e">
        <f t="shared" si="97"/>
        <v>#DIV/0!</v>
      </c>
      <c r="AF266" s="144" t="e">
        <f t="shared" si="97"/>
        <v>#DIV/0!</v>
      </c>
      <c r="AG266" s="144" t="e">
        <f t="shared" si="97"/>
        <v>#DIV/0!</v>
      </c>
      <c r="AH266" s="144" t="e">
        <f t="shared" si="97"/>
        <v>#DIV/0!</v>
      </c>
      <c r="AI266" s="144" t="e">
        <f t="shared" si="97"/>
        <v>#DIV/0!</v>
      </c>
      <c r="AJ266" s="9" t="e">
        <f t="shared" si="97"/>
        <v>#DIV/0!</v>
      </c>
      <c r="AK266" s="144" t="e">
        <f t="shared" si="97"/>
        <v>#DIV/0!</v>
      </c>
      <c r="AL266" s="144" t="e">
        <f t="shared" si="97"/>
        <v>#DIV/0!</v>
      </c>
      <c r="AM266" s="144" t="e">
        <f t="shared" si="97"/>
        <v>#DIV/0!</v>
      </c>
      <c r="AN266" s="144" t="e">
        <f t="shared" si="97"/>
        <v>#DIV/0!</v>
      </c>
      <c r="AO266" s="9" t="e">
        <f t="shared" si="97"/>
        <v>#DIV/0!</v>
      </c>
      <c r="AP266" s="144" t="e">
        <f t="shared" si="97"/>
        <v>#DIV/0!</v>
      </c>
      <c r="AQ266" s="144" t="e">
        <f t="shared" si="97"/>
        <v>#DIV/0!</v>
      </c>
      <c r="AR266" s="144" t="e">
        <f t="shared" si="97"/>
        <v>#DIV/0!</v>
      </c>
      <c r="AS266" s="144" t="e">
        <f t="shared" si="97"/>
        <v>#DIV/0!</v>
      </c>
      <c r="AT266" s="9" t="e">
        <f t="shared" si="97"/>
        <v>#DIV/0!</v>
      </c>
      <c r="AU266" s="144" t="e">
        <f t="shared" si="97"/>
        <v>#DIV/0!</v>
      </c>
      <c r="AV266" s="144" t="e">
        <f t="shared" si="97"/>
        <v>#DIV/0!</v>
      </c>
      <c r="AW266" s="144" t="e">
        <f t="shared" si="97"/>
        <v>#DIV/0!</v>
      </c>
      <c r="AX266" s="144" t="e">
        <f t="shared" si="97"/>
        <v>#DIV/0!</v>
      </c>
      <c r="AY266" s="117" t="e">
        <f t="shared" si="97"/>
        <v>#DIV/0!</v>
      </c>
    </row>
    <row r="267" spans="1:51">
      <c r="A267" s="137" t="s">
        <v>283</v>
      </c>
      <c r="B267" s="117" t="e">
        <f t="shared" si="97"/>
        <v>#DIV/0!</v>
      </c>
      <c r="C267" s="117" t="e">
        <f t="shared" si="97"/>
        <v>#DIV/0!</v>
      </c>
      <c r="D267" s="117" t="e">
        <f t="shared" si="97"/>
        <v>#DIV/0!</v>
      </c>
      <c r="E267" s="117" t="e">
        <f t="shared" si="97"/>
        <v>#DIV/0!</v>
      </c>
      <c r="F267" s="9" t="e">
        <f t="shared" si="97"/>
        <v>#DIV/0!</v>
      </c>
      <c r="G267" s="117" t="e">
        <f t="shared" si="97"/>
        <v>#DIV/0!</v>
      </c>
      <c r="H267" s="117" t="e">
        <f t="shared" si="97"/>
        <v>#DIV/0!</v>
      </c>
      <c r="I267" s="117" t="e">
        <f t="shared" si="97"/>
        <v>#DIV/0!</v>
      </c>
      <c r="J267" s="117" t="e">
        <f t="shared" si="97"/>
        <v>#DIV/0!</v>
      </c>
      <c r="K267" s="9" t="e">
        <f t="shared" si="97"/>
        <v>#DIV/0!</v>
      </c>
      <c r="L267" s="117" t="e">
        <f t="shared" si="97"/>
        <v>#DIV/0!</v>
      </c>
      <c r="M267" s="117" t="e">
        <f t="shared" si="97"/>
        <v>#DIV/0!</v>
      </c>
      <c r="N267" s="117" t="e">
        <f t="shared" si="97"/>
        <v>#DIV/0!</v>
      </c>
      <c r="O267" s="117" t="e">
        <f t="shared" si="97"/>
        <v>#DIV/0!</v>
      </c>
      <c r="P267" s="9" t="e">
        <f t="shared" si="97"/>
        <v>#DIV/0!</v>
      </c>
      <c r="Q267" s="144" t="e">
        <f t="shared" si="97"/>
        <v>#DIV/0!</v>
      </c>
      <c r="R267" s="144" t="e">
        <f t="shared" si="97"/>
        <v>#DIV/0!</v>
      </c>
      <c r="S267" s="144" t="e">
        <f t="shared" si="97"/>
        <v>#DIV/0!</v>
      </c>
      <c r="T267" s="144" t="e">
        <f t="shared" si="97"/>
        <v>#DIV/0!</v>
      </c>
      <c r="U267" s="9" t="e">
        <f t="shared" si="97"/>
        <v>#DIV/0!</v>
      </c>
      <c r="V267" s="144" t="e">
        <f t="shared" si="97"/>
        <v>#DIV/0!</v>
      </c>
      <c r="W267" s="144" t="e">
        <f t="shared" si="97"/>
        <v>#DIV/0!</v>
      </c>
      <c r="X267" s="144" t="e">
        <f t="shared" si="97"/>
        <v>#DIV/0!</v>
      </c>
      <c r="Y267" s="144" t="e">
        <f t="shared" si="97"/>
        <v>#DIV/0!</v>
      </c>
      <c r="Z267" s="9" t="e">
        <f t="shared" si="97"/>
        <v>#DIV/0!</v>
      </c>
      <c r="AA267" s="144" t="e">
        <f t="shared" si="97"/>
        <v>#DIV/0!</v>
      </c>
      <c r="AB267" s="144" t="e">
        <f t="shared" si="97"/>
        <v>#DIV/0!</v>
      </c>
      <c r="AC267" s="144" t="e">
        <f t="shared" si="97"/>
        <v>#DIV/0!</v>
      </c>
      <c r="AD267" s="144" t="e">
        <f t="shared" si="97"/>
        <v>#DIV/0!</v>
      </c>
      <c r="AE267" s="9" t="e">
        <f t="shared" si="97"/>
        <v>#DIV/0!</v>
      </c>
      <c r="AF267" s="144" t="e">
        <f t="shared" si="97"/>
        <v>#DIV/0!</v>
      </c>
      <c r="AG267" s="144" t="e">
        <f t="shared" si="97"/>
        <v>#DIV/0!</v>
      </c>
      <c r="AH267" s="144" t="e">
        <f t="shared" si="97"/>
        <v>#DIV/0!</v>
      </c>
      <c r="AI267" s="144" t="e">
        <f t="shared" si="97"/>
        <v>#DIV/0!</v>
      </c>
      <c r="AJ267" s="9" t="e">
        <f t="shared" si="97"/>
        <v>#DIV/0!</v>
      </c>
      <c r="AK267" s="144" t="e">
        <f t="shared" si="97"/>
        <v>#DIV/0!</v>
      </c>
      <c r="AL267" s="144" t="e">
        <f t="shared" si="97"/>
        <v>#DIV/0!</v>
      </c>
      <c r="AM267" s="144" t="e">
        <f t="shared" si="97"/>
        <v>#DIV/0!</v>
      </c>
      <c r="AN267" s="144" t="e">
        <f t="shared" si="97"/>
        <v>#DIV/0!</v>
      </c>
      <c r="AO267" s="9" t="e">
        <f t="shared" si="97"/>
        <v>#DIV/0!</v>
      </c>
      <c r="AP267" s="144" t="e">
        <f t="shared" si="97"/>
        <v>#DIV/0!</v>
      </c>
      <c r="AQ267" s="144" t="e">
        <f t="shared" si="97"/>
        <v>#DIV/0!</v>
      </c>
      <c r="AR267" s="144" t="e">
        <f t="shared" si="97"/>
        <v>#DIV/0!</v>
      </c>
      <c r="AS267" s="144" t="e">
        <f t="shared" si="97"/>
        <v>#DIV/0!</v>
      </c>
      <c r="AT267" s="9" t="e">
        <f t="shared" si="97"/>
        <v>#DIV/0!</v>
      </c>
      <c r="AU267" s="144" t="e">
        <f t="shared" si="97"/>
        <v>#DIV/0!</v>
      </c>
      <c r="AV267" s="144" t="e">
        <f t="shared" si="97"/>
        <v>#DIV/0!</v>
      </c>
      <c r="AW267" s="144" t="e">
        <f t="shared" si="97"/>
        <v>#DIV/0!</v>
      </c>
      <c r="AX267" s="144" t="e">
        <f t="shared" si="97"/>
        <v>#DIV/0!</v>
      </c>
      <c r="AY267" s="117" t="e">
        <f t="shared" si="97"/>
        <v>#DIV/0!</v>
      </c>
    </row>
    <row r="268" spans="1:51">
      <c r="A268" s="137" t="s">
        <v>287</v>
      </c>
      <c r="B268" s="117" t="e">
        <f t="shared" si="97"/>
        <v>#DIV/0!</v>
      </c>
      <c r="C268" s="117" t="e">
        <f t="shared" si="97"/>
        <v>#DIV/0!</v>
      </c>
      <c r="D268" s="117" t="e">
        <f t="shared" si="97"/>
        <v>#DIV/0!</v>
      </c>
      <c r="E268" s="117" t="e">
        <f t="shared" si="97"/>
        <v>#DIV/0!</v>
      </c>
      <c r="F268" s="9" t="e">
        <f t="shared" si="97"/>
        <v>#DIV/0!</v>
      </c>
      <c r="G268" s="117" t="e">
        <f t="shared" si="97"/>
        <v>#DIV/0!</v>
      </c>
      <c r="H268" s="117" t="e">
        <f t="shared" si="97"/>
        <v>#DIV/0!</v>
      </c>
      <c r="I268" s="117" t="e">
        <f t="shared" si="97"/>
        <v>#DIV/0!</v>
      </c>
      <c r="J268" s="117" t="e">
        <f t="shared" si="97"/>
        <v>#DIV/0!</v>
      </c>
      <c r="K268" s="9" t="e">
        <f t="shared" si="97"/>
        <v>#DIV/0!</v>
      </c>
      <c r="L268" s="117" t="e">
        <f t="shared" si="97"/>
        <v>#DIV/0!</v>
      </c>
      <c r="M268" s="117" t="e">
        <f t="shared" si="97"/>
        <v>#DIV/0!</v>
      </c>
      <c r="N268" s="117" t="e">
        <f t="shared" si="97"/>
        <v>#DIV/0!</v>
      </c>
      <c r="O268" s="117" t="e">
        <f t="shared" si="97"/>
        <v>#DIV/0!</v>
      </c>
      <c r="P268" s="9" t="e">
        <f t="shared" si="97"/>
        <v>#DIV/0!</v>
      </c>
      <c r="Q268" s="144" t="e">
        <f t="shared" si="97"/>
        <v>#DIV/0!</v>
      </c>
      <c r="R268" s="144" t="e">
        <f t="shared" si="97"/>
        <v>#DIV/0!</v>
      </c>
      <c r="S268" s="144" t="e">
        <f t="shared" si="97"/>
        <v>#DIV/0!</v>
      </c>
      <c r="T268" s="144" t="e">
        <f t="shared" si="97"/>
        <v>#DIV/0!</v>
      </c>
      <c r="U268" s="9" t="e">
        <f t="shared" si="97"/>
        <v>#DIV/0!</v>
      </c>
      <c r="V268" s="144" t="e">
        <f t="shared" si="97"/>
        <v>#DIV/0!</v>
      </c>
      <c r="W268" s="144" t="e">
        <f t="shared" si="97"/>
        <v>#DIV/0!</v>
      </c>
      <c r="X268" s="144" t="e">
        <f t="shared" si="97"/>
        <v>#DIV/0!</v>
      </c>
      <c r="Y268" s="144" t="e">
        <f t="shared" si="97"/>
        <v>#DIV/0!</v>
      </c>
      <c r="Z268" s="9" t="e">
        <f t="shared" si="97"/>
        <v>#DIV/0!</v>
      </c>
      <c r="AA268" s="144" t="e">
        <f t="shared" si="97"/>
        <v>#DIV/0!</v>
      </c>
      <c r="AB268" s="144" t="e">
        <f t="shared" si="97"/>
        <v>#DIV/0!</v>
      </c>
      <c r="AC268" s="144" t="e">
        <f t="shared" si="97"/>
        <v>#DIV/0!</v>
      </c>
      <c r="AD268" s="144" t="e">
        <f t="shared" si="97"/>
        <v>#DIV/0!</v>
      </c>
      <c r="AE268" s="9" t="e">
        <f t="shared" si="97"/>
        <v>#DIV/0!</v>
      </c>
      <c r="AF268" s="144" t="e">
        <f t="shared" si="97"/>
        <v>#DIV/0!</v>
      </c>
      <c r="AG268" s="144" t="e">
        <f t="shared" si="97"/>
        <v>#DIV/0!</v>
      </c>
      <c r="AH268" s="144" t="e">
        <f t="shared" si="97"/>
        <v>#DIV/0!</v>
      </c>
      <c r="AI268" s="144" t="e">
        <f t="shared" si="97"/>
        <v>#DIV/0!</v>
      </c>
      <c r="AJ268" s="9" t="e">
        <f t="shared" si="97"/>
        <v>#DIV/0!</v>
      </c>
      <c r="AK268" s="144" t="e">
        <f t="shared" si="97"/>
        <v>#DIV/0!</v>
      </c>
      <c r="AL268" s="144" t="e">
        <f t="shared" si="97"/>
        <v>#DIV/0!</v>
      </c>
      <c r="AM268" s="144" t="e">
        <f t="shared" si="97"/>
        <v>#DIV/0!</v>
      </c>
      <c r="AN268" s="144" t="e">
        <f t="shared" si="97"/>
        <v>#DIV/0!</v>
      </c>
      <c r="AO268" s="9" t="e">
        <f t="shared" si="97"/>
        <v>#DIV/0!</v>
      </c>
      <c r="AP268" s="144" t="e">
        <f t="shared" si="97"/>
        <v>#DIV/0!</v>
      </c>
      <c r="AQ268" s="144" t="e">
        <f t="shared" si="97"/>
        <v>#DIV/0!</v>
      </c>
      <c r="AR268" s="144" t="e">
        <f t="shared" si="97"/>
        <v>#DIV/0!</v>
      </c>
      <c r="AS268" s="144" t="e">
        <f t="shared" si="97"/>
        <v>#DIV/0!</v>
      </c>
      <c r="AT268" s="9" t="e">
        <f t="shared" si="97"/>
        <v>#DIV/0!</v>
      </c>
      <c r="AU268" s="144" t="e">
        <f t="shared" si="97"/>
        <v>#DIV/0!</v>
      </c>
      <c r="AV268" s="144" t="e">
        <f t="shared" si="97"/>
        <v>#DIV/0!</v>
      </c>
      <c r="AW268" s="144" t="e">
        <f t="shared" si="97"/>
        <v>#DIV/0!</v>
      </c>
      <c r="AX268" s="144" t="e">
        <f t="shared" si="97"/>
        <v>#DIV/0!</v>
      </c>
      <c r="AY268" s="117" t="e">
        <f t="shared" si="97"/>
        <v>#DIV/0!</v>
      </c>
    </row>
    <row r="269" spans="1:51">
      <c r="A269" s="137" t="s">
        <v>285</v>
      </c>
      <c r="B269" s="117" t="e">
        <f t="shared" ref="B269:AY272" si="98">B131/B$137</f>
        <v>#DIV/0!</v>
      </c>
      <c r="C269" s="117" t="e">
        <f t="shared" si="98"/>
        <v>#DIV/0!</v>
      </c>
      <c r="D269" s="117" t="e">
        <f t="shared" si="98"/>
        <v>#DIV/0!</v>
      </c>
      <c r="E269" s="117" t="e">
        <f t="shared" si="98"/>
        <v>#DIV/0!</v>
      </c>
      <c r="F269" s="9" t="e">
        <f t="shared" si="98"/>
        <v>#DIV/0!</v>
      </c>
      <c r="G269" s="117" t="e">
        <f t="shared" si="98"/>
        <v>#DIV/0!</v>
      </c>
      <c r="H269" s="117" t="e">
        <f t="shared" si="98"/>
        <v>#DIV/0!</v>
      </c>
      <c r="I269" s="117" t="e">
        <f t="shared" si="98"/>
        <v>#DIV/0!</v>
      </c>
      <c r="J269" s="117" t="e">
        <f t="shared" si="98"/>
        <v>#DIV/0!</v>
      </c>
      <c r="K269" s="9" t="e">
        <f t="shared" si="98"/>
        <v>#DIV/0!</v>
      </c>
      <c r="L269" s="117" t="e">
        <f t="shared" si="98"/>
        <v>#DIV/0!</v>
      </c>
      <c r="M269" s="117" t="e">
        <f t="shared" si="98"/>
        <v>#DIV/0!</v>
      </c>
      <c r="N269" s="117" t="e">
        <f t="shared" si="98"/>
        <v>#DIV/0!</v>
      </c>
      <c r="O269" s="117" t="e">
        <f t="shared" si="98"/>
        <v>#DIV/0!</v>
      </c>
      <c r="P269" s="9" t="e">
        <f t="shared" si="98"/>
        <v>#DIV/0!</v>
      </c>
      <c r="Q269" s="144" t="e">
        <f t="shared" si="98"/>
        <v>#DIV/0!</v>
      </c>
      <c r="R269" s="144" t="e">
        <f t="shared" si="98"/>
        <v>#DIV/0!</v>
      </c>
      <c r="S269" s="144" t="e">
        <f t="shared" si="98"/>
        <v>#DIV/0!</v>
      </c>
      <c r="T269" s="144" t="e">
        <f t="shared" si="98"/>
        <v>#DIV/0!</v>
      </c>
      <c r="U269" s="9" t="e">
        <f t="shared" si="98"/>
        <v>#DIV/0!</v>
      </c>
      <c r="V269" s="144" t="e">
        <f t="shared" si="98"/>
        <v>#DIV/0!</v>
      </c>
      <c r="W269" s="144" t="e">
        <f t="shared" si="98"/>
        <v>#DIV/0!</v>
      </c>
      <c r="X269" s="144" t="e">
        <f t="shared" si="98"/>
        <v>#DIV/0!</v>
      </c>
      <c r="Y269" s="144" t="e">
        <f t="shared" si="98"/>
        <v>#DIV/0!</v>
      </c>
      <c r="Z269" s="9" t="e">
        <f t="shared" si="98"/>
        <v>#DIV/0!</v>
      </c>
      <c r="AA269" s="144" t="e">
        <f t="shared" si="98"/>
        <v>#DIV/0!</v>
      </c>
      <c r="AB269" s="144" t="e">
        <f t="shared" si="98"/>
        <v>#DIV/0!</v>
      </c>
      <c r="AC269" s="144" t="e">
        <f t="shared" si="98"/>
        <v>#DIV/0!</v>
      </c>
      <c r="AD269" s="144" t="e">
        <f t="shared" si="98"/>
        <v>#DIV/0!</v>
      </c>
      <c r="AE269" s="9" t="e">
        <f t="shared" si="98"/>
        <v>#DIV/0!</v>
      </c>
      <c r="AF269" s="144" t="e">
        <f t="shared" si="98"/>
        <v>#DIV/0!</v>
      </c>
      <c r="AG269" s="144" t="e">
        <f t="shared" si="98"/>
        <v>#DIV/0!</v>
      </c>
      <c r="AH269" s="144" t="e">
        <f t="shared" si="98"/>
        <v>#DIV/0!</v>
      </c>
      <c r="AI269" s="144" t="e">
        <f t="shared" si="98"/>
        <v>#DIV/0!</v>
      </c>
      <c r="AJ269" s="9" t="e">
        <f t="shared" si="98"/>
        <v>#DIV/0!</v>
      </c>
      <c r="AK269" s="144" t="e">
        <f t="shared" si="98"/>
        <v>#DIV/0!</v>
      </c>
      <c r="AL269" s="144" t="e">
        <f t="shared" si="98"/>
        <v>#DIV/0!</v>
      </c>
      <c r="AM269" s="144" t="e">
        <f t="shared" si="98"/>
        <v>#DIV/0!</v>
      </c>
      <c r="AN269" s="144" t="e">
        <f t="shared" si="98"/>
        <v>#DIV/0!</v>
      </c>
      <c r="AO269" s="9" t="e">
        <f t="shared" si="98"/>
        <v>#DIV/0!</v>
      </c>
      <c r="AP269" s="144" t="e">
        <f t="shared" si="98"/>
        <v>#DIV/0!</v>
      </c>
      <c r="AQ269" s="144" t="e">
        <f t="shared" si="98"/>
        <v>#DIV/0!</v>
      </c>
      <c r="AR269" s="144" t="e">
        <f t="shared" si="98"/>
        <v>#DIV/0!</v>
      </c>
      <c r="AS269" s="144" t="e">
        <f t="shared" si="98"/>
        <v>#DIV/0!</v>
      </c>
      <c r="AT269" s="9" t="e">
        <f t="shared" si="98"/>
        <v>#DIV/0!</v>
      </c>
      <c r="AU269" s="144" t="e">
        <f t="shared" si="98"/>
        <v>#DIV/0!</v>
      </c>
      <c r="AV269" s="144" t="e">
        <f t="shared" si="98"/>
        <v>#DIV/0!</v>
      </c>
      <c r="AW269" s="144" t="e">
        <f t="shared" si="98"/>
        <v>#DIV/0!</v>
      </c>
      <c r="AX269" s="144" t="e">
        <f t="shared" si="98"/>
        <v>#DIV/0!</v>
      </c>
      <c r="AY269" s="117" t="e">
        <f t="shared" si="98"/>
        <v>#DIV/0!</v>
      </c>
    </row>
    <row r="270" spans="1:51">
      <c r="A270" s="137" t="s">
        <v>289</v>
      </c>
      <c r="B270" s="117" t="e">
        <f t="shared" si="98"/>
        <v>#DIV/0!</v>
      </c>
      <c r="C270" s="117" t="e">
        <f t="shared" si="98"/>
        <v>#DIV/0!</v>
      </c>
      <c r="D270" s="117" t="e">
        <f t="shared" si="98"/>
        <v>#DIV/0!</v>
      </c>
      <c r="E270" s="117" t="e">
        <f t="shared" si="98"/>
        <v>#DIV/0!</v>
      </c>
      <c r="F270" s="9" t="e">
        <f t="shared" si="98"/>
        <v>#DIV/0!</v>
      </c>
      <c r="G270" s="117" t="e">
        <f t="shared" si="98"/>
        <v>#DIV/0!</v>
      </c>
      <c r="H270" s="117" t="e">
        <f t="shared" si="98"/>
        <v>#DIV/0!</v>
      </c>
      <c r="I270" s="117" t="e">
        <f t="shared" si="98"/>
        <v>#DIV/0!</v>
      </c>
      <c r="J270" s="117" t="e">
        <f t="shared" si="98"/>
        <v>#DIV/0!</v>
      </c>
      <c r="K270" s="9" t="e">
        <f t="shared" si="98"/>
        <v>#DIV/0!</v>
      </c>
      <c r="L270" s="117" t="e">
        <f t="shared" si="98"/>
        <v>#DIV/0!</v>
      </c>
      <c r="M270" s="117" t="e">
        <f t="shared" si="98"/>
        <v>#DIV/0!</v>
      </c>
      <c r="N270" s="117" t="e">
        <f t="shared" si="98"/>
        <v>#DIV/0!</v>
      </c>
      <c r="O270" s="117" t="e">
        <f t="shared" si="98"/>
        <v>#DIV/0!</v>
      </c>
      <c r="P270" s="9" t="e">
        <f t="shared" si="98"/>
        <v>#DIV/0!</v>
      </c>
      <c r="Q270" s="144" t="e">
        <f t="shared" si="98"/>
        <v>#DIV/0!</v>
      </c>
      <c r="R270" s="144" t="e">
        <f t="shared" si="98"/>
        <v>#DIV/0!</v>
      </c>
      <c r="S270" s="144" t="e">
        <f t="shared" si="98"/>
        <v>#DIV/0!</v>
      </c>
      <c r="T270" s="144" t="e">
        <f t="shared" si="98"/>
        <v>#DIV/0!</v>
      </c>
      <c r="U270" s="9" t="e">
        <f t="shared" si="98"/>
        <v>#DIV/0!</v>
      </c>
      <c r="V270" s="144" t="e">
        <f t="shared" si="98"/>
        <v>#DIV/0!</v>
      </c>
      <c r="W270" s="144" t="e">
        <f t="shared" si="98"/>
        <v>#DIV/0!</v>
      </c>
      <c r="X270" s="144" t="e">
        <f t="shared" si="98"/>
        <v>#DIV/0!</v>
      </c>
      <c r="Y270" s="144" t="e">
        <f t="shared" si="98"/>
        <v>#DIV/0!</v>
      </c>
      <c r="Z270" s="9" t="e">
        <f t="shared" si="98"/>
        <v>#DIV/0!</v>
      </c>
      <c r="AA270" s="144" t="e">
        <f t="shared" si="98"/>
        <v>#DIV/0!</v>
      </c>
      <c r="AB270" s="144" t="e">
        <f t="shared" si="98"/>
        <v>#DIV/0!</v>
      </c>
      <c r="AC270" s="144" t="e">
        <f t="shared" si="98"/>
        <v>#DIV/0!</v>
      </c>
      <c r="AD270" s="144" t="e">
        <f t="shared" si="98"/>
        <v>#DIV/0!</v>
      </c>
      <c r="AE270" s="9" t="e">
        <f t="shared" si="98"/>
        <v>#DIV/0!</v>
      </c>
      <c r="AF270" s="144" t="e">
        <f t="shared" si="98"/>
        <v>#DIV/0!</v>
      </c>
      <c r="AG270" s="144" t="e">
        <f t="shared" si="98"/>
        <v>#DIV/0!</v>
      </c>
      <c r="AH270" s="144" t="e">
        <f t="shared" si="98"/>
        <v>#DIV/0!</v>
      </c>
      <c r="AI270" s="144" t="e">
        <f t="shared" si="98"/>
        <v>#DIV/0!</v>
      </c>
      <c r="AJ270" s="9" t="e">
        <f t="shared" si="98"/>
        <v>#DIV/0!</v>
      </c>
      <c r="AK270" s="144" t="e">
        <f t="shared" si="98"/>
        <v>#DIV/0!</v>
      </c>
      <c r="AL270" s="144" t="e">
        <f t="shared" si="98"/>
        <v>#DIV/0!</v>
      </c>
      <c r="AM270" s="144" t="e">
        <f t="shared" si="98"/>
        <v>#DIV/0!</v>
      </c>
      <c r="AN270" s="144" t="e">
        <f t="shared" si="98"/>
        <v>#DIV/0!</v>
      </c>
      <c r="AO270" s="9" t="e">
        <f t="shared" si="98"/>
        <v>#DIV/0!</v>
      </c>
      <c r="AP270" s="144" t="e">
        <f t="shared" si="98"/>
        <v>#DIV/0!</v>
      </c>
      <c r="AQ270" s="144" t="e">
        <f t="shared" si="98"/>
        <v>#DIV/0!</v>
      </c>
      <c r="AR270" s="144" t="e">
        <f t="shared" si="98"/>
        <v>#DIV/0!</v>
      </c>
      <c r="AS270" s="144" t="e">
        <f t="shared" si="98"/>
        <v>#DIV/0!</v>
      </c>
      <c r="AT270" s="9" t="e">
        <f t="shared" si="98"/>
        <v>#DIV/0!</v>
      </c>
      <c r="AU270" s="144" t="e">
        <f t="shared" si="98"/>
        <v>#DIV/0!</v>
      </c>
      <c r="AV270" s="144" t="e">
        <f t="shared" si="98"/>
        <v>#DIV/0!</v>
      </c>
      <c r="AW270" s="144" t="e">
        <f t="shared" si="98"/>
        <v>#DIV/0!</v>
      </c>
      <c r="AX270" s="144" t="e">
        <f t="shared" si="98"/>
        <v>#DIV/0!</v>
      </c>
      <c r="AY270" s="117" t="e">
        <f t="shared" si="98"/>
        <v>#DIV/0!</v>
      </c>
    </row>
    <row r="271" spans="1:51">
      <c r="A271" s="137" t="s">
        <v>291</v>
      </c>
      <c r="B271" s="117" t="e">
        <f t="shared" si="98"/>
        <v>#DIV/0!</v>
      </c>
      <c r="C271" s="117" t="e">
        <f t="shared" si="98"/>
        <v>#DIV/0!</v>
      </c>
      <c r="D271" s="117" t="e">
        <f t="shared" si="98"/>
        <v>#DIV/0!</v>
      </c>
      <c r="E271" s="117" t="e">
        <f t="shared" si="98"/>
        <v>#DIV/0!</v>
      </c>
      <c r="F271" s="9" t="e">
        <f t="shared" si="98"/>
        <v>#DIV/0!</v>
      </c>
      <c r="G271" s="117" t="e">
        <f t="shared" si="98"/>
        <v>#DIV/0!</v>
      </c>
      <c r="H271" s="117" t="e">
        <f t="shared" si="98"/>
        <v>#DIV/0!</v>
      </c>
      <c r="I271" s="117" t="e">
        <f t="shared" si="98"/>
        <v>#DIV/0!</v>
      </c>
      <c r="J271" s="117" t="e">
        <f t="shared" si="98"/>
        <v>#DIV/0!</v>
      </c>
      <c r="K271" s="9" t="e">
        <f t="shared" si="98"/>
        <v>#DIV/0!</v>
      </c>
      <c r="L271" s="117" t="e">
        <f t="shared" si="98"/>
        <v>#DIV/0!</v>
      </c>
      <c r="M271" s="117" t="e">
        <f t="shared" si="98"/>
        <v>#DIV/0!</v>
      </c>
      <c r="N271" s="117" t="e">
        <f t="shared" si="98"/>
        <v>#DIV/0!</v>
      </c>
      <c r="O271" s="117" t="e">
        <f t="shared" si="98"/>
        <v>#DIV/0!</v>
      </c>
      <c r="P271" s="9" t="e">
        <f t="shared" si="98"/>
        <v>#DIV/0!</v>
      </c>
      <c r="Q271" s="144" t="e">
        <f t="shared" si="98"/>
        <v>#DIV/0!</v>
      </c>
      <c r="R271" s="144" t="e">
        <f t="shared" si="98"/>
        <v>#DIV/0!</v>
      </c>
      <c r="S271" s="144" t="e">
        <f t="shared" si="98"/>
        <v>#DIV/0!</v>
      </c>
      <c r="T271" s="144" t="e">
        <f t="shared" si="98"/>
        <v>#DIV/0!</v>
      </c>
      <c r="U271" s="9" t="e">
        <f t="shared" si="98"/>
        <v>#DIV/0!</v>
      </c>
      <c r="V271" s="144" t="e">
        <f t="shared" si="98"/>
        <v>#DIV/0!</v>
      </c>
      <c r="W271" s="144" t="e">
        <f t="shared" si="98"/>
        <v>#DIV/0!</v>
      </c>
      <c r="X271" s="144" t="e">
        <f t="shared" si="98"/>
        <v>#DIV/0!</v>
      </c>
      <c r="Y271" s="144" t="e">
        <f t="shared" si="98"/>
        <v>#DIV/0!</v>
      </c>
      <c r="Z271" s="9" t="e">
        <f t="shared" si="98"/>
        <v>#DIV/0!</v>
      </c>
      <c r="AA271" s="144" t="e">
        <f t="shared" si="98"/>
        <v>#DIV/0!</v>
      </c>
      <c r="AB271" s="144" t="e">
        <f t="shared" si="98"/>
        <v>#DIV/0!</v>
      </c>
      <c r="AC271" s="144" t="e">
        <f t="shared" si="98"/>
        <v>#DIV/0!</v>
      </c>
      <c r="AD271" s="144" t="e">
        <f t="shared" si="98"/>
        <v>#DIV/0!</v>
      </c>
      <c r="AE271" s="9" t="e">
        <f t="shared" si="98"/>
        <v>#DIV/0!</v>
      </c>
      <c r="AF271" s="144" t="e">
        <f t="shared" si="98"/>
        <v>#DIV/0!</v>
      </c>
      <c r="AG271" s="144" t="e">
        <f t="shared" si="98"/>
        <v>#DIV/0!</v>
      </c>
      <c r="AH271" s="144" t="e">
        <f t="shared" si="98"/>
        <v>#DIV/0!</v>
      </c>
      <c r="AI271" s="144" t="e">
        <f t="shared" si="98"/>
        <v>#DIV/0!</v>
      </c>
      <c r="AJ271" s="9" t="e">
        <f t="shared" si="98"/>
        <v>#DIV/0!</v>
      </c>
      <c r="AK271" s="144" t="e">
        <f t="shared" si="98"/>
        <v>#DIV/0!</v>
      </c>
      <c r="AL271" s="144" t="e">
        <f t="shared" si="98"/>
        <v>#DIV/0!</v>
      </c>
      <c r="AM271" s="144" t="e">
        <f t="shared" si="98"/>
        <v>#DIV/0!</v>
      </c>
      <c r="AN271" s="144" t="e">
        <f t="shared" si="98"/>
        <v>#DIV/0!</v>
      </c>
      <c r="AO271" s="9" t="e">
        <f t="shared" si="98"/>
        <v>#DIV/0!</v>
      </c>
      <c r="AP271" s="144" t="e">
        <f t="shared" si="98"/>
        <v>#DIV/0!</v>
      </c>
      <c r="AQ271" s="144" t="e">
        <f t="shared" si="98"/>
        <v>#DIV/0!</v>
      </c>
      <c r="AR271" s="144" t="e">
        <f t="shared" si="98"/>
        <v>#DIV/0!</v>
      </c>
      <c r="AS271" s="144" t="e">
        <f t="shared" si="98"/>
        <v>#DIV/0!</v>
      </c>
      <c r="AT271" s="9" t="e">
        <f t="shared" si="98"/>
        <v>#DIV/0!</v>
      </c>
      <c r="AU271" s="144" t="e">
        <f t="shared" si="98"/>
        <v>#DIV/0!</v>
      </c>
      <c r="AV271" s="144" t="e">
        <f t="shared" si="98"/>
        <v>#DIV/0!</v>
      </c>
      <c r="AW271" s="144" t="e">
        <f t="shared" si="98"/>
        <v>#DIV/0!</v>
      </c>
      <c r="AX271" s="144" t="e">
        <f t="shared" si="98"/>
        <v>#DIV/0!</v>
      </c>
      <c r="AY271" s="117" t="e">
        <f t="shared" si="98"/>
        <v>#DIV/0!</v>
      </c>
    </row>
    <row r="272" spans="1:51">
      <c r="A272" s="137" t="s">
        <v>293</v>
      </c>
      <c r="B272" s="117" t="e">
        <f t="shared" si="98"/>
        <v>#DIV/0!</v>
      </c>
      <c r="C272" s="117" t="e">
        <f t="shared" si="98"/>
        <v>#DIV/0!</v>
      </c>
      <c r="D272" s="117" t="e">
        <f t="shared" si="98"/>
        <v>#DIV/0!</v>
      </c>
      <c r="E272" s="117" t="e">
        <f t="shared" si="98"/>
        <v>#DIV/0!</v>
      </c>
      <c r="F272" s="9" t="e">
        <f t="shared" si="98"/>
        <v>#DIV/0!</v>
      </c>
      <c r="G272" s="117" t="e">
        <f t="shared" si="98"/>
        <v>#DIV/0!</v>
      </c>
      <c r="H272" s="117" t="e">
        <f t="shared" si="98"/>
        <v>#DIV/0!</v>
      </c>
      <c r="I272" s="117" t="e">
        <f t="shared" si="98"/>
        <v>#DIV/0!</v>
      </c>
      <c r="J272" s="117" t="e">
        <f t="shared" si="98"/>
        <v>#DIV/0!</v>
      </c>
      <c r="K272" s="9" t="e">
        <f t="shared" si="98"/>
        <v>#DIV/0!</v>
      </c>
      <c r="L272" s="117" t="e">
        <f t="shared" si="98"/>
        <v>#DIV/0!</v>
      </c>
      <c r="M272" s="117" t="e">
        <f t="shared" si="98"/>
        <v>#DIV/0!</v>
      </c>
      <c r="N272" s="117" t="e">
        <f t="shared" si="98"/>
        <v>#DIV/0!</v>
      </c>
      <c r="O272" s="117" t="e">
        <f t="shared" si="98"/>
        <v>#DIV/0!</v>
      </c>
      <c r="P272" s="9" t="e">
        <f t="shared" si="98"/>
        <v>#DIV/0!</v>
      </c>
      <c r="Q272" s="144" t="e">
        <f t="shared" si="98"/>
        <v>#DIV/0!</v>
      </c>
      <c r="R272" s="144" t="e">
        <f t="shared" si="98"/>
        <v>#DIV/0!</v>
      </c>
      <c r="S272" s="144" t="e">
        <f t="shared" si="98"/>
        <v>#DIV/0!</v>
      </c>
      <c r="T272" s="144" t="e">
        <f t="shared" si="98"/>
        <v>#DIV/0!</v>
      </c>
      <c r="U272" s="9" t="e">
        <f t="shared" si="98"/>
        <v>#DIV/0!</v>
      </c>
      <c r="V272" s="144" t="e">
        <f t="shared" si="98"/>
        <v>#DIV/0!</v>
      </c>
      <c r="W272" s="144" t="e">
        <f t="shared" si="98"/>
        <v>#DIV/0!</v>
      </c>
      <c r="X272" s="144" t="e">
        <f t="shared" si="98"/>
        <v>#DIV/0!</v>
      </c>
      <c r="Y272" s="144" t="e">
        <f t="shared" si="98"/>
        <v>#DIV/0!</v>
      </c>
      <c r="Z272" s="9" t="e">
        <f t="shared" si="98"/>
        <v>#DIV/0!</v>
      </c>
      <c r="AA272" s="144" t="e">
        <f t="shared" si="98"/>
        <v>#DIV/0!</v>
      </c>
      <c r="AB272" s="144" t="e">
        <f t="shared" si="98"/>
        <v>#DIV/0!</v>
      </c>
      <c r="AC272" s="144" t="e">
        <f t="shared" si="98"/>
        <v>#DIV/0!</v>
      </c>
      <c r="AD272" s="144" t="e">
        <f t="shared" si="98"/>
        <v>#DIV/0!</v>
      </c>
      <c r="AE272" s="9" t="e">
        <f t="shared" si="98"/>
        <v>#DIV/0!</v>
      </c>
      <c r="AF272" s="144" t="e">
        <f t="shared" si="98"/>
        <v>#DIV/0!</v>
      </c>
      <c r="AG272" s="144" t="e">
        <f t="shared" si="98"/>
        <v>#DIV/0!</v>
      </c>
      <c r="AH272" s="144" t="e">
        <f t="shared" si="98"/>
        <v>#DIV/0!</v>
      </c>
      <c r="AI272" s="144" t="e">
        <f t="shared" si="98"/>
        <v>#DIV/0!</v>
      </c>
      <c r="AJ272" s="9" t="e">
        <f t="shared" si="98"/>
        <v>#DIV/0!</v>
      </c>
      <c r="AK272" s="144" t="e">
        <f t="shared" si="98"/>
        <v>#DIV/0!</v>
      </c>
      <c r="AL272" s="144" t="e">
        <f t="shared" si="98"/>
        <v>#DIV/0!</v>
      </c>
      <c r="AM272" s="144" t="e">
        <f t="shared" si="98"/>
        <v>#DIV/0!</v>
      </c>
      <c r="AN272" s="144" t="e">
        <f t="shared" si="98"/>
        <v>#DIV/0!</v>
      </c>
      <c r="AO272" s="9" t="e">
        <f t="shared" si="98"/>
        <v>#DIV/0!</v>
      </c>
      <c r="AP272" s="144" t="e">
        <f t="shared" si="98"/>
        <v>#DIV/0!</v>
      </c>
      <c r="AQ272" s="144" t="e">
        <f t="shared" si="98"/>
        <v>#DIV/0!</v>
      </c>
      <c r="AR272" s="144" t="e">
        <f t="shared" si="98"/>
        <v>#DIV/0!</v>
      </c>
      <c r="AS272" s="144" t="e">
        <f t="shared" si="98"/>
        <v>#DIV/0!</v>
      </c>
      <c r="AT272" s="9" t="e">
        <f t="shared" si="98"/>
        <v>#DIV/0!</v>
      </c>
      <c r="AU272" s="144" t="e">
        <f t="shared" si="98"/>
        <v>#DIV/0!</v>
      </c>
      <c r="AV272" s="144" t="e">
        <f t="shared" si="98"/>
        <v>#DIV/0!</v>
      </c>
      <c r="AW272" s="144" t="e">
        <f t="shared" si="98"/>
        <v>#DIV/0!</v>
      </c>
      <c r="AX272" s="144" t="e">
        <f t="shared" si="98"/>
        <v>#DIV/0!</v>
      </c>
      <c r="AY272" s="117" t="e">
        <f t="shared" si="98"/>
        <v>#DIV/0!</v>
      </c>
    </row>
    <row r="273" spans="1:51">
      <c r="A273" s="137" t="s">
        <v>295</v>
      </c>
      <c r="B273" s="117" t="e">
        <f t="shared" ref="B273:AY275" si="99">B135/B$137</f>
        <v>#DIV/0!</v>
      </c>
      <c r="C273" s="117" t="e">
        <f t="shared" si="99"/>
        <v>#DIV/0!</v>
      </c>
      <c r="D273" s="117" t="e">
        <f t="shared" si="99"/>
        <v>#DIV/0!</v>
      </c>
      <c r="E273" s="117" t="e">
        <f t="shared" si="99"/>
        <v>#DIV/0!</v>
      </c>
      <c r="F273" s="9" t="e">
        <f t="shared" si="99"/>
        <v>#DIV/0!</v>
      </c>
      <c r="G273" s="117" t="e">
        <f t="shared" si="99"/>
        <v>#DIV/0!</v>
      </c>
      <c r="H273" s="117" t="e">
        <f t="shared" si="99"/>
        <v>#DIV/0!</v>
      </c>
      <c r="I273" s="117" t="e">
        <f t="shared" si="99"/>
        <v>#DIV/0!</v>
      </c>
      <c r="J273" s="117" t="e">
        <f t="shared" si="99"/>
        <v>#DIV/0!</v>
      </c>
      <c r="K273" s="9" t="e">
        <f t="shared" si="99"/>
        <v>#DIV/0!</v>
      </c>
      <c r="L273" s="117" t="e">
        <f t="shared" si="99"/>
        <v>#DIV/0!</v>
      </c>
      <c r="M273" s="117" t="e">
        <f t="shared" si="99"/>
        <v>#DIV/0!</v>
      </c>
      <c r="N273" s="117" t="e">
        <f t="shared" si="99"/>
        <v>#DIV/0!</v>
      </c>
      <c r="O273" s="117" t="e">
        <f t="shared" si="99"/>
        <v>#DIV/0!</v>
      </c>
      <c r="P273" s="9" t="e">
        <f t="shared" si="99"/>
        <v>#DIV/0!</v>
      </c>
      <c r="Q273" s="144" t="e">
        <f t="shared" si="99"/>
        <v>#DIV/0!</v>
      </c>
      <c r="R273" s="144" t="e">
        <f t="shared" si="99"/>
        <v>#DIV/0!</v>
      </c>
      <c r="S273" s="144" t="e">
        <f t="shared" si="99"/>
        <v>#DIV/0!</v>
      </c>
      <c r="T273" s="144" t="e">
        <f t="shared" si="99"/>
        <v>#DIV/0!</v>
      </c>
      <c r="U273" s="9" t="e">
        <f t="shared" si="99"/>
        <v>#DIV/0!</v>
      </c>
      <c r="V273" s="144" t="e">
        <f t="shared" si="99"/>
        <v>#DIV/0!</v>
      </c>
      <c r="W273" s="144" t="e">
        <f t="shared" si="99"/>
        <v>#DIV/0!</v>
      </c>
      <c r="X273" s="144" t="e">
        <f t="shared" si="99"/>
        <v>#DIV/0!</v>
      </c>
      <c r="Y273" s="144" t="e">
        <f t="shared" si="99"/>
        <v>#DIV/0!</v>
      </c>
      <c r="Z273" s="9" t="e">
        <f t="shared" si="99"/>
        <v>#DIV/0!</v>
      </c>
      <c r="AA273" s="144" t="e">
        <f t="shared" si="99"/>
        <v>#DIV/0!</v>
      </c>
      <c r="AB273" s="144" t="e">
        <f t="shared" si="99"/>
        <v>#DIV/0!</v>
      </c>
      <c r="AC273" s="144" t="e">
        <f t="shared" si="99"/>
        <v>#DIV/0!</v>
      </c>
      <c r="AD273" s="144" t="e">
        <f t="shared" si="99"/>
        <v>#DIV/0!</v>
      </c>
      <c r="AE273" s="9" t="e">
        <f t="shared" si="99"/>
        <v>#DIV/0!</v>
      </c>
      <c r="AF273" s="144" t="e">
        <f t="shared" si="99"/>
        <v>#DIV/0!</v>
      </c>
      <c r="AG273" s="144" t="e">
        <f t="shared" si="99"/>
        <v>#DIV/0!</v>
      </c>
      <c r="AH273" s="144" t="e">
        <f t="shared" si="99"/>
        <v>#DIV/0!</v>
      </c>
      <c r="AI273" s="144" t="e">
        <f t="shared" si="99"/>
        <v>#DIV/0!</v>
      </c>
      <c r="AJ273" s="9" t="e">
        <f t="shared" si="99"/>
        <v>#DIV/0!</v>
      </c>
      <c r="AK273" s="144" t="e">
        <f t="shared" si="99"/>
        <v>#DIV/0!</v>
      </c>
      <c r="AL273" s="144" t="e">
        <f t="shared" si="99"/>
        <v>#DIV/0!</v>
      </c>
      <c r="AM273" s="144" t="e">
        <f t="shared" si="99"/>
        <v>#DIV/0!</v>
      </c>
      <c r="AN273" s="144" t="e">
        <f t="shared" si="99"/>
        <v>#DIV/0!</v>
      </c>
      <c r="AO273" s="9" t="e">
        <f t="shared" si="99"/>
        <v>#DIV/0!</v>
      </c>
      <c r="AP273" s="144" t="e">
        <f t="shared" si="99"/>
        <v>#DIV/0!</v>
      </c>
      <c r="AQ273" s="144" t="e">
        <f t="shared" si="99"/>
        <v>#DIV/0!</v>
      </c>
      <c r="AR273" s="144" t="e">
        <f t="shared" si="99"/>
        <v>#DIV/0!</v>
      </c>
      <c r="AS273" s="144" t="e">
        <f t="shared" si="99"/>
        <v>#DIV/0!</v>
      </c>
      <c r="AT273" s="9" t="e">
        <f t="shared" si="99"/>
        <v>#DIV/0!</v>
      </c>
      <c r="AU273" s="144" t="e">
        <f t="shared" si="99"/>
        <v>#DIV/0!</v>
      </c>
      <c r="AV273" s="144" t="e">
        <f t="shared" si="99"/>
        <v>#DIV/0!</v>
      </c>
      <c r="AW273" s="144" t="e">
        <f t="shared" si="99"/>
        <v>#DIV/0!</v>
      </c>
      <c r="AX273" s="144" t="e">
        <f t="shared" si="99"/>
        <v>#DIV/0!</v>
      </c>
      <c r="AY273" s="117" t="e">
        <f t="shared" si="99"/>
        <v>#DIV/0!</v>
      </c>
    </row>
    <row r="274" spans="1:51">
      <c r="A274" s="137" t="s">
        <v>297</v>
      </c>
      <c r="B274" s="117" t="e">
        <f t="shared" si="99"/>
        <v>#DIV/0!</v>
      </c>
      <c r="C274" s="117" t="e">
        <f t="shared" si="99"/>
        <v>#DIV/0!</v>
      </c>
      <c r="D274" s="117" t="e">
        <f t="shared" si="99"/>
        <v>#DIV/0!</v>
      </c>
      <c r="E274" s="117" t="e">
        <f t="shared" si="99"/>
        <v>#DIV/0!</v>
      </c>
      <c r="F274" s="9" t="e">
        <f t="shared" si="99"/>
        <v>#DIV/0!</v>
      </c>
      <c r="G274" s="117" t="e">
        <f t="shared" si="99"/>
        <v>#DIV/0!</v>
      </c>
      <c r="H274" s="117" t="e">
        <f t="shared" si="99"/>
        <v>#DIV/0!</v>
      </c>
      <c r="I274" s="117" t="e">
        <f t="shared" si="99"/>
        <v>#DIV/0!</v>
      </c>
      <c r="J274" s="117" t="e">
        <f t="shared" si="99"/>
        <v>#DIV/0!</v>
      </c>
      <c r="K274" s="9" t="e">
        <f t="shared" si="99"/>
        <v>#DIV/0!</v>
      </c>
      <c r="L274" s="117" t="e">
        <f t="shared" si="99"/>
        <v>#DIV/0!</v>
      </c>
      <c r="M274" s="117" t="e">
        <f t="shared" si="99"/>
        <v>#DIV/0!</v>
      </c>
      <c r="N274" s="117" t="e">
        <f t="shared" si="99"/>
        <v>#DIV/0!</v>
      </c>
      <c r="O274" s="117" t="e">
        <f t="shared" si="99"/>
        <v>#DIV/0!</v>
      </c>
      <c r="P274" s="9" t="e">
        <f t="shared" si="99"/>
        <v>#DIV/0!</v>
      </c>
      <c r="Q274" s="144" t="e">
        <f t="shared" si="99"/>
        <v>#DIV/0!</v>
      </c>
      <c r="R274" s="144" t="e">
        <f t="shared" si="99"/>
        <v>#DIV/0!</v>
      </c>
      <c r="S274" s="144" t="e">
        <f t="shared" si="99"/>
        <v>#DIV/0!</v>
      </c>
      <c r="T274" s="144" t="e">
        <f t="shared" si="99"/>
        <v>#DIV/0!</v>
      </c>
      <c r="U274" s="9" t="e">
        <f t="shared" si="99"/>
        <v>#DIV/0!</v>
      </c>
      <c r="V274" s="144" t="e">
        <f t="shared" si="99"/>
        <v>#DIV/0!</v>
      </c>
      <c r="W274" s="144" t="e">
        <f t="shared" si="99"/>
        <v>#DIV/0!</v>
      </c>
      <c r="X274" s="144" t="e">
        <f t="shared" si="99"/>
        <v>#DIV/0!</v>
      </c>
      <c r="Y274" s="144" t="e">
        <f t="shared" si="99"/>
        <v>#DIV/0!</v>
      </c>
      <c r="Z274" s="9" t="e">
        <f t="shared" si="99"/>
        <v>#DIV/0!</v>
      </c>
      <c r="AA274" s="144" t="e">
        <f t="shared" si="99"/>
        <v>#DIV/0!</v>
      </c>
      <c r="AB274" s="144" t="e">
        <f t="shared" si="99"/>
        <v>#DIV/0!</v>
      </c>
      <c r="AC274" s="144" t="e">
        <f t="shared" si="99"/>
        <v>#DIV/0!</v>
      </c>
      <c r="AD274" s="144" t="e">
        <f t="shared" si="99"/>
        <v>#DIV/0!</v>
      </c>
      <c r="AE274" s="9" t="e">
        <f t="shared" si="99"/>
        <v>#DIV/0!</v>
      </c>
      <c r="AF274" s="144" t="e">
        <f t="shared" si="99"/>
        <v>#DIV/0!</v>
      </c>
      <c r="AG274" s="144" t="e">
        <f t="shared" si="99"/>
        <v>#DIV/0!</v>
      </c>
      <c r="AH274" s="144" t="e">
        <f t="shared" si="99"/>
        <v>#DIV/0!</v>
      </c>
      <c r="AI274" s="144" t="e">
        <f t="shared" si="99"/>
        <v>#DIV/0!</v>
      </c>
      <c r="AJ274" s="9" t="e">
        <f t="shared" si="99"/>
        <v>#DIV/0!</v>
      </c>
      <c r="AK274" s="144" t="e">
        <f t="shared" si="99"/>
        <v>#DIV/0!</v>
      </c>
      <c r="AL274" s="144" t="e">
        <f t="shared" si="99"/>
        <v>#DIV/0!</v>
      </c>
      <c r="AM274" s="144" t="e">
        <f t="shared" si="99"/>
        <v>#DIV/0!</v>
      </c>
      <c r="AN274" s="144" t="e">
        <f t="shared" si="99"/>
        <v>#DIV/0!</v>
      </c>
      <c r="AO274" s="9" t="e">
        <f t="shared" si="99"/>
        <v>#DIV/0!</v>
      </c>
      <c r="AP274" s="144" t="e">
        <f t="shared" si="99"/>
        <v>#DIV/0!</v>
      </c>
      <c r="AQ274" s="144" t="e">
        <f t="shared" si="99"/>
        <v>#DIV/0!</v>
      </c>
      <c r="AR274" s="144" t="e">
        <f t="shared" si="99"/>
        <v>#DIV/0!</v>
      </c>
      <c r="AS274" s="144" t="e">
        <f t="shared" si="99"/>
        <v>#DIV/0!</v>
      </c>
      <c r="AT274" s="9" t="e">
        <f t="shared" si="99"/>
        <v>#DIV/0!</v>
      </c>
      <c r="AU274" s="144" t="e">
        <f t="shared" si="99"/>
        <v>#DIV/0!</v>
      </c>
      <c r="AV274" s="144" t="e">
        <f t="shared" si="99"/>
        <v>#DIV/0!</v>
      </c>
      <c r="AW274" s="144" t="e">
        <f t="shared" si="99"/>
        <v>#DIV/0!</v>
      </c>
      <c r="AX274" s="144" t="e">
        <f t="shared" si="99"/>
        <v>#DIV/0!</v>
      </c>
      <c r="AY274" s="117" t="e">
        <f t="shared" si="99"/>
        <v>#DIV/0!</v>
      </c>
    </row>
    <row r="275" ht="16.5" spans="1:51">
      <c r="A275" s="139"/>
      <c r="B275" s="126" t="e">
        <f t="shared" si="99"/>
        <v>#DIV/0!</v>
      </c>
      <c r="C275" s="126" t="e">
        <f t="shared" si="99"/>
        <v>#DIV/0!</v>
      </c>
      <c r="D275" s="126" t="e">
        <f t="shared" si="99"/>
        <v>#DIV/0!</v>
      </c>
      <c r="E275" s="126" t="e">
        <f t="shared" si="99"/>
        <v>#DIV/0!</v>
      </c>
      <c r="F275" s="33" t="e">
        <f t="shared" si="99"/>
        <v>#DIV/0!</v>
      </c>
      <c r="G275" s="126" t="e">
        <f t="shared" si="99"/>
        <v>#DIV/0!</v>
      </c>
      <c r="H275" s="126" t="e">
        <f t="shared" si="99"/>
        <v>#DIV/0!</v>
      </c>
      <c r="I275" s="126" t="e">
        <f t="shared" si="99"/>
        <v>#DIV/0!</v>
      </c>
      <c r="J275" s="126" t="e">
        <f t="shared" si="99"/>
        <v>#DIV/0!</v>
      </c>
      <c r="K275" s="33" t="e">
        <f t="shared" si="99"/>
        <v>#DIV/0!</v>
      </c>
      <c r="L275" s="126" t="e">
        <f t="shared" si="99"/>
        <v>#DIV/0!</v>
      </c>
      <c r="M275" s="126" t="e">
        <f t="shared" si="99"/>
        <v>#DIV/0!</v>
      </c>
      <c r="N275" s="126" t="e">
        <f t="shared" si="99"/>
        <v>#DIV/0!</v>
      </c>
      <c r="O275" s="126" t="e">
        <f t="shared" si="99"/>
        <v>#DIV/0!</v>
      </c>
      <c r="P275" s="33" t="e">
        <f t="shared" si="99"/>
        <v>#DIV/0!</v>
      </c>
      <c r="Q275" s="126" t="e">
        <f t="shared" si="99"/>
        <v>#DIV/0!</v>
      </c>
      <c r="R275" s="126" t="e">
        <f t="shared" si="99"/>
        <v>#DIV/0!</v>
      </c>
      <c r="S275" s="126" t="e">
        <f t="shared" si="99"/>
        <v>#DIV/0!</v>
      </c>
      <c r="T275" s="126" t="e">
        <f t="shared" si="99"/>
        <v>#DIV/0!</v>
      </c>
      <c r="U275" s="33" t="e">
        <f t="shared" si="99"/>
        <v>#DIV/0!</v>
      </c>
      <c r="V275" s="126" t="e">
        <f t="shared" si="99"/>
        <v>#DIV/0!</v>
      </c>
      <c r="W275" s="126" t="e">
        <f t="shared" si="99"/>
        <v>#DIV/0!</v>
      </c>
      <c r="X275" s="126" t="e">
        <f t="shared" si="99"/>
        <v>#DIV/0!</v>
      </c>
      <c r="Y275" s="126" t="e">
        <f t="shared" si="99"/>
        <v>#DIV/0!</v>
      </c>
      <c r="Z275" s="33" t="e">
        <f t="shared" si="99"/>
        <v>#DIV/0!</v>
      </c>
      <c r="AA275" s="126" t="e">
        <f t="shared" si="99"/>
        <v>#DIV/0!</v>
      </c>
      <c r="AB275" s="126" t="e">
        <f t="shared" si="99"/>
        <v>#DIV/0!</v>
      </c>
      <c r="AC275" s="126" t="e">
        <f t="shared" si="99"/>
        <v>#DIV/0!</v>
      </c>
      <c r="AD275" s="126" t="e">
        <f t="shared" si="99"/>
        <v>#DIV/0!</v>
      </c>
      <c r="AE275" s="33" t="e">
        <f t="shared" si="99"/>
        <v>#DIV/0!</v>
      </c>
      <c r="AF275" s="126" t="e">
        <f t="shared" si="99"/>
        <v>#DIV/0!</v>
      </c>
      <c r="AG275" s="126" t="e">
        <f t="shared" si="99"/>
        <v>#DIV/0!</v>
      </c>
      <c r="AH275" s="126" t="e">
        <f t="shared" si="99"/>
        <v>#DIV/0!</v>
      </c>
      <c r="AI275" s="126" t="e">
        <f t="shared" si="99"/>
        <v>#DIV/0!</v>
      </c>
      <c r="AJ275" s="33" t="e">
        <f t="shared" si="99"/>
        <v>#DIV/0!</v>
      </c>
      <c r="AK275" s="126" t="e">
        <f t="shared" si="99"/>
        <v>#DIV/0!</v>
      </c>
      <c r="AL275" s="126" t="e">
        <f t="shared" si="99"/>
        <v>#DIV/0!</v>
      </c>
      <c r="AM275" s="126" t="e">
        <f t="shared" si="99"/>
        <v>#DIV/0!</v>
      </c>
      <c r="AN275" s="126" t="e">
        <f t="shared" si="99"/>
        <v>#DIV/0!</v>
      </c>
      <c r="AO275" s="33" t="e">
        <f t="shared" si="99"/>
        <v>#DIV/0!</v>
      </c>
      <c r="AP275" s="126" t="e">
        <f t="shared" si="99"/>
        <v>#DIV/0!</v>
      </c>
      <c r="AQ275" s="126" t="e">
        <f t="shared" si="99"/>
        <v>#DIV/0!</v>
      </c>
      <c r="AR275" s="126" t="e">
        <f t="shared" si="99"/>
        <v>#DIV/0!</v>
      </c>
      <c r="AS275" s="126" t="e">
        <f t="shared" si="99"/>
        <v>#DIV/0!</v>
      </c>
      <c r="AT275" s="33" t="e">
        <f t="shared" si="99"/>
        <v>#DIV/0!</v>
      </c>
      <c r="AU275" s="126" t="e">
        <f t="shared" si="99"/>
        <v>#DIV/0!</v>
      </c>
      <c r="AV275" s="126" t="e">
        <f t="shared" si="99"/>
        <v>#DIV/0!</v>
      </c>
      <c r="AW275" s="126" t="e">
        <f t="shared" si="99"/>
        <v>#DIV/0!</v>
      </c>
      <c r="AX275" s="126" t="e">
        <f t="shared" si="99"/>
        <v>#DIV/0!</v>
      </c>
      <c r="AY275" s="126" t="e">
        <f t="shared" si="99"/>
        <v>#DIV/0!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7"/>
  <sheetViews>
    <sheetView zoomScale="85" zoomScaleNormal="85" workbookViewId="0">
      <pane xSplit="1" ySplit="2" topLeftCell="B3" activePane="bottomRight" state="frozen"/>
      <selection/>
      <selection pane="topRight"/>
      <selection pane="bottomLeft"/>
      <selection pane="bottomRight" activeCell="I128" sqref="I128"/>
    </sheetView>
  </sheetViews>
  <sheetFormatPr defaultColWidth="9" defaultRowHeight="15.75"/>
  <cols>
    <col min="1" max="1" width="17.2035398230088" style="56" customWidth="1"/>
    <col min="2" max="5" width="14.1327433628319" style="1" customWidth="1" outlineLevel="1"/>
    <col min="6" max="6" width="16.2654867256637" style="1" customWidth="1"/>
    <col min="7" max="10" width="15.2035398230088" style="1" customWidth="1" outlineLevel="3"/>
    <col min="11" max="11" width="15.2654867256637" style="1" customWidth="1" outlineLevel="2"/>
    <col min="12" max="15" width="15.2035398230088" style="1" customWidth="1" outlineLevel="3"/>
    <col min="16" max="16" width="15.2654867256637" style="1" customWidth="1" outlineLevel="2"/>
    <col min="17" max="20" width="15.2035398230088" style="1" customWidth="1" outlineLevel="2"/>
    <col min="21" max="21" width="14.070796460177" style="1" customWidth="1" outlineLevel="1"/>
    <col min="22" max="25" width="15.2035398230088" style="1" customWidth="1" outlineLevel="2"/>
    <col min="26" max="26" width="15.2035398230088" style="1" customWidth="1" outlineLevel="1"/>
    <col min="27" max="30" width="15.2035398230088" style="1" customWidth="1" outlineLevel="2"/>
    <col min="31" max="31" width="15.2035398230088" style="1" customWidth="1" outlineLevel="1"/>
    <col min="32" max="35" width="15.2035398230088" style="1" customWidth="1" outlineLevel="2"/>
    <col min="36" max="36" width="15.2035398230088" style="1" customWidth="1" outlineLevel="1"/>
    <col min="37" max="40" width="15.2035398230088" style="1" customWidth="1" outlineLevel="2"/>
    <col min="41" max="41" width="15.2035398230088" style="1" customWidth="1" outlineLevel="1"/>
    <col min="42" max="42" width="11.3362831858407" style="1" customWidth="1" outlineLevel="2"/>
    <col min="43" max="45" width="11.7345132743363" style="1" customWidth="1" outlineLevel="2"/>
    <col min="46" max="46" width="14" style="1" customWidth="1" outlineLevel="1"/>
    <col min="47" max="47" width="12.7964601769912" style="1" customWidth="1" outlineLevel="2"/>
    <col min="48" max="50" width="12.929203539823" style="1" customWidth="1" outlineLevel="2"/>
    <col min="51" max="51" width="16.7345132743363" style="1" customWidth="1" outlineLevel="1"/>
    <col min="52" max="16384" width="9" style="1"/>
  </cols>
  <sheetData>
    <row r="1" s="55" customFormat="1" ht="16.5" spans="1:51">
      <c r="A1" s="60" t="s">
        <v>0</v>
      </c>
      <c r="B1" s="61" t="s">
        <v>2</v>
      </c>
      <c r="C1" s="61"/>
      <c r="D1" s="61"/>
      <c r="E1" s="61"/>
      <c r="F1" s="62"/>
      <c r="G1" s="63" t="s">
        <v>3</v>
      </c>
      <c r="H1" s="63"/>
      <c r="I1" s="63"/>
      <c r="J1" s="63"/>
      <c r="K1" s="64"/>
      <c r="L1" s="63" t="s">
        <v>4</v>
      </c>
      <c r="M1" s="63"/>
      <c r="N1" s="63"/>
      <c r="O1" s="63"/>
      <c r="P1" s="64"/>
      <c r="Q1" s="63" t="s">
        <v>5</v>
      </c>
      <c r="R1" s="63"/>
      <c r="S1" s="63"/>
      <c r="T1" s="63"/>
      <c r="U1" s="64"/>
      <c r="V1" s="63" t="s">
        <v>6</v>
      </c>
      <c r="W1" s="63"/>
      <c r="X1" s="63"/>
      <c r="Y1" s="63"/>
      <c r="Z1" s="64"/>
      <c r="AA1" s="63" t="s">
        <v>7</v>
      </c>
      <c r="AB1" s="63"/>
      <c r="AC1" s="63"/>
      <c r="AD1" s="63"/>
      <c r="AE1" s="64"/>
      <c r="AF1" s="63" t="s">
        <v>8</v>
      </c>
      <c r="AG1" s="63"/>
      <c r="AH1" s="63"/>
      <c r="AI1" s="63"/>
      <c r="AJ1" s="64"/>
      <c r="AK1" s="63" t="s">
        <v>9</v>
      </c>
      <c r="AL1" s="63"/>
      <c r="AM1" s="63"/>
      <c r="AN1" s="63"/>
      <c r="AO1" s="64"/>
      <c r="AP1" s="63" t="s">
        <v>10</v>
      </c>
      <c r="AQ1" s="63"/>
      <c r="AR1" s="63"/>
      <c r="AS1" s="63"/>
      <c r="AT1" s="64"/>
      <c r="AU1" s="63" t="s">
        <v>11</v>
      </c>
      <c r="AV1" s="63"/>
      <c r="AW1" s="63"/>
      <c r="AX1" s="63"/>
      <c r="AY1" s="63"/>
    </row>
    <row r="2" s="55" customFormat="1" ht="16.5" spans="1:51">
      <c r="A2" s="145" t="s">
        <v>18</v>
      </c>
      <c r="B2" s="135" t="s">
        <v>20</v>
      </c>
      <c r="C2" s="135" t="s">
        <v>21</v>
      </c>
      <c r="D2" s="135">
        <v>45717</v>
      </c>
      <c r="E2" s="135">
        <v>45748</v>
      </c>
      <c r="F2" s="136" t="s">
        <v>305</v>
      </c>
      <c r="G2" s="71" t="s">
        <v>20</v>
      </c>
      <c r="H2" s="71" t="s">
        <v>21</v>
      </c>
      <c r="I2" s="71">
        <v>45717</v>
      </c>
      <c r="J2" s="71">
        <v>45748</v>
      </c>
      <c r="K2" s="72" t="s">
        <v>305</v>
      </c>
      <c r="L2" s="71" t="s">
        <v>20</v>
      </c>
      <c r="M2" s="71" t="s">
        <v>21</v>
      </c>
      <c r="N2" s="71">
        <v>45717</v>
      </c>
      <c r="O2" s="71">
        <v>45748</v>
      </c>
      <c r="P2" s="72" t="s">
        <v>305</v>
      </c>
      <c r="Q2" s="71" t="s">
        <v>20</v>
      </c>
      <c r="R2" s="71" t="s">
        <v>21</v>
      </c>
      <c r="S2" s="71">
        <v>45717</v>
      </c>
      <c r="T2" s="71">
        <v>45748</v>
      </c>
      <c r="U2" s="72" t="s">
        <v>305</v>
      </c>
      <c r="V2" s="71" t="s">
        <v>20</v>
      </c>
      <c r="W2" s="71" t="s">
        <v>21</v>
      </c>
      <c r="X2" s="71">
        <v>45717</v>
      </c>
      <c r="Y2" s="71">
        <v>45748</v>
      </c>
      <c r="Z2" s="72" t="s">
        <v>305</v>
      </c>
      <c r="AA2" s="71" t="s">
        <v>20</v>
      </c>
      <c r="AB2" s="71" t="s">
        <v>21</v>
      </c>
      <c r="AC2" s="71">
        <v>45717</v>
      </c>
      <c r="AD2" s="71">
        <v>45748</v>
      </c>
      <c r="AE2" s="72" t="s">
        <v>305</v>
      </c>
      <c r="AF2" s="71" t="s">
        <v>20</v>
      </c>
      <c r="AG2" s="71" t="s">
        <v>21</v>
      </c>
      <c r="AH2" s="71">
        <v>45717</v>
      </c>
      <c r="AI2" s="71">
        <v>45748</v>
      </c>
      <c r="AJ2" s="72" t="s">
        <v>305</v>
      </c>
      <c r="AK2" s="71" t="s">
        <v>20</v>
      </c>
      <c r="AL2" s="71" t="s">
        <v>21</v>
      </c>
      <c r="AM2" s="71">
        <v>45717</v>
      </c>
      <c r="AN2" s="71">
        <v>45748</v>
      </c>
      <c r="AO2" s="72" t="s">
        <v>305</v>
      </c>
      <c r="AP2" s="71" t="s">
        <v>20</v>
      </c>
      <c r="AQ2" s="71" t="s">
        <v>21</v>
      </c>
      <c r="AR2" s="71">
        <v>45717</v>
      </c>
      <c r="AS2" s="71">
        <v>45748</v>
      </c>
      <c r="AT2" s="72" t="s">
        <v>305</v>
      </c>
      <c r="AU2" s="71" t="s">
        <v>20</v>
      </c>
      <c r="AV2" s="71" t="s">
        <v>21</v>
      </c>
      <c r="AW2" s="71">
        <v>45717</v>
      </c>
      <c r="AX2" s="71">
        <v>45748</v>
      </c>
      <c r="AY2" s="73" t="s">
        <v>305</v>
      </c>
    </row>
    <row r="3" spans="1:51">
      <c r="A3" s="137" t="s">
        <v>389</v>
      </c>
      <c r="B3" s="138">
        <f>G3+L3+Q3+V3+AA3+AF3+AK3+AP3+AU3</f>
        <v>0</v>
      </c>
      <c r="C3" s="138">
        <f>H3+M3+R3+W3+AB3+AG3+AL3+AQ3+AV3</f>
        <v>0</v>
      </c>
      <c r="D3" s="138">
        <f>I3+N3+S3+X3+AC3+AH3+AM3+AR3+AW3</f>
        <v>0</v>
      </c>
      <c r="E3" s="138">
        <f>J3+O3+T3+Y3+AD3+AI3+AN3+AS3+AX3</f>
        <v>0</v>
      </c>
      <c r="F3" s="86">
        <f t="shared" ref="F3:F8" si="0">SUM(B3:E3)</f>
        <v>0</v>
      </c>
      <c r="G3" s="138"/>
      <c r="H3" s="138"/>
      <c r="I3" s="138"/>
      <c r="J3" s="138"/>
      <c r="K3" s="86"/>
      <c r="L3" s="138"/>
      <c r="M3" s="138"/>
      <c r="N3" s="138"/>
      <c r="O3" s="138"/>
      <c r="P3" s="86"/>
      <c r="Q3" s="138"/>
      <c r="R3" s="138"/>
      <c r="S3" s="138"/>
      <c r="T3" s="138"/>
      <c r="U3" s="86"/>
      <c r="V3" s="138"/>
      <c r="W3" s="138"/>
      <c r="X3" s="138"/>
      <c r="Y3" s="138"/>
      <c r="Z3" s="86"/>
      <c r="AA3" s="138"/>
      <c r="AB3" s="138"/>
      <c r="AC3" s="138"/>
      <c r="AD3" s="138"/>
      <c r="AE3" s="86"/>
      <c r="AF3" s="138"/>
      <c r="AG3" s="138"/>
      <c r="AH3" s="138"/>
      <c r="AI3" s="138"/>
      <c r="AJ3" s="86"/>
      <c r="AK3" s="138"/>
      <c r="AL3" s="138"/>
      <c r="AM3" s="138"/>
      <c r="AN3" s="138"/>
      <c r="AO3" s="86"/>
      <c r="AP3" s="138"/>
      <c r="AQ3" s="138"/>
      <c r="AR3" s="138"/>
      <c r="AS3" s="138"/>
      <c r="AT3" s="86"/>
      <c r="AU3" s="138"/>
      <c r="AV3" s="138"/>
      <c r="AW3" s="138"/>
      <c r="AX3" s="138"/>
      <c r="AY3" s="85"/>
    </row>
    <row r="4" spans="1:51">
      <c r="A4" s="137" t="s">
        <v>390</v>
      </c>
      <c r="B4" s="138">
        <f t="shared" ref="B4:E7" si="1">G4+L4+Q4+V4+AA4+AF4+AK4+AP4+AU4</f>
        <v>0</v>
      </c>
      <c r="C4" s="138">
        <f t="shared" si="1"/>
        <v>0</v>
      </c>
      <c r="D4" s="138">
        <f t="shared" si="1"/>
        <v>0</v>
      </c>
      <c r="E4" s="138">
        <f t="shared" si="1"/>
        <v>0</v>
      </c>
      <c r="F4" s="86">
        <f t="shared" si="0"/>
        <v>0</v>
      </c>
      <c r="G4" s="138"/>
      <c r="H4" s="138"/>
      <c r="I4" s="138"/>
      <c r="J4" s="138"/>
      <c r="K4" s="86"/>
      <c r="L4" s="138"/>
      <c r="M4" s="138"/>
      <c r="N4" s="138"/>
      <c r="O4" s="138"/>
      <c r="P4" s="86"/>
      <c r="Q4" s="138"/>
      <c r="R4" s="138"/>
      <c r="S4" s="138"/>
      <c r="T4" s="138"/>
      <c r="U4" s="86"/>
      <c r="V4" s="138"/>
      <c r="W4" s="138"/>
      <c r="X4" s="138"/>
      <c r="Y4" s="138"/>
      <c r="Z4" s="86"/>
      <c r="AA4" s="138"/>
      <c r="AB4" s="138"/>
      <c r="AC4" s="138"/>
      <c r="AD4" s="138"/>
      <c r="AE4" s="86"/>
      <c r="AF4" s="138"/>
      <c r="AG4" s="138"/>
      <c r="AH4" s="138"/>
      <c r="AI4" s="138"/>
      <c r="AJ4" s="86"/>
      <c r="AK4" s="138"/>
      <c r="AL4" s="138"/>
      <c r="AM4" s="138"/>
      <c r="AN4" s="138"/>
      <c r="AO4" s="86"/>
      <c r="AP4" s="138"/>
      <c r="AQ4" s="138"/>
      <c r="AR4" s="138"/>
      <c r="AS4" s="138"/>
      <c r="AT4" s="86"/>
      <c r="AU4" s="138"/>
      <c r="AV4" s="138"/>
      <c r="AW4" s="138"/>
      <c r="AX4" s="138"/>
      <c r="AY4" s="85"/>
    </row>
    <row r="5" spans="1:51">
      <c r="A5" s="137" t="s">
        <v>391</v>
      </c>
      <c r="B5" s="138">
        <f t="shared" si="1"/>
        <v>0</v>
      </c>
      <c r="C5" s="138">
        <f t="shared" si="1"/>
        <v>0</v>
      </c>
      <c r="D5" s="138">
        <f t="shared" si="1"/>
        <v>0</v>
      </c>
      <c r="E5" s="138">
        <f t="shared" si="1"/>
        <v>0</v>
      </c>
      <c r="F5" s="86">
        <f t="shared" si="0"/>
        <v>0</v>
      </c>
      <c r="G5" s="138"/>
      <c r="H5" s="138"/>
      <c r="I5" s="138"/>
      <c r="J5" s="138"/>
      <c r="K5" s="86"/>
      <c r="L5" s="138"/>
      <c r="M5" s="138"/>
      <c r="N5" s="138"/>
      <c r="O5" s="138"/>
      <c r="P5" s="86"/>
      <c r="Q5" s="138"/>
      <c r="R5" s="138"/>
      <c r="S5" s="138"/>
      <c r="T5" s="138"/>
      <c r="U5" s="86"/>
      <c r="V5" s="138"/>
      <c r="W5" s="138"/>
      <c r="X5" s="138"/>
      <c r="Y5" s="138"/>
      <c r="Z5" s="86"/>
      <c r="AA5" s="138"/>
      <c r="AB5" s="138"/>
      <c r="AC5" s="138"/>
      <c r="AD5" s="138"/>
      <c r="AE5" s="86"/>
      <c r="AF5" s="138"/>
      <c r="AG5" s="138"/>
      <c r="AH5" s="138"/>
      <c r="AI5" s="138"/>
      <c r="AJ5" s="86"/>
      <c r="AK5" s="138"/>
      <c r="AL5" s="138"/>
      <c r="AM5" s="138"/>
      <c r="AN5" s="138"/>
      <c r="AO5" s="86"/>
      <c r="AP5" s="138"/>
      <c r="AQ5" s="138"/>
      <c r="AR5" s="138"/>
      <c r="AS5" s="138"/>
      <c r="AT5" s="86"/>
      <c r="AU5" s="138"/>
      <c r="AV5" s="138"/>
      <c r="AW5" s="138"/>
      <c r="AX5" s="138"/>
      <c r="AY5" s="85"/>
    </row>
    <row r="6" spans="1:51">
      <c r="A6" s="137" t="s">
        <v>392</v>
      </c>
      <c r="B6" s="138">
        <f t="shared" si="1"/>
        <v>0</v>
      </c>
      <c r="C6" s="138">
        <f t="shared" si="1"/>
        <v>0</v>
      </c>
      <c r="D6" s="138">
        <f t="shared" si="1"/>
        <v>0</v>
      </c>
      <c r="E6" s="138">
        <f t="shared" si="1"/>
        <v>0</v>
      </c>
      <c r="F6" s="86">
        <f t="shared" si="0"/>
        <v>0</v>
      </c>
      <c r="G6" s="138"/>
      <c r="H6" s="138"/>
      <c r="I6" s="138"/>
      <c r="J6" s="138"/>
      <c r="K6" s="86"/>
      <c r="L6" s="138"/>
      <c r="M6" s="138"/>
      <c r="N6" s="138"/>
      <c r="O6" s="138"/>
      <c r="P6" s="86"/>
      <c r="Q6" s="138"/>
      <c r="R6" s="138"/>
      <c r="S6" s="138"/>
      <c r="T6" s="138"/>
      <c r="U6" s="86"/>
      <c r="V6" s="138"/>
      <c r="W6" s="138"/>
      <c r="X6" s="138"/>
      <c r="Y6" s="138"/>
      <c r="Z6" s="86"/>
      <c r="AA6" s="138"/>
      <c r="AB6" s="138"/>
      <c r="AC6" s="138"/>
      <c r="AD6" s="138"/>
      <c r="AE6" s="86"/>
      <c r="AF6" s="138"/>
      <c r="AG6" s="138"/>
      <c r="AH6" s="138"/>
      <c r="AI6" s="138"/>
      <c r="AJ6" s="86"/>
      <c r="AK6" s="138"/>
      <c r="AL6" s="138"/>
      <c r="AM6" s="138"/>
      <c r="AN6" s="138"/>
      <c r="AO6" s="86"/>
      <c r="AP6" s="138"/>
      <c r="AQ6" s="138"/>
      <c r="AR6" s="138"/>
      <c r="AS6" s="138"/>
      <c r="AT6" s="86"/>
      <c r="AU6" s="138"/>
      <c r="AV6" s="138"/>
      <c r="AW6" s="138"/>
      <c r="AX6" s="138"/>
      <c r="AY6" s="85"/>
    </row>
    <row r="7" spans="1:51">
      <c r="A7" s="137" t="s">
        <v>393</v>
      </c>
      <c r="B7" s="138">
        <f t="shared" si="1"/>
        <v>0</v>
      </c>
      <c r="C7" s="138">
        <f t="shared" si="1"/>
        <v>0</v>
      </c>
      <c r="D7" s="138">
        <f t="shared" si="1"/>
        <v>0</v>
      </c>
      <c r="E7" s="138">
        <f t="shared" si="1"/>
        <v>0</v>
      </c>
      <c r="F7" s="86">
        <f t="shared" si="0"/>
        <v>0</v>
      </c>
      <c r="G7" s="138"/>
      <c r="H7" s="138"/>
      <c r="I7" s="138"/>
      <c r="J7" s="138"/>
      <c r="K7" s="86"/>
      <c r="L7" s="138"/>
      <c r="M7" s="138"/>
      <c r="N7" s="138"/>
      <c r="O7" s="138"/>
      <c r="P7" s="86"/>
      <c r="Q7" s="138"/>
      <c r="R7" s="138"/>
      <c r="S7" s="138"/>
      <c r="T7" s="138"/>
      <c r="U7" s="86"/>
      <c r="V7" s="138"/>
      <c r="W7" s="138"/>
      <c r="X7" s="138"/>
      <c r="Y7" s="138"/>
      <c r="Z7" s="86"/>
      <c r="AA7" s="138"/>
      <c r="AB7" s="138"/>
      <c r="AC7" s="138"/>
      <c r="AD7" s="138"/>
      <c r="AE7" s="86"/>
      <c r="AF7" s="138"/>
      <c r="AG7" s="138"/>
      <c r="AH7" s="138"/>
      <c r="AI7" s="138"/>
      <c r="AJ7" s="86"/>
      <c r="AK7" s="138"/>
      <c r="AL7" s="138"/>
      <c r="AM7" s="138"/>
      <c r="AN7" s="138"/>
      <c r="AO7" s="86"/>
      <c r="AP7" s="138"/>
      <c r="AQ7" s="138"/>
      <c r="AR7" s="138"/>
      <c r="AS7" s="138"/>
      <c r="AT7" s="86"/>
      <c r="AU7" s="138"/>
      <c r="AV7" s="138"/>
      <c r="AW7" s="138"/>
      <c r="AX7" s="138"/>
      <c r="AY7" s="85"/>
    </row>
    <row r="8" ht="16.5" spans="1:51">
      <c r="A8" s="139" t="s">
        <v>305</v>
      </c>
      <c r="B8" s="140">
        <f>G8+L8+Q8+V8+AA8+AF8+AK8+AP8+AU8</f>
        <v>0</v>
      </c>
      <c r="C8" s="140">
        <f>H8+M8+R8+W8+AB8+AG8+AL8+AQ8+AV8</f>
        <v>0</v>
      </c>
      <c r="D8" s="140">
        <f>I8+N8+S8+X8+AC8+AH8+AM8+AR8+AW8</f>
        <v>0</v>
      </c>
      <c r="E8" s="140">
        <f>J8+O8+T8+Y8+AD8+AI8+AN8+AS8+AX8</f>
        <v>0</v>
      </c>
      <c r="F8" s="141">
        <f t="shared" si="0"/>
        <v>0</v>
      </c>
      <c r="G8" s="140">
        <f t="shared" ref="G8:AY8" si="2">SUM(G3:G7)</f>
        <v>0</v>
      </c>
      <c r="H8" s="140">
        <f t="shared" si="2"/>
        <v>0</v>
      </c>
      <c r="I8" s="140">
        <f t="shared" si="2"/>
        <v>0</v>
      </c>
      <c r="J8" s="140">
        <f t="shared" si="2"/>
        <v>0</v>
      </c>
      <c r="K8" s="141">
        <f t="shared" si="2"/>
        <v>0</v>
      </c>
      <c r="L8" s="140">
        <f t="shared" si="2"/>
        <v>0</v>
      </c>
      <c r="M8" s="140">
        <f t="shared" si="2"/>
        <v>0</v>
      </c>
      <c r="N8" s="140">
        <f t="shared" si="2"/>
        <v>0</v>
      </c>
      <c r="O8" s="140">
        <f t="shared" si="2"/>
        <v>0</v>
      </c>
      <c r="P8" s="141">
        <f t="shared" si="2"/>
        <v>0</v>
      </c>
      <c r="Q8" s="140">
        <f t="shared" si="2"/>
        <v>0</v>
      </c>
      <c r="R8" s="140">
        <f t="shared" si="2"/>
        <v>0</v>
      </c>
      <c r="S8" s="140">
        <f t="shared" si="2"/>
        <v>0</v>
      </c>
      <c r="T8" s="140">
        <f t="shared" si="2"/>
        <v>0</v>
      </c>
      <c r="U8" s="141">
        <f t="shared" si="2"/>
        <v>0</v>
      </c>
      <c r="V8" s="140">
        <f t="shared" si="2"/>
        <v>0</v>
      </c>
      <c r="W8" s="140">
        <f t="shared" si="2"/>
        <v>0</v>
      </c>
      <c r="X8" s="140">
        <f t="shared" si="2"/>
        <v>0</v>
      </c>
      <c r="Y8" s="140">
        <f t="shared" si="2"/>
        <v>0</v>
      </c>
      <c r="Z8" s="141">
        <f t="shared" si="2"/>
        <v>0</v>
      </c>
      <c r="AA8" s="140">
        <f t="shared" si="2"/>
        <v>0</v>
      </c>
      <c r="AB8" s="140">
        <f t="shared" si="2"/>
        <v>0</v>
      </c>
      <c r="AC8" s="140">
        <f t="shared" si="2"/>
        <v>0</v>
      </c>
      <c r="AD8" s="140">
        <f t="shared" si="2"/>
        <v>0</v>
      </c>
      <c r="AE8" s="141">
        <f t="shared" si="2"/>
        <v>0</v>
      </c>
      <c r="AF8" s="140">
        <f t="shared" si="2"/>
        <v>0</v>
      </c>
      <c r="AG8" s="140">
        <f t="shared" si="2"/>
        <v>0</v>
      </c>
      <c r="AH8" s="140">
        <f t="shared" si="2"/>
        <v>0</v>
      </c>
      <c r="AI8" s="140">
        <f t="shared" si="2"/>
        <v>0</v>
      </c>
      <c r="AJ8" s="141">
        <f t="shared" si="2"/>
        <v>0</v>
      </c>
      <c r="AK8" s="140">
        <f t="shared" si="2"/>
        <v>0</v>
      </c>
      <c r="AL8" s="140">
        <f t="shared" si="2"/>
        <v>0</v>
      </c>
      <c r="AM8" s="140">
        <f t="shared" si="2"/>
        <v>0</v>
      </c>
      <c r="AN8" s="140">
        <f t="shared" si="2"/>
        <v>0</v>
      </c>
      <c r="AO8" s="141">
        <f t="shared" si="2"/>
        <v>0</v>
      </c>
      <c r="AP8" s="140">
        <f t="shared" si="2"/>
        <v>0</v>
      </c>
      <c r="AQ8" s="140">
        <f t="shared" si="2"/>
        <v>0</v>
      </c>
      <c r="AR8" s="140">
        <f t="shared" si="2"/>
        <v>0</v>
      </c>
      <c r="AS8" s="140">
        <f t="shared" si="2"/>
        <v>0</v>
      </c>
      <c r="AT8" s="141">
        <f t="shared" si="2"/>
        <v>0</v>
      </c>
      <c r="AU8" s="140">
        <f t="shared" si="2"/>
        <v>0</v>
      </c>
      <c r="AV8" s="140">
        <f t="shared" si="2"/>
        <v>0</v>
      </c>
      <c r="AW8" s="140">
        <f t="shared" si="2"/>
        <v>0</v>
      </c>
      <c r="AX8" s="140">
        <f t="shared" si="2"/>
        <v>0</v>
      </c>
      <c r="AY8" s="140">
        <f t="shared" si="2"/>
        <v>0</v>
      </c>
    </row>
    <row r="10" ht="16.5" spans="1:51">
      <c r="A10" s="103" t="s">
        <v>381</v>
      </c>
      <c r="B10" s="61" t="s">
        <v>2</v>
      </c>
      <c r="C10" s="61"/>
      <c r="D10" s="61"/>
      <c r="E10" s="61"/>
      <c r="F10" s="62"/>
      <c r="G10" s="63" t="s">
        <v>3</v>
      </c>
      <c r="H10" s="63"/>
      <c r="I10" s="63"/>
      <c r="J10" s="63"/>
      <c r="K10" s="64"/>
      <c r="L10" s="63" t="s">
        <v>4</v>
      </c>
      <c r="M10" s="63"/>
      <c r="N10" s="63"/>
      <c r="O10" s="63"/>
      <c r="P10" s="64"/>
      <c r="Q10" s="63" t="s">
        <v>5</v>
      </c>
      <c r="R10" s="63"/>
      <c r="S10" s="63"/>
      <c r="T10" s="63"/>
      <c r="U10" s="64"/>
      <c r="V10" s="63" t="s">
        <v>6</v>
      </c>
      <c r="W10" s="63"/>
      <c r="X10" s="63"/>
      <c r="Y10" s="63"/>
      <c r="Z10" s="64"/>
      <c r="AA10" s="63" t="s">
        <v>7</v>
      </c>
      <c r="AB10" s="63"/>
      <c r="AC10" s="63"/>
      <c r="AD10" s="63"/>
      <c r="AE10" s="64"/>
      <c r="AF10" s="63" t="s">
        <v>8</v>
      </c>
      <c r="AG10" s="63"/>
      <c r="AH10" s="63"/>
      <c r="AI10" s="63"/>
      <c r="AJ10" s="64"/>
      <c r="AK10" s="63" t="s">
        <v>9</v>
      </c>
      <c r="AL10" s="63"/>
      <c r="AM10" s="63"/>
      <c r="AN10" s="63"/>
      <c r="AO10" s="64"/>
      <c r="AP10" s="63" t="s">
        <v>10</v>
      </c>
      <c r="AQ10" s="63"/>
      <c r="AR10" s="63"/>
      <c r="AS10" s="63"/>
      <c r="AT10" s="64"/>
      <c r="AU10" s="63" t="s">
        <v>11</v>
      </c>
      <c r="AV10" s="63"/>
      <c r="AW10" s="63"/>
      <c r="AX10" s="63"/>
      <c r="AY10" s="63"/>
    </row>
    <row r="11" s="55" customFormat="1" ht="16.5" spans="1:51">
      <c r="A11" s="146" t="s">
        <v>18</v>
      </c>
      <c r="B11" s="69" t="s">
        <v>20</v>
      </c>
      <c r="C11" s="69" t="s">
        <v>21</v>
      </c>
      <c r="D11" s="69">
        <v>45717</v>
      </c>
      <c r="E11" s="69">
        <v>45748</v>
      </c>
      <c r="F11" s="70" t="s">
        <v>305</v>
      </c>
      <c r="G11" s="71" t="s">
        <v>20</v>
      </c>
      <c r="H11" s="71" t="s">
        <v>21</v>
      </c>
      <c r="I11" s="71">
        <v>45717</v>
      </c>
      <c r="J11" s="71">
        <v>45748</v>
      </c>
      <c r="K11" s="72" t="s">
        <v>305</v>
      </c>
      <c r="L11" s="71" t="s">
        <v>20</v>
      </c>
      <c r="M11" s="71" t="s">
        <v>21</v>
      </c>
      <c r="N11" s="71">
        <v>45717</v>
      </c>
      <c r="O11" s="71">
        <v>45748</v>
      </c>
      <c r="P11" s="72" t="s">
        <v>305</v>
      </c>
      <c r="Q11" s="71" t="s">
        <v>20</v>
      </c>
      <c r="R11" s="71" t="s">
        <v>21</v>
      </c>
      <c r="S11" s="71">
        <v>45717</v>
      </c>
      <c r="T11" s="71">
        <v>45748</v>
      </c>
      <c r="U11" s="72" t="s">
        <v>305</v>
      </c>
      <c r="V11" s="71" t="s">
        <v>20</v>
      </c>
      <c r="W11" s="71" t="s">
        <v>21</v>
      </c>
      <c r="X11" s="71">
        <v>45717</v>
      </c>
      <c r="Y11" s="71">
        <v>45748</v>
      </c>
      <c r="Z11" s="72" t="s">
        <v>305</v>
      </c>
      <c r="AA11" s="71" t="s">
        <v>20</v>
      </c>
      <c r="AB11" s="71" t="s">
        <v>21</v>
      </c>
      <c r="AC11" s="71">
        <v>45717</v>
      </c>
      <c r="AD11" s="71">
        <v>45748</v>
      </c>
      <c r="AE11" s="72" t="s">
        <v>305</v>
      </c>
      <c r="AF11" s="71" t="s">
        <v>20</v>
      </c>
      <c r="AG11" s="71" t="s">
        <v>21</v>
      </c>
      <c r="AH11" s="71">
        <v>45717</v>
      </c>
      <c r="AI11" s="71">
        <v>45748</v>
      </c>
      <c r="AJ11" s="72" t="s">
        <v>305</v>
      </c>
      <c r="AK11" s="71" t="s">
        <v>20</v>
      </c>
      <c r="AL11" s="71" t="s">
        <v>21</v>
      </c>
      <c r="AM11" s="71">
        <v>45717</v>
      </c>
      <c r="AN11" s="71">
        <v>45748</v>
      </c>
      <c r="AO11" s="72" t="s">
        <v>305</v>
      </c>
      <c r="AP11" s="71" t="s">
        <v>20</v>
      </c>
      <c r="AQ11" s="71" t="s">
        <v>21</v>
      </c>
      <c r="AR11" s="71">
        <v>45717</v>
      </c>
      <c r="AS11" s="71">
        <v>45748</v>
      </c>
      <c r="AT11" s="72" t="s">
        <v>305</v>
      </c>
      <c r="AU11" s="71" t="s">
        <v>20</v>
      </c>
      <c r="AV11" s="71" t="s">
        <v>21</v>
      </c>
      <c r="AW11" s="71">
        <v>45717</v>
      </c>
      <c r="AX11" s="71">
        <v>45748</v>
      </c>
      <c r="AY11" s="73" t="s">
        <v>305</v>
      </c>
    </row>
    <row r="12" spans="1:51">
      <c r="A12" s="147" t="s">
        <v>389</v>
      </c>
      <c r="B12" s="111" t="e">
        <f t="shared" ref="B12:AB12" si="3">B3/B$8</f>
        <v>#DIV/0!</v>
      </c>
      <c r="C12" s="111" t="e">
        <f t="shared" si="3"/>
        <v>#DIV/0!</v>
      </c>
      <c r="D12" s="111" t="e">
        <f t="shared" si="3"/>
        <v>#DIV/0!</v>
      </c>
      <c r="E12" s="111" t="e">
        <f t="shared" si="3"/>
        <v>#DIV/0!</v>
      </c>
      <c r="F12" s="112" t="e">
        <f t="shared" si="3"/>
        <v>#DIV/0!</v>
      </c>
      <c r="G12" s="117" t="e">
        <f t="shared" si="3"/>
        <v>#DIV/0!</v>
      </c>
      <c r="H12" s="117" t="e">
        <f t="shared" si="3"/>
        <v>#DIV/0!</v>
      </c>
      <c r="I12" s="117" t="e">
        <f t="shared" si="3"/>
        <v>#DIV/0!</v>
      </c>
      <c r="J12" s="117" t="e">
        <f t="shared" si="3"/>
        <v>#DIV/0!</v>
      </c>
      <c r="K12" s="9" t="e">
        <f t="shared" si="3"/>
        <v>#DIV/0!</v>
      </c>
      <c r="L12" s="117" t="e">
        <f t="shared" si="3"/>
        <v>#DIV/0!</v>
      </c>
      <c r="M12" s="117" t="e">
        <f t="shared" si="3"/>
        <v>#DIV/0!</v>
      </c>
      <c r="N12" s="117" t="e">
        <f t="shared" si="3"/>
        <v>#DIV/0!</v>
      </c>
      <c r="O12" s="117" t="e">
        <f t="shared" si="3"/>
        <v>#DIV/0!</v>
      </c>
      <c r="P12" s="9" t="e">
        <f t="shared" si="3"/>
        <v>#DIV/0!</v>
      </c>
      <c r="Q12" s="144" t="e">
        <f t="shared" si="3"/>
        <v>#DIV/0!</v>
      </c>
      <c r="R12" s="144" t="e">
        <f t="shared" si="3"/>
        <v>#DIV/0!</v>
      </c>
      <c r="S12" s="144" t="e">
        <f t="shared" si="3"/>
        <v>#DIV/0!</v>
      </c>
      <c r="T12" s="144" t="e">
        <f t="shared" si="3"/>
        <v>#DIV/0!</v>
      </c>
      <c r="U12" s="9" t="e">
        <f t="shared" si="3"/>
        <v>#DIV/0!</v>
      </c>
      <c r="V12" s="144" t="e">
        <f t="shared" si="3"/>
        <v>#DIV/0!</v>
      </c>
      <c r="W12" s="144" t="e">
        <f t="shared" si="3"/>
        <v>#DIV/0!</v>
      </c>
      <c r="X12" s="144" t="e">
        <f t="shared" si="3"/>
        <v>#DIV/0!</v>
      </c>
      <c r="Y12" s="144" t="e">
        <f t="shared" si="3"/>
        <v>#DIV/0!</v>
      </c>
      <c r="Z12" s="9" t="e">
        <f t="shared" si="3"/>
        <v>#DIV/0!</v>
      </c>
      <c r="AA12" s="144" t="e">
        <f t="shared" si="3"/>
        <v>#DIV/0!</v>
      </c>
      <c r="AB12" s="144" t="e">
        <f t="shared" si="3"/>
        <v>#DIV/0!</v>
      </c>
      <c r="AC12" s="144" t="e">
        <f t="shared" ref="AC12:AY12" si="4">AC3/AC$8</f>
        <v>#DIV/0!</v>
      </c>
      <c r="AD12" s="144" t="e">
        <f t="shared" si="4"/>
        <v>#DIV/0!</v>
      </c>
      <c r="AE12" s="9" t="e">
        <f t="shared" si="4"/>
        <v>#DIV/0!</v>
      </c>
      <c r="AF12" s="144" t="e">
        <f t="shared" si="4"/>
        <v>#DIV/0!</v>
      </c>
      <c r="AG12" s="144" t="e">
        <f t="shared" si="4"/>
        <v>#DIV/0!</v>
      </c>
      <c r="AH12" s="144" t="e">
        <f t="shared" si="4"/>
        <v>#DIV/0!</v>
      </c>
      <c r="AI12" s="144" t="e">
        <f t="shared" si="4"/>
        <v>#DIV/0!</v>
      </c>
      <c r="AJ12" s="9" t="e">
        <f t="shared" si="4"/>
        <v>#DIV/0!</v>
      </c>
      <c r="AK12" s="144" t="e">
        <f t="shared" si="4"/>
        <v>#DIV/0!</v>
      </c>
      <c r="AL12" s="144" t="e">
        <f t="shared" si="4"/>
        <v>#DIV/0!</v>
      </c>
      <c r="AM12" s="144" t="e">
        <f t="shared" si="4"/>
        <v>#DIV/0!</v>
      </c>
      <c r="AN12" s="144" t="e">
        <f t="shared" si="4"/>
        <v>#DIV/0!</v>
      </c>
      <c r="AO12" s="9" t="e">
        <f t="shared" si="4"/>
        <v>#DIV/0!</v>
      </c>
      <c r="AP12" s="144" t="e">
        <f t="shared" si="4"/>
        <v>#DIV/0!</v>
      </c>
      <c r="AQ12" s="144" t="e">
        <f t="shared" si="4"/>
        <v>#DIV/0!</v>
      </c>
      <c r="AR12" s="144" t="e">
        <f t="shared" si="4"/>
        <v>#DIV/0!</v>
      </c>
      <c r="AS12" s="144" t="e">
        <f t="shared" si="4"/>
        <v>#DIV/0!</v>
      </c>
      <c r="AT12" s="9" t="e">
        <f t="shared" si="4"/>
        <v>#DIV/0!</v>
      </c>
      <c r="AU12" s="144" t="e">
        <f t="shared" si="4"/>
        <v>#DIV/0!</v>
      </c>
      <c r="AV12" s="144" t="e">
        <f t="shared" si="4"/>
        <v>#DIV/0!</v>
      </c>
      <c r="AW12" s="144" t="e">
        <f t="shared" si="4"/>
        <v>#DIV/0!</v>
      </c>
      <c r="AX12" s="144" t="e">
        <f t="shared" si="4"/>
        <v>#DIV/0!</v>
      </c>
      <c r="AY12" s="117" t="e">
        <f t="shared" si="4"/>
        <v>#DIV/0!</v>
      </c>
    </row>
    <row r="13" spans="1:51">
      <c r="A13" s="147" t="s">
        <v>390</v>
      </c>
      <c r="B13" s="117" t="e">
        <f t="shared" ref="B13:AB13" si="5">B4/B$8</f>
        <v>#DIV/0!</v>
      </c>
      <c r="C13" s="117" t="e">
        <f t="shared" si="5"/>
        <v>#DIV/0!</v>
      </c>
      <c r="D13" s="117" t="e">
        <f t="shared" si="5"/>
        <v>#DIV/0!</v>
      </c>
      <c r="E13" s="117" t="e">
        <f t="shared" si="5"/>
        <v>#DIV/0!</v>
      </c>
      <c r="F13" s="9" t="e">
        <f t="shared" si="5"/>
        <v>#DIV/0!</v>
      </c>
      <c r="G13" s="117" t="e">
        <f t="shared" si="5"/>
        <v>#DIV/0!</v>
      </c>
      <c r="H13" s="117" t="e">
        <f t="shared" si="5"/>
        <v>#DIV/0!</v>
      </c>
      <c r="I13" s="117" t="e">
        <f t="shared" si="5"/>
        <v>#DIV/0!</v>
      </c>
      <c r="J13" s="117" t="e">
        <f t="shared" si="5"/>
        <v>#DIV/0!</v>
      </c>
      <c r="K13" s="9" t="e">
        <f t="shared" si="5"/>
        <v>#DIV/0!</v>
      </c>
      <c r="L13" s="117" t="e">
        <f t="shared" si="5"/>
        <v>#DIV/0!</v>
      </c>
      <c r="M13" s="117" t="e">
        <f t="shared" si="5"/>
        <v>#DIV/0!</v>
      </c>
      <c r="N13" s="117" t="e">
        <f t="shared" si="5"/>
        <v>#DIV/0!</v>
      </c>
      <c r="O13" s="117" t="e">
        <f t="shared" si="5"/>
        <v>#DIV/0!</v>
      </c>
      <c r="P13" s="9" t="e">
        <f t="shared" si="5"/>
        <v>#DIV/0!</v>
      </c>
      <c r="Q13" s="144" t="e">
        <f t="shared" si="5"/>
        <v>#DIV/0!</v>
      </c>
      <c r="R13" s="144" t="e">
        <f t="shared" si="5"/>
        <v>#DIV/0!</v>
      </c>
      <c r="S13" s="144" t="e">
        <f t="shared" si="5"/>
        <v>#DIV/0!</v>
      </c>
      <c r="T13" s="144" t="e">
        <f t="shared" si="5"/>
        <v>#DIV/0!</v>
      </c>
      <c r="U13" s="9" t="e">
        <f t="shared" si="5"/>
        <v>#DIV/0!</v>
      </c>
      <c r="V13" s="144" t="e">
        <f t="shared" si="5"/>
        <v>#DIV/0!</v>
      </c>
      <c r="W13" s="144" t="e">
        <f t="shared" si="5"/>
        <v>#DIV/0!</v>
      </c>
      <c r="X13" s="144" t="e">
        <f t="shared" si="5"/>
        <v>#DIV/0!</v>
      </c>
      <c r="Y13" s="144" t="e">
        <f t="shared" si="5"/>
        <v>#DIV/0!</v>
      </c>
      <c r="Z13" s="9" t="e">
        <f t="shared" si="5"/>
        <v>#DIV/0!</v>
      </c>
      <c r="AA13" s="144" t="e">
        <f t="shared" si="5"/>
        <v>#DIV/0!</v>
      </c>
      <c r="AB13" s="144" t="e">
        <f t="shared" si="5"/>
        <v>#DIV/0!</v>
      </c>
      <c r="AC13" s="144" t="e">
        <f t="shared" ref="AC13:AY13" si="6">AC4/AC$8</f>
        <v>#DIV/0!</v>
      </c>
      <c r="AD13" s="144" t="e">
        <f t="shared" si="6"/>
        <v>#DIV/0!</v>
      </c>
      <c r="AE13" s="9" t="e">
        <f t="shared" si="6"/>
        <v>#DIV/0!</v>
      </c>
      <c r="AF13" s="144" t="e">
        <f t="shared" si="6"/>
        <v>#DIV/0!</v>
      </c>
      <c r="AG13" s="144" t="e">
        <f t="shared" si="6"/>
        <v>#DIV/0!</v>
      </c>
      <c r="AH13" s="144" t="e">
        <f t="shared" si="6"/>
        <v>#DIV/0!</v>
      </c>
      <c r="AI13" s="144" t="e">
        <f t="shared" si="6"/>
        <v>#DIV/0!</v>
      </c>
      <c r="AJ13" s="9" t="e">
        <f t="shared" si="6"/>
        <v>#DIV/0!</v>
      </c>
      <c r="AK13" s="144" t="e">
        <f t="shared" si="6"/>
        <v>#DIV/0!</v>
      </c>
      <c r="AL13" s="144" t="e">
        <f t="shared" si="6"/>
        <v>#DIV/0!</v>
      </c>
      <c r="AM13" s="144" t="e">
        <f t="shared" si="6"/>
        <v>#DIV/0!</v>
      </c>
      <c r="AN13" s="144" t="e">
        <f t="shared" si="6"/>
        <v>#DIV/0!</v>
      </c>
      <c r="AO13" s="9" t="e">
        <f t="shared" si="6"/>
        <v>#DIV/0!</v>
      </c>
      <c r="AP13" s="144" t="e">
        <f t="shared" si="6"/>
        <v>#DIV/0!</v>
      </c>
      <c r="AQ13" s="144" t="e">
        <f t="shared" si="6"/>
        <v>#DIV/0!</v>
      </c>
      <c r="AR13" s="144" t="e">
        <f t="shared" si="6"/>
        <v>#DIV/0!</v>
      </c>
      <c r="AS13" s="144" t="e">
        <f t="shared" si="6"/>
        <v>#DIV/0!</v>
      </c>
      <c r="AT13" s="9" t="e">
        <f t="shared" si="6"/>
        <v>#DIV/0!</v>
      </c>
      <c r="AU13" s="144" t="e">
        <f t="shared" si="6"/>
        <v>#DIV/0!</v>
      </c>
      <c r="AV13" s="144" t="e">
        <f t="shared" si="6"/>
        <v>#DIV/0!</v>
      </c>
      <c r="AW13" s="144" t="e">
        <f t="shared" si="6"/>
        <v>#DIV/0!</v>
      </c>
      <c r="AX13" s="144" t="e">
        <f t="shared" si="6"/>
        <v>#DIV/0!</v>
      </c>
      <c r="AY13" s="117" t="e">
        <f t="shared" si="6"/>
        <v>#DIV/0!</v>
      </c>
    </row>
    <row r="14" spans="1:51">
      <c r="A14" s="147" t="s">
        <v>391</v>
      </c>
      <c r="B14" s="117" t="e">
        <f t="shared" ref="B14:AB14" si="7">B5/B$8</f>
        <v>#DIV/0!</v>
      </c>
      <c r="C14" s="117" t="e">
        <f t="shared" si="7"/>
        <v>#DIV/0!</v>
      </c>
      <c r="D14" s="117" t="e">
        <f t="shared" si="7"/>
        <v>#DIV/0!</v>
      </c>
      <c r="E14" s="117" t="e">
        <f t="shared" si="7"/>
        <v>#DIV/0!</v>
      </c>
      <c r="F14" s="9" t="e">
        <f t="shared" si="7"/>
        <v>#DIV/0!</v>
      </c>
      <c r="G14" s="117" t="e">
        <f t="shared" si="7"/>
        <v>#DIV/0!</v>
      </c>
      <c r="H14" s="117" t="e">
        <f t="shared" si="7"/>
        <v>#DIV/0!</v>
      </c>
      <c r="I14" s="117" t="e">
        <f t="shared" si="7"/>
        <v>#DIV/0!</v>
      </c>
      <c r="J14" s="117" t="e">
        <f t="shared" si="7"/>
        <v>#DIV/0!</v>
      </c>
      <c r="K14" s="9" t="e">
        <f t="shared" si="7"/>
        <v>#DIV/0!</v>
      </c>
      <c r="L14" s="117" t="e">
        <f t="shared" si="7"/>
        <v>#DIV/0!</v>
      </c>
      <c r="M14" s="117" t="e">
        <f t="shared" si="7"/>
        <v>#DIV/0!</v>
      </c>
      <c r="N14" s="117" t="e">
        <f t="shared" si="7"/>
        <v>#DIV/0!</v>
      </c>
      <c r="O14" s="117" t="e">
        <f t="shared" si="7"/>
        <v>#DIV/0!</v>
      </c>
      <c r="P14" s="9" t="e">
        <f t="shared" si="7"/>
        <v>#DIV/0!</v>
      </c>
      <c r="Q14" s="144" t="e">
        <f t="shared" si="7"/>
        <v>#DIV/0!</v>
      </c>
      <c r="R14" s="144" t="e">
        <f t="shared" si="7"/>
        <v>#DIV/0!</v>
      </c>
      <c r="S14" s="144" t="e">
        <f t="shared" si="7"/>
        <v>#DIV/0!</v>
      </c>
      <c r="T14" s="144" t="e">
        <f t="shared" si="7"/>
        <v>#DIV/0!</v>
      </c>
      <c r="U14" s="9" t="e">
        <f t="shared" si="7"/>
        <v>#DIV/0!</v>
      </c>
      <c r="V14" s="144" t="e">
        <f t="shared" si="7"/>
        <v>#DIV/0!</v>
      </c>
      <c r="W14" s="144" t="e">
        <f t="shared" si="7"/>
        <v>#DIV/0!</v>
      </c>
      <c r="X14" s="144" t="e">
        <f t="shared" si="7"/>
        <v>#DIV/0!</v>
      </c>
      <c r="Y14" s="144" t="e">
        <f t="shared" si="7"/>
        <v>#DIV/0!</v>
      </c>
      <c r="Z14" s="9" t="e">
        <f t="shared" si="7"/>
        <v>#DIV/0!</v>
      </c>
      <c r="AA14" s="144" t="e">
        <f t="shared" si="7"/>
        <v>#DIV/0!</v>
      </c>
      <c r="AB14" s="144" t="e">
        <f t="shared" si="7"/>
        <v>#DIV/0!</v>
      </c>
      <c r="AC14" s="144" t="e">
        <f t="shared" ref="AC14:AY14" si="8">AC5/AC$8</f>
        <v>#DIV/0!</v>
      </c>
      <c r="AD14" s="144" t="e">
        <f t="shared" si="8"/>
        <v>#DIV/0!</v>
      </c>
      <c r="AE14" s="9" t="e">
        <f t="shared" si="8"/>
        <v>#DIV/0!</v>
      </c>
      <c r="AF14" s="144" t="e">
        <f t="shared" si="8"/>
        <v>#DIV/0!</v>
      </c>
      <c r="AG14" s="144" t="e">
        <f t="shared" si="8"/>
        <v>#DIV/0!</v>
      </c>
      <c r="AH14" s="144" t="e">
        <f t="shared" si="8"/>
        <v>#DIV/0!</v>
      </c>
      <c r="AI14" s="144" t="e">
        <f t="shared" si="8"/>
        <v>#DIV/0!</v>
      </c>
      <c r="AJ14" s="9" t="e">
        <f t="shared" si="8"/>
        <v>#DIV/0!</v>
      </c>
      <c r="AK14" s="144" t="e">
        <f t="shared" si="8"/>
        <v>#DIV/0!</v>
      </c>
      <c r="AL14" s="144" t="e">
        <f t="shared" si="8"/>
        <v>#DIV/0!</v>
      </c>
      <c r="AM14" s="144" t="e">
        <f t="shared" si="8"/>
        <v>#DIV/0!</v>
      </c>
      <c r="AN14" s="144" t="e">
        <f t="shared" si="8"/>
        <v>#DIV/0!</v>
      </c>
      <c r="AO14" s="9" t="e">
        <f t="shared" si="8"/>
        <v>#DIV/0!</v>
      </c>
      <c r="AP14" s="144" t="e">
        <f t="shared" si="8"/>
        <v>#DIV/0!</v>
      </c>
      <c r="AQ14" s="144" t="e">
        <f t="shared" si="8"/>
        <v>#DIV/0!</v>
      </c>
      <c r="AR14" s="144" t="e">
        <f t="shared" si="8"/>
        <v>#DIV/0!</v>
      </c>
      <c r="AS14" s="144" t="e">
        <f t="shared" si="8"/>
        <v>#DIV/0!</v>
      </c>
      <c r="AT14" s="9" t="e">
        <f t="shared" si="8"/>
        <v>#DIV/0!</v>
      </c>
      <c r="AU14" s="144" t="e">
        <f t="shared" si="8"/>
        <v>#DIV/0!</v>
      </c>
      <c r="AV14" s="144" t="e">
        <f t="shared" si="8"/>
        <v>#DIV/0!</v>
      </c>
      <c r="AW14" s="144" t="e">
        <f t="shared" si="8"/>
        <v>#DIV/0!</v>
      </c>
      <c r="AX14" s="144" t="e">
        <f t="shared" si="8"/>
        <v>#DIV/0!</v>
      </c>
      <c r="AY14" s="117" t="e">
        <f t="shared" si="8"/>
        <v>#DIV/0!</v>
      </c>
    </row>
    <row r="15" spans="1:51">
      <c r="A15" s="147" t="s">
        <v>392</v>
      </c>
      <c r="B15" s="117" t="e">
        <f t="shared" ref="B15:AB15" si="9">B6/B$8</f>
        <v>#DIV/0!</v>
      </c>
      <c r="C15" s="117" t="e">
        <f t="shared" si="9"/>
        <v>#DIV/0!</v>
      </c>
      <c r="D15" s="117" t="e">
        <f t="shared" si="9"/>
        <v>#DIV/0!</v>
      </c>
      <c r="E15" s="117" t="e">
        <f t="shared" si="9"/>
        <v>#DIV/0!</v>
      </c>
      <c r="F15" s="9" t="e">
        <f t="shared" si="9"/>
        <v>#DIV/0!</v>
      </c>
      <c r="G15" s="117" t="e">
        <f t="shared" si="9"/>
        <v>#DIV/0!</v>
      </c>
      <c r="H15" s="117" t="e">
        <f t="shared" si="9"/>
        <v>#DIV/0!</v>
      </c>
      <c r="I15" s="117" t="e">
        <f t="shared" si="9"/>
        <v>#DIV/0!</v>
      </c>
      <c r="J15" s="117" t="e">
        <f t="shared" si="9"/>
        <v>#DIV/0!</v>
      </c>
      <c r="K15" s="9" t="e">
        <f t="shared" si="9"/>
        <v>#DIV/0!</v>
      </c>
      <c r="L15" s="117" t="e">
        <f t="shared" si="9"/>
        <v>#DIV/0!</v>
      </c>
      <c r="M15" s="117" t="e">
        <f t="shared" si="9"/>
        <v>#DIV/0!</v>
      </c>
      <c r="N15" s="117" t="e">
        <f t="shared" si="9"/>
        <v>#DIV/0!</v>
      </c>
      <c r="O15" s="117" t="e">
        <f t="shared" si="9"/>
        <v>#DIV/0!</v>
      </c>
      <c r="P15" s="9" t="e">
        <f t="shared" si="9"/>
        <v>#DIV/0!</v>
      </c>
      <c r="Q15" s="144" t="e">
        <f t="shared" si="9"/>
        <v>#DIV/0!</v>
      </c>
      <c r="R15" s="144" t="e">
        <f t="shared" si="9"/>
        <v>#DIV/0!</v>
      </c>
      <c r="S15" s="144" t="e">
        <f t="shared" si="9"/>
        <v>#DIV/0!</v>
      </c>
      <c r="T15" s="144" t="e">
        <f t="shared" si="9"/>
        <v>#DIV/0!</v>
      </c>
      <c r="U15" s="9" t="e">
        <f t="shared" si="9"/>
        <v>#DIV/0!</v>
      </c>
      <c r="V15" s="144" t="e">
        <f t="shared" si="9"/>
        <v>#DIV/0!</v>
      </c>
      <c r="W15" s="144" t="e">
        <f t="shared" si="9"/>
        <v>#DIV/0!</v>
      </c>
      <c r="X15" s="144" t="e">
        <f t="shared" si="9"/>
        <v>#DIV/0!</v>
      </c>
      <c r="Y15" s="144" t="e">
        <f t="shared" si="9"/>
        <v>#DIV/0!</v>
      </c>
      <c r="Z15" s="9" t="e">
        <f t="shared" si="9"/>
        <v>#DIV/0!</v>
      </c>
      <c r="AA15" s="144" t="e">
        <f t="shared" si="9"/>
        <v>#DIV/0!</v>
      </c>
      <c r="AB15" s="144" t="e">
        <f t="shared" si="9"/>
        <v>#DIV/0!</v>
      </c>
      <c r="AC15" s="144" t="e">
        <f t="shared" ref="AC15:AY15" si="10">AC6/AC$8</f>
        <v>#DIV/0!</v>
      </c>
      <c r="AD15" s="144" t="e">
        <f t="shared" si="10"/>
        <v>#DIV/0!</v>
      </c>
      <c r="AE15" s="9" t="e">
        <f t="shared" si="10"/>
        <v>#DIV/0!</v>
      </c>
      <c r="AF15" s="144" t="e">
        <f t="shared" si="10"/>
        <v>#DIV/0!</v>
      </c>
      <c r="AG15" s="144" t="e">
        <f t="shared" si="10"/>
        <v>#DIV/0!</v>
      </c>
      <c r="AH15" s="144" t="e">
        <f t="shared" si="10"/>
        <v>#DIV/0!</v>
      </c>
      <c r="AI15" s="144" t="e">
        <f t="shared" si="10"/>
        <v>#DIV/0!</v>
      </c>
      <c r="AJ15" s="9" t="e">
        <f t="shared" si="10"/>
        <v>#DIV/0!</v>
      </c>
      <c r="AK15" s="144" t="e">
        <f t="shared" si="10"/>
        <v>#DIV/0!</v>
      </c>
      <c r="AL15" s="144" t="e">
        <f t="shared" si="10"/>
        <v>#DIV/0!</v>
      </c>
      <c r="AM15" s="144" t="e">
        <f t="shared" si="10"/>
        <v>#DIV/0!</v>
      </c>
      <c r="AN15" s="144" t="e">
        <f t="shared" si="10"/>
        <v>#DIV/0!</v>
      </c>
      <c r="AO15" s="9" t="e">
        <f t="shared" si="10"/>
        <v>#DIV/0!</v>
      </c>
      <c r="AP15" s="144" t="e">
        <f t="shared" si="10"/>
        <v>#DIV/0!</v>
      </c>
      <c r="AQ15" s="144" t="e">
        <f t="shared" si="10"/>
        <v>#DIV/0!</v>
      </c>
      <c r="AR15" s="144" t="e">
        <f t="shared" si="10"/>
        <v>#DIV/0!</v>
      </c>
      <c r="AS15" s="144" t="e">
        <f t="shared" si="10"/>
        <v>#DIV/0!</v>
      </c>
      <c r="AT15" s="9" t="e">
        <f t="shared" si="10"/>
        <v>#DIV/0!</v>
      </c>
      <c r="AU15" s="144" t="e">
        <f t="shared" si="10"/>
        <v>#DIV/0!</v>
      </c>
      <c r="AV15" s="144" t="e">
        <f t="shared" si="10"/>
        <v>#DIV/0!</v>
      </c>
      <c r="AW15" s="144" t="e">
        <f t="shared" si="10"/>
        <v>#DIV/0!</v>
      </c>
      <c r="AX15" s="144" t="e">
        <f t="shared" si="10"/>
        <v>#DIV/0!</v>
      </c>
      <c r="AY15" s="117" t="e">
        <f t="shared" si="10"/>
        <v>#DIV/0!</v>
      </c>
    </row>
    <row r="16" spans="1:51">
      <c r="A16" s="147" t="s">
        <v>393</v>
      </c>
      <c r="B16" s="117" t="e">
        <f t="shared" ref="B16:AB16" si="11">B7/B$8</f>
        <v>#DIV/0!</v>
      </c>
      <c r="C16" s="117" t="e">
        <f t="shared" si="11"/>
        <v>#DIV/0!</v>
      </c>
      <c r="D16" s="117" t="e">
        <f t="shared" si="11"/>
        <v>#DIV/0!</v>
      </c>
      <c r="E16" s="117" t="e">
        <f t="shared" si="11"/>
        <v>#DIV/0!</v>
      </c>
      <c r="F16" s="9" t="e">
        <f t="shared" si="11"/>
        <v>#DIV/0!</v>
      </c>
      <c r="G16" s="117" t="e">
        <f t="shared" si="11"/>
        <v>#DIV/0!</v>
      </c>
      <c r="H16" s="117" t="e">
        <f t="shared" si="11"/>
        <v>#DIV/0!</v>
      </c>
      <c r="I16" s="117" t="e">
        <f t="shared" si="11"/>
        <v>#DIV/0!</v>
      </c>
      <c r="J16" s="117" t="e">
        <f t="shared" si="11"/>
        <v>#DIV/0!</v>
      </c>
      <c r="K16" s="9" t="e">
        <f t="shared" si="11"/>
        <v>#DIV/0!</v>
      </c>
      <c r="L16" s="117" t="e">
        <f t="shared" si="11"/>
        <v>#DIV/0!</v>
      </c>
      <c r="M16" s="117" t="e">
        <f t="shared" si="11"/>
        <v>#DIV/0!</v>
      </c>
      <c r="N16" s="117" t="e">
        <f t="shared" si="11"/>
        <v>#DIV/0!</v>
      </c>
      <c r="O16" s="117" t="e">
        <f t="shared" si="11"/>
        <v>#DIV/0!</v>
      </c>
      <c r="P16" s="9" t="e">
        <f t="shared" si="11"/>
        <v>#DIV/0!</v>
      </c>
      <c r="Q16" s="144" t="e">
        <f t="shared" si="11"/>
        <v>#DIV/0!</v>
      </c>
      <c r="R16" s="144" t="e">
        <f t="shared" si="11"/>
        <v>#DIV/0!</v>
      </c>
      <c r="S16" s="144" t="e">
        <f t="shared" si="11"/>
        <v>#DIV/0!</v>
      </c>
      <c r="T16" s="144" t="e">
        <f t="shared" si="11"/>
        <v>#DIV/0!</v>
      </c>
      <c r="U16" s="9" t="e">
        <f t="shared" si="11"/>
        <v>#DIV/0!</v>
      </c>
      <c r="V16" s="144" t="e">
        <f t="shared" si="11"/>
        <v>#DIV/0!</v>
      </c>
      <c r="W16" s="144" t="e">
        <f t="shared" si="11"/>
        <v>#DIV/0!</v>
      </c>
      <c r="X16" s="144" t="e">
        <f t="shared" si="11"/>
        <v>#DIV/0!</v>
      </c>
      <c r="Y16" s="144" t="e">
        <f t="shared" si="11"/>
        <v>#DIV/0!</v>
      </c>
      <c r="Z16" s="9" t="e">
        <f t="shared" si="11"/>
        <v>#DIV/0!</v>
      </c>
      <c r="AA16" s="144" t="e">
        <f t="shared" si="11"/>
        <v>#DIV/0!</v>
      </c>
      <c r="AB16" s="144" t="e">
        <f t="shared" si="11"/>
        <v>#DIV/0!</v>
      </c>
      <c r="AC16" s="144" t="e">
        <f t="shared" ref="AC16:AY16" si="12">AC7/AC$8</f>
        <v>#DIV/0!</v>
      </c>
      <c r="AD16" s="144" t="e">
        <f t="shared" si="12"/>
        <v>#DIV/0!</v>
      </c>
      <c r="AE16" s="9" t="e">
        <f t="shared" si="12"/>
        <v>#DIV/0!</v>
      </c>
      <c r="AF16" s="144" t="e">
        <f t="shared" si="12"/>
        <v>#DIV/0!</v>
      </c>
      <c r="AG16" s="144" t="e">
        <f t="shared" si="12"/>
        <v>#DIV/0!</v>
      </c>
      <c r="AH16" s="144" t="e">
        <f t="shared" si="12"/>
        <v>#DIV/0!</v>
      </c>
      <c r="AI16" s="144" t="e">
        <f t="shared" si="12"/>
        <v>#DIV/0!</v>
      </c>
      <c r="AJ16" s="9" t="e">
        <f t="shared" si="12"/>
        <v>#DIV/0!</v>
      </c>
      <c r="AK16" s="144" t="e">
        <f t="shared" si="12"/>
        <v>#DIV/0!</v>
      </c>
      <c r="AL16" s="144" t="e">
        <f t="shared" si="12"/>
        <v>#DIV/0!</v>
      </c>
      <c r="AM16" s="144" t="e">
        <f t="shared" si="12"/>
        <v>#DIV/0!</v>
      </c>
      <c r="AN16" s="144" t="e">
        <f t="shared" si="12"/>
        <v>#DIV/0!</v>
      </c>
      <c r="AO16" s="9" t="e">
        <f t="shared" si="12"/>
        <v>#DIV/0!</v>
      </c>
      <c r="AP16" s="144" t="e">
        <f t="shared" si="12"/>
        <v>#DIV/0!</v>
      </c>
      <c r="AQ16" s="144" t="e">
        <f t="shared" si="12"/>
        <v>#DIV/0!</v>
      </c>
      <c r="AR16" s="144" t="e">
        <f t="shared" si="12"/>
        <v>#DIV/0!</v>
      </c>
      <c r="AS16" s="144" t="e">
        <f t="shared" si="12"/>
        <v>#DIV/0!</v>
      </c>
      <c r="AT16" s="9" t="e">
        <f t="shared" si="12"/>
        <v>#DIV/0!</v>
      </c>
      <c r="AU16" s="144" t="e">
        <f t="shared" si="12"/>
        <v>#DIV/0!</v>
      </c>
      <c r="AV16" s="144" t="e">
        <f t="shared" si="12"/>
        <v>#DIV/0!</v>
      </c>
      <c r="AW16" s="144" t="e">
        <f t="shared" si="12"/>
        <v>#DIV/0!</v>
      </c>
      <c r="AX16" s="144" t="e">
        <f t="shared" si="12"/>
        <v>#DIV/0!</v>
      </c>
      <c r="AY16" s="117" t="e">
        <f t="shared" si="12"/>
        <v>#DIV/0!</v>
      </c>
    </row>
    <row r="17" ht="16.5" spans="1:51">
      <c r="A17" s="148"/>
      <c r="B17" s="126" t="e">
        <f t="shared" ref="B17:AB17" si="13">B8/B$8</f>
        <v>#DIV/0!</v>
      </c>
      <c r="C17" s="126" t="e">
        <f t="shared" si="13"/>
        <v>#DIV/0!</v>
      </c>
      <c r="D17" s="126" t="e">
        <f t="shared" si="13"/>
        <v>#DIV/0!</v>
      </c>
      <c r="E17" s="126" t="e">
        <f t="shared" si="13"/>
        <v>#DIV/0!</v>
      </c>
      <c r="F17" s="33" t="e">
        <f t="shared" si="13"/>
        <v>#DIV/0!</v>
      </c>
      <c r="G17" s="126" t="e">
        <f t="shared" si="13"/>
        <v>#DIV/0!</v>
      </c>
      <c r="H17" s="126" t="e">
        <f t="shared" si="13"/>
        <v>#DIV/0!</v>
      </c>
      <c r="I17" s="126" t="e">
        <f t="shared" si="13"/>
        <v>#DIV/0!</v>
      </c>
      <c r="J17" s="126" t="e">
        <f t="shared" si="13"/>
        <v>#DIV/0!</v>
      </c>
      <c r="K17" s="33" t="e">
        <f t="shared" si="13"/>
        <v>#DIV/0!</v>
      </c>
      <c r="L17" s="126" t="e">
        <f t="shared" si="13"/>
        <v>#DIV/0!</v>
      </c>
      <c r="M17" s="126" t="e">
        <f t="shared" si="13"/>
        <v>#DIV/0!</v>
      </c>
      <c r="N17" s="126" t="e">
        <f t="shared" si="13"/>
        <v>#DIV/0!</v>
      </c>
      <c r="O17" s="126" t="e">
        <f t="shared" si="13"/>
        <v>#DIV/0!</v>
      </c>
      <c r="P17" s="33" t="e">
        <f t="shared" si="13"/>
        <v>#DIV/0!</v>
      </c>
      <c r="Q17" s="126" t="e">
        <f t="shared" si="13"/>
        <v>#DIV/0!</v>
      </c>
      <c r="R17" s="126" t="e">
        <f t="shared" si="13"/>
        <v>#DIV/0!</v>
      </c>
      <c r="S17" s="126" t="e">
        <f t="shared" si="13"/>
        <v>#DIV/0!</v>
      </c>
      <c r="T17" s="126" t="e">
        <f t="shared" si="13"/>
        <v>#DIV/0!</v>
      </c>
      <c r="U17" s="33" t="e">
        <f t="shared" si="13"/>
        <v>#DIV/0!</v>
      </c>
      <c r="V17" s="126" t="e">
        <f t="shared" si="13"/>
        <v>#DIV/0!</v>
      </c>
      <c r="W17" s="126" t="e">
        <f t="shared" si="13"/>
        <v>#DIV/0!</v>
      </c>
      <c r="X17" s="126" t="e">
        <f t="shared" si="13"/>
        <v>#DIV/0!</v>
      </c>
      <c r="Y17" s="126" t="e">
        <f t="shared" si="13"/>
        <v>#DIV/0!</v>
      </c>
      <c r="Z17" s="33" t="e">
        <f t="shared" si="13"/>
        <v>#DIV/0!</v>
      </c>
      <c r="AA17" s="126" t="e">
        <f t="shared" si="13"/>
        <v>#DIV/0!</v>
      </c>
      <c r="AB17" s="126" t="e">
        <f t="shared" si="13"/>
        <v>#DIV/0!</v>
      </c>
      <c r="AC17" s="126" t="e">
        <f t="shared" ref="AC17:AY17" si="14">AC8/AC$8</f>
        <v>#DIV/0!</v>
      </c>
      <c r="AD17" s="126" t="e">
        <f t="shared" si="14"/>
        <v>#DIV/0!</v>
      </c>
      <c r="AE17" s="33" t="e">
        <f t="shared" si="14"/>
        <v>#DIV/0!</v>
      </c>
      <c r="AF17" s="126" t="e">
        <f t="shared" si="14"/>
        <v>#DIV/0!</v>
      </c>
      <c r="AG17" s="126" t="e">
        <f t="shared" si="14"/>
        <v>#DIV/0!</v>
      </c>
      <c r="AH17" s="126" t="e">
        <f t="shared" si="14"/>
        <v>#DIV/0!</v>
      </c>
      <c r="AI17" s="126" t="e">
        <f t="shared" si="14"/>
        <v>#DIV/0!</v>
      </c>
      <c r="AJ17" s="33" t="e">
        <f t="shared" si="14"/>
        <v>#DIV/0!</v>
      </c>
      <c r="AK17" s="126" t="e">
        <f t="shared" si="14"/>
        <v>#DIV/0!</v>
      </c>
      <c r="AL17" s="126" t="e">
        <f t="shared" si="14"/>
        <v>#DIV/0!</v>
      </c>
      <c r="AM17" s="126" t="e">
        <f t="shared" si="14"/>
        <v>#DIV/0!</v>
      </c>
      <c r="AN17" s="126" t="e">
        <f t="shared" si="14"/>
        <v>#DIV/0!</v>
      </c>
      <c r="AO17" s="33" t="e">
        <f t="shared" si="14"/>
        <v>#DIV/0!</v>
      </c>
      <c r="AP17" s="126" t="e">
        <f t="shared" si="14"/>
        <v>#DIV/0!</v>
      </c>
      <c r="AQ17" s="126" t="e">
        <f t="shared" si="14"/>
        <v>#DIV/0!</v>
      </c>
      <c r="AR17" s="126" t="e">
        <f t="shared" si="14"/>
        <v>#DIV/0!</v>
      </c>
      <c r="AS17" s="126" t="e">
        <f t="shared" si="14"/>
        <v>#DIV/0!</v>
      </c>
      <c r="AT17" s="33" t="e">
        <f t="shared" si="14"/>
        <v>#DIV/0!</v>
      </c>
      <c r="AU17" s="126" t="e">
        <f t="shared" si="14"/>
        <v>#DIV/0!</v>
      </c>
      <c r="AV17" s="126" t="e">
        <f t="shared" si="14"/>
        <v>#DIV/0!</v>
      </c>
      <c r="AW17" s="126" t="e">
        <f t="shared" si="14"/>
        <v>#DIV/0!</v>
      </c>
      <c r="AX17" s="126" t="e">
        <f t="shared" si="14"/>
        <v>#DIV/0!</v>
      </c>
      <c r="AY17" s="126" t="e">
        <f t="shared" si="14"/>
        <v>#DIV/0!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17"/>
  <sheetViews>
    <sheetView zoomScale="85" zoomScaleNormal="85" workbookViewId="0">
      <pane xSplit="6" ySplit="4" topLeftCell="G5" activePane="bottomRight" state="frozen"/>
      <selection/>
      <selection pane="topRight"/>
      <selection pane="bottomLeft"/>
      <selection pane="bottomRight" activeCell="I128" sqref="I128"/>
    </sheetView>
  </sheetViews>
  <sheetFormatPr defaultColWidth="9" defaultRowHeight="15.75"/>
  <cols>
    <col min="1" max="1" width="17.2035398230088" style="56" customWidth="1"/>
    <col min="2" max="5" width="17" style="1" customWidth="1" outlineLevel="1"/>
    <col min="6" max="6" width="16" style="1" customWidth="1"/>
    <col min="7" max="10" width="14.1327433628319" style="1" customWidth="1" outlineLevel="1"/>
    <col min="11" max="11" width="16.2654867256637" style="1" customWidth="1"/>
    <col min="12" max="15" width="15.2035398230088" style="1" customWidth="1" outlineLevel="3"/>
    <col min="16" max="16" width="15.2654867256637" style="1" customWidth="1" outlineLevel="2"/>
    <col min="17" max="20" width="15.2035398230088" style="1" customWidth="1" outlineLevel="3"/>
    <col min="21" max="21" width="15.2654867256637" style="1" customWidth="1" outlineLevel="2"/>
    <col min="22" max="25" width="15.2035398230088" style="1" customWidth="1" outlineLevel="2"/>
    <col min="26" max="26" width="14.070796460177" style="1" customWidth="1" outlineLevel="1"/>
    <col min="27" max="30" width="15.2035398230088" style="1" customWidth="1" outlineLevel="2"/>
    <col min="31" max="31" width="15.2035398230088" style="1" customWidth="1" outlineLevel="1"/>
    <col min="32" max="35" width="15.2035398230088" style="1" customWidth="1" outlineLevel="2"/>
    <col min="36" max="36" width="15.2035398230088" style="1" customWidth="1" outlineLevel="1"/>
    <col min="37" max="40" width="15.2035398230088" style="1" customWidth="1" outlineLevel="2"/>
    <col min="41" max="41" width="15.2035398230088" style="1" customWidth="1" outlineLevel="1"/>
    <col min="42" max="45" width="15.2035398230088" style="1" customWidth="1" outlineLevel="2"/>
    <col min="46" max="46" width="15.2035398230088" style="1" customWidth="1" outlineLevel="1"/>
    <col min="47" max="47" width="10.6017699115044" style="1" customWidth="1" outlineLevel="2"/>
    <col min="48" max="50" width="11.7345132743363" style="1" customWidth="1" outlineLevel="2"/>
    <col min="51" max="51" width="14" style="1" customWidth="1" outlineLevel="1"/>
    <col min="52" max="52" width="11.7964601769912" style="1" customWidth="1" outlineLevel="2"/>
    <col min="53" max="55" width="12.929203539823" style="1" customWidth="1" outlineLevel="2"/>
    <col min="56" max="56" width="16.7345132743363" style="1" customWidth="1" outlineLevel="1"/>
    <col min="58" max="16384" width="9" style="1"/>
  </cols>
  <sheetData>
    <row r="1" s="55" customFormat="1" ht="16.5" spans="1:56">
      <c r="A1" s="60" t="s">
        <v>384</v>
      </c>
      <c r="B1" s="130" t="s">
        <v>1</v>
      </c>
      <c r="C1" s="130"/>
      <c r="D1" s="130"/>
      <c r="E1" s="130"/>
      <c r="F1" s="131"/>
      <c r="G1" s="61" t="s">
        <v>2</v>
      </c>
      <c r="H1" s="61"/>
      <c r="I1" s="61"/>
      <c r="J1" s="61"/>
      <c r="K1" s="62"/>
      <c r="L1" s="63" t="s">
        <v>3</v>
      </c>
      <c r="M1" s="63"/>
      <c r="N1" s="63"/>
      <c r="O1" s="63"/>
      <c r="P1" s="64"/>
      <c r="Q1" s="63" t="s">
        <v>4</v>
      </c>
      <c r="R1" s="63"/>
      <c r="S1" s="63"/>
      <c r="T1" s="63"/>
      <c r="U1" s="64"/>
      <c r="V1" s="63" t="s">
        <v>5</v>
      </c>
      <c r="W1" s="63"/>
      <c r="X1" s="63"/>
      <c r="Y1" s="63"/>
      <c r="Z1" s="64"/>
      <c r="AA1" s="63" t="s">
        <v>6</v>
      </c>
      <c r="AB1" s="63"/>
      <c r="AC1" s="63"/>
      <c r="AD1" s="63"/>
      <c r="AE1" s="64"/>
      <c r="AF1" s="63" t="s">
        <v>7</v>
      </c>
      <c r="AG1" s="63"/>
      <c r="AH1" s="63"/>
      <c r="AI1" s="63"/>
      <c r="AJ1" s="64"/>
      <c r="AK1" s="63" t="s">
        <v>8</v>
      </c>
      <c r="AL1" s="63"/>
      <c r="AM1" s="63"/>
      <c r="AN1" s="63"/>
      <c r="AO1" s="64"/>
      <c r="AP1" s="63" t="s">
        <v>9</v>
      </c>
      <c r="AQ1" s="63"/>
      <c r="AR1" s="63"/>
      <c r="AS1" s="63"/>
      <c r="AT1" s="64"/>
      <c r="AU1" s="63" t="s">
        <v>10</v>
      </c>
      <c r="AV1" s="63"/>
      <c r="AW1" s="63"/>
      <c r="AX1" s="63"/>
      <c r="AY1" s="64"/>
      <c r="AZ1" s="63" t="s">
        <v>11</v>
      </c>
      <c r="BA1" s="63"/>
      <c r="BB1" s="63"/>
      <c r="BC1" s="63"/>
      <c r="BD1" s="63"/>
    </row>
    <row r="2" s="55" customFormat="1" ht="16.5" spans="1:56">
      <c r="A2" s="132" t="s">
        <v>18</v>
      </c>
      <c r="B2" s="133" t="s">
        <v>20</v>
      </c>
      <c r="C2" s="133" t="s">
        <v>21</v>
      </c>
      <c r="D2" s="133">
        <v>45717</v>
      </c>
      <c r="E2" s="133">
        <v>45748</v>
      </c>
      <c r="F2" s="134" t="s">
        <v>385</v>
      </c>
      <c r="G2" s="135" t="s">
        <v>20</v>
      </c>
      <c r="H2" s="135" t="s">
        <v>21</v>
      </c>
      <c r="I2" s="135">
        <v>45717</v>
      </c>
      <c r="J2" s="135">
        <v>45748</v>
      </c>
      <c r="K2" s="136" t="s">
        <v>385</v>
      </c>
      <c r="L2" s="71" t="s">
        <v>20</v>
      </c>
      <c r="M2" s="71" t="s">
        <v>21</v>
      </c>
      <c r="N2" s="71">
        <v>45717</v>
      </c>
      <c r="O2" s="71">
        <v>45748</v>
      </c>
      <c r="P2" s="72" t="s">
        <v>385</v>
      </c>
      <c r="Q2" s="71" t="s">
        <v>20</v>
      </c>
      <c r="R2" s="71" t="s">
        <v>21</v>
      </c>
      <c r="S2" s="71">
        <v>45717</v>
      </c>
      <c r="T2" s="71">
        <v>45748</v>
      </c>
      <c r="U2" s="72" t="s">
        <v>385</v>
      </c>
      <c r="V2" s="71" t="s">
        <v>20</v>
      </c>
      <c r="W2" s="71" t="s">
        <v>21</v>
      </c>
      <c r="X2" s="71">
        <v>45717</v>
      </c>
      <c r="Y2" s="71">
        <v>45748</v>
      </c>
      <c r="Z2" s="72" t="s">
        <v>385</v>
      </c>
      <c r="AA2" s="71" t="s">
        <v>20</v>
      </c>
      <c r="AB2" s="71" t="s">
        <v>21</v>
      </c>
      <c r="AC2" s="71">
        <v>45717</v>
      </c>
      <c r="AD2" s="71">
        <v>45748</v>
      </c>
      <c r="AE2" s="72" t="s">
        <v>385</v>
      </c>
      <c r="AF2" s="71" t="s">
        <v>20</v>
      </c>
      <c r="AG2" s="71" t="s">
        <v>21</v>
      </c>
      <c r="AH2" s="71">
        <v>45717</v>
      </c>
      <c r="AI2" s="71">
        <v>45748</v>
      </c>
      <c r="AJ2" s="72" t="s">
        <v>385</v>
      </c>
      <c r="AK2" s="71" t="s">
        <v>20</v>
      </c>
      <c r="AL2" s="71" t="s">
        <v>21</v>
      </c>
      <c r="AM2" s="71">
        <v>45717</v>
      </c>
      <c r="AN2" s="71">
        <v>45748</v>
      </c>
      <c r="AO2" s="72" t="s">
        <v>385</v>
      </c>
      <c r="AP2" s="71" t="s">
        <v>20</v>
      </c>
      <c r="AQ2" s="71" t="s">
        <v>21</v>
      </c>
      <c r="AR2" s="71">
        <v>45717</v>
      </c>
      <c r="AS2" s="71">
        <v>45748</v>
      </c>
      <c r="AT2" s="72" t="s">
        <v>385</v>
      </c>
      <c r="AU2" s="71" t="s">
        <v>20</v>
      </c>
      <c r="AV2" s="71" t="s">
        <v>21</v>
      </c>
      <c r="AW2" s="71">
        <v>45717</v>
      </c>
      <c r="AX2" s="71">
        <v>45748</v>
      </c>
      <c r="AY2" s="72" t="s">
        <v>385</v>
      </c>
      <c r="AZ2" s="71" t="s">
        <v>20</v>
      </c>
      <c r="BA2" s="71" t="s">
        <v>21</v>
      </c>
      <c r="BB2" s="71">
        <v>45717</v>
      </c>
      <c r="BC2" s="71">
        <v>45748</v>
      </c>
      <c r="BD2" s="73" t="s">
        <v>385</v>
      </c>
    </row>
    <row r="3" spans="1:56">
      <c r="A3" s="137" t="s">
        <v>389</v>
      </c>
      <c r="B3" s="138"/>
      <c r="C3" s="138"/>
      <c r="D3" s="138"/>
      <c r="E3" s="138"/>
      <c r="F3" s="86" t="e">
        <f t="shared" ref="F3:F8" si="0">AVERAGE(B3:E3)</f>
        <v>#DIV/0!</v>
      </c>
      <c r="G3" s="138"/>
      <c r="H3" s="138"/>
      <c r="I3" s="138"/>
      <c r="J3" s="138"/>
      <c r="K3" s="86" t="e">
        <f t="shared" ref="K3:K8" si="1">AVERAGE(G3:J3)</f>
        <v>#DIV/0!</v>
      </c>
      <c r="L3" s="138" t="e">
        <f>COUNTIFS(#REF!,'泡泡国际IP分级统计-SKU维度 宽度'!$A3,#REF!,'泡泡国际IP分级统计-SKU维度 宽度'!L$2,#REF!,'泡泡国际IP分级统计-SKU维度 宽度'!$L$1)</f>
        <v>#REF!</v>
      </c>
      <c r="M3" s="138" t="e">
        <f>COUNTIFS(#REF!,'泡泡国际IP分级统计-SKU维度 宽度'!$A3,#REF!,'泡泡国际IP分级统计-SKU维度 宽度'!M$2,#REF!,'泡泡国际IP分级统计-SKU维度 宽度'!$L$1)</f>
        <v>#REF!</v>
      </c>
      <c r="N3" s="138" t="e">
        <f>COUNTIFS(#REF!,'泡泡国际IP分级统计-SKU维度 宽度'!$A3,#REF!,'泡泡国际IP分级统计-SKU维度 宽度'!N$2,#REF!,'泡泡国际IP分级统计-SKU维度 宽度'!$L$1)</f>
        <v>#REF!</v>
      </c>
      <c r="O3" s="138" t="e">
        <f>COUNTIFS(#REF!,'泡泡国际IP分级统计-SKU维度 宽度'!$A3,#REF!,'泡泡国际IP分级统计-SKU维度 宽度'!O$2,#REF!,'泡泡国际IP分级统计-SKU维度 宽度'!$L$1)</f>
        <v>#REF!</v>
      </c>
      <c r="P3" s="86" t="e">
        <f t="shared" ref="P3:P8" si="2">AVERAGE(L3:O3)</f>
        <v>#REF!</v>
      </c>
      <c r="Q3" s="138" t="e">
        <f>COUNTIFS(#REF!,'泡泡国际IP分级统计-SKU维度 宽度'!$A3,#REF!,'泡泡国际IP分级统计-SKU维度 宽度'!Q$2,#REF!,'泡泡国际IP分级统计-SKU维度 宽度'!$Q$1)</f>
        <v>#REF!</v>
      </c>
      <c r="R3" s="138" t="e">
        <f>COUNTIFS(#REF!,'泡泡国际IP分级统计-SKU维度 宽度'!$A3,#REF!,'泡泡国际IP分级统计-SKU维度 宽度'!R$2,#REF!,'泡泡国际IP分级统计-SKU维度 宽度'!$Q$1)</f>
        <v>#REF!</v>
      </c>
      <c r="S3" s="138" t="e">
        <f>COUNTIFS(#REF!,'泡泡国际IP分级统计-SKU维度 宽度'!$A3,#REF!,'泡泡国际IP分级统计-SKU维度 宽度'!S$2,#REF!,'泡泡国际IP分级统计-SKU维度 宽度'!$Q$1)</f>
        <v>#REF!</v>
      </c>
      <c r="T3" s="138" t="e">
        <f>COUNTIFS(#REF!,'泡泡国际IP分级统计-SKU维度 宽度'!$A3,#REF!,'泡泡国际IP分级统计-SKU维度 宽度'!T$2,#REF!,'泡泡国际IP分级统计-SKU维度 宽度'!$Q$1)</f>
        <v>#REF!</v>
      </c>
      <c r="U3" s="86" t="e">
        <f t="shared" ref="U3:U8" si="3">AVERAGE(Q3:T3)</f>
        <v>#REF!</v>
      </c>
      <c r="V3" s="138" t="e">
        <f>COUNTIFS(#REF!,'泡泡国际IP分级统计-SKU维度 宽度'!$A3,#REF!,'泡泡国际IP分级统计-SKU维度 宽度'!V$2,#REF!,'泡泡国际IP分级统计-SKU维度 宽度'!$V$1)</f>
        <v>#REF!</v>
      </c>
      <c r="W3" s="138" t="e">
        <f>COUNTIFS(#REF!,'泡泡国际IP分级统计-SKU维度 宽度'!$A3,#REF!,'泡泡国际IP分级统计-SKU维度 宽度'!W$2,#REF!,'泡泡国际IP分级统计-SKU维度 宽度'!$V$1)</f>
        <v>#REF!</v>
      </c>
      <c r="X3" s="138" t="e">
        <f>COUNTIFS(#REF!,'泡泡国际IP分级统计-SKU维度 宽度'!$A3,#REF!,'泡泡国际IP分级统计-SKU维度 宽度'!X$2,#REF!,'泡泡国际IP分级统计-SKU维度 宽度'!$V$1)</f>
        <v>#REF!</v>
      </c>
      <c r="Y3" s="138" t="e">
        <f>COUNTIFS(#REF!,'泡泡国际IP分级统计-SKU维度 宽度'!$A3,#REF!,'泡泡国际IP分级统计-SKU维度 宽度'!Y$2,#REF!,'泡泡国际IP分级统计-SKU维度 宽度'!$V$1)</f>
        <v>#REF!</v>
      </c>
      <c r="Z3" s="86" t="e">
        <f t="shared" ref="Z3:Z8" si="4">AVERAGE(V3:Y3)</f>
        <v>#REF!</v>
      </c>
      <c r="AA3" s="138" t="e">
        <f>COUNTIFS(#REF!,'泡泡国际IP分级统计-SKU维度 宽度'!$A3,#REF!,'泡泡国际IP分级统计-SKU维度 宽度'!AA$2,#REF!,'泡泡国际IP分级统计-SKU维度 宽度'!$AA$1)</f>
        <v>#REF!</v>
      </c>
      <c r="AB3" s="138" t="e">
        <f>COUNTIFS(#REF!,'泡泡国际IP分级统计-SKU维度 宽度'!$A3,#REF!,'泡泡国际IP分级统计-SKU维度 宽度'!AB$2,#REF!,'泡泡国际IP分级统计-SKU维度 宽度'!$AA$1)</f>
        <v>#REF!</v>
      </c>
      <c r="AC3" s="138" t="e">
        <f>COUNTIFS(#REF!,'泡泡国际IP分级统计-SKU维度 宽度'!$A3,#REF!,'泡泡国际IP分级统计-SKU维度 宽度'!AC$2,#REF!,'泡泡国际IP分级统计-SKU维度 宽度'!$AA$1)</f>
        <v>#REF!</v>
      </c>
      <c r="AD3" s="138" t="e">
        <f>COUNTIFS(#REF!,'泡泡国际IP分级统计-SKU维度 宽度'!$A3,#REF!,'泡泡国际IP分级统计-SKU维度 宽度'!AD$2,#REF!,'泡泡国际IP分级统计-SKU维度 宽度'!$AA$1)</f>
        <v>#REF!</v>
      </c>
      <c r="AE3" s="86" t="e">
        <f t="shared" ref="AE3:AE8" si="5">AVERAGE(AA3:AD3)</f>
        <v>#REF!</v>
      </c>
      <c r="AF3" s="138" t="e">
        <f>COUNTIFS(#REF!,'泡泡国际IP分级统计-SKU维度 宽度'!$A3,#REF!,'泡泡国际IP分级统计-SKU维度 宽度'!AF$2,#REF!,'泡泡国际IP分级统计-SKU维度 宽度'!$AF$1)</f>
        <v>#REF!</v>
      </c>
      <c r="AG3" s="138" t="e">
        <f>COUNTIFS(#REF!,'泡泡国际IP分级统计-SKU维度 宽度'!$A3,#REF!,'泡泡国际IP分级统计-SKU维度 宽度'!AG$2,#REF!,'泡泡国际IP分级统计-SKU维度 宽度'!$AF$1)</f>
        <v>#REF!</v>
      </c>
      <c r="AH3" s="138" t="e">
        <f>COUNTIFS(#REF!,'泡泡国际IP分级统计-SKU维度 宽度'!$A3,#REF!,'泡泡国际IP分级统计-SKU维度 宽度'!AH$2,#REF!,'泡泡国际IP分级统计-SKU维度 宽度'!$AF$1)</f>
        <v>#REF!</v>
      </c>
      <c r="AI3" s="138" t="e">
        <f>COUNTIFS(#REF!,'泡泡国际IP分级统计-SKU维度 宽度'!$A3,#REF!,'泡泡国际IP分级统计-SKU维度 宽度'!AI$2,#REF!,'泡泡国际IP分级统计-SKU维度 宽度'!$AF$1)</f>
        <v>#REF!</v>
      </c>
      <c r="AJ3" s="86" t="e">
        <f t="shared" ref="AJ3:AJ8" si="6">AVERAGE(AF3:AI3)</f>
        <v>#REF!</v>
      </c>
      <c r="AK3" s="138" t="e">
        <f>COUNTIFS(#REF!,'泡泡国际IP分级统计-SKU维度 宽度'!$A3,#REF!,'泡泡国际IP分级统计-SKU维度 宽度'!AK$2,#REF!,'泡泡国际IP分级统计-SKU维度 宽度'!$AK$1)</f>
        <v>#REF!</v>
      </c>
      <c r="AL3" s="138" t="e">
        <f>COUNTIFS(#REF!,'泡泡国际IP分级统计-SKU维度 宽度'!$A3,#REF!,'泡泡国际IP分级统计-SKU维度 宽度'!AL$2,#REF!,'泡泡国际IP分级统计-SKU维度 宽度'!$AK$1)</f>
        <v>#REF!</v>
      </c>
      <c r="AM3" s="138" t="e">
        <f>COUNTIFS(#REF!,'泡泡国际IP分级统计-SKU维度 宽度'!$A3,#REF!,'泡泡国际IP分级统计-SKU维度 宽度'!AM$2,#REF!,'泡泡国际IP分级统计-SKU维度 宽度'!$AK$1)</f>
        <v>#REF!</v>
      </c>
      <c r="AN3" s="138" t="e">
        <f>COUNTIFS(#REF!,'泡泡国际IP分级统计-SKU维度 宽度'!$A3,#REF!,'泡泡国际IP分级统计-SKU维度 宽度'!AN$2,#REF!,'泡泡国际IP分级统计-SKU维度 宽度'!$AK$1)</f>
        <v>#REF!</v>
      </c>
      <c r="AO3" s="86" t="e">
        <f t="shared" ref="AO3:AO8" si="7">AVERAGE(AK3:AN3)</f>
        <v>#REF!</v>
      </c>
      <c r="AP3" s="138" t="e">
        <f>COUNTIFS(#REF!,'泡泡国际IP分级统计-SKU维度 宽度'!$A3,#REF!,'泡泡国际IP分级统计-SKU维度 宽度'!AP$2,#REF!,'泡泡国际IP分级统计-SKU维度 宽度'!$AP$1)</f>
        <v>#REF!</v>
      </c>
      <c r="AQ3" s="138" t="e">
        <f>COUNTIFS(#REF!,'泡泡国际IP分级统计-SKU维度 宽度'!$A3,#REF!,'泡泡国际IP分级统计-SKU维度 宽度'!AQ$2,#REF!,'泡泡国际IP分级统计-SKU维度 宽度'!$AP$1)</f>
        <v>#REF!</v>
      </c>
      <c r="AR3" s="138" t="e">
        <f>COUNTIFS(#REF!,'泡泡国际IP分级统计-SKU维度 宽度'!$A3,#REF!,'泡泡国际IP分级统计-SKU维度 宽度'!AR$2,#REF!,'泡泡国际IP分级统计-SKU维度 宽度'!$AP$1)</f>
        <v>#REF!</v>
      </c>
      <c r="AS3" s="138" t="e">
        <f>COUNTIFS(#REF!,'泡泡国际IP分级统计-SKU维度 宽度'!$A3,#REF!,'泡泡国际IP分级统计-SKU维度 宽度'!AS$2,#REF!,'泡泡国际IP分级统计-SKU维度 宽度'!$AP$1)</f>
        <v>#REF!</v>
      </c>
      <c r="AT3" s="86" t="e">
        <f t="shared" ref="AT3:AT8" si="8">AVERAGE(AP3:AS3)</f>
        <v>#REF!</v>
      </c>
      <c r="AU3" s="138" t="e">
        <f>COUNTIFS(#REF!,'泡泡国际IP分级统计-SKU维度 宽度'!$A3,#REF!,'泡泡国际IP分级统计-SKU维度 宽度'!AU$2,#REF!,'泡泡国际IP分级统计-SKU维度 宽度'!$AU$1)</f>
        <v>#REF!</v>
      </c>
      <c r="AV3" s="138" t="e">
        <f>COUNTIFS(#REF!,'泡泡国际IP分级统计-SKU维度 宽度'!$A3,#REF!,'泡泡国际IP分级统计-SKU维度 宽度'!AV$2,#REF!,'泡泡国际IP分级统计-SKU维度 宽度'!$AU$1)</f>
        <v>#REF!</v>
      </c>
      <c r="AW3" s="138" t="e">
        <f>COUNTIFS(#REF!,'泡泡国际IP分级统计-SKU维度 宽度'!$A3,#REF!,'泡泡国际IP分级统计-SKU维度 宽度'!AW$2,#REF!,'泡泡国际IP分级统计-SKU维度 宽度'!$AU$1)</f>
        <v>#REF!</v>
      </c>
      <c r="AX3" s="138" t="e">
        <f>COUNTIFS(#REF!,'泡泡国际IP分级统计-SKU维度 宽度'!$A3,#REF!,'泡泡国际IP分级统计-SKU维度 宽度'!AX$2,#REF!,'泡泡国际IP分级统计-SKU维度 宽度'!$AU$1)</f>
        <v>#REF!</v>
      </c>
      <c r="AY3" s="86" t="e">
        <f t="shared" ref="AY3:AY8" si="9">AVERAGE(AU3:AX3)</f>
        <v>#REF!</v>
      </c>
      <c r="AZ3" s="138" t="e">
        <f>COUNTIFS(#REF!,'泡泡国际IP分级统计-SKU维度 宽度'!$A3,#REF!,'泡泡国际IP分级统计-SKU维度 宽度'!AZ$2,#REF!,'泡泡国际IP分级统计-SKU维度 宽度'!$AZ$1)</f>
        <v>#REF!</v>
      </c>
      <c r="BA3" s="138" t="e">
        <f>COUNTIFS(#REF!,'泡泡国际IP分级统计-SKU维度 宽度'!$A3,#REF!,'泡泡国际IP分级统计-SKU维度 宽度'!BA$2,#REF!,'泡泡国际IP分级统计-SKU维度 宽度'!$AZ$1)</f>
        <v>#REF!</v>
      </c>
      <c r="BB3" s="138" t="e">
        <f>COUNTIFS(#REF!,'泡泡国际IP分级统计-SKU维度 宽度'!$A3,#REF!,'泡泡国际IP分级统计-SKU维度 宽度'!BB$2,#REF!,'泡泡国际IP分级统计-SKU维度 宽度'!$AZ$1)</f>
        <v>#REF!</v>
      </c>
      <c r="BC3" s="138" t="e">
        <f>COUNTIFS(#REF!,'泡泡国际IP分级统计-SKU维度 宽度'!$A3,#REF!,'泡泡国际IP分级统计-SKU维度 宽度'!BC$2,#REF!,'泡泡国际IP分级统计-SKU维度 宽度'!$AZ$1)</f>
        <v>#REF!</v>
      </c>
      <c r="BD3" s="85" t="e">
        <f t="shared" ref="BD3:BD8" si="10">AVERAGE(AZ3:BC3)</f>
        <v>#REF!</v>
      </c>
    </row>
    <row r="4" spans="1:56">
      <c r="A4" s="137" t="s">
        <v>390</v>
      </c>
      <c r="B4" s="138"/>
      <c r="C4" s="138"/>
      <c r="D4" s="138"/>
      <c r="E4" s="138"/>
      <c r="F4" s="86" t="e">
        <f t="shared" si="0"/>
        <v>#DIV/0!</v>
      </c>
      <c r="G4" s="138"/>
      <c r="H4" s="138"/>
      <c r="I4" s="138"/>
      <c r="J4" s="138"/>
      <c r="K4" s="86" t="e">
        <f t="shared" si="1"/>
        <v>#DIV/0!</v>
      </c>
      <c r="L4" s="138" t="e">
        <f>COUNTIFS(#REF!,'泡泡国际IP分级统计-SKU维度 宽度'!$A4,#REF!,'泡泡国际IP分级统计-SKU维度 宽度'!L$2,#REF!,'泡泡国际IP分级统计-SKU维度 宽度'!$L$1)</f>
        <v>#REF!</v>
      </c>
      <c r="M4" s="138" t="e">
        <f>COUNTIFS(#REF!,'泡泡国际IP分级统计-SKU维度 宽度'!$A4,#REF!,'泡泡国际IP分级统计-SKU维度 宽度'!M$2,#REF!,'泡泡国际IP分级统计-SKU维度 宽度'!$L$1)</f>
        <v>#REF!</v>
      </c>
      <c r="N4" s="138" t="e">
        <f>COUNTIFS(#REF!,'泡泡国际IP分级统计-SKU维度 宽度'!$A4,#REF!,'泡泡国际IP分级统计-SKU维度 宽度'!N$2,#REF!,'泡泡国际IP分级统计-SKU维度 宽度'!$L$1)</f>
        <v>#REF!</v>
      </c>
      <c r="O4" s="138" t="e">
        <f>COUNTIFS(#REF!,'泡泡国际IP分级统计-SKU维度 宽度'!$A4,#REF!,'泡泡国际IP分级统计-SKU维度 宽度'!O$2,#REF!,'泡泡国际IP分级统计-SKU维度 宽度'!$L$1)</f>
        <v>#REF!</v>
      </c>
      <c r="P4" s="86" t="e">
        <f t="shared" si="2"/>
        <v>#REF!</v>
      </c>
      <c r="Q4" s="138" t="e">
        <f>COUNTIFS(#REF!,'泡泡国际IP分级统计-SKU维度 宽度'!$A4,#REF!,'泡泡国际IP分级统计-SKU维度 宽度'!Q$2,#REF!,'泡泡国际IP分级统计-SKU维度 宽度'!$Q$1)</f>
        <v>#REF!</v>
      </c>
      <c r="R4" s="138" t="e">
        <f>COUNTIFS(#REF!,'泡泡国际IP分级统计-SKU维度 宽度'!$A4,#REF!,'泡泡国际IP分级统计-SKU维度 宽度'!R$2,#REF!,'泡泡国际IP分级统计-SKU维度 宽度'!$Q$1)</f>
        <v>#REF!</v>
      </c>
      <c r="S4" s="138" t="e">
        <f>COUNTIFS(#REF!,'泡泡国际IP分级统计-SKU维度 宽度'!$A4,#REF!,'泡泡国际IP分级统计-SKU维度 宽度'!S$2,#REF!,'泡泡国际IP分级统计-SKU维度 宽度'!$Q$1)</f>
        <v>#REF!</v>
      </c>
      <c r="T4" s="138" t="e">
        <f>COUNTIFS(#REF!,'泡泡国际IP分级统计-SKU维度 宽度'!$A4,#REF!,'泡泡国际IP分级统计-SKU维度 宽度'!T$2,#REF!,'泡泡国际IP分级统计-SKU维度 宽度'!$Q$1)</f>
        <v>#REF!</v>
      </c>
      <c r="U4" s="86" t="e">
        <f t="shared" si="3"/>
        <v>#REF!</v>
      </c>
      <c r="V4" s="138" t="e">
        <f>COUNTIFS(#REF!,'泡泡国际IP分级统计-SKU维度 宽度'!$A4,#REF!,'泡泡国际IP分级统计-SKU维度 宽度'!V$2,#REF!,'泡泡国际IP分级统计-SKU维度 宽度'!$V$1)</f>
        <v>#REF!</v>
      </c>
      <c r="W4" s="138" t="e">
        <f>COUNTIFS(#REF!,'泡泡国际IP分级统计-SKU维度 宽度'!$A4,#REF!,'泡泡国际IP分级统计-SKU维度 宽度'!W$2,#REF!,'泡泡国际IP分级统计-SKU维度 宽度'!$V$1)</f>
        <v>#REF!</v>
      </c>
      <c r="X4" s="138" t="e">
        <f>COUNTIFS(#REF!,'泡泡国际IP分级统计-SKU维度 宽度'!$A4,#REF!,'泡泡国际IP分级统计-SKU维度 宽度'!X$2,#REF!,'泡泡国际IP分级统计-SKU维度 宽度'!$V$1)</f>
        <v>#REF!</v>
      </c>
      <c r="Y4" s="138" t="e">
        <f>COUNTIFS(#REF!,'泡泡国际IP分级统计-SKU维度 宽度'!$A4,#REF!,'泡泡国际IP分级统计-SKU维度 宽度'!Y$2,#REF!,'泡泡国际IP分级统计-SKU维度 宽度'!$V$1)</f>
        <v>#REF!</v>
      </c>
      <c r="Z4" s="86" t="e">
        <f t="shared" si="4"/>
        <v>#REF!</v>
      </c>
      <c r="AA4" s="138" t="e">
        <f>COUNTIFS(#REF!,'泡泡国际IP分级统计-SKU维度 宽度'!$A4,#REF!,'泡泡国际IP分级统计-SKU维度 宽度'!AA$2,#REF!,'泡泡国际IP分级统计-SKU维度 宽度'!$AA$1)</f>
        <v>#REF!</v>
      </c>
      <c r="AB4" s="138" t="e">
        <f>COUNTIFS(#REF!,'泡泡国际IP分级统计-SKU维度 宽度'!$A4,#REF!,'泡泡国际IP分级统计-SKU维度 宽度'!AB$2,#REF!,'泡泡国际IP分级统计-SKU维度 宽度'!$AA$1)</f>
        <v>#REF!</v>
      </c>
      <c r="AC4" s="138" t="e">
        <f>COUNTIFS(#REF!,'泡泡国际IP分级统计-SKU维度 宽度'!$A4,#REF!,'泡泡国际IP分级统计-SKU维度 宽度'!AC$2,#REF!,'泡泡国际IP分级统计-SKU维度 宽度'!$AA$1)</f>
        <v>#REF!</v>
      </c>
      <c r="AD4" s="138" t="e">
        <f>COUNTIFS(#REF!,'泡泡国际IP分级统计-SKU维度 宽度'!$A4,#REF!,'泡泡国际IP分级统计-SKU维度 宽度'!AD$2,#REF!,'泡泡国际IP分级统计-SKU维度 宽度'!$AA$1)</f>
        <v>#REF!</v>
      </c>
      <c r="AE4" s="86" t="e">
        <f t="shared" si="5"/>
        <v>#REF!</v>
      </c>
      <c r="AF4" s="138" t="e">
        <f>COUNTIFS(#REF!,'泡泡国际IP分级统计-SKU维度 宽度'!$A4,#REF!,'泡泡国际IP分级统计-SKU维度 宽度'!AF$2,#REF!,'泡泡国际IP分级统计-SKU维度 宽度'!$AF$1)</f>
        <v>#REF!</v>
      </c>
      <c r="AG4" s="138" t="e">
        <f>COUNTIFS(#REF!,'泡泡国际IP分级统计-SKU维度 宽度'!$A4,#REF!,'泡泡国际IP分级统计-SKU维度 宽度'!AG$2,#REF!,'泡泡国际IP分级统计-SKU维度 宽度'!$AF$1)</f>
        <v>#REF!</v>
      </c>
      <c r="AH4" s="138" t="e">
        <f>COUNTIFS(#REF!,'泡泡国际IP分级统计-SKU维度 宽度'!$A4,#REF!,'泡泡国际IP分级统计-SKU维度 宽度'!AH$2,#REF!,'泡泡国际IP分级统计-SKU维度 宽度'!$AF$1)</f>
        <v>#REF!</v>
      </c>
      <c r="AI4" s="138" t="e">
        <f>COUNTIFS(#REF!,'泡泡国际IP分级统计-SKU维度 宽度'!$A4,#REF!,'泡泡国际IP分级统计-SKU维度 宽度'!AI$2,#REF!,'泡泡国际IP分级统计-SKU维度 宽度'!$AF$1)</f>
        <v>#REF!</v>
      </c>
      <c r="AJ4" s="86" t="e">
        <f t="shared" si="6"/>
        <v>#REF!</v>
      </c>
      <c r="AK4" s="138" t="e">
        <f>COUNTIFS(#REF!,'泡泡国际IP分级统计-SKU维度 宽度'!$A4,#REF!,'泡泡国际IP分级统计-SKU维度 宽度'!AK$2,#REF!,'泡泡国际IP分级统计-SKU维度 宽度'!$AK$1)</f>
        <v>#REF!</v>
      </c>
      <c r="AL4" s="138" t="e">
        <f>COUNTIFS(#REF!,'泡泡国际IP分级统计-SKU维度 宽度'!$A4,#REF!,'泡泡国际IP分级统计-SKU维度 宽度'!AL$2,#REF!,'泡泡国际IP分级统计-SKU维度 宽度'!$AK$1)</f>
        <v>#REF!</v>
      </c>
      <c r="AM4" s="138" t="e">
        <f>COUNTIFS(#REF!,'泡泡国际IP分级统计-SKU维度 宽度'!$A4,#REF!,'泡泡国际IP分级统计-SKU维度 宽度'!AM$2,#REF!,'泡泡国际IP分级统计-SKU维度 宽度'!$AK$1)</f>
        <v>#REF!</v>
      </c>
      <c r="AN4" s="138" t="e">
        <f>COUNTIFS(#REF!,'泡泡国际IP分级统计-SKU维度 宽度'!$A4,#REF!,'泡泡国际IP分级统计-SKU维度 宽度'!AN$2,#REF!,'泡泡国际IP分级统计-SKU维度 宽度'!$AK$1)</f>
        <v>#REF!</v>
      </c>
      <c r="AO4" s="86" t="e">
        <f t="shared" si="7"/>
        <v>#REF!</v>
      </c>
      <c r="AP4" s="138" t="e">
        <f>COUNTIFS(#REF!,'泡泡国际IP分级统计-SKU维度 宽度'!$A4,#REF!,'泡泡国际IP分级统计-SKU维度 宽度'!AP$2,#REF!,'泡泡国际IP分级统计-SKU维度 宽度'!$AP$1)</f>
        <v>#REF!</v>
      </c>
      <c r="AQ4" s="138" t="e">
        <f>COUNTIFS(#REF!,'泡泡国际IP分级统计-SKU维度 宽度'!$A4,#REF!,'泡泡国际IP分级统计-SKU维度 宽度'!AQ$2,#REF!,'泡泡国际IP分级统计-SKU维度 宽度'!$AP$1)</f>
        <v>#REF!</v>
      </c>
      <c r="AR4" s="138" t="e">
        <f>COUNTIFS(#REF!,'泡泡国际IP分级统计-SKU维度 宽度'!$A4,#REF!,'泡泡国际IP分级统计-SKU维度 宽度'!AR$2,#REF!,'泡泡国际IP分级统计-SKU维度 宽度'!$AP$1)</f>
        <v>#REF!</v>
      </c>
      <c r="AS4" s="138" t="e">
        <f>COUNTIFS(#REF!,'泡泡国际IP分级统计-SKU维度 宽度'!$A4,#REF!,'泡泡国际IP分级统计-SKU维度 宽度'!AS$2,#REF!,'泡泡国际IP分级统计-SKU维度 宽度'!$AP$1)</f>
        <v>#REF!</v>
      </c>
      <c r="AT4" s="86" t="e">
        <f t="shared" si="8"/>
        <v>#REF!</v>
      </c>
      <c r="AU4" s="138" t="e">
        <f>COUNTIFS(#REF!,'泡泡国际IP分级统计-SKU维度 宽度'!$A4,#REF!,'泡泡国际IP分级统计-SKU维度 宽度'!AU$2,#REF!,'泡泡国际IP分级统计-SKU维度 宽度'!$AU$1)</f>
        <v>#REF!</v>
      </c>
      <c r="AV4" s="138" t="e">
        <f>COUNTIFS(#REF!,'泡泡国际IP分级统计-SKU维度 宽度'!$A4,#REF!,'泡泡国际IP分级统计-SKU维度 宽度'!AV$2,#REF!,'泡泡国际IP分级统计-SKU维度 宽度'!$AU$1)</f>
        <v>#REF!</v>
      </c>
      <c r="AW4" s="138" t="e">
        <f>COUNTIFS(#REF!,'泡泡国际IP分级统计-SKU维度 宽度'!$A4,#REF!,'泡泡国际IP分级统计-SKU维度 宽度'!AW$2,#REF!,'泡泡国际IP分级统计-SKU维度 宽度'!$AU$1)</f>
        <v>#REF!</v>
      </c>
      <c r="AX4" s="138" t="e">
        <f>COUNTIFS(#REF!,'泡泡国际IP分级统计-SKU维度 宽度'!$A4,#REF!,'泡泡国际IP分级统计-SKU维度 宽度'!AX$2,#REF!,'泡泡国际IP分级统计-SKU维度 宽度'!$AU$1)</f>
        <v>#REF!</v>
      </c>
      <c r="AY4" s="86" t="e">
        <f t="shared" si="9"/>
        <v>#REF!</v>
      </c>
      <c r="AZ4" s="138" t="e">
        <f>COUNTIFS(#REF!,'泡泡国际IP分级统计-SKU维度 宽度'!$A4,#REF!,'泡泡国际IP分级统计-SKU维度 宽度'!AZ$2,#REF!,'泡泡国际IP分级统计-SKU维度 宽度'!$AZ$1)</f>
        <v>#REF!</v>
      </c>
      <c r="BA4" s="138" t="e">
        <f>COUNTIFS(#REF!,'泡泡国际IP分级统计-SKU维度 宽度'!$A4,#REF!,'泡泡国际IP分级统计-SKU维度 宽度'!BA$2,#REF!,'泡泡国际IP分级统计-SKU维度 宽度'!$AZ$1)</f>
        <v>#REF!</v>
      </c>
      <c r="BB4" s="138" t="e">
        <f>COUNTIFS(#REF!,'泡泡国际IP分级统计-SKU维度 宽度'!$A4,#REF!,'泡泡国际IP分级统计-SKU维度 宽度'!BB$2,#REF!,'泡泡国际IP分级统计-SKU维度 宽度'!$AZ$1)</f>
        <v>#REF!</v>
      </c>
      <c r="BC4" s="138" t="e">
        <f>COUNTIFS(#REF!,'泡泡国际IP分级统计-SKU维度 宽度'!$A4,#REF!,'泡泡国际IP分级统计-SKU维度 宽度'!BC$2,#REF!,'泡泡国际IP分级统计-SKU维度 宽度'!$AZ$1)</f>
        <v>#REF!</v>
      </c>
      <c r="BD4" s="85" t="e">
        <f t="shared" si="10"/>
        <v>#REF!</v>
      </c>
    </row>
    <row r="5" spans="1:56">
      <c r="A5" s="137" t="s">
        <v>391</v>
      </c>
      <c r="B5" s="138"/>
      <c r="C5" s="138"/>
      <c r="D5" s="138"/>
      <c r="E5" s="138"/>
      <c r="F5" s="86" t="e">
        <f t="shared" si="0"/>
        <v>#DIV/0!</v>
      </c>
      <c r="G5" s="138"/>
      <c r="H5" s="138"/>
      <c r="I5" s="138"/>
      <c r="J5" s="138"/>
      <c r="K5" s="86" t="e">
        <f t="shared" si="1"/>
        <v>#DIV/0!</v>
      </c>
      <c r="L5" s="138" t="e">
        <f>COUNTIFS(#REF!,'泡泡国际IP分级统计-SKU维度 宽度'!$A5,#REF!,'泡泡国际IP分级统计-SKU维度 宽度'!L$2,#REF!,'泡泡国际IP分级统计-SKU维度 宽度'!$L$1)</f>
        <v>#REF!</v>
      </c>
      <c r="M5" s="138" t="e">
        <f>COUNTIFS(#REF!,'泡泡国际IP分级统计-SKU维度 宽度'!$A5,#REF!,'泡泡国际IP分级统计-SKU维度 宽度'!M$2,#REF!,'泡泡国际IP分级统计-SKU维度 宽度'!$L$1)</f>
        <v>#REF!</v>
      </c>
      <c r="N5" s="138" t="e">
        <f>COUNTIFS(#REF!,'泡泡国际IP分级统计-SKU维度 宽度'!$A5,#REF!,'泡泡国际IP分级统计-SKU维度 宽度'!N$2,#REF!,'泡泡国际IP分级统计-SKU维度 宽度'!$L$1)</f>
        <v>#REF!</v>
      </c>
      <c r="O5" s="138" t="e">
        <f>COUNTIFS(#REF!,'泡泡国际IP分级统计-SKU维度 宽度'!$A5,#REF!,'泡泡国际IP分级统计-SKU维度 宽度'!O$2,#REF!,'泡泡国际IP分级统计-SKU维度 宽度'!$L$1)</f>
        <v>#REF!</v>
      </c>
      <c r="P5" s="86" t="e">
        <f t="shared" si="2"/>
        <v>#REF!</v>
      </c>
      <c r="Q5" s="138" t="e">
        <f>COUNTIFS(#REF!,'泡泡国际IP分级统计-SKU维度 宽度'!$A5,#REF!,'泡泡国际IP分级统计-SKU维度 宽度'!Q$2,#REF!,'泡泡国际IP分级统计-SKU维度 宽度'!$Q$1)</f>
        <v>#REF!</v>
      </c>
      <c r="R5" s="138" t="e">
        <f>COUNTIFS(#REF!,'泡泡国际IP分级统计-SKU维度 宽度'!$A5,#REF!,'泡泡国际IP分级统计-SKU维度 宽度'!R$2,#REF!,'泡泡国际IP分级统计-SKU维度 宽度'!$Q$1)</f>
        <v>#REF!</v>
      </c>
      <c r="S5" s="138" t="e">
        <f>COUNTIFS(#REF!,'泡泡国际IP分级统计-SKU维度 宽度'!$A5,#REF!,'泡泡国际IP分级统计-SKU维度 宽度'!S$2,#REF!,'泡泡国际IP分级统计-SKU维度 宽度'!$Q$1)</f>
        <v>#REF!</v>
      </c>
      <c r="T5" s="138" t="e">
        <f>COUNTIFS(#REF!,'泡泡国际IP分级统计-SKU维度 宽度'!$A5,#REF!,'泡泡国际IP分级统计-SKU维度 宽度'!T$2,#REF!,'泡泡国际IP分级统计-SKU维度 宽度'!$Q$1)</f>
        <v>#REF!</v>
      </c>
      <c r="U5" s="86" t="e">
        <f t="shared" si="3"/>
        <v>#REF!</v>
      </c>
      <c r="V5" s="138" t="e">
        <f>COUNTIFS(#REF!,'泡泡国际IP分级统计-SKU维度 宽度'!$A5,#REF!,'泡泡国际IP分级统计-SKU维度 宽度'!V$2,#REF!,'泡泡国际IP分级统计-SKU维度 宽度'!$V$1)</f>
        <v>#REF!</v>
      </c>
      <c r="W5" s="138" t="e">
        <f>COUNTIFS(#REF!,'泡泡国际IP分级统计-SKU维度 宽度'!$A5,#REF!,'泡泡国际IP分级统计-SKU维度 宽度'!W$2,#REF!,'泡泡国际IP分级统计-SKU维度 宽度'!$V$1)</f>
        <v>#REF!</v>
      </c>
      <c r="X5" s="138" t="e">
        <f>COUNTIFS(#REF!,'泡泡国际IP分级统计-SKU维度 宽度'!$A5,#REF!,'泡泡国际IP分级统计-SKU维度 宽度'!X$2,#REF!,'泡泡国际IP分级统计-SKU维度 宽度'!$V$1)</f>
        <v>#REF!</v>
      </c>
      <c r="Y5" s="138" t="e">
        <f>COUNTIFS(#REF!,'泡泡国际IP分级统计-SKU维度 宽度'!$A5,#REF!,'泡泡国际IP分级统计-SKU维度 宽度'!Y$2,#REF!,'泡泡国际IP分级统计-SKU维度 宽度'!$V$1)</f>
        <v>#REF!</v>
      </c>
      <c r="Z5" s="86" t="e">
        <f t="shared" si="4"/>
        <v>#REF!</v>
      </c>
      <c r="AA5" s="138" t="e">
        <f>COUNTIFS(#REF!,'泡泡国际IP分级统计-SKU维度 宽度'!$A5,#REF!,'泡泡国际IP分级统计-SKU维度 宽度'!AA$2,#REF!,'泡泡国际IP分级统计-SKU维度 宽度'!$AA$1)</f>
        <v>#REF!</v>
      </c>
      <c r="AB5" s="138" t="e">
        <f>COUNTIFS(#REF!,'泡泡国际IP分级统计-SKU维度 宽度'!$A5,#REF!,'泡泡国际IP分级统计-SKU维度 宽度'!AB$2,#REF!,'泡泡国际IP分级统计-SKU维度 宽度'!$AA$1)</f>
        <v>#REF!</v>
      </c>
      <c r="AC5" s="138" t="e">
        <f>COUNTIFS(#REF!,'泡泡国际IP分级统计-SKU维度 宽度'!$A5,#REF!,'泡泡国际IP分级统计-SKU维度 宽度'!AC$2,#REF!,'泡泡国际IP分级统计-SKU维度 宽度'!$AA$1)</f>
        <v>#REF!</v>
      </c>
      <c r="AD5" s="138" t="e">
        <f>COUNTIFS(#REF!,'泡泡国际IP分级统计-SKU维度 宽度'!$A5,#REF!,'泡泡国际IP分级统计-SKU维度 宽度'!AD$2,#REF!,'泡泡国际IP分级统计-SKU维度 宽度'!$AA$1)</f>
        <v>#REF!</v>
      </c>
      <c r="AE5" s="86" t="e">
        <f t="shared" si="5"/>
        <v>#REF!</v>
      </c>
      <c r="AF5" s="138" t="e">
        <f>COUNTIFS(#REF!,'泡泡国际IP分级统计-SKU维度 宽度'!$A5,#REF!,'泡泡国际IP分级统计-SKU维度 宽度'!AF$2,#REF!,'泡泡国际IP分级统计-SKU维度 宽度'!$AF$1)</f>
        <v>#REF!</v>
      </c>
      <c r="AG5" s="138" t="e">
        <f>COUNTIFS(#REF!,'泡泡国际IP分级统计-SKU维度 宽度'!$A5,#REF!,'泡泡国际IP分级统计-SKU维度 宽度'!AG$2,#REF!,'泡泡国际IP分级统计-SKU维度 宽度'!$AF$1)</f>
        <v>#REF!</v>
      </c>
      <c r="AH5" s="138" t="e">
        <f>COUNTIFS(#REF!,'泡泡国际IP分级统计-SKU维度 宽度'!$A5,#REF!,'泡泡国际IP分级统计-SKU维度 宽度'!AH$2,#REF!,'泡泡国际IP分级统计-SKU维度 宽度'!$AF$1)</f>
        <v>#REF!</v>
      </c>
      <c r="AI5" s="138" t="e">
        <f>COUNTIFS(#REF!,'泡泡国际IP分级统计-SKU维度 宽度'!$A5,#REF!,'泡泡国际IP分级统计-SKU维度 宽度'!AI$2,#REF!,'泡泡国际IP分级统计-SKU维度 宽度'!$AF$1)</f>
        <v>#REF!</v>
      </c>
      <c r="AJ5" s="86" t="e">
        <f t="shared" si="6"/>
        <v>#REF!</v>
      </c>
      <c r="AK5" s="138" t="e">
        <f>COUNTIFS(#REF!,'泡泡国际IP分级统计-SKU维度 宽度'!$A5,#REF!,'泡泡国际IP分级统计-SKU维度 宽度'!AK$2,#REF!,'泡泡国际IP分级统计-SKU维度 宽度'!$AK$1)</f>
        <v>#REF!</v>
      </c>
      <c r="AL5" s="138" t="e">
        <f>COUNTIFS(#REF!,'泡泡国际IP分级统计-SKU维度 宽度'!$A5,#REF!,'泡泡国际IP分级统计-SKU维度 宽度'!AL$2,#REF!,'泡泡国际IP分级统计-SKU维度 宽度'!$AK$1)</f>
        <v>#REF!</v>
      </c>
      <c r="AM5" s="138" t="e">
        <f>COUNTIFS(#REF!,'泡泡国际IP分级统计-SKU维度 宽度'!$A5,#REF!,'泡泡国际IP分级统计-SKU维度 宽度'!AM$2,#REF!,'泡泡国际IP分级统计-SKU维度 宽度'!$AK$1)</f>
        <v>#REF!</v>
      </c>
      <c r="AN5" s="138" t="e">
        <f>COUNTIFS(#REF!,'泡泡国际IP分级统计-SKU维度 宽度'!$A5,#REF!,'泡泡国际IP分级统计-SKU维度 宽度'!AN$2,#REF!,'泡泡国际IP分级统计-SKU维度 宽度'!$AK$1)</f>
        <v>#REF!</v>
      </c>
      <c r="AO5" s="86" t="e">
        <f t="shared" si="7"/>
        <v>#REF!</v>
      </c>
      <c r="AP5" s="138" t="e">
        <f>COUNTIFS(#REF!,'泡泡国际IP分级统计-SKU维度 宽度'!$A5,#REF!,'泡泡国际IP分级统计-SKU维度 宽度'!AP$2,#REF!,'泡泡国际IP分级统计-SKU维度 宽度'!$AP$1)</f>
        <v>#REF!</v>
      </c>
      <c r="AQ5" s="138" t="e">
        <f>COUNTIFS(#REF!,'泡泡国际IP分级统计-SKU维度 宽度'!$A5,#REF!,'泡泡国际IP分级统计-SKU维度 宽度'!AQ$2,#REF!,'泡泡国际IP分级统计-SKU维度 宽度'!$AP$1)</f>
        <v>#REF!</v>
      </c>
      <c r="AR5" s="138" t="e">
        <f>COUNTIFS(#REF!,'泡泡国际IP分级统计-SKU维度 宽度'!$A5,#REF!,'泡泡国际IP分级统计-SKU维度 宽度'!AR$2,#REF!,'泡泡国际IP分级统计-SKU维度 宽度'!$AP$1)</f>
        <v>#REF!</v>
      </c>
      <c r="AS5" s="138" t="e">
        <f>COUNTIFS(#REF!,'泡泡国际IP分级统计-SKU维度 宽度'!$A5,#REF!,'泡泡国际IP分级统计-SKU维度 宽度'!AS$2,#REF!,'泡泡国际IP分级统计-SKU维度 宽度'!$AP$1)</f>
        <v>#REF!</v>
      </c>
      <c r="AT5" s="86" t="e">
        <f t="shared" si="8"/>
        <v>#REF!</v>
      </c>
      <c r="AU5" s="138" t="e">
        <f>COUNTIFS(#REF!,'泡泡国际IP分级统计-SKU维度 宽度'!$A5,#REF!,'泡泡国际IP分级统计-SKU维度 宽度'!AU$2,#REF!,'泡泡国际IP分级统计-SKU维度 宽度'!$AU$1)</f>
        <v>#REF!</v>
      </c>
      <c r="AV5" s="138" t="e">
        <f>COUNTIFS(#REF!,'泡泡国际IP分级统计-SKU维度 宽度'!$A5,#REF!,'泡泡国际IP分级统计-SKU维度 宽度'!AV$2,#REF!,'泡泡国际IP分级统计-SKU维度 宽度'!$AU$1)</f>
        <v>#REF!</v>
      </c>
      <c r="AW5" s="138" t="e">
        <f>COUNTIFS(#REF!,'泡泡国际IP分级统计-SKU维度 宽度'!$A5,#REF!,'泡泡国际IP分级统计-SKU维度 宽度'!AW$2,#REF!,'泡泡国际IP分级统计-SKU维度 宽度'!$AU$1)</f>
        <v>#REF!</v>
      </c>
      <c r="AX5" s="138" t="e">
        <f>COUNTIFS(#REF!,'泡泡国际IP分级统计-SKU维度 宽度'!$A5,#REF!,'泡泡国际IP分级统计-SKU维度 宽度'!AX$2,#REF!,'泡泡国际IP分级统计-SKU维度 宽度'!$AU$1)</f>
        <v>#REF!</v>
      </c>
      <c r="AY5" s="86" t="e">
        <f t="shared" si="9"/>
        <v>#REF!</v>
      </c>
      <c r="AZ5" s="138" t="e">
        <f>COUNTIFS(#REF!,'泡泡国际IP分级统计-SKU维度 宽度'!$A5,#REF!,'泡泡国际IP分级统计-SKU维度 宽度'!AZ$2,#REF!,'泡泡国际IP分级统计-SKU维度 宽度'!$AZ$1)</f>
        <v>#REF!</v>
      </c>
      <c r="BA5" s="138" t="e">
        <f>COUNTIFS(#REF!,'泡泡国际IP分级统计-SKU维度 宽度'!$A5,#REF!,'泡泡国际IP分级统计-SKU维度 宽度'!BA$2,#REF!,'泡泡国际IP分级统计-SKU维度 宽度'!$AZ$1)</f>
        <v>#REF!</v>
      </c>
      <c r="BB5" s="138" t="e">
        <f>COUNTIFS(#REF!,'泡泡国际IP分级统计-SKU维度 宽度'!$A5,#REF!,'泡泡国际IP分级统计-SKU维度 宽度'!BB$2,#REF!,'泡泡国际IP分级统计-SKU维度 宽度'!$AZ$1)</f>
        <v>#REF!</v>
      </c>
      <c r="BC5" s="138" t="e">
        <f>COUNTIFS(#REF!,'泡泡国际IP分级统计-SKU维度 宽度'!$A5,#REF!,'泡泡国际IP分级统计-SKU维度 宽度'!BC$2,#REF!,'泡泡国际IP分级统计-SKU维度 宽度'!$AZ$1)</f>
        <v>#REF!</v>
      </c>
      <c r="BD5" s="85" t="e">
        <f t="shared" si="10"/>
        <v>#REF!</v>
      </c>
    </row>
    <row r="6" spans="1:56">
      <c r="A6" s="137" t="s">
        <v>392</v>
      </c>
      <c r="B6" s="138"/>
      <c r="C6" s="138"/>
      <c r="D6" s="138"/>
      <c r="E6" s="138"/>
      <c r="F6" s="86" t="e">
        <f t="shared" si="0"/>
        <v>#DIV/0!</v>
      </c>
      <c r="G6" s="138"/>
      <c r="H6" s="138"/>
      <c r="I6" s="138"/>
      <c r="J6" s="138"/>
      <c r="K6" s="86" t="e">
        <f t="shared" si="1"/>
        <v>#DIV/0!</v>
      </c>
      <c r="L6" s="138" t="e">
        <f>COUNTIFS(#REF!,'泡泡国际IP分级统计-SKU维度 宽度'!$A6,#REF!,'泡泡国际IP分级统计-SKU维度 宽度'!L$2,#REF!,'泡泡国际IP分级统计-SKU维度 宽度'!$L$1)</f>
        <v>#REF!</v>
      </c>
      <c r="M6" s="138" t="e">
        <f>COUNTIFS(#REF!,'泡泡国际IP分级统计-SKU维度 宽度'!$A6,#REF!,'泡泡国际IP分级统计-SKU维度 宽度'!M$2,#REF!,'泡泡国际IP分级统计-SKU维度 宽度'!$L$1)</f>
        <v>#REF!</v>
      </c>
      <c r="N6" s="138" t="e">
        <f>COUNTIFS(#REF!,'泡泡国际IP分级统计-SKU维度 宽度'!$A6,#REF!,'泡泡国际IP分级统计-SKU维度 宽度'!N$2,#REF!,'泡泡国际IP分级统计-SKU维度 宽度'!$L$1)</f>
        <v>#REF!</v>
      </c>
      <c r="O6" s="138" t="e">
        <f>COUNTIFS(#REF!,'泡泡国际IP分级统计-SKU维度 宽度'!$A6,#REF!,'泡泡国际IP分级统计-SKU维度 宽度'!O$2,#REF!,'泡泡国际IP分级统计-SKU维度 宽度'!$L$1)</f>
        <v>#REF!</v>
      </c>
      <c r="P6" s="86" t="e">
        <f t="shared" si="2"/>
        <v>#REF!</v>
      </c>
      <c r="Q6" s="138" t="e">
        <f>COUNTIFS(#REF!,'泡泡国际IP分级统计-SKU维度 宽度'!$A6,#REF!,'泡泡国际IP分级统计-SKU维度 宽度'!Q$2,#REF!,'泡泡国际IP分级统计-SKU维度 宽度'!$Q$1)</f>
        <v>#REF!</v>
      </c>
      <c r="R6" s="138" t="e">
        <f>COUNTIFS(#REF!,'泡泡国际IP分级统计-SKU维度 宽度'!$A6,#REF!,'泡泡国际IP分级统计-SKU维度 宽度'!R$2,#REF!,'泡泡国际IP分级统计-SKU维度 宽度'!$Q$1)</f>
        <v>#REF!</v>
      </c>
      <c r="S6" s="138" t="e">
        <f>COUNTIFS(#REF!,'泡泡国际IP分级统计-SKU维度 宽度'!$A6,#REF!,'泡泡国际IP分级统计-SKU维度 宽度'!S$2,#REF!,'泡泡国际IP分级统计-SKU维度 宽度'!$Q$1)</f>
        <v>#REF!</v>
      </c>
      <c r="T6" s="138" t="e">
        <f>COUNTIFS(#REF!,'泡泡国际IP分级统计-SKU维度 宽度'!$A6,#REF!,'泡泡国际IP分级统计-SKU维度 宽度'!T$2,#REF!,'泡泡国际IP分级统计-SKU维度 宽度'!$Q$1)</f>
        <v>#REF!</v>
      </c>
      <c r="U6" s="86" t="e">
        <f t="shared" si="3"/>
        <v>#REF!</v>
      </c>
      <c r="V6" s="138" t="e">
        <f>COUNTIFS(#REF!,'泡泡国际IP分级统计-SKU维度 宽度'!$A6,#REF!,'泡泡国际IP分级统计-SKU维度 宽度'!V$2,#REF!,'泡泡国际IP分级统计-SKU维度 宽度'!$V$1)</f>
        <v>#REF!</v>
      </c>
      <c r="W6" s="138" t="e">
        <f>COUNTIFS(#REF!,'泡泡国际IP分级统计-SKU维度 宽度'!$A6,#REF!,'泡泡国际IP分级统计-SKU维度 宽度'!W$2,#REF!,'泡泡国际IP分级统计-SKU维度 宽度'!$V$1)</f>
        <v>#REF!</v>
      </c>
      <c r="X6" s="138" t="e">
        <f>COUNTIFS(#REF!,'泡泡国际IP分级统计-SKU维度 宽度'!$A6,#REF!,'泡泡国际IP分级统计-SKU维度 宽度'!X$2,#REF!,'泡泡国际IP分级统计-SKU维度 宽度'!$V$1)</f>
        <v>#REF!</v>
      </c>
      <c r="Y6" s="138" t="e">
        <f>COUNTIFS(#REF!,'泡泡国际IP分级统计-SKU维度 宽度'!$A6,#REF!,'泡泡国际IP分级统计-SKU维度 宽度'!Y$2,#REF!,'泡泡国际IP分级统计-SKU维度 宽度'!$V$1)</f>
        <v>#REF!</v>
      </c>
      <c r="Z6" s="86" t="e">
        <f t="shared" si="4"/>
        <v>#REF!</v>
      </c>
      <c r="AA6" s="138" t="e">
        <f>COUNTIFS(#REF!,'泡泡国际IP分级统计-SKU维度 宽度'!$A6,#REF!,'泡泡国际IP分级统计-SKU维度 宽度'!AA$2,#REF!,'泡泡国际IP分级统计-SKU维度 宽度'!$AA$1)</f>
        <v>#REF!</v>
      </c>
      <c r="AB6" s="138" t="e">
        <f>COUNTIFS(#REF!,'泡泡国际IP分级统计-SKU维度 宽度'!$A6,#REF!,'泡泡国际IP分级统计-SKU维度 宽度'!AB$2,#REF!,'泡泡国际IP分级统计-SKU维度 宽度'!$AA$1)</f>
        <v>#REF!</v>
      </c>
      <c r="AC6" s="138" t="e">
        <f>COUNTIFS(#REF!,'泡泡国际IP分级统计-SKU维度 宽度'!$A6,#REF!,'泡泡国际IP分级统计-SKU维度 宽度'!AC$2,#REF!,'泡泡国际IP分级统计-SKU维度 宽度'!$AA$1)</f>
        <v>#REF!</v>
      </c>
      <c r="AD6" s="138" t="e">
        <f>COUNTIFS(#REF!,'泡泡国际IP分级统计-SKU维度 宽度'!$A6,#REF!,'泡泡国际IP分级统计-SKU维度 宽度'!AD$2,#REF!,'泡泡国际IP分级统计-SKU维度 宽度'!$AA$1)</f>
        <v>#REF!</v>
      </c>
      <c r="AE6" s="86" t="e">
        <f t="shared" si="5"/>
        <v>#REF!</v>
      </c>
      <c r="AF6" s="138" t="e">
        <f>COUNTIFS(#REF!,'泡泡国际IP分级统计-SKU维度 宽度'!$A6,#REF!,'泡泡国际IP分级统计-SKU维度 宽度'!AF$2,#REF!,'泡泡国际IP分级统计-SKU维度 宽度'!$AF$1)</f>
        <v>#REF!</v>
      </c>
      <c r="AG6" s="138" t="e">
        <f>COUNTIFS(#REF!,'泡泡国际IP分级统计-SKU维度 宽度'!$A6,#REF!,'泡泡国际IP分级统计-SKU维度 宽度'!AG$2,#REF!,'泡泡国际IP分级统计-SKU维度 宽度'!$AF$1)</f>
        <v>#REF!</v>
      </c>
      <c r="AH6" s="138" t="e">
        <f>COUNTIFS(#REF!,'泡泡国际IP分级统计-SKU维度 宽度'!$A6,#REF!,'泡泡国际IP分级统计-SKU维度 宽度'!AH$2,#REF!,'泡泡国际IP分级统计-SKU维度 宽度'!$AF$1)</f>
        <v>#REF!</v>
      </c>
      <c r="AI6" s="138" t="e">
        <f>COUNTIFS(#REF!,'泡泡国际IP分级统计-SKU维度 宽度'!$A6,#REF!,'泡泡国际IP分级统计-SKU维度 宽度'!AI$2,#REF!,'泡泡国际IP分级统计-SKU维度 宽度'!$AF$1)</f>
        <v>#REF!</v>
      </c>
      <c r="AJ6" s="86" t="e">
        <f t="shared" si="6"/>
        <v>#REF!</v>
      </c>
      <c r="AK6" s="138" t="e">
        <f>COUNTIFS(#REF!,'泡泡国际IP分级统计-SKU维度 宽度'!$A6,#REF!,'泡泡国际IP分级统计-SKU维度 宽度'!AK$2,#REF!,'泡泡国际IP分级统计-SKU维度 宽度'!$AK$1)</f>
        <v>#REF!</v>
      </c>
      <c r="AL6" s="138" t="e">
        <f>COUNTIFS(#REF!,'泡泡国际IP分级统计-SKU维度 宽度'!$A6,#REF!,'泡泡国际IP分级统计-SKU维度 宽度'!AL$2,#REF!,'泡泡国际IP分级统计-SKU维度 宽度'!$AK$1)</f>
        <v>#REF!</v>
      </c>
      <c r="AM6" s="138" t="e">
        <f>COUNTIFS(#REF!,'泡泡国际IP分级统计-SKU维度 宽度'!$A6,#REF!,'泡泡国际IP分级统计-SKU维度 宽度'!AM$2,#REF!,'泡泡国际IP分级统计-SKU维度 宽度'!$AK$1)</f>
        <v>#REF!</v>
      </c>
      <c r="AN6" s="138" t="e">
        <f>COUNTIFS(#REF!,'泡泡国际IP分级统计-SKU维度 宽度'!$A6,#REF!,'泡泡国际IP分级统计-SKU维度 宽度'!AN$2,#REF!,'泡泡国际IP分级统计-SKU维度 宽度'!$AK$1)</f>
        <v>#REF!</v>
      </c>
      <c r="AO6" s="86" t="e">
        <f t="shared" si="7"/>
        <v>#REF!</v>
      </c>
      <c r="AP6" s="138" t="e">
        <f>COUNTIFS(#REF!,'泡泡国际IP分级统计-SKU维度 宽度'!$A6,#REF!,'泡泡国际IP分级统计-SKU维度 宽度'!AP$2,#REF!,'泡泡国际IP分级统计-SKU维度 宽度'!$AP$1)</f>
        <v>#REF!</v>
      </c>
      <c r="AQ6" s="138" t="e">
        <f>COUNTIFS(#REF!,'泡泡国际IP分级统计-SKU维度 宽度'!$A6,#REF!,'泡泡国际IP分级统计-SKU维度 宽度'!AQ$2,#REF!,'泡泡国际IP分级统计-SKU维度 宽度'!$AP$1)</f>
        <v>#REF!</v>
      </c>
      <c r="AR6" s="138" t="e">
        <f>COUNTIFS(#REF!,'泡泡国际IP分级统计-SKU维度 宽度'!$A6,#REF!,'泡泡国际IP分级统计-SKU维度 宽度'!AR$2,#REF!,'泡泡国际IP分级统计-SKU维度 宽度'!$AP$1)</f>
        <v>#REF!</v>
      </c>
      <c r="AS6" s="138" t="e">
        <f>COUNTIFS(#REF!,'泡泡国际IP分级统计-SKU维度 宽度'!$A6,#REF!,'泡泡国际IP分级统计-SKU维度 宽度'!AS$2,#REF!,'泡泡国际IP分级统计-SKU维度 宽度'!$AP$1)</f>
        <v>#REF!</v>
      </c>
      <c r="AT6" s="86" t="e">
        <f t="shared" si="8"/>
        <v>#REF!</v>
      </c>
      <c r="AU6" s="138" t="e">
        <f>COUNTIFS(#REF!,'泡泡国际IP分级统计-SKU维度 宽度'!$A6,#REF!,'泡泡国际IP分级统计-SKU维度 宽度'!AU$2,#REF!,'泡泡国际IP分级统计-SKU维度 宽度'!$AU$1)</f>
        <v>#REF!</v>
      </c>
      <c r="AV6" s="138" t="e">
        <f>COUNTIFS(#REF!,'泡泡国际IP分级统计-SKU维度 宽度'!$A6,#REF!,'泡泡国际IP分级统计-SKU维度 宽度'!AV$2,#REF!,'泡泡国际IP分级统计-SKU维度 宽度'!$AU$1)</f>
        <v>#REF!</v>
      </c>
      <c r="AW6" s="138" t="e">
        <f>COUNTIFS(#REF!,'泡泡国际IP分级统计-SKU维度 宽度'!$A6,#REF!,'泡泡国际IP分级统计-SKU维度 宽度'!AW$2,#REF!,'泡泡国际IP分级统计-SKU维度 宽度'!$AU$1)</f>
        <v>#REF!</v>
      </c>
      <c r="AX6" s="138" t="e">
        <f>COUNTIFS(#REF!,'泡泡国际IP分级统计-SKU维度 宽度'!$A6,#REF!,'泡泡国际IP分级统计-SKU维度 宽度'!AX$2,#REF!,'泡泡国际IP分级统计-SKU维度 宽度'!$AU$1)</f>
        <v>#REF!</v>
      </c>
      <c r="AY6" s="86" t="e">
        <f t="shared" si="9"/>
        <v>#REF!</v>
      </c>
      <c r="AZ6" s="138" t="e">
        <f>COUNTIFS(#REF!,'泡泡国际IP分级统计-SKU维度 宽度'!$A6,#REF!,'泡泡国际IP分级统计-SKU维度 宽度'!AZ$2,#REF!,'泡泡国际IP分级统计-SKU维度 宽度'!$AZ$1)</f>
        <v>#REF!</v>
      </c>
      <c r="BA6" s="138" t="e">
        <f>COUNTIFS(#REF!,'泡泡国际IP分级统计-SKU维度 宽度'!$A6,#REF!,'泡泡国际IP分级统计-SKU维度 宽度'!BA$2,#REF!,'泡泡国际IP分级统计-SKU维度 宽度'!$AZ$1)</f>
        <v>#REF!</v>
      </c>
      <c r="BB6" s="138" t="e">
        <f>COUNTIFS(#REF!,'泡泡国际IP分级统计-SKU维度 宽度'!$A6,#REF!,'泡泡国际IP分级统计-SKU维度 宽度'!BB$2,#REF!,'泡泡国际IP分级统计-SKU维度 宽度'!$AZ$1)</f>
        <v>#REF!</v>
      </c>
      <c r="BC6" s="138" t="e">
        <f>COUNTIFS(#REF!,'泡泡国际IP分级统计-SKU维度 宽度'!$A6,#REF!,'泡泡国际IP分级统计-SKU维度 宽度'!BC$2,#REF!,'泡泡国际IP分级统计-SKU维度 宽度'!$AZ$1)</f>
        <v>#REF!</v>
      </c>
      <c r="BD6" s="85" t="e">
        <f t="shared" si="10"/>
        <v>#REF!</v>
      </c>
    </row>
    <row r="7" spans="1:56">
      <c r="A7" s="137" t="s">
        <v>393</v>
      </c>
      <c r="B7" s="138"/>
      <c r="C7" s="138"/>
      <c r="D7" s="138"/>
      <c r="E7" s="138"/>
      <c r="F7" s="86" t="e">
        <f t="shared" si="0"/>
        <v>#DIV/0!</v>
      </c>
      <c r="G7" s="138"/>
      <c r="H7" s="138"/>
      <c r="I7" s="138"/>
      <c r="J7" s="138"/>
      <c r="K7" s="86" t="e">
        <f t="shared" si="1"/>
        <v>#DIV/0!</v>
      </c>
      <c r="L7" s="138" t="e">
        <f>COUNTIFS(#REF!,'泡泡国际IP分级统计-SKU维度 宽度'!$A7,#REF!,'泡泡国际IP分级统计-SKU维度 宽度'!L$2,#REF!,'泡泡国际IP分级统计-SKU维度 宽度'!$L$1)</f>
        <v>#REF!</v>
      </c>
      <c r="M7" s="138" t="e">
        <f>COUNTIFS(#REF!,'泡泡国际IP分级统计-SKU维度 宽度'!$A7,#REF!,'泡泡国际IP分级统计-SKU维度 宽度'!M$2,#REF!,'泡泡国际IP分级统计-SKU维度 宽度'!$L$1)</f>
        <v>#REF!</v>
      </c>
      <c r="N7" s="138" t="e">
        <f>COUNTIFS(#REF!,'泡泡国际IP分级统计-SKU维度 宽度'!$A7,#REF!,'泡泡国际IP分级统计-SKU维度 宽度'!N$2,#REF!,'泡泡国际IP分级统计-SKU维度 宽度'!$L$1)</f>
        <v>#REF!</v>
      </c>
      <c r="O7" s="138" t="e">
        <f>COUNTIFS(#REF!,'泡泡国际IP分级统计-SKU维度 宽度'!$A7,#REF!,'泡泡国际IP分级统计-SKU维度 宽度'!O$2,#REF!,'泡泡国际IP分级统计-SKU维度 宽度'!$L$1)</f>
        <v>#REF!</v>
      </c>
      <c r="P7" s="86" t="e">
        <f t="shared" si="2"/>
        <v>#REF!</v>
      </c>
      <c r="Q7" s="138" t="e">
        <f>COUNTIFS(#REF!,'泡泡国际IP分级统计-SKU维度 宽度'!$A7,#REF!,'泡泡国际IP分级统计-SKU维度 宽度'!Q$2,#REF!,'泡泡国际IP分级统计-SKU维度 宽度'!$Q$1)</f>
        <v>#REF!</v>
      </c>
      <c r="R7" s="138" t="e">
        <f>COUNTIFS(#REF!,'泡泡国际IP分级统计-SKU维度 宽度'!$A7,#REF!,'泡泡国际IP分级统计-SKU维度 宽度'!R$2,#REF!,'泡泡国际IP分级统计-SKU维度 宽度'!$Q$1)</f>
        <v>#REF!</v>
      </c>
      <c r="S7" s="138" t="e">
        <f>COUNTIFS(#REF!,'泡泡国际IP分级统计-SKU维度 宽度'!$A7,#REF!,'泡泡国际IP分级统计-SKU维度 宽度'!S$2,#REF!,'泡泡国际IP分级统计-SKU维度 宽度'!$Q$1)</f>
        <v>#REF!</v>
      </c>
      <c r="T7" s="138" t="e">
        <f>COUNTIFS(#REF!,'泡泡国际IP分级统计-SKU维度 宽度'!$A7,#REF!,'泡泡国际IP分级统计-SKU维度 宽度'!T$2,#REF!,'泡泡国际IP分级统计-SKU维度 宽度'!$Q$1)</f>
        <v>#REF!</v>
      </c>
      <c r="U7" s="86" t="e">
        <f t="shared" si="3"/>
        <v>#REF!</v>
      </c>
      <c r="V7" s="138" t="e">
        <f>COUNTIFS(#REF!,'泡泡国际IP分级统计-SKU维度 宽度'!$A7,#REF!,'泡泡国际IP分级统计-SKU维度 宽度'!V$2,#REF!,'泡泡国际IP分级统计-SKU维度 宽度'!$V$1)</f>
        <v>#REF!</v>
      </c>
      <c r="W7" s="138" t="e">
        <f>COUNTIFS(#REF!,'泡泡国际IP分级统计-SKU维度 宽度'!$A7,#REF!,'泡泡国际IP分级统计-SKU维度 宽度'!W$2,#REF!,'泡泡国际IP分级统计-SKU维度 宽度'!$V$1)</f>
        <v>#REF!</v>
      </c>
      <c r="X7" s="138" t="e">
        <f>COUNTIFS(#REF!,'泡泡国际IP分级统计-SKU维度 宽度'!$A7,#REF!,'泡泡国际IP分级统计-SKU维度 宽度'!X$2,#REF!,'泡泡国际IP分级统计-SKU维度 宽度'!$V$1)</f>
        <v>#REF!</v>
      </c>
      <c r="Y7" s="138" t="e">
        <f>COUNTIFS(#REF!,'泡泡国际IP分级统计-SKU维度 宽度'!$A7,#REF!,'泡泡国际IP分级统计-SKU维度 宽度'!Y$2,#REF!,'泡泡国际IP分级统计-SKU维度 宽度'!$V$1)</f>
        <v>#REF!</v>
      </c>
      <c r="Z7" s="86" t="e">
        <f t="shared" si="4"/>
        <v>#REF!</v>
      </c>
      <c r="AA7" s="138" t="e">
        <f>COUNTIFS(#REF!,'泡泡国际IP分级统计-SKU维度 宽度'!$A7,#REF!,'泡泡国际IP分级统计-SKU维度 宽度'!AA$2,#REF!,'泡泡国际IP分级统计-SKU维度 宽度'!$AA$1)</f>
        <v>#REF!</v>
      </c>
      <c r="AB7" s="138" t="e">
        <f>COUNTIFS(#REF!,'泡泡国际IP分级统计-SKU维度 宽度'!$A7,#REF!,'泡泡国际IP分级统计-SKU维度 宽度'!AB$2,#REF!,'泡泡国际IP分级统计-SKU维度 宽度'!$AA$1)</f>
        <v>#REF!</v>
      </c>
      <c r="AC7" s="138" t="e">
        <f>COUNTIFS(#REF!,'泡泡国际IP分级统计-SKU维度 宽度'!$A7,#REF!,'泡泡国际IP分级统计-SKU维度 宽度'!AC$2,#REF!,'泡泡国际IP分级统计-SKU维度 宽度'!$AA$1)</f>
        <v>#REF!</v>
      </c>
      <c r="AD7" s="138" t="e">
        <f>COUNTIFS(#REF!,'泡泡国际IP分级统计-SKU维度 宽度'!$A7,#REF!,'泡泡国际IP分级统计-SKU维度 宽度'!AD$2,#REF!,'泡泡国际IP分级统计-SKU维度 宽度'!$AA$1)</f>
        <v>#REF!</v>
      </c>
      <c r="AE7" s="86" t="e">
        <f t="shared" si="5"/>
        <v>#REF!</v>
      </c>
      <c r="AF7" s="138" t="e">
        <f>COUNTIFS(#REF!,'泡泡国际IP分级统计-SKU维度 宽度'!$A7,#REF!,'泡泡国际IP分级统计-SKU维度 宽度'!AF$2,#REF!,'泡泡国际IP分级统计-SKU维度 宽度'!$AF$1)</f>
        <v>#REF!</v>
      </c>
      <c r="AG7" s="138" t="e">
        <f>COUNTIFS(#REF!,'泡泡国际IP分级统计-SKU维度 宽度'!$A7,#REF!,'泡泡国际IP分级统计-SKU维度 宽度'!AG$2,#REF!,'泡泡国际IP分级统计-SKU维度 宽度'!$AF$1)</f>
        <v>#REF!</v>
      </c>
      <c r="AH7" s="138" t="e">
        <f>COUNTIFS(#REF!,'泡泡国际IP分级统计-SKU维度 宽度'!$A7,#REF!,'泡泡国际IP分级统计-SKU维度 宽度'!AH$2,#REF!,'泡泡国际IP分级统计-SKU维度 宽度'!$AF$1)</f>
        <v>#REF!</v>
      </c>
      <c r="AI7" s="138" t="e">
        <f>COUNTIFS(#REF!,'泡泡国际IP分级统计-SKU维度 宽度'!$A7,#REF!,'泡泡国际IP分级统计-SKU维度 宽度'!AI$2,#REF!,'泡泡国际IP分级统计-SKU维度 宽度'!$AF$1)</f>
        <v>#REF!</v>
      </c>
      <c r="AJ7" s="86" t="e">
        <f t="shared" si="6"/>
        <v>#REF!</v>
      </c>
      <c r="AK7" s="138" t="e">
        <f>COUNTIFS(#REF!,'泡泡国际IP分级统计-SKU维度 宽度'!$A7,#REF!,'泡泡国际IP分级统计-SKU维度 宽度'!AK$2,#REF!,'泡泡国际IP分级统计-SKU维度 宽度'!$AK$1)</f>
        <v>#REF!</v>
      </c>
      <c r="AL7" s="138" t="e">
        <f>COUNTIFS(#REF!,'泡泡国际IP分级统计-SKU维度 宽度'!$A7,#REF!,'泡泡国际IP分级统计-SKU维度 宽度'!AL$2,#REF!,'泡泡国际IP分级统计-SKU维度 宽度'!$AK$1)</f>
        <v>#REF!</v>
      </c>
      <c r="AM7" s="138" t="e">
        <f>COUNTIFS(#REF!,'泡泡国际IP分级统计-SKU维度 宽度'!$A7,#REF!,'泡泡国际IP分级统计-SKU维度 宽度'!AM$2,#REF!,'泡泡国际IP分级统计-SKU维度 宽度'!$AK$1)</f>
        <v>#REF!</v>
      </c>
      <c r="AN7" s="138" t="e">
        <f>COUNTIFS(#REF!,'泡泡国际IP分级统计-SKU维度 宽度'!$A7,#REF!,'泡泡国际IP分级统计-SKU维度 宽度'!AN$2,#REF!,'泡泡国际IP分级统计-SKU维度 宽度'!$AK$1)</f>
        <v>#REF!</v>
      </c>
      <c r="AO7" s="86" t="e">
        <f t="shared" si="7"/>
        <v>#REF!</v>
      </c>
      <c r="AP7" s="138" t="e">
        <f>COUNTIFS(#REF!,'泡泡国际IP分级统计-SKU维度 宽度'!$A7,#REF!,'泡泡国际IP分级统计-SKU维度 宽度'!AP$2,#REF!,'泡泡国际IP分级统计-SKU维度 宽度'!$AP$1)</f>
        <v>#REF!</v>
      </c>
      <c r="AQ7" s="138" t="e">
        <f>COUNTIFS(#REF!,'泡泡国际IP分级统计-SKU维度 宽度'!$A7,#REF!,'泡泡国际IP分级统计-SKU维度 宽度'!AQ$2,#REF!,'泡泡国际IP分级统计-SKU维度 宽度'!$AP$1)</f>
        <v>#REF!</v>
      </c>
      <c r="AR7" s="138" t="e">
        <f>COUNTIFS(#REF!,'泡泡国际IP分级统计-SKU维度 宽度'!$A7,#REF!,'泡泡国际IP分级统计-SKU维度 宽度'!AR$2,#REF!,'泡泡国际IP分级统计-SKU维度 宽度'!$AP$1)</f>
        <v>#REF!</v>
      </c>
      <c r="AS7" s="138" t="e">
        <f>COUNTIFS(#REF!,'泡泡国际IP分级统计-SKU维度 宽度'!$A7,#REF!,'泡泡国际IP分级统计-SKU维度 宽度'!AS$2,#REF!,'泡泡国际IP分级统计-SKU维度 宽度'!$AP$1)</f>
        <v>#REF!</v>
      </c>
      <c r="AT7" s="86" t="e">
        <f t="shared" si="8"/>
        <v>#REF!</v>
      </c>
      <c r="AU7" s="138" t="e">
        <f>COUNTIFS(#REF!,'泡泡国际IP分级统计-SKU维度 宽度'!$A7,#REF!,'泡泡国际IP分级统计-SKU维度 宽度'!AU$2,#REF!,'泡泡国际IP分级统计-SKU维度 宽度'!$AU$1)</f>
        <v>#REF!</v>
      </c>
      <c r="AV7" s="138" t="e">
        <f>COUNTIFS(#REF!,'泡泡国际IP分级统计-SKU维度 宽度'!$A7,#REF!,'泡泡国际IP分级统计-SKU维度 宽度'!AV$2,#REF!,'泡泡国际IP分级统计-SKU维度 宽度'!$AU$1)</f>
        <v>#REF!</v>
      </c>
      <c r="AW7" s="138" t="e">
        <f>COUNTIFS(#REF!,'泡泡国际IP分级统计-SKU维度 宽度'!$A7,#REF!,'泡泡国际IP分级统计-SKU维度 宽度'!AW$2,#REF!,'泡泡国际IP分级统计-SKU维度 宽度'!$AU$1)</f>
        <v>#REF!</v>
      </c>
      <c r="AX7" s="138" t="e">
        <f>COUNTIFS(#REF!,'泡泡国际IP分级统计-SKU维度 宽度'!$A7,#REF!,'泡泡国际IP分级统计-SKU维度 宽度'!AX$2,#REF!,'泡泡国际IP分级统计-SKU维度 宽度'!$AU$1)</f>
        <v>#REF!</v>
      </c>
      <c r="AY7" s="86" t="e">
        <f t="shared" si="9"/>
        <v>#REF!</v>
      </c>
      <c r="AZ7" s="138" t="e">
        <f>COUNTIFS(#REF!,'泡泡国际IP分级统计-SKU维度 宽度'!$A7,#REF!,'泡泡国际IP分级统计-SKU维度 宽度'!AZ$2,#REF!,'泡泡国际IP分级统计-SKU维度 宽度'!$AZ$1)</f>
        <v>#REF!</v>
      </c>
      <c r="BA7" s="138" t="e">
        <f>COUNTIFS(#REF!,'泡泡国际IP分级统计-SKU维度 宽度'!$A7,#REF!,'泡泡国际IP分级统计-SKU维度 宽度'!BA$2,#REF!,'泡泡国际IP分级统计-SKU维度 宽度'!$AZ$1)</f>
        <v>#REF!</v>
      </c>
      <c r="BB7" s="138" t="e">
        <f>COUNTIFS(#REF!,'泡泡国际IP分级统计-SKU维度 宽度'!$A7,#REF!,'泡泡国际IP分级统计-SKU维度 宽度'!BB$2,#REF!,'泡泡国际IP分级统计-SKU维度 宽度'!$AZ$1)</f>
        <v>#REF!</v>
      </c>
      <c r="BC7" s="138" t="e">
        <f>COUNTIFS(#REF!,'泡泡国际IP分级统计-SKU维度 宽度'!$A7,#REF!,'泡泡国际IP分级统计-SKU维度 宽度'!BC$2,#REF!,'泡泡国际IP分级统计-SKU维度 宽度'!$AZ$1)</f>
        <v>#REF!</v>
      </c>
      <c r="BD7" s="85" t="e">
        <f t="shared" si="10"/>
        <v>#REF!</v>
      </c>
    </row>
    <row r="8" customFormat="1" ht="16.5" spans="1:56">
      <c r="A8" s="139" t="s">
        <v>305</v>
      </c>
      <c r="B8" s="140">
        <f>SUM(B3:B7)</f>
        <v>0</v>
      </c>
      <c r="C8" s="140">
        <f>SUM(C3:C7)</f>
        <v>0</v>
      </c>
      <c r="D8" s="140">
        <f>SUM(D3:D7)</f>
        <v>0</v>
      </c>
      <c r="E8" s="140">
        <f>SUM(E3:E7)</f>
        <v>0</v>
      </c>
      <c r="F8" s="141">
        <f t="shared" si="0"/>
        <v>0</v>
      </c>
      <c r="G8" s="140">
        <f>SUM(G3:G7)</f>
        <v>0</v>
      </c>
      <c r="H8" s="140">
        <f>SUM(H3:H7)</f>
        <v>0</v>
      </c>
      <c r="I8" s="140">
        <f>SUM(I3:I7)</f>
        <v>0</v>
      </c>
      <c r="J8" s="140">
        <f>SUM(J3:J7)</f>
        <v>0</v>
      </c>
      <c r="K8" s="141">
        <f t="shared" si="1"/>
        <v>0</v>
      </c>
      <c r="L8" s="140" t="e">
        <f>SUM(L3:L7)</f>
        <v>#REF!</v>
      </c>
      <c r="M8" s="140" t="e">
        <f>SUM(M3:M7)</f>
        <v>#REF!</v>
      </c>
      <c r="N8" s="140" t="e">
        <f>SUM(N3:N7)</f>
        <v>#REF!</v>
      </c>
      <c r="O8" s="140" t="e">
        <f>SUM(O3:O7)</f>
        <v>#REF!</v>
      </c>
      <c r="P8" s="141" t="e">
        <f t="shared" si="2"/>
        <v>#REF!</v>
      </c>
      <c r="Q8" s="140" t="e">
        <f>SUM(Q3:Q7)</f>
        <v>#REF!</v>
      </c>
      <c r="R8" s="140" t="e">
        <f>SUM(R3:R7)</f>
        <v>#REF!</v>
      </c>
      <c r="S8" s="140" t="e">
        <f>SUM(S3:S7)</f>
        <v>#REF!</v>
      </c>
      <c r="T8" s="140" t="e">
        <f>SUM(T3:T7)</f>
        <v>#REF!</v>
      </c>
      <c r="U8" s="141" t="e">
        <f t="shared" si="3"/>
        <v>#REF!</v>
      </c>
      <c r="V8" s="140" t="e">
        <f>SUM(V3:V7)</f>
        <v>#REF!</v>
      </c>
      <c r="W8" s="140" t="e">
        <f>SUM(W3:W7)</f>
        <v>#REF!</v>
      </c>
      <c r="X8" s="140" t="e">
        <f>SUM(X3:X7)</f>
        <v>#REF!</v>
      </c>
      <c r="Y8" s="140" t="e">
        <f>SUM(Y3:Y7)</f>
        <v>#REF!</v>
      </c>
      <c r="Z8" s="141" t="e">
        <f t="shared" si="4"/>
        <v>#REF!</v>
      </c>
      <c r="AA8" s="140" t="e">
        <f>SUM(AA3:AA7)</f>
        <v>#REF!</v>
      </c>
      <c r="AB8" s="140" t="e">
        <f>SUM(AB3:AB7)</f>
        <v>#REF!</v>
      </c>
      <c r="AC8" s="140" t="e">
        <f>SUM(AC3:AC7)</f>
        <v>#REF!</v>
      </c>
      <c r="AD8" s="140" t="e">
        <f>SUM(AD3:AD7)</f>
        <v>#REF!</v>
      </c>
      <c r="AE8" s="141" t="e">
        <f t="shared" si="5"/>
        <v>#REF!</v>
      </c>
      <c r="AF8" s="140" t="e">
        <f>SUM(AF3:AF7)</f>
        <v>#REF!</v>
      </c>
      <c r="AG8" s="140" t="e">
        <f>SUM(AG3:AG7)</f>
        <v>#REF!</v>
      </c>
      <c r="AH8" s="140" t="e">
        <f>SUM(AH3:AH7)</f>
        <v>#REF!</v>
      </c>
      <c r="AI8" s="140" t="e">
        <f>SUM(AI3:AI7)</f>
        <v>#REF!</v>
      </c>
      <c r="AJ8" s="141" t="e">
        <f t="shared" si="6"/>
        <v>#REF!</v>
      </c>
      <c r="AK8" s="140" t="e">
        <f>SUM(AK3:AK7)</f>
        <v>#REF!</v>
      </c>
      <c r="AL8" s="140" t="e">
        <f>SUM(AL3:AL7)</f>
        <v>#REF!</v>
      </c>
      <c r="AM8" s="140" t="e">
        <f>SUM(AM3:AM7)</f>
        <v>#REF!</v>
      </c>
      <c r="AN8" s="140" t="e">
        <f>SUM(AN3:AN7)</f>
        <v>#REF!</v>
      </c>
      <c r="AO8" s="141" t="e">
        <f t="shared" si="7"/>
        <v>#REF!</v>
      </c>
      <c r="AP8" s="140" t="e">
        <f>SUM(AP3:AP7)</f>
        <v>#REF!</v>
      </c>
      <c r="AQ8" s="140" t="e">
        <f>SUM(AQ3:AQ7)</f>
        <v>#REF!</v>
      </c>
      <c r="AR8" s="140" t="e">
        <f>SUM(AR3:AR7)</f>
        <v>#REF!</v>
      </c>
      <c r="AS8" s="140" t="e">
        <f>SUM(AS3:AS7)</f>
        <v>#REF!</v>
      </c>
      <c r="AT8" s="141" t="e">
        <f t="shared" si="8"/>
        <v>#REF!</v>
      </c>
      <c r="AU8" s="140" t="e">
        <f>SUM(AU3:AU7)</f>
        <v>#REF!</v>
      </c>
      <c r="AV8" s="140" t="e">
        <f>SUM(AV3:AV7)</f>
        <v>#REF!</v>
      </c>
      <c r="AW8" s="140" t="e">
        <f>SUM(AW3:AW7)</f>
        <v>#REF!</v>
      </c>
      <c r="AX8" s="140" t="e">
        <f>SUM(AX3:AX7)</f>
        <v>#REF!</v>
      </c>
      <c r="AY8" s="141" t="e">
        <f t="shared" si="9"/>
        <v>#REF!</v>
      </c>
      <c r="AZ8" s="140" t="e">
        <f>SUM(AZ3:AZ7)</f>
        <v>#REF!</v>
      </c>
      <c r="BA8" s="140" t="e">
        <f>SUM(BA3:BA7)</f>
        <v>#REF!</v>
      </c>
      <c r="BB8" s="140" t="e">
        <f>SUM(BB3:BB7)</f>
        <v>#REF!</v>
      </c>
      <c r="BC8" s="140" t="e">
        <f>SUM(BC3:BC7)</f>
        <v>#REF!</v>
      </c>
      <c r="BD8" s="140" t="e">
        <f t="shared" si="10"/>
        <v>#REF!</v>
      </c>
    </row>
    <row r="9" customFormat="1" ht="16.5" spans="1:56">
      <c r="A9" s="56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customFormat="1" ht="16.5" spans="1:56">
      <c r="A10" s="103" t="s">
        <v>386</v>
      </c>
      <c r="B10" s="130" t="s">
        <v>1</v>
      </c>
      <c r="C10" s="130"/>
      <c r="D10" s="130"/>
      <c r="E10" s="130"/>
      <c r="F10" s="131"/>
      <c r="G10" s="61" t="s">
        <v>2</v>
      </c>
      <c r="H10" s="61"/>
      <c r="I10" s="61"/>
      <c r="J10" s="61"/>
      <c r="K10" s="62"/>
      <c r="L10" s="63" t="s">
        <v>3</v>
      </c>
      <c r="M10" s="63"/>
      <c r="N10" s="63"/>
      <c r="O10" s="63"/>
      <c r="P10" s="64"/>
      <c r="Q10" s="63" t="s">
        <v>4</v>
      </c>
      <c r="R10" s="63"/>
      <c r="S10" s="63"/>
      <c r="T10" s="63"/>
      <c r="U10" s="64"/>
      <c r="V10" s="63" t="s">
        <v>5</v>
      </c>
      <c r="W10" s="63"/>
      <c r="X10" s="63"/>
      <c r="Y10" s="63"/>
      <c r="Z10" s="64"/>
      <c r="AA10" s="63" t="s">
        <v>6</v>
      </c>
      <c r="AB10" s="63"/>
      <c r="AC10" s="63"/>
      <c r="AD10" s="63"/>
      <c r="AE10" s="64"/>
      <c r="AF10" s="63" t="s">
        <v>7</v>
      </c>
      <c r="AG10" s="63"/>
      <c r="AH10" s="63"/>
      <c r="AI10" s="63"/>
      <c r="AJ10" s="64"/>
      <c r="AK10" s="63" t="s">
        <v>8</v>
      </c>
      <c r="AL10" s="63"/>
      <c r="AM10" s="63"/>
      <c r="AN10" s="63"/>
      <c r="AO10" s="64"/>
      <c r="AP10" s="63" t="s">
        <v>9</v>
      </c>
      <c r="AQ10" s="63"/>
      <c r="AR10" s="63"/>
      <c r="AS10" s="63"/>
      <c r="AT10" s="64"/>
      <c r="AU10" s="63" t="s">
        <v>10</v>
      </c>
      <c r="AV10" s="63"/>
      <c r="AW10" s="63"/>
      <c r="AX10" s="63"/>
      <c r="AY10" s="64"/>
      <c r="AZ10" s="63" t="s">
        <v>11</v>
      </c>
      <c r="BA10" s="63"/>
      <c r="BB10" s="63"/>
      <c r="BC10" s="63"/>
      <c r="BD10" s="63"/>
    </row>
    <row r="11" customFormat="1" ht="16.5" spans="1:56">
      <c r="A11" s="142" t="s">
        <v>18</v>
      </c>
      <c r="B11" s="143" t="s">
        <v>20</v>
      </c>
      <c r="C11" s="143" t="s">
        <v>21</v>
      </c>
      <c r="D11" s="143">
        <v>45717</v>
      </c>
      <c r="E11" s="143">
        <v>45748</v>
      </c>
      <c r="F11" s="143" t="s">
        <v>388</v>
      </c>
      <c r="G11" s="69" t="s">
        <v>20</v>
      </c>
      <c r="H11" s="69" t="s">
        <v>21</v>
      </c>
      <c r="I11" s="69">
        <v>45717</v>
      </c>
      <c r="J11" s="69">
        <v>45748</v>
      </c>
      <c r="K11" s="70" t="s">
        <v>388</v>
      </c>
      <c r="L11" s="71" t="s">
        <v>20</v>
      </c>
      <c r="M11" s="71" t="s">
        <v>21</v>
      </c>
      <c r="N11" s="71">
        <v>45717</v>
      </c>
      <c r="O11" s="71">
        <v>45748</v>
      </c>
      <c r="P11" s="72" t="s">
        <v>388</v>
      </c>
      <c r="Q11" s="71" t="s">
        <v>20</v>
      </c>
      <c r="R11" s="71" t="s">
        <v>21</v>
      </c>
      <c r="S11" s="71">
        <v>45717</v>
      </c>
      <c r="T11" s="71">
        <v>45748</v>
      </c>
      <c r="U11" s="72" t="s">
        <v>388</v>
      </c>
      <c r="V11" s="71" t="s">
        <v>20</v>
      </c>
      <c r="W11" s="71" t="s">
        <v>21</v>
      </c>
      <c r="X11" s="71">
        <v>45717</v>
      </c>
      <c r="Y11" s="71">
        <v>45748</v>
      </c>
      <c r="Z11" s="72" t="s">
        <v>388</v>
      </c>
      <c r="AA11" s="71" t="s">
        <v>20</v>
      </c>
      <c r="AB11" s="71" t="s">
        <v>21</v>
      </c>
      <c r="AC11" s="71">
        <v>45717</v>
      </c>
      <c r="AD11" s="71">
        <v>45748</v>
      </c>
      <c r="AE11" s="72" t="s">
        <v>388</v>
      </c>
      <c r="AF11" s="71" t="s">
        <v>20</v>
      </c>
      <c r="AG11" s="71" t="s">
        <v>21</v>
      </c>
      <c r="AH11" s="71">
        <v>45717</v>
      </c>
      <c r="AI11" s="71">
        <v>45748</v>
      </c>
      <c r="AJ11" s="72" t="s">
        <v>388</v>
      </c>
      <c r="AK11" s="71" t="s">
        <v>20</v>
      </c>
      <c r="AL11" s="71" t="s">
        <v>21</v>
      </c>
      <c r="AM11" s="71">
        <v>45717</v>
      </c>
      <c r="AN11" s="71">
        <v>45748</v>
      </c>
      <c r="AO11" s="72" t="s">
        <v>388</v>
      </c>
      <c r="AP11" s="71" t="s">
        <v>20</v>
      </c>
      <c r="AQ11" s="71" t="s">
        <v>21</v>
      </c>
      <c r="AR11" s="71">
        <v>45717</v>
      </c>
      <c r="AS11" s="71">
        <v>45748</v>
      </c>
      <c r="AT11" s="72" t="s">
        <v>388</v>
      </c>
      <c r="AU11" s="71" t="s">
        <v>20</v>
      </c>
      <c r="AV11" s="71" t="s">
        <v>21</v>
      </c>
      <c r="AW11" s="71">
        <v>45717</v>
      </c>
      <c r="AX11" s="71">
        <v>45748</v>
      </c>
      <c r="AY11" s="72" t="s">
        <v>388</v>
      </c>
      <c r="AZ11" s="71" t="s">
        <v>20</v>
      </c>
      <c r="BA11" s="71" t="s">
        <v>21</v>
      </c>
      <c r="BB11" s="71">
        <v>45717</v>
      </c>
      <c r="BC11" s="71">
        <v>45748</v>
      </c>
      <c r="BD11" s="73" t="s">
        <v>388</v>
      </c>
    </row>
    <row r="12" customFormat="1" spans="1:56">
      <c r="A12" s="137" t="s">
        <v>389</v>
      </c>
      <c r="B12" s="144" t="e">
        <f t="shared" ref="B12:AG12" si="11">B3/B$8</f>
        <v>#DIV/0!</v>
      </c>
      <c r="C12" s="144" t="e">
        <f t="shared" si="11"/>
        <v>#DIV/0!</v>
      </c>
      <c r="D12" s="144" t="e">
        <f t="shared" si="11"/>
        <v>#DIV/0!</v>
      </c>
      <c r="E12" s="144" t="e">
        <f t="shared" si="11"/>
        <v>#DIV/0!</v>
      </c>
      <c r="F12" s="117" t="e">
        <f t="shared" si="11"/>
        <v>#DIV/0!</v>
      </c>
      <c r="G12" s="111" t="e">
        <f t="shared" si="11"/>
        <v>#DIV/0!</v>
      </c>
      <c r="H12" s="111" t="e">
        <f t="shared" si="11"/>
        <v>#DIV/0!</v>
      </c>
      <c r="I12" s="111" t="e">
        <f t="shared" si="11"/>
        <v>#DIV/0!</v>
      </c>
      <c r="J12" s="111" t="e">
        <f t="shared" si="11"/>
        <v>#DIV/0!</v>
      </c>
      <c r="K12" s="112" t="e">
        <f t="shared" si="11"/>
        <v>#DIV/0!</v>
      </c>
      <c r="L12" s="117" t="e">
        <f t="shared" si="11"/>
        <v>#REF!</v>
      </c>
      <c r="M12" s="117" t="e">
        <f t="shared" si="11"/>
        <v>#REF!</v>
      </c>
      <c r="N12" s="117" t="e">
        <f t="shared" si="11"/>
        <v>#REF!</v>
      </c>
      <c r="O12" s="117" t="e">
        <f t="shared" si="11"/>
        <v>#REF!</v>
      </c>
      <c r="P12" s="9" t="e">
        <f t="shared" si="11"/>
        <v>#REF!</v>
      </c>
      <c r="Q12" s="117" t="e">
        <f t="shared" si="11"/>
        <v>#REF!</v>
      </c>
      <c r="R12" s="117" t="e">
        <f t="shared" si="11"/>
        <v>#REF!</v>
      </c>
      <c r="S12" s="117" t="e">
        <f t="shared" si="11"/>
        <v>#REF!</v>
      </c>
      <c r="T12" s="117" t="e">
        <f t="shared" si="11"/>
        <v>#REF!</v>
      </c>
      <c r="U12" s="9" t="e">
        <f t="shared" si="11"/>
        <v>#REF!</v>
      </c>
      <c r="V12" s="144" t="e">
        <f t="shared" si="11"/>
        <v>#REF!</v>
      </c>
      <c r="W12" s="144" t="e">
        <f t="shared" si="11"/>
        <v>#REF!</v>
      </c>
      <c r="X12" s="144" t="e">
        <f t="shared" si="11"/>
        <v>#REF!</v>
      </c>
      <c r="Y12" s="144" t="e">
        <f t="shared" si="11"/>
        <v>#REF!</v>
      </c>
      <c r="Z12" s="9" t="e">
        <f t="shared" si="11"/>
        <v>#REF!</v>
      </c>
      <c r="AA12" s="144" t="e">
        <f t="shared" si="11"/>
        <v>#REF!</v>
      </c>
      <c r="AB12" s="144" t="e">
        <f t="shared" si="11"/>
        <v>#REF!</v>
      </c>
      <c r="AC12" s="144" t="e">
        <f t="shared" si="11"/>
        <v>#REF!</v>
      </c>
      <c r="AD12" s="144" t="e">
        <f t="shared" si="11"/>
        <v>#REF!</v>
      </c>
      <c r="AE12" s="9" t="e">
        <f t="shared" si="11"/>
        <v>#REF!</v>
      </c>
      <c r="AF12" s="144" t="e">
        <f t="shared" si="11"/>
        <v>#REF!</v>
      </c>
      <c r="AG12" s="144" t="e">
        <f t="shared" si="11"/>
        <v>#REF!</v>
      </c>
      <c r="AH12" s="144" t="e">
        <f t="shared" ref="AH12:BD12" si="12">AH3/AH$8</f>
        <v>#REF!</v>
      </c>
      <c r="AI12" s="144" t="e">
        <f t="shared" si="12"/>
        <v>#REF!</v>
      </c>
      <c r="AJ12" s="9" t="e">
        <f t="shared" si="12"/>
        <v>#REF!</v>
      </c>
      <c r="AK12" s="144" t="e">
        <f t="shared" si="12"/>
        <v>#REF!</v>
      </c>
      <c r="AL12" s="144" t="e">
        <f t="shared" si="12"/>
        <v>#REF!</v>
      </c>
      <c r="AM12" s="144" t="e">
        <f t="shared" si="12"/>
        <v>#REF!</v>
      </c>
      <c r="AN12" s="144" t="e">
        <f t="shared" si="12"/>
        <v>#REF!</v>
      </c>
      <c r="AO12" s="9" t="e">
        <f t="shared" si="12"/>
        <v>#REF!</v>
      </c>
      <c r="AP12" s="144" t="e">
        <f t="shared" si="12"/>
        <v>#REF!</v>
      </c>
      <c r="AQ12" s="144" t="e">
        <f t="shared" si="12"/>
        <v>#REF!</v>
      </c>
      <c r="AR12" s="144" t="e">
        <f t="shared" si="12"/>
        <v>#REF!</v>
      </c>
      <c r="AS12" s="144" t="e">
        <f t="shared" si="12"/>
        <v>#REF!</v>
      </c>
      <c r="AT12" s="9" t="e">
        <f t="shared" si="12"/>
        <v>#REF!</v>
      </c>
      <c r="AU12" s="144" t="e">
        <f t="shared" si="12"/>
        <v>#REF!</v>
      </c>
      <c r="AV12" s="144" t="e">
        <f t="shared" si="12"/>
        <v>#REF!</v>
      </c>
      <c r="AW12" s="144" t="e">
        <f t="shared" si="12"/>
        <v>#REF!</v>
      </c>
      <c r="AX12" s="144" t="e">
        <f t="shared" si="12"/>
        <v>#REF!</v>
      </c>
      <c r="AY12" s="9" t="e">
        <f t="shared" si="12"/>
        <v>#REF!</v>
      </c>
      <c r="AZ12" s="144" t="e">
        <f t="shared" si="12"/>
        <v>#REF!</v>
      </c>
      <c r="BA12" s="144" t="e">
        <f t="shared" si="12"/>
        <v>#REF!</v>
      </c>
      <c r="BB12" s="144" t="e">
        <f t="shared" si="12"/>
        <v>#REF!</v>
      </c>
      <c r="BC12" s="144" t="e">
        <f t="shared" si="12"/>
        <v>#REF!</v>
      </c>
      <c r="BD12" s="117" t="e">
        <f t="shared" si="12"/>
        <v>#REF!</v>
      </c>
    </row>
    <row r="13" customFormat="1" spans="1:56">
      <c r="A13" s="137" t="s">
        <v>390</v>
      </c>
      <c r="B13" s="144" t="e">
        <f t="shared" ref="B13:AG13" si="13">B4/B$8</f>
        <v>#DIV/0!</v>
      </c>
      <c r="C13" s="144" t="e">
        <f t="shared" si="13"/>
        <v>#DIV/0!</v>
      </c>
      <c r="D13" s="144" t="e">
        <f t="shared" si="13"/>
        <v>#DIV/0!</v>
      </c>
      <c r="E13" s="144" t="e">
        <f t="shared" si="13"/>
        <v>#DIV/0!</v>
      </c>
      <c r="F13" s="117" t="e">
        <f t="shared" si="13"/>
        <v>#DIV/0!</v>
      </c>
      <c r="G13" s="117" t="e">
        <f t="shared" si="13"/>
        <v>#DIV/0!</v>
      </c>
      <c r="H13" s="117" t="e">
        <f t="shared" si="13"/>
        <v>#DIV/0!</v>
      </c>
      <c r="I13" s="117" t="e">
        <f t="shared" si="13"/>
        <v>#DIV/0!</v>
      </c>
      <c r="J13" s="117" t="e">
        <f t="shared" si="13"/>
        <v>#DIV/0!</v>
      </c>
      <c r="K13" s="9" t="e">
        <f t="shared" si="13"/>
        <v>#DIV/0!</v>
      </c>
      <c r="L13" s="117" t="e">
        <f t="shared" si="13"/>
        <v>#REF!</v>
      </c>
      <c r="M13" s="117" t="e">
        <f t="shared" si="13"/>
        <v>#REF!</v>
      </c>
      <c r="N13" s="117" t="e">
        <f t="shared" si="13"/>
        <v>#REF!</v>
      </c>
      <c r="O13" s="117" t="e">
        <f t="shared" si="13"/>
        <v>#REF!</v>
      </c>
      <c r="P13" s="9" t="e">
        <f t="shared" si="13"/>
        <v>#REF!</v>
      </c>
      <c r="Q13" s="117" t="e">
        <f t="shared" si="13"/>
        <v>#REF!</v>
      </c>
      <c r="R13" s="117" t="e">
        <f t="shared" si="13"/>
        <v>#REF!</v>
      </c>
      <c r="S13" s="117" t="e">
        <f t="shared" si="13"/>
        <v>#REF!</v>
      </c>
      <c r="T13" s="117" t="e">
        <f t="shared" si="13"/>
        <v>#REF!</v>
      </c>
      <c r="U13" s="9" t="e">
        <f t="shared" si="13"/>
        <v>#REF!</v>
      </c>
      <c r="V13" s="144" t="e">
        <f t="shared" si="13"/>
        <v>#REF!</v>
      </c>
      <c r="W13" s="144" t="e">
        <f t="shared" si="13"/>
        <v>#REF!</v>
      </c>
      <c r="X13" s="144" t="e">
        <f t="shared" si="13"/>
        <v>#REF!</v>
      </c>
      <c r="Y13" s="144" t="e">
        <f t="shared" si="13"/>
        <v>#REF!</v>
      </c>
      <c r="Z13" s="9" t="e">
        <f t="shared" si="13"/>
        <v>#REF!</v>
      </c>
      <c r="AA13" s="144" t="e">
        <f t="shared" si="13"/>
        <v>#REF!</v>
      </c>
      <c r="AB13" s="144" t="e">
        <f t="shared" si="13"/>
        <v>#REF!</v>
      </c>
      <c r="AC13" s="144" t="e">
        <f t="shared" si="13"/>
        <v>#REF!</v>
      </c>
      <c r="AD13" s="144" t="e">
        <f t="shared" si="13"/>
        <v>#REF!</v>
      </c>
      <c r="AE13" s="9" t="e">
        <f t="shared" si="13"/>
        <v>#REF!</v>
      </c>
      <c r="AF13" s="144" t="e">
        <f t="shared" si="13"/>
        <v>#REF!</v>
      </c>
      <c r="AG13" s="144" t="e">
        <f t="shared" si="13"/>
        <v>#REF!</v>
      </c>
      <c r="AH13" s="144" t="e">
        <f t="shared" ref="AH13:BD13" si="14">AH4/AH$8</f>
        <v>#REF!</v>
      </c>
      <c r="AI13" s="144" t="e">
        <f t="shared" si="14"/>
        <v>#REF!</v>
      </c>
      <c r="AJ13" s="9" t="e">
        <f t="shared" si="14"/>
        <v>#REF!</v>
      </c>
      <c r="AK13" s="144" t="e">
        <f t="shared" si="14"/>
        <v>#REF!</v>
      </c>
      <c r="AL13" s="144" t="e">
        <f t="shared" si="14"/>
        <v>#REF!</v>
      </c>
      <c r="AM13" s="144" t="e">
        <f t="shared" si="14"/>
        <v>#REF!</v>
      </c>
      <c r="AN13" s="144" t="e">
        <f t="shared" si="14"/>
        <v>#REF!</v>
      </c>
      <c r="AO13" s="9" t="e">
        <f t="shared" si="14"/>
        <v>#REF!</v>
      </c>
      <c r="AP13" s="144" t="e">
        <f t="shared" si="14"/>
        <v>#REF!</v>
      </c>
      <c r="AQ13" s="144" t="e">
        <f t="shared" si="14"/>
        <v>#REF!</v>
      </c>
      <c r="AR13" s="144" t="e">
        <f t="shared" si="14"/>
        <v>#REF!</v>
      </c>
      <c r="AS13" s="144" t="e">
        <f t="shared" si="14"/>
        <v>#REF!</v>
      </c>
      <c r="AT13" s="9" t="e">
        <f t="shared" si="14"/>
        <v>#REF!</v>
      </c>
      <c r="AU13" s="144" t="e">
        <f t="shared" si="14"/>
        <v>#REF!</v>
      </c>
      <c r="AV13" s="144" t="e">
        <f t="shared" si="14"/>
        <v>#REF!</v>
      </c>
      <c r="AW13" s="144" t="e">
        <f t="shared" si="14"/>
        <v>#REF!</v>
      </c>
      <c r="AX13" s="144" t="e">
        <f t="shared" si="14"/>
        <v>#REF!</v>
      </c>
      <c r="AY13" s="9" t="e">
        <f t="shared" si="14"/>
        <v>#REF!</v>
      </c>
      <c r="AZ13" s="144" t="e">
        <f t="shared" si="14"/>
        <v>#REF!</v>
      </c>
      <c r="BA13" s="144" t="e">
        <f t="shared" si="14"/>
        <v>#REF!</v>
      </c>
      <c r="BB13" s="144" t="e">
        <f t="shared" si="14"/>
        <v>#REF!</v>
      </c>
      <c r="BC13" s="144" t="e">
        <f t="shared" si="14"/>
        <v>#REF!</v>
      </c>
      <c r="BD13" s="117" t="e">
        <f t="shared" si="14"/>
        <v>#REF!</v>
      </c>
    </row>
    <row r="14" customFormat="1" spans="1:56">
      <c r="A14" s="137" t="s">
        <v>391</v>
      </c>
      <c r="B14" s="144" t="e">
        <f t="shared" ref="B14:AG14" si="15">B5/B$8</f>
        <v>#DIV/0!</v>
      </c>
      <c r="C14" s="144" t="e">
        <f t="shared" si="15"/>
        <v>#DIV/0!</v>
      </c>
      <c r="D14" s="144" t="e">
        <f t="shared" si="15"/>
        <v>#DIV/0!</v>
      </c>
      <c r="E14" s="144" t="e">
        <f t="shared" si="15"/>
        <v>#DIV/0!</v>
      </c>
      <c r="F14" s="117" t="e">
        <f t="shared" si="15"/>
        <v>#DIV/0!</v>
      </c>
      <c r="G14" s="117" t="e">
        <f t="shared" si="15"/>
        <v>#DIV/0!</v>
      </c>
      <c r="H14" s="117" t="e">
        <f t="shared" si="15"/>
        <v>#DIV/0!</v>
      </c>
      <c r="I14" s="117" t="e">
        <f t="shared" si="15"/>
        <v>#DIV/0!</v>
      </c>
      <c r="J14" s="117" t="e">
        <f t="shared" si="15"/>
        <v>#DIV/0!</v>
      </c>
      <c r="K14" s="9" t="e">
        <f t="shared" si="15"/>
        <v>#DIV/0!</v>
      </c>
      <c r="L14" s="117" t="e">
        <f t="shared" si="15"/>
        <v>#REF!</v>
      </c>
      <c r="M14" s="117" t="e">
        <f t="shared" si="15"/>
        <v>#REF!</v>
      </c>
      <c r="N14" s="117" t="e">
        <f t="shared" si="15"/>
        <v>#REF!</v>
      </c>
      <c r="O14" s="117" t="e">
        <f t="shared" si="15"/>
        <v>#REF!</v>
      </c>
      <c r="P14" s="9" t="e">
        <f t="shared" si="15"/>
        <v>#REF!</v>
      </c>
      <c r="Q14" s="117" t="e">
        <f t="shared" si="15"/>
        <v>#REF!</v>
      </c>
      <c r="R14" s="117" t="e">
        <f t="shared" si="15"/>
        <v>#REF!</v>
      </c>
      <c r="S14" s="117" t="e">
        <f t="shared" si="15"/>
        <v>#REF!</v>
      </c>
      <c r="T14" s="117" t="e">
        <f t="shared" si="15"/>
        <v>#REF!</v>
      </c>
      <c r="U14" s="9" t="e">
        <f t="shared" si="15"/>
        <v>#REF!</v>
      </c>
      <c r="V14" s="144" t="e">
        <f t="shared" si="15"/>
        <v>#REF!</v>
      </c>
      <c r="W14" s="144" t="e">
        <f t="shared" si="15"/>
        <v>#REF!</v>
      </c>
      <c r="X14" s="144" t="e">
        <f t="shared" si="15"/>
        <v>#REF!</v>
      </c>
      <c r="Y14" s="144" t="e">
        <f t="shared" si="15"/>
        <v>#REF!</v>
      </c>
      <c r="Z14" s="9" t="e">
        <f t="shared" si="15"/>
        <v>#REF!</v>
      </c>
      <c r="AA14" s="144" t="e">
        <f t="shared" si="15"/>
        <v>#REF!</v>
      </c>
      <c r="AB14" s="144" t="e">
        <f t="shared" si="15"/>
        <v>#REF!</v>
      </c>
      <c r="AC14" s="144" t="e">
        <f t="shared" si="15"/>
        <v>#REF!</v>
      </c>
      <c r="AD14" s="144" t="e">
        <f t="shared" si="15"/>
        <v>#REF!</v>
      </c>
      <c r="AE14" s="9" t="e">
        <f t="shared" si="15"/>
        <v>#REF!</v>
      </c>
      <c r="AF14" s="144" t="e">
        <f t="shared" si="15"/>
        <v>#REF!</v>
      </c>
      <c r="AG14" s="144" t="e">
        <f t="shared" si="15"/>
        <v>#REF!</v>
      </c>
      <c r="AH14" s="144" t="e">
        <f t="shared" ref="AH14:BD14" si="16">AH5/AH$8</f>
        <v>#REF!</v>
      </c>
      <c r="AI14" s="144" t="e">
        <f t="shared" si="16"/>
        <v>#REF!</v>
      </c>
      <c r="AJ14" s="9" t="e">
        <f t="shared" si="16"/>
        <v>#REF!</v>
      </c>
      <c r="AK14" s="144" t="e">
        <f t="shared" si="16"/>
        <v>#REF!</v>
      </c>
      <c r="AL14" s="144" t="e">
        <f t="shared" si="16"/>
        <v>#REF!</v>
      </c>
      <c r="AM14" s="144" t="e">
        <f t="shared" si="16"/>
        <v>#REF!</v>
      </c>
      <c r="AN14" s="144" t="e">
        <f t="shared" si="16"/>
        <v>#REF!</v>
      </c>
      <c r="AO14" s="9" t="e">
        <f t="shared" si="16"/>
        <v>#REF!</v>
      </c>
      <c r="AP14" s="144" t="e">
        <f t="shared" si="16"/>
        <v>#REF!</v>
      </c>
      <c r="AQ14" s="144" t="e">
        <f t="shared" si="16"/>
        <v>#REF!</v>
      </c>
      <c r="AR14" s="144" t="e">
        <f t="shared" si="16"/>
        <v>#REF!</v>
      </c>
      <c r="AS14" s="144" t="e">
        <f t="shared" si="16"/>
        <v>#REF!</v>
      </c>
      <c r="AT14" s="9" t="e">
        <f t="shared" si="16"/>
        <v>#REF!</v>
      </c>
      <c r="AU14" s="144" t="e">
        <f t="shared" si="16"/>
        <v>#REF!</v>
      </c>
      <c r="AV14" s="144" t="e">
        <f t="shared" si="16"/>
        <v>#REF!</v>
      </c>
      <c r="AW14" s="144" t="e">
        <f t="shared" si="16"/>
        <v>#REF!</v>
      </c>
      <c r="AX14" s="144" t="e">
        <f t="shared" si="16"/>
        <v>#REF!</v>
      </c>
      <c r="AY14" s="9" t="e">
        <f t="shared" si="16"/>
        <v>#REF!</v>
      </c>
      <c r="AZ14" s="144" t="e">
        <f t="shared" si="16"/>
        <v>#REF!</v>
      </c>
      <c r="BA14" s="144" t="e">
        <f t="shared" si="16"/>
        <v>#REF!</v>
      </c>
      <c r="BB14" s="144" t="e">
        <f t="shared" si="16"/>
        <v>#REF!</v>
      </c>
      <c r="BC14" s="144" t="e">
        <f t="shared" si="16"/>
        <v>#REF!</v>
      </c>
      <c r="BD14" s="117" t="e">
        <f t="shared" si="16"/>
        <v>#REF!</v>
      </c>
    </row>
    <row r="15" customFormat="1" spans="1:56">
      <c r="A15" s="137" t="s">
        <v>392</v>
      </c>
      <c r="B15" s="144" t="e">
        <f t="shared" ref="B15:AG15" si="17">B6/B$8</f>
        <v>#DIV/0!</v>
      </c>
      <c r="C15" s="144" t="e">
        <f t="shared" si="17"/>
        <v>#DIV/0!</v>
      </c>
      <c r="D15" s="144" t="e">
        <f t="shared" si="17"/>
        <v>#DIV/0!</v>
      </c>
      <c r="E15" s="144" t="e">
        <f t="shared" si="17"/>
        <v>#DIV/0!</v>
      </c>
      <c r="F15" s="117" t="e">
        <f t="shared" si="17"/>
        <v>#DIV/0!</v>
      </c>
      <c r="G15" s="117" t="e">
        <f t="shared" si="17"/>
        <v>#DIV/0!</v>
      </c>
      <c r="H15" s="117" t="e">
        <f t="shared" si="17"/>
        <v>#DIV/0!</v>
      </c>
      <c r="I15" s="117" t="e">
        <f t="shared" si="17"/>
        <v>#DIV/0!</v>
      </c>
      <c r="J15" s="117" t="e">
        <f t="shared" si="17"/>
        <v>#DIV/0!</v>
      </c>
      <c r="K15" s="9" t="e">
        <f t="shared" si="17"/>
        <v>#DIV/0!</v>
      </c>
      <c r="L15" s="117" t="e">
        <f t="shared" si="17"/>
        <v>#REF!</v>
      </c>
      <c r="M15" s="117" t="e">
        <f t="shared" si="17"/>
        <v>#REF!</v>
      </c>
      <c r="N15" s="117" t="e">
        <f t="shared" si="17"/>
        <v>#REF!</v>
      </c>
      <c r="O15" s="117" t="e">
        <f t="shared" si="17"/>
        <v>#REF!</v>
      </c>
      <c r="P15" s="9" t="e">
        <f t="shared" si="17"/>
        <v>#REF!</v>
      </c>
      <c r="Q15" s="117" t="e">
        <f t="shared" si="17"/>
        <v>#REF!</v>
      </c>
      <c r="R15" s="117" t="e">
        <f t="shared" si="17"/>
        <v>#REF!</v>
      </c>
      <c r="S15" s="117" t="e">
        <f t="shared" si="17"/>
        <v>#REF!</v>
      </c>
      <c r="T15" s="117" t="e">
        <f t="shared" si="17"/>
        <v>#REF!</v>
      </c>
      <c r="U15" s="9" t="e">
        <f t="shared" si="17"/>
        <v>#REF!</v>
      </c>
      <c r="V15" s="144" t="e">
        <f t="shared" si="17"/>
        <v>#REF!</v>
      </c>
      <c r="W15" s="144" t="e">
        <f t="shared" si="17"/>
        <v>#REF!</v>
      </c>
      <c r="X15" s="144" t="e">
        <f t="shared" si="17"/>
        <v>#REF!</v>
      </c>
      <c r="Y15" s="144" t="e">
        <f t="shared" si="17"/>
        <v>#REF!</v>
      </c>
      <c r="Z15" s="9" t="e">
        <f t="shared" si="17"/>
        <v>#REF!</v>
      </c>
      <c r="AA15" s="144" t="e">
        <f t="shared" si="17"/>
        <v>#REF!</v>
      </c>
      <c r="AB15" s="144" t="e">
        <f t="shared" si="17"/>
        <v>#REF!</v>
      </c>
      <c r="AC15" s="144" t="e">
        <f t="shared" si="17"/>
        <v>#REF!</v>
      </c>
      <c r="AD15" s="144" t="e">
        <f t="shared" si="17"/>
        <v>#REF!</v>
      </c>
      <c r="AE15" s="9" t="e">
        <f t="shared" si="17"/>
        <v>#REF!</v>
      </c>
      <c r="AF15" s="144" t="e">
        <f t="shared" si="17"/>
        <v>#REF!</v>
      </c>
      <c r="AG15" s="144" t="e">
        <f t="shared" si="17"/>
        <v>#REF!</v>
      </c>
      <c r="AH15" s="144" t="e">
        <f t="shared" ref="AH15:BD15" si="18">AH6/AH$8</f>
        <v>#REF!</v>
      </c>
      <c r="AI15" s="144" t="e">
        <f t="shared" si="18"/>
        <v>#REF!</v>
      </c>
      <c r="AJ15" s="9" t="e">
        <f t="shared" si="18"/>
        <v>#REF!</v>
      </c>
      <c r="AK15" s="144" t="e">
        <f t="shared" si="18"/>
        <v>#REF!</v>
      </c>
      <c r="AL15" s="144" t="e">
        <f t="shared" si="18"/>
        <v>#REF!</v>
      </c>
      <c r="AM15" s="144" t="e">
        <f t="shared" si="18"/>
        <v>#REF!</v>
      </c>
      <c r="AN15" s="144" t="e">
        <f t="shared" si="18"/>
        <v>#REF!</v>
      </c>
      <c r="AO15" s="9" t="e">
        <f t="shared" si="18"/>
        <v>#REF!</v>
      </c>
      <c r="AP15" s="144" t="e">
        <f t="shared" si="18"/>
        <v>#REF!</v>
      </c>
      <c r="AQ15" s="144" t="e">
        <f t="shared" si="18"/>
        <v>#REF!</v>
      </c>
      <c r="AR15" s="144" t="e">
        <f t="shared" si="18"/>
        <v>#REF!</v>
      </c>
      <c r="AS15" s="144" t="e">
        <f t="shared" si="18"/>
        <v>#REF!</v>
      </c>
      <c r="AT15" s="9" t="e">
        <f t="shared" si="18"/>
        <v>#REF!</v>
      </c>
      <c r="AU15" s="144" t="e">
        <f t="shared" si="18"/>
        <v>#REF!</v>
      </c>
      <c r="AV15" s="144" t="e">
        <f t="shared" si="18"/>
        <v>#REF!</v>
      </c>
      <c r="AW15" s="144" t="e">
        <f t="shared" si="18"/>
        <v>#REF!</v>
      </c>
      <c r="AX15" s="144" t="e">
        <f t="shared" si="18"/>
        <v>#REF!</v>
      </c>
      <c r="AY15" s="9" t="e">
        <f t="shared" si="18"/>
        <v>#REF!</v>
      </c>
      <c r="AZ15" s="144" t="e">
        <f t="shared" si="18"/>
        <v>#REF!</v>
      </c>
      <c r="BA15" s="144" t="e">
        <f t="shared" si="18"/>
        <v>#REF!</v>
      </c>
      <c r="BB15" s="144" t="e">
        <f t="shared" si="18"/>
        <v>#REF!</v>
      </c>
      <c r="BC15" s="144" t="e">
        <f t="shared" si="18"/>
        <v>#REF!</v>
      </c>
      <c r="BD15" s="117" t="e">
        <f t="shared" si="18"/>
        <v>#REF!</v>
      </c>
    </row>
    <row r="16" customFormat="1" spans="1:56">
      <c r="A16" s="137" t="s">
        <v>393</v>
      </c>
      <c r="B16" s="144" t="e">
        <f t="shared" ref="B16:AG16" si="19">B7/B$8</f>
        <v>#DIV/0!</v>
      </c>
      <c r="C16" s="144" t="e">
        <f t="shared" si="19"/>
        <v>#DIV/0!</v>
      </c>
      <c r="D16" s="144" t="e">
        <f t="shared" si="19"/>
        <v>#DIV/0!</v>
      </c>
      <c r="E16" s="144" t="e">
        <f t="shared" si="19"/>
        <v>#DIV/0!</v>
      </c>
      <c r="F16" s="117" t="e">
        <f t="shared" si="19"/>
        <v>#DIV/0!</v>
      </c>
      <c r="G16" s="117" t="e">
        <f t="shared" si="19"/>
        <v>#DIV/0!</v>
      </c>
      <c r="H16" s="117" t="e">
        <f t="shared" si="19"/>
        <v>#DIV/0!</v>
      </c>
      <c r="I16" s="117" t="e">
        <f t="shared" si="19"/>
        <v>#DIV/0!</v>
      </c>
      <c r="J16" s="117" t="e">
        <f t="shared" si="19"/>
        <v>#DIV/0!</v>
      </c>
      <c r="K16" s="9" t="e">
        <f t="shared" si="19"/>
        <v>#DIV/0!</v>
      </c>
      <c r="L16" s="117" t="e">
        <f t="shared" si="19"/>
        <v>#REF!</v>
      </c>
      <c r="M16" s="117" t="e">
        <f t="shared" si="19"/>
        <v>#REF!</v>
      </c>
      <c r="N16" s="117" t="e">
        <f t="shared" si="19"/>
        <v>#REF!</v>
      </c>
      <c r="O16" s="117" t="e">
        <f t="shared" si="19"/>
        <v>#REF!</v>
      </c>
      <c r="P16" s="9" t="e">
        <f t="shared" si="19"/>
        <v>#REF!</v>
      </c>
      <c r="Q16" s="117" t="e">
        <f t="shared" si="19"/>
        <v>#REF!</v>
      </c>
      <c r="R16" s="117" t="e">
        <f t="shared" si="19"/>
        <v>#REF!</v>
      </c>
      <c r="S16" s="117" t="e">
        <f t="shared" si="19"/>
        <v>#REF!</v>
      </c>
      <c r="T16" s="117" t="e">
        <f t="shared" si="19"/>
        <v>#REF!</v>
      </c>
      <c r="U16" s="9" t="e">
        <f t="shared" si="19"/>
        <v>#REF!</v>
      </c>
      <c r="V16" s="144" t="e">
        <f t="shared" si="19"/>
        <v>#REF!</v>
      </c>
      <c r="W16" s="144" t="e">
        <f t="shared" si="19"/>
        <v>#REF!</v>
      </c>
      <c r="X16" s="144" t="e">
        <f t="shared" si="19"/>
        <v>#REF!</v>
      </c>
      <c r="Y16" s="144" t="e">
        <f t="shared" si="19"/>
        <v>#REF!</v>
      </c>
      <c r="Z16" s="9" t="e">
        <f t="shared" si="19"/>
        <v>#REF!</v>
      </c>
      <c r="AA16" s="144" t="e">
        <f t="shared" si="19"/>
        <v>#REF!</v>
      </c>
      <c r="AB16" s="144" t="e">
        <f t="shared" si="19"/>
        <v>#REF!</v>
      </c>
      <c r="AC16" s="144" t="e">
        <f t="shared" si="19"/>
        <v>#REF!</v>
      </c>
      <c r="AD16" s="144" t="e">
        <f t="shared" si="19"/>
        <v>#REF!</v>
      </c>
      <c r="AE16" s="9" t="e">
        <f t="shared" si="19"/>
        <v>#REF!</v>
      </c>
      <c r="AF16" s="144" t="e">
        <f t="shared" si="19"/>
        <v>#REF!</v>
      </c>
      <c r="AG16" s="144" t="e">
        <f t="shared" si="19"/>
        <v>#REF!</v>
      </c>
      <c r="AH16" s="144" t="e">
        <f t="shared" ref="AH16:BD16" si="20">AH7/AH$8</f>
        <v>#REF!</v>
      </c>
      <c r="AI16" s="144" t="e">
        <f t="shared" si="20"/>
        <v>#REF!</v>
      </c>
      <c r="AJ16" s="9" t="e">
        <f t="shared" si="20"/>
        <v>#REF!</v>
      </c>
      <c r="AK16" s="144" t="e">
        <f t="shared" si="20"/>
        <v>#REF!</v>
      </c>
      <c r="AL16" s="144" t="e">
        <f t="shared" si="20"/>
        <v>#REF!</v>
      </c>
      <c r="AM16" s="144" t="e">
        <f t="shared" si="20"/>
        <v>#REF!</v>
      </c>
      <c r="AN16" s="144" t="e">
        <f t="shared" si="20"/>
        <v>#REF!</v>
      </c>
      <c r="AO16" s="9" t="e">
        <f t="shared" si="20"/>
        <v>#REF!</v>
      </c>
      <c r="AP16" s="144" t="e">
        <f t="shared" si="20"/>
        <v>#REF!</v>
      </c>
      <c r="AQ16" s="144" t="e">
        <f t="shared" si="20"/>
        <v>#REF!</v>
      </c>
      <c r="AR16" s="144" t="e">
        <f t="shared" si="20"/>
        <v>#REF!</v>
      </c>
      <c r="AS16" s="144" t="e">
        <f t="shared" si="20"/>
        <v>#REF!</v>
      </c>
      <c r="AT16" s="9" t="e">
        <f t="shared" si="20"/>
        <v>#REF!</v>
      </c>
      <c r="AU16" s="144" t="e">
        <f t="shared" si="20"/>
        <v>#REF!</v>
      </c>
      <c r="AV16" s="144" t="e">
        <f t="shared" si="20"/>
        <v>#REF!</v>
      </c>
      <c r="AW16" s="144" t="e">
        <f t="shared" si="20"/>
        <v>#REF!</v>
      </c>
      <c r="AX16" s="144" t="e">
        <f t="shared" si="20"/>
        <v>#REF!</v>
      </c>
      <c r="AY16" s="9" t="e">
        <f t="shared" si="20"/>
        <v>#REF!</v>
      </c>
      <c r="AZ16" s="144" t="e">
        <f t="shared" si="20"/>
        <v>#REF!</v>
      </c>
      <c r="BA16" s="144" t="e">
        <f t="shared" si="20"/>
        <v>#REF!</v>
      </c>
      <c r="BB16" s="144" t="e">
        <f t="shared" si="20"/>
        <v>#REF!</v>
      </c>
      <c r="BC16" s="144" t="e">
        <f t="shared" si="20"/>
        <v>#REF!</v>
      </c>
      <c r="BD16" s="117" t="e">
        <f t="shared" si="20"/>
        <v>#REF!</v>
      </c>
    </row>
    <row r="17" customFormat="1" ht="16.5" spans="1:56">
      <c r="A17" s="139"/>
      <c r="B17" s="126" t="e">
        <f t="shared" ref="B17:AG17" si="21">B8/B$8</f>
        <v>#DIV/0!</v>
      </c>
      <c r="C17" s="126" t="e">
        <f t="shared" si="21"/>
        <v>#DIV/0!</v>
      </c>
      <c r="D17" s="126" t="e">
        <f t="shared" si="21"/>
        <v>#DIV/0!</v>
      </c>
      <c r="E17" s="126" t="e">
        <f t="shared" si="21"/>
        <v>#DIV/0!</v>
      </c>
      <c r="F17" s="126" t="e">
        <f t="shared" si="21"/>
        <v>#DIV/0!</v>
      </c>
      <c r="G17" s="126" t="e">
        <f t="shared" si="21"/>
        <v>#DIV/0!</v>
      </c>
      <c r="H17" s="126" t="e">
        <f t="shared" si="21"/>
        <v>#DIV/0!</v>
      </c>
      <c r="I17" s="126" t="e">
        <f t="shared" si="21"/>
        <v>#DIV/0!</v>
      </c>
      <c r="J17" s="126" t="e">
        <f t="shared" si="21"/>
        <v>#DIV/0!</v>
      </c>
      <c r="K17" s="33" t="e">
        <f t="shared" si="21"/>
        <v>#DIV/0!</v>
      </c>
      <c r="L17" s="126" t="e">
        <f t="shared" si="21"/>
        <v>#REF!</v>
      </c>
      <c r="M17" s="126" t="e">
        <f t="shared" si="21"/>
        <v>#REF!</v>
      </c>
      <c r="N17" s="126" t="e">
        <f t="shared" si="21"/>
        <v>#REF!</v>
      </c>
      <c r="O17" s="126" t="e">
        <f t="shared" si="21"/>
        <v>#REF!</v>
      </c>
      <c r="P17" s="33" t="e">
        <f t="shared" si="21"/>
        <v>#REF!</v>
      </c>
      <c r="Q17" s="126" t="e">
        <f t="shared" si="21"/>
        <v>#REF!</v>
      </c>
      <c r="R17" s="126" t="e">
        <f t="shared" si="21"/>
        <v>#REF!</v>
      </c>
      <c r="S17" s="126" t="e">
        <f t="shared" si="21"/>
        <v>#REF!</v>
      </c>
      <c r="T17" s="126" t="e">
        <f t="shared" si="21"/>
        <v>#REF!</v>
      </c>
      <c r="U17" s="33" t="e">
        <f t="shared" si="21"/>
        <v>#REF!</v>
      </c>
      <c r="V17" s="126" t="e">
        <f t="shared" si="21"/>
        <v>#REF!</v>
      </c>
      <c r="W17" s="126" t="e">
        <f t="shared" si="21"/>
        <v>#REF!</v>
      </c>
      <c r="X17" s="126" t="e">
        <f t="shared" si="21"/>
        <v>#REF!</v>
      </c>
      <c r="Y17" s="126" t="e">
        <f t="shared" si="21"/>
        <v>#REF!</v>
      </c>
      <c r="Z17" s="33" t="e">
        <f t="shared" si="21"/>
        <v>#REF!</v>
      </c>
      <c r="AA17" s="126" t="e">
        <f t="shared" si="21"/>
        <v>#REF!</v>
      </c>
      <c r="AB17" s="126" t="e">
        <f t="shared" si="21"/>
        <v>#REF!</v>
      </c>
      <c r="AC17" s="126" t="e">
        <f t="shared" si="21"/>
        <v>#REF!</v>
      </c>
      <c r="AD17" s="126" t="e">
        <f t="shared" si="21"/>
        <v>#REF!</v>
      </c>
      <c r="AE17" s="33" t="e">
        <f t="shared" si="21"/>
        <v>#REF!</v>
      </c>
      <c r="AF17" s="126" t="e">
        <f t="shared" si="21"/>
        <v>#REF!</v>
      </c>
      <c r="AG17" s="126" t="e">
        <f t="shared" si="21"/>
        <v>#REF!</v>
      </c>
      <c r="AH17" s="126" t="e">
        <f t="shared" ref="AH17:BD17" si="22">AH8/AH$8</f>
        <v>#REF!</v>
      </c>
      <c r="AI17" s="126" t="e">
        <f t="shared" si="22"/>
        <v>#REF!</v>
      </c>
      <c r="AJ17" s="33" t="e">
        <f t="shared" si="22"/>
        <v>#REF!</v>
      </c>
      <c r="AK17" s="126" t="e">
        <f t="shared" si="22"/>
        <v>#REF!</v>
      </c>
      <c r="AL17" s="126" t="e">
        <f t="shared" si="22"/>
        <v>#REF!</v>
      </c>
      <c r="AM17" s="126" t="e">
        <f t="shared" si="22"/>
        <v>#REF!</v>
      </c>
      <c r="AN17" s="126" t="e">
        <f t="shared" si="22"/>
        <v>#REF!</v>
      </c>
      <c r="AO17" s="33" t="e">
        <f t="shared" si="22"/>
        <v>#REF!</v>
      </c>
      <c r="AP17" s="126" t="e">
        <f t="shared" si="22"/>
        <v>#REF!</v>
      </c>
      <c r="AQ17" s="126" t="e">
        <f t="shared" si="22"/>
        <v>#REF!</v>
      </c>
      <c r="AR17" s="126" t="e">
        <f t="shared" si="22"/>
        <v>#REF!</v>
      </c>
      <c r="AS17" s="126" t="e">
        <f t="shared" si="22"/>
        <v>#REF!</v>
      </c>
      <c r="AT17" s="33" t="e">
        <f t="shared" si="22"/>
        <v>#REF!</v>
      </c>
      <c r="AU17" s="126" t="e">
        <f t="shared" si="22"/>
        <v>#REF!</v>
      </c>
      <c r="AV17" s="126" t="e">
        <f t="shared" si="22"/>
        <v>#REF!</v>
      </c>
      <c r="AW17" s="126" t="e">
        <f t="shared" si="22"/>
        <v>#REF!</v>
      </c>
      <c r="AX17" s="126" t="e">
        <f t="shared" si="22"/>
        <v>#REF!</v>
      </c>
      <c r="AY17" s="33" t="e">
        <f t="shared" si="22"/>
        <v>#REF!</v>
      </c>
      <c r="AZ17" s="126" t="e">
        <f t="shared" si="22"/>
        <v>#REF!</v>
      </c>
      <c r="BA17" s="126" t="e">
        <f t="shared" si="22"/>
        <v>#REF!</v>
      </c>
      <c r="BB17" s="126" t="e">
        <f t="shared" si="22"/>
        <v>#REF!</v>
      </c>
      <c r="BC17" s="126" t="e">
        <f t="shared" si="22"/>
        <v>#REF!</v>
      </c>
      <c r="BD17" s="126" t="e">
        <f t="shared" si="22"/>
        <v>#REF!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C84"/>
  <sheetViews>
    <sheetView zoomScale="85" zoomScaleNormal="85" workbookViewId="0">
      <pane xSplit="2" ySplit="4" topLeftCell="E17" activePane="bottomRight" state="frozen"/>
      <selection/>
      <selection pane="topRight"/>
      <selection pane="bottomLeft"/>
      <selection pane="bottomRight" activeCell="I22" sqref="I22"/>
    </sheetView>
  </sheetViews>
  <sheetFormatPr defaultColWidth="9" defaultRowHeight="15.75"/>
  <cols>
    <col min="1" max="3" width="17.2035398230088" style="56" customWidth="1"/>
    <col min="4" max="4" width="15.3362831858407" style="1" customWidth="1" outlineLevel="1"/>
    <col min="5" max="5" width="14.1327433628319" style="1" customWidth="1" outlineLevel="1"/>
    <col min="6" max="6" width="15.070796460177" style="1" customWidth="1" outlineLevel="1"/>
    <col min="7" max="9" width="15.8672566371681" style="1" customWidth="1" outlineLevel="1"/>
    <col min="10" max="10" width="14.1327433628319" style="1" customWidth="1" outlineLevel="1"/>
    <col min="11" max="11" width="15.3362831858407" style="1" customWidth="1" outlineLevel="1"/>
    <col min="12" max="14" width="15.2035398230088" style="1" customWidth="1" outlineLevel="1"/>
    <col min="15" max="15" width="15.7345132743363" style="1" customWidth="1" outlineLevel="1"/>
    <col min="16" max="16" width="16.2654867256637" style="1" customWidth="1"/>
    <col min="17" max="28" width="15.2035398230088" style="1" customWidth="1" outlineLevel="2"/>
    <col min="29" max="29" width="15.2654867256637" style="1" customWidth="1" outlineLevel="1"/>
    <col min="30" max="41" width="15.2035398230088" style="1" customWidth="1" outlineLevel="2"/>
    <col min="42" max="42" width="15.2654867256637" style="1" customWidth="1" outlineLevel="1"/>
    <col min="43" max="54" width="15.2035398230088" style="1" customWidth="1" outlineLevel="2"/>
    <col min="55" max="55" width="14.070796460177" style="1" customWidth="1" outlineLevel="1"/>
    <col min="56" max="67" width="15.2035398230088" style="1" customWidth="1" outlineLevel="2"/>
    <col min="68" max="68" width="15.2035398230088" style="1" customWidth="1" outlineLevel="1"/>
    <col min="69" max="80" width="15.2035398230088" style="1" customWidth="1" outlineLevel="2"/>
    <col min="81" max="81" width="15.2035398230088" style="1" customWidth="1" outlineLevel="1"/>
    <col min="82" max="93" width="15.2035398230088" style="1" customWidth="1" outlineLevel="2"/>
    <col min="94" max="94" width="15.2035398230088" style="1" customWidth="1" outlineLevel="1"/>
    <col min="95" max="106" width="15.2035398230088" style="1" customWidth="1" outlineLevel="2"/>
    <col min="107" max="107" width="15.2035398230088" style="1" customWidth="1" outlineLevel="1"/>
    <col min="108" max="108" width="11.6637168141593" style="1" customWidth="1" outlineLevel="2"/>
    <col min="109" max="119" width="11.7345132743363" style="1" customWidth="1" outlineLevel="2"/>
    <col min="120" max="120" width="14" style="1" customWidth="1" outlineLevel="1"/>
    <col min="121" max="121" width="11.7964601769912" style="1" customWidth="1" outlineLevel="2"/>
    <col min="122" max="132" width="12.929203539823" style="1" customWidth="1" outlineLevel="2"/>
    <col min="133" max="133" width="16.7345132743363" style="1" customWidth="1" outlineLevel="1"/>
    <col min="134" max="134" width="13.929203539823" style="57" customWidth="1" outlineLevel="2"/>
    <col min="135" max="145" width="13.929203539823" style="58" customWidth="1" outlineLevel="2"/>
    <col min="146" max="146" width="16.7345132743363" style="59" customWidth="1" outlineLevel="1"/>
    <col min="147" max="158" width="14.6017699115044" style="58" customWidth="1" outlineLevel="2"/>
    <col min="159" max="159" width="14.6017699115044" style="58" customWidth="1" outlineLevel="1"/>
    <col min="160" max="160" width="13.6637168141593" style="57" customWidth="1" outlineLevel="2"/>
    <col min="161" max="171" width="13.6637168141593" style="58" customWidth="1" outlineLevel="2"/>
    <col min="172" max="172" width="13.6637168141593" style="59" customWidth="1" outlineLevel="1"/>
    <col min="173" max="173" width="12.8672566371681" style="57" customWidth="1" outlineLevel="2"/>
    <col min="174" max="184" width="12.929203539823" style="58" customWidth="1" outlineLevel="2"/>
    <col min="185" max="185" width="16.7345132743363" style="59" customWidth="1" outlineLevel="1"/>
    <col min="186" max="16384" width="9" style="1"/>
  </cols>
  <sheetData>
    <row r="1" s="55" customFormat="1" ht="16.5" spans="1:185">
      <c r="A1" s="60" t="s">
        <v>394</v>
      </c>
      <c r="B1" s="60"/>
      <c r="C1" s="60"/>
      <c r="D1" s="61" t="s">
        <v>2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2" t="s">
        <v>2</v>
      </c>
      <c r="Q1" s="63" t="s">
        <v>3</v>
      </c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4" t="s">
        <v>3</v>
      </c>
      <c r="AD1" s="63" t="s">
        <v>4</v>
      </c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4" t="s">
        <v>4</v>
      </c>
      <c r="AQ1" s="63" t="s">
        <v>5</v>
      </c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4" t="s">
        <v>5</v>
      </c>
      <c r="BD1" s="63" t="s">
        <v>6</v>
      </c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4" t="s">
        <v>6</v>
      </c>
      <c r="BQ1" s="63" t="s">
        <v>7</v>
      </c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4" t="s">
        <v>7</v>
      </c>
      <c r="CD1" s="63" t="s">
        <v>8</v>
      </c>
      <c r="CE1" s="63"/>
      <c r="CF1" s="63"/>
      <c r="CG1" s="63"/>
      <c r="CH1" s="63"/>
      <c r="CI1" s="63"/>
      <c r="CJ1" s="63"/>
      <c r="CK1" s="63"/>
      <c r="CL1" s="63"/>
      <c r="CM1" s="63"/>
      <c r="CN1" s="63"/>
      <c r="CO1" s="63"/>
      <c r="CP1" s="64" t="s">
        <v>8</v>
      </c>
      <c r="CQ1" s="63" t="s">
        <v>9</v>
      </c>
      <c r="CR1" s="63"/>
      <c r="CS1" s="63"/>
      <c r="CT1" s="63"/>
      <c r="CU1" s="63"/>
      <c r="CV1" s="63"/>
      <c r="CW1" s="63"/>
      <c r="CX1" s="63"/>
      <c r="CY1" s="63"/>
      <c r="CZ1" s="63"/>
      <c r="DA1" s="63"/>
      <c r="DB1" s="63"/>
      <c r="DC1" s="64" t="s">
        <v>9</v>
      </c>
      <c r="DD1" s="63" t="s">
        <v>10</v>
      </c>
      <c r="DE1" s="63"/>
      <c r="DF1" s="63"/>
      <c r="DG1" s="63"/>
      <c r="DH1" s="63"/>
      <c r="DI1" s="63"/>
      <c r="DJ1" s="63"/>
      <c r="DK1" s="63"/>
      <c r="DL1" s="63"/>
      <c r="DM1" s="63"/>
      <c r="DN1" s="63"/>
      <c r="DO1" s="63"/>
      <c r="DP1" s="64" t="s">
        <v>10</v>
      </c>
      <c r="DQ1" s="63" t="s">
        <v>11</v>
      </c>
      <c r="DR1" s="63"/>
      <c r="DS1" s="63"/>
      <c r="DT1" s="63"/>
      <c r="DU1" s="63"/>
      <c r="DV1" s="63"/>
      <c r="DW1" s="63"/>
      <c r="DX1" s="63"/>
      <c r="DY1" s="63"/>
      <c r="DZ1" s="63"/>
      <c r="EA1" s="63"/>
      <c r="EB1" s="63"/>
      <c r="EC1" s="63" t="s">
        <v>11</v>
      </c>
      <c r="ED1" s="65" t="s">
        <v>299</v>
      </c>
      <c r="EE1" s="63"/>
      <c r="EF1" s="63"/>
      <c r="EG1" s="63"/>
      <c r="EH1" s="63"/>
      <c r="EI1" s="63"/>
      <c r="EJ1" s="63"/>
      <c r="EK1" s="63"/>
      <c r="EL1" s="63"/>
      <c r="EM1" s="63"/>
      <c r="EN1" s="63"/>
      <c r="EO1" s="63"/>
      <c r="EP1" s="64" t="s">
        <v>299</v>
      </c>
      <c r="EQ1" s="63" t="s">
        <v>301</v>
      </c>
      <c r="ER1" s="63"/>
      <c r="ES1" s="63"/>
      <c r="ET1" s="63"/>
      <c r="EU1" s="63"/>
      <c r="EV1" s="63"/>
      <c r="EW1" s="63"/>
      <c r="EX1" s="63"/>
      <c r="EY1" s="63"/>
      <c r="EZ1" s="63"/>
      <c r="FA1" s="63"/>
      <c r="FB1" s="63"/>
      <c r="FC1" s="63" t="s">
        <v>301</v>
      </c>
      <c r="FD1" s="65" t="s">
        <v>302</v>
      </c>
      <c r="FE1" s="63"/>
      <c r="FF1" s="63"/>
      <c r="FG1" s="63"/>
      <c r="FH1" s="63"/>
      <c r="FI1" s="63"/>
      <c r="FJ1" s="63"/>
      <c r="FK1" s="63"/>
      <c r="FL1" s="63"/>
      <c r="FM1" s="63"/>
      <c r="FN1" s="63"/>
      <c r="FO1" s="63"/>
      <c r="FP1" s="64" t="s">
        <v>302</v>
      </c>
      <c r="FQ1" s="65" t="s">
        <v>303</v>
      </c>
      <c r="FR1" s="63"/>
      <c r="FS1" s="63"/>
      <c r="FT1" s="63"/>
      <c r="FU1" s="63"/>
      <c r="FV1" s="63"/>
      <c r="FW1" s="63"/>
      <c r="FX1" s="63"/>
      <c r="FY1" s="63"/>
      <c r="FZ1" s="63"/>
      <c r="GA1" s="63"/>
      <c r="GB1" s="63"/>
      <c r="GC1" s="64" t="s">
        <v>303</v>
      </c>
    </row>
    <row r="2" s="55" customFormat="1" ht="16.5" spans="1:185">
      <c r="A2" s="66" t="s">
        <v>19</v>
      </c>
      <c r="B2" s="67" t="s">
        <v>395</v>
      </c>
      <c r="C2" s="68" t="s">
        <v>304</v>
      </c>
      <c r="D2" s="69">
        <v>46023</v>
      </c>
      <c r="E2" s="69">
        <v>46054</v>
      </c>
      <c r="F2" s="69">
        <v>46082</v>
      </c>
      <c r="G2" s="69">
        <v>46113</v>
      </c>
      <c r="H2" s="69">
        <v>46143</v>
      </c>
      <c r="I2" s="69">
        <v>46174</v>
      </c>
      <c r="J2" s="69">
        <v>46204</v>
      </c>
      <c r="K2" s="69">
        <v>46235</v>
      </c>
      <c r="L2" s="69">
        <v>46266</v>
      </c>
      <c r="M2" s="69">
        <v>46296</v>
      </c>
      <c r="N2" s="69">
        <v>46327</v>
      </c>
      <c r="O2" s="69">
        <v>46357</v>
      </c>
      <c r="P2" s="70" t="s">
        <v>305</v>
      </c>
      <c r="Q2" s="71">
        <v>46023</v>
      </c>
      <c r="R2" s="71">
        <v>46054</v>
      </c>
      <c r="S2" s="71">
        <v>46082</v>
      </c>
      <c r="T2" s="71">
        <v>46113</v>
      </c>
      <c r="U2" s="71">
        <v>46143</v>
      </c>
      <c r="V2" s="71">
        <v>46174</v>
      </c>
      <c r="W2" s="71">
        <v>46204</v>
      </c>
      <c r="X2" s="71">
        <v>46235</v>
      </c>
      <c r="Y2" s="71">
        <v>46266</v>
      </c>
      <c r="Z2" s="71">
        <v>46296</v>
      </c>
      <c r="AA2" s="71">
        <v>46327</v>
      </c>
      <c r="AB2" s="71">
        <v>46357</v>
      </c>
      <c r="AC2" s="72" t="s">
        <v>305</v>
      </c>
      <c r="AD2" s="71">
        <v>46023</v>
      </c>
      <c r="AE2" s="71">
        <v>46054</v>
      </c>
      <c r="AF2" s="71">
        <v>46082</v>
      </c>
      <c r="AG2" s="71">
        <v>46113</v>
      </c>
      <c r="AH2" s="71">
        <v>46143</v>
      </c>
      <c r="AI2" s="71">
        <v>46174</v>
      </c>
      <c r="AJ2" s="71">
        <v>46204</v>
      </c>
      <c r="AK2" s="71">
        <v>46235</v>
      </c>
      <c r="AL2" s="71">
        <v>46266</v>
      </c>
      <c r="AM2" s="71">
        <v>46296</v>
      </c>
      <c r="AN2" s="71">
        <v>46327</v>
      </c>
      <c r="AO2" s="71">
        <v>46357</v>
      </c>
      <c r="AP2" s="72" t="s">
        <v>305</v>
      </c>
      <c r="AQ2" s="71">
        <v>46023</v>
      </c>
      <c r="AR2" s="71">
        <v>46054</v>
      </c>
      <c r="AS2" s="71">
        <v>46082</v>
      </c>
      <c r="AT2" s="71">
        <v>46113</v>
      </c>
      <c r="AU2" s="71">
        <v>46143</v>
      </c>
      <c r="AV2" s="71">
        <v>46174</v>
      </c>
      <c r="AW2" s="71">
        <v>46204</v>
      </c>
      <c r="AX2" s="71">
        <v>46235</v>
      </c>
      <c r="AY2" s="71">
        <v>46266</v>
      </c>
      <c r="AZ2" s="71">
        <v>46296</v>
      </c>
      <c r="BA2" s="71">
        <v>46327</v>
      </c>
      <c r="BB2" s="71">
        <v>46357</v>
      </c>
      <c r="BC2" s="72" t="s">
        <v>305</v>
      </c>
      <c r="BD2" s="71">
        <v>46023</v>
      </c>
      <c r="BE2" s="71">
        <v>46054</v>
      </c>
      <c r="BF2" s="71">
        <v>46082</v>
      </c>
      <c r="BG2" s="71">
        <v>46113</v>
      </c>
      <c r="BH2" s="71">
        <v>46143</v>
      </c>
      <c r="BI2" s="71">
        <v>46174</v>
      </c>
      <c r="BJ2" s="71">
        <v>46204</v>
      </c>
      <c r="BK2" s="71">
        <v>46235</v>
      </c>
      <c r="BL2" s="71">
        <v>46266</v>
      </c>
      <c r="BM2" s="71">
        <v>46296</v>
      </c>
      <c r="BN2" s="71">
        <v>46327</v>
      </c>
      <c r="BO2" s="71">
        <v>46357</v>
      </c>
      <c r="BP2" s="72" t="s">
        <v>305</v>
      </c>
      <c r="BQ2" s="71">
        <v>46023</v>
      </c>
      <c r="BR2" s="71">
        <v>46054</v>
      </c>
      <c r="BS2" s="71">
        <v>46082</v>
      </c>
      <c r="BT2" s="71">
        <v>46113</v>
      </c>
      <c r="BU2" s="71">
        <v>46143</v>
      </c>
      <c r="BV2" s="71">
        <v>46174</v>
      </c>
      <c r="BW2" s="71">
        <v>46204</v>
      </c>
      <c r="BX2" s="71">
        <v>46235</v>
      </c>
      <c r="BY2" s="71">
        <v>46266</v>
      </c>
      <c r="BZ2" s="71">
        <v>46296</v>
      </c>
      <c r="CA2" s="71">
        <v>46327</v>
      </c>
      <c r="CB2" s="71">
        <v>46357</v>
      </c>
      <c r="CC2" s="72" t="s">
        <v>305</v>
      </c>
      <c r="CD2" s="71">
        <v>46023</v>
      </c>
      <c r="CE2" s="71">
        <v>46054</v>
      </c>
      <c r="CF2" s="71">
        <v>46082</v>
      </c>
      <c r="CG2" s="71">
        <v>46113</v>
      </c>
      <c r="CH2" s="71">
        <v>46143</v>
      </c>
      <c r="CI2" s="71">
        <v>46174</v>
      </c>
      <c r="CJ2" s="71">
        <v>46204</v>
      </c>
      <c r="CK2" s="71">
        <v>46235</v>
      </c>
      <c r="CL2" s="71">
        <v>46266</v>
      </c>
      <c r="CM2" s="71">
        <v>46296</v>
      </c>
      <c r="CN2" s="71">
        <v>46327</v>
      </c>
      <c r="CO2" s="71">
        <v>46357</v>
      </c>
      <c r="CP2" s="72" t="s">
        <v>305</v>
      </c>
      <c r="CQ2" s="71">
        <v>46023</v>
      </c>
      <c r="CR2" s="71">
        <v>46054</v>
      </c>
      <c r="CS2" s="71">
        <v>46082</v>
      </c>
      <c r="CT2" s="71">
        <v>46113</v>
      </c>
      <c r="CU2" s="71">
        <v>46143</v>
      </c>
      <c r="CV2" s="71">
        <v>46174</v>
      </c>
      <c r="CW2" s="71">
        <v>46204</v>
      </c>
      <c r="CX2" s="71">
        <v>46235</v>
      </c>
      <c r="CY2" s="71">
        <v>46266</v>
      </c>
      <c r="CZ2" s="71">
        <v>46296</v>
      </c>
      <c r="DA2" s="71">
        <v>46327</v>
      </c>
      <c r="DB2" s="71">
        <v>46357</v>
      </c>
      <c r="DC2" s="72" t="s">
        <v>305</v>
      </c>
      <c r="DD2" s="71">
        <v>46023</v>
      </c>
      <c r="DE2" s="71">
        <v>46054</v>
      </c>
      <c r="DF2" s="71">
        <v>46082</v>
      </c>
      <c r="DG2" s="71">
        <v>46113</v>
      </c>
      <c r="DH2" s="71">
        <v>46143</v>
      </c>
      <c r="DI2" s="71">
        <v>46174</v>
      </c>
      <c r="DJ2" s="71">
        <v>46204</v>
      </c>
      <c r="DK2" s="71">
        <v>46235</v>
      </c>
      <c r="DL2" s="71">
        <v>46266</v>
      </c>
      <c r="DM2" s="71">
        <v>46296</v>
      </c>
      <c r="DN2" s="71">
        <v>46327</v>
      </c>
      <c r="DO2" s="71">
        <v>46357</v>
      </c>
      <c r="DP2" s="72" t="s">
        <v>305</v>
      </c>
      <c r="DQ2" s="71">
        <v>46023</v>
      </c>
      <c r="DR2" s="71">
        <v>46054</v>
      </c>
      <c r="DS2" s="71">
        <v>46082</v>
      </c>
      <c r="DT2" s="71">
        <v>46113</v>
      </c>
      <c r="DU2" s="71">
        <v>46143</v>
      </c>
      <c r="DV2" s="71">
        <v>46174</v>
      </c>
      <c r="DW2" s="71">
        <v>46204</v>
      </c>
      <c r="DX2" s="71">
        <v>46235</v>
      </c>
      <c r="DY2" s="71">
        <v>46266</v>
      </c>
      <c r="DZ2" s="71">
        <v>46296</v>
      </c>
      <c r="EA2" s="71">
        <v>46327</v>
      </c>
      <c r="EB2" s="71">
        <v>46357</v>
      </c>
      <c r="EC2" s="73" t="s">
        <v>305</v>
      </c>
      <c r="ED2" s="74">
        <v>46023</v>
      </c>
      <c r="EE2" s="75">
        <v>46054</v>
      </c>
      <c r="EF2" s="75">
        <v>46082</v>
      </c>
      <c r="EG2" s="75">
        <v>46113</v>
      </c>
      <c r="EH2" s="75">
        <v>46143</v>
      </c>
      <c r="EI2" s="75">
        <v>46174</v>
      </c>
      <c r="EJ2" s="75">
        <v>46204</v>
      </c>
      <c r="EK2" s="75">
        <v>46235</v>
      </c>
      <c r="EL2" s="75">
        <v>46266</v>
      </c>
      <c r="EM2" s="75">
        <v>46296</v>
      </c>
      <c r="EN2" s="75">
        <v>46327</v>
      </c>
      <c r="EO2" s="75">
        <v>46357</v>
      </c>
      <c r="EP2" s="72" t="s">
        <v>305</v>
      </c>
      <c r="EQ2" s="74">
        <v>46023</v>
      </c>
      <c r="ER2" s="75">
        <v>46054</v>
      </c>
      <c r="ES2" s="75">
        <v>46082</v>
      </c>
      <c r="ET2" s="75">
        <v>46113</v>
      </c>
      <c r="EU2" s="75">
        <v>46143</v>
      </c>
      <c r="EV2" s="75">
        <v>46174</v>
      </c>
      <c r="EW2" s="75">
        <v>46204</v>
      </c>
      <c r="EX2" s="75">
        <v>46235</v>
      </c>
      <c r="EY2" s="75">
        <v>46266</v>
      </c>
      <c r="EZ2" s="75">
        <v>46296</v>
      </c>
      <c r="FA2" s="75">
        <v>46327</v>
      </c>
      <c r="FB2" s="75">
        <v>46357</v>
      </c>
      <c r="FC2" s="73" t="s">
        <v>305</v>
      </c>
      <c r="FD2" s="74">
        <v>46023</v>
      </c>
      <c r="FE2" s="75">
        <v>46054</v>
      </c>
      <c r="FF2" s="75">
        <v>46082</v>
      </c>
      <c r="FG2" s="75">
        <v>46113</v>
      </c>
      <c r="FH2" s="75">
        <v>46143</v>
      </c>
      <c r="FI2" s="75">
        <v>46174</v>
      </c>
      <c r="FJ2" s="75">
        <v>46204</v>
      </c>
      <c r="FK2" s="75">
        <v>46235</v>
      </c>
      <c r="FL2" s="75">
        <v>46266</v>
      </c>
      <c r="FM2" s="75">
        <v>46296</v>
      </c>
      <c r="FN2" s="75">
        <v>46327</v>
      </c>
      <c r="FO2" s="75">
        <v>46357</v>
      </c>
      <c r="FP2" s="73" t="s">
        <v>305</v>
      </c>
      <c r="FQ2" s="74">
        <v>46023</v>
      </c>
      <c r="FR2" s="75">
        <v>46054</v>
      </c>
      <c r="FS2" s="75">
        <v>46082</v>
      </c>
      <c r="FT2" s="75">
        <v>46113</v>
      </c>
      <c r="FU2" s="75">
        <v>46143</v>
      </c>
      <c r="FV2" s="75">
        <v>46174</v>
      </c>
      <c r="FW2" s="75">
        <v>46204</v>
      </c>
      <c r="FX2" s="75">
        <v>46235</v>
      </c>
      <c r="FY2" s="75">
        <v>46266</v>
      </c>
      <c r="FZ2" s="75">
        <v>46296</v>
      </c>
      <c r="GA2" s="75">
        <v>46327</v>
      </c>
      <c r="GB2" s="75">
        <v>46357</v>
      </c>
      <c r="GC2" s="72" t="s">
        <v>305</v>
      </c>
    </row>
    <row r="3" ht="15" spans="1:185">
      <c r="A3" s="76" t="s">
        <v>26</v>
      </c>
      <c r="B3" s="77" t="s">
        <v>396</v>
      </c>
      <c r="C3" s="78">
        <v>46353614.3562288</v>
      </c>
      <c r="D3" s="79">
        <f>Q3+AD3+AQ3+BD3+BQ3+CD3+CQ3+DD3+DQ3+ED3+EQ3+FQ3+FD3</f>
        <v>2036511.03124302</v>
      </c>
      <c r="E3" s="79">
        <f t="shared" ref="E3:E39" si="0">R3+AE3+AR3+BE3+BR3+CE3+CR3+DE3+DR3+EE3+ER3+FR3+FE3</f>
        <v>1649163.5506465</v>
      </c>
      <c r="F3" s="79">
        <f t="shared" ref="F3:F39" si="1">S3+AF3+AS3+BF3+BS3+CF3+CS3+DF3+DS3+EF3+ES3+FS3+FF3</f>
        <v>1380498.76934744</v>
      </c>
      <c r="G3" s="79">
        <f t="shared" ref="G3:G39" si="2">T3+AG3+AT3+BG3+BT3+CG3+CT3+DG3+DT3+EG3+ET3+FT3+FG3</f>
        <v>1890613.07896948</v>
      </c>
      <c r="H3" s="79">
        <f t="shared" ref="H3:H39" si="3">U3+AH3+AU3+BH3+BU3+CH3+CU3+DH3+DU3+EH3+EU3+FU3+FH3</f>
        <v>1637875.98137472</v>
      </c>
      <c r="I3" s="79">
        <f t="shared" ref="I3:I39" si="4">V3+AI3+AV3+BI3+BV3+CI3+CV3+DI3+DV3+EI3+EV3+FV3+FI3</f>
        <v>1286105.13481083</v>
      </c>
      <c r="J3" s="79">
        <f t="shared" ref="J3:J39" si="5">W3+AJ3+AW3+BJ3+BW3+CJ3+CW3+DJ3+DW3+EJ3+EW3+FW3+FJ3</f>
        <v>3096954.34705286</v>
      </c>
      <c r="K3" s="79">
        <f t="shared" ref="K3:K39" si="6">X3+AK3+AX3+BK3+BX3+CK3+CX3+DK3+DX3+EK3+EX3+FX3+FK3</f>
        <v>3514181.98116718</v>
      </c>
      <c r="L3" s="79">
        <f t="shared" ref="L3:L39" si="7">Y3+AL3+AY3+BL3+BY3+CL3+CY3+DL3+DY3+EL3+EY3+FY3+FL3</f>
        <v>2314659.56138054</v>
      </c>
      <c r="M3" s="79">
        <f t="shared" ref="M3:M39" si="8">Z3+AM3+AZ3+BM3+BZ3+CM3+CZ3+DM3+DZ3+EM3+EZ3+FZ3+FM3</f>
        <v>4747690.61903231</v>
      </c>
      <c r="N3" s="79">
        <f t="shared" ref="N3:N39" si="9">AA3+AN3+BA3+BN3+CA3+CN3+DA3+DN3+EA3+EN3+FA3+GA3+FN3</f>
        <v>3902485.03215814</v>
      </c>
      <c r="O3" s="79">
        <f t="shared" ref="O3:O39" si="10">AB3+AO3+BB3+BO3+CB3+CO3+DB3+DO3+EB3+EO3+FB3+GB3+FO3</f>
        <v>2933586.12603902</v>
      </c>
      <c r="P3" s="80">
        <f>SUM(D3:O3)</f>
        <v>30390325.213222</v>
      </c>
      <c r="Q3" s="79">
        <v>182599.896153406</v>
      </c>
      <c r="R3" s="79">
        <v>140331.297101505</v>
      </c>
      <c r="S3" s="79">
        <v>148353.768315445</v>
      </c>
      <c r="T3" s="79">
        <v>163173.6830984</v>
      </c>
      <c r="U3" s="79">
        <v>130857.630137575</v>
      </c>
      <c r="V3" s="79">
        <v>151970.705005149</v>
      </c>
      <c r="W3" s="79">
        <v>238353.63884644</v>
      </c>
      <c r="X3" s="79">
        <v>244707.457414399</v>
      </c>
      <c r="Y3" s="79">
        <v>184742.323741242</v>
      </c>
      <c r="Z3" s="79">
        <v>188532.865869804</v>
      </c>
      <c r="AA3" s="79">
        <v>259279.295597151</v>
      </c>
      <c r="AB3" s="79">
        <v>211058.628519047</v>
      </c>
      <c r="AC3" s="80">
        <v>2243961.18979956</v>
      </c>
      <c r="AD3" s="79">
        <v>148798.041324905</v>
      </c>
      <c r="AE3" s="79">
        <v>113542.91428791</v>
      </c>
      <c r="AF3" s="79">
        <v>99669.4789014368</v>
      </c>
      <c r="AG3" s="79">
        <v>94176.0984374555</v>
      </c>
      <c r="AH3" s="79">
        <v>56130.8479176293</v>
      </c>
      <c r="AI3" s="79">
        <v>75483.9617432764</v>
      </c>
      <c r="AJ3" s="79">
        <v>224567.241747787</v>
      </c>
      <c r="AK3" s="79">
        <v>341629.999269139</v>
      </c>
      <c r="AL3" s="79">
        <v>313452.430596267</v>
      </c>
      <c r="AM3" s="79">
        <v>266980.928449503</v>
      </c>
      <c r="AN3" s="79">
        <v>223149.154958368</v>
      </c>
      <c r="AO3" s="79">
        <v>189630.739935736</v>
      </c>
      <c r="AP3" s="80">
        <v>2147211.83756941</v>
      </c>
      <c r="AQ3" s="79">
        <v>152129.606810181</v>
      </c>
      <c r="AR3" s="79">
        <v>89380.3492953307</v>
      </c>
      <c r="AS3" s="79">
        <v>82586.7210390849</v>
      </c>
      <c r="AT3" s="79">
        <v>53156.0530922097</v>
      </c>
      <c r="AU3" s="79">
        <v>126629.218564057</v>
      </c>
      <c r="AV3" s="79">
        <v>142769.785453327</v>
      </c>
      <c r="AW3" s="79">
        <v>245377.251679341</v>
      </c>
      <c r="AX3" s="79">
        <v>119387.07753209</v>
      </c>
      <c r="AY3" s="79">
        <v>126555.854050861</v>
      </c>
      <c r="AZ3" s="79">
        <v>273995.122013753</v>
      </c>
      <c r="BA3" s="79">
        <v>246951.234547733</v>
      </c>
      <c r="BB3" s="79">
        <v>136486.255056902</v>
      </c>
      <c r="BC3" s="80">
        <v>1795404.52913487</v>
      </c>
      <c r="BD3" s="79">
        <v>295863.83302211</v>
      </c>
      <c r="BE3" s="79">
        <v>156724.411389936</v>
      </c>
      <c r="BF3" s="79">
        <v>99992.9882104484</v>
      </c>
      <c r="BG3" s="79">
        <v>106761.773667968</v>
      </c>
      <c r="BH3" s="79">
        <v>213783.820917849</v>
      </c>
      <c r="BI3" s="79">
        <v>111651.838832848</v>
      </c>
      <c r="BJ3" s="79">
        <v>587717.789058809</v>
      </c>
      <c r="BK3" s="79">
        <v>417942.84823899</v>
      </c>
      <c r="BL3" s="79">
        <v>247701.251925043</v>
      </c>
      <c r="BM3" s="79">
        <v>440099.960485088</v>
      </c>
      <c r="BN3" s="79">
        <v>412255.323266348</v>
      </c>
      <c r="BO3" s="79">
        <v>432365.339035438</v>
      </c>
      <c r="BP3" s="80">
        <v>3522861.17805087</v>
      </c>
      <c r="BQ3" s="79">
        <v>738803.538648415</v>
      </c>
      <c r="BR3" s="79">
        <v>675145.377830141</v>
      </c>
      <c r="BS3" s="79">
        <v>464029.69966951</v>
      </c>
      <c r="BT3" s="79">
        <v>585938.984771037</v>
      </c>
      <c r="BU3" s="79">
        <v>482913.352222156</v>
      </c>
      <c r="BV3" s="79">
        <v>241907.99320032</v>
      </c>
      <c r="BW3" s="79">
        <v>574247.450476663</v>
      </c>
      <c r="BX3" s="79">
        <v>1499403.6778607</v>
      </c>
      <c r="BY3" s="79">
        <v>869775.955696984</v>
      </c>
      <c r="BZ3" s="79">
        <v>794081.344966783</v>
      </c>
      <c r="CA3" s="79">
        <v>973235.537411193</v>
      </c>
      <c r="CB3" s="79">
        <v>365029.941142883</v>
      </c>
      <c r="CC3" s="80">
        <v>8264512.85389679</v>
      </c>
      <c r="CD3" s="79">
        <v>26501.1298479239</v>
      </c>
      <c r="CE3" s="79">
        <v>25776.9495054172</v>
      </c>
      <c r="CF3" s="79">
        <v>22407.6591649067</v>
      </c>
      <c r="CG3" s="79">
        <v>54470.357266955</v>
      </c>
      <c r="CH3" s="79">
        <v>26643.8567500406</v>
      </c>
      <c r="CI3" s="79">
        <v>44046.4928358866</v>
      </c>
      <c r="CJ3" s="79">
        <v>47915.7209189274</v>
      </c>
      <c r="CK3" s="79">
        <v>48518.3507955568</v>
      </c>
      <c r="CL3" s="79">
        <v>53826.9585651252</v>
      </c>
      <c r="CM3" s="79">
        <v>207183.75795924</v>
      </c>
      <c r="CN3" s="79">
        <v>150637.463822754</v>
      </c>
      <c r="CO3" s="79">
        <v>127021.159506978</v>
      </c>
      <c r="CP3" s="80">
        <v>834949.856939712</v>
      </c>
      <c r="CQ3" s="79">
        <v>118360.782363491</v>
      </c>
      <c r="CR3" s="79">
        <v>87077.8704632255</v>
      </c>
      <c r="CS3" s="79">
        <v>85328.1055484307</v>
      </c>
      <c r="CT3" s="79">
        <v>136640.507545503</v>
      </c>
      <c r="CU3" s="79">
        <v>80453.1689618798</v>
      </c>
      <c r="CV3" s="79">
        <v>99049.7104555651</v>
      </c>
      <c r="CW3" s="79">
        <v>283838.900052172</v>
      </c>
      <c r="CX3" s="79">
        <v>196128.226528652</v>
      </c>
      <c r="CY3" s="79">
        <v>74690.2413040177</v>
      </c>
      <c r="CZ3" s="79">
        <v>331698.439529398</v>
      </c>
      <c r="DA3" s="79">
        <v>333542.643018386</v>
      </c>
      <c r="DB3" s="79">
        <v>286847.410677208</v>
      </c>
      <c r="DC3" s="80">
        <v>2113656.00644793</v>
      </c>
      <c r="DD3" s="79">
        <v>17752.2433521893</v>
      </c>
      <c r="DE3" s="79">
        <v>11355.0889064461</v>
      </c>
      <c r="DF3" s="79">
        <v>5540.77369149337</v>
      </c>
      <c r="DG3" s="79">
        <v>17580.6528670101</v>
      </c>
      <c r="DH3" s="79">
        <v>32847.6170265494</v>
      </c>
      <c r="DI3" s="79">
        <v>29606.147280488</v>
      </c>
      <c r="DJ3" s="79">
        <v>72045.0636261074</v>
      </c>
      <c r="DK3" s="79">
        <v>51702.4425678766</v>
      </c>
      <c r="DL3" s="79">
        <v>51289.8133374865</v>
      </c>
      <c r="DM3" s="79">
        <v>101568.685060517</v>
      </c>
      <c r="DN3" s="79">
        <v>110481.476436943</v>
      </c>
      <c r="DO3" s="79">
        <v>72498.9557795365</v>
      </c>
      <c r="DP3" s="80">
        <v>574268.959932644</v>
      </c>
      <c r="DQ3" s="79">
        <v>187280.73646067</v>
      </c>
      <c r="DR3" s="79">
        <v>200443.836074923</v>
      </c>
      <c r="DS3" s="79">
        <v>177656.133970877</v>
      </c>
      <c r="DT3" s="79">
        <v>216885.453703822</v>
      </c>
      <c r="DU3" s="79">
        <v>298793.157633931</v>
      </c>
      <c r="DV3" s="79">
        <v>286934.295585593</v>
      </c>
      <c r="DW3" s="79">
        <v>410434.576351177</v>
      </c>
      <c r="DX3" s="79">
        <v>263076.964209898</v>
      </c>
      <c r="DY3" s="79">
        <v>212720.550667037</v>
      </c>
      <c r="DZ3" s="79">
        <v>478715.363138297</v>
      </c>
      <c r="EA3" s="79">
        <v>372731.584354632</v>
      </c>
      <c r="EB3" s="79">
        <v>267689.046945599</v>
      </c>
      <c r="EC3" s="79">
        <v>3373361.69909646</v>
      </c>
      <c r="ED3" s="81">
        <v>7293.11843119251</v>
      </c>
      <c r="EE3" s="79">
        <v>0</v>
      </c>
      <c r="EF3" s="79">
        <v>0</v>
      </c>
      <c r="EG3" s="79">
        <v>0</v>
      </c>
      <c r="EH3" s="79">
        <v>0</v>
      </c>
      <c r="EI3" s="79">
        <v>0</v>
      </c>
      <c r="EJ3" s="79">
        <v>0</v>
      </c>
      <c r="EK3" s="79">
        <v>0</v>
      </c>
      <c r="EL3" s="79">
        <v>0</v>
      </c>
      <c r="EM3" s="79">
        <v>0</v>
      </c>
      <c r="EN3" s="79">
        <v>0</v>
      </c>
      <c r="EO3" s="79">
        <v>0</v>
      </c>
      <c r="EP3" s="80">
        <v>7293.11843119251</v>
      </c>
      <c r="EQ3" s="81">
        <v>111569.992497359</v>
      </c>
      <c r="ER3" s="79">
        <v>112874.256902641</v>
      </c>
      <c r="ES3" s="79">
        <v>155979.544020911</v>
      </c>
      <c r="ET3" s="79">
        <v>99008.4396563337</v>
      </c>
      <c r="EU3" s="79">
        <v>88901.4549679679</v>
      </c>
      <c r="EV3" s="79">
        <v>65248.7044183803</v>
      </c>
      <c r="EW3" s="79">
        <v>147487.714295435</v>
      </c>
      <c r="EX3" s="79">
        <v>132205.936749873</v>
      </c>
      <c r="EY3" s="79">
        <v>102555.181496475</v>
      </c>
      <c r="EZ3" s="79">
        <v>218036.15155993</v>
      </c>
      <c r="FA3" s="79">
        <v>168861.318744635</v>
      </c>
      <c r="FB3" s="79">
        <v>139790.649439691</v>
      </c>
      <c r="FC3" s="79">
        <v>1542519.34474963</v>
      </c>
      <c r="FD3" s="81">
        <v>0</v>
      </c>
      <c r="FE3" s="79">
        <v>0</v>
      </c>
      <c r="FF3" s="79">
        <v>0</v>
      </c>
      <c r="FG3" s="79">
        <v>0</v>
      </c>
      <c r="FH3" s="79">
        <v>0</v>
      </c>
      <c r="FI3" s="79">
        <v>0</v>
      </c>
      <c r="FJ3" s="79">
        <v>0</v>
      </c>
      <c r="FK3" s="79">
        <v>0</v>
      </c>
      <c r="FL3" s="79">
        <v>0</v>
      </c>
      <c r="FM3" s="79">
        <v>0</v>
      </c>
      <c r="FN3" s="79">
        <v>0</v>
      </c>
      <c r="FO3" s="79">
        <v>0</v>
      </c>
      <c r="FP3" s="80">
        <v>0</v>
      </c>
      <c r="FQ3" s="81">
        <v>49558.1123311784</v>
      </c>
      <c r="FR3" s="79">
        <v>36511.1988890259</v>
      </c>
      <c r="FS3" s="79">
        <v>38953.8968149</v>
      </c>
      <c r="FT3" s="79">
        <v>362821.074862782</v>
      </c>
      <c r="FU3" s="79">
        <v>99921.8562750826</v>
      </c>
      <c r="FV3" s="79">
        <v>37435.5</v>
      </c>
      <c r="FW3" s="79">
        <v>264969</v>
      </c>
      <c r="FX3" s="79">
        <v>199479</v>
      </c>
      <c r="FY3" s="79">
        <v>77349</v>
      </c>
      <c r="FZ3" s="79">
        <v>1446798</v>
      </c>
      <c r="GA3" s="79">
        <v>651360</v>
      </c>
      <c r="GB3" s="79">
        <v>705168</v>
      </c>
      <c r="GC3" s="80">
        <v>3970324.63917297</v>
      </c>
    </row>
    <row r="4" ht="15" spans="1:185">
      <c r="A4" s="82"/>
      <c r="B4" s="83" t="s">
        <v>397</v>
      </c>
      <c r="C4" s="84">
        <v>71417973.9707234</v>
      </c>
      <c r="D4" s="85">
        <f t="shared" ref="D4:D39" si="11">Q4+AD4+AQ4+BD4+BQ4+CD4+CQ4+DD4+DQ4+ED4+EQ4+FQ4+FD4</f>
        <v>2994020.96380553</v>
      </c>
      <c r="E4" s="85">
        <f t="shared" si="0"/>
        <v>5345.39537299976</v>
      </c>
      <c r="F4" s="85">
        <f t="shared" si="1"/>
        <v>5523.80820757952</v>
      </c>
      <c r="G4" s="85">
        <f t="shared" si="2"/>
        <v>6457.27186541967</v>
      </c>
      <c r="H4" s="85">
        <f t="shared" si="3"/>
        <v>6342.99956943581</v>
      </c>
      <c r="I4" s="85">
        <f t="shared" si="4"/>
        <v>928145.381501781</v>
      </c>
      <c r="J4" s="85">
        <f t="shared" si="5"/>
        <v>513241.373962814</v>
      </c>
      <c r="K4" s="85">
        <f t="shared" si="6"/>
        <v>250613.621979521</v>
      </c>
      <c r="L4" s="85">
        <f t="shared" si="7"/>
        <v>141360.296567972</v>
      </c>
      <c r="M4" s="85">
        <f t="shared" si="8"/>
        <v>2818.04855035861</v>
      </c>
      <c r="N4" s="85">
        <f t="shared" si="9"/>
        <v>1006400.86195661</v>
      </c>
      <c r="O4" s="85">
        <f t="shared" si="10"/>
        <v>411925.45623074</v>
      </c>
      <c r="P4" s="86">
        <f t="shared" ref="P4:P38" si="12">SUM(D4:O4)</f>
        <v>6272195.47957076</v>
      </c>
      <c r="Q4" s="85">
        <v>448895.311093598</v>
      </c>
      <c r="R4" s="85">
        <v>0</v>
      </c>
      <c r="S4" s="85">
        <v>357.156473852771</v>
      </c>
      <c r="T4" s="85">
        <v>0</v>
      </c>
      <c r="U4" s="85">
        <v>0</v>
      </c>
      <c r="V4" s="85">
        <v>117409.045429042</v>
      </c>
      <c r="W4" s="85">
        <v>90296.7937047735</v>
      </c>
      <c r="X4" s="85">
        <v>40080.3225069293</v>
      </c>
      <c r="Y4" s="85">
        <v>36072.2902562364</v>
      </c>
      <c r="Z4" s="85">
        <v>0</v>
      </c>
      <c r="AA4" s="85">
        <v>24545.3137833133</v>
      </c>
      <c r="AB4" s="85">
        <v>19636.2510266506</v>
      </c>
      <c r="AC4" s="86">
        <v>777292.484274396</v>
      </c>
      <c r="AD4" s="85">
        <v>502002.152995541</v>
      </c>
      <c r="AE4" s="85">
        <v>380.707025901118</v>
      </c>
      <c r="AF4" s="85">
        <v>364.345235394214</v>
      </c>
      <c r="AG4" s="85">
        <v>0</v>
      </c>
      <c r="AH4" s="85">
        <v>1436.37676669101</v>
      </c>
      <c r="AI4" s="85">
        <v>79191.859668857</v>
      </c>
      <c r="AJ4" s="85">
        <v>39595.9298344285</v>
      </c>
      <c r="AK4" s="85">
        <v>39595.9298344285</v>
      </c>
      <c r="AL4" s="85">
        <v>39595.9298344285</v>
      </c>
      <c r="AM4" s="85">
        <v>0</v>
      </c>
      <c r="AN4" s="85">
        <v>96994.6808347241</v>
      </c>
      <c r="AO4" s="85">
        <v>96994.6808347241</v>
      </c>
      <c r="AP4" s="86">
        <v>896152.592865118</v>
      </c>
      <c r="AQ4" s="85">
        <v>191469.791980813</v>
      </c>
      <c r="AR4" s="85">
        <v>366.906079144699</v>
      </c>
      <c r="AS4" s="85">
        <v>729.328920041537</v>
      </c>
      <c r="AT4" s="85">
        <v>0</v>
      </c>
      <c r="AU4" s="85">
        <v>0</v>
      </c>
      <c r="AV4" s="85">
        <v>0</v>
      </c>
      <c r="AW4" s="85">
        <v>36917.0527313919</v>
      </c>
      <c r="AX4" s="85">
        <v>0</v>
      </c>
      <c r="AY4" s="85">
        <v>0</v>
      </c>
      <c r="AZ4" s="85">
        <v>0</v>
      </c>
      <c r="BA4" s="85">
        <v>33912.1763462786</v>
      </c>
      <c r="BB4" s="85">
        <v>13564.8705385114</v>
      </c>
      <c r="BC4" s="86">
        <v>276960.126596181</v>
      </c>
      <c r="BD4" s="85">
        <v>241044.909711009</v>
      </c>
      <c r="BE4" s="85">
        <v>866.53765850842</v>
      </c>
      <c r="BF4" s="85">
        <v>1283.5652099582</v>
      </c>
      <c r="BG4" s="85">
        <v>426.348435786674</v>
      </c>
      <c r="BH4" s="85">
        <v>846.777180826941</v>
      </c>
      <c r="BI4" s="85">
        <v>120194.728223987</v>
      </c>
      <c r="BJ4" s="85">
        <v>60328.7582036954</v>
      </c>
      <c r="BK4" s="85">
        <v>15429.2806884769</v>
      </c>
      <c r="BL4" s="85">
        <v>0</v>
      </c>
      <c r="BM4" s="85">
        <v>0</v>
      </c>
      <c r="BN4" s="85">
        <v>116096.667959247</v>
      </c>
      <c r="BO4" s="85">
        <v>67213.8603974589</v>
      </c>
      <c r="BP4" s="86">
        <v>623731.433668955</v>
      </c>
      <c r="BQ4" s="85">
        <v>630401.705206298</v>
      </c>
      <c r="BR4" s="85">
        <v>1679.73358334569</v>
      </c>
      <c r="BS4" s="85">
        <v>1981.25670859884</v>
      </c>
      <c r="BT4" s="85">
        <v>1982.77150023497</v>
      </c>
      <c r="BU4" s="85">
        <v>2742.25305467594</v>
      </c>
      <c r="BV4" s="85">
        <v>89859.9957305367</v>
      </c>
      <c r="BW4" s="85">
        <v>53439.0934976239</v>
      </c>
      <c r="BX4" s="85">
        <v>1221.17342874901</v>
      </c>
      <c r="BY4" s="85">
        <v>1221.17342874901</v>
      </c>
      <c r="BZ4" s="85">
        <v>1221.17342874901</v>
      </c>
      <c r="CA4" s="85">
        <v>206796.705925815</v>
      </c>
      <c r="CB4" s="85">
        <v>69746.3509277709</v>
      </c>
      <c r="CC4" s="86">
        <v>1062293.38642115</v>
      </c>
      <c r="CD4" s="85">
        <v>69236.2282021649</v>
      </c>
      <c r="CE4" s="85">
        <v>0</v>
      </c>
      <c r="CF4" s="85">
        <v>0</v>
      </c>
      <c r="CG4" s="85">
        <v>0</v>
      </c>
      <c r="CH4" s="85">
        <v>0</v>
      </c>
      <c r="CI4" s="85">
        <v>24278.1522307448</v>
      </c>
      <c r="CJ4" s="85">
        <v>36417.2283461173</v>
      </c>
      <c r="CK4" s="85">
        <v>32370.8696409931</v>
      </c>
      <c r="CL4" s="85">
        <v>24278.1522307448</v>
      </c>
      <c r="CM4" s="85">
        <v>0</v>
      </c>
      <c r="CN4" s="85">
        <v>12390.0130893336</v>
      </c>
      <c r="CO4" s="85">
        <v>7434.00785360016</v>
      </c>
      <c r="CP4" s="86">
        <v>206404.651593699</v>
      </c>
      <c r="CQ4" s="85">
        <v>304443.868364574</v>
      </c>
      <c r="CR4" s="85">
        <v>901.670981739224</v>
      </c>
      <c r="CS4" s="85">
        <v>436.825145281076</v>
      </c>
      <c r="CT4" s="85">
        <v>0</v>
      </c>
      <c r="CU4" s="85">
        <v>0</v>
      </c>
      <c r="CV4" s="85">
        <v>139434.79518858</v>
      </c>
      <c r="CW4" s="85">
        <v>95160.9000317855</v>
      </c>
      <c r="CX4" s="85">
        <v>47580.4500158928</v>
      </c>
      <c r="CY4" s="85">
        <v>0</v>
      </c>
      <c r="CZ4" s="85">
        <v>0</v>
      </c>
      <c r="DA4" s="85">
        <v>151519.758655262</v>
      </c>
      <c r="DB4" s="85">
        <v>81587.5623528332</v>
      </c>
      <c r="DC4" s="86">
        <v>821065.830735947</v>
      </c>
      <c r="DD4" s="85">
        <v>47791.216536855</v>
      </c>
      <c r="DE4" s="85">
        <v>0</v>
      </c>
      <c r="DF4" s="85">
        <v>0</v>
      </c>
      <c r="DG4" s="85">
        <v>0</v>
      </c>
      <c r="DH4" s="85">
        <v>0</v>
      </c>
      <c r="DI4" s="85">
        <v>21291.668288128</v>
      </c>
      <c r="DJ4" s="85">
        <v>13307.29268008</v>
      </c>
      <c r="DK4" s="85">
        <v>5322.91707203199</v>
      </c>
      <c r="DL4" s="85">
        <v>2661.45853601599</v>
      </c>
      <c r="DM4" s="85">
        <v>1596.8751216096</v>
      </c>
      <c r="DN4" s="85">
        <v>20090.9172276928</v>
      </c>
      <c r="DO4" s="85">
        <v>9779.31276024481</v>
      </c>
      <c r="DP4" s="86">
        <v>121841.658222658</v>
      </c>
      <c r="DQ4" s="85">
        <v>473122.128951253</v>
      </c>
      <c r="DR4" s="85">
        <v>0</v>
      </c>
      <c r="DS4" s="85">
        <v>0</v>
      </c>
      <c r="DT4" s="85">
        <v>933.838762336226</v>
      </c>
      <c r="DU4" s="85">
        <v>934.614131769733</v>
      </c>
      <c r="DV4" s="85">
        <v>1126.35217831071</v>
      </c>
      <c r="DW4" s="85">
        <v>31481.386510222</v>
      </c>
      <c r="DX4" s="85">
        <v>31481.386510222</v>
      </c>
      <c r="DY4" s="85">
        <v>0</v>
      </c>
      <c r="DZ4" s="85">
        <v>0</v>
      </c>
      <c r="EA4" s="85">
        <v>74358.0685959997</v>
      </c>
      <c r="EB4" s="85">
        <v>0</v>
      </c>
      <c r="EC4" s="85">
        <v>613437.775640113</v>
      </c>
      <c r="ED4" s="87">
        <v>8930.57217968268</v>
      </c>
      <c r="EE4" s="85">
        <v>0</v>
      </c>
      <c r="EF4" s="85">
        <v>0</v>
      </c>
      <c r="EG4" s="85">
        <v>0</v>
      </c>
      <c r="EH4" s="85">
        <v>0</v>
      </c>
      <c r="EI4" s="85">
        <v>0</v>
      </c>
      <c r="EJ4" s="85">
        <v>0</v>
      </c>
      <c r="EK4" s="85">
        <v>0</v>
      </c>
      <c r="EL4" s="85">
        <v>0</v>
      </c>
      <c r="EM4" s="85">
        <v>0</v>
      </c>
      <c r="EN4" s="85">
        <v>0</v>
      </c>
      <c r="EO4" s="85">
        <v>0</v>
      </c>
      <c r="EP4" s="86">
        <v>8930.57217968268</v>
      </c>
      <c r="EQ4" s="85">
        <v>76309.3082856646</v>
      </c>
      <c r="ER4" s="85">
        <v>0</v>
      </c>
      <c r="ES4" s="85">
        <v>0</v>
      </c>
      <c r="ET4" s="85">
        <v>0</v>
      </c>
      <c r="EU4" s="85">
        <v>0</v>
      </c>
      <c r="EV4" s="85">
        <v>75062.5845635949</v>
      </c>
      <c r="EW4" s="85">
        <v>56296.9384226962</v>
      </c>
      <c r="EX4" s="85">
        <v>37531.2922817975</v>
      </c>
      <c r="EY4" s="85">
        <v>37531.2922817975</v>
      </c>
      <c r="EZ4" s="85">
        <v>0</v>
      </c>
      <c r="FA4" s="85">
        <v>45968.5595389457</v>
      </c>
      <c r="FB4" s="85">
        <v>45968.5595389457</v>
      </c>
      <c r="FC4" s="85">
        <v>374668.534913442</v>
      </c>
      <c r="FD4" s="87">
        <v>0</v>
      </c>
      <c r="FE4" s="85">
        <v>0</v>
      </c>
      <c r="FF4" s="85">
        <v>0</v>
      </c>
      <c r="FG4" s="85">
        <v>0</v>
      </c>
      <c r="FH4" s="85">
        <v>0</v>
      </c>
      <c r="FI4" s="85">
        <v>0</v>
      </c>
      <c r="FJ4" s="85">
        <v>0</v>
      </c>
      <c r="FK4" s="85">
        <v>0</v>
      </c>
      <c r="FL4" s="85">
        <v>0</v>
      </c>
      <c r="FM4" s="85">
        <v>0</v>
      </c>
      <c r="FN4" s="85">
        <v>0</v>
      </c>
      <c r="FO4" s="85">
        <v>0</v>
      </c>
      <c r="FP4" s="86">
        <v>0</v>
      </c>
      <c r="FQ4" s="87">
        <v>373.770298075854</v>
      </c>
      <c r="FR4" s="85">
        <v>1149.84004436061</v>
      </c>
      <c r="FS4" s="85">
        <v>371.330514452893</v>
      </c>
      <c r="FT4" s="85">
        <v>3114.3131670618</v>
      </c>
      <c r="FU4" s="85">
        <v>382.978435472193</v>
      </c>
      <c r="FV4" s="85">
        <v>260296.2</v>
      </c>
      <c r="FW4" s="85">
        <v>0</v>
      </c>
      <c r="FX4" s="85">
        <v>0</v>
      </c>
      <c r="FY4" s="85">
        <v>0</v>
      </c>
      <c r="FZ4" s="85">
        <v>0</v>
      </c>
      <c r="GA4" s="85">
        <v>223728</v>
      </c>
      <c r="GB4" s="85">
        <v>0</v>
      </c>
      <c r="GC4" s="86">
        <v>489416.432459423</v>
      </c>
    </row>
    <row r="5" ht="15" spans="1:185">
      <c r="A5" s="82"/>
      <c r="B5" s="83" t="s">
        <v>398</v>
      </c>
      <c r="C5" s="84">
        <v>51153687.5866623</v>
      </c>
      <c r="D5" s="85">
        <f t="shared" si="11"/>
        <v>3275526.58449895</v>
      </c>
      <c r="E5" s="85">
        <f t="shared" si="0"/>
        <v>3949058.7741529</v>
      </c>
      <c r="F5" s="85">
        <f t="shared" si="1"/>
        <v>3197215.67613721</v>
      </c>
      <c r="G5" s="85">
        <f t="shared" si="2"/>
        <v>2372117.10529664</v>
      </c>
      <c r="H5" s="85">
        <f t="shared" si="3"/>
        <v>1247612.72504158</v>
      </c>
      <c r="I5" s="85">
        <f t="shared" si="4"/>
        <v>1406692.83160879</v>
      </c>
      <c r="J5" s="85">
        <f t="shared" si="5"/>
        <v>1366168.78128581</v>
      </c>
      <c r="K5" s="85">
        <f t="shared" si="6"/>
        <v>845804.245176422</v>
      </c>
      <c r="L5" s="85">
        <f t="shared" si="7"/>
        <v>2821901.36591547</v>
      </c>
      <c r="M5" s="85">
        <f t="shared" si="8"/>
        <v>3145564.66310703</v>
      </c>
      <c r="N5" s="85">
        <f t="shared" si="9"/>
        <v>744071.443549495</v>
      </c>
      <c r="O5" s="85">
        <f t="shared" si="10"/>
        <v>349848.598629158</v>
      </c>
      <c r="P5" s="86">
        <f t="shared" si="12"/>
        <v>24721582.7943995</v>
      </c>
      <c r="Q5" s="85">
        <v>103825.436816342</v>
      </c>
      <c r="R5" s="85">
        <v>154632.769336523</v>
      </c>
      <c r="S5" s="85">
        <v>177706.657102562</v>
      </c>
      <c r="T5" s="85">
        <v>108970.549198324</v>
      </c>
      <c r="U5" s="85">
        <v>83197.5468459027</v>
      </c>
      <c r="V5" s="85">
        <v>102792.045722422</v>
      </c>
      <c r="W5" s="85">
        <v>102792.045722422</v>
      </c>
      <c r="X5" s="85">
        <v>61428.5314949224</v>
      </c>
      <c r="Y5" s="85">
        <v>81491.4774278484</v>
      </c>
      <c r="Z5" s="85">
        <v>93075.4155994247</v>
      </c>
      <c r="AA5" s="85">
        <v>56878.8452733994</v>
      </c>
      <c r="AB5" s="85">
        <v>6203.64681696399</v>
      </c>
      <c r="AC5" s="86">
        <v>1132994.96735706</v>
      </c>
      <c r="AD5" s="85">
        <v>99518.3887634471</v>
      </c>
      <c r="AE5" s="85">
        <v>122844.600085821</v>
      </c>
      <c r="AF5" s="85">
        <v>99275.508572809</v>
      </c>
      <c r="AG5" s="85">
        <v>52899.0080595702</v>
      </c>
      <c r="AH5" s="85">
        <v>38997.8129623277</v>
      </c>
      <c r="AI5" s="85">
        <v>67938.2257606172</v>
      </c>
      <c r="AJ5" s="85">
        <v>79482.4344511045</v>
      </c>
      <c r="AK5" s="85">
        <v>17162.3288641526</v>
      </c>
      <c r="AL5" s="85">
        <v>51899.3163010694</v>
      </c>
      <c r="AM5" s="85">
        <v>93584.519745883</v>
      </c>
      <c r="AN5" s="85">
        <v>52103.9464294127</v>
      </c>
      <c r="AO5" s="85">
        <v>9193.00851582274</v>
      </c>
      <c r="AP5" s="86">
        <v>784899.098512037</v>
      </c>
      <c r="AQ5" s="85">
        <v>133325.320623736</v>
      </c>
      <c r="AR5" s="85">
        <v>56330.2828697557</v>
      </c>
      <c r="AS5" s="85">
        <v>178466.857678054</v>
      </c>
      <c r="AT5" s="85">
        <v>53105.3940065517</v>
      </c>
      <c r="AU5" s="85">
        <v>68438.6505120743</v>
      </c>
      <c r="AV5" s="85">
        <v>78014.2223896303</v>
      </c>
      <c r="AW5" s="85">
        <v>51342.367237958</v>
      </c>
      <c r="AX5" s="85">
        <v>44674.40345004</v>
      </c>
      <c r="AY5" s="85">
        <v>98018.1137533845</v>
      </c>
      <c r="AZ5" s="85">
        <v>384740.556633862</v>
      </c>
      <c r="BA5" s="85">
        <v>124689.968905057</v>
      </c>
      <c r="BB5" s="85">
        <v>31338.4758742038</v>
      </c>
      <c r="BC5" s="86">
        <v>1302484.61393431</v>
      </c>
      <c r="BD5" s="85">
        <v>442880.3000343</v>
      </c>
      <c r="BE5" s="85">
        <v>171200.973259534</v>
      </c>
      <c r="BF5" s="85">
        <v>109727.00770407</v>
      </c>
      <c r="BG5" s="85">
        <v>46400.9377912058</v>
      </c>
      <c r="BH5" s="85">
        <v>52804.4440884346</v>
      </c>
      <c r="BI5" s="85">
        <v>35784.2261368059</v>
      </c>
      <c r="BJ5" s="85">
        <v>13129.519910781</v>
      </c>
      <c r="BK5" s="85">
        <v>10813.0007866108</v>
      </c>
      <c r="BL5" s="85">
        <v>18021.6679776846</v>
      </c>
      <c r="BM5" s="85">
        <v>108130.007866108</v>
      </c>
      <c r="BN5" s="85">
        <v>0</v>
      </c>
      <c r="BO5" s="85">
        <v>0</v>
      </c>
      <c r="BP5" s="86">
        <v>1008892.08555553</v>
      </c>
      <c r="BQ5" s="85">
        <v>1023548.83960092</v>
      </c>
      <c r="BR5" s="85">
        <v>629942.799476207</v>
      </c>
      <c r="BS5" s="85">
        <v>902528.299356952</v>
      </c>
      <c r="BT5" s="85">
        <v>535714.068372498</v>
      </c>
      <c r="BU5" s="85">
        <v>310924.061758018</v>
      </c>
      <c r="BV5" s="85">
        <v>345665.781610686</v>
      </c>
      <c r="BW5" s="85">
        <v>273656.234616264</v>
      </c>
      <c r="BX5" s="85">
        <v>220213.739521346</v>
      </c>
      <c r="BY5" s="85">
        <v>2129573.38786002</v>
      </c>
      <c r="BZ5" s="85">
        <v>1295013.03508791</v>
      </c>
      <c r="CA5" s="85">
        <v>299357.569908237</v>
      </c>
      <c r="CB5" s="85">
        <v>182056.88880244</v>
      </c>
      <c r="CC5" s="86">
        <v>8148194.7059715</v>
      </c>
      <c r="CD5" s="85">
        <v>6883.28998956955</v>
      </c>
      <c r="CE5" s="85">
        <v>83161.8058480287</v>
      </c>
      <c r="CF5" s="85">
        <v>81814.9567422723</v>
      </c>
      <c r="CG5" s="85">
        <v>13486.6937554323</v>
      </c>
      <c r="CH5" s="85">
        <v>22837.4795159081</v>
      </c>
      <c r="CI5" s="85">
        <v>25247.5464746468</v>
      </c>
      <c r="CJ5" s="85">
        <v>21047.1594231412</v>
      </c>
      <c r="CK5" s="85">
        <v>13894.4859649364</v>
      </c>
      <c r="CL5" s="85">
        <v>33837.9870938363</v>
      </c>
      <c r="CM5" s="85">
        <v>23304.2352860765</v>
      </c>
      <c r="CN5" s="85">
        <v>12489.7225157295</v>
      </c>
      <c r="CO5" s="85">
        <v>0</v>
      </c>
      <c r="CP5" s="86">
        <v>338005.362609578</v>
      </c>
      <c r="CQ5" s="85">
        <v>112989.836892978</v>
      </c>
      <c r="CR5" s="85">
        <v>134062.753903393</v>
      </c>
      <c r="CS5" s="85">
        <v>85682.9619408834</v>
      </c>
      <c r="CT5" s="85">
        <v>42524.5015731637</v>
      </c>
      <c r="CU5" s="85">
        <v>30180.5893309657</v>
      </c>
      <c r="CV5" s="85">
        <v>54019.1791304465</v>
      </c>
      <c r="CW5" s="85">
        <v>48003.3873493674</v>
      </c>
      <c r="CX5" s="85">
        <v>26518.4167026561</v>
      </c>
      <c r="CY5" s="85">
        <v>17187.976517369</v>
      </c>
      <c r="CZ5" s="85">
        <v>120315.835621583</v>
      </c>
      <c r="DA5" s="85">
        <v>0</v>
      </c>
      <c r="DB5" s="85">
        <v>0</v>
      </c>
      <c r="DC5" s="86">
        <v>671485.438962806</v>
      </c>
      <c r="DD5" s="85">
        <v>3321.03779643777</v>
      </c>
      <c r="DE5" s="85">
        <v>6009.45695271206</v>
      </c>
      <c r="DF5" s="85">
        <v>8046.19111130248</v>
      </c>
      <c r="DG5" s="85">
        <v>16284.1983535643</v>
      </c>
      <c r="DH5" s="85">
        <v>13721.2999284687</v>
      </c>
      <c r="DI5" s="85">
        <v>18820.0191980914</v>
      </c>
      <c r="DJ5" s="85">
        <v>9204.38269923464</v>
      </c>
      <c r="DK5" s="85">
        <v>6318.72894804004</v>
      </c>
      <c r="DL5" s="85">
        <v>11263.4025588811</v>
      </c>
      <c r="DM5" s="85">
        <v>34337.6291222942</v>
      </c>
      <c r="DN5" s="85">
        <v>15109.1069861166</v>
      </c>
      <c r="DO5" s="85">
        <v>5494.84591802785</v>
      </c>
      <c r="DP5" s="86">
        <v>147930.299573171</v>
      </c>
      <c r="DQ5" s="85">
        <v>68467.2667640028</v>
      </c>
      <c r="DR5" s="85">
        <v>154218.785116358</v>
      </c>
      <c r="DS5" s="85">
        <v>176583.018674286</v>
      </c>
      <c r="DT5" s="85">
        <v>116595.234177202</v>
      </c>
      <c r="DU5" s="85">
        <v>55454.8567142582</v>
      </c>
      <c r="DV5" s="85">
        <v>106057.509358012</v>
      </c>
      <c r="DW5" s="85">
        <v>142431.7822807</v>
      </c>
      <c r="DX5" s="85">
        <v>55478.335356488</v>
      </c>
      <c r="DY5" s="85">
        <v>62515.6833674934</v>
      </c>
      <c r="DZ5" s="85">
        <v>131585.544173681</v>
      </c>
      <c r="EA5" s="85">
        <v>0</v>
      </c>
      <c r="EB5" s="85">
        <v>0</v>
      </c>
      <c r="EC5" s="85">
        <v>1069388.01598248</v>
      </c>
      <c r="ED5" s="87">
        <v>10814.1905370914</v>
      </c>
      <c r="EE5" s="85">
        <v>16442.3139492007</v>
      </c>
      <c r="EF5" s="85">
        <v>0</v>
      </c>
      <c r="EG5" s="85">
        <v>5490.86989466494</v>
      </c>
      <c r="EH5" s="85">
        <v>0</v>
      </c>
      <c r="EI5" s="85">
        <v>0</v>
      </c>
      <c r="EJ5" s="85">
        <v>0</v>
      </c>
      <c r="EK5" s="85">
        <v>0</v>
      </c>
      <c r="EL5" s="85">
        <v>0</v>
      </c>
      <c r="EM5" s="85">
        <v>0</v>
      </c>
      <c r="EN5" s="85">
        <v>0</v>
      </c>
      <c r="EO5" s="85">
        <v>0</v>
      </c>
      <c r="EP5" s="86">
        <v>32747.374380957</v>
      </c>
      <c r="EQ5" s="85">
        <v>136286.242138677</v>
      </c>
      <c r="ER5" s="85">
        <v>105342.503027865</v>
      </c>
      <c r="ES5" s="85">
        <v>82889.5830235807</v>
      </c>
      <c r="ET5" s="85">
        <v>60279.7399306357</v>
      </c>
      <c r="EU5" s="85">
        <v>85810.2528618995</v>
      </c>
      <c r="EV5" s="85">
        <v>154073.693827435</v>
      </c>
      <c r="EW5" s="85">
        <v>292221.527594836</v>
      </c>
      <c r="EX5" s="85">
        <v>221408.33408723</v>
      </c>
      <c r="EY5" s="85">
        <v>150198.413057876</v>
      </c>
      <c r="EZ5" s="85">
        <v>413746.943970212</v>
      </c>
      <c r="FA5" s="85">
        <v>68703.8035315434</v>
      </c>
      <c r="FB5" s="85">
        <v>823.252701699701</v>
      </c>
      <c r="FC5" s="85">
        <v>1771784.28975349</v>
      </c>
      <c r="FD5" s="87">
        <v>0</v>
      </c>
      <c r="FE5" s="85">
        <v>0</v>
      </c>
      <c r="FF5" s="85">
        <v>0</v>
      </c>
      <c r="FG5" s="85">
        <v>0</v>
      </c>
      <c r="FH5" s="85">
        <v>0</v>
      </c>
      <c r="FI5" s="85">
        <v>0</v>
      </c>
      <c r="FJ5" s="85">
        <v>0</v>
      </c>
      <c r="FK5" s="85">
        <v>0</v>
      </c>
      <c r="FL5" s="85">
        <v>0</v>
      </c>
      <c r="FM5" s="85">
        <v>0</v>
      </c>
      <c r="FN5" s="85">
        <v>0</v>
      </c>
      <c r="FO5" s="85">
        <v>0</v>
      </c>
      <c r="FP5" s="86">
        <v>0</v>
      </c>
      <c r="FQ5" s="87">
        <v>1133666.43454145</v>
      </c>
      <c r="FR5" s="85">
        <v>2314869.7303275</v>
      </c>
      <c r="FS5" s="85">
        <v>1294494.63423044</v>
      </c>
      <c r="FT5" s="85">
        <v>1320365.91018383</v>
      </c>
      <c r="FU5" s="85">
        <v>485245.730523322</v>
      </c>
      <c r="FV5" s="85">
        <v>418280.382</v>
      </c>
      <c r="FW5" s="85">
        <v>332857.94</v>
      </c>
      <c r="FX5" s="85">
        <v>167893.94</v>
      </c>
      <c r="FY5" s="85">
        <v>167893.94</v>
      </c>
      <c r="FZ5" s="85">
        <v>447730.94</v>
      </c>
      <c r="GA5" s="85">
        <v>114738.48</v>
      </c>
      <c r="GB5" s="85">
        <v>114738.48</v>
      </c>
      <c r="GC5" s="86">
        <v>8312776.54180654</v>
      </c>
    </row>
    <row r="6" ht="15" spans="1:185">
      <c r="A6" s="82"/>
      <c r="B6" s="83" t="s">
        <v>399</v>
      </c>
      <c r="C6" s="84">
        <v>102822157.695392</v>
      </c>
      <c r="D6" s="85">
        <f t="shared" si="11"/>
        <v>8629832.79960578</v>
      </c>
      <c r="E6" s="85">
        <f t="shared" si="0"/>
        <v>8645226.51891603</v>
      </c>
      <c r="F6" s="85">
        <f t="shared" si="1"/>
        <v>9347629.18525356</v>
      </c>
      <c r="G6" s="85">
        <f t="shared" si="2"/>
        <v>5843459.54258425</v>
      </c>
      <c r="H6" s="85">
        <f t="shared" si="3"/>
        <v>5394989.38296223</v>
      </c>
      <c r="I6" s="85">
        <f t="shared" si="4"/>
        <v>3039334.07019645</v>
      </c>
      <c r="J6" s="85">
        <f t="shared" si="5"/>
        <v>4534436.36480265</v>
      </c>
      <c r="K6" s="85">
        <f t="shared" si="6"/>
        <v>3715694.95902336</v>
      </c>
      <c r="L6" s="85">
        <f t="shared" si="7"/>
        <v>3733868.91164181</v>
      </c>
      <c r="M6" s="85">
        <f t="shared" si="8"/>
        <v>11702708.837624</v>
      </c>
      <c r="N6" s="85">
        <f t="shared" si="9"/>
        <v>4319261.13118667</v>
      </c>
      <c r="O6" s="85">
        <f t="shared" si="10"/>
        <v>2486086.4205781</v>
      </c>
      <c r="P6" s="86">
        <f t="shared" si="12"/>
        <v>71392528.1243749</v>
      </c>
      <c r="Q6" s="85">
        <v>281632.071836447</v>
      </c>
      <c r="R6" s="85">
        <v>308245.528468838</v>
      </c>
      <c r="S6" s="85">
        <v>225902.030876533</v>
      </c>
      <c r="T6" s="85">
        <v>187489.36914823</v>
      </c>
      <c r="U6" s="85">
        <v>224129.815206064</v>
      </c>
      <c r="V6" s="85">
        <v>233708.671238079</v>
      </c>
      <c r="W6" s="85">
        <v>201876.402696142</v>
      </c>
      <c r="X6" s="85">
        <v>190094.652080151</v>
      </c>
      <c r="Y6" s="85">
        <v>192565.754134455</v>
      </c>
      <c r="Z6" s="85">
        <v>116894.726641721</v>
      </c>
      <c r="AA6" s="85">
        <v>47825.042189276</v>
      </c>
      <c r="AB6" s="85">
        <v>47825.042189276</v>
      </c>
      <c r="AC6" s="86">
        <v>2258189.10670521</v>
      </c>
      <c r="AD6" s="85">
        <v>126233.817432515</v>
      </c>
      <c r="AE6" s="85">
        <v>230115.351146044</v>
      </c>
      <c r="AF6" s="85">
        <v>195858.889340183</v>
      </c>
      <c r="AG6" s="85">
        <v>197296.689076196</v>
      </c>
      <c r="AH6" s="85">
        <v>182932.405369709</v>
      </c>
      <c r="AI6" s="85">
        <v>130886.545841583</v>
      </c>
      <c r="AJ6" s="85">
        <v>124778.336510536</v>
      </c>
      <c r="AK6" s="85">
        <v>138023.021567556</v>
      </c>
      <c r="AL6" s="85">
        <v>203187.48593848</v>
      </c>
      <c r="AM6" s="85">
        <v>222990.566608902</v>
      </c>
      <c r="AN6" s="85">
        <v>96937.384398788</v>
      </c>
      <c r="AO6" s="85">
        <v>62120.5912118172</v>
      </c>
      <c r="AP6" s="86">
        <v>1911361.08444231</v>
      </c>
      <c r="AQ6" s="85">
        <v>182954.214325297</v>
      </c>
      <c r="AR6" s="85">
        <v>420534.080677931</v>
      </c>
      <c r="AS6" s="85">
        <v>458802.95926575</v>
      </c>
      <c r="AT6" s="85">
        <v>290841.894319493</v>
      </c>
      <c r="AU6" s="85">
        <v>318084.090721325</v>
      </c>
      <c r="AV6" s="85">
        <v>180632.181834766</v>
      </c>
      <c r="AW6" s="85">
        <v>125008.58119478</v>
      </c>
      <c r="AX6" s="85">
        <v>161582.219482159</v>
      </c>
      <c r="AY6" s="85">
        <v>201437.373567884</v>
      </c>
      <c r="AZ6" s="85">
        <v>368451.264839514</v>
      </c>
      <c r="BA6" s="85">
        <v>222280.722461447</v>
      </c>
      <c r="BB6" s="85">
        <v>143690.326949084</v>
      </c>
      <c r="BC6" s="86">
        <v>3074299.90963943</v>
      </c>
      <c r="BD6" s="85">
        <v>636944.772555368</v>
      </c>
      <c r="BE6" s="85">
        <v>476847.079289376</v>
      </c>
      <c r="BF6" s="85">
        <v>316190.656615088</v>
      </c>
      <c r="BG6" s="85">
        <v>276722.040822428</v>
      </c>
      <c r="BH6" s="85">
        <v>286410.902152309</v>
      </c>
      <c r="BI6" s="85">
        <v>191221.756996123</v>
      </c>
      <c r="BJ6" s="85">
        <v>135804.483412956</v>
      </c>
      <c r="BK6" s="85">
        <v>127836.534216241</v>
      </c>
      <c r="BL6" s="85">
        <v>206344.231033764</v>
      </c>
      <c r="BM6" s="85">
        <v>167310.17478453</v>
      </c>
      <c r="BN6" s="85">
        <v>106271.120511042</v>
      </c>
      <c r="BO6" s="85">
        <v>45721.9255960313</v>
      </c>
      <c r="BP6" s="86">
        <v>2973625.67798526</v>
      </c>
      <c r="BQ6" s="85">
        <v>2132940.02738096</v>
      </c>
      <c r="BR6" s="85">
        <v>3929866.46719811</v>
      </c>
      <c r="BS6" s="85">
        <v>3994873.73650504</v>
      </c>
      <c r="BT6" s="85">
        <v>2367627.16280413</v>
      </c>
      <c r="BU6" s="85">
        <v>1714972.49091778</v>
      </c>
      <c r="BV6" s="85">
        <v>932236.085219796</v>
      </c>
      <c r="BW6" s="85">
        <v>1006799.09791667</v>
      </c>
      <c r="BX6" s="85">
        <v>1644989.77433658</v>
      </c>
      <c r="BY6" s="85">
        <v>1074387.70229392</v>
      </c>
      <c r="BZ6" s="85">
        <v>4159864.35548356</v>
      </c>
      <c r="CA6" s="85">
        <v>2664074.30781545</v>
      </c>
      <c r="CB6" s="85">
        <v>1694925.2226208</v>
      </c>
      <c r="CC6" s="86">
        <v>27317556.4304928</v>
      </c>
      <c r="CD6" s="85">
        <v>201545.392789238</v>
      </c>
      <c r="CE6" s="85">
        <v>111511.89998691</v>
      </c>
      <c r="CF6" s="85">
        <v>118098.667639481</v>
      </c>
      <c r="CG6" s="85">
        <v>192914.478733351</v>
      </c>
      <c r="CH6" s="85">
        <v>340005.304007122</v>
      </c>
      <c r="CI6" s="85">
        <v>167590.6427702</v>
      </c>
      <c r="CJ6" s="85">
        <v>164852.987382045</v>
      </c>
      <c r="CK6" s="85">
        <v>294202.980140065</v>
      </c>
      <c r="CL6" s="85">
        <v>115347.939201726</v>
      </c>
      <c r="CM6" s="85">
        <v>175502.41757554</v>
      </c>
      <c r="CN6" s="85">
        <v>100733.239323644</v>
      </c>
      <c r="CO6" s="85">
        <v>22026.3336927818</v>
      </c>
      <c r="CP6" s="86">
        <v>2004332.2832421</v>
      </c>
      <c r="CQ6" s="85">
        <v>361806.2572855</v>
      </c>
      <c r="CR6" s="85">
        <v>341550.711942911</v>
      </c>
      <c r="CS6" s="85">
        <v>142326.443973504</v>
      </c>
      <c r="CT6" s="85">
        <v>211635.384215321</v>
      </c>
      <c r="CU6" s="85">
        <v>310020.603236872</v>
      </c>
      <c r="CV6" s="85">
        <v>195333.04651672</v>
      </c>
      <c r="CW6" s="85">
        <v>168421.407105415</v>
      </c>
      <c r="CX6" s="85">
        <v>179188.958335046</v>
      </c>
      <c r="CY6" s="85">
        <v>205684.863374697</v>
      </c>
      <c r="CZ6" s="85">
        <v>219263.500150757</v>
      </c>
      <c r="DA6" s="85">
        <v>89591.4054950415</v>
      </c>
      <c r="DB6" s="85">
        <v>38211.8962918333</v>
      </c>
      <c r="DC6" s="86">
        <v>2463034.47792362</v>
      </c>
      <c r="DD6" s="85">
        <v>33220.9913494283</v>
      </c>
      <c r="DE6" s="85">
        <v>69411.5903082602</v>
      </c>
      <c r="DF6" s="85">
        <v>55095.405160505</v>
      </c>
      <c r="DG6" s="85">
        <v>45325.3290803865</v>
      </c>
      <c r="DH6" s="85">
        <v>61502.7664460017</v>
      </c>
      <c r="DI6" s="85">
        <v>52469.9329364021</v>
      </c>
      <c r="DJ6" s="85">
        <v>34589.3329528322</v>
      </c>
      <c r="DK6" s="85">
        <v>29313.180526911</v>
      </c>
      <c r="DL6" s="85">
        <v>42929.9451297836</v>
      </c>
      <c r="DM6" s="85">
        <v>42509.0633147857</v>
      </c>
      <c r="DN6" s="85">
        <v>14968.813047784</v>
      </c>
      <c r="DO6" s="85">
        <v>6783.62454761286</v>
      </c>
      <c r="DP6" s="86">
        <v>488119.974800693</v>
      </c>
      <c r="DQ6" s="85">
        <v>322277.409312945</v>
      </c>
      <c r="DR6" s="85">
        <v>332323.534582716</v>
      </c>
      <c r="DS6" s="85">
        <v>221868.505272302</v>
      </c>
      <c r="DT6" s="85">
        <v>204734.50493344</v>
      </c>
      <c r="DU6" s="85">
        <v>207642.805927964</v>
      </c>
      <c r="DV6" s="85">
        <v>344458.262196283</v>
      </c>
      <c r="DW6" s="85">
        <v>306077.576410002</v>
      </c>
      <c r="DX6" s="85">
        <v>191553.600887167</v>
      </c>
      <c r="DY6" s="85">
        <v>261837.663066631</v>
      </c>
      <c r="DZ6" s="85">
        <v>170479.206509137</v>
      </c>
      <c r="EA6" s="85">
        <v>18896.98933138</v>
      </c>
      <c r="EB6" s="85">
        <v>5015.24779116901</v>
      </c>
      <c r="EC6" s="85">
        <v>2587165.30622114</v>
      </c>
      <c r="ED6" s="87">
        <v>0</v>
      </c>
      <c r="EE6" s="85">
        <v>9046.26596967659</v>
      </c>
      <c r="EF6" s="85">
        <v>0</v>
      </c>
      <c r="EG6" s="85">
        <v>0</v>
      </c>
      <c r="EH6" s="85">
        <v>0</v>
      </c>
      <c r="EI6" s="85">
        <v>0</v>
      </c>
      <c r="EJ6" s="85">
        <v>0</v>
      </c>
      <c r="EK6" s="85">
        <v>0</v>
      </c>
      <c r="EL6" s="85">
        <v>0</v>
      </c>
      <c r="EM6" s="85">
        <v>0</v>
      </c>
      <c r="EN6" s="85">
        <v>0</v>
      </c>
      <c r="EO6" s="85">
        <v>0</v>
      </c>
      <c r="EP6" s="86">
        <v>9046.26596967659</v>
      </c>
      <c r="EQ6" s="85">
        <v>172807.218681336</v>
      </c>
      <c r="ER6" s="85">
        <v>207585.877674233</v>
      </c>
      <c r="ES6" s="85">
        <v>470268.587750514</v>
      </c>
      <c r="ET6" s="85">
        <v>385082.291619247</v>
      </c>
      <c r="EU6" s="85">
        <v>465377.99010139</v>
      </c>
      <c r="EV6" s="85">
        <v>191569.258646502</v>
      </c>
      <c r="EW6" s="85">
        <v>218193.019221274</v>
      </c>
      <c r="EX6" s="85">
        <v>204212.097451483</v>
      </c>
      <c r="EY6" s="85">
        <v>202769.513900465</v>
      </c>
      <c r="EZ6" s="85">
        <v>627929.521715544</v>
      </c>
      <c r="FA6" s="85">
        <v>342326.266612813</v>
      </c>
      <c r="FB6" s="85">
        <v>156640.369687697</v>
      </c>
      <c r="FC6" s="85">
        <v>3644762.0130625</v>
      </c>
      <c r="FD6" s="87">
        <v>0</v>
      </c>
      <c r="FE6" s="85">
        <v>12200.9413704097</v>
      </c>
      <c r="FF6" s="85">
        <v>0</v>
      </c>
      <c r="FG6" s="85">
        <v>0</v>
      </c>
      <c r="FH6" s="85">
        <v>0</v>
      </c>
      <c r="FI6" s="85">
        <v>0</v>
      </c>
      <c r="FJ6" s="85">
        <v>0</v>
      </c>
      <c r="FK6" s="85">
        <v>0</v>
      </c>
      <c r="FL6" s="85">
        <v>0</v>
      </c>
      <c r="FM6" s="85">
        <v>0</v>
      </c>
      <c r="FN6" s="85">
        <v>0</v>
      </c>
      <c r="FO6" s="85">
        <v>0</v>
      </c>
      <c r="FP6" s="86">
        <v>0</v>
      </c>
      <c r="FQ6" s="87">
        <v>4177470.62665674</v>
      </c>
      <c r="FR6" s="85">
        <v>2195987.19030061</v>
      </c>
      <c r="FS6" s="85">
        <v>3148343.30285466</v>
      </c>
      <c r="FT6" s="85">
        <v>1483790.39783203</v>
      </c>
      <c r="FU6" s="85">
        <v>1283910.20887569</v>
      </c>
      <c r="FV6" s="85">
        <v>419227.686</v>
      </c>
      <c r="FW6" s="85">
        <v>2048035.14</v>
      </c>
      <c r="FX6" s="85">
        <v>554697.94</v>
      </c>
      <c r="FY6" s="85">
        <v>1027376.44</v>
      </c>
      <c r="FZ6" s="85">
        <v>5431514.04</v>
      </c>
      <c r="GA6" s="85">
        <v>615355.84</v>
      </c>
      <c r="GB6" s="85">
        <v>263125.84</v>
      </c>
      <c r="GC6" s="86">
        <v>22648834.6525197</v>
      </c>
    </row>
    <row r="7" ht="15" spans="1:185">
      <c r="A7" s="82"/>
      <c r="B7" s="83" t="s">
        <v>400</v>
      </c>
      <c r="C7" s="84">
        <v>18988778.0204375</v>
      </c>
      <c r="D7" s="85">
        <f t="shared" si="11"/>
        <v>342709.789894124</v>
      </c>
      <c r="E7" s="85">
        <f t="shared" si="0"/>
        <v>275598.814084148</v>
      </c>
      <c r="F7" s="85">
        <f t="shared" si="1"/>
        <v>305313.148836059</v>
      </c>
      <c r="G7" s="85">
        <f t="shared" si="2"/>
        <v>497250.084047844</v>
      </c>
      <c r="H7" s="85">
        <f t="shared" si="3"/>
        <v>1516831.00486552</v>
      </c>
      <c r="I7" s="85">
        <f t="shared" si="4"/>
        <v>2314042.31975574</v>
      </c>
      <c r="J7" s="85">
        <f t="shared" si="5"/>
        <v>2040421.05273198</v>
      </c>
      <c r="K7" s="85">
        <f t="shared" si="6"/>
        <v>1258625.13290993</v>
      </c>
      <c r="L7" s="85">
        <f t="shared" si="7"/>
        <v>754861.269685566</v>
      </c>
      <c r="M7" s="85">
        <f t="shared" si="8"/>
        <v>1227069.34536479</v>
      </c>
      <c r="N7" s="85">
        <f t="shared" si="9"/>
        <v>783271.635453467</v>
      </c>
      <c r="O7" s="85">
        <f t="shared" si="10"/>
        <v>554150.891163679</v>
      </c>
      <c r="P7" s="86">
        <f t="shared" si="12"/>
        <v>11870144.4887929</v>
      </c>
      <c r="Q7" s="85">
        <v>6271.66399561018</v>
      </c>
      <c r="R7" s="85">
        <v>7937.4095252506</v>
      </c>
      <c r="S7" s="85">
        <v>13803.1353820876</v>
      </c>
      <c r="T7" s="85">
        <v>17427.2122411814</v>
      </c>
      <c r="U7" s="85">
        <v>40465.8924492986</v>
      </c>
      <c r="V7" s="85">
        <v>236322.69537264</v>
      </c>
      <c r="W7" s="85">
        <v>494043.311761188</v>
      </c>
      <c r="X7" s="85">
        <v>486197.096688514</v>
      </c>
      <c r="Y7" s="85">
        <v>373433.646700026</v>
      </c>
      <c r="Z7" s="85">
        <v>68234.9366503627</v>
      </c>
      <c r="AA7" s="85">
        <v>95208.8901308013</v>
      </c>
      <c r="AB7" s="85">
        <v>116657.558841874</v>
      </c>
      <c r="AC7" s="86">
        <v>1956003.44973883</v>
      </c>
      <c r="AD7" s="85">
        <v>0</v>
      </c>
      <c r="AE7" s="85">
        <v>0</v>
      </c>
      <c r="AF7" s="85">
        <v>0</v>
      </c>
      <c r="AG7" s="85">
        <v>5604.08267162814</v>
      </c>
      <c r="AH7" s="85">
        <v>2962.5381922408</v>
      </c>
      <c r="AI7" s="85">
        <v>119841.634664254</v>
      </c>
      <c r="AJ7" s="85">
        <v>236726.363973946</v>
      </c>
      <c r="AK7" s="85">
        <v>167346.518959151</v>
      </c>
      <c r="AL7" s="85">
        <v>116884.729309693</v>
      </c>
      <c r="AM7" s="85">
        <v>126062.39056589</v>
      </c>
      <c r="AN7" s="85">
        <v>131167.912268055</v>
      </c>
      <c r="AO7" s="85">
        <v>116884.729309693</v>
      </c>
      <c r="AP7" s="86">
        <v>1023480.89991455</v>
      </c>
      <c r="AQ7" s="85">
        <v>12224.9379334834</v>
      </c>
      <c r="AR7" s="85">
        <v>7033.56453024702</v>
      </c>
      <c r="AS7" s="85">
        <v>17039.4983341832</v>
      </c>
      <c r="AT7" s="85">
        <v>17368.6209269766</v>
      </c>
      <c r="AU7" s="85">
        <v>44054.0074170866</v>
      </c>
      <c r="AV7" s="85">
        <v>28153.3069059837</v>
      </c>
      <c r="AW7" s="85">
        <v>21223.9665690113</v>
      </c>
      <c r="AX7" s="85">
        <v>12767.3858851925</v>
      </c>
      <c r="AY7" s="85">
        <v>3685.98169907231</v>
      </c>
      <c r="AZ7" s="85">
        <v>39811.2733512121</v>
      </c>
      <c r="BA7" s="85">
        <v>30319.6796902987</v>
      </c>
      <c r="BB7" s="85">
        <v>7482.61916343768</v>
      </c>
      <c r="BC7" s="86">
        <v>241164.842406185</v>
      </c>
      <c r="BD7" s="85">
        <v>7871.53431590256</v>
      </c>
      <c r="BE7" s="85">
        <v>4580.74882104749</v>
      </c>
      <c r="BF7" s="85">
        <v>11279.6834022673</v>
      </c>
      <c r="BG7" s="85">
        <v>49646.6738616188</v>
      </c>
      <c r="BH7" s="85">
        <v>81260.8501407273</v>
      </c>
      <c r="BI7" s="85">
        <v>109805.842513532</v>
      </c>
      <c r="BJ7" s="85">
        <v>171993.488072293</v>
      </c>
      <c r="BK7" s="85">
        <v>88427.3488266991</v>
      </c>
      <c r="BL7" s="85">
        <v>18698.447354529</v>
      </c>
      <c r="BM7" s="85">
        <v>186675.088687304</v>
      </c>
      <c r="BN7" s="85">
        <v>68477.1819009017</v>
      </c>
      <c r="BO7" s="85">
        <v>23107.1815808295</v>
      </c>
      <c r="BP7" s="86">
        <v>821824.069477651</v>
      </c>
      <c r="BQ7" s="85">
        <v>139040.964497225</v>
      </c>
      <c r="BR7" s="85">
        <v>130290.569657379</v>
      </c>
      <c r="BS7" s="85">
        <v>109766.059797068</v>
      </c>
      <c r="BT7" s="85">
        <v>90999.8894292697</v>
      </c>
      <c r="BU7" s="85">
        <v>455084.250652983</v>
      </c>
      <c r="BV7" s="85">
        <v>480818.045318363</v>
      </c>
      <c r="BW7" s="85">
        <v>128813.954082136</v>
      </c>
      <c r="BX7" s="85">
        <v>30237.9322171575</v>
      </c>
      <c r="BY7" s="85">
        <v>26614.0972326804</v>
      </c>
      <c r="BZ7" s="85">
        <v>298347.295511751</v>
      </c>
      <c r="CA7" s="85">
        <v>30914.8500787761</v>
      </c>
      <c r="CB7" s="85">
        <v>87324.6718803206</v>
      </c>
      <c r="CC7" s="86">
        <v>2008252.58035511</v>
      </c>
      <c r="CD7" s="85">
        <v>22616.5107671477</v>
      </c>
      <c r="CE7" s="85">
        <v>8267.8316141059</v>
      </c>
      <c r="CF7" s="85">
        <v>9382.92775135826</v>
      </c>
      <c r="CG7" s="85">
        <v>11386.8819301217</v>
      </c>
      <c r="CH7" s="85">
        <v>146986.358119604</v>
      </c>
      <c r="CI7" s="85">
        <v>29720.3665787492</v>
      </c>
      <c r="CJ7" s="85">
        <v>27112.5204951695</v>
      </c>
      <c r="CK7" s="85">
        <v>8317.36146849146</v>
      </c>
      <c r="CL7" s="85">
        <v>1203.42651919404</v>
      </c>
      <c r="CM7" s="85">
        <v>34379.3155753799</v>
      </c>
      <c r="CN7" s="85">
        <v>38310.8915677071</v>
      </c>
      <c r="CO7" s="85">
        <v>11387.9742896185</v>
      </c>
      <c r="CP7" s="86">
        <v>349072.366676648</v>
      </c>
      <c r="CQ7" s="85">
        <v>11565.8027232118</v>
      </c>
      <c r="CR7" s="85">
        <v>14877.5711986972</v>
      </c>
      <c r="CS7" s="85">
        <v>19933.7760784441</v>
      </c>
      <c r="CT7" s="85">
        <v>50289.5757882609</v>
      </c>
      <c r="CU7" s="85">
        <v>60943.9997546017</v>
      </c>
      <c r="CV7" s="85">
        <v>152261.128457835</v>
      </c>
      <c r="CW7" s="85">
        <v>191436.928439913</v>
      </c>
      <c r="CX7" s="85">
        <v>96316.6008848847</v>
      </c>
      <c r="CY7" s="85">
        <v>46818.1792404443</v>
      </c>
      <c r="CZ7" s="85">
        <v>139938.160744416</v>
      </c>
      <c r="DA7" s="85">
        <v>159326.886758645</v>
      </c>
      <c r="DB7" s="85">
        <v>44113.3474565952</v>
      </c>
      <c r="DC7" s="86">
        <v>987821.957525948</v>
      </c>
      <c r="DD7" s="85">
        <v>0</v>
      </c>
      <c r="DE7" s="85">
        <v>0</v>
      </c>
      <c r="DF7" s="85">
        <v>14281.9208358909</v>
      </c>
      <c r="DG7" s="85">
        <v>11110.6281619683</v>
      </c>
      <c r="DH7" s="85">
        <v>11448.9604383829</v>
      </c>
      <c r="DI7" s="85">
        <v>29647.410203527</v>
      </c>
      <c r="DJ7" s="85">
        <v>7296.66022406452</v>
      </c>
      <c r="DK7" s="85">
        <v>0</v>
      </c>
      <c r="DL7" s="85">
        <v>0</v>
      </c>
      <c r="DM7" s="85">
        <v>24940.6861155442</v>
      </c>
      <c r="DN7" s="85">
        <v>11520.6081124909</v>
      </c>
      <c r="DO7" s="85">
        <v>6842.76807063544</v>
      </c>
      <c r="DP7" s="86">
        <v>117089.642162504</v>
      </c>
      <c r="DQ7" s="85">
        <v>70988.9913607427</v>
      </c>
      <c r="DR7" s="85">
        <v>39737.7272581538</v>
      </c>
      <c r="DS7" s="85">
        <v>61807.0409542436</v>
      </c>
      <c r="DT7" s="85">
        <v>78598.9834415814</v>
      </c>
      <c r="DU7" s="85">
        <v>75315.3503889302</v>
      </c>
      <c r="DV7" s="85">
        <v>161549.963335119</v>
      </c>
      <c r="DW7" s="85">
        <v>290351.001775511</v>
      </c>
      <c r="DX7" s="85">
        <v>259857.918708653</v>
      </c>
      <c r="DY7" s="85">
        <v>82063.6979829945</v>
      </c>
      <c r="DZ7" s="85">
        <v>95173.6215960065</v>
      </c>
      <c r="EA7" s="85">
        <v>48342.1570011462</v>
      </c>
      <c r="EB7" s="85">
        <v>37663.7736059358</v>
      </c>
      <c r="EC7" s="85">
        <v>1301450.22740902</v>
      </c>
      <c r="ED7" s="87">
        <v>0</v>
      </c>
      <c r="EE7" s="85">
        <v>0</v>
      </c>
      <c r="EF7" s="85">
        <v>0</v>
      </c>
      <c r="EG7" s="85">
        <v>0</v>
      </c>
      <c r="EH7" s="85">
        <v>0</v>
      </c>
      <c r="EI7" s="85">
        <v>0</v>
      </c>
      <c r="EJ7" s="85">
        <v>0</v>
      </c>
      <c r="EK7" s="85">
        <v>0</v>
      </c>
      <c r="EL7" s="85">
        <v>0</v>
      </c>
      <c r="EM7" s="85">
        <v>0</v>
      </c>
      <c r="EN7" s="85">
        <v>0</v>
      </c>
      <c r="EO7" s="85">
        <v>0</v>
      </c>
      <c r="EP7" s="86">
        <v>0</v>
      </c>
      <c r="EQ7" s="85">
        <v>4320.80036073105</v>
      </c>
      <c r="ER7" s="85">
        <v>20892.76196546</v>
      </c>
      <c r="ES7" s="85">
        <v>1122.36629879273</v>
      </c>
      <c r="ET7" s="85">
        <v>32329.9552248007</v>
      </c>
      <c r="EU7" s="85">
        <v>38959.1918074287</v>
      </c>
      <c r="EV7" s="85">
        <v>86607.5204057428</v>
      </c>
      <c r="EW7" s="85">
        <v>99762.9773387484</v>
      </c>
      <c r="EX7" s="85">
        <v>56259.9292711835</v>
      </c>
      <c r="EY7" s="85">
        <v>55395.0236469321</v>
      </c>
      <c r="EZ7" s="85">
        <v>49488.9365669283</v>
      </c>
      <c r="FA7" s="85">
        <v>23187.9379446454</v>
      </c>
      <c r="FB7" s="85">
        <v>17398.2269647402</v>
      </c>
      <c r="FC7" s="85">
        <v>485725.627796134</v>
      </c>
      <c r="FD7" s="87">
        <v>0</v>
      </c>
      <c r="FE7" s="85">
        <v>0</v>
      </c>
      <c r="FF7" s="85">
        <v>0</v>
      </c>
      <c r="FG7" s="85">
        <v>0</v>
      </c>
      <c r="FH7" s="85">
        <v>0</v>
      </c>
      <c r="FI7" s="85">
        <v>0</v>
      </c>
      <c r="FJ7" s="85">
        <v>0</v>
      </c>
      <c r="FK7" s="85">
        <v>0</v>
      </c>
      <c r="FL7" s="85">
        <v>0</v>
      </c>
      <c r="FM7" s="85">
        <v>0</v>
      </c>
      <c r="FN7" s="85">
        <v>0</v>
      </c>
      <c r="FO7" s="85">
        <v>0</v>
      </c>
      <c r="FP7" s="86">
        <v>0</v>
      </c>
      <c r="FQ7" s="87">
        <v>67808.5839400691</v>
      </c>
      <c r="FR7" s="85">
        <v>41980.6295138071</v>
      </c>
      <c r="FS7" s="85">
        <v>46896.7400017239</v>
      </c>
      <c r="FT7" s="85">
        <v>132487.580370436</v>
      </c>
      <c r="FU7" s="85">
        <v>559349.605504235</v>
      </c>
      <c r="FV7" s="85">
        <v>879314.406</v>
      </c>
      <c r="FW7" s="85">
        <v>371659.88</v>
      </c>
      <c r="FX7" s="85">
        <v>52897.04</v>
      </c>
      <c r="FY7" s="85">
        <v>30064.04</v>
      </c>
      <c r="FZ7" s="85">
        <v>164017.64</v>
      </c>
      <c r="GA7" s="85">
        <v>146494.64</v>
      </c>
      <c r="GB7" s="85">
        <v>85288.04</v>
      </c>
      <c r="GC7" s="86">
        <v>2578258.82533027</v>
      </c>
    </row>
    <row r="8" ht="15" spans="1:185">
      <c r="A8" s="82"/>
      <c r="B8" s="83" t="s">
        <v>401</v>
      </c>
      <c r="C8" s="84">
        <v>43101359.7040477</v>
      </c>
      <c r="D8" s="85">
        <f t="shared" si="11"/>
        <v>3077503.26811043</v>
      </c>
      <c r="E8" s="85">
        <f t="shared" si="0"/>
        <v>2194673.05267991</v>
      </c>
      <c r="F8" s="85">
        <f t="shared" si="1"/>
        <v>2776828.38646004</v>
      </c>
      <c r="G8" s="85">
        <f t="shared" si="2"/>
        <v>1905469.90318596</v>
      </c>
      <c r="H8" s="85">
        <f t="shared" si="3"/>
        <v>1772782.50920331</v>
      </c>
      <c r="I8" s="85">
        <f t="shared" si="4"/>
        <v>2112211.68884524</v>
      </c>
      <c r="J8" s="85">
        <f t="shared" si="5"/>
        <v>3223515.88818156</v>
      </c>
      <c r="K8" s="85">
        <f t="shared" si="6"/>
        <v>2730474.55646979</v>
      </c>
      <c r="L8" s="85">
        <f t="shared" si="7"/>
        <v>2629484.86533933</v>
      </c>
      <c r="M8" s="85">
        <f t="shared" si="8"/>
        <v>2301039.95684975</v>
      </c>
      <c r="N8" s="85">
        <f t="shared" si="9"/>
        <v>1315559.23600631</v>
      </c>
      <c r="O8" s="85">
        <f t="shared" si="10"/>
        <v>305400.820568647</v>
      </c>
      <c r="P8" s="86">
        <f t="shared" si="12"/>
        <v>26344944.1319003</v>
      </c>
      <c r="Q8" s="85">
        <v>179657.666623768</v>
      </c>
      <c r="R8" s="85">
        <v>103594.785883792</v>
      </c>
      <c r="S8" s="85">
        <v>132273.25154296</v>
      </c>
      <c r="T8" s="85">
        <v>88578.885636229</v>
      </c>
      <c r="U8" s="85">
        <v>119910.845242734</v>
      </c>
      <c r="V8" s="85">
        <v>192178.414583612</v>
      </c>
      <c r="W8" s="85">
        <v>272758.504833009</v>
      </c>
      <c r="X8" s="85">
        <v>133086.348400722</v>
      </c>
      <c r="Y8" s="85">
        <v>125016.429202427</v>
      </c>
      <c r="Z8" s="85">
        <v>56665.4978202617</v>
      </c>
      <c r="AA8" s="85">
        <v>68006.0541885014</v>
      </c>
      <c r="AB8" s="85">
        <v>22743.2527713738</v>
      </c>
      <c r="AC8" s="86">
        <v>1494469.93672939</v>
      </c>
      <c r="AD8" s="85">
        <v>39780.4973173853</v>
      </c>
      <c r="AE8" s="85">
        <v>34777.5964187447</v>
      </c>
      <c r="AF8" s="85">
        <v>59005.9703876955</v>
      </c>
      <c r="AG8" s="85">
        <v>33054.9776292521</v>
      </c>
      <c r="AH8" s="85">
        <v>63272.6731094191</v>
      </c>
      <c r="AI8" s="85">
        <v>199038.610086319</v>
      </c>
      <c r="AJ8" s="85">
        <v>207203.352207217</v>
      </c>
      <c r="AK8" s="85">
        <v>76567.4782728542</v>
      </c>
      <c r="AL8" s="85">
        <v>109226.446756445</v>
      </c>
      <c r="AM8" s="85">
        <v>54083.7429211341</v>
      </c>
      <c r="AN8" s="85">
        <v>55096.6620564335</v>
      </c>
      <c r="AO8" s="85">
        <v>16329.4842417953</v>
      </c>
      <c r="AP8" s="86">
        <v>947437.491404695</v>
      </c>
      <c r="AQ8" s="85">
        <v>263038.831430515</v>
      </c>
      <c r="AR8" s="85">
        <v>435155.932832884</v>
      </c>
      <c r="AS8" s="85">
        <v>183477.709924402</v>
      </c>
      <c r="AT8" s="85">
        <v>142874.184829837</v>
      </c>
      <c r="AU8" s="85">
        <v>126121.555167077</v>
      </c>
      <c r="AV8" s="85">
        <v>109361.283624934</v>
      </c>
      <c r="AW8" s="85">
        <v>143616.874415226</v>
      </c>
      <c r="AX8" s="85">
        <v>238771.293277147</v>
      </c>
      <c r="AY8" s="85">
        <v>291296.532488927</v>
      </c>
      <c r="AZ8" s="85">
        <v>177124.584860778</v>
      </c>
      <c r="BA8" s="85">
        <v>64828.0616685443</v>
      </c>
      <c r="BB8" s="85">
        <v>53409.5314051137</v>
      </c>
      <c r="BC8" s="86">
        <v>2229076.37592539</v>
      </c>
      <c r="BD8" s="85">
        <v>263963.165205378</v>
      </c>
      <c r="BE8" s="85">
        <v>62392.6325524817</v>
      </c>
      <c r="BF8" s="85">
        <v>105281.247351468</v>
      </c>
      <c r="BG8" s="85">
        <v>90405.7110233089</v>
      </c>
      <c r="BH8" s="85">
        <v>141646.604964363</v>
      </c>
      <c r="BI8" s="85">
        <v>172319.631276753</v>
      </c>
      <c r="BJ8" s="85">
        <v>102870.465280346</v>
      </c>
      <c r="BK8" s="85">
        <v>133731.604864449</v>
      </c>
      <c r="BL8" s="85">
        <v>221171.500352743</v>
      </c>
      <c r="BM8" s="85">
        <v>64932.1470698121</v>
      </c>
      <c r="BN8" s="85">
        <v>45034.8333905874</v>
      </c>
      <c r="BO8" s="85">
        <v>15430.5697920518</v>
      </c>
      <c r="BP8" s="86">
        <v>1419180.11312374</v>
      </c>
      <c r="BQ8" s="85">
        <v>570070.655733908</v>
      </c>
      <c r="BR8" s="85">
        <v>383148.438360626</v>
      </c>
      <c r="BS8" s="85">
        <v>364751.189997742</v>
      </c>
      <c r="BT8" s="85">
        <v>401823.31524155</v>
      </c>
      <c r="BU8" s="85">
        <v>342674.570892897</v>
      </c>
      <c r="BV8" s="85">
        <v>357878.649763941</v>
      </c>
      <c r="BW8" s="85">
        <v>389547.520576346</v>
      </c>
      <c r="BX8" s="85">
        <v>735870.944330648</v>
      </c>
      <c r="BY8" s="85">
        <v>591551.375914118</v>
      </c>
      <c r="BZ8" s="85">
        <v>215579.630140383</v>
      </c>
      <c r="CA8" s="85">
        <v>147044.247849477</v>
      </c>
      <c r="CB8" s="85">
        <v>61085.8842158072</v>
      </c>
      <c r="CC8" s="86">
        <v>4561026.42301745</v>
      </c>
      <c r="CD8" s="85">
        <v>26285.9886504539</v>
      </c>
      <c r="CE8" s="85">
        <v>16045.1972382867</v>
      </c>
      <c r="CF8" s="85">
        <v>10326.6951293107</v>
      </c>
      <c r="CG8" s="85">
        <v>22242.4247569622</v>
      </c>
      <c r="CH8" s="85">
        <v>21342.1516044748</v>
      </c>
      <c r="CI8" s="85">
        <v>49650.8976837224</v>
      </c>
      <c r="CJ8" s="85">
        <v>59186.1378659153</v>
      </c>
      <c r="CK8" s="85">
        <v>54042.9548291976</v>
      </c>
      <c r="CL8" s="85">
        <v>60813.6117809062</v>
      </c>
      <c r="CM8" s="85">
        <v>51898.1068418561</v>
      </c>
      <c r="CN8" s="85">
        <v>45372.5416043571</v>
      </c>
      <c r="CO8" s="85">
        <v>29202.7903447331</v>
      </c>
      <c r="CP8" s="86">
        <v>446409.498330176</v>
      </c>
      <c r="CQ8" s="85">
        <v>174279.209453823</v>
      </c>
      <c r="CR8" s="85">
        <v>172512.782190764</v>
      </c>
      <c r="CS8" s="85">
        <v>91555.6815445645</v>
      </c>
      <c r="CT8" s="85">
        <v>96932.0293381691</v>
      </c>
      <c r="CU8" s="85">
        <v>140297.306923472</v>
      </c>
      <c r="CV8" s="85">
        <v>178667.663482159</v>
      </c>
      <c r="CW8" s="85">
        <v>213987.848703259</v>
      </c>
      <c r="CX8" s="85">
        <v>182101.570378655</v>
      </c>
      <c r="CY8" s="85">
        <v>156978.600982666</v>
      </c>
      <c r="CZ8" s="85">
        <v>128150.012042805</v>
      </c>
      <c r="DA8" s="85">
        <v>73605.8496524927</v>
      </c>
      <c r="DB8" s="85">
        <v>29433.4876842499</v>
      </c>
      <c r="DC8" s="86">
        <v>1638502.04237708</v>
      </c>
      <c r="DD8" s="85">
        <v>12332.4636537955</v>
      </c>
      <c r="DE8" s="85">
        <v>12599.1019370619</v>
      </c>
      <c r="DF8" s="85">
        <v>20028.6415330859</v>
      </c>
      <c r="DG8" s="85">
        <v>12536.7914714077</v>
      </c>
      <c r="DH8" s="85">
        <v>29921.4361320025</v>
      </c>
      <c r="DI8" s="85">
        <v>27443.970113244</v>
      </c>
      <c r="DJ8" s="85">
        <v>37594.6491808399</v>
      </c>
      <c r="DK8" s="85">
        <v>21679.5397646946</v>
      </c>
      <c r="DL8" s="85">
        <v>17289.1647533442</v>
      </c>
      <c r="DM8" s="85">
        <v>19492.6048436272</v>
      </c>
      <c r="DN8" s="85">
        <v>21687.7923493024</v>
      </c>
      <c r="DO8" s="85">
        <v>5215.63347213057</v>
      </c>
      <c r="DP8" s="86">
        <v>237821.789204536</v>
      </c>
      <c r="DQ8" s="85">
        <v>157064.857580084</v>
      </c>
      <c r="DR8" s="85">
        <v>199932.191830911</v>
      </c>
      <c r="DS8" s="85">
        <v>189865.626315394</v>
      </c>
      <c r="DT8" s="85">
        <v>112015.199583968</v>
      </c>
      <c r="DU8" s="85">
        <v>146348.217029379</v>
      </c>
      <c r="DV8" s="85">
        <v>290299.233499906</v>
      </c>
      <c r="DW8" s="85">
        <v>307975.746515512</v>
      </c>
      <c r="DX8" s="85">
        <v>71997.1214812955</v>
      </c>
      <c r="DY8" s="85">
        <v>214066.525832762</v>
      </c>
      <c r="DZ8" s="85">
        <v>114266.702880435</v>
      </c>
      <c r="EA8" s="85">
        <v>166543.248827547</v>
      </c>
      <c r="EB8" s="85">
        <v>0</v>
      </c>
      <c r="EC8" s="85">
        <v>1970374.67137719</v>
      </c>
      <c r="ED8" s="87">
        <v>4954.82791978882</v>
      </c>
      <c r="EE8" s="85">
        <v>1404.57237056157</v>
      </c>
      <c r="EF8" s="85">
        <v>0</v>
      </c>
      <c r="EG8" s="85">
        <v>0</v>
      </c>
      <c r="EH8" s="85">
        <v>0</v>
      </c>
      <c r="EI8" s="85">
        <v>0</v>
      </c>
      <c r="EJ8" s="85">
        <v>0</v>
      </c>
      <c r="EK8" s="85">
        <v>0</v>
      </c>
      <c r="EL8" s="85">
        <v>0</v>
      </c>
      <c r="EM8" s="85">
        <v>0</v>
      </c>
      <c r="EN8" s="85">
        <v>0</v>
      </c>
      <c r="EO8" s="85">
        <v>0</v>
      </c>
      <c r="EP8" s="86">
        <v>6359.40029035038</v>
      </c>
      <c r="EQ8" s="85">
        <v>65387.2953100978</v>
      </c>
      <c r="ER8" s="85">
        <v>135842.594647344</v>
      </c>
      <c r="ES8" s="85">
        <v>97199.8066859679</v>
      </c>
      <c r="ET8" s="85">
        <v>102750.133813557</v>
      </c>
      <c r="EU8" s="85">
        <v>134856.390191399</v>
      </c>
      <c r="EV8" s="85">
        <v>166480.200730646</v>
      </c>
      <c r="EW8" s="85">
        <v>212031.308603891</v>
      </c>
      <c r="EX8" s="85">
        <v>105557.380870131</v>
      </c>
      <c r="EY8" s="85">
        <v>53334.3572749884</v>
      </c>
      <c r="EZ8" s="85">
        <v>39740.8074286553</v>
      </c>
      <c r="FA8" s="85">
        <v>103963.284419069</v>
      </c>
      <c r="FB8" s="85">
        <v>19347.5266413917</v>
      </c>
      <c r="FC8" s="85">
        <v>1236491.08661714</v>
      </c>
      <c r="FD8" s="87">
        <v>0</v>
      </c>
      <c r="FE8" s="85">
        <v>0</v>
      </c>
      <c r="FF8" s="85">
        <v>0</v>
      </c>
      <c r="FG8" s="85">
        <v>0</v>
      </c>
      <c r="FH8" s="85">
        <v>0</v>
      </c>
      <c r="FI8" s="85">
        <v>0</v>
      </c>
      <c r="FJ8" s="85">
        <v>0</v>
      </c>
      <c r="FK8" s="85">
        <v>0</v>
      </c>
      <c r="FL8" s="85">
        <v>0</v>
      </c>
      <c r="FM8" s="85">
        <v>0</v>
      </c>
      <c r="FN8" s="85">
        <v>0</v>
      </c>
      <c r="FO8" s="85">
        <v>0</v>
      </c>
      <c r="FP8" s="86">
        <v>0</v>
      </c>
      <c r="FQ8" s="87">
        <v>1320687.80923143</v>
      </c>
      <c r="FR8" s="85">
        <v>637267.226416447</v>
      </c>
      <c r="FS8" s="85">
        <v>1523062.56604744</v>
      </c>
      <c r="FT8" s="85">
        <v>802256.249861715</v>
      </c>
      <c r="FU8" s="85">
        <v>506390.757946095</v>
      </c>
      <c r="FV8" s="85">
        <v>368893.134</v>
      </c>
      <c r="FW8" s="85">
        <v>1276743.48</v>
      </c>
      <c r="FX8" s="85">
        <v>977068.32</v>
      </c>
      <c r="FY8" s="85">
        <v>788740.32</v>
      </c>
      <c r="FZ8" s="85">
        <v>1379106.12</v>
      </c>
      <c r="GA8" s="85">
        <v>524376.66</v>
      </c>
      <c r="GB8" s="85">
        <v>53202.66</v>
      </c>
      <c r="GC8" s="86">
        <v>10157795.3035031</v>
      </c>
    </row>
    <row r="9" ht="15" spans="1:185">
      <c r="A9" s="82"/>
      <c r="B9" s="83" t="s">
        <v>402</v>
      </c>
      <c r="C9" s="84">
        <v>1841278143.00549</v>
      </c>
      <c r="D9" s="85">
        <f t="shared" si="11"/>
        <v>131952967.48007</v>
      </c>
      <c r="E9" s="85">
        <f t="shared" si="0"/>
        <v>102857473.562274</v>
      </c>
      <c r="F9" s="85">
        <f t="shared" si="1"/>
        <v>92005943.2190003</v>
      </c>
      <c r="G9" s="85">
        <f t="shared" si="2"/>
        <v>99364121.3984775</v>
      </c>
      <c r="H9" s="85">
        <f t="shared" si="3"/>
        <v>87271770.3496471</v>
      </c>
      <c r="I9" s="85">
        <f t="shared" si="4"/>
        <v>93614828.2975316</v>
      </c>
      <c r="J9" s="85">
        <f t="shared" si="5"/>
        <v>93908479.9846192</v>
      </c>
      <c r="K9" s="85">
        <f t="shared" si="6"/>
        <v>109895778.903519</v>
      </c>
      <c r="L9" s="85">
        <f t="shared" si="7"/>
        <v>104937379.093202</v>
      </c>
      <c r="M9" s="85">
        <f t="shared" si="8"/>
        <v>112250016.987313</v>
      </c>
      <c r="N9" s="85">
        <f t="shared" si="9"/>
        <v>101601741.437798</v>
      </c>
      <c r="O9" s="85">
        <f t="shared" si="10"/>
        <v>92629937.5586811</v>
      </c>
      <c r="P9" s="86">
        <f t="shared" si="12"/>
        <v>1222290438.27213</v>
      </c>
      <c r="Q9" s="85">
        <v>16871312.8446187</v>
      </c>
      <c r="R9" s="85">
        <v>13294027.7963941</v>
      </c>
      <c r="S9" s="85">
        <v>12520666.6656427</v>
      </c>
      <c r="T9" s="85">
        <v>11335355.0256196</v>
      </c>
      <c r="U9" s="85">
        <v>11688861.4259383</v>
      </c>
      <c r="V9" s="85">
        <v>15259214.5427976</v>
      </c>
      <c r="W9" s="85">
        <v>15536729.1261729</v>
      </c>
      <c r="X9" s="85">
        <v>16468615.8227425</v>
      </c>
      <c r="Y9" s="85">
        <v>17878603.8578184</v>
      </c>
      <c r="Z9" s="85">
        <v>17044157.5735838</v>
      </c>
      <c r="AA9" s="85">
        <v>14587296.2142372</v>
      </c>
      <c r="AB9" s="85">
        <v>14288985.8204711</v>
      </c>
      <c r="AC9" s="86">
        <v>176773826.716037</v>
      </c>
      <c r="AD9" s="85">
        <v>9920134.65862224</v>
      </c>
      <c r="AE9" s="85">
        <v>10474202.3947274</v>
      </c>
      <c r="AF9" s="85">
        <v>8408880.84103064</v>
      </c>
      <c r="AG9" s="85">
        <v>8237066.60507949</v>
      </c>
      <c r="AH9" s="85">
        <v>9671381.97983818</v>
      </c>
      <c r="AI9" s="85">
        <v>10493731.7414318</v>
      </c>
      <c r="AJ9" s="85">
        <v>11202695.3303913</v>
      </c>
      <c r="AK9" s="85">
        <v>13601674.5937227</v>
      </c>
      <c r="AL9" s="85">
        <v>15314205.7211162</v>
      </c>
      <c r="AM9" s="85">
        <v>13946867.2035263</v>
      </c>
      <c r="AN9" s="85">
        <v>11212022.3716412</v>
      </c>
      <c r="AO9" s="85">
        <v>10273674.5477127</v>
      </c>
      <c r="AP9" s="86">
        <v>132756537.98884</v>
      </c>
      <c r="AQ9" s="85">
        <v>6886503.66936306</v>
      </c>
      <c r="AR9" s="85">
        <v>4893233.5855055</v>
      </c>
      <c r="AS9" s="85">
        <v>6116826.80082774</v>
      </c>
      <c r="AT9" s="85">
        <v>6455446.27562049</v>
      </c>
      <c r="AU9" s="85">
        <v>5198924.33516419</v>
      </c>
      <c r="AV9" s="85">
        <v>6068444.20656643</v>
      </c>
      <c r="AW9" s="85">
        <v>5670272.32945561</v>
      </c>
      <c r="AX9" s="85">
        <v>6944410.50749048</v>
      </c>
      <c r="AY9" s="85">
        <v>7106628.04369406</v>
      </c>
      <c r="AZ9" s="85">
        <v>9914789.00384465</v>
      </c>
      <c r="BA9" s="85">
        <v>7860273.93537674</v>
      </c>
      <c r="BB9" s="85">
        <v>6441371.30632624</v>
      </c>
      <c r="BC9" s="86">
        <v>79557123.9992352</v>
      </c>
      <c r="BD9" s="85">
        <v>10190414.636588</v>
      </c>
      <c r="BE9" s="85">
        <v>8328723.04356355</v>
      </c>
      <c r="BF9" s="85">
        <v>6288687.6907794</v>
      </c>
      <c r="BG9" s="85">
        <v>5346173.8106407</v>
      </c>
      <c r="BH9" s="85">
        <v>5241531.26491973</v>
      </c>
      <c r="BI9" s="85">
        <v>5801297.38685629</v>
      </c>
      <c r="BJ9" s="85">
        <v>6128444.80300142</v>
      </c>
      <c r="BK9" s="85">
        <v>7259075.00816479</v>
      </c>
      <c r="BL9" s="85">
        <v>7051837.42835359</v>
      </c>
      <c r="BM9" s="85">
        <v>7412221.80197143</v>
      </c>
      <c r="BN9" s="85">
        <v>6954868.47923933</v>
      </c>
      <c r="BO9" s="85">
        <v>7284997.59195329</v>
      </c>
      <c r="BP9" s="86">
        <v>83288272.9460315</v>
      </c>
      <c r="BQ9" s="85">
        <v>19691887.4144133</v>
      </c>
      <c r="BR9" s="85">
        <v>16608290.3343433</v>
      </c>
      <c r="BS9" s="85">
        <v>13985187.5717415</v>
      </c>
      <c r="BT9" s="85">
        <v>14216467.7026068</v>
      </c>
      <c r="BU9" s="85">
        <v>12559992.5362285</v>
      </c>
      <c r="BV9" s="85">
        <v>9375378.14763105</v>
      </c>
      <c r="BW9" s="85">
        <v>10618405.7051319</v>
      </c>
      <c r="BX9" s="85">
        <v>11245877.9484766</v>
      </c>
      <c r="BY9" s="85">
        <v>11691865.9052302</v>
      </c>
      <c r="BZ9" s="85">
        <v>15311408.0739215</v>
      </c>
      <c r="CA9" s="85">
        <v>16553214.4579936</v>
      </c>
      <c r="CB9" s="85">
        <v>11587888.1468614</v>
      </c>
      <c r="CC9" s="86">
        <v>163445863.94458</v>
      </c>
      <c r="CD9" s="85">
        <v>2984741.48805244</v>
      </c>
      <c r="CE9" s="85">
        <v>1642179.0556853</v>
      </c>
      <c r="CF9" s="85">
        <v>1733210.64982206</v>
      </c>
      <c r="CG9" s="85">
        <v>3606796.16428572</v>
      </c>
      <c r="CH9" s="85">
        <v>3319022.54975922</v>
      </c>
      <c r="CI9" s="85">
        <v>3200178.79708605</v>
      </c>
      <c r="CJ9" s="85">
        <v>2732752.25749768</v>
      </c>
      <c r="CK9" s="85">
        <v>2811101.58779952</v>
      </c>
      <c r="CL9" s="85">
        <v>2576993.83199626</v>
      </c>
      <c r="CM9" s="85">
        <v>2836541.3300077</v>
      </c>
      <c r="CN9" s="85">
        <v>2263676.26592767</v>
      </c>
      <c r="CO9" s="85">
        <v>2067495.21020012</v>
      </c>
      <c r="CP9" s="86">
        <v>31774689.1881197</v>
      </c>
      <c r="CQ9" s="85">
        <v>10557521.9865585</v>
      </c>
      <c r="CR9" s="85">
        <v>10650986.3568509</v>
      </c>
      <c r="CS9" s="85">
        <v>8257791.04457222</v>
      </c>
      <c r="CT9" s="85">
        <v>7500968.69688313</v>
      </c>
      <c r="CU9" s="85">
        <v>8036222.84215603</v>
      </c>
      <c r="CV9" s="85">
        <v>7792236.10629857</v>
      </c>
      <c r="CW9" s="85">
        <v>7778933.48088119</v>
      </c>
      <c r="CX9" s="85">
        <v>9001015.53350965</v>
      </c>
      <c r="CY9" s="85">
        <v>7767868.16994943</v>
      </c>
      <c r="CZ9" s="85">
        <v>8877188.43606846</v>
      </c>
      <c r="DA9" s="85">
        <v>7621286.4883286</v>
      </c>
      <c r="DB9" s="85">
        <v>8119024.71531656</v>
      </c>
      <c r="DC9" s="86">
        <v>101961043.857373</v>
      </c>
      <c r="DD9" s="85">
        <v>1906934.57311829</v>
      </c>
      <c r="DE9" s="85">
        <v>2137773.13403413</v>
      </c>
      <c r="DF9" s="85">
        <v>1190602.70745598</v>
      </c>
      <c r="DG9" s="85">
        <v>1054025.48672073</v>
      </c>
      <c r="DH9" s="85">
        <v>1268138.84417572</v>
      </c>
      <c r="DI9" s="85">
        <v>852731.314939524</v>
      </c>
      <c r="DJ9" s="85">
        <v>882096.761835618</v>
      </c>
      <c r="DK9" s="85">
        <v>893339.53293298</v>
      </c>
      <c r="DL9" s="85">
        <v>797249.188621275</v>
      </c>
      <c r="DM9" s="85">
        <v>878403.730223627</v>
      </c>
      <c r="DN9" s="85">
        <v>733918.854341006</v>
      </c>
      <c r="DO9" s="85">
        <v>725872.584348399</v>
      </c>
      <c r="DP9" s="86">
        <v>13321086.7127473</v>
      </c>
      <c r="DQ9" s="85">
        <v>20661161.2315984</v>
      </c>
      <c r="DR9" s="85">
        <v>11969560.0822118</v>
      </c>
      <c r="DS9" s="85">
        <v>12263371.6485186</v>
      </c>
      <c r="DT9" s="85">
        <v>14567134.2327369</v>
      </c>
      <c r="DU9" s="85">
        <v>11217682.6519888</v>
      </c>
      <c r="DV9" s="85">
        <v>11477240.0496313</v>
      </c>
      <c r="DW9" s="85">
        <v>10670127.1396192</v>
      </c>
      <c r="DX9" s="85">
        <v>10869648.3487426</v>
      </c>
      <c r="DY9" s="85">
        <v>10376317.0757919</v>
      </c>
      <c r="DZ9" s="85">
        <v>10148406.4580739</v>
      </c>
      <c r="EA9" s="85">
        <v>7935461.7058526</v>
      </c>
      <c r="EB9" s="85">
        <v>7208773.16509602</v>
      </c>
      <c r="EC9" s="85">
        <v>139364883.789862</v>
      </c>
      <c r="ED9" s="87">
        <v>535212.470008253</v>
      </c>
      <c r="EE9" s="85">
        <v>351868.641953886</v>
      </c>
      <c r="EF9" s="85">
        <v>-5635.05958944592</v>
      </c>
      <c r="EG9" s="85">
        <v>0</v>
      </c>
      <c r="EH9" s="85">
        <v>0</v>
      </c>
      <c r="EI9" s="85">
        <v>0</v>
      </c>
      <c r="EJ9" s="85">
        <v>0</v>
      </c>
      <c r="EK9" s="85">
        <v>0</v>
      </c>
      <c r="EL9" s="85">
        <v>0</v>
      </c>
      <c r="EM9" s="85">
        <v>0</v>
      </c>
      <c r="EN9" s="85">
        <v>0</v>
      </c>
      <c r="EO9" s="85">
        <v>0</v>
      </c>
      <c r="EP9" s="86">
        <v>881446.052372693</v>
      </c>
      <c r="EQ9" s="85">
        <v>2677558.478966</v>
      </c>
      <c r="ER9" s="85">
        <v>4222920.16891898</v>
      </c>
      <c r="ES9" s="85">
        <v>4055571.37115199</v>
      </c>
      <c r="ET9" s="85">
        <v>5593512.44313209</v>
      </c>
      <c r="EU9" s="85">
        <v>3547189.0247587</v>
      </c>
      <c r="EV9" s="85">
        <v>3037530.05629307</v>
      </c>
      <c r="EW9" s="85">
        <v>3565037.45063251</v>
      </c>
      <c r="EX9" s="85">
        <v>3555851.33993741</v>
      </c>
      <c r="EY9" s="85">
        <v>3706992.41063105</v>
      </c>
      <c r="EZ9" s="85">
        <v>4461363.67609129</v>
      </c>
      <c r="FA9" s="85">
        <v>3789208.45986029</v>
      </c>
      <c r="FB9" s="85">
        <v>3819841.94539531</v>
      </c>
      <c r="FC9" s="85">
        <v>46032576.8257687</v>
      </c>
      <c r="FD9" s="87">
        <v>143796.422305662</v>
      </c>
      <c r="FE9" s="85">
        <v>111774.938724161</v>
      </c>
      <c r="FF9" s="85">
        <v>0</v>
      </c>
      <c r="FG9" s="85">
        <v>0</v>
      </c>
      <c r="FH9" s="85">
        <v>0</v>
      </c>
      <c r="FI9" s="85">
        <v>0</v>
      </c>
      <c r="FJ9" s="85">
        <v>0</v>
      </c>
      <c r="FK9" s="85">
        <v>0</v>
      </c>
      <c r="FL9" s="85">
        <v>0</v>
      </c>
      <c r="FM9" s="85">
        <v>0</v>
      </c>
      <c r="FN9" s="85">
        <v>0</v>
      </c>
      <c r="FO9" s="85">
        <v>0</v>
      </c>
      <c r="FP9" s="86">
        <v>0</v>
      </c>
      <c r="FQ9" s="87">
        <v>28925787.6058573</v>
      </c>
      <c r="FR9" s="85">
        <v>18171934.0293609</v>
      </c>
      <c r="FS9" s="85">
        <v>17190781.2870469</v>
      </c>
      <c r="FT9" s="85">
        <v>21451174.9551518</v>
      </c>
      <c r="FU9" s="85">
        <v>15522822.8947197</v>
      </c>
      <c r="FV9" s="85">
        <v>20256845.948</v>
      </c>
      <c r="FW9" s="85">
        <v>19122985.6</v>
      </c>
      <c r="FX9" s="85">
        <v>27245168.68</v>
      </c>
      <c r="FY9" s="85">
        <v>20668817.46</v>
      </c>
      <c r="FZ9" s="85">
        <v>21418669.7</v>
      </c>
      <c r="GA9" s="85">
        <v>22090514.205</v>
      </c>
      <c r="GB9" s="85">
        <v>20812012.525</v>
      </c>
      <c r="GC9" s="86">
        <v>252877514.890137</v>
      </c>
    </row>
    <row r="10" ht="15" spans="1:185">
      <c r="A10" s="82"/>
      <c r="B10" s="83" t="s">
        <v>403</v>
      </c>
      <c r="C10" s="84">
        <v>3259725.16073589</v>
      </c>
      <c r="D10" s="85">
        <f t="shared" si="11"/>
        <v>446913.259138604</v>
      </c>
      <c r="E10" s="85">
        <f t="shared" si="0"/>
        <v>40312.8737089054</v>
      </c>
      <c r="F10" s="85">
        <f t="shared" si="1"/>
        <v>10938.947594113</v>
      </c>
      <c r="G10" s="85">
        <f t="shared" si="2"/>
        <v>10452.0823614341</v>
      </c>
      <c r="H10" s="85">
        <f t="shared" si="3"/>
        <v>976580.97725072</v>
      </c>
      <c r="I10" s="85">
        <f t="shared" si="4"/>
        <v>0</v>
      </c>
      <c r="J10" s="85">
        <f t="shared" si="5"/>
        <v>0</v>
      </c>
      <c r="K10" s="85">
        <f t="shared" si="6"/>
        <v>0</v>
      </c>
      <c r="L10" s="85">
        <f t="shared" si="7"/>
        <v>0</v>
      </c>
      <c r="M10" s="85">
        <f t="shared" si="8"/>
        <v>0</v>
      </c>
      <c r="N10" s="85">
        <f t="shared" si="9"/>
        <v>0</v>
      </c>
      <c r="O10" s="85">
        <f t="shared" si="10"/>
        <v>0</v>
      </c>
      <c r="P10" s="86">
        <f t="shared" si="12"/>
        <v>1485198.14005378</v>
      </c>
      <c r="Q10" s="85">
        <v>0</v>
      </c>
      <c r="R10" s="85">
        <v>0</v>
      </c>
      <c r="S10" s="85">
        <v>0</v>
      </c>
      <c r="T10" s="85">
        <v>0</v>
      </c>
      <c r="U10" s="85">
        <v>0</v>
      </c>
      <c r="V10" s="85">
        <v>0</v>
      </c>
      <c r="W10" s="85">
        <v>0</v>
      </c>
      <c r="X10" s="85">
        <v>0</v>
      </c>
      <c r="Y10" s="85">
        <v>0</v>
      </c>
      <c r="Z10" s="85">
        <v>0</v>
      </c>
      <c r="AA10" s="85">
        <v>0</v>
      </c>
      <c r="AB10" s="85">
        <v>0</v>
      </c>
      <c r="AC10" s="86">
        <v>0</v>
      </c>
      <c r="AD10" s="85">
        <v>0</v>
      </c>
      <c r="AE10" s="85">
        <v>0</v>
      </c>
      <c r="AF10" s="85">
        <v>0</v>
      </c>
      <c r="AG10" s="85">
        <v>0</v>
      </c>
      <c r="AH10" s="85">
        <v>0</v>
      </c>
      <c r="AI10" s="85">
        <v>0</v>
      </c>
      <c r="AJ10" s="85">
        <v>0</v>
      </c>
      <c r="AK10" s="85">
        <v>0</v>
      </c>
      <c r="AL10" s="85">
        <v>0</v>
      </c>
      <c r="AM10" s="85">
        <v>0</v>
      </c>
      <c r="AN10" s="85">
        <v>0</v>
      </c>
      <c r="AO10" s="85">
        <v>0</v>
      </c>
      <c r="AP10" s="86">
        <v>0</v>
      </c>
      <c r="AQ10" s="85">
        <v>0</v>
      </c>
      <c r="AR10" s="85">
        <v>0</v>
      </c>
      <c r="AS10" s="85">
        <v>0</v>
      </c>
      <c r="AT10" s="85">
        <v>0</v>
      </c>
      <c r="AU10" s="85">
        <v>0</v>
      </c>
      <c r="AV10" s="85">
        <v>0</v>
      </c>
      <c r="AW10" s="85">
        <v>0</v>
      </c>
      <c r="AX10" s="85">
        <v>0</v>
      </c>
      <c r="AY10" s="85">
        <v>0</v>
      </c>
      <c r="AZ10" s="85">
        <v>0</v>
      </c>
      <c r="BA10" s="85">
        <v>0</v>
      </c>
      <c r="BB10" s="85">
        <v>0</v>
      </c>
      <c r="BC10" s="86">
        <v>0</v>
      </c>
      <c r="BD10" s="85">
        <v>742.77993174512</v>
      </c>
      <c r="BE10" s="85">
        <v>4725.42042865836</v>
      </c>
      <c r="BF10" s="85">
        <v>0</v>
      </c>
      <c r="BG10" s="85">
        <v>2324.95458264839</v>
      </c>
      <c r="BH10" s="85">
        <v>94297.7835238654</v>
      </c>
      <c r="BI10" s="85">
        <v>0</v>
      </c>
      <c r="BJ10" s="85">
        <v>0</v>
      </c>
      <c r="BK10" s="85">
        <v>0</v>
      </c>
      <c r="BL10" s="85">
        <v>0</v>
      </c>
      <c r="BM10" s="85">
        <v>0</v>
      </c>
      <c r="BN10" s="85">
        <v>0</v>
      </c>
      <c r="BO10" s="85">
        <v>0</v>
      </c>
      <c r="BP10" s="86">
        <v>102090.938466917</v>
      </c>
      <c r="BQ10" s="85">
        <v>23773.5953396</v>
      </c>
      <c r="BR10" s="85">
        <v>0</v>
      </c>
      <c r="BS10" s="85">
        <v>0</v>
      </c>
      <c r="BT10" s="85">
        <v>0</v>
      </c>
      <c r="BU10" s="85">
        <v>737818.69168358</v>
      </c>
      <c r="BV10" s="85">
        <v>0</v>
      </c>
      <c r="BW10" s="85">
        <v>0</v>
      </c>
      <c r="BX10" s="85">
        <v>0</v>
      </c>
      <c r="BY10" s="85">
        <v>0</v>
      </c>
      <c r="BZ10" s="85">
        <v>0</v>
      </c>
      <c r="CA10" s="85">
        <v>0</v>
      </c>
      <c r="CB10" s="85">
        <v>0</v>
      </c>
      <c r="CC10" s="86">
        <v>761592.28702318</v>
      </c>
      <c r="CD10" s="85">
        <v>0</v>
      </c>
      <c r="CE10" s="85">
        <v>7530.9632778778</v>
      </c>
      <c r="CF10" s="85">
        <v>0</v>
      </c>
      <c r="CG10" s="85">
        <v>8127.12777878571</v>
      </c>
      <c r="CH10" s="85">
        <v>49312.9779082522</v>
      </c>
      <c r="CI10" s="85">
        <v>0</v>
      </c>
      <c r="CJ10" s="85">
        <v>0</v>
      </c>
      <c r="CK10" s="85">
        <v>0</v>
      </c>
      <c r="CL10" s="85">
        <v>0</v>
      </c>
      <c r="CM10" s="85">
        <v>0</v>
      </c>
      <c r="CN10" s="85">
        <v>0</v>
      </c>
      <c r="CO10" s="85">
        <v>0</v>
      </c>
      <c r="CP10" s="86">
        <v>64971.0689649157</v>
      </c>
      <c r="CQ10" s="85">
        <v>54238.5076474603</v>
      </c>
      <c r="CR10" s="85">
        <v>28056.4901452438</v>
      </c>
      <c r="CS10" s="85">
        <v>0</v>
      </c>
      <c r="CT10" s="85">
        <v>0</v>
      </c>
      <c r="CU10" s="85">
        <v>29739.2131233587</v>
      </c>
      <c r="CV10" s="85">
        <v>0</v>
      </c>
      <c r="CW10" s="85">
        <v>0</v>
      </c>
      <c r="CX10" s="85">
        <v>0</v>
      </c>
      <c r="CY10" s="85">
        <v>0</v>
      </c>
      <c r="CZ10" s="85">
        <v>0</v>
      </c>
      <c r="DA10" s="85">
        <v>0</v>
      </c>
      <c r="DB10" s="85">
        <v>0</v>
      </c>
      <c r="DC10" s="86">
        <v>112034.210916063</v>
      </c>
      <c r="DD10" s="85">
        <v>0</v>
      </c>
      <c r="DE10" s="85">
        <v>0</v>
      </c>
      <c r="DF10" s="85">
        <v>0</v>
      </c>
      <c r="DG10" s="85">
        <v>0</v>
      </c>
      <c r="DH10" s="85">
        <v>0</v>
      </c>
      <c r="DI10" s="85">
        <v>0</v>
      </c>
      <c r="DJ10" s="85">
        <v>0</v>
      </c>
      <c r="DK10" s="85">
        <v>0</v>
      </c>
      <c r="DL10" s="85">
        <v>0</v>
      </c>
      <c r="DM10" s="85">
        <v>0</v>
      </c>
      <c r="DN10" s="85">
        <v>0</v>
      </c>
      <c r="DO10" s="85">
        <v>0</v>
      </c>
      <c r="DP10" s="86">
        <v>0</v>
      </c>
      <c r="DQ10" s="85">
        <v>9030.2007154874</v>
      </c>
      <c r="DR10" s="85">
        <v>0</v>
      </c>
      <c r="DS10" s="85">
        <v>6299.35034033013</v>
      </c>
      <c r="DT10" s="85">
        <v>0</v>
      </c>
      <c r="DU10" s="85">
        <v>0</v>
      </c>
      <c r="DV10" s="85">
        <v>0</v>
      </c>
      <c r="DW10" s="85">
        <v>0</v>
      </c>
      <c r="DX10" s="85">
        <v>0</v>
      </c>
      <c r="DY10" s="85">
        <v>0</v>
      </c>
      <c r="DZ10" s="85">
        <v>0</v>
      </c>
      <c r="EA10" s="85">
        <v>0</v>
      </c>
      <c r="EB10" s="85">
        <v>0</v>
      </c>
      <c r="EC10" s="85">
        <v>15329.5510558175</v>
      </c>
      <c r="ED10" s="87">
        <v>0</v>
      </c>
      <c r="EE10" s="85">
        <v>0</v>
      </c>
      <c r="EF10" s="85">
        <v>0</v>
      </c>
      <c r="EG10" s="85">
        <v>0</v>
      </c>
      <c r="EH10" s="85">
        <v>0</v>
      </c>
      <c r="EI10" s="85">
        <v>0</v>
      </c>
      <c r="EJ10" s="85">
        <v>0</v>
      </c>
      <c r="EK10" s="85">
        <v>0</v>
      </c>
      <c r="EL10" s="85">
        <v>0</v>
      </c>
      <c r="EM10" s="85">
        <v>0</v>
      </c>
      <c r="EN10" s="85">
        <v>0</v>
      </c>
      <c r="EO10" s="85">
        <v>0</v>
      </c>
      <c r="EP10" s="86">
        <v>0</v>
      </c>
      <c r="EQ10" s="85">
        <v>0</v>
      </c>
      <c r="ER10" s="85">
        <v>-0.000142874462767395</v>
      </c>
      <c r="ES10" s="85">
        <v>0</v>
      </c>
      <c r="ET10" s="85">
        <v>0</v>
      </c>
      <c r="EU10" s="85">
        <v>0</v>
      </c>
      <c r="EV10" s="85">
        <v>0</v>
      </c>
      <c r="EW10" s="85">
        <v>0</v>
      </c>
      <c r="EX10" s="85">
        <v>0</v>
      </c>
      <c r="EY10" s="85">
        <v>0</v>
      </c>
      <c r="EZ10" s="85">
        <v>0</v>
      </c>
      <c r="FA10" s="85">
        <v>0</v>
      </c>
      <c r="FB10" s="85">
        <v>0</v>
      </c>
      <c r="FC10" s="85">
        <v>-0.000142874462767395</v>
      </c>
      <c r="FD10" s="87">
        <v>0</v>
      </c>
      <c r="FE10" s="85">
        <v>0</v>
      </c>
      <c r="FF10" s="85">
        <v>0</v>
      </c>
      <c r="FG10" s="85">
        <v>0</v>
      </c>
      <c r="FH10" s="85">
        <v>0</v>
      </c>
      <c r="FI10" s="85">
        <v>0</v>
      </c>
      <c r="FJ10" s="85">
        <v>0</v>
      </c>
      <c r="FK10" s="85">
        <v>0</v>
      </c>
      <c r="FL10" s="85">
        <v>0</v>
      </c>
      <c r="FM10" s="85">
        <v>0</v>
      </c>
      <c r="FN10" s="85">
        <v>0</v>
      </c>
      <c r="FO10" s="85">
        <v>0</v>
      </c>
      <c r="FP10" s="86">
        <v>0</v>
      </c>
      <c r="FQ10" s="87">
        <v>359128.175504311</v>
      </c>
      <c r="FR10" s="85">
        <v>0</v>
      </c>
      <c r="FS10" s="85">
        <v>4639.59725378283</v>
      </c>
      <c r="FT10" s="85">
        <v>0</v>
      </c>
      <c r="FU10" s="85">
        <v>65412.3110116638</v>
      </c>
      <c r="FV10" s="85">
        <v>0</v>
      </c>
      <c r="FW10" s="85">
        <v>0</v>
      </c>
      <c r="FX10" s="85">
        <v>0</v>
      </c>
      <c r="FY10" s="85">
        <v>0</v>
      </c>
      <c r="FZ10" s="85">
        <v>0</v>
      </c>
      <c r="GA10" s="85">
        <v>0</v>
      </c>
      <c r="GB10" s="85">
        <v>0</v>
      </c>
      <c r="GC10" s="86">
        <v>429180.083769758</v>
      </c>
    </row>
    <row r="11" ht="15" spans="1:185">
      <c r="A11" s="82"/>
      <c r="B11" s="83" t="s">
        <v>404</v>
      </c>
      <c r="C11" s="84">
        <v>24542837.8032626</v>
      </c>
      <c r="D11" s="85">
        <f t="shared" si="11"/>
        <v>4164543.09444041</v>
      </c>
      <c r="E11" s="85">
        <f t="shared" si="0"/>
        <v>3596644.42229206</v>
      </c>
      <c r="F11" s="85">
        <f t="shared" si="1"/>
        <v>3799448.92986736</v>
      </c>
      <c r="G11" s="85">
        <f t="shared" si="2"/>
        <v>2340979.80049499</v>
      </c>
      <c r="H11" s="85">
        <f t="shared" si="3"/>
        <v>2371764.64821589</v>
      </c>
      <c r="I11" s="85">
        <f t="shared" si="4"/>
        <v>992529.784946191</v>
      </c>
      <c r="J11" s="85">
        <f t="shared" si="5"/>
        <v>380230.379156371</v>
      </c>
      <c r="K11" s="85">
        <f t="shared" si="6"/>
        <v>314466.470031971</v>
      </c>
      <c r="L11" s="85">
        <f t="shared" si="7"/>
        <v>226156.509494153</v>
      </c>
      <c r="M11" s="85">
        <f t="shared" si="8"/>
        <v>140721.520240755</v>
      </c>
      <c r="N11" s="85">
        <f t="shared" si="9"/>
        <v>136314.640060189</v>
      </c>
      <c r="O11" s="85">
        <f t="shared" si="10"/>
        <v>133794.160060189</v>
      </c>
      <c r="P11" s="86">
        <f t="shared" si="12"/>
        <v>18597594.3593005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0</v>
      </c>
      <c r="W11" s="85">
        <v>0</v>
      </c>
      <c r="X11" s="85">
        <v>0</v>
      </c>
      <c r="Y11" s="85">
        <v>0</v>
      </c>
      <c r="Z11" s="85">
        <v>0</v>
      </c>
      <c r="AA11" s="85">
        <v>0</v>
      </c>
      <c r="AB11" s="85">
        <v>0</v>
      </c>
      <c r="AC11" s="86">
        <v>0</v>
      </c>
      <c r="AD11" s="85">
        <v>595557.212942421</v>
      </c>
      <c r="AE11" s="85">
        <v>532176.083972421</v>
      </c>
      <c r="AF11" s="85">
        <v>567766.174860056</v>
      </c>
      <c r="AG11" s="85">
        <v>470076.720473046</v>
      </c>
      <c r="AH11" s="85">
        <v>483401.339501137</v>
      </c>
      <c r="AI11" s="85">
        <v>156259.658605511</v>
      </c>
      <c r="AJ11" s="85">
        <v>0</v>
      </c>
      <c r="AK11" s="85">
        <v>0</v>
      </c>
      <c r="AL11" s="85">
        <v>0</v>
      </c>
      <c r="AM11" s="85">
        <v>0</v>
      </c>
      <c r="AN11" s="85">
        <v>0</v>
      </c>
      <c r="AO11" s="85">
        <v>0</v>
      </c>
      <c r="AP11" s="86">
        <v>2805237.19035459</v>
      </c>
      <c r="AQ11" s="85">
        <v>346178.854588955</v>
      </c>
      <c r="AR11" s="85">
        <v>423872.888800308</v>
      </c>
      <c r="AS11" s="85">
        <v>505713.118324933</v>
      </c>
      <c r="AT11" s="85">
        <v>303463.974015866</v>
      </c>
      <c r="AU11" s="85">
        <v>5735.46473553786</v>
      </c>
      <c r="AV11" s="85">
        <v>0</v>
      </c>
      <c r="AW11" s="85">
        <v>0</v>
      </c>
      <c r="AX11" s="85">
        <v>0</v>
      </c>
      <c r="AY11" s="85">
        <v>0</v>
      </c>
      <c r="AZ11" s="85">
        <v>0</v>
      </c>
      <c r="BA11" s="85">
        <v>0</v>
      </c>
      <c r="BB11" s="85">
        <v>0</v>
      </c>
      <c r="BC11" s="86">
        <v>1584964.3004656</v>
      </c>
      <c r="BD11" s="85">
        <v>357610.056829577</v>
      </c>
      <c r="BE11" s="85">
        <v>293244.387469409</v>
      </c>
      <c r="BF11" s="85">
        <v>265038.274019242</v>
      </c>
      <c r="BG11" s="85">
        <v>36401.6604142723</v>
      </c>
      <c r="BH11" s="85">
        <v>78366.21508757</v>
      </c>
      <c r="BI11" s="85">
        <v>34419.0654509427</v>
      </c>
      <c r="BJ11" s="85">
        <v>0</v>
      </c>
      <c r="BK11" s="85">
        <v>0</v>
      </c>
      <c r="BL11" s="85">
        <v>0</v>
      </c>
      <c r="BM11" s="85">
        <v>0</v>
      </c>
      <c r="BN11" s="85">
        <v>0</v>
      </c>
      <c r="BO11" s="85">
        <v>0</v>
      </c>
      <c r="BP11" s="86">
        <v>1065079.65927101</v>
      </c>
      <c r="BQ11" s="85">
        <v>989627.007720439</v>
      </c>
      <c r="BR11" s="85">
        <v>982634.306975713</v>
      </c>
      <c r="BS11" s="85">
        <v>1011974.03297555</v>
      </c>
      <c r="BT11" s="85">
        <v>207026.841252216</v>
      </c>
      <c r="BU11" s="85">
        <v>944838.86709625</v>
      </c>
      <c r="BV11" s="85">
        <v>290632.472847676</v>
      </c>
      <c r="BW11" s="85">
        <v>0</v>
      </c>
      <c r="BX11" s="85">
        <v>0</v>
      </c>
      <c r="BY11" s="85">
        <v>0</v>
      </c>
      <c r="BZ11" s="85">
        <v>0</v>
      </c>
      <c r="CA11" s="85">
        <v>0</v>
      </c>
      <c r="CB11" s="85">
        <v>0</v>
      </c>
      <c r="CC11" s="86">
        <v>4426733.52886784</v>
      </c>
      <c r="CD11" s="85">
        <v>0</v>
      </c>
      <c r="CE11" s="85">
        <v>45218.6108514879</v>
      </c>
      <c r="CF11" s="85">
        <v>7797.14088667786</v>
      </c>
      <c r="CG11" s="85">
        <v>167378.972335852</v>
      </c>
      <c r="CH11" s="85">
        <v>44533.169603398</v>
      </c>
      <c r="CI11" s="85">
        <v>11166.6953412728</v>
      </c>
      <c r="CJ11" s="85">
        <v>13565.3500514275</v>
      </c>
      <c r="CK11" s="85">
        <v>15628.2270877551</v>
      </c>
      <c r="CL11" s="85">
        <v>16547.1490126432</v>
      </c>
      <c r="CM11" s="85">
        <v>0</v>
      </c>
      <c r="CN11" s="85">
        <v>0</v>
      </c>
      <c r="CO11" s="85">
        <v>0</v>
      </c>
      <c r="CP11" s="86">
        <v>321835.315170515</v>
      </c>
      <c r="CQ11" s="85">
        <v>372169.699021781</v>
      </c>
      <c r="CR11" s="85">
        <v>240790.5659413</v>
      </c>
      <c r="CS11" s="85">
        <v>227987.88911677</v>
      </c>
      <c r="CT11" s="85">
        <v>162528.221369195</v>
      </c>
      <c r="CU11" s="85">
        <v>86026.4382644201</v>
      </c>
      <c r="CV11" s="85">
        <v>3939.21865247856</v>
      </c>
      <c r="CW11" s="85">
        <v>0</v>
      </c>
      <c r="CX11" s="85">
        <v>0</v>
      </c>
      <c r="CY11" s="85">
        <v>0</v>
      </c>
      <c r="CZ11" s="85">
        <v>0</v>
      </c>
      <c r="DA11" s="85">
        <v>0</v>
      </c>
      <c r="DB11" s="85">
        <v>0</v>
      </c>
      <c r="DC11" s="86">
        <v>1093442.03236594</v>
      </c>
      <c r="DD11" s="85">
        <v>78320.2420613006</v>
      </c>
      <c r="DE11" s="85">
        <v>52728.7486478712</v>
      </c>
      <c r="DF11" s="85">
        <v>43439.8230426516</v>
      </c>
      <c r="DG11" s="85">
        <v>39963.1966299839</v>
      </c>
      <c r="DH11" s="85">
        <v>42637.6672131955</v>
      </c>
      <c r="DI11" s="85">
        <v>29379.2012037735</v>
      </c>
      <c r="DJ11" s="85">
        <v>22034.4009028301</v>
      </c>
      <c r="DK11" s="85">
        <v>14689.6006018867</v>
      </c>
      <c r="DL11" s="85">
        <v>11751.6804815094</v>
      </c>
      <c r="DM11" s="85">
        <v>5875.84024075469</v>
      </c>
      <c r="DN11" s="85">
        <v>1468.96006018867</v>
      </c>
      <c r="DO11" s="85">
        <v>1468.96006018867</v>
      </c>
      <c r="DP11" s="86">
        <v>343758.321146134</v>
      </c>
      <c r="DQ11" s="85">
        <v>559953.454947757</v>
      </c>
      <c r="DR11" s="85">
        <v>458513.059387535</v>
      </c>
      <c r="DS11" s="85">
        <v>446685.944518069</v>
      </c>
      <c r="DT11" s="85">
        <v>344918.118592571</v>
      </c>
      <c r="DU11" s="85">
        <v>299059.661512923</v>
      </c>
      <c r="DV11" s="85">
        <v>251311.447026986</v>
      </c>
      <c r="DW11" s="85">
        <v>134032.771747726</v>
      </c>
      <c r="DX11" s="85">
        <v>83770.4823423288</v>
      </c>
      <c r="DY11" s="85">
        <v>0</v>
      </c>
      <c r="DZ11" s="85">
        <v>0</v>
      </c>
      <c r="EA11" s="85">
        <v>0</v>
      </c>
      <c r="EB11" s="85">
        <v>0</v>
      </c>
      <c r="EC11" s="85">
        <v>2578244.94007589</v>
      </c>
      <c r="ED11" s="87">
        <v>0</v>
      </c>
      <c r="EE11" s="85">
        <v>0</v>
      </c>
      <c r="EF11" s="85">
        <v>0</v>
      </c>
      <c r="EG11" s="85">
        <v>0</v>
      </c>
      <c r="EH11" s="85">
        <v>0</v>
      </c>
      <c r="EI11" s="85">
        <v>0</v>
      </c>
      <c r="EJ11" s="85">
        <v>0</v>
      </c>
      <c r="EK11" s="85">
        <v>0</v>
      </c>
      <c r="EL11" s="85">
        <v>0</v>
      </c>
      <c r="EM11" s="85">
        <v>0</v>
      </c>
      <c r="EN11" s="85">
        <v>0</v>
      </c>
      <c r="EO11" s="85">
        <v>0</v>
      </c>
      <c r="EP11" s="86">
        <v>0</v>
      </c>
      <c r="EQ11" s="85">
        <v>97753.5809657026</v>
      </c>
      <c r="ER11" s="85">
        <v>183031.375407301</v>
      </c>
      <c r="ES11" s="85">
        <v>169037.977361792</v>
      </c>
      <c r="ET11" s="85">
        <v>217987.616814199</v>
      </c>
      <c r="EU11" s="85">
        <v>144656.873189716</v>
      </c>
      <c r="EV11" s="85">
        <v>20714.9458175502</v>
      </c>
      <c r="EW11" s="85">
        <v>5178.73645438756</v>
      </c>
      <c r="EX11" s="85">
        <v>0</v>
      </c>
      <c r="EY11" s="85">
        <v>0</v>
      </c>
      <c r="EZ11" s="85">
        <v>0</v>
      </c>
      <c r="FA11" s="85">
        <v>0</v>
      </c>
      <c r="FB11" s="85">
        <v>0</v>
      </c>
      <c r="FC11" s="85">
        <v>838361.106010649</v>
      </c>
      <c r="FD11" s="87">
        <v>0</v>
      </c>
      <c r="FE11" s="85">
        <v>0</v>
      </c>
      <c r="FF11" s="85">
        <v>0</v>
      </c>
      <c r="FG11" s="85">
        <v>0</v>
      </c>
      <c r="FH11" s="85">
        <v>0</v>
      </c>
      <c r="FI11" s="85">
        <v>0</v>
      </c>
      <c r="FJ11" s="85">
        <v>0</v>
      </c>
      <c r="FK11" s="85">
        <v>0</v>
      </c>
      <c r="FL11" s="85">
        <v>0</v>
      </c>
      <c r="FM11" s="85">
        <v>0</v>
      </c>
      <c r="FN11" s="85">
        <v>0</v>
      </c>
      <c r="FO11" s="85">
        <v>0</v>
      </c>
      <c r="FP11" s="86">
        <v>0</v>
      </c>
      <c r="FQ11" s="87">
        <v>767372.985362473</v>
      </c>
      <c r="FR11" s="85">
        <v>384434.394838718</v>
      </c>
      <c r="FS11" s="85">
        <v>554008.554761618</v>
      </c>
      <c r="FT11" s="85">
        <v>391234.478597786</v>
      </c>
      <c r="FU11" s="85">
        <v>242508.952011739</v>
      </c>
      <c r="FV11" s="85">
        <v>194707.08</v>
      </c>
      <c r="FW11" s="85">
        <v>205419.12</v>
      </c>
      <c r="FX11" s="85">
        <v>200378.16</v>
      </c>
      <c r="FY11" s="85">
        <v>197857.68</v>
      </c>
      <c r="FZ11" s="85">
        <v>134845.68</v>
      </c>
      <c r="GA11" s="85">
        <v>134845.68</v>
      </c>
      <c r="GB11" s="85">
        <v>132325.2</v>
      </c>
      <c r="GC11" s="86">
        <v>3539937.96557234</v>
      </c>
    </row>
    <row r="12" ht="15" spans="1:185">
      <c r="A12" s="82"/>
      <c r="B12" s="83" t="s">
        <v>405</v>
      </c>
      <c r="C12" s="84">
        <v>0</v>
      </c>
      <c r="D12" s="85">
        <f t="shared" ref="D12" si="13">Q12+AD12+AQ12+BD12+BQ12+CD12+CQ12+DD12+DQ12+ED12+EQ12+FQ12+FD12</f>
        <v>0</v>
      </c>
      <c r="E12" s="85">
        <f t="shared" ref="E12" si="14">R12+AE12+AR12+BE12+BR12+CE12+CR12+DE12+DR12+EE12+ER12+FR12+FE12</f>
        <v>0</v>
      </c>
      <c r="F12" s="85">
        <f t="shared" ref="F12" si="15">S12+AF12+AS12+BF12+BS12+CF12+CS12+DF12+DS12+EF12+ES12+FS12+FF12</f>
        <v>0</v>
      </c>
      <c r="G12" s="85">
        <f t="shared" ref="G12" si="16">T12+AG12+AT12+BG12+BT12+CG12+CT12+DG12+DT12+EG12+ET12+FT12+FG12</f>
        <v>0</v>
      </c>
      <c r="H12" s="85">
        <f t="shared" ref="H12" si="17">U12+AH12+AU12+BH12+BU12+CH12+CU12+DH12+DU12+EH12+EU12+FU12+FH12</f>
        <v>0</v>
      </c>
      <c r="I12" s="85">
        <f t="shared" ref="I12" si="18">V12+AI12+AV12+BI12+BV12+CI12+CV12+DI12+DV12+EI12+EV12+FV12+FI12</f>
        <v>251694</v>
      </c>
      <c r="J12" s="85">
        <f t="shared" ref="J12" si="19">W12+AJ12+AW12+BJ12+BW12+CJ12+CW12+DJ12+DW12+EJ12+EW12+FW12+FJ12</f>
        <v>426782.4</v>
      </c>
      <c r="K12" s="85">
        <f t="shared" ref="K12" si="20">X12+AK12+AX12+BK12+BX12+CK12+CX12+DK12+DX12+EK12+EX12+FX12+FK12</f>
        <v>242192.64</v>
      </c>
      <c r="L12" s="85">
        <f t="shared" ref="L12" si="21">Y12+AL12+AY12+BL12+BY12+CL12+CY12+DL12+DY12+EL12+EY12+FY12+FL12</f>
        <v>55932</v>
      </c>
      <c r="M12" s="85">
        <f t="shared" ref="M12" si="22">Z12+AM12+AZ12+BM12+BZ12+CM12+CZ12+DM12+DZ12+EM12+EZ12+FZ12+FM12</f>
        <v>173342</v>
      </c>
      <c r="N12" s="85">
        <f t="shared" ref="N12" si="23">AA12+AN12+BA12+BN12+CA12+CN12+DA12+DN12+EA12+EN12+FA12+GA12+FN12</f>
        <v>55932</v>
      </c>
      <c r="O12" s="85">
        <f t="shared" ref="O12" si="24">AB12+AO12+BB12+BO12+CB12+CO12+DB12+DO12+EB12+EO12+FB12+GB12+FO12</f>
        <v>379516.32</v>
      </c>
      <c r="P12" s="86">
        <f t="shared" ref="P12" si="25">SUM(D12:O12)</f>
        <v>1585391.36</v>
      </c>
      <c r="Q12" s="85">
        <v>0</v>
      </c>
      <c r="R12" s="85">
        <v>0</v>
      </c>
      <c r="S12" s="85">
        <v>0</v>
      </c>
      <c r="T12" s="85">
        <v>0</v>
      </c>
      <c r="U12" s="85">
        <v>0</v>
      </c>
      <c r="V12" s="85">
        <v>0</v>
      </c>
      <c r="W12" s="85">
        <v>0</v>
      </c>
      <c r="X12" s="85">
        <v>0</v>
      </c>
      <c r="Y12" s="85">
        <v>0</v>
      </c>
      <c r="Z12" s="85">
        <v>0</v>
      </c>
      <c r="AA12" s="85">
        <v>0</v>
      </c>
      <c r="AB12" s="85">
        <v>0</v>
      </c>
      <c r="AC12" s="86">
        <v>0</v>
      </c>
      <c r="AD12" s="85">
        <v>0</v>
      </c>
      <c r="AE12" s="85">
        <v>0</v>
      </c>
      <c r="AF12" s="85">
        <v>0</v>
      </c>
      <c r="AG12" s="85">
        <v>0</v>
      </c>
      <c r="AH12" s="85">
        <v>0</v>
      </c>
      <c r="AI12" s="85">
        <v>0</v>
      </c>
      <c r="AJ12" s="85">
        <v>0</v>
      </c>
      <c r="AK12" s="85">
        <v>0</v>
      </c>
      <c r="AL12" s="85">
        <v>0</v>
      </c>
      <c r="AM12" s="85">
        <v>0</v>
      </c>
      <c r="AN12" s="85">
        <v>0</v>
      </c>
      <c r="AO12" s="85">
        <v>0</v>
      </c>
      <c r="AP12" s="86">
        <v>0</v>
      </c>
      <c r="AQ12" s="85">
        <v>0</v>
      </c>
      <c r="AR12" s="85">
        <v>0</v>
      </c>
      <c r="AS12" s="85">
        <v>0</v>
      </c>
      <c r="AT12" s="85">
        <v>0</v>
      </c>
      <c r="AU12" s="85">
        <v>0</v>
      </c>
      <c r="AV12" s="85">
        <v>0</v>
      </c>
      <c r="AW12" s="85">
        <v>0</v>
      </c>
      <c r="AX12" s="85">
        <v>0</v>
      </c>
      <c r="AY12" s="85">
        <v>0</v>
      </c>
      <c r="AZ12" s="85">
        <v>0</v>
      </c>
      <c r="BA12" s="85">
        <v>0</v>
      </c>
      <c r="BB12" s="85">
        <v>0</v>
      </c>
      <c r="BC12" s="86">
        <v>0</v>
      </c>
      <c r="BD12" s="85">
        <v>0</v>
      </c>
      <c r="BE12" s="85">
        <v>0</v>
      </c>
      <c r="BF12" s="85">
        <v>0</v>
      </c>
      <c r="BG12" s="85">
        <v>0</v>
      </c>
      <c r="BH12" s="85">
        <v>0</v>
      </c>
      <c r="BI12" s="85">
        <v>0</v>
      </c>
      <c r="BJ12" s="85">
        <v>0</v>
      </c>
      <c r="BK12" s="85">
        <v>0</v>
      </c>
      <c r="BL12" s="85">
        <v>0</v>
      </c>
      <c r="BM12" s="85">
        <v>0</v>
      </c>
      <c r="BN12" s="85">
        <v>0</v>
      </c>
      <c r="BO12" s="85">
        <v>0</v>
      </c>
      <c r="BP12" s="86">
        <v>0</v>
      </c>
      <c r="BQ12" s="85">
        <v>0</v>
      </c>
      <c r="BR12" s="85">
        <v>0</v>
      </c>
      <c r="BS12" s="85">
        <v>0</v>
      </c>
      <c r="BT12" s="85">
        <v>0</v>
      </c>
      <c r="BU12" s="85">
        <v>0</v>
      </c>
      <c r="BV12" s="85">
        <v>0</v>
      </c>
      <c r="BW12" s="85">
        <v>0</v>
      </c>
      <c r="BX12" s="85">
        <v>0</v>
      </c>
      <c r="BY12" s="85">
        <v>0</v>
      </c>
      <c r="BZ12" s="85">
        <v>0</v>
      </c>
      <c r="CA12" s="85">
        <v>0</v>
      </c>
      <c r="CB12" s="85">
        <v>0</v>
      </c>
      <c r="CC12" s="86">
        <v>0</v>
      </c>
      <c r="CD12" s="85">
        <v>0</v>
      </c>
      <c r="CE12" s="85">
        <v>0</v>
      </c>
      <c r="CF12" s="85">
        <v>0</v>
      </c>
      <c r="CG12" s="85">
        <v>0</v>
      </c>
      <c r="CH12" s="85">
        <v>0</v>
      </c>
      <c r="CI12" s="85">
        <v>0</v>
      </c>
      <c r="CJ12" s="85">
        <v>0</v>
      </c>
      <c r="CK12" s="85">
        <v>0</v>
      </c>
      <c r="CL12" s="85">
        <v>0</v>
      </c>
      <c r="CM12" s="85">
        <v>0</v>
      </c>
      <c r="CN12" s="85">
        <v>0</v>
      </c>
      <c r="CO12" s="85">
        <v>0</v>
      </c>
      <c r="CP12" s="86">
        <v>0</v>
      </c>
      <c r="CQ12" s="85">
        <v>0</v>
      </c>
      <c r="CR12" s="85">
        <v>0</v>
      </c>
      <c r="CS12" s="85">
        <v>0</v>
      </c>
      <c r="CT12" s="85">
        <v>0</v>
      </c>
      <c r="CU12" s="85">
        <v>0</v>
      </c>
      <c r="CV12" s="85">
        <v>0</v>
      </c>
      <c r="CW12" s="85">
        <v>0</v>
      </c>
      <c r="CX12" s="85">
        <v>0</v>
      </c>
      <c r="CY12" s="85">
        <v>0</v>
      </c>
      <c r="CZ12" s="85">
        <v>0</v>
      </c>
      <c r="DA12" s="85">
        <v>0</v>
      </c>
      <c r="DB12" s="85">
        <v>0</v>
      </c>
      <c r="DC12" s="86">
        <v>0</v>
      </c>
      <c r="DD12" s="85">
        <v>0</v>
      </c>
      <c r="DE12" s="85">
        <v>0</v>
      </c>
      <c r="DF12" s="85">
        <v>0</v>
      </c>
      <c r="DG12" s="85">
        <v>0</v>
      </c>
      <c r="DH12" s="85">
        <v>0</v>
      </c>
      <c r="DI12" s="85">
        <v>0</v>
      </c>
      <c r="DJ12" s="85">
        <v>0</v>
      </c>
      <c r="DK12" s="85">
        <v>0</v>
      </c>
      <c r="DL12" s="85">
        <v>0</v>
      </c>
      <c r="DM12" s="85">
        <v>0</v>
      </c>
      <c r="DN12" s="85">
        <v>0</v>
      </c>
      <c r="DO12" s="85">
        <v>0</v>
      </c>
      <c r="DP12" s="86">
        <v>0</v>
      </c>
      <c r="DQ12" s="85">
        <v>0</v>
      </c>
      <c r="DR12" s="85">
        <v>0</v>
      </c>
      <c r="DS12" s="85">
        <v>0</v>
      </c>
      <c r="DT12" s="85">
        <v>0</v>
      </c>
      <c r="DU12" s="85">
        <v>0</v>
      </c>
      <c r="DV12" s="85">
        <v>0</v>
      </c>
      <c r="DW12" s="85">
        <v>0</v>
      </c>
      <c r="DX12" s="85">
        <v>0</v>
      </c>
      <c r="DY12" s="85">
        <v>0</v>
      </c>
      <c r="DZ12" s="85">
        <v>0</v>
      </c>
      <c r="EA12" s="85">
        <v>0</v>
      </c>
      <c r="EB12" s="85">
        <v>0</v>
      </c>
      <c r="EC12" s="85">
        <v>0</v>
      </c>
      <c r="ED12" s="87">
        <v>0</v>
      </c>
      <c r="EE12" s="85">
        <v>0</v>
      </c>
      <c r="EF12" s="85">
        <v>0</v>
      </c>
      <c r="EG12" s="85">
        <v>0</v>
      </c>
      <c r="EH12" s="85">
        <v>0</v>
      </c>
      <c r="EI12" s="85">
        <v>0</v>
      </c>
      <c r="EJ12" s="85">
        <v>0</v>
      </c>
      <c r="EK12" s="85">
        <v>0</v>
      </c>
      <c r="EL12" s="85">
        <v>0</v>
      </c>
      <c r="EM12" s="85">
        <v>0</v>
      </c>
      <c r="EN12" s="85">
        <v>0</v>
      </c>
      <c r="EO12" s="85">
        <v>0</v>
      </c>
      <c r="EP12" s="86">
        <v>0</v>
      </c>
      <c r="EQ12" s="85">
        <v>0</v>
      </c>
      <c r="ER12" s="85">
        <v>0</v>
      </c>
      <c r="ES12" s="85">
        <v>0</v>
      </c>
      <c r="ET12" s="85">
        <v>0</v>
      </c>
      <c r="EU12" s="85">
        <v>0</v>
      </c>
      <c r="EV12" s="85">
        <v>0</v>
      </c>
      <c r="EW12" s="85">
        <v>0</v>
      </c>
      <c r="EX12" s="85">
        <v>0</v>
      </c>
      <c r="EY12" s="85">
        <v>0</v>
      </c>
      <c r="EZ12" s="85">
        <v>0</v>
      </c>
      <c r="FA12" s="85">
        <v>0</v>
      </c>
      <c r="FB12" s="85">
        <v>0</v>
      </c>
      <c r="FC12" s="85">
        <v>0</v>
      </c>
      <c r="FD12" s="87">
        <v>0</v>
      </c>
      <c r="FE12" s="85">
        <v>0</v>
      </c>
      <c r="FF12" s="85">
        <v>0</v>
      </c>
      <c r="FG12" s="85">
        <v>0</v>
      </c>
      <c r="FH12" s="85">
        <v>0</v>
      </c>
      <c r="FI12" s="85">
        <v>0</v>
      </c>
      <c r="FJ12" s="85">
        <v>0</v>
      </c>
      <c r="FK12" s="85">
        <v>0</v>
      </c>
      <c r="FL12" s="85">
        <v>0</v>
      </c>
      <c r="FM12" s="85">
        <v>0</v>
      </c>
      <c r="FN12" s="85">
        <v>0</v>
      </c>
      <c r="FO12" s="85">
        <v>0</v>
      </c>
      <c r="FP12" s="86">
        <v>0</v>
      </c>
      <c r="FQ12" s="87">
        <v>0</v>
      </c>
      <c r="FR12" s="85">
        <v>0</v>
      </c>
      <c r="FS12" s="85">
        <v>0</v>
      </c>
      <c r="FT12" s="85">
        <v>0</v>
      </c>
      <c r="FU12" s="85">
        <v>0</v>
      </c>
      <c r="FV12" s="85">
        <v>251694</v>
      </c>
      <c r="FW12" s="85">
        <v>426782.4</v>
      </c>
      <c r="FX12" s="85">
        <v>242192.64</v>
      </c>
      <c r="FY12" s="85">
        <v>55932</v>
      </c>
      <c r="FZ12" s="85">
        <v>173342</v>
      </c>
      <c r="GA12" s="85">
        <v>55932</v>
      </c>
      <c r="GB12" s="85">
        <v>379516.32</v>
      </c>
      <c r="GC12" s="86">
        <v>1585391.36</v>
      </c>
    </row>
    <row r="13" ht="15" spans="1:185">
      <c r="A13" s="82"/>
      <c r="B13" s="83" t="s">
        <v>406</v>
      </c>
      <c r="C13" s="84">
        <v>937389.9467589</v>
      </c>
      <c r="D13" s="85">
        <f t="shared" si="11"/>
        <v>24513.5591538863</v>
      </c>
      <c r="E13" s="85">
        <f t="shared" si="0"/>
        <v>19550.3961757844</v>
      </c>
      <c r="F13" s="85">
        <f t="shared" si="1"/>
        <v>18457.4325413645</v>
      </c>
      <c r="G13" s="85">
        <f t="shared" si="2"/>
        <v>10193.0488895489</v>
      </c>
      <c r="H13" s="85">
        <f t="shared" si="3"/>
        <v>8128.15339643334</v>
      </c>
      <c r="I13" s="85">
        <f t="shared" si="4"/>
        <v>0</v>
      </c>
      <c r="J13" s="85">
        <f t="shared" si="5"/>
        <v>0</v>
      </c>
      <c r="K13" s="85">
        <f t="shared" si="6"/>
        <v>0</v>
      </c>
      <c r="L13" s="85">
        <f t="shared" si="7"/>
        <v>0</v>
      </c>
      <c r="M13" s="85">
        <f t="shared" si="8"/>
        <v>0</v>
      </c>
      <c r="N13" s="85">
        <f t="shared" si="9"/>
        <v>0</v>
      </c>
      <c r="O13" s="85">
        <f t="shared" si="10"/>
        <v>0</v>
      </c>
      <c r="P13" s="86">
        <f t="shared" si="12"/>
        <v>80842.5901570174</v>
      </c>
      <c r="Q13" s="85">
        <v>904.764999078122</v>
      </c>
      <c r="R13" s="85">
        <v>1315.71328246876</v>
      </c>
      <c r="S13" s="85">
        <v>4129.97523275292</v>
      </c>
      <c r="T13" s="85">
        <v>253.155573404283</v>
      </c>
      <c r="U13" s="85">
        <v>0</v>
      </c>
      <c r="V13" s="85">
        <v>0</v>
      </c>
      <c r="W13" s="85">
        <v>0</v>
      </c>
      <c r="X13" s="85">
        <v>0</v>
      </c>
      <c r="Y13" s="85">
        <v>0</v>
      </c>
      <c r="Z13" s="85">
        <v>0</v>
      </c>
      <c r="AA13" s="85">
        <v>0</v>
      </c>
      <c r="AB13" s="85">
        <v>0</v>
      </c>
      <c r="AC13" s="86">
        <v>6603.60908770409</v>
      </c>
      <c r="AD13" s="85">
        <v>0</v>
      </c>
      <c r="AE13" s="85">
        <v>0</v>
      </c>
      <c r="AF13" s="85">
        <v>0</v>
      </c>
      <c r="AG13" s="85">
        <v>0</v>
      </c>
      <c r="AH13" s="85">
        <v>0</v>
      </c>
      <c r="AI13" s="85">
        <v>0</v>
      </c>
      <c r="AJ13" s="85">
        <v>0</v>
      </c>
      <c r="AK13" s="85">
        <v>0</v>
      </c>
      <c r="AL13" s="85">
        <v>0</v>
      </c>
      <c r="AM13" s="85">
        <v>0</v>
      </c>
      <c r="AN13" s="85">
        <v>0</v>
      </c>
      <c r="AO13" s="85">
        <v>0</v>
      </c>
      <c r="AP13" s="86">
        <v>0</v>
      </c>
      <c r="AQ13" s="85">
        <v>0</v>
      </c>
      <c r="AR13" s="85">
        <v>0</v>
      </c>
      <c r="AS13" s="85">
        <v>0</v>
      </c>
      <c r="AT13" s="85">
        <v>0</v>
      </c>
      <c r="AU13" s="85">
        <v>0</v>
      </c>
      <c r="AV13" s="85">
        <v>0</v>
      </c>
      <c r="AW13" s="85">
        <v>0</v>
      </c>
      <c r="AX13" s="85">
        <v>0</v>
      </c>
      <c r="AY13" s="85">
        <v>0</v>
      </c>
      <c r="AZ13" s="85">
        <v>0</v>
      </c>
      <c r="BA13" s="85">
        <v>0</v>
      </c>
      <c r="BB13" s="85">
        <v>0</v>
      </c>
      <c r="BC13" s="86">
        <v>0</v>
      </c>
      <c r="BD13" s="85">
        <v>3722.12063102402</v>
      </c>
      <c r="BE13" s="85">
        <v>2260.91931488387</v>
      </c>
      <c r="BF13" s="85">
        <v>818.614510664648</v>
      </c>
      <c r="BG13" s="85">
        <v>519.123409379175</v>
      </c>
      <c r="BH13" s="85">
        <v>3044.54774329292</v>
      </c>
      <c r="BI13" s="85">
        <v>0</v>
      </c>
      <c r="BJ13" s="85">
        <v>0</v>
      </c>
      <c r="BK13" s="85">
        <v>0</v>
      </c>
      <c r="BL13" s="85">
        <v>0</v>
      </c>
      <c r="BM13" s="85">
        <v>0</v>
      </c>
      <c r="BN13" s="85">
        <v>0</v>
      </c>
      <c r="BO13" s="85">
        <v>0</v>
      </c>
      <c r="BP13" s="86">
        <v>10365.3256092446</v>
      </c>
      <c r="BQ13" s="85">
        <v>12966.2837907191</v>
      </c>
      <c r="BR13" s="85">
        <v>10662.8471041617</v>
      </c>
      <c r="BS13" s="85">
        <v>10608.7177523345</v>
      </c>
      <c r="BT13" s="85">
        <v>8185.0301114055</v>
      </c>
      <c r="BU13" s="85">
        <v>4352.82808640414</v>
      </c>
      <c r="BV13" s="85">
        <v>0</v>
      </c>
      <c r="BW13" s="85">
        <v>0</v>
      </c>
      <c r="BX13" s="85">
        <v>0</v>
      </c>
      <c r="BY13" s="85">
        <v>0</v>
      </c>
      <c r="BZ13" s="85">
        <v>0</v>
      </c>
      <c r="CA13" s="85">
        <v>0</v>
      </c>
      <c r="CB13" s="85">
        <v>0</v>
      </c>
      <c r="CC13" s="86">
        <v>46775.7068450249</v>
      </c>
      <c r="CD13" s="85">
        <v>0</v>
      </c>
      <c r="CE13" s="85">
        <v>0</v>
      </c>
      <c r="CF13" s="85">
        <v>0</v>
      </c>
      <c r="CG13" s="85">
        <v>0</v>
      </c>
      <c r="CH13" s="85">
        <v>0</v>
      </c>
      <c r="CI13" s="85">
        <v>0</v>
      </c>
      <c r="CJ13" s="85">
        <v>0</v>
      </c>
      <c r="CK13" s="85">
        <v>0</v>
      </c>
      <c r="CL13" s="85">
        <v>0</v>
      </c>
      <c r="CM13" s="85">
        <v>0</v>
      </c>
      <c r="CN13" s="85">
        <v>0</v>
      </c>
      <c r="CO13" s="85">
        <v>0</v>
      </c>
      <c r="CP13" s="86">
        <v>0</v>
      </c>
      <c r="CQ13" s="85">
        <v>201.745522007721</v>
      </c>
      <c r="CR13" s="85">
        <v>754.329906537115</v>
      </c>
      <c r="CS13" s="85">
        <v>1100.43050672058</v>
      </c>
      <c r="CT13" s="85">
        <v>554.869574651657</v>
      </c>
      <c r="CU13" s="85">
        <v>244.035030615149</v>
      </c>
      <c r="CV13" s="85">
        <v>0</v>
      </c>
      <c r="CW13" s="85">
        <v>0</v>
      </c>
      <c r="CX13" s="85">
        <v>0</v>
      </c>
      <c r="CY13" s="85">
        <v>0</v>
      </c>
      <c r="CZ13" s="85">
        <v>0</v>
      </c>
      <c r="DA13" s="85">
        <v>0</v>
      </c>
      <c r="DB13" s="85">
        <v>0</v>
      </c>
      <c r="DC13" s="86">
        <v>2855.41054053222</v>
      </c>
      <c r="DD13" s="85">
        <v>0</v>
      </c>
      <c r="DE13" s="85">
        <v>0</v>
      </c>
      <c r="DF13" s="85">
        <v>0</v>
      </c>
      <c r="DG13" s="85">
        <v>0</v>
      </c>
      <c r="DH13" s="85">
        <v>0</v>
      </c>
      <c r="DI13" s="85">
        <v>0</v>
      </c>
      <c r="DJ13" s="85">
        <v>0</v>
      </c>
      <c r="DK13" s="85">
        <v>0</v>
      </c>
      <c r="DL13" s="85">
        <v>0</v>
      </c>
      <c r="DM13" s="85">
        <v>0</v>
      </c>
      <c r="DN13" s="85">
        <v>0</v>
      </c>
      <c r="DO13" s="85">
        <v>0</v>
      </c>
      <c r="DP13" s="86">
        <v>0</v>
      </c>
      <c r="DQ13" s="85">
        <v>4849.33407551213</v>
      </c>
      <c r="DR13" s="85">
        <v>4295.59091766046</v>
      </c>
      <c r="DS13" s="85">
        <v>1799.69453889179</v>
      </c>
      <c r="DT13" s="85">
        <v>680.87022070826</v>
      </c>
      <c r="DU13" s="85">
        <v>486.742536121125</v>
      </c>
      <c r="DV13" s="85">
        <v>0</v>
      </c>
      <c r="DW13" s="85">
        <v>0</v>
      </c>
      <c r="DX13" s="85">
        <v>0</v>
      </c>
      <c r="DY13" s="85">
        <v>0</v>
      </c>
      <c r="DZ13" s="85">
        <v>0</v>
      </c>
      <c r="EA13" s="85">
        <v>0</v>
      </c>
      <c r="EB13" s="85">
        <v>0</v>
      </c>
      <c r="EC13" s="85">
        <v>12112.2322888938</v>
      </c>
      <c r="ED13" s="87">
        <v>0</v>
      </c>
      <c r="EE13" s="85">
        <v>0</v>
      </c>
      <c r="EF13" s="85">
        <v>0</v>
      </c>
      <c r="EG13" s="85">
        <v>0</v>
      </c>
      <c r="EH13" s="85">
        <v>0</v>
      </c>
      <c r="EI13" s="85">
        <v>0</v>
      </c>
      <c r="EJ13" s="85">
        <v>0</v>
      </c>
      <c r="EK13" s="85">
        <v>0</v>
      </c>
      <c r="EL13" s="85">
        <v>0</v>
      </c>
      <c r="EM13" s="85">
        <v>0</v>
      </c>
      <c r="EN13" s="85">
        <v>0</v>
      </c>
      <c r="EO13" s="85">
        <v>0</v>
      </c>
      <c r="EP13" s="86">
        <v>0</v>
      </c>
      <c r="EQ13" s="85">
        <v>0</v>
      </c>
      <c r="ER13" s="85">
        <v>0</v>
      </c>
      <c r="ES13" s="85">
        <v>0</v>
      </c>
      <c r="ET13" s="85">
        <v>0</v>
      </c>
      <c r="EU13" s="85">
        <v>0</v>
      </c>
      <c r="EV13" s="85">
        <v>0</v>
      </c>
      <c r="EW13" s="85">
        <v>0</v>
      </c>
      <c r="EX13" s="85">
        <v>0</v>
      </c>
      <c r="EY13" s="85">
        <v>0</v>
      </c>
      <c r="EZ13" s="85">
        <v>0</v>
      </c>
      <c r="FA13" s="85">
        <v>0</v>
      </c>
      <c r="FB13" s="85">
        <v>0</v>
      </c>
      <c r="FC13" s="85">
        <v>0</v>
      </c>
      <c r="FD13" s="87">
        <v>0</v>
      </c>
      <c r="FE13" s="85">
        <v>0</v>
      </c>
      <c r="FF13" s="85">
        <v>0</v>
      </c>
      <c r="FG13" s="85">
        <v>0</v>
      </c>
      <c r="FH13" s="85">
        <v>0</v>
      </c>
      <c r="FI13" s="85">
        <v>0</v>
      </c>
      <c r="FJ13" s="85">
        <v>0</v>
      </c>
      <c r="FK13" s="85">
        <v>0</v>
      </c>
      <c r="FL13" s="85">
        <v>0</v>
      </c>
      <c r="FM13" s="85">
        <v>0</v>
      </c>
      <c r="FN13" s="85">
        <v>0</v>
      </c>
      <c r="FO13" s="85">
        <v>0</v>
      </c>
      <c r="FP13" s="86">
        <v>0</v>
      </c>
      <c r="FQ13" s="87">
        <v>1869.31013554522</v>
      </c>
      <c r="FR13" s="85">
        <v>260.995650072499</v>
      </c>
      <c r="FS13" s="85">
        <v>0</v>
      </c>
      <c r="FT13" s="85">
        <v>0</v>
      </c>
      <c r="FU13" s="85">
        <v>0</v>
      </c>
      <c r="FV13" s="85">
        <v>0</v>
      </c>
      <c r="FW13" s="85">
        <v>0</v>
      </c>
      <c r="FX13" s="85">
        <v>0</v>
      </c>
      <c r="FY13" s="85">
        <v>0</v>
      </c>
      <c r="FZ13" s="85">
        <v>0</v>
      </c>
      <c r="GA13" s="85">
        <v>0</v>
      </c>
      <c r="GB13" s="85">
        <v>0</v>
      </c>
      <c r="GC13" s="86">
        <v>2130.30578561771</v>
      </c>
    </row>
    <row r="14" s="56" customFormat="1" ht="16.5" spans="1:185">
      <c r="A14" s="88" t="s">
        <v>407</v>
      </c>
      <c r="B14" s="89"/>
      <c r="C14" s="90">
        <v>2203855667.24974</v>
      </c>
      <c r="D14" s="91">
        <f t="shared" si="11"/>
        <v>156945041.829961</v>
      </c>
      <c r="E14" s="91">
        <f t="shared" si="0"/>
        <v>123233047.360303</v>
      </c>
      <c r="F14" s="91">
        <f t="shared" si="1"/>
        <v>112847797.503245</v>
      </c>
      <c r="G14" s="91">
        <f t="shared" si="2"/>
        <v>114241113.316173</v>
      </c>
      <c r="H14" s="91">
        <f t="shared" si="3"/>
        <v>102204678.731527</v>
      </c>
      <c r="I14" s="91">
        <f t="shared" si="4"/>
        <v>105945583.509197</v>
      </c>
      <c r="J14" s="91">
        <f t="shared" si="5"/>
        <v>109490230.571793</v>
      </c>
      <c r="K14" s="91">
        <f t="shared" si="6"/>
        <v>122767832.510277</v>
      </c>
      <c r="L14" s="91">
        <f t="shared" si="7"/>
        <v>117615603.873227</v>
      </c>
      <c r="M14" s="91">
        <f t="shared" si="8"/>
        <v>135690971.978082</v>
      </c>
      <c r="N14" s="91">
        <f t="shared" si="9"/>
        <v>113865037.418169</v>
      </c>
      <c r="O14" s="91">
        <f t="shared" si="10"/>
        <v>100184246.351951</v>
      </c>
      <c r="P14" s="92">
        <f t="shared" si="12"/>
        <v>1415031184.9539</v>
      </c>
      <c r="Q14" s="91">
        <v>18075099.656137</v>
      </c>
      <c r="R14" s="91">
        <v>14010085.2999925</v>
      </c>
      <c r="S14" s="91">
        <v>13223192.6405689</v>
      </c>
      <c r="T14" s="91">
        <v>11901247.8805154</v>
      </c>
      <c r="U14" s="91">
        <v>12287423.1558198</v>
      </c>
      <c r="V14" s="91">
        <v>16293596.1201485</v>
      </c>
      <c r="W14" s="91">
        <v>16936849.8237368</v>
      </c>
      <c r="X14" s="91">
        <v>17624210.2313281</v>
      </c>
      <c r="Y14" s="91">
        <v>18871925.7792806</v>
      </c>
      <c r="Z14" s="91">
        <v>17567561.0161654</v>
      </c>
      <c r="AA14" s="91">
        <v>15139039.6553996</v>
      </c>
      <c r="AB14" s="91">
        <v>14713110.2006363</v>
      </c>
      <c r="AC14" s="92">
        <v>186643341.459729</v>
      </c>
      <c r="AD14" s="91">
        <v>11432024.7693985</v>
      </c>
      <c r="AE14" s="91">
        <v>11508039.6476642</v>
      </c>
      <c r="AF14" s="91">
        <v>9430821.20832822</v>
      </c>
      <c r="AG14" s="91">
        <v>9090174.18142664</v>
      </c>
      <c r="AH14" s="91">
        <v>10500515.9736573</v>
      </c>
      <c r="AI14" s="91">
        <v>11322372.2378022</v>
      </c>
      <c r="AJ14" s="91">
        <v>12115048.9891163</v>
      </c>
      <c r="AK14" s="91">
        <v>14381999.8704899</v>
      </c>
      <c r="AL14" s="91">
        <v>16148452.0598526</v>
      </c>
      <c r="AM14" s="91">
        <v>14710569.3518176</v>
      </c>
      <c r="AN14" s="91">
        <v>11867472.1125869</v>
      </c>
      <c r="AO14" s="91">
        <v>10764827.7817623</v>
      </c>
      <c r="AP14" s="92">
        <v>143272318.183903</v>
      </c>
      <c r="AQ14" s="91">
        <v>8167825.22705604</v>
      </c>
      <c r="AR14" s="91">
        <v>6325907.5905911</v>
      </c>
      <c r="AS14" s="91">
        <v>7543642.99431419</v>
      </c>
      <c r="AT14" s="91">
        <v>7316256.39681142</v>
      </c>
      <c r="AU14" s="91">
        <v>5887987.32228135</v>
      </c>
      <c r="AV14" s="91">
        <v>6607374.98677507</v>
      </c>
      <c r="AW14" s="91">
        <v>6293758.42328332</v>
      </c>
      <c r="AX14" s="91">
        <v>7521592.8871171</v>
      </c>
      <c r="AY14" s="91">
        <v>7827621.89925419</v>
      </c>
      <c r="AZ14" s="91">
        <v>11158911.8055438</v>
      </c>
      <c r="BA14" s="91">
        <v>8583255.7789961</v>
      </c>
      <c r="BB14" s="91">
        <v>6827343.3853135</v>
      </c>
      <c r="BC14" s="92">
        <v>90061478.6973371</v>
      </c>
      <c r="BD14" s="91">
        <v>12441058.1088244</v>
      </c>
      <c r="BE14" s="91">
        <v>9501566.15374738</v>
      </c>
      <c r="BF14" s="91">
        <v>7198299.72780261</v>
      </c>
      <c r="BG14" s="91">
        <v>5955783.03464932</v>
      </c>
      <c r="BH14" s="91">
        <v>6193993.21071897</v>
      </c>
      <c r="BI14" s="91">
        <v>6576694.47628729</v>
      </c>
      <c r="BJ14" s="91">
        <v>7200289.3069403</v>
      </c>
      <c r="BK14" s="91">
        <v>8053255.62578625</v>
      </c>
      <c r="BL14" s="91">
        <v>7763774.52699735</v>
      </c>
      <c r="BM14" s="91">
        <v>8379369.18086427</v>
      </c>
      <c r="BN14" s="91">
        <v>7703003.60626745</v>
      </c>
      <c r="BO14" s="91">
        <v>7868836.4683551</v>
      </c>
      <c r="BP14" s="92">
        <v>94835923.4272407</v>
      </c>
      <c r="BQ14" s="91">
        <v>25953060.0323317</v>
      </c>
      <c r="BR14" s="91">
        <v>23351660.874529</v>
      </c>
      <c r="BS14" s="91">
        <v>20845700.5645043</v>
      </c>
      <c r="BT14" s="91">
        <v>18415765.7660892</v>
      </c>
      <c r="BU14" s="91">
        <v>17556313.9025933</v>
      </c>
      <c r="BV14" s="91">
        <v>12114377.1713224</v>
      </c>
      <c r="BW14" s="91">
        <v>13044909.0562976</v>
      </c>
      <c r="BX14" s="91">
        <v>15377815.1901718</v>
      </c>
      <c r="BY14" s="91">
        <v>16384989.5976566</v>
      </c>
      <c r="BZ14" s="91">
        <v>22075514.9085407</v>
      </c>
      <c r="CA14" s="91">
        <v>20874637.6769826</v>
      </c>
      <c r="CB14" s="91">
        <v>14048057.1064514</v>
      </c>
      <c r="CC14" s="92">
        <v>220042801.84747</v>
      </c>
      <c r="CD14" s="91">
        <v>3337810.02829894</v>
      </c>
      <c r="CE14" s="91">
        <v>1939692.31400741</v>
      </c>
      <c r="CF14" s="91">
        <v>1983038.69713606</v>
      </c>
      <c r="CG14" s="91">
        <v>4076803.10084318</v>
      </c>
      <c r="CH14" s="91">
        <v>3970683.84726802</v>
      </c>
      <c r="CI14" s="91">
        <v>3551879.59100127</v>
      </c>
      <c r="CJ14" s="91">
        <v>3102849.36198042</v>
      </c>
      <c r="CK14" s="91">
        <v>3278076.81772652</v>
      </c>
      <c r="CL14" s="91">
        <v>2882849.05640043</v>
      </c>
      <c r="CM14" s="91">
        <v>3328809.16324579</v>
      </c>
      <c r="CN14" s="91">
        <v>2623610.13785119</v>
      </c>
      <c r="CO14" s="91">
        <v>2264567.47588783</v>
      </c>
      <c r="CP14" s="92">
        <v>36340669.5916471</v>
      </c>
      <c r="CQ14" s="91">
        <v>12067577.6958333</v>
      </c>
      <c r="CR14" s="91">
        <v>11671571.1035247</v>
      </c>
      <c r="CS14" s="91">
        <v>8912143.15842682</v>
      </c>
      <c r="CT14" s="91">
        <v>8202073.78628739</v>
      </c>
      <c r="CU14" s="91">
        <v>8774128.19678222</v>
      </c>
      <c r="CV14" s="91">
        <v>8614940.84818235</v>
      </c>
      <c r="CW14" s="91">
        <v>8779782.8525631</v>
      </c>
      <c r="CX14" s="91">
        <v>9728849.75635544</v>
      </c>
      <c r="CY14" s="91">
        <v>8269228.03136863</v>
      </c>
      <c r="CZ14" s="91">
        <v>9816554.38415742</v>
      </c>
      <c r="DA14" s="91">
        <v>8428873.03190842</v>
      </c>
      <c r="DB14" s="91">
        <v>8599218.41977928</v>
      </c>
      <c r="DC14" s="92">
        <v>111864941.265169</v>
      </c>
      <c r="DD14" s="91">
        <v>2099672.76786829</v>
      </c>
      <c r="DE14" s="91">
        <v>2289877.12078648</v>
      </c>
      <c r="DF14" s="91">
        <v>1337035.46283091</v>
      </c>
      <c r="DG14" s="91">
        <v>1196826.28328505</v>
      </c>
      <c r="DH14" s="91">
        <v>1460218.59136032</v>
      </c>
      <c r="DI14" s="91">
        <v>1061389.66416318</v>
      </c>
      <c r="DJ14" s="91">
        <v>1078168.54410161</v>
      </c>
      <c r="DK14" s="91">
        <v>1022365.94241442</v>
      </c>
      <c r="DL14" s="91">
        <v>934434.653418295</v>
      </c>
      <c r="DM14" s="91">
        <v>1108725.11404276</v>
      </c>
      <c r="DN14" s="91">
        <v>929246.528561524</v>
      </c>
      <c r="DO14" s="91">
        <v>833956.684956776</v>
      </c>
      <c r="DP14" s="92">
        <v>15351917.3577896</v>
      </c>
      <c r="DQ14" s="91">
        <v>22514195.6117669</v>
      </c>
      <c r="DR14" s="91">
        <v>13359024.8073801</v>
      </c>
      <c r="DS14" s="91">
        <v>13545936.963103</v>
      </c>
      <c r="DT14" s="91">
        <v>15642496.4361526</v>
      </c>
      <c r="DU14" s="91">
        <v>12301718.0578641</v>
      </c>
      <c r="DV14" s="91">
        <v>12918977.1128115</v>
      </c>
      <c r="DW14" s="91">
        <v>12292911.98121</v>
      </c>
      <c r="DX14" s="91">
        <v>11826864.1582387</v>
      </c>
      <c r="DY14" s="91">
        <v>11209521.1967088</v>
      </c>
      <c r="DZ14" s="91">
        <v>11138626.8963715</v>
      </c>
      <c r="EA14" s="91">
        <v>8616333.75396331</v>
      </c>
      <c r="EB14" s="91">
        <v>7519141.23343872</v>
      </c>
      <c r="EC14" s="91">
        <v>152885748.209009</v>
      </c>
      <c r="ED14" s="93">
        <v>567205.179076008</v>
      </c>
      <c r="EE14" s="91">
        <v>378761.794243325</v>
      </c>
      <c r="EF14" s="91">
        <v>-5635.05958944592</v>
      </c>
      <c r="EG14" s="91">
        <v>5490.86989466494</v>
      </c>
      <c r="EH14" s="91">
        <v>0</v>
      </c>
      <c r="EI14" s="91">
        <v>0</v>
      </c>
      <c r="EJ14" s="91">
        <v>0</v>
      </c>
      <c r="EK14" s="91">
        <v>0</v>
      </c>
      <c r="EL14" s="91">
        <v>0</v>
      </c>
      <c r="EM14" s="91">
        <v>0</v>
      </c>
      <c r="EN14" s="91">
        <v>0</v>
      </c>
      <c r="EO14" s="91">
        <v>0</v>
      </c>
      <c r="EP14" s="92">
        <v>945822.783624552</v>
      </c>
      <c r="EQ14" s="91">
        <v>3341992.91720557</v>
      </c>
      <c r="ER14" s="91">
        <v>4988489.53840094</v>
      </c>
      <c r="ES14" s="91">
        <v>5032069.23629355</v>
      </c>
      <c r="ET14" s="91">
        <v>6490950.62019087</v>
      </c>
      <c r="EU14" s="91">
        <v>4505751.1778785</v>
      </c>
      <c r="EV14" s="91">
        <v>3797286.96470292</v>
      </c>
      <c r="EW14" s="91">
        <v>4596209.67256378</v>
      </c>
      <c r="EX14" s="91">
        <v>4313026.31064911</v>
      </c>
      <c r="EY14" s="91">
        <v>4308776.19228959</v>
      </c>
      <c r="EZ14" s="91">
        <v>5810306.03733256</v>
      </c>
      <c r="FA14" s="91">
        <v>4542219.63065194</v>
      </c>
      <c r="FB14" s="91">
        <v>4199810.53036947</v>
      </c>
      <c r="FC14" s="91">
        <v>55926888.8285288</v>
      </c>
      <c r="FD14" s="93">
        <v>143796.422305662</v>
      </c>
      <c r="FE14" s="91">
        <v>123975.880094571</v>
      </c>
      <c r="FF14" s="91">
        <v>0</v>
      </c>
      <c r="FG14" s="91">
        <v>0</v>
      </c>
      <c r="FH14" s="91">
        <v>0</v>
      </c>
      <c r="FI14" s="91">
        <v>0</v>
      </c>
      <c r="FJ14" s="91">
        <v>0</v>
      </c>
      <c r="FK14" s="91">
        <v>0</v>
      </c>
      <c r="FL14" s="91">
        <v>0</v>
      </c>
      <c r="FM14" s="91">
        <v>0</v>
      </c>
      <c r="FN14" s="91">
        <v>0</v>
      </c>
      <c r="FO14" s="91">
        <v>0</v>
      </c>
      <c r="FP14" s="92">
        <v>0</v>
      </c>
      <c r="FQ14" s="93">
        <v>36803723.4138585</v>
      </c>
      <c r="FR14" s="91">
        <v>23784395.2353414</v>
      </c>
      <c r="FS14" s="91">
        <v>23801551.9095259</v>
      </c>
      <c r="FT14" s="91">
        <v>25947244.9600274</v>
      </c>
      <c r="FU14" s="91">
        <v>18765945.295303</v>
      </c>
      <c r="FV14" s="91">
        <v>23086694.336</v>
      </c>
      <c r="FW14" s="91">
        <v>24049452.56</v>
      </c>
      <c r="FX14" s="91">
        <v>29639775.72</v>
      </c>
      <c r="FY14" s="91">
        <v>23014030.88</v>
      </c>
      <c r="FZ14" s="91">
        <v>30596024.12</v>
      </c>
      <c r="GA14" s="91">
        <v>24557345.505</v>
      </c>
      <c r="GB14" s="91">
        <v>22545377.065</v>
      </c>
      <c r="GC14" s="92">
        <v>306591561.000056</v>
      </c>
    </row>
    <row r="15" ht="15" spans="1:185">
      <c r="A15" s="76" t="s">
        <v>27</v>
      </c>
      <c r="B15" s="77" t="s">
        <v>408</v>
      </c>
      <c r="C15" s="78">
        <v>130185206.183922</v>
      </c>
      <c r="D15" s="79">
        <f t="shared" si="11"/>
        <v>1385619.1019001</v>
      </c>
      <c r="E15" s="79">
        <f t="shared" si="0"/>
        <v>840276.009653309</v>
      </c>
      <c r="F15" s="79">
        <f t="shared" si="1"/>
        <v>782535.278915901</v>
      </c>
      <c r="G15" s="79">
        <f t="shared" si="2"/>
        <v>610159.004070445</v>
      </c>
      <c r="H15" s="79">
        <f t="shared" si="3"/>
        <v>329058.41477365</v>
      </c>
      <c r="I15" s="79">
        <f t="shared" si="4"/>
        <v>187838.060893441</v>
      </c>
      <c r="J15" s="79">
        <f t="shared" si="5"/>
        <v>1702042.13795992</v>
      </c>
      <c r="K15" s="79">
        <f t="shared" si="6"/>
        <v>2674541.0925674</v>
      </c>
      <c r="L15" s="79">
        <f t="shared" si="7"/>
        <v>3260993.94452267</v>
      </c>
      <c r="M15" s="79">
        <f t="shared" si="8"/>
        <v>1701869.09741934</v>
      </c>
      <c r="N15" s="79">
        <f t="shared" si="9"/>
        <v>631556.359923783</v>
      </c>
      <c r="O15" s="79">
        <f t="shared" si="10"/>
        <v>72301.5560794013</v>
      </c>
      <c r="P15" s="80">
        <f t="shared" si="12"/>
        <v>14178790.0586794</v>
      </c>
      <c r="Q15" s="79">
        <v>149230.856974622</v>
      </c>
      <c r="R15" s="79">
        <v>116249.32310348</v>
      </c>
      <c r="S15" s="79">
        <v>105281.529158249</v>
      </c>
      <c r="T15" s="79">
        <v>89560.9283413051</v>
      </c>
      <c r="U15" s="79">
        <v>45197.9894854955</v>
      </c>
      <c r="V15" s="79">
        <v>29709.1506830432</v>
      </c>
      <c r="W15" s="79">
        <v>322733.592229633</v>
      </c>
      <c r="X15" s="79">
        <v>382574.445833002</v>
      </c>
      <c r="Y15" s="79">
        <v>380278.371543652</v>
      </c>
      <c r="Z15" s="79">
        <v>272937.675266954</v>
      </c>
      <c r="AA15" s="79">
        <v>111684.28471582</v>
      </c>
      <c r="AB15" s="79">
        <v>7289.02609312063</v>
      </c>
      <c r="AC15" s="80">
        <v>2012727.17342838</v>
      </c>
      <c r="AD15" s="79">
        <v>48613.5247307411</v>
      </c>
      <c r="AE15" s="79">
        <v>24574.4220866925</v>
      </c>
      <c r="AF15" s="79">
        <v>18622.3665540656</v>
      </c>
      <c r="AG15" s="79">
        <v>5062.01868608861</v>
      </c>
      <c r="AH15" s="79">
        <v>8954.92795368453</v>
      </c>
      <c r="AI15" s="79">
        <v>911.6272217694</v>
      </c>
      <c r="AJ15" s="79">
        <v>63620.5300525736</v>
      </c>
      <c r="AK15" s="79">
        <v>205337.125436726</v>
      </c>
      <c r="AL15" s="79">
        <v>244914.638559603</v>
      </c>
      <c r="AM15" s="79">
        <v>207712.881226792</v>
      </c>
      <c r="AN15" s="79">
        <v>91503.4313406316</v>
      </c>
      <c r="AO15" s="79">
        <v>524.876279200564</v>
      </c>
      <c r="AP15" s="80">
        <v>920352.370128568</v>
      </c>
      <c r="AQ15" s="79">
        <v>152569.2520584</v>
      </c>
      <c r="AR15" s="79">
        <v>70159.2539030838</v>
      </c>
      <c r="AS15" s="79">
        <v>87148.6793345707</v>
      </c>
      <c r="AT15" s="79">
        <v>59438.816781096</v>
      </c>
      <c r="AU15" s="79">
        <v>39604.6028724848</v>
      </c>
      <c r="AV15" s="79">
        <v>17857.5510886733</v>
      </c>
      <c r="AW15" s="79">
        <v>91262.3884964409</v>
      </c>
      <c r="AX15" s="79">
        <v>202809.123485913</v>
      </c>
      <c r="AY15" s="79">
        <v>203667.659595946</v>
      </c>
      <c r="AZ15" s="79">
        <v>52393.5970082421</v>
      </c>
      <c r="BA15" s="79">
        <v>42777.9925758796</v>
      </c>
      <c r="BB15" s="79">
        <v>17365.3237189214</v>
      </c>
      <c r="BC15" s="80">
        <v>1037054.24091965</v>
      </c>
      <c r="BD15" s="79">
        <v>27155.4820330695</v>
      </c>
      <c r="BE15" s="79">
        <v>12237.5010280882</v>
      </c>
      <c r="BF15" s="79">
        <v>11035.5077500274</v>
      </c>
      <c r="BG15" s="79">
        <v>766.275866690942</v>
      </c>
      <c r="BH15" s="79">
        <v>1004.17237428745</v>
      </c>
      <c r="BI15" s="79">
        <v>0</v>
      </c>
      <c r="BJ15" s="79">
        <v>151753.272842134</v>
      </c>
      <c r="BK15" s="79">
        <v>362676.399774091</v>
      </c>
      <c r="BL15" s="79">
        <v>352930.776747532</v>
      </c>
      <c r="BM15" s="79">
        <v>144560.074893959</v>
      </c>
      <c r="BN15" s="79">
        <v>49656.2697067533</v>
      </c>
      <c r="BO15" s="79">
        <v>0</v>
      </c>
      <c r="BP15" s="80">
        <v>1113775.73301663</v>
      </c>
      <c r="BQ15" s="79">
        <v>505378.369784947</v>
      </c>
      <c r="BR15" s="79">
        <v>367617.305060095</v>
      </c>
      <c r="BS15" s="79">
        <v>346315.822684904</v>
      </c>
      <c r="BT15" s="79">
        <v>238377.542932544</v>
      </c>
      <c r="BU15" s="79">
        <v>92434.6029122528</v>
      </c>
      <c r="BV15" s="79">
        <v>33784.6643296245</v>
      </c>
      <c r="BW15" s="79">
        <v>492238.341301984</v>
      </c>
      <c r="BX15" s="79">
        <v>575269.063530798</v>
      </c>
      <c r="BY15" s="79">
        <v>874616.428647151</v>
      </c>
      <c r="BZ15" s="79">
        <v>393372.049801202</v>
      </c>
      <c r="CA15" s="79">
        <v>66294.8635395518</v>
      </c>
      <c r="CB15" s="79">
        <v>9148.02899085148</v>
      </c>
      <c r="CC15" s="80">
        <v>3994847.0835159</v>
      </c>
      <c r="CD15" s="79">
        <v>36535.4876264063</v>
      </c>
      <c r="CE15" s="79">
        <v>14201.0005586356</v>
      </c>
      <c r="CF15" s="79">
        <v>12052.7589433462</v>
      </c>
      <c r="CG15" s="79">
        <v>7742.0302974365</v>
      </c>
      <c r="CH15" s="79">
        <v>6910.13583084844</v>
      </c>
      <c r="CI15" s="79">
        <v>24331.5952745989</v>
      </c>
      <c r="CJ15" s="79">
        <v>112136.414668181</v>
      </c>
      <c r="CK15" s="79">
        <v>105219.964323375</v>
      </c>
      <c r="CL15" s="79">
        <v>196968.795427934</v>
      </c>
      <c r="CM15" s="79">
        <v>124698.946927113</v>
      </c>
      <c r="CN15" s="79">
        <v>103055.63292296</v>
      </c>
      <c r="CO15" s="79">
        <v>11507.5513975701</v>
      </c>
      <c r="CP15" s="80">
        <v>755360.314198405</v>
      </c>
      <c r="CQ15" s="79">
        <v>45946.4845313737</v>
      </c>
      <c r="CR15" s="79">
        <v>25397.6534700057</v>
      </c>
      <c r="CS15" s="79">
        <v>16655.3675017803</v>
      </c>
      <c r="CT15" s="79">
        <v>7597.33896813547</v>
      </c>
      <c r="CU15" s="79">
        <v>9032.02278114727</v>
      </c>
      <c r="CV15" s="79">
        <v>8638.24914242022</v>
      </c>
      <c r="CW15" s="79">
        <v>131875.08037918</v>
      </c>
      <c r="CX15" s="79">
        <v>283717.650612654</v>
      </c>
      <c r="CY15" s="79">
        <v>340589.313329255</v>
      </c>
      <c r="CZ15" s="79">
        <v>127692.649577535</v>
      </c>
      <c r="DA15" s="79">
        <v>37179.1423379999</v>
      </c>
      <c r="DB15" s="79">
        <v>0</v>
      </c>
      <c r="DC15" s="80">
        <v>1034320.95263149</v>
      </c>
      <c r="DD15" s="79">
        <v>16341.8695350079</v>
      </c>
      <c r="DE15" s="79">
        <v>13956.7730349909</v>
      </c>
      <c r="DF15" s="79">
        <v>11753.6098049834</v>
      </c>
      <c r="DG15" s="79">
        <v>7184.503127659</v>
      </c>
      <c r="DH15" s="79">
        <v>6962.03207086548</v>
      </c>
      <c r="DI15" s="79">
        <v>286.08959973712</v>
      </c>
      <c r="DJ15" s="79">
        <v>30366.7604951737</v>
      </c>
      <c r="DK15" s="79">
        <v>36679.9877201419</v>
      </c>
      <c r="DL15" s="79">
        <v>38474.9248723387</v>
      </c>
      <c r="DM15" s="79">
        <v>24276.3530546162</v>
      </c>
      <c r="DN15" s="79">
        <v>10449.1475442447</v>
      </c>
      <c r="DO15" s="79">
        <v>286.08959973712</v>
      </c>
      <c r="DP15" s="80">
        <v>197018.140459496</v>
      </c>
      <c r="DQ15" s="79">
        <v>109839.285568294</v>
      </c>
      <c r="DR15" s="79">
        <v>51295.0530422518</v>
      </c>
      <c r="DS15" s="79">
        <v>35178.4390331527</v>
      </c>
      <c r="DT15" s="79">
        <v>29026.3176862645</v>
      </c>
      <c r="DU15" s="79">
        <v>26625.5683329628</v>
      </c>
      <c r="DV15" s="79">
        <v>26789.2982576769</v>
      </c>
      <c r="DW15" s="79">
        <v>201017.782909101</v>
      </c>
      <c r="DX15" s="79">
        <v>314722.878436006</v>
      </c>
      <c r="DY15" s="79">
        <v>384167.667056421</v>
      </c>
      <c r="DZ15" s="79">
        <v>185236.302527756</v>
      </c>
      <c r="EA15" s="79">
        <v>0</v>
      </c>
      <c r="EB15" s="79">
        <v>0</v>
      </c>
      <c r="EC15" s="79">
        <v>1363898.59284989</v>
      </c>
      <c r="ED15" s="81">
        <v>47903.7749976772</v>
      </c>
      <c r="EE15" s="79">
        <v>0</v>
      </c>
      <c r="EF15" s="79">
        <v>0</v>
      </c>
      <c r="EG15" s="79">
        <v>0</v>
      </c>
      <c r="EH15" s="79">
        <v>0</v>
      </c>
      <c r="EI15" s="79">
        <v>0</v>
      </c>
      <c r="EJ15" s="79">
        <v>0</v>
      </c>
      <c r="EK15" s="79">
        <v>0</v>
      </c>
      <c r="EL15" s="79">
        <v>0</v>
      </c>
      <c r="EM15" s="79">
        <v>0</v>
      </c>
      <c r="EN15" s="79">
        <v>0</v>
      </c>
      <c r="EO15" s="79">
        <v>0</v>
      </c>
      <c r="EP15" s="80">
        <v>47903.7749976772</v>
      </c>
      <c r="EQ15" s="79">
        <v>36667.863655751</v>
      </c>
      <c r="ER15" s="79">
        <v>22539.1608279645</v>
      </c>
      <c r="ES15" s="79">
        <v>20284.4755274051</v>
      </c>
      <c r="ET15" s="79">
        <v>32997.4246252991</v>
      </c>
      <c r="EU15" s="79">
        <v>22563.6037036361</v>
      </c>
      <c r="EV15" s="79">
        <v>10147.181295897</v>
      </c>
      <c r="EW15" s="79">
        <v>65723.914585523</v>
      </c>
      <c r="EX15" s="79">
        <v>166220.393414698</v>
      </c>
      <c r="EY15" s="79">
        <v>205071.308742839</v>
      </c>
      <c r="EZ15" s="79">
        <v>142807.907135166</v>
      </c>
      <c r="FA15" s="79">
        <v>92774.935239942</v>
      </c>
      <c r="FB15" s="79">
        <v>0</v>
      </c>
      <c r="FC15" s="79">
        <v>817798.168754122</v>
      </c>
      <c r="FD15" s="81">
        <v>0</v>
      </c>
      <c r="FE15" s="79">
        <v>0</v>
      </c>
      <c r="FF15" s="79">
        <v>0</v>
      </c>
      <c r="FG15" s="79">
        <v>0</v>
      </c>
      <c r="FH15" s="79">
        <v>0</v>
      </c>
      <c r="FI15" s="79">
        <v>0</v>
      </c>
      <c r="FJ15" s="79">
        <v>0</v>
      </c>
      <c r="FK15" s="79">
        <v>0</v>
      </c>
      <c r="FL15" s="79">
        <v>0</v>
      </c>
      <c r="FM15" s="79">
        <v>0</v>
      </c>
      <c r="FN15" s="79">
        <v>0</v>
      </c>
      <c r="FO15" s="79">
        <v>0</v>
      </c>
      <c r="FP15" s="80">
        <v>0</v>
      </c>
      <c r="FQ15" s="81">
        <v>209436.850403813</v>
      </c>
      <c r="FR15" s="79">
        <v>122048.563538021</v>
      </c>
      <c r="FS15" s="79">
        <v>118206.722623417</v>
      </c>
      <c r="FT15" s="79">
        <v>132405.806757927</v>
      </c>
      <c r="FU15" s="79">
        <v>69768.7564559849</v>
      </c>
      <c r="FV15" s="79">
        <v>35382.654</v>
      </c>
      <c r="FW15" s="79">
        <v>39314.06</v>
      </c>
      <c r="FX15" s="79">
        <v>39314.06</v>
      </c>
      <c r="FY15" s="79">
        <v>39314.06</v>
      </c>
      <c r="FZ15" s="79">
        <v>26180.66</v>
      </c>
      <c r="GA15" s="79">
        <v>26180.66</v>
      </c>
      <c r="GB15" s="79">
        <v>26180.66</v>
      </c>
      <c r="GC15" s="80">
        <v>883733.513779163</v>
      </c>
    </row>
    <row r="16" ht="15" spans="1:185">
      <c r="A16" s="82"/>
      <c r="B16" s="83" t="s">
        <v>409</v>
      </c>
      <c r="C16" s="84">
        <v>96933306.9804552</v>
      </c>
      <c r="D16" s="85">
        <f t="shared" si="11"/>
        <v>14977739.2105292</v>
      </c>
      <c r="E16" s="85">
        <f t="shared" si="0"/>
        <v>10362725.8717531</v>
      </c>
      <c r="F16" s="85">
        <f t="shared" si="1"/>
        <v>6741677.57591915</v>
      </c>
      <c r="G16" s="85">
        <f t="shared" si="2"/>
        <v>13131082.4570564</v>
      </c>
      <c r="H16" s="85">
        <f t="shared" si="3"/>
        <v>14687023.8245293</v>
      </c>
      <c r="I16" s="85">
        <f t="shared" si="4"/>
        <v>13615380.1041828</v>
      </c>
      <c r="J16" s="85">
        <f t="shared" si="5"/>
        <v>14699528.5225443</v>
      </c>
      <c r="K16" s="85">
        <f t="shared" si="6"/>
        <v>16151722.0459722</v>
      </c>
      <c r="L16" s="85">
        <f t="shared" si="7"/>
        <v>14324898.085422</v>
      </c>
      <c r="M16" s="85">
        <f t="shared" si="8"/>
        <v>16123500.2499739</v>
      </c>
      <c r="N16" s="85">
        <f t="shared" si="9"/>
        <v>13017155.9476217</v>
      </c>
      <c r="O16" s="85">
        <f t="shared" si="10"/>
        <v>7264160.4785297</v>
      </c>
      <c r="P16" s="86">
        <f t="shared" si="12"/>
        <v>155096594.374034</v>
      </c>
      <c r="Q16" s="85">
        <v>1959008.56700787</v>
      </c>
      <c r="R16" s="85">
        <v>1154131.25162459</v>
      </c>
      <c r="S16" s="85">
        <v>870412.395961294</v>
      </c>
      <c r="T16" s="85">
        <v>1261141.10586449</v>
      </c>
      <c r="U16" s="85">
        <v>1705340.04228848</v>
      </c>
      <c r="V16" s="85">
        <v>2518949.88117192</v>
      </c>
      <c r="W16" s="85">
        <v>2053664.97755989</v>
      </c>
      <c r="X16" s="85">
        <v>2988177.56999801</v>
      </c>
      <c r="Y16" s="85">
        <v>2263456.98503434</v>
      </c>
      <c r="Z16" s="85">
        <v>1962554.22273038</v>
      </c>
      <c r="AA16" s="85">
        <v>1419677.12888013</v>
      </c>
      <c r="AB16" s="85">
        <v>1005434.04993041</v>
      </c>
      <c r="AC16" s="86">
        <v>21161948.1780518</v>
      </c>
      <c r="AD16" s="85">
        <v>969059.234382795</v>
      </c>
      <c r="AE16" s="85">
        <v>629517.072660517</v>
      </c>
      <c r="AF16" s="85">
        <v>473403.558980197</v>
      </c>
      <c r="AG16" s="85">
        <v>669470.080133489</v>
      </c>
      <c r="AH16" s="85">
        <v>740233.6064418</v>
      </c>
      <c r="AI16" s="85">
        <v>937492.469991994</v>
      </c>
      <c r="AJ16" s="85">
        <v>1124525.43044841</v>
      </c>
      <c r="AK16" s="85">
        <v>1854606.84865292</v>
      </c>
      <c r="AL16" s="85">
        <v>2364048.90042319</v>
      </c>
      <c r="AM16" s="85">
        <v>1884550.3753334</v>
      </c>
      <c r="AN16" s="85">
        <v>1557080.78094561</v>
      </c>
      <c r="AO16" s="85">
        <v>870297.051597262</v>
      </c>
      <c r="AP16" s="86">
        <v>14074285.4099916</v>
      </c>
      <c r="AQ16" s="85">
        <v>1204945.36789779</v>
      </c>
      <c r="AR16" s="85">
        <v>863356.905808452</v>
      </c>
      <c r="AS16" s="85">
        <v>728964.441416286</v>
      </c>
      <c r="AT16" s="85">
        <v>1059933.97308218</v>
      </c>
      <c r="AU16" s="85">
        <v>1285009.02166814</v>
      </c>
      <c r="AV16" s="85">
        <v>1418244.41803281</v>
      </c>
      <c r="AW16" s="85">
        <v>1321342.40122246</v>
      </c>
      <c r="AX16" s="85">
        <v>1212056.47798941</v>
      </c>
      <c r="AY16" s="85">
        <v>1244898.34598518</v>
      </c>
      <c r="AZ16" s="85">
        <v>1150332.50132314</v>
      </c>
      <c r="BA16" s="85">
        <v>1051109.57522868</v>
      </c>
      <c r="BB16" s="85">
        <v>607952.313810189</v>
      </c>
      <c r="BC16" s="86">
        <v>13148145.7434647</v>
      </c>
      <c r="BD16" s="85">
        <v>1209987.40005896</v>
      </c>
      <c r="BE16" s="85">
        <v>1042835.14793064</v>
      </c>
      <c r="BF16" s="85">
        <v>513608.778399766</v>
      </c>
      <c r="BG16" s="85">
        <v>930318.269862118</v>
      </c>
      <c r="BH16" s="85">
        <v>1112074.5468507</v>
      </c>
      <c r="BI16" s="85">
        <v>1090728.5822082</v>
      </c>
      <c r="BJ16" s="85">
        <v>1306818.43626852</v>
      </c>
      <c r="BK16" s="85">
        <v>1151838.53717831</v>
      </c>
      <c r="BL16" s="85">
        <v>990915.870607616</v>
      </c>
      <c r="BM16" s="85">
        <v>1251118.84900244</v>
      </c>
      <c r="BN16" s="85">
        <v>1348149.6750883</v>
      </c>
      <c r="BO16" s="85">
        <v>662423.919433828</v>
      </c>
      <c r="BP16" s="86">
        <v>12610818.0128894</v>
      </c>
      <c r="BQ16" s="85">
        <v>3004717.05291594</v>
      </c>
      <c r="BR16" s="85">
        <v>2925714.51114686</v>
      </c>
      <c r="BS16" s="85">
        <v>1675377.5371067</v>
      </c>
      <c r="BT16" s="85">
        <v>2805363.27931953</v>
      </c>
      <c r="BU16" s="85">
        <v>3188911.42536207</v>
      </c>
      <c r="BV16" s="85">
        <v>2284146.50438814</v>
      </c>
      <c r="BW16" s="85">
        <v>2784440.96194942</v>
      </c>
      <c r="BX16" s="85">
        <v>3098018.3424147</v>
      </c>
      <c r="BY16" s="85">
        <v>3194611.23305695</v>
      </c>
      <c r="BZ16" s="85">
        <v>3839119.80951863</v>
      </c>
      <c r="CA16" s="85">
        <v>3440402.7165019</v>
      </c>
      <c r="CB16" s="85">
        <v>1485807.49347433</v>
      </c>
      <c r="CC16" s="86">
        <v>33726630.8671552</v>
      </c>
      <c r="CD16" s="85">
        <v>296669.703214504</v>
      </c>
      <c r="CE16" s="85">
        <v>200234.395564431</v>
      </c>
      <c r="CF16" s="85">
        <v>225444.283510887</v>
      </c>
      <c r="CG16" s="85">
        <v>412160.733079694</v>
      </c>
      <c r="CH16" s="85">
        <v>468991.188404301</v>
      </c>
      <c r="CI16" s="85">
        <v>719829.84073896</v>
      </c>
      <c r="CJ16" s="85">
        <v>694971.444835993</v>
      </c>
      <c r="CK16" s="85">
        <v>639761.188587048</v>
      </c>
      <c r="CL16" s="85">
        <v>523726.656076958</v>
      </c>
      <c r="CM16" s="85">
        <v>617650.259090849</v>
      </c>
      <c r="CN16" s="85">
        <v>467900.903507173</v>
      </c>
      <c r="CO16" s="85">
        <v>222686.013433532</v>
      </c>
      <c r="CP16" s="86">
        <v>5490026.61004433</v>
      </c>
      <c r="CQ16" s="85">
        <v>944098.502603823</v>
      </c>
      <c r="CR16" s="85">
        <v>766674.127717923</v>
      </c>
      <c r="CS16" s="85">
        <v>453169.714595049</v>
      </c>
      <c r="CT16" s="85">
        <v>835858.833740616</v>
      </c>
      <c r="CU16" s="85">
        <v>1488030.18399764</v>
      </c>
      <c r="CV16" s="85">
        <v>1228686.8315992</v>
      </c>
      <c r="CW16" s="85">
        <v>1132403.93421014</v>
      </c>
      <c r="CX16" s="85">
        <v>757928.326354392</v>
      </c>
      <c r="CY16" s="85">
        <v>686885.652946495</v>
      </c>
      <c r="CZ16" s="85">
        <v>1031659.72642987</v>
      </c>
      <c r="DA16" s="85">
        <v>1152282.92929961</v>
      </c>
      <c r="DB16" s="85">
        <v>547986.624717921</v>
      </c>
      <c r="DC16" s="86">
        <v>11025665.3882127</v>
      </c>
      <c r="DD16" s="85">
        <v>142514.337331844</v>
      </c>
      <c r="DE16" s="85">
        <v>94330.678882943</v>
      </c>
      <c r="DF16" s="85">
        <v>53495.718987802</v>
      </c>
      <c r="DG16" s="85">
        <v>88195.6810585081</v>
      </c>
      <c r="DH16" s="85">
        <v>128014.879941125</v>
      </c>
      <c r="DI16" s="85">
        <v>129758.138649999</v>
      </c>
      <c r="DJ16" s="85">
        <v>155111.453995934</v>
      </c>
      <c r="DK16" s="85">
        <v>105868.281641182</v>
      </c>
      <c r="DL16" s="85">
        <v>130346.823018689</v>
      </c>
      <c r="DM16" s="85">
        <v>160145.530606693</v>
      </c>
      <c r="DN16" s="85">
        <v>137298.250119994</v>
      </c>
      <c r="DO16" s="85">
        <v>83608.3100924053</v>
      </c>
      <c r="DP16" s="86">
        <v>1408688.08432712</v>
      </c>
      <c r="DQ16" s="85">
        <v>937308.419884893</v>
      </c>
      <c r="DR16" s="85">
        <v>637307.486294556</v>
      </c>
      <c r="DS16" s="85">
        <v>441855.894560522</v>
      </c>
      <c r="DT16" s="85">
        <v>925381.176758452</v>
      </c>
      <c r="DU16" s="85">
        <v>852444.383748981</v>
      </c>
      <c r="DV16" s="85">
        <v>925607.355400256</v>
      </c>
      <c r="DW16" s="85">
        <v>837259.302505962</v>
      </c>
      <c r="DX16" s="85">
        <v>750558.422017276</v>
      </c>
      <c r="DY16" s="85">
        <v>626019.638268347</v>
      </c>
      <c r="DZ16" s="85">
        <v>917989.575208226</v>
      </c>
      <c r="EA16" s="85">
        <v>1014300.53013191</v>
      </c>
      <c r="EB16" s="85">
        <v>425643.46822962</v>
      </c>
      <c r="EC16" s="85">
        <v>9291675.653009</v>
      </c>
      <c r="ED16" s="87">
        <v>53324.7525510065</v>
      </c>
      <c r="EE16" s="85">
        <v>3579.70197167213</v>
      </c>
      <c r="EF16" s="85">
        <v>0</v>
      </c>
      <c r="EG16" s="85">
        <v>22790.7919872787</v>
      </c>
      <c r="EH16" s="85">
        <v>0</v>
      </c>
      <c r="EI16" s="85">
        <v>0</v>
      </c>
      <c r="EJ16" s="85">
        <v>0</v>
      </c>
      <c r="EK16" s="85">
        <v>0</v>
      </c>
      <c r="EL16" s="85">
        <v>0</v>
      </c>
      <c r="EM16" s="85">
        <v>0</v>
      </c>
      <c r="EN16" s="85">
        <v>0</v>
      </c>
      <c r="EO16" s="85">
        <v>0</v>
      </c>
      <c r="EP16" s="86">
        <v>79695.2465099573</v>
      </c>
      <c r="EQ16" s="85">
        <v>197939.540218403</v>
      </c>
      <c r="ER16" s="85">
        <v>243086.278402143</v>
      </c>
      <c r="ES16" s="85">
        <v>246232.759444188</v>
      </c>
      <c r="ET16" s="85">
        <v>357094.517371426</v>
      </c>
      <c r="EU16" s="85">
        <v>435383.016063665</v>
      </c>
      <c r="EV16" s="85">
        <v>458273.116001321</v>
      </c>
      <c r="EW16" s="85">
        <v>568753.879547523</v>
      </c>
      <c r="EX16" s="85">
        <v>609383.071138963</v>
      </c>
      <c r="EY16" s="85">
        <v>793332.120004187</v>
      </c>
      <c r="EZ16" s="85">
        <v>659150.780730324</v>
      </c>
      <c r="FA16" s="85">
        <v>487512.877918423</v>
      </c>
      <c r="FB16" s="85">
        <v>522546.413810197</v>
      </c>
      <c r="FC16" s="85">
        <v>5578688.37065076</v>
      </c>
      <c r="FD16" s="87">
        <v>135458.853235829</v>
      </c>
      <c r="FE16" s="85">
        <v>17168.0801683188</v>
      </c>
      <c r="FF16" s="85">
        <v>0</v>
      </c>
      <c r="FG16" s="85">
        <v>0</v>
      </c>
      <c r="FH16" s="85">
        <v>0</v>
      </c>
      <c r="FI16" s="85">
        <v>0</v>
      </c>
      <c r="FJ16" s="85">
        <v>0</v>
      </c>
      <c r="FK16" s="85">
        <v>0</v>
      </c>
      <c r="FL16" s="85">
        <v>0</v>
      </c>
      <c r="FM16" s="85">
        <v>0</v>
      </c>
      <c r="FN16" s="85">
        <v>0</v>
      </c>
      <c r="FO16" s="85">
        <v>0</v>
      </c>
      <c r="FP16" s="86">
        <v>0</v>
      </c>
      <c r="FQ16" s="87">
        <v>3922707.47922553</v>
      </c>
      <c r="FR16" s="85">
        <v>1784790.23358005</v>
      </c>
      <c r="FS16" s="85">
        <v>1059712.49295645</v>
      </c>
      <c r="FT16" s="85">
        <v>3763374.01479858</v>
      </c>
      <c r="FU16" s="85">
        <v>3282591.52976237</v>
      </c>
      <c r="FV16" s="85">
        <v>1903662.966</v>
      </c>
      <c r="FW16" s="85">
        <v>2720236.3</v>
      </c>
      <c r="FX16" s="85">
        <v>2983524.98</v>
      </c>
      <c r="FY16" s="85">
        <v>1506655.86</v>
      </c>
      <c r="FZ16" s="85">
        <v>2649228.62</v>
      </c>
      <c r="GA16" s="85">
        <v>941440.58</v>
      </c>
      <c r="GB16" s="85">
        <v>829774.82</v>
      </c>
      <c r="GC16" s="86">
        <v>27347699.876323</v>
      </c>
    </row>
    <row r="17" ht="15" spans="1:185">
      <c r="A17" s="82"/>
      <c r="B17" s="83" t="s">
        <v>410</v>
      </c>
      <c r="C17" s="84">
        <v>11952307.956475</v>
      </c>
      <c r="D17" s="85">
        <f t="shared" si="11"/>
        <v>504242.584078581</v>
      </c>
      <c r="E17" s="85">
        <f t="shared" si="0"/>
        <v>350087.100315942</v>
      </c>
      <c r="F17" s="85">
        <f t="shared" si="1"/>
        <v>373148.782293155</v>
      </c>
      <c r="G17" s="85">
        <f t="shared" si="2"/>
        <v>183539.190735364</v>
      </c>
      <c r="H17" s="85">
        <f t="shared" si="3"/>
        <v>208478.230167404</v>
      </c>
      <c r="I17" s="85">
        <f t="shared" si="4"/>
        <v>167837.249824027</v>
      </c>
      <c r="J17" s="85">
        <f t="shared" si="5"/>
        <v>434577.347912089</v>
      </c>
      <c r="K17" s="85">
        <f t="shared" si="6"/>
        <v>1128998.74222849</v>
      </c>
      <c r="L17" s="85">
        <f t="shared" si="7"/>
        <v>357191.27105628</v>
      </c>
      <c r="M17" s="85">
        <f t="shared" si="8"/>
        <v>87280.5031468905</v>
      </c>
      <c r="N17" s="85">
        <f t="shared" si="9"/>
        <v>69654.5282919914</v>
      </c>
      <c r="O17" s="85">
        <f t="shared" si="10"/>
        <v>56937.7342013272</v>
      </c>
      <c r="P17" s="86">
        <f t="shared" si="12"/>
        <v>3921973.26425154</v>
      </c>
      <c r="Q17" s="85">
        <v>42640.0626577636</v>
      </c>
      <c r="R17" s="85">
        <v>26484.5848196958</v>
      </c>
      <c r="S17" s="85">
        <v>18472.9648170238</v>
      </c>
      <c r="T17" s="85">
        <v>11700.2885591635</v>
      </c>
      <c r="U17" s="85">
        <v>10463.1772903696</v>
      </c>
      <c r="V17" s="85">
        <v>7075.67863998297</v>
      </c>
      <c r="W17" s="85">
        <v>24651.9875098821</v>
      </c>
      <c r="X17" s="85">
        <v>46131.7262384019</v>
      </c>
      <c r="Y17" s="85">
        <v>39845.2260415786</v>
      </c>
      <c r="Z17" s="85">
        <v>10310.0674562398</v>
      </c>
      <c r="AA17" s="85">
        <v>512.655287879328</v>
      </c>
      <c r="AB17" s="85">
        <v>512.655287879328</v>
      </c>
      <c r="AC17" s="86">
        <v>238801.07460586</v>
      </c>
      <c r="AD17" s="85">
        <v>39464.1510193717</v>
      </c>
      <c r="AE17" s="85">
        <v>29428.5809534217</v>
      </c>
      <c r="AF17" s="85">
        <v>18763.9093278276</v>
      </c>
      <c r="AG17" s="85">
        <v>14843.4816956225</v>
      </c>
      <c r="AH17" s="85">
        <v>13838.6507115757</v>
      </c>
      <c r="AI17" s="85">
        <v>10706.2483149214</v>
      </c>
      <c r="AJ17" s="85">
        <v>10706.2483149214</v>
      </c>
      <c r="AK17" s="85">
        <v>28873.3111092396</v>
      </c>
      <c r="AL17" s="85">
        <v>33457.0259841295</v>
      </c>
      <c r="AM17" s="85">
        <v>4061.9080476145</v>
      </c>
      <c r="AN17" s="85">
        <v>1529.61020936617</v>
      </c>
      <c r="AO17" s="85">
        <v>1529.61020936617</v>
      </c>
      <c r="AP17" s="86">
        <v>207202.735897378</v>
      </c>
      <c r="AQ17" s="85">
        <v>65072.3420594736</v>
      </c>
      <c r="AR17" s="85">
        <v>26315.9592667552</v>
      </c>
      <c r="AS17" s="85">
        <v>76253.0014839856</v>
      </c>
      <c r="AT17" s="85">
        <v>16980.2426664958</v>
      </c>
      <c r="AU17" s="85">
        <v>46767.1442711166</v>
      </c>
      <c r="AV17" s="85">
        <v>25771.3461651495</v>
      </c>
      <c r="AW17" s="85">
        <v>45349.7851899321</v>
      </c>
      <c r="AX17" s="85">
        <v>75379.4704608421</v>
      </c>
      <c r="AY17" s="85">
        <v>18334.5155942468</v>
      </c>
      <c r="AZ17" s="85">
        <v>11294.5194919814</v>
      </c>
      <c r="BA17" s="85">
        <v>11294.5194919814</v>
      </c>
      <c r="BB17" s="85">
        <v>9448.66685541181</v>
      </c>
      <c r="BC17" s="86">
        <v>428261.512997372</v>
      </c>
      <c r="BD17" s="85">
        <v>46507.0562340958</v>
      </c>
      <c r="BE17" s="85">
        <v>27563.5165303948</v>
      </c>
      <c r="BF17" s="85">
        <v>21138.9981738717</v>
      </c>
      <c r="BG17" s="85">
        <v>17387.180032786</v>
      </c>
      <c r="BH17" s="85">
        <v>12112.7605161079</v>
      </c>
      <c r="BI17" s="85">
        <v>9555.73806997015</v>
      </c>
      <c r="BJ17" s="85">
        <v>55808.7743388774</v>
      </c>
      <c r="BK17" s="85">
        <v>64832.4993634691</v>
      </c>
      <c r="BL17" s="85">
        <v>31501.4373297772</v>
      </c>
      <c r="BM17" s="85">
        <v>8619.84887456249</v>
      </c>
      <c r="BN17" s="85">
        <v>8619.84887456249</v>
      </c>
      <c r="BO17" s="85">
        <v>8619.84887456249</v>
      </c>
      <c r="BP17" s="86">
        <v>312267.507213038</v>
      </c>
      <c r="BQ17" s="85">
        <v>120890.909333071</v>
      </c>
      <c r="BR17" s="85">
        <v>60848.5350516401</v>
      </c>
      <c r="BS17" s="85">
        <v>66635.5850113351</v>
      </c>
      <c r="BT17" s="85">
        <v>24878.1133740283</v>
      </c>
      <c r="BU17" s="85">
        <v>33589.0928051484</v>
      </c>
      <c r="BV17" s="85">
        <v>15963.6961033959</v>
      </c>
      <c r="BW17" s="85">
        <v>83090.8171143514</v>
      </c>
      <c r="BX17" s="85">
        <v>164759.766559574</v>
      </c>
      <c r="BY17" s="85">
        <v>101682.814060682</v>
      </c>
      <c r="BZ17" s="85">
        <v>38126.2363432549</v>
      </c>
      <c r="CA17" s="85">
        <v>36281.4367438356</v>
      </c>
      <c r="CB17" s="85">
        <v>27466.7642878515</v>
      </c>
      <c r="CC17" s="86">
        <v>774213.766788168</v>
      </c>
      <c r="CD17" s="85">
        <v>3554.75512970487</v>
      </c>
      <c r="CE17" s="85">
        <v>2445.02994196363</v>
      </c>
      <c r="CF17" s="85">
        <v>3102.78685349877</v>
      </c>
      <c r="CG17" s="85">
        <v>7426.2384569625</v>
      </c>
      <c r="CH17" s="85">
        <v>5855.15768977377</v>
      </c>
      <c r="CI17" s="85">
        <v>10270.1390144928</v>
      </c>
      <c r="CJ17" s="85">
        <v>14851.1114750023</v>
      </c>
      <c r="CK17" s="85">
        <v>26860.4528137921</v>
      </c>
      <c r="CL17" s="85">
        <v>19940.622512842</v>
      </c>
      <c r="CM17" s="85">
        <v>1212.8620408124</v>
      </c>
      <c r="CN17" s="85">
        <v>0</v>
      </c>
      <c r="CO17" s="85">
        <v>0</v>
      </c>
      <c r="CP17" s="86">
        <v>95519.1559288451</v>
      </c>
      <c r="CQ17" s="85">
        <v>70651.8461302422</v>
      </c>
      <c r="CR17" s="85">
        <v>65511.4374390852</v>
      </c>
      <c r="CS17" s="85">
        <v>64192.1210951708</v>
      </c>
      <c r="CT17" s="85">
        <v>34979.1708643531</v>
      </c>
      <c r="CU17" s="85">
        <v>37037.428361574</v>
      </c>
      <c r="CV17" s="85">
        <v>32108.8122122753</v>
      </c>
      <c r="CW17" s="85">
        <v>69469.6285708333</v>
      </c>
      <c r="CX17" s="85">
        <v>97330.9128038282</v>
      </c>
      <c r="CY17" s="85">
        <v>33082.551654461</v>
      </c>
      <c r="CZ17" s="85">
        <v>3046.62416380833</v>
      </c>
      <c r="DA17" s="85">
        <v>3046.62416380833</v>
      </c>
      <c r="DB17" s="85">
        <v>3046.62416380833</v>
      </c>
      <c r="DC17" s="86">
        <v>513503.781623248</v>
      </c>
      <c r="DD17" s="85">
        <v>10243.165413532</v>
      </c>
      <c r="DE17" s="85">
        <v>5758.42751828407</v>
      </c>
      <c r="DF17" s="85">
        <v>2462.0525770911</v>
      </c>
      <c r="DG17" s="85">
        <v>1413.71121703558</v>
      </c>
      <c r="DH17" s="85">
        <v>238.925896601846</v>
      </c>
      <c r="DI17" s="85">
        <v>1507.47212169175</v>
      </c>
      <c r="DJ17" s="85">
        <v>17546.370306954</v>
      </c>
      <c r="DK17" s="85">
        <v>24136.0591162835</v>
      </c>
      <c r="DL17" s="85">
        <v>11929.1110505771</v>
      </c>
      <c r="DM17" s="85">
        <v>4797.50251866862</v>
      </c>
      <c r="DN17" s="85">
        <v>2741.23352055808</v>
      </c>
      <c r="DO17" s="85">
        <v>684.964522447527</v>
      </c>
      <c r="DP17" s="86">
        <v>83458.9957797253</v>
      </c>
      <c r="DQ17" s="85">
        <v>52811.4651012153</v>
      </c>
      <c r="DR17" s="85">
        <v>62214.3763157301</v>
      </c>
      <c r="DS17" s="85">
        <v>51814.9332800825</v>
      </c>
      <c r="DT17" s="85">
        <v>24912.3808373468</v>
      </c>
      <c r="DU17" s="85">
        <v>15061.7560944819</v>
      </c>
      <c r="DV17" s="85">
        <v>26481.6692017344</v>
      </c>
      <c r="DW17" s="85">
        <v>34979.5100790452</v>
      </c>
      <c r="DX17" s="85">
        <v>58076.1615504748</v>
      </c>
      <c r="DY17" s="85">
        <v>23154.5378159695</v>
      </c>
      <c r="DZ17" s="85">
        <v>0</v>
      </c>
      <c r="EA17" s="85">
        <v>0</v>
      </c>
      <c r="EB17" s="85">
        <v>0</v>
      </c>
      <c r="EC17" s="85">
        <v>349506.790276081</v>
      </c>
      <c r="ED17" s="87">
        <v>0</v>
      </c>
      <c r="EE17" s="85">
        <v>0</v>
      </c>
      <c r="EF17" s="85">
        <v>0</v>
      </c>
      <c r="EG17" s="85">
        <v>0</v>
      </c>
      <c r="EH17" s="85">
        <v>0</v>
      </c>
      <c r="EI17" s="85">
        <v>0</v>
      </c>
      <c r="EJ17" s="85">
        <v>0</v>
      </c>
      <c r="EK17" s="85">
        <v>0</v>
      </c>
      <c r="EL17" s="85">
        <v>0</v>
      </c>
      <c r="EM17" s="85">
        <v>0</v>
      </c>
      <c r="EN17" s="85">
        <v>0</v>
      </c>
      <c r="EO17" s="85">
        <v>0</v>
      </c>
      <c r="EP17" s="86">
        <v>0</v>
      </c>
      <c r="EQ17" s="85">
        <v>30627.5952814455</v>
      </c>
      <c r="ER17" s="85">
        <v>26616.0217872991</v>
      </c>
      <c r="ES17" s="85">
        <v>19386.4683060197</v>
      </c>
      <c r="ET17" s="85">
        <v>9363.71411805658</v>
      </c>
      <c r="EU17" s="85">
        <v>25357.5396347226</v>
      </c>
      <c r="EV17" s="85">
        <v>21642.1299804126</v>
      </c>
      <c r="EW17" s="85">
        <v>37212.5150122902</v>
      </c>
      <c r="EX17" s="85">
        <v>53543.7822125851</v>
      </c>
      <c r="EY17" s="85">
        <v>38634.8290120164</v>
      </c>
      <c r="EZ17" s="85">
        <v>182.334209947958</v>
      </c>
      <c r="FA17" s="85">
        <v>0</v>
      </c>
      <c r="FB17" s="85">
        <v>0</v>
      </c>
      <c r="FC17" s="85">
        <v>262566.929554796</v>
      </c>
      <c r="FD17" s="87">
        <v>0</v>
      </c>
      <c r="FE17" s="85">
        <v>0</v>
      </c>
      <c r="FF17" s="85">
        <v>0</v>
      </c>
      <c r="FG17" s="85">
        <v>0</v>
      </c>
      <c r="FH17" s="85">
        <v>0</v>
      </c>
      <c r="FI17" s="85">
        <v>0</v>
      </c>
      <c r="FJ17" s="85">
        <v>0</v>
      </c>
      <c r="FK17" s="85">
        <v>0</v>
      </c>
      <c r="FL17" s="85">
        <v>0</v>
      </c>
      <c r="FM17" s="85">
        <v>0</v>
      </c>
      <c r="FN17" s="85">
        <v>0</v>
      </c>
      <c r="FO17" s="85">
        <v>0</v>
      </c>
      <c r="FP17" s="86">
        <v>0</v>
      </c>
      <c r="FQ17" s="87">
        <v>21779.2357186656</v>
      </c>
      <c r="FR17" s="85">
        <v>16900.6306916726</v>
      </c>
      <c r="FS17" s="85">
        <v>30925.961367248</v>
      </c>
      <c r="FT17" s="85">
        <v>19654.6689135133</v>
      </c>
      <c r="FU17" s="85">
        <v>8156.59689593171</v>
      </c>
      <c r="FV17" s="85">
        <v>6754.32</v>
      </c>
      <c r="FW17" s="85">
        <v>40910.6</v>
      </c>
      <c r="FX17" s="85">
        <v>489074.6</v>
      </c>
      <c r="FY17" s="85">
        <v>5628.6</v>
      </c>
      <c r="FZ17" s="85">
        <v>5628.6</v>
      </c>
      <c r="GA17" s="85">
        <v>5628.6</v>
      </c>
      <c r="GB17" s="85">
        <v>5628.6</v>
      </c>
      <c r="GC17" s="86">
        <v>656671.013587031</v>
      </c>
    </row>
    <row r="18" ht="15" spans="1:185">
      <c r="A18" s="82"/>
      <c r="B18" s="83" t="s">
        <v>411</v>
      </c>
      <c r="C18" s="84">
        <v>5584517.59687056</v>
      </c>
      <c r="D18" s="85">
        <f t="shared" si="11"/>
        <v>1863983.08810589</v>
      </c>
      <c r="E18" s="85">
        <f t="shared" si="0"/>
        <v>1157735.35864397</v>
      </c>
      <c r="F18" s="85">
        <f t="shared" si="1"/>
        <v>1173929.16664705</v>
      </c>
      <c r="G18" s="85">
        <f t="shared" si="2"/>
        <v>1120206.53377136</v>
      </c>
      <c r="H18" s="85">
        <f t="shared" si="3"/>
        <v>1229839.99913272</v>
      </c>
      <c r="I18" s="85">
        <f t="shared" si="4"/>
        <v>27066.3445628426</v>
      </c>
      <c r="J18" s="85">
        <f t="shared" si="5"/>
        <v>22180.1095456807</v>
      </c>
      <c r="K18" s="85">
        <f t="shared" si="6"/>
        <v>18378.902837849</v>
      </c>
      <c r="L18" s="85">
        <f t="shared" si="7"/>
        <v>40385.7237761093</v>
      </c>
      <c r="M18" s="85">
        <f t="shared" si="8"/>
        <v>19635.8202115162</v>
      </c>
      <c r="N18" s="85">
        <f t="shared" si="9"/>
        <v>3434.73329766734</v>
      </c>
      <c r="O18" s="85">
        <f t="shared" si="10"/>
        <v>2378.71679980388</v>
      </c>
      <c r="P18" s="86">
        <f t="shared" si="12"/>
        <v>6679154.49733246</v>
      </c>
      <c r="Q18" s="85">
        <v>31360.3080218357</v>
      </c>
      <c r="R18" s="85">
        <v>16693.6963310086</v>
      </c>
      <c r="S18" s="85">
        <v>11557.1620695142</v>
      </c>
      <c r="T18" s="85">
        <v>10452.0743802647</v>
      </c>
      <c r="U18" s="85">
        <v>8259.01233357244</v>
      </c>
      <c r="V18" s="85">
        <v>8161.05791613961</v>
      </c>
      <c r="W18" s="85">
        <v>8161.05791613961</v>
      </c>
      <c r="X18" s="85">
        <v>8161.05791613961</v>
      </c>
      <c r="Y18" s="85">
        <v>6524.70366391872</v>
      </c>
      <c r="Z18" s="85">
        <v>1025.31057575866</v>
      </c>
      <c r="AA18" s="85">
        <v>1025.31057575866</v>
      </c>
      <c r="AB18" s="85">
        <v>0</v>
      </c>
      <c r="AC18" s="86">
        <v>111380.75170005</v>
      </c>
      <c r="AD18" s="85">
        <v>8329.99822619142</v>
      </c>
      <c r="AE18" s="85">
        <v>8927.58069466019</v>
      </c>
      <c r="AF18" s="85">
        <v>10374.7941943606</v>
      </c>
      <c r="AG18" s="85">
        <v>9066.37673785145</v>
      </c>
      <c r="AH18" s="85">
        <v>331395.766831637</v>
      </c>
      <c r="AI18" s="85">
        <v>2834.1272775547</v>
      </c>
      <c r="AJ18" s="85">
        <v>2025.83827059867</v>
      </c>
      <c r="AK18" s="85">
        <v>0</v>
      </c>
      <c r="AL18" s="85">
        <v>0</v>
      </c>
      <c r="AM18" s="85">
        <v>0</v>
      </c>
      <c r="AN18" s="85">
        <v>0</v>
      </c>
      <c r="AO18" s="85">
        <v>0</v>
      </c>
      <c r="AP18" s="86">
        <v>372954.482232854</v>
      </c>
      <c r="AQ18" s="85">
        <v>4536.12542231267</v>
      </c>
      <c r="AR18" s="85">
        <v>3329.90317179429</v>
      </c>
      <c r="AS18" s="85">
        <v>2663.79239220051</v>
      </c>
      <c r="AT18" s="85">
        <v>2672.06623497624</v>
      </c>
      <c r="AU18" s="85">
        <v>2454.58330956714</v>
      </c>
      <c r="AV18" s="85">
        <v>1507.20783761238</v>
      </c>
      <c r="AW18" s="85">
        <v>1507.20783761238</v>
      </c>
      <c r="AX18" s="85">
        <v>1507.20783761238</v>
      </c>
      <c r="AY18" s="85">
        <v>1507.20783761238</v>
      </c>
      <c r="AZ18" s="85">
        <v>1507.20783761238</v>
      </c>
      <c r="BA18" s="85">
        <v>1507.20783761238</v>
      </c>
      <c r="BB18" s="85">
        <v>1507.20783761238</v>
      </c>
      <c r="BC18" s="86">
        <v>26206.9253941375</v>
      </c>
      <c r="BD18" s="85">
        <v>51537.0583142756</v>
      </c>
      <c r="BE18" s="85">
        <v>92918.1867108466</v>
      </c>
      <c r="BF18" s="85">
        <v>4266.03478393461</v>
      </c>
      <c r="BG18" s="85">
        <v>1195.63626009557</v>
      </c>
      <c r="BH18" s="85">
        <v>1055.40969574262</v>
      </c>
      <c r="BI18" s="85">
        <v>765.727523515355</v>
      </c>
      <c r="BJ18" s="85">
        <v>0</v>
      </c>
      <c r="BK18" s="85">
        <v>0</v>
      </c>
      <c r="BL18" s="85">
        <v>0</v>
      </c>
      <c r="BM18" s="85">
        <v>0</v>
      </c>
      <c r="BN18" s="85">
        <v>0</v>
      </c>
      <c r="BO18" s="85">
        <v>0</v>
      </c>
      <c r="BP18" s="86">
        <v>151738.05328841</v>
      </c>
      <c r="BQ18" s="85">
        <v>1708780.68127957</v>
      </c>
      <c r="BR18" s="85">
        <v>998064.770384585</v>
      </c>
      <c r="BS18" s="85">
        <v>1121060.14554669</v>
      </c>
      <c r="BT18" s="85">
        <v>1081788.6857079</v>
      </c>
      <c r="BU18" s="85">
        <v>849490.53129173</v>
      </c>
      <c r="BV18" s="85">
        <v>6799.79299183643</v>
      </c>
      <c r="BW18" s="85">
        <v>4554.7387774232</v>
      </c>
      <c r="BX18" s="85">
        <v>4106.86180030541</v>
      </c>
      <c r="BY18" s="85">
        <v>30736.8331536938</v>
      </c>
      <c r="BZ18" s="85">
        <v>15409.2357443817</v>
      </c>
      <c r="CA18" s="85">
        <v>0</v>
      </c>
      <c r="CB18" s="85">
        <v>0</v>
      </c>
      <c r="CC18" s="86">
        <v>5820792.27667812</v>
      </c>
      <c r="CD18" s="85">
        <v>13703.1481703101</v>
      </c>
      <c r="CE18" s="85">
        <v>585.879531774961</v>
      </c>
      <c r="CF18" s="85">
        <v>306.810820206501</v>
      </c>
      <c r="CG18" s="85">
        <v>1743.21271233197</v>
      </c>
      <c r="CH18" s="85">
        <v>30177.3050392105</v>
      </c>
      <c r="CI18" s="85">
        <v>986.918550314786</v>
      </c>
      <c r="CJ18" s="85">
        <v>970.807146377629</v>
      </c>
      <c r="CK18" s="85">
        <v>1001.84073698249</v>
      </c>
      <c r="CL18" s="85">
        <v>993.908982995399</v>
      </c>
      <c r="CM18" s="85">
        <v>1070.99591587445</v>
      </c>
      <c r="CN18" s="85">
        <v>279.144746407285</v>
      </c>
      <c r="CO18" s="85">
        <v>248.438824302484</v>
      </c>
      <c r="CP18" s="86">
        <v>52068.4111770885</v>
      </c>
      <c r="CQ18" s="85">
        <v>4369.97730362877</v>
      </c>
      <c r="CR18" s="85">
        <v>1996.50681804963</v>
      </c>
      <c r="CS18" s="85">
        <v>1813.55865632722</v>
      </c>
      <c r="CT18" s="85">
        <v>1219.26647688818</v>
      </c>
      <c r="CU18" s="85">
        <v>844.579337799356</v>
      </c>
      <c r="CV18" s="85">
        <v>1217.17430273214</v>
      </c>
      <c r="CW18" s="85">
        <v>1217.17430273214</v>
      </c>
      <c r="CX18" s="85">
        <v>1217.17430273214</v>
      </c>
      <c r="CY18" s="85">
        <v>0</v>
      </c>
      <c r="CZ18" s="85">
        <v>0</v>
      </c>
      <c r="DA18" s="85">
        <v>0</v>
      </c>
      <c r="DB18" s="85">
        <v>0</v>
      </c>
      <c r="DC18" s="86">
        <v>13895.4115008896</v>
      </c>
      <c r="DD18" s="85">
        <v>2909.92612903567</v>
      </c>
      <c r="DE18" s="85">
        <v>3681.13022689772</v>
      </c>
      <c r="DF18" s="85">
        <v>1410.74220698235</v>
      </c>
      <c r="DG18" s="85">
        <v>398.216025874746</v>
      </c>
      <c r="DH18" s="85">
        <v>1214.95045013096</v>
      </c>
      <c r="DI18" s="85">
        <v>623.070137889016</v>
      </c>
      <c r="DJ18" s="85">
        <v>623.070137889016</v>
      </c>
      <c r="DK18" s="85">
        <v>623.070137889016</v>
      </c>
      <c r="DL18" s="85">
        <v>623.070137889016</v>
      </c>
      <c r="DM18" s="85">
        <v>623.070137889016</v>
      </c>
      <c r="DN18" s="85">
        <v>623.070137889016</v>
      </c>
      <c r="DO18" s="85">
        <v>623.070137889016</v>
      </c>
      <c r="DP18" s="86">
        <v>13976.4560041446</v>
      </c>
      <c r="DQ18" s="85">
        <v>46668.8293166007</v>
      </c>
      <c r="DR18" s="85">
        <v>20228.2493495939</v>
      </c>
      <c r="DS18" s="85">
        <v>10702.6548209704</v>
      </c>
      <c r="DT18" s="85">
        <v>8481.61433268788</v>
      </c>
      <c r="DU18" s="85">
        <v>4166.45621007718</v>
      </c>
      <c r="DV18" s="85">
        <v>4171.26802524817</v>
      </c>
      <c r="DW18" s="85">
        <v>3120.21515690809</v>
      </c>
      <c r="DX18" s="85">
        <v>1761.69010618793</v>
      </c>
      <c r="DY18" s="85">
        <v>0</v>
      </c>
      <c r="DZ18" s="85">
        <v>0</v>
      </c>
      <c r="EA18" s="85">
        <v>0</v>
      </c>
      <c r="EB18" s="85">
        <v>0</v>
      </c>
      <c r="EC18" s="85">
        <v>99300.9773182744</v>
      </c>
      <c r="ED18" s="87">
        <v>-17664.1689484989</v>
      </c>
      <c r="EE18" s="85">
        <v>0</v>
      </c>
      <c r="EF18" s="85">
        <v>0</v>
      </c>
      <c r="EG18" s="85">
        <v>0</v>
      </c>
      <c r="EH18" s="85">
        <v>0</v>
      </c>
      <c r="EI18" s="85">
        <v>0</v>
      </c>
      <c r="EJ18" s="85">
        <v>0</v>
      </c>
      <c r="EK18" s="85">
        <v>0</v>
      </c>
      <c r="EL18" s="85">
        <v>0</v>
      </c>
      <c r="EM18" s="85">
        <v>0</v>
      </c>
      <c r="EN18" s="85">
        <v>0</v>
      </c>
      <c r="EO18" s="85">
        <v>0</v>
      </c>
      <c r="EP18" s="86">
        <v>-17664.1689484989</v>
      </c>
      <c r="EQ18" s="85">
        <v>825.931630849263</v>
      </c>
      <c r="ER18" s="85">
        <v>8527.31025364076</v>
      </c>
      <c r="ES18" s="85">
        <v>8400.68133096478</v>
      </c>
      <c r="ET18" s="85">
        <v>0</v>
      </c>
      <c r="EU18" s="85">
        <v>0</v>
      </c>
      <c r="EV18" s="85">
        <v>0</v>
      </c>
      <c r="EW18" s="85">
        <v>0</v>
      </c>
      <c r="EX18" s="85">
        <v>0</v>
      </c>
      <c r="EY18" s="85">
        <v>0</v>
      </c>
      <c r="EZ18" s="85">
        <v>0</v>
      </c>
      <c r="FA18" s="85">
        <v>0</v>
      </c>
      <c r="FB18" s="85">
        <v>0</v>
      </c>
      <c r="FC18" s="85">
        <v>17753.9232154548</v>
      </c>
      <c r="FD18" s="87">
        <v>0</v>
      </c>
      <c r="FE18" s="85">
        <v>0</v>
      </c>
      <c r="FF18" s="85">
        <v>0</v>
      </c>
      <c r="FG18" s="85">
        <v>0</v>
      </c>
      <c r="FH18" s="85">
        <v>0</v>
      </c>
      <c r="FI18" s="85">
        <v>0</v>
      </c>
      <c r="FJ18" s="85">
        <v>0</v>
      </c>
      <c r="FK18" s="85">
        <v>0</v>
      </c>
      <c r="FL18" s="85">
        <v>0</v>
      </c>
      <c r="FM18" s="85">
        <v>0</v>
      </c>
      <c r="FN18" s="85">
        <v>0</v>
      </c>
      <c r="FO18" s="85">
        <v>0</v>
      </c>
      <c r="FP18" s="86">
        <v>0</v>
      </c>
      <c r="FQ18" s="87">
        <v>8625.27323977843</v>
      </c>
      <c r="FR18" s="85">
        <v>2782.14517112327</v>
      </c>
      <c r="FS18" s="85">
        <v>1372.78982489351</v>
      </c>
      <c r="FT18" s="85">
        <v>3189.38490249063</v>
      </c>
      <c r="FU18" s="85">
        <v>781.404633255227</v>
      </c>
      <c r="FV18" s="85">
        <v>0</v>
      </c>
      <c r="FW18" s="85">
        <v>0</v>
      </c>
      <c r="FX18" s="85">
        <v>0</v>
      </c>
      <c r="FY18" s="85">
        <v>0</v>
      </c>
      <c r="FZ18" s="85">
        <v>0</v>
      </c>
      <c r="GA18" s="85">
        <v>0</v>
      </c>
      <c r="GB18" s="85">
        <v>0</v>
      </c>
      <c r="GC18" s="86">
        <v>16750.9977715411</v>
      </c>
    </row>
    <row r="19" ht="15" spans="1:185">
      <c r="A19" s="82"/>
      <c r="B19" s="83" t="s">
        <v>412</v>
      </c>
      <c r="C19" s="84">
        <v>175927662.032149</v>
      </c>
      <c r="D19" s="85">
        <f t="shared" si="11"/>
        <v>13356408.8804318</v>
      </c>
      <c r="E19" s="85">
        <f t="shared" si="0"/>
        <v>11639080.3572128</v>
      </c>
      <c r="F19" s="85">
        <f t="shared" si="1"/>
        <v>8830854.78007519</v>
      </c>
      <c r="G19" s="85">
        <f t="shared" si="2"/>
        <v>7968626.03805547</v>
      </c>
      <c r="H19" s="85">
        <f t="shared" si="3"/>
        <v>9530110.78584773</v>
      </c>
      <c r="I19" s="85">
        <f t="shared" si="4"/>
        <v>8240614.3218911</v>
      </c>
      <c r="J19" s="85">
        <f t="shared" si="5"/>
        <v>9686027.56975941</v>
      </c>
      <c r="K19" s="85">
        <f t="shared" si="6"/>
        <v>14508524.8680652</v>
      </c>
      <c r="L19" s="85">
        <f t="shared" si="7"/>
        <v>13243719.3159947</v>
      </c>
      <c r="M19" s="85">
        <f t="shared" si="8"/>
        <v>9914356.88180987</v>
      </c>
      <c r="N19" s="85">
        <f t="shared" si="9"/>
        <v>6493073.46151998</v>
      </c>
      <c r="O19" s="85">
        <f t="shared" si="10"/>
        <v>4155151.16464965</v>
      </c>
      <c r="P19" s="86">
        <f t="shared" si="12"/>
        <v>117566548.425313</v>
      </c>
      <c r="Q19" s="85">
        <v>1819136.43610908</v>
      </c>
      <c r="R19" s="85">
        <v>1388390.84097301</v>
      </c>
      <c r="S19" s="85">
        <v>977828.931089565</v>
      </c>
      <c r="T19" s="85">
        <v>1002438.45406228</v>
      </c>
      <c r="U19" s="85">
        <v>1357352.09857581</v>
      </c>
      <c r="V19" s="85">
        <v>1275982.44085568</v>
      </c>
      <c r="W19" s="85">
        <v>1357087.61439993</v>
      </c>
      <c r="X19" s="85">
        <v>1865665.48032293</v>
      </c>
      <c r="Y19" s="85">
        <v>1764462.14815931</v>
      </c>
      <c r="Z19" s="85">
        <v>1253432.85785972</v>
      </c>
      <c r="AA19" s="85">
        <v>681582.972739929</v>
      </c>
      <c r="AB19" s="85">
        <v>367796.50986785</v>
      </c>
      <c r="AC19" s="86">
        <v>15111156.7850151</v>
      </c>
      <c r="AD19" s="85">
        <v>546416.360129361</v>
      </c>
      <c r="AE19" s="85">
        <v>424776.686598403</v>
      </c>
      <c r="AF19" s="85">
        <v>391344.301832356</v>
      </c>
      <c r="AG19" s="85">
        <v>422625.829851078</v>
      </c>
      <c r="AH19" s="85">
        <v>468587.369146763</v>
      </c>
      <c r="AI19" s="85">
        <v>612564.381798235</v>
      </c>
      <c r="AJ19" s="85">
        <v>779923.178565086</v>
      </c>
      <c r="AK19" s="85">
        <v>808276.729148334</v>
      </c>
      <c r="AL19" s="85">
        <v>1140345.38567063</v>
      </c>
      <c r="AM19" s="85">
        <v>1042933.25937409</v>
      </c>
      <c r="AN19" s="85">
        <v>695509.158020908</v>
      </c>
      <c r="AO19" s="85">
        <v>420036.079245158</v>
      </c>
      <c r="AP19" s="86">
        <v>7753338.7193804</v>
      </c>
      <c r="AQ19" s="85">
        <v>1246549.50827658</v>
      </c>
      <c r="AR19" s="85">
        <v>1268451.01280174</v>
      </c>
      <c r="AS19" s="85">
        <v>1723914.56996104</v>
      </c>
      <c r="AT19" s="85">
        <v>914656.504686167</v>
      </c>
      <c r="AU19" s="85">
        <v>1221129.84473836</v>
      </c>
      <c r="AV19" s="85">
        <v>837749.996879475</v>
      </c>
      <c r="AW19" s="85">
        <v>1245115.84179972</v>
      </c>
      <c r="AX19" s="85">
        <v>1742131.93518757</v>
      </c>
      <c r="AY19" s="85">
        <v>1833800.12508536</v>
      </c>
      <c r="AZ19" s="85">
        <v>1085944.20092873</v>
      </c>
      <c r="BA19" s="85">
        <v>898919.550004468</v>
      </c>
      <c r="BB19" s="85">
        <v>473772.277530636</v>
      </c>
      <c r="BC19" s="86">
        <v>14492135.3678799</v>
      </c>
      <c r="BD19" s="85">
        <v>1217536.82896846</v>
      </c>
      <c r="BE19" s="85">
        <v>1321294.18478876</v>
      </c>
      <c r="BF19" s="85">
        <v>666006.887618411</v>
      </c>
      <c r="BG19" s="85">
        <v>480481.980454162</v>
      </c>
      <c r="BH19" s="85">
        <v>660204.436044818</v>
      </c>
      <c r="BI19" s="85">
        <v>563770.111947117</v>
      </c>
      <c r="BJ19" s="85">
        <v>854366.285328344</v>
      </c>
      <c r="BK19" s="85">
        <v>1544482.72775907</v>
      </c>
      <c r="BL19" s="85">
        <v>1225635.849533</v>
      </c>
      <c r="BM19" s="85">
        <v>779077.48013745</v>
      </c>
      <c r="BN19" s="85">
        <v>635097.501852215</v>
      </c>
      <c r="BO19" s="85">
        <v>413320.122819249</v>
      </c>
      <c r="BP19" s="86">
        <v>10361274.3972511</v>
      </c>
      <c r="BQ19" s="85">
        <v>3318878.54488755</v>
      </c>
      <c r="BR19" s="85">
        <v>2709111.90052439</v>
      </c>
      <c r="BS19" s="85">
        <v>1970293.65336698</v>
      </c>
      <c r="BT19" s="85">
        <v>1734002.75216016</v>
      </c>
      <c r="BU19" s="85">
        <v>1993478.03261737</v>
      </c>
      <c r="BV19" s="85">
        <v>1530005.58098838</v>
      </c>
      <c r="BW19" s="85">
        <v>1582859.59975134</v>
      </c>
      <c r="BX19" s="85">
        <v>2865236.8347557</v>
      </c>
      <c r="BY19" s="85">
        <v>2120609.04512308</v>
      </c>
      <c r="BZ19" s="85">
        <v>1609691.39921087</v>
      </c>
      <c r="CA19" s="85">
        <v>1477430.49320357</v>
      </c>
      <c r="CB19" s="85">
        <v>763639.316911951</v>
      </c>
      <c r="CC19" s="86">
        <v>23675237.1535014</v>
      </c>
      <c r="CD19" s="85">
        <v>181327.799398186</v>
      </c>
      <c r="CE19" s="85">
        <v>222460.560150477</v>
      </c>
      <c r="CF19" s="85">
        <v>204034.560851132</v>
      </c>
      <c r="CG19" s="85">
        <v>329394.963903085</v>
      </c>
      <c r="CH19" s="85">
        <v>339630.63701854</v>
      </c>
      <c r="CI19" s="85">
        <v>352794.164463309</v>
      </c>
      <c r="CJ19" s="85">
        <v>394566.359803294</v>
      </c>
      <c r="CK19" s="85">
        <v>534331.335690976</v>
      </c>
      <c r="CL19" s="85">
        <v>633865.649366297</v>
      </c>
      <c r="CM19" s="85">
        <v>450466.007572317</v>
      </c>
      <c r="CN19" s="85">
        <v>256222.247724764</v>
      </c>
      <c r="CO19" s="85">
        <v>128775.926518842</v>
      </c>
      <c r="CP19" s="86">
        <v>4027870.21246122</v>
      </c>
      <c r="CQ19" s="85">
        <v>1279906.3928994</v>
      </c>
      <c r="CR19" s="85">
        <v>1410361.10900596</v>
      </c>
      <c r="CS19" s="85">
        <v>796304.575393322</v>
      </c>
      <c r="CT19" s="85">
        <v>570669.752719671</v>
      </c>
      <c r="CU19" s="85">
        <v>852545.581892328</v>
      </c>
      <c r="CV19" s="85">
        <v>651890.54104721</v>
      </c>
      <c r="CW19" s="85">
        <v>697429.685021017</v>
      </c>
      <c r="CX19" s="85">
        <v>1434611.97898769</v>
      </c>
      <c r="CY19" s="85">
        <v>1118474.34498443</v>
      </c>
      <c r="CZ19" s="85">
        <v>670392.557627024</v>
      </c>
      <c r="DA19" s="85">
        <v>637184.600135312</v>
      </c>
      <c r="DB19" s="85">
        <v>312457.249794289</v>
      </c>
      <c r="DC19" s="86">
        <v>10432228.3695077</v>
      </c>
      <c r="DD19" s="85">
        <v>72559.4133149279</v>
      </c>
      <c r="DE19" s="85">
        <v>78292.55152921</v>
      </c>
      <c r="DF19" s="85">
        <v>54750.7910458379</v>
      </c>
      <c r="DG19" s="85">
        <v>61230.1787013286</v>
      </c>
      <c r="DH19" s="85">
        <v>75119.333705357</v>
      </c>
      <c r="DI19" s="85">
        <v>92944.7341453648</v>
      </c>
      <c r="DJ19" s="85">
        <v>106224.518210085</v>
      </c>
      <c r="DK19" s="85">
        <v>139705.253963936</v>
      </c>
      <c r="DL19" s="85">
        <v>132779.960047223</v>
      </c>
      <c r="DM19" s="85">
        <v>136270.803336323</v>
      </c>
      <c r="DN19" s="85">
        <v>72668.1337639964</v>
      </c>
      <c r="DO19" s="85">
        <v>52094.4403367472</v>
      </c>
      <c r="DP19" s="86">
        <v>1074640.11210034</v>
      </c>
      <c r="DQ19" s="85">
        <v>1077648.54454001</v>
      </c>
      <c r="DR19" s="85">
        <v>994696.021676202</v>
      </c>
      <c r="DS19" s="85">
        <v>779668.891732274</v>
      </c>
      <c r="DT19" s="85">
        <v>708047.971211836</v>
      </c>
      <c r="DU19" s="85">
        <v>758380.103709708</v>
      </c>
      <c r="DV19" s="85">
        <v>748796.731911088</v>
      </c>
      <c r="DW19" s="85">
        <v>633047.573865606</v>
      </c>
      <c r="DX19" s="85">
        <v>832575.057931539</v>
      </c>
      <c r="DY19" s="85">
        <v>992581.38541226</v>
      </c>
      <c r="DZ19" s="85">
        <v>475642.210050121</v>
      </c>
      <c r="EA19" s="85">
        <v>301517.261949906</v>
      </c>
      <c r="EB19" s="85">
        <v>135510.5207059</v>
      </c>
      <c r="EC19" s="85">
        <v>8438112.27469645</v>
      </c>
      <c r="ED19" s="87">
        <v>47899.402624517</v>
      </c>
      <c r="EE19" s="85">
        <v>31898.1411187992</v>
      </c>
      <c r="EF19" s="85">
        <v>0</v>
      </c>
      <c r="EG19" s="85">
        <v>0</v>
      </c>
      <c r="EH19" s="85">
        <v>0</v>
      </c>
      <c r="EI19" s="85">
        <v>0</v>
      </c>
      <c r="EJ19" s="85">
        <v>0</v>
      </c>
      <c r="EK19" s="85">
        <v>0</v>
      </c>
      <c r="EL19" s="85">
        <v>0</v>
      </c>
      <c r="EM19" s="85">
        <v>0</v>
      </c>
      <c r="EN19" s="85">
        <v>0</v>
      </c>
      <c r="EO19" s="85">
        <v>0</v>
      </c>
      <c r="EP19" s="86">
        <v>79797.5437433162</v>
      </c>
      <c r="EQ19" s="85">
        <v>246875.297159827</v>
      </c>
      <c r="ER19" s="85">
        <v>271801.690214389</v>
      </c>
      <c r="ES19" s="85">
        <v>206852.367639894</v>
      </c>
      <c r="ET19" s="85">
        <v>223172.360326285</v>
      </c>
      <c r="EU19" s="85">
        <v>270261.861219679</v>
      </c>
      <c r="EV19" s="85">
        <v>365010.937855244</v>
      </c>
      <c r="EW19" s="85">
        <v>437280.993014985</v>
      </c>
      <c r="EX19" s="85">
        <v>601227.074317397</v>
      </c>
      <c r="EY19" s="85">
        <v>713249.862613075</v>
      </c>
      <c r="EZ19" s="85">
        <v>513936.945713225</v>
      </c>
      <c r="FA19" s="85">
        <v>205044.462124909</v>
      </c>
      <c r="FB19" s="85">
        <v>373844.000919025</v>
      </c>
      <c r="FC19" s="85">
        <v>4428557.85311793</v>
      </c>
      <c r="FD19" s="87">
        <v>171453.212874453</v>
      </c>
      <c r="FE19" s="85">
        <v>63164.761512266</v>
      </c>
      <c r="FF19" s="85">
        <v>0</v>
      </c>
      <c r="FG19" s="85">
        <v>0</v>
      </c>
      <c r="FH19" s="85">
        <v>0</v>
      </c>
      <c r="FI19" s="85">
        <v>0</v>
      </c>
      <c r="FJ19" s="85">
        <v>0</v>
      </c>
      <c r="FK19" s="85">
        <v>0</v>
      </c>
      <c r="FL19" s="85">
        <v>0</v>
      </c>
      <c r="FM19" s="85">
        <v>0</v>
      </c>
      <c r="FN19" s="85">
        <v>0</v>
      </c>
      <c r="FO19" s="85">
        <v>0</v>
      </c>
      <c r="FP19" s="86">
        <v>0</v>
      </c>
      <c r="FQ19" s="87">
        <v>2130221.13924941</v>
      </c>
      <c r="FR19" s="85">
        <v>1454380.89631915</v>
      </c>
      <c r="FS19" s="85">
        <v>1059855.24954438</v>
      </c>
      <c r="FT19" s="85">
        <v>1521905.28997942</v>
      </c>
      <c r="FU19" s="85">
        <v>1533421.48717899</v>
      </c>
      <c r="FV19" s="85">
        <v>1209104.7</v>
      </c>
      <c r="FW19" s="85">
        <v>1598125.92</v>
      </c>
      <c r="FX19" s="85">
        <v>2140280.46</v>
      </c>
      <c r="FY19" s="85">
        <v>1567915.56</v>
      </c>
      <c r="FZ19" s="85">
        <v>1896569.16</v>
      </c>
      <c r="GA19" s="85">
        <v>631897.08</v>
      </c>
      <c r="GB19" s="85">
        <v>713904.72</v>
      </c>
      <c r="GC19" s="86">
        <v>17457581.6622713</v>
      </c>
    </row>
    <row r="20" ht="15" spans="1:185">
      <c r="A20" s="82"/>
      <c r="B20" s="83" t="s">
        <v>413</v>
      </c>
      <c r="C20" s="84">
        <v>109158710.962192</v>
      </c>
      <c r="D20" s="85">
        <f t="shared" si="11"/>
        <v>5806605.00723812</v>
      </c>
      <c r="E20" s="85">
        <f t="shared" si="0"/>
        <v>4453103.59656121</v>
      </c>
      <c r="F20" s="85">
        <f t="shared" si="1"/>
        <v>3943669.83018129</v>
      </c>
      <c r="G20" s="85">
        <f t="shared" si="2"/>
        <v>7265564.71990065</v>
      </c>
      <c r="H20" s="85">
        <f t="shared" si="3"/>
        <v>5692871.33704741</v>
      </c>
      <c r="I20" s="85">
        <f t="shared" si="4"/>
        <v>4240174.7290932</v>
      </c>
      <c r="J20" s="85">
        <f t="shared" si="5"/>
        <v>3490713.49701072</v>
      </c>
      <c r="K20" s="85">
        <f t="shared" si="6"/>
        <v>9142972.02062001</v>
      </c>
      <c r="L20" s="85">
        <f t="shared" si="7"/>
        <v>8934161.85636271</v>
      </c>
      <c r="M20" s="85">
        <f t="shared" si="8"/>
        <v>7892479.25589934</v>
      </c>
      <c r="N20" s="85">
        <f t="shared" si="9"/>
        <v>7820446.31322222</v>
      </c>
      <c r="O20" s="85">
        <f t="shared" si="10"/>
        <v>3746478.61086599</v>
      </c>
      <c r="P20" s="86">
        <f t="shared" si="12"/>
        <v>72429240.7740029</v>
      </c>
      <c r="Q20" s="85">
        <v>165838.56953785</v>
      </c>
      <c r="R20" s="85">
        <v>226984.189535956</v>
      </c>
      <c r="S20" s="85">
        <v>118533.214126335</v>
      </c>
      <c r="T20" s="85">
        <v>354071.427598455</v>
      </c>
      <c r="U20" s="85">
        <v>326585.937101727</v>
      </c>
      <c r="V20" s="85">
        <v>465949.801985401</v>
      </c>
      <c r="W20" s="85">
        <v>467120.105975913</v>
      </c>
      <c r="X20" s="85">
        <v>1595251.72613994</v>
      </c>
      <c r="Y20" s="85">
        <v>1342476.42086175</v>
      </c>
      <c r="Z20" s="85">
        <v>544650.15617924</v>
      </c>
      <c r="AA20" s="85">
        <v>696859.064651484</v>
      </c>
      <c r="AB20" s="85">
        <v>536548.13129625</v>
      </c>
      <c r="AC20" s="86">
        <v>6840868.7449903</v>
      </c>
      <c r="AD20" s="85">
        <v>86040.9992495244</v>
      </c>
      <c r="AE20" s="85">
        <v>42421.0054885883</v>
      </c>
      <c r="AF20" s="85">
        <v>32778.0976730425</v>
      </c>
      <c r="AG20" s="85">
        <v>208838.154092085</v>
      </c>
      <c r="AH20" s="85">
        <v>186497.769038149</v>
      </c>
      <c r="AI20" s="85">
        <v>252341.689067824</v>
      </c>
      <c r="AJ20" s="85">
        <v>243358.426433553</v>
      </c>
      <c r="AK20" s="85">
        <v>1385624.26585869</v>
      </c>
      <c r="AL20" s="85">
        <v>907209.257298469</v>
      </c>
      <c r="AM20" s="85">
        <v>369523.132063614</v>
      </c>
      <c r="AN20" s="85">
        <v>420936.451809868</v>
      </c>
      <c r="AO20" s="85">
        <v>405614.770950164</v>
      </c>
      <c r="AP20" s="86">
        <v>4541184.01902357</v>
      </c>
      <c r="AQ20" s="85">
        <v>180381.731901398</v>
      </c>
      <c r="AR20" s="85">
        <v>130539.114667745</v>
      </c>
      <c r="AS20" s="85">
        <v>90407.3165095947</v>
      </c>
      <c r="AT20" s="85">
        <v>166549.314942784</v>
      </c>
      <c r="AU20" s="85">
        <v>197074.007139907</v>
      </c>
      <c r="AV20" s="85">
        <v>136895.490602684</v>
      </c>
      <c r="AW20" s="85">
        <v>126373.653609731</v>
      </c>
      <c r="AX20" s="85">
        <v>403405.131665965</v>
      </c>
      <c r="AY20" s="85">
        <v>400780.8729563</v>
      </c>
      <c r="AZ20" s="85">
        <v>350542.201584239</v>
      </c>
      <c r="BA20" s="85">
        <v>480324.243550799</v>
      </c>
      <c r="BB20" s="85">
        <v>80103.3269240424</v>
      </c>
      <c r="BC20" s="86">
        <v>2743376.40605519</v>
      </c>
      <c r="BD20" s="85">
        <v>705171.388644782</v>
      </c>
      <c r="BE20" s="85">
        <v>432730.26406985</v>
      </c>
      <c r="BF20" s="85">
        <v>439679.806321991</v>
      </c>
      <c r="BG20" s="85">
        <v>879742.800112837</v>
      </c>
      <c r="BH20" s="85">
        <v>782071.15326187</v>
      </c>
      <c r="BI20" s="85">
        <v>524498.860640094</v>
      </c>
      <c r="BJ20" s="85">
        <v>402724.980536804</v>
      </c>
      <c r="BK20" s="85">
        <v>741831.410546661</v>
      </c>
      <c r="BL20" s="85">
        <v>776669.434659459</v>
      </c>
      <c r="BM20" s="85">
        <v>842091.44108775</v>
      </c>
      <c r="BN20" s="85">
        <v>844721.212380631</v>
      </c>
      <c r="BO20" s="85">
        <v>353523.764392005</v>
      </c>
      <c r="BP20" s="86">
        <v>7725456.51665473</v>
      </c>
      <c r="BQ20" s="85">
        <v>2397573.37988658</v>
      </c>
      <c r="BR20" s="85">
        <v>1886044.44229877</v>
      </c>
      <c r="BS20" s="85">
        <v>1182908.77692008</v>
      </c>
      <c r="BT20" s="85">
        <v>1240409.70645851</v>
      </c>
      <c r="BU20" s="85">
        <v>1758310.25300069</v>
      </c>
      <c r="BV20" s="85">
        <v>1137248.08643173</v>
      </c>
      <c r="BW20" s="85">
        <v>744851.161188301</v>
      </c>
      <c r="BX20" s="85">
        <v>1623043.80245781</v>
      </c>
      <c r="BY20" s="85">
        <v>1646141.78195367</v>
      </c>
      <c r="BZ20" s="85">
        <v>1589384.99722808</v>
      </c>
      <c r="CA20" s="85">
        <v>2012943.95528702</v>
      </c>
      <c r="CB20" s="85">
        <v>933781.544257293</v>
      </c>
      <c r="CC20" s="86">
        <v>18152641.8873685</v>
      </c>
      <c r="CD20" s="85">
        <v>103643.886687952</v>
      </c>
      <c r="CE20" s="85">
        <v>79371.3277924229</v>
      </c>
      <c r="CF20" s="85">
        <v>71088.8158826285</v>
      </c>
      <c r="CG20" s="85">
        <v>185996.893510481</v>
      </c>
      <c r="CH20" s="85">
        <v>122858.640723764</v>
      </c>
      <c r="CI20" s="85">
        <v>152809.750816464</v>
      </c>
      <c r="CJ20" s="85">
        <v>145652.857365315</v>
      </c>
      <c r="CK20" s="85">
        <v>230229.521585278</v>
      </c>
      <c r="CL20" s="85">
        <v>333023.079043808</v>
      </c>
      <c r="CM20" s="85">
        <v>406979.067633396</v>
      </c>
      <c r="CN20" s="85">
        <v>231867.342801297</v>
      </c>
      <c r="CO20" s="85">
        <v>163638.976474067</v>
      </c>
      <c r="CP20" s="86">
        <v>2227160.16031687</v>
      </c>
      <c r="CQ20" s="85">
        <v>558736.692114113</v>
      </c>
      <c r="CR20" s="85">
        <v>636293.490732141</v>
      </c>
      <c r="CS20" s="85">
        <v>519319.864273407</v>
      </c>
      <c r="CT20" s="85">
        <v>937901.793940521</v>
      </c>
      <c r="CU20" s="85">
        <v>660902.759197751</v>
      </c>
      <c r="CV20" s="85">
        <v>493168.956145615</v>
      </c>
      <c r="CW20" s="85">
        <v>329060.197422469</v>
      </c>
      <c r="CX20" s="85">
        <v>676402.844215821</v>
      </c>
      <c r="CY20" s="85">
        <v>829672.415819424</v>
      </c>
      <c r="CZ20" s="85">
        <v>893147.749716933</v>
      </c>
      <c r="DA20" s="85">
        <v>819305.84201785</v>
      </c>
      <c r="DB20" s="85">
        <v>337968.731391958</v>
      </c>
      <c r="DC20" s="86">
        <v>7691881.336988</v>
      </c>
      <c r="DD20" s="85">
        <v>81747.8753257727</v>
      </c>
      <c r="DE20" s="85">
        <v>50534.9344583739</v>
      </c>
      <c r="DF20" s="85">
        <v>54379.5358181357</v>
      </c>
      <c r="DG20" s="85">
        <v>61304.5621318868</v>
      </c>
      <c r="DH20" s="85">
        <v>76258.2677297651</v>
      </c>
      <c r="DI20" s="85">
        <v>75831.6245303203</v>
      </c>
      <c r="DJ20" s="85">
        <v>50183.9670000411</v>
      </c>
      <c r="DK20" s="85">
        <v>83038.881754467</v>
      </c>
      <c r="DL20" s="85">
        <v>125560.323946164</v>
      </c>
      <c r="DM20" s="85">
        <v>119295.236798075</v>
      </c>
      <c r="DN20" s="85">
        <v>114023.210664458</v>
      </c>
      <c r="DO20" s="85">
        <v>131033.162971905</v>
      </c>
      <c r="DP20" s="86">
        <v>1023191.58312936</v>
      </c>
      <c r="DQ20" s="85">
        <v>362071.964749734</v>
      </c>
      <c r="DR20" s="85">
        <v>421827.186487252</v>
      </c>
      <c r="DS20" s="85">
        <v>333151.1736913</v>
      </c>
      <c r="DT20" s="85">
        <v>634829.545947542</v>
      </c>
      <c r="DU20" s="85">
        <v>444761.856629536</v>
      </c>
      <c r="DV20" s="85">
        <v>536273.841932724</v>
      </c>
      <c r="DW20" s="85">
        <v>418213.936312518</v>
      </c>
      <c r="DX20" s="85">
        <v>587935.443515075</v>
      </c>
      <c r="DY20" s="85">
        <v>678437.370421654</v>
      </c>
      <c r="DZ20" s="85">
        <v>482230.899672551</v>
      </c>
      <c r="EA20" s="85">
        <v>858579.988377022</v>
      </c>
      <c r="EB20" s="85">
        <v>355334.306280167</v>
      </c>
      <c r="EC20" s="85">
        <v>6113647.51401707</v>
      </c>
      <c r="ED20" s="87">
        <v>7630.22840184296</v>
      </c>
      <c r="EE20" s="85">
        <v>0</v>
      </c>
      <c r="EF20" s="85">
        <v>0</v>
      </c>
      <c r="EG20" s="85">
        <v>0</v>
      </c>
      <c r="EH20" s="85">
        <v>0</v>
      </c>
      <c r="EI20" s="85">
        <v>0</v>
      </c>
      <c r="EJ20" s="85">
        <v>0</v>
      </c>
      <c r="EK20" s="85">
        <v>0</v>
      </c>
      <c r="EL20" s="85">
        <v>0</v>
      </c>
      <c r="EM20" s="85">
        <v>0</v>
      </c>
      <c r="EN20" s="85">
        <v>0</v>
      </c>
      <c r="EO20" s="85">
        <v>0</v>
      </c>
      <c r="EP20" s="86">
        <v>7630.22840184296</v>
      </c>
      <c r="EQ20" s="85">
        <v>66224.7862003858</v>
      </c>
      <c r="ER20" s="85">
        <v>116463.467156705</v>
      </c>
      <c r="ES20" s="85">
        <v>111122.451947146</v>
      </c>
      <c r="ET20" s="85">
        <v>187042.783035304</v>
      </c>
      <c r="EU20" s="85">
        <v>160431.304803604</v>
      </c>
      <c r="EV20" s="85">
        <v>140430.302940343</v>
      </c>
      <c r="EW20" s="85">
        <v>172052.591166075</v>
      </c>
      <c r="EX20" s="85">
        <v>353620.232880307</v>
      </c>
      <c r="EY20" s="85">
        <v>647562.199402017</v>
      </c>
      <c r="EZ20" s="85">
        <v>383524.073935463</v>
      </c>
      <c r="FA20" s="85">
        <v>268392.441681793</v>
      </c>
      <c r="FB20" s="85">
        <v>308670.015928144</v>
      </c>
      <c r="FC20" s="85">
        <v>2915536.65107729</v>
      </c>
      <c r="FD20" s="87">
        <v>24348.6530357933</v>
      </c>
      <c r="FE20" s="85">
        <v>41737.3055983342</v>
      </c>
      <c r="FF20" s="85">
        <v>0</v>
      </c>
      <c r="FG20" s="85">
        <v>0</v>
      </c>
      <c r="FH20" s="85">
        <v>0</v>
      </c>
      <c r="FI20" s="85">
        <v>0</v>
      </c>
      <c r="FJ20" s="85">
        <v>0</v>
      </c>
      <c r="FK20" s="85">
        <v>0</v>
      </c>
      <c r="FL20" s="85">
        <v>0</v>
      </c>
      <c r="FM20" s="85">
        <v>0</v>
      </c>
      <c r="FN20" s="85">
        <v>0</v>
      </c>
      <c r="FO20" s="85">
        <v>0</v>
      </c>
      <c r="FP20" s="86">
        <v>0</v>
      </c>
      <c r="FQ20" s="87">
        <v>1067194.85150239</v>
      </c>
      <c r="FR20" s="85">
        <v>388156.868275076</v>
      </c>
      <c r="FS20" s="85">
        <v>990300.77701762</v>
      </c>
      <c r="FT20" s="85">
        <v>2408877.73813025</v>
      </c>
      <c r="FU20" s="85">
        <v>977119.388420649</v>
      </c>
      <c r="FV20" s="85">
        <v>324726.324</v>
      </c>
      <c r="FW20" s="85">
        <v>391121.62</v>
      </c>
      <c r="FX20" s="85">
        <v>1462588.76</v>
      </c>
      <c r="FY20" s="85">
        <v>1246628.7</v>
      </c>
      <c r="FZ20" s="85">
        <v>1911110.3</v>
      </c>
      <c r="GA20" s="85">
        <v>1072492.56</v>
      </c>
      <c r="GB20" s="85">
        <v>140261.88</v>
      </c>
      <c r="GC20" s="86">
        <v>12380579.767346</v>
      </c>
    </row>
    <row r="21" ht="15" spans="1:185">
      <c r="A21" s="82"/>
      <c r="B21" s="83" t="s">
        <v>414</v>
      </c>
      <c r="C21" s="84">
        <v>0</v>
      </c>
      <c r="D21" s="85">
        <f t="shared" si="11"/>
        <v>0</v>
      </c>
      <c r="E21" s="85">
        <f t="shared" si="0"/>
        <v>0</v>
      </c>
      <c r="F21" s="85">
        <f t="shared" si="1"/>
        <v>15931.9887074679</v>
      </c>
      <c r="G21" s="85">
        <f t="shared" si="2"/>
        <v>11770.8428979821</v>
      </c>
      <c r="H21" s="85">
        <f t="shared" si="3"/>
        <v>0</v>
      </c>
      <c r="I21" s="85">
        <f t="shared" si="4"/>
        <v>0</v>
      </c>
      <c r="J21" s="85">
        <f t="shared" si="5"/>
        <v>0</v>
      </c>
      <c r="K21" s="85">
        <f t="shared" si="6"/>
        <v>0</v>
      </c>
      <c r="L21" s="85">
        <f t="shared" si="7"/>
        <v>0</v>
      </c>
      <c r="M21" s="85">
        <f t="shared" si="8"/>
        <v>0</v>
      </c>
      <c r="N21" s="85">
        <f t="shared" si="9"/>
        <v>0</v>
      </c>
      <c r="O21" s="85">
        <f t="shared" si="10"/>
        <v>0</v>
      </c>
      <c r="P21" s="86">
        <f t="shared" si="12"/>
        <v>27702.83160545</v>
      </c>
      <c r="Q21" s="85">
        <v>0</v>
      </c>
      <c r="R21" s="85">
        <v>0</v>
      </c>
      <c r="S21" s="85">
        <v>0</v>
      </c>
      <c r="T21" s="85">
        <v>0</v>
      </c>
      <c r="U21" s="85">
        <v>0</v>
      </c>
      <c r="V21" s="85">
        <v>0</v>
      </c>
      <c r="W21" s="85">
        <v>0</v>
      </c>
      <c r="X21" s="85">
        <v>0</v>
      </c>
      <c r="Y21" s="85">
        <v>0</v>
      </c>
      <c r="Z21" s="85">
        <v>0</v>
      </c>
      <c r="AA21" s="85">
        <v>0</v>
      </c>
      <c r="AB21" s="85">
        <v>0</v>
      </c>
      <c r="AC21" s="86">
        <v>0</v>
      </c>
      <c r="AD21" s="85">
        <v>0</v>
      </c>
      <c r="AE21" s="85">
        <v>0</v>
      </c>
      <c r="AF21" s="85">
        <v>0</v>
      </c>
      <c r="AG21" s="85">
        <v>0</v>
      </c>
      <c r="AH21" s="85">
        <v>0</v>
      </c>
      <c r="AI21" s="85">
        <v>0</v>
      </c>
      <c r="AJ21" s="85">
        <v>0</v>
      </c>
      <c r="AK21" s="85">
        <v>0</v>
      </c>
      <c r="AL21" s="85">
        <v>0</v>
      </c>
      <c r="AM21" s="85">
        <v>0</v>
      </c>
      <c r="AN21" s="85">
        <v>0</v>
      </c>
      <c r="AO21" s="85">
        <v>0</v>
      </c>
      <c r="AP21" s="86">
        <v>0</v>
      </c>
      <c r="AQ21" s="85">
        <v>0</v>
      </c>
      <c r="AR21" s="85">
        <v>0</v>
      </c>
      <c r="AS21" s="85">
        <v>0</v>
      </c>
      <c r="AT21" s="85">
        <v>0</v>
      </c>
      <c r="AU21" s="85">
        <v>0</v>
      </c>
      <c r="AV21" s="85">
        <v>0</v>
      </c>
      <c r="AW21" s="85">
        <v>0</v>
      </c>
      <c r="AX21" s="85">
        <v>0</v>
      </c>
      <c r="AY21" s="85">
        <v>0</v>
      </c>
      <c r="AZ21" s="85">
        <v>0</v>
      </c>
      <c r="BA21" s="85">
        <v>0</v>
      </c>
      <c r="BB21" s="85">
        <v>0</v>
      </c>
      <c r="BC21" s="86">
        <v>0</v>
      </c>
      <c r="BD21" s="85">
        <v>0</v>
      </c>
      <c r="BE21" s="85">
        <v>0</v>
      </c>
      <c r="BF21" s="85">
        <v>0</v>
      </c>
      <c r="BG21" s="85">
        <v>0</v>
      </c>
      <c r="BH21" s="85">
        <v>0</v>
      </c>
      <c r="BI21" s="85">
        <v>0</v>
      </c>
      <c r="BJ21" s="85">
        <v>0</v>
      </c>
      <c r="BK21" s="85">
        <v>0</v>
      </c>
      <c r="BL21" s="85">
        <v>0</v>
      </c>
      <c r="BM21" s="85">
        <v>0</v>
      </c>
      <c r="BN21" s="85">
        <v>0</v>
      </c>
      <c r="BO21" s="85">
        <v>0</v>
      </c>
      <c r="BP21" s="86">
        <v>0</v>
      </c>
      <c r="BQ21" s="85">
        <v>0</v>
      </c>
      <c r="BR21" s="85">
        <v>0</v>
      </c>
      <c r="BS21" s="85">
        <v>15931.9887074679</v>
      </c>
      <c r="BT21" s="85">
        <v>11770.8428979821</v>
      </c>
      <c r="BU21" s="85">
        <v>0</v>
      </c>
      <c r="BV21" s="85">
        <v>0</v>
      </c>
      <c r="BW21" s="85">
        <v>0</v>
      </c>
      <c r="BX21" s="85">
        <v>0</v>
      </c>
      <c r="BY21" s="85">
        <v>0</v>
      </c>
      <c r="BZ21" s="85">
        <v>0</v>
      </c>
      <c r="CA21" s="85">
        <v>0</v>
      </c>
      <c r="CB21" s="85">
        <v>0</v>
      </c>
      <c r="CC21" s="86">
        <v>27702.83160545</v>
      </c>
      <c r="CD21" s="85">
        <v>0</v>
      </c>
      <c r="CE21" s="85">
        <v>0</v>
      </c>
      <c r="CF21" s="85">
        <v>0</v>
      </c>
      <c r="CG21" s="85">
        <v>0</v>
      </c>
      <c r="CH21" s="85">
        <v>0</v>
      </c>
      <c r="CI21" s="85">
        <v>0</v>
      </c>
      <c r="CJ21" s="85">
        <v>0</v>
      </c>
      <c r="CK21" s="85">
        <v>0</v>
      </c>
      <c r="CL21" s="85">
        <v>0</v>
      </c>
      <c r="CM21" s="85">
        <v>0</v>
      </c>
      <c r="CN21" s="85">
        <v>0</v>
      </c>
      <c r="CO21" s="85">
        <v>0</v>
      </c>
      <c r="CP21" s="86">
        <v>0</v>
      </c>
      <c r="CQ21" s="85">
        <v>0</v>
      </c>
      <c r="CR21" s="85">
        <v>0</v>
      </c>
      <c r="CS21" s="85">
        <v>0</v>
      </c>
      <c r="CT21" s="85">
        <v>0</v>
      </c>
      <c r="CU21" s="85">
        <v>0</v>
      </c>
      <c r="CV21" s="85">
        <v>0</v>
      </c>
      <c r="CW21" s="85">
        <v>0</v>
      </c>
      <c r="CX21" s="85">
        <v>0</v>
      </c>
      <c r="CY21" s="85">
        <v>0</v>
      </c>
      <c r="CZ21" s="85">
        <v>0</v>
      </c>
      <c r="DA21" s="85">
        <v>0</v>
      </c>
      <c r="DB21" s="85">
        <v>0</v>
      </c>
      <c r="DC21" s="86">
        <v>0</v>
      </c>
      <c r="DD21" s="85">
        <v>0</v>
      </c>
      <c r="DE21" s="85">
        <v>0</v>
      </c>
      <c r="DF21" s="85">
        <v>0</v>
      </c>
      <c r="DG21" s="85">
        <v>0</v>
      </c>
      <c r="DH21" s="85">
        <v>0</v>
      </c>
      <c r="DI21" s="85">
        <v>0</v>
      </c>
      <c r="DJ21" s="85">
        <v>0</v>
      </c>
      <c r="DK21" s="85">
        <v>0</v>
      </c>
      <c r="DL21" s="85">
        <v>0</v>
      </c>
      <c r="DM21" s="85">
        <v>0</v>
      </c>
      <c r="DN21" s="85">
        <v>0</v>
      </c>
      <c r="DO21" s="85">
        <v>0</v>
      </c>
      <c r="DP21" s="86">
        <v>0</v>
      </c>
      <c r="DQ21" s="85">
        <v>0</v>
      </c>
      <c r="DR21" s="85">
        <v>0</v>
      </c>
      <c r="DS21" s="85">
        <v>0</v>
      </c>
      <c r="DT21" s="85">
        <v>0</v>
      </c>
      <c r="DU21" s="85">
        <v>0</v>
      </c>
      <c r="DV21" s="85">
        <v>0</v>
      </c>
      <c r="DW21" s="85">
        <v>0</v>
      </c>
      <c r="DX21" s="85">
        <v>0</v>
      </c>
      <c r="DY21" s="85">
        <v>0</v>
      </c>
      <c r="DZ21" s="85">
        <v>0</v>
      </c>
      <c r="EA21" s="85">
        <v>0</v>
      </c>
      <c r="EB21" s="85">
        <v>0</v>
      </c>
      <c r="EC21" s="85">
        <v>0</v>
      </c>
      <c r="ED21" s="87">
        <v>0</v>
      </c>
      <c r="EE21" s="85">
        <v>0</v>
      </c>
      <c r="EF21" s="85">
        <v>0</v>
      </c>
      <c r="EG21" s="85">
        <v>0</v>
      </c>
      <c r="EH21" s="85">
        <v>0</v>
      </c>
      <c r="EI21" s="85">
        <v>0</v>
      </c>
      <c r="EJ21" s="85">
        <v>0</v>
      </c>
      <c r="EK21" s="85">
        <v>0</v>
      </c>
      <c r="EL21" s="85">
        <v>0</v>
      </c>
      <c r="EM21" s="85">
        <v>0</v>
      </c>
      <c r="EN21" s="85">
        <v>0</v>
      </c>
      <c r="EO21" s="85">
        <v>0</v>
      </c>
      <c r="EP21" s="86">
        <v>0</v>
      </c>
      <c r="EQ21" s="85">
        <v>0</v>
      </c>
      <c r="ER21" s="85">
        <v>0</v>
      </c>
      <c r="ES21" s="85">
        <v>0</v>
      </c>
      <c r="ET21" s="85">
        <v>0</v>
      </c>
      <c r="EU21" s="85">
        <v>0</v>
      </c>
      <c r="EV21" s="85">
        <v>0</v>
      </c>
      <c r="EW21" s="85">
        <v>0</v>
      </c>
      <c r="EX21" s="85">
        <v>0</v>
      </c>
      <c r="EY21" s="85">
        <v>0</v>
      </c>
      <c r="EZ21" s="85">
        <v>0</v>
      </c>
      <c r="FA21" s="85">
        <v>0</v>
      </c>
      <c r="FB21" s="85">
        <v>0</v>
      </c>
      <c r="FC21" s="85">
        <v>0</v>
      </c>
      <c r="FD21" s="87">
        <v>0</v>
      </c>
      <c r="FE21" s="85">
        <v>0</v>
      </c>
      <c r="FF21" s="85">
        <v>0</v>
      </c>
      <c r="FG21" s="85">
        <v>0</v>
      </c>
      <c r="FH21" s="85">
        <v>0</v>
      </c>
      <c r="FI21" s="85">
        <v>0</v>
      </c>
      <c r="FJ21" s="85">
        <v>0</v>
      </c>
      <c r="FK21" s="85">
        <v>0</v>
      </c>
      <c r="FL21" s="85">
        <v>0</v>
      </c>
      <c r="FM21" s="85">
        <v>0</v>
      </c>
      <c r="FN21" s="85">
        <v>0</v>
      </c>
      <c r="FO21" s="85">
        <v>0</v>
      </c>
      <c r="FP21" s="86">
        <v>0</v>
      </c>
      <c r="FQ21" s="87">
        <v>0</v>
      </c>
      <c r="FR21" s="85">
        <v>0</v>
      </c>
      <c r="FS21" s="85">
        <v>0</v>
      </c>
      <c r="FT21" s="85">
        <v>0</v>
      </c>
      <c r="FU21" s="85">
        <v>0</v>
      </c>
      <c r="FV21" s="85">
        <v>0</v>
      </c>
      <c r="FW21" s="85">
        <v>0</v>
      </c>
      <c r="FX21" s="85">
        <v>0</v>
      </c>
      <c r="FY21" s="85">
        <v>0</v>
      </c>
      <c r="FZ21" s="85">
        <v>0</v>
      </c>
      <c r="GA21" s="85">
        <v>0</v>
      </c>
      <c r="GB21" s="85">
        <v>0</v>
      </c>
      <c r="GC21" s="86">
        <v>0</v>
      </c>
    </row>
    <row r="22" ht="15" spans="1:185">
      <c r="A22" s="82"/>
      <c r="B22" s="83" t="s">
        <v>415</v>
      </c>
      <c r="C22" s="84">
        <v>3653851.03765908</v>
      </c>
      <c r="D22" s="85">
        <f t="shared" si="11"/>
        <v>276218.524794119</v>
      </c>
      <c r="E22" s="85">
        <f t="shared" si="0"/>
        <v>132433.368649962</v>
      </c>
      <c r="F22" s="85">
        <f t="shared" si="1"/>
        <v>134441.900025171</v>
      </c>
      <c r="G22" s="85">
        <f t="shared" si="2"/>
        <v>69554.6215159666</v>
      </c>
      <c r="H22" s="85">
        <f t="shared" si="3"/>
        <v>53430.814808509</v>
      </c>
      <c r="I22" s="85">
        <f t="shared" si="4"/>
        <v>35901.5567227783</v>
      </c>
      <c r="J22" s="85">
        <f t="shared" si="5"/>
        <v>797393.845759993</v>
      </c>
      <c r="K22" s="85">
        <f t="shared" si="6"/>
        <v>662199.013247761</v>
      </c>
      <c r="L22" s="85">
        <f t="shared" si="7"/>
        <v>204177.602020004</v>
      </c>
      <c r="M22" s="85">
        <f t="shared" si="8"/>
        <v>12523.8789111053</v>
      </c>
      <c r="N22" s="85">
        <f t="shared" si="9"/>
        <v>10035.4275277539</v>
      </c>
      <c r="O22" s="85">
        <f t="shared" si="10"/>
        <v>8896.5708518773</v>
      </c>
      <c r="P22" s="86">
        <f t="shared" si="12"/>
        <v>2397207.124835</v>
      </c>
      <c r="Q22" s="85">
        <v>6527.92965371769</v>
      </c>
      <c r="R22" s="85">
        <v>4246.71240006265</v>
      </c>
      <c r="S22" s="85">
        <v>2821.61702280788</v>
      </c>
      <c r="T22" s="85">
        <v>3255.19665706612</v>
      </c>
      <c r="U22" s="85">
        <v>1319.3491416329</v>
      </c>
      <c r="V22" s="85">
        <v>857.532481543604</v>
      </c>
      <c r="W22" s="85">
        <v>56597.1437818778</v>
      </c>
      <c r="X22" s="85">
        <v>43734.1565587238</v>
      </c>
      <c r="Y22" s="85">
        <v>21438.3120385901</v>
      </c>
      <c r="Z22" s="85">
        <v>0</v>
      </c>
      <c r="AA22" s="85">
        <v>0</v>
      </c>
      <c r="AB22" s="85">
        <v>0</v>
      </c>
      <c r="AC22" s="86">
        <v>140797.949736023</v>
      </c>
      <c r="AD22" s="85">
        <v>4811.96926712953</v>
      </c>
      <c r="AE22" s="85">
        <v>2664.89319099752</v>
      </c>
      <c r="AF22" s="85">
        <v>2987.56218823624</v>
      </c>
      <c r="AG22" s="85">
        <v>1010.58700161116</v>
      </c>
      <c r="AH22" s="85">
        <v>987.524544052779</v>
      </c>
      <c r="AI22" s="85">
        <v>364.241628451074</v>
      </c>
      <c r="AJ22" s="85">
        <v>19425.5380836294</v>
      </c>
      <c r="AK22" s="85">
        <v>17307.6162552763</v>
      </c>
      <c r="AL22" s="85">
        <v>17307.6162552763</v>
      </c>
      <c r="AM22" s="85">
        <v>364.241628451074</v>
      </c>
      <c r="AN22" s="85">
        <v>364.241628451074</v>
      </c>
      <c r="AO22" s="85">
        <v>364.241628451074</v>
      </c>
      <c r="AP22" s="86">
        <v>67960.2733000135</v>
      </c>
      <c r="AQ22" s="85">
        <v>20464.8079212676</v>
      </c>
      <c r="AR22" s="85">
        <v>9863.11978060817</v>
      </c>
      <c r="AS22" s="85">
        <v>7456.28842197196</v>
      </c>
      <c r="AT22" s="85">
        <v>2497.54756920614</v>
      </c>
      <c r="AU22" s="85">
        <v>644.037406582764</v>
      </c>
      <c r="AV22" s="85">
        <v>789.853221229781</v>
      </c>
      <c r="AW22" s="85">
        <v>40282.5142827188</v>
      </c>
      <c r="AX22" s="85">
        <v>40282.5142827188</v>
      </c>
      <c r="AY22" s="85">
        <v>40282.5142827188</v>
      </c>
      <c r="AZ22" s="85">
        <v>789.853221229781</v>
      </c>
      <c r="BA22" s="85">
        <v>789.853221229781</v>
      </c>
      <c r="BB22" s="85">
        <v>789.853221229781</v>
      </c>
      <c r="BC22" s="86">
        <v>164932.756832712</v>
      </c>
      <c r="BD22" s="85">
        <v>20599.5149233838</v>
      </c>
      <c r="BE22" s="85">
        <v>8796.20813302714</v>
      </c>
      <c r="BF22" s="85">
        <v>8430.52549525775</v>
      </c>
      <c r="BG22" s="85">
        <v>3733.83392375842</v>
      </c>
      <c r="BH22" s="85">
        <v>3279.56670340888</v>
      </c>
      <c r="BI22" s="85">
        <v>3202.13328015512</v>
      </c>
      <c r="BJ22" s="85">
        <v>131287.46448636</v>
      </c>
      <c r="BK22" s="85">
        <v>109939.909285326</v>
      </c>
      <c r="BL22" s="85">
        <v>32021.3328015512</v>
      </c>
      <c r="BM22" s="85">
        <v>0</v>
      </c>
      <c r="BN22" s="85">
        <v>0</v>
      </c>
      <c r="BO22" s="85">
        <v>0</v>
      </c>
      <c r="BP22" s="86">
        <v>321290.489032228</v>
      </c>
      <c r="BQ22" s="85">
        <v>99145.3833498044</v>
      </c>
      <c r="BR22" s="85">
        <v>42033.3162040733</v>
      </c>
      <c r="BS22" s="85">
        <v>31689.6607635378</v>
      </c>
      <c r="BT22" s="85">
        <v>22500.7976968315</v>
      </c>
      <c r="BU22" s="85">
        <v>24993.2939450934</v>
      </c>
      <c r="BV22" s="85">
        <v>5238.45983363086</v>
      </c>
      <c r="BW22" s="85">
        <v>228682.582919049</v>
      </c>
      <c r="BX22" s="85">
        <v>212353.78203937</v>
      </c>
      <c r="BY22" s="85">
        <v>2522.85132680274</v>
      </c>
      <c r="BZ22" s="85">
        <v>2623.76537987485</v>
      </c>
      <c r="CA22" s="85">
        <v>2623.76537987485</v>
      </c>
      <c r="CB22" s="85">
        <v>2623.76537987485</v>
      </c>
      <c r="CC22" s="86">
        <v>677031.424217818</v>
      </c>
      <c r="CD22" s="85">
        <v>1060.84975182363</v>
      </c>
      <c r="CE22" s="85">
        <v>223.4643962225</v>
      </c>
      <c r="CF22" s="85">
        <v>1186.87172772548</v>
      </c>
      <c r="CG22" s="85">
        <v>2330.99614522123</v>
      </c>
      <c r="CH22" s="85">
        <v>1560.11437544861</v>
      </c>
      <c r="CI22" s="85">
        <v>5119.6876736047</v>
      </c>
      <c r="CJ22" s="85">
        <v>52242.4089218143</v>
      </c>
      <c r="CK22" s="85">
        <v>34927.7577184924</v>
      </c>
      <c r="CL22" s="85">
        <v>8657.32560166095</v>
      </c>
      <c r="CM22" s="85">
        <v>0</v>
      </c>
      <c r="CN22" s="85">
        <v>0</v>
      </c>
      <c r="CO22" s="85">
        <v>0</v>
      </c>
      <c r="CP22" s="86">
        <v>107309.476312014</v>
      </c>
      <c r="CQ22" s="85">
        <v>19501.9495600925</v>
      </c>
      <c r="CR22" s="85">
        <v>14833.1573817702</v>
      </c>
      <c r="CS22" s="85">
        <v>10326.0136375512</v>
      </c>
      <c r="CT22" s="85">
        <v>5818.38095877742</v>
      </c>
      <c r="CU22" s="85">
        <v>4158.47962085954</v>
      </c>
      <c r="CV22" s="85">
        <v>6726.4248588359</v>
      </c>
      <c r="CW22" s="85">
        <v>111847.836714091</v>
      </c>
      <c r="CX22" s="85">
        <v>77986.4476733358</v>
      </c>
      <c r="CY22" s="85">
        <v>30540.0097776428</v>
      </c>
      <c r="CZ22" s="85">
        <v>0</v>
      </c>
      <c r="DA22" s="85">
        <v>0</v>
      </c>
      <c r="DB22" s="85">
        <v>0</v>
      </c>
      <c r="DC22" s="86">
        <v>281738.700182957</v>
      </c>
      <c r="DD22" s="85">
        <v>5208.08367227126</v>
      </c>
      <c r="DE22" s="85">
        <v>3689.61685179498</v>
      </c>
      <c r="DF22" s="85">
        <v>2363.28622404496</v>
      </c>
      <c r="DG22" s="85">
        <v>2198.31587854618</v>
      </c>
      <c r="DH22" s="85">
        <v>1676.6873053266</v>
      </c>
      <c r="DI22" s="85">
        <v>569.428337938306</v>
      </c>
      <c r="DJ22" s="85">
        <v>14805.1367863959</v>
      </c>
      <c r="DK22" s="85">
        <v>11957.9950967044</v>
      </c>
      <c r="DL22" s="85">
        <v>6263.71171732136</v>
      </c>
      <c r="DM22" s="85">
        <v>3985.99836556814</v>
      </c>
      <c r="DN22" s="85">
        <v>1708.28501381492</v>
      </c>
      <c r="DO22" s="85">
        <v>569.428337938306</v>
      </c>
      <c r="DP22" s="86">
        <v>54995.9735876654</v>
      </c>
      <c r="DQ22" s="85">
        <v>20882.8019103222</v>
      </c>
      <c r="DR22" s="85">
        <v>8845.92465136926</v>
      </c>
      <c r="DS22" s="85">
        <v>5522.44975255761</v>
      </c>
      <c r="DT22" s="85">
        <v>6099.34332033941</v>
      </c>
      <c r="DU22" s="85">
        <v>4605.06883548701</v>
      </c>
      <c r="DV22" s="85">
        <v>5195.65238797365</v>
      </c>
      <c r="DW22" s="85">
        <v>55203.8066222201</v>
      </c>
      <c r="DX22" s="85">
        <v>27926.6315853584</v>
      </c>
      <c r="DY22" s="85">
        <v>0</v>
      </c>
      <c r="DZ22" s="85">
        <v>0</v>
      </c>
      <c r="EA22" s="85">
        <v>0</v>
      </c>
      <c r="EB22" s="85">
        <v>0</v>
      </c>
      <c r="EC22" s="85">
        <v>134281.679065628</v>
      </c>
      <c r="ED22" s="87">
        <v>0</v>
      </c>
      <c r="EE22" s="85">
        <v>0</v>
      </c>
      <c r="EF22" s="85">
        <v>0</v>
      </c>
      <c r="EG22" s="85">
        <v>0</v>
      </c>
      <c r="EH22" s="85">
        <v>0</v>
      </c>
      <c r="EI22" s="85">
        <v>0</v>
      </c>
      <c r="EJ22" s="85">
        <v>0</v>
      </c>
      <c r="EK22" s="85">
        <v>0</v>
      </c>
      <c r="EL22" s="85">
        <v>0</v>
      </c>
      <c r="EM22" s="85">
        <v>0</v>
      </c>
      <c r="EN22" s="85">
        <v>0</v>
      </c>
      <c r="EO22" s="85">
        <v>0</v>
      </c>
      <c r="EP22" s="86">
        <v>0</v>
      </c>
      <c r="EQ22" s="85">
        <v>4849.37188169297</v>
      </c>
      <c r="ER22" s="85">
        <v>5274.2407541793</v>
      </c>
      <c r="ES22" s="85">
        <v>5054.03706844502</v>
      </c>
      <c r="ET22" s="85">
        <v>3807.17416045853</v>
      </c>
      <c r="EU22" s="85">
        <v>3135.35582709021</v>
      </c>
      <c r="EV22" s="85">
        <v>3008.16701941526</v>
      </c>
      <c r="EW22" s="85">
        <v>82901.213161836</v>
      </c>
      <c r="EX22" s="85">
        <v>82641.0427524556</v>
      </c>
      <c r="EY22" s="85">
        <v>42491.2882184397</v>
      </c>
      <c r="EZ22" s="85">
        <v>2107.38031598143</v>
      </c>
      <c r="FA22" s="85">
        <v>1896.64228438328</v>
      </c>
      <c r="FB22" s="85">
        <v>1896.64228438328</v>
      </c>
      <c r="FC22" s="85">
        <v>239062.555728761</v>
      </c>
      <c r="FD22" s="87">
        <v>0</v>
      </c>
      <c r="FE22" s="85">
        <v>0</v>
      </c>
      <c r="FF22" s="85">
        <v>0</v>
      </c>
      <c r="FG22" s="85">
        <v>0</v>
      </c>
      <c r="FH22" s="85">
        <v>0</v>
      </c>
      <c r="FI22" s="85">
        <v>0</v>
      </c>
      <c r="FJ22" s="85">
        <v>0</v>
      </c>
      <c r="FK22" s="85">
        <v>0</v>
      </c>
      <c r="FL22" s="85">
        <v>0</v>
      </c>
      <c r="FM22" s="85">
        <v>0</v>
      </c>
      <c r="FN22" s="85">
        <v>0</v>
      </c>
      <c r="FO22" s="85">
        <v>0</v>
      </c>
      <c r="FP22" s="86">
        <v>0</v>
      </c>
      <c r="FQ22" s="87">
        <v>73165.8629026137</v>
      </c>
      <c r="FR22" s="85">
        <v>31962.7149058566</v>
      </c>
      <c r="FS22" s="85">
        <v>56603.5877230355</v>
      </c>
      <c r="FT22" s="85">
        <v>16302.4482041505</v>
      </c>
      <c r="FU22" s="85">
        <v>7071.33710352634</v>
      </c>
      <c r="FV22" s="85">
        <v>4829.976</v>
      </c>
      <c r="FW22" s="85">
        <v>4118.2</v>
      </c>
      <c r="FX22" s="85">
        <v>3141.16</v>
      </c>
      <c r="FY22" s="85">
        <v>2652.64</v>
      </c>
      <c r="FZ22" s="85">
        <v>2652.64</v>
      </c>
      <c r="GA22" s="85">
        <v>2652.64</v>
      </c>
      <c r="GB22" s="85">
        <v>2652.64</v>
      </c>
      <c r="GC22" s="86">
        <v>207805.846839183</v>
      </c>
    </row>
    <row r="23" ht="15" spans="1:185">
      <c r="A23" s="82"/>
      <c r="B23" s="83" t="s">
        <v>416</v>
      </c>
      <c r="C23" s="84">
        <v>0</v>
      </c>
      <c r="D23" s="85">
        <f t="shared" ref="D23" si="26">Q23+AD23+AQ23+BD23+BQ23+CD23+CQ23+DD23+DQ23+ED23+EQ23+FQ23+FD23</f>
        <v>16089.8992011099</v>
      </c>
      <c r="E23" s="85">
        <f t="shared" ref="E23" si="27">R23+AE23+AR23+BE23+BR23+CE23+CR23+DE23+DR23+EE23+ER23+FR23+FE23</f>
        <v>10516.10757637</v>
      </c>
      <c r="F23" s="85">
        <f t="shared" ref="F23" si="28">S23+AF23+AS23+BF23+BS23+CF23+CS23+DF23+DS23+EF23+ES23+FS23+FF23</f>
        <v>21037.657944607</v>
      </c>
      <c r="G23" s="85">
        <f t="shared" ref="G23" si="29">T23+AG23+AT23+BG23+BT23+CG23+CT23+DG23+DT23+EG23+ET23+FT23+FG23</f>
        <v>15532.129755897</v>
      </c>
      <c r="H23" s="85">
        <f t="shared" ref="H23" si="30">U23+AH23+AU23+BH23+BU23+CH23+CU23+DH23+DU23+EH23+EU23+FU23+FH23</f>
        <v>75600.7568419688</v>
      </c>
      <c r="I23" s="85">
        <f t="shared" ref="I23" si="31">V23+AI23+AV23+BI23+BV23+CI23+CV23+DI23+DV23+EI23+EV23+FV23+FI23</f>
        <v>0</v>
      </c>
      <c r="J23" s="85">
        <f t="shared" ref="J23" si="32">W23+AJ23+AW23+BJ23+BW23+CJ23+CW23+DJ23+DW23+EJ23+EW23+FW23+FJ23</f>
        <v>0</v>
      </c>
      <c r="K23" s="85">
        <f t="shared" ref="K23" si="33">X23+AK23+AX23+BK23+BX23+CK23+CX23+DK23+DX23+EK23+EX23+FX23+FK23</f>
        <v>0</v>
      </c>
      <c r="L23" s="85">
        <f t="shared" ref="L23" si="34">Y23+AL23+AY23+BL23+BY23+CL23+CY23+DL23+DY23+EL23+EY23+FY23+FL23</f>
        <v>0</v>
      </c>
      <c r="M23" s="85">
        <f t="shared" ref="M23" si="35">Z23+AM23+AZ23+BM23+BZ23+CM23+CZ23+DM23+DZ23+EM23+EZ23+FZ23+FM23</f>
        <v>0</v>
      </c>
      <c r="N23" s="85">
        <f t="shared" ref="N23" si="36">AA23+AN23+BA23+BN23+CA23+CN23+DA23+DN23+EA23+EN23+FA23+GA23+FN23</f>
        <v>0</v>
      </c>
      <c r="O23" s="85">
        <f t="shared" ref="O23" si="37">AB23+AO23+BB23+BO23+CB23+CO23+DB23+DO23+EB23+EO23+FB23+GB23+FO23</f>
        <v>0</v>
      </c>
      <c r="P23" s="86">
        <f t="shared" ref="P23" si="38">SUM(D23:O23)</f>
        <v>138776.551319953</v>
      </c>
      <c r="Q23" s="85">
        <v>0</v>
      </c>
      <c r="R23" s="85">
        <v>0</v>
      </c>
      <c r="S23" s="85">
        <v>0</v>
      </c>
      <c r="T23" s="85">
        <v>0</v>
      </c>
      <c r="U23" s="85">
        <v>0</v>
      </c>
      <c r="V23" s="85">
        <v>0</v>
      </c>
      <c r="W23" s="85">
        <v>0</v>
      </c>
      <c r="X23" s="85">
        <v>0</v>
      </c>
      <c r="Y23" s="85">
        <v>0</v>
      </c>
      <c r="Z23" s="85">
        <v>0</v>
      </c>
      <c r="AA23" s="85">
        <v>0</v>
      </c>
      <c r="AB23" s="85">
        <v>0</v>
      </c>
      <c r="AC23" s="86">
        <v>0</v>
      </c>
      <c r="AD23" s="85">
        <v>0</v>
      </c>
      <c r="AE23" s="85">
        <v>0</v>
      </c>
      <c r="AF23" s="85">
        <v>705.925527662002</v>
      </c>
      <c r="AG23" s="85">
        <v>652.281768181328</v>
      </c>
      <c r="AH23" s="85">
        <v>884.276698887769</v>
      </c>
      <c r="AI23" s="85">
        <v>0</v>
      </c>
      <c r="AJ23" s="85">
        <v>0</v>
      </c>
      <c r="AK23" s="85">
        <v>0</v>
      </c>
      <c r="AL23" s="85">
        <v>0</v>
      </c>
      <c r="AM23" s="85">
        <v>0</v>
      </c>
      <c r="AN23" s="85">
        <v>0</v>
      </c>
      <c r="AO23" s="85">
        <v>0</v>
      </c>
      <c r="AP23" s="86">
        <v>2242.4839947311</v>
      </c>
      <c r="AQ23" s="85">
        <v>0</v>
      </c>
      <c r="AR23" s="85">
        <v>0</v>
      </c>
      <c r="AS23" s="85">
        <v>0</v>
      </c>
      <c r="AT23" s="85">
        <v>0</v>
      </c>
      <c r="AU23" s="85">
        <v>0</v>
      </c>
      <c r="AV23" s="85">
        <v>0</v>
      </c>
      <c r="AW23" s="85">
        <v>0</v>
      </c>
      <c r="AX23" s="85">
        <v>0</v>
      </c>
      <c r="AY23" s="85">
        <v>0</v>
      </c>
      <c r="AZ23" s="85">
        <v>0</v>
      </c>
      <c r="BA23" s="85">
        <v>0</v>
      </c>
      <c r="BB23" s="85">
        <v>0</v>
      </c>
      <c r="BC23" s="86">
        <v>0</v>
      </c>
      <c r="BD23" s="85">
        <v>0</v>
      </c>
      <c r="BE23" s="85">
        <v>0</v>
      </c>
      <c r="BF23" s="85">
        <v>17916.4812601713</v>
      </c>
      <c r="BG23" s="85">
        <v>9070.01270008614</v>
      </c>
      <c r="BH23" s="85">
        <v>10515.4985850421</v>
      </c>
      <c r="BI23" s="85">
        <v>0</v>
      </c>
      <c r="BJ23" s="85">
        <v>0</v>
      </c>
      <c r="BK23" s="85">
        <v>0</v>
      </c>
      <c r="BL23" s="85">
        <v>0</v>
      </c>
      <c r="BM23" s="85">
        <v>0</v>
      </c>
      <c r="BN23" s="85">
        <v>0</v>
      </c>
      <c r="BO23" s="85">
        <v>0</v>
      </c>
      <c r="BP23" s="86">
        <v>37501.9925452996</v>
      </c>
      <c r="BQ23" s="85">
        <v>16089.8992011099</v>
      </c>
      <c r="BR23" s="85">
        <v>10516.10757637</v>
      </c>
      <c r="BS23" s="85">
        <v>2415.25115677365</v>
      </c>
      <c r="BT23" s="85">
        <v>5809.83528762951</v>
      </c>
      <c r="BU23" s="85">
        <v>3364.08200905735</v>
      </c>
      <c r="BV23" s="85">
        <v>0</v>
      </c>
      <c r="BW23" s="85">
        <v>0</v>
      </c>
      <c r="BX23" s="85">
        <v>0</v>
      </c>
      <c r="BY23" s="85">
        <v>0</v>
      </c>
      <c r="BZ23" s="85">
        <v>0</v>
      </c>
      <c r="CA23" s="85">
        <v>0</v>
      </c>
      <c r="CB23" s="85">
        <v>0</v>
      </c>
      <c r="CC23" s="86">
        <v>38195.1752309404</v>
      </c>
      <c r="CD23" s="85">
        <v>0</v>
      </c>
      <c r="CE23" s="85">
        <v>0</v>
      </c>
      <c r="CF23" s="85">
        <v>0</v>
      </c>
      <c r="CG23" s="85">
        <v>0</v>
      </c>
      <c r="CH23" s="85">
        <v>0</v>
      </c>
      <c r="CI23" s="85">
        <v>0</v>
      </c>
      <c r="CJ23" s="85">
        <v>0</v>
      </c>
      <c r="CK23" s="85">
        <v>0</v>
      </c>
      <c r="CL23" s="85">
        <v>0</v>
      </c>
      <c r="CM23" s="85">
        <v>0</v>
      </c>
      <c r="CN23" s="85">
        <v>0</v>
      </c>
      <c r="CO23" s="85">
        <v>0</v>
      </c>
      <c r="CP23" s="86">
        <v>0</v>
      </c>
      <c r="CQ23" s="85">
        <v>0</v>
      </c>
      <c r="CR23" s="85">
        <v>0</v>
      </c>
      <c r="CS23" s="85">
        <v>0</v>
      </c>
      <c r="CT23" s="85">
        <v>0</v>
      </c>
      <c r="CU23" s="85">
        <v>0</v>
      </c>
      <c r="CV23" s="85">
        <v>0</v>
      </c>
      <c r="CW23" s="85">
        <v>0</v>
      </c>
      <c r="CX23" s="85">
        <v>0</v>
      </c>
      <c r="CY23" s="85">
        <v>0</v>
      </c>
      <c r="CZ23" s="85">
        <v>0</v>
      </c>
      <c r="DA23" s="85">
        <v>0</v>
      </c>
      <c r="DB23" s="85">
        <v>0</v>
      </c>
      <c r="DC23" s="86">
        <v>0</v>
      </c>
      <c r="DD23" s="85">
        <v>0</v>
      </c>
      <c r="DE23" s="85">
        <v>0</v>
      </c>
      <c r="DF23" s="85">
        <v>0</v>
      </c>
      <c r="DG23" s="85">
        <v>0</v>
      </c>
      <c r="DH23" s="85">
        <v>0</v>
      </c>
      <c r="DI23" s="85">
        <v>0</v>
      </c>
      <c r="DJ23" s="85">
        <v>0</v>
      </c>
      <c r="DK23" s="85">
        <v>0</v>
      </c>
      <c r="DL23" s="85">
        <v>0</v>
      </c>
      <c r="DM23" s="85">
        <v>0</v>
      </c>
      <c r="DN23" s="85">
        <v>0</v>
      </c>
      <c r="DO23" s="85">
        <v>0</v>
      </c>
      <c r="DP23" s="86">
        <v>0</v>
      </c>
      <c r="DQ23" s="85">
        <v>0</v>
      </c>
      <c r="DR23" s="85">
        <v>0</v>
      </c>
      <c r="DS23" s="85">
        <v>0</v>
      </c>
      <c r="DT23" s="85">
        <v>0</v>
      </c>
      <c r="DU23" s="85">
        <v>0</v>
      </c>
      <c r="DV23" s="85">
        <v>0</v>
      </c>
      <c r="DW23" s="85">
        <v>0</v>
      </c>
      <c r="DX23" s="85">
        <v>0</v>
      </c>
      <c r="DY23" s="85">
        <v>0</v>
      </c>
      <c r="DZ23" s="85">
        <v>0</v>
      </c>
      <c r="EA23" s="85">
        <v>0</v>
      </c>
      <c r="EB23" s="85">
        <v>0</v>
      </c>
      <c r="EC23" s="85">
        <v>0</v>
      </c>
      <c r="ED23" s="87">
        <v>0</v>
      </c>
      <c r="EE23" s="85">
        <v>0</v>
      </c>
      <c r="EF23" s="85">
        <v>0</v>
      </c>
      <c r="EG23" s="85">
        <v>0</v>
      </c>
      <c r="EH23" s="85">
        <v>0</v>
      </c>
      <c r="EI23" s="85">
        <v>0</v>
      </c>
      <c r="EJ23" s="85">
        <v>0</v>
      </c>
      <c r="EK23" s="85">
        <v>0</v>
      </c>
      <c r="EL23" s="85">
        <v>0</v>
      </c>
      <c r="EM23" s="85">
        <v>0</v>
      </c>
      <c r="EN23" s="85">
        <v>0</v>
      </c>
      <c r="EO23" s="85">
        <v>0</v>
      </c>
      <c r="EP23" s="86">
        <v>0</v>
      </c>
      <c r="EQ23" s="85">
        <v>0</v>
      </c>
      <c r="ER23" s="85">
        <v>0</v>
      </c>
      <c r="ES23" s="85">
        <v>0</v>
      </c>
      <c r="ET23" s="85">
        <v>0</v>
      </c>
      <c r="EU23" s="85">
        <v>0</v>
      </c>
      <c r="EV23" s="85">
        <v>0</v>
      </c>
      <c r="EW23" s="85">
        <v>0</v>
      </c>
      <c r="EX23" s="85">
        <v>0</v>
      </c>
      <c r="EY23" s="85">
        <v>0</v>
      </c>
      <c r="EZ23" s="85">
        <v>0</v>
      </c>
      <c r="FA23" s="85">
        <v>0</v>
      </c>
      <c r="FB23" s="85">
        <v>0</v>
      </c>
      <c r="FC23" s="85">
        <v>0</v>
      </c>
      <c r="FD23" s="87">
        <v>0</v>
      </c>
      <c r="FE23" s="85">
        <v>0</v>
      </c>
      <c r="FF23" s="85">
        <v>0</v>
      </c>
      <c r="FG23" s="85">
        <v>0</v>
      </c>
      <c r="FH23" s="85">
        <v>0</v>
      </c>
      <c r="FI23" s="85">
        <v>0</v>
      </c>
      <c r="FJ23" s="85">
        <v>0</v>
      </c>
      <c r="FK23" s="85">
        <v>0</v>
      </c>
      <c r="FL23" s="85">
        <v>0</v>
      </c>
      <c r="FM23" s="85">
        <v>0</v>
      </c>
      <c r="FN23" s="85">
        <v>0</v>
      </c>
      <c r="FO23" s="85">
        <v>0</v>
      </c>
      <c r="FP23" s="86">
        <v>0</v>
      </c>
      <c r="FQ23" s="87">
        <v>0</v>
      </c>
      <c r="FR23" s="85">
        <v>0</v>
      </c>
      <c r="FS23" s="85">
        <v>0</v>
      </c>
      <c r="FT23" s="85">
        <v>0</v>
      </c>
      <c r="FU23" s="85">
        <v>60836.8995489815</v>
      </c>
      <c r="FV23" s="85">
        <v>0</v>
      </c>
      <c r="FW23" s="85">
        <v>0</v>
      </c>
      <c r="FX23" s="85">
        <v>0</v>
      </c>
      <c r="FY23" s="85">
        <v>0</v>
      </c>
      <c r="FZ23" s="85">
        <v>0</v>
      </c>
      <c r="GA23" s="85">
        <v>0</v>
      </c>
      <c r="GB23" s="85">
        <v>0</v>
      </c>
      <c r="GC23" s="86">
        <v>60836.8995489815</v>
      </c>
    </row>
    <row r="24" ht="15" spans="1:185">
      <c r="A24" s="82"/>
      <c r="B24" s="83" t="s">
        <v>417</v>
      </c>
      <c r="C24" s="84"/>
      <c r="D24" s="85">
        <f t="shared" ref="D24" si="39">Q24+AD24+AQ24+BD24+BQ24+CD24+CQ24+DD24+DQ24+ED24+EQ24+FQ24+FD24</f>
        <v>4079314.09821961</v>
      </c>
      <c r="E24" s="85">
        <f t="shared" ref="E24" si="40">R24+AE24+AR24+BE24+BR24+CE24+CR24+DE24+DR24+EE24+ER24+FR24+FE24</f>
        <v>2602895.58708904</v>
      </c>
      <c r="F24" s="85">
        <f t="shared" ref="F24" si="41">S24+AF24+AS24+BF24+BS24+CF24+CS24+DF24+DS24+EF24+ES24+FS24+FF24</f>
        <v>1800420.13231771</v>
      </c>
      <c r="G24" s="85">
        <f t="shared" ref="G24" si="42">T24+AG24+AT24+BG24+BT24+CG24+CT24+DG24+DT24+EG24+ET24+FT24+FG24</f>
        <v>1645901.36300412</v>
      </c>
      <c r="H24" s="85">
        <f t="shared" ref="H24" si="43">U24+AH24+AU24+BH24+BU24+CH24+CU24+DH24+DU24+EH24+EU24+FU24+FH24</f>
        <v>2750826.03016617</v>
      </c>
      <c r="I24" s="85">
        <f t="shared" ref="I24" si="44">V24+AI24+AV24+BI24+BV24+CI24+CV24+DI24+DV24+EI24+EV24+FV24+FI24</f>
        <v>3074174.44474413</v>
      </c>
      <c r="J24" s="85">
        <f t="shared" ref="J24" si="45">W24+AJ24+AW24+BJ24+BW24+CJ24+CW24+DJ24+DW24+EJ24+EW24+FW24+FJ24</f>
        <v>2656507.15486383</v>
      </c>
      <c r="K24" s="85">
        <f t="shared" ref="K24" si="46">X24+AK24+AX24+BK24+BX24+CK24+CX24+DK24+DX24+EK24+EX24+FX24+FK24</f>
        <v>1329012.7573928</v>
      </c>
      <c r="L24" s="85">
        <f t="shared" ref="L24" si="47">Y24+AL24+AY24+BL24+BY24+CL24+CY24+DL24+DY24+EL24+EY24+FY24+FL24</f>
        <v>998344.864034916</v>
      </c>
      <c r="M24" s="85">
        <f t="shared" ref="M24" si="48">Z24+AM24+AZ24+BM24+BZ24+CM24+CZ24+DM24+DZ24+EM24+EZ24+FZ24+FM24</f>
        <v>3897404.98515942</v>
      </c>
      <c r="N24" s="85">
        <f t="shared" ref="N24" si="49">AA24+AN24+BA24+BN24+CA24+CN24+DA24+DN24+EA24+EN24+FA24+GA24+FN24</f>
        <v>5254120.73955602</v>
      </c>
      <c r="O24" s="85">
        <f t="shared" ref="O24" si="50">AB24+AO24+BB24+BO24+CB24+CO24+DB24+DO24+EB24+EO24+FB24+GB24+FO24</f>
        <v>2544243.31672013</v>
      </c>
      <c r="P24" s="86">
        <f t="shared" ref="P24" si="51">SUM(D24:O24)</f>
        <v>32633165.4732679</v>
      </c>
      <c r="Q24" s="85">
        <v>504770.45975519</v>
      </c>
      <c r="R24" s="85">
        <v>414317.182440284</v>
      </c>
      <c r="S24" s="85">
        <v>261927.683152206</v>
      </c>
      <c r="T24" s="85">
        <v>144271.775918518</v>
      </c>
      <c r="U24" s="85">
        <v>162106.187969399</v>
      </c>
      <c r="V24" s="85">
        <v>381662.022987302</v>
      </c>
      <c r="W24" s="85">
        <v>313692.217152489</v>
      </c>
      <c r="X24" s="85">
        <v>320216.920816407</v>
      </c>
      <c r="Y24" s="85">
        <v>139389.419273517</v>
      </c>
      <c r="Z24" s="85">
        <v>456345.023925213</v>
      </c>
      <c r="AA24" s="85">
        <v>666930.352511814</v>
      </c>
      <c r="AB24" s="85">
        <v>532622.952425416</v>
      </c>
      <c r="AC24" s="86">
        <v>4298252.19832775</v>
      </c>
      <c r="AD24" s="85">
        <v>4831.1965687794</v>
      </c>
      <c r="AE24" s="85">
        <v>999.361030213887</v>
      </c>
      <c r="AF24" s="85">
        <v>956.414843597785</v>
      </c>
      <c r="AG24" s="85">
        <v>578.785623270086</v>
      </c>
      <c r="AH24" s="85">
        <v>942.63195414904</v>
      </c>
      <c r="AI24" s="85">
        <v>407.213955403167</v>
      </c>
      <c r="AJ24" s="85">
        <v>407.213955403167</v>
      </c>
      <c r="AK24" s="85">
        <v>407.213955403167</v>
      </c>
      <c r="AL24" s="85">
        <v>407.213955403167</v>
      </c>
      <c r="AM24" s="85">
        <v>0</v>
      </c>
      <c r="AN24" s="85">
        <v>0</v>
      </c>
      <c r="AO24" s="85">
        <v>0</v>
      </c>
      <c r="AP24" s="86">
        <v>9937.24584162287</v>
      </c>
      <c r="AQ24" s="85">
        <v>1664.83506246248</v>
      </c>
      <c r="AR24" s="85">
        <v>630.555226057003</v>
      </c>
      <c r="AS24" s="85">
        <v>877.384609148872</v>
      </c>
      <c r="AT24" s="85">
        <v>0</v>
      </c>
      <c r="AU24" s="85">
        <v>0</v>
      </c>
      <c r="AV24" s="85">
        <v>0</v>
      </c>
      <c r="AW24" s="85">
        <v>0</v>
      </c>
      <c r="AX24" s="85">
        <v>0</v>
      </c>
      <c r="AY24" s="85">
        <v>0</v>
      </c>
      <c r="AZ24" s="85">
        <v>0</v>
      </c>
      <c r="BA24" s="85">
        <v>84995.0748932046</v>
      </c>
      <c r="BB24" s="85">
        <v>28331.6916310682</v>
      </c>
      <c r="BC24" s="86">
        <v>116499.541421941</v>
      </c>
      <c r="BD24" s="85">
        <v>428624.874923152</v>
      </c>
      <c r="BE24" s="85">
        <v>268917.863340017</v>
      </c>
      <c r="BF24" s="85">
        <v>113238.802823519</v>
      </c>
      <c r="BG24" s="85">
        <v>157310.273502711</v>
      </c>
      <c r="BH24" s="85">
        <v>227478.330330104</v>
      </c>
      <c r="BI24" s="85">
        <v>309685.219118963</v>
      </c>
      <c r="BJ24" s="85">
        <v>249128.289582503</v>
      </c>
      <c r="BK24" s="85">
        <v>55796.2700342005</v>
      </c>
      <c r="BL24" s="85">
        <v>52556.7527503721</v>
      </c>
      <c r="BM24" s="85">
        <v>462161.67906664</v>
      </c>
      <c r="BN24" s="85">
        <v>650584.792201564</v>
      </c>
      <c r="BO24" s="85">
        <v>219817.941599054</v>
      </c>
      <c r="BP24" s="86">
        <v>3195301.0892728</v>
      </c>
      <c r="BQ24" s="85">
        <v>1588049.9054077</v>
      </c>
      <c r="BR24" s="85">
        <v>1100965.7477494</v>
      </c>
      <c r="BS24" s="85">
        <v>828642.579790529</v>
      </c>
      <c r="BT24" s="85">
        <v>811138.696394027</v>
      </c>
      <c r="BU24" s="85">
        <v>1041204.01958257</v>
      </c>
      <c r="BV24" s="85">
        <v>637555.711591587</v>
      </c>
      <c r="BW24" s="85">
        <v>747327.524018745</v>
      </c>
      <c r="BX24" s="85">
        <v>380472.058994445</v>
      </c>
      <c r="BY24" s="85">
        <v>445703.356446563</v>
      </c>
      <c r="BZ24" s="85">
        <v>1504766.86292847</v>
      </c>
      <c r="CA24" s="85">
        <v>1689404.43021172</v>
      </c>
      <c r="CB24" s="85">
        <v>993108.80267181</v>
      </c>
      <c r="CC24" s="86">
        <v>11768339.6957876</v>
      </c>
      <c r="CD24" s="85">
        <v>29908.709996767</v>
      </c>
      <c r="CE24" s="85">
        <v>24844.3369520766</v>
      </c>
      <c r="CF24" s="85">
        <v>23827.0175364407</v>
      </c>
      <c r="CG24" s="85">
        <v>32855.9782087509</v>
      </c>
      <c r="CH24" s="85">
        <v>85502.9533866593</v>
      </c>
      <c r="CI24" s="85">
        <v>120784.880731918</v>
      </c>
      <c r="CJ24" s="85">
        <v>129164.838655186</v>
      </c>
      <c r="CK24" s="85">
        <v>43045.3481365163</v>
      </c>
      <c r="CL24" s="85">
        <v>31876.9279833621</v>
      </c>
      <c r="CM24" s="85">
        <v>205209.941473862</v>
      </c>
      <c r="CN24" s="85">
        <v>259186.823820343</v>
      </c>
      <c r="CO24" s="85">
        <v>106355.45413055</v>
      </c>
      <c r="CP24" s="86">
        <v>1092563.21101243</v>
      </c>
      <c r="CQ24" s="85">
        <v>569528.66673368</v>
      </c>
      <c r="CR24" s="85">
        <v>302759.472744545</v>
      </c>
      <c r="CS24" s="85">
        <v>268409.071891719</v>
      </c>
      <c r="CT24" s="85">
        <v>244856.262603823</v>
      </c>
      <c r="CU24" s="85">
        <v>349449.302233636</v>
      </c>
      <c r="CV24" s="85">
        <v>569390.450411117</v>
      </c>
      <c r="CW24" s="85">
        <v>462271.734956733</v>
      </c>
      <c r="CX24" s="85">
        <v>207169.213669974</v>
      </c>
      <c r="CY24" s="85">
        <v>48650.0880395058</v>
      </c>
      <c r="CZ24" s="85">
        <v>388561.380439864</v>
      </c>
      <c r="DA24" s="85">
        <v>831477.585045171</v>
      </c>
      <c r="DB24" s="85">
        <v>283564.728466809</v>
      </c>
      <c r="DC24" s="86">
        <v>4526087.95723658</v>
      </c>
      <c r="DD24" s="85">
        <v>56368.9905941472</v>
      </c>
      <c r="DE24" s="85">
        <v>62935.6538633304</v>
      </c>
      <c r="DF24" s="85">
        <v>24607.7731317563</v>
      </c>
      <c r="DG24" s="85">
        <v>27322.6859591803</v>
      </c>
      <c r="DH24" s="85">
        <v>39724.9842125042</v>
      </c>
      <c r="DI24" s="85">
        <v>96479.5912190398</v>
      </c>
      <c r="DJ24" s="85">
        <v>65441.6205090982</v>
      </c>
      <c r="DK24" s="85">
        <v>37470.8604117229</v>
      </c>
      <c r="DL24" s="85">
        <v>38484.5528877145</v>
      </c>
      <c r="DM24" s="85">
        <v>126340.193191602</v>
      </c>
      <c r="DN24" s="85">
        <v>109601.200745444</v>
      </c>
      <c r="DO24" s="85">
        <v>66367.2854159399</v>
      </c>
      <c r="DP24" s="86">
        <v>751145.392141479</v>
      </c>
      <c r="DQ24" s="85">
        <v>353491.416879527</v>
      </c>
      <c r="DR24" s="85">
        <v>243256.069679457</v>
      </c>
      <c r="DS24" s="85">
        <v>160638.243598892</v>
      </c>
      <c r="DT24" s="85">
        <v>138846.788429955</v>
      </c>
      <c r="DU24" s="85">
        <v>316260.866616406</v>
      </c>
      <c r="DV24" s="85">
        <v>515133.560658469</v>
      </c>
      <c r="DW24" s="85">
        <v>253728.868624169</v>
      </c>
      <c r="DX24" s="85">
        <v>60157.8737240379</v>
      </c>
      <c r="DY24" s="85">
        <v>106548.523608445</v>
      </c>
      <c r="DZ24" s="85">
        <v>446352.347207169</v>
      </c>
      <c r="EA24" s="85">
        <v>556493.275395463</v>
      </c>
      <c r="EB24" s="85">
        <v>85056.8455543271</v>
      </c>
      <c r="EC24" s="85">
        <v>3235964.67997632</v>
      </c>
      <c r="ED24" s="87">
        <v>38490.5474757743</v>
      </c>
      <c r="EE24" s="85">
        <v>0</v>
      </c>
      <c r="EF24" s="85">
        <v>0</v>
      </c>
      <c r="EG24" s="85">
        <v>0</v>
      </c>
      <c r="EH24" s="85">
        <v>0</v>
      </c>
      <c r="EI24" s="85">
        <v>0</v>
      </c>
      <c r="EJ24" s="85">
        <v>0</v>
      </c>
      <c r="EK24" s="85">
        <v>0</v>
      </c>
      <c r="EL24" s="85">
        <v>0</v>
      </c>
      <c r="EM24" s="85">
        <v>0</v>
      </c>
      <c r="EN24" s="85">
        <v>0</v>
      </c>
      <c r="EO24" s="85">
        <v>0</v>
      </c>
      <c r="EP24" s="86">
        <v>38490.5474757743</v>
      </c>
      <c r="EQ24" s="85">
        <v>75593.0517017439</v>
      </c>
      <c r="ER24" s="85">
        <v>82165.7948708855</v>
      </c>
      <c r="ES24" s="85">
        <v>72595.59857819</v>
      </c>
      <c r="ET24" s="85">
        <v>61536.6313107462</v>
      </c>
      <c r="EU24" s="85">
        <v>98512.1106471948</v>
      </c>
      <c r="EV24" s="85">
        <v>254507.074070327</v>
      </c>
      <c r="EW24" s="85">
        <v>329664.047409508</v>
      </c>
      <c r="EX24" s="85">
        <v>118596.19765009</v>
      </c>
      <c r="EY24" s="85">
        <v>57084.0290900326</v>
      </c>
      <c r="EZ24" s="85">
        <v>253299.056926598</v>
      </c>
      <c r="FA24" s="85">
        <v>369769.904731297</v>
      </c>
      <c r="FB24" s="85">
        <v>155957.914825151</v>
      </c>
      <c r="FC24" s="85">
        <v>1929281.41181176</v>
      </c>
      <c r="FD24" s="87">
        <v>0</v>
      </c>
      <c r="FE24" s="85">
        <v>0</v>
      </c>
      <c r="FF24" s="85">
        <v>0</v>
      </c>
      <c r="FG24" s="85">
        <v>0</v>
      </c>
      <c r="FH24" s="85">
        <v>0</v>
      </c>
      <c r="FI24" s="85">
        <v>0</v>
      </c>
      <c r="FJ24" s="85">
        <v>0</v>
      </c>
      <c r="FK24" s="85">
        <v>0</v>
      </c>
      <c r="FL24" s="85">
        <v>0</v>
      </c>
      <c r="FM24" s="85">
        <v>0</v>
      </c>
      <c r="FN24" s="85">
        <v>0</v>
      </c>
      <c r="FO24" s="85">
        <v>0</v>
      </c>
      <c r="FP24" s="86">
        <v>0</v>
      </c>
      <c r="FQ24" s="87">
        <v>427991.443120682</v>
      </c>
      <c r="FR24" s="85">
        <v>101103.549192776</v>
      </c>
      <c r="FS24" s="85">
        <v>44699.5623617119</v>
      </c>
      <c r="FT24" s="85">
        <v>27183.4850531353</v>
      </c>
      <c r="FU24" s="85">
        <v>429644.643233544</v>
      </c>
      <c r="FV24" s="85">
        <v>188568.72</v>
      </c>
      <c r="FW24" s="85">
        <v>105680.8</v>
      </c>
      <c r="FX24" s="85">
        <v>105680.8</v>
      </c>
      <c r="FY24" s="85">
        <v>77644</v>
      </c>
      <c r="FZ24" s="85">
        <v>54368.5</v>
      </c>
      <c r="GA24" s="85">
        <v>35677.3</v>
      </c>
      <c r="GB24" s="85">
        <v>73059.7</v>
      </c>
      <c r="GC24" s="86">
        <v>1671302.50296185</v>
      </c>
    </row>
    <row r="25" ht="15" spans="1:185">
      <c r="A25" s="82"/>
      <c r="B25" s="83" t="s">
        <v>418</v>
      </c>
      <c r="C25" s="84">
        <v>97291310.6689264</v>
      </c>
      <c r="D25" s="85">
        <f t="shared" si="11"/>
        <v>6297758.21901033</v>
      </c>
      <c r="E25" s="85">
        <f t="shared" si="0"/>
        <v>4758214.75582531</v>
      </c>
      <c r="F25" s="85">
        <f t="shared" si="1"/>
        <v>3456850.40734112</v>
      </c>
      <c r="G25" s="85">
        <f t="shared" si="2"/>
        <v>4441240.24030999</v>
      </c>
      <c r="H25" s="85">
        <f t="shared" si="3"/>
        <v>5098743.54082498</v>
      </c>
      <c r="I25" s="85">
        <f t="shared" si="4"/>
        <v>4087894.92527266</v>
      </c>
      <c r="J25" s="85">
        <f t="shared" si="5"/>
        <v>5562862.57474507</v>
      </c>
      <c r="K25" s="85">
        <f t="shared" si="6"/>
        <v>3876462.25468586</v>
      </c>
      <c r="L25" s="85">
        <f t="shared" si="7"/>
        <v>5597491.63792718</v>
      </c>
      <c r="M25" s="85">
        <f t="shared" si="8"/>
        <v>5724050.84772708</v>
      </c>
      <c r="N25" s="85">
        <f t="shared" si="9"/>
        <v>3753755.57695596</v>
      </c>
      <c r="O25" s="85">
        <f t="shared" si="10"/>
        <v>1615395.98862518</v>
      </c>
      <c r="P25" s="86">
        <f t="shared" si="12"/>
        <v>54270720.9692507</v>
      </c>
      <c r="Q25" s="85">
        <v>669967.797879904</v>
      </c>
      <c r="R25" s="85">
        <v>426167.587412751</v>
      </c>
      <c r="S25" s="85">
        <v>434064.358444226</v>
      </c>
      <c r="T25" s="85">
        <v>475071.727717505</v>
      </c>
      <c r="U25" s="85">
        <v>416797.696208942</v>
      </c>
      <c r="V25" s="85">
        <v>539549.494981652</v>
      </c>
      <c r="W25" s="85">
        <v>839437.303382336</v>
      </c>
      <c r="X25" s="85">
        <v>735661.373774084</v>
      </c>
      <c r="Y25" s="85">
        <v>608603.644425374</v>
      </c>
      <c r="Z25" s="85">
        <v>497382.302969517</v>
      </c>
      <c r="AA25" s="85">
        <v>459627.053434889</v>
      </c>
      <c r="AB25" s="85">
        <v>290438.380427732</v>
      </c>
      <c r="AC25" s="86">
        <v>6392768.72105891</v>
      </c>
      <c r="AD25" s="85">
        <v>172100.93693188</v>
      </c>
      <c r="AE25" s="85">
        <v>108727.660651846</v>
      </c>
      <c r="AF25" s="85">
        <v>90921.0864697782</v>
      </c>
      <c r="AG25" s="85">
        <v>129664.882438883</v>
      </c>
      <c r="AH25" s="85">
        <v>129464.972087202</v>
      </c>
      <c r="AI25" s="85">
        <v>171409.450157407</v>
      </c>
      <c r="AJ25" s="85">
        <v>217678.36847711</v>
      </c>
      <c r="AK25" s="85">
        <v>218024.19339401</v>
      </c>
      <c r="AL25" s="85">
        <v>231634.143230123</v>
      </c>
      <c r="AM25" s="85">
        <v>286543.568719123</v>
      </c>
      <c r="AN25" s="85">
        <v>298762.033682501</v>
      </c>
      <c r="AO25" s="85">
        <v>200148.728532582</v>
      </c>
      <c r="AP25" s="86">
        <v>2255080.02477245</v>
      </c>
      <c r="AQ25" s="85">
        <v>189804.878156876</v>
      </c>
      <c r="AR25" s="85">
        <v>128516.027166531</v>
      </c>
      <c r="AS25" s="85">
        <v>115269.421521791</v>
      </c>
      <c r="AT25" s="85">
        <v>132120.470639299</v>
      </c>
      <c r="AU25" s="85">
        <v>192980.716804187</v>
      </c>
      <c r="AV25" s="85">
        <v>175584.943436787</v>
      </c>
      <c r="AW25" s="85">
        <v>180106.566949624</v>
      </c>
      <c r="AX25" s="85">
        <v>176786.893990832</v>
      </c>
      <c r="AY25" s="85">
        <v>206139.289663828</v>
      </c>
      <c r="AZ25" s="85">
        <v>320563.07455092</v>
      </c>
      <c r="BA25" s="85">
        <v>142302.360237865</v>
      </c>
      <c r="BB25" s="85">
        <v>64604.8422799359</v>
      </c>
      <c r="BC25" s="86">
        <v>2024779.48539848</v>
      </c>
      <c r="BD25" s="85">
        <v>1772062.00520672</v>
      </c>
      <c r="BE25" s="85">
        <v>1642970.20551407</v>
      </c>
      <c r="BF25" s="85">
        <v>1298299.47263321</v>
      </c>
      <c r="BG25" s="85">
        <v>1287984.27326033</v>
      </c>
      <c r="BH25" s="85">
        <v>1477764.00943296</v>
      </c>
      <c r="BI25" s="85">
        <v>1135113.70739702</v>
      </c>
      <c r="BJ25" s="85">
        <v>1133156.84817026</v>
      </c>
      <c r="BK25" s="85">
        <v>894447.093680431</v>
      </c>
      <c r="BL25" s="85">
        <v>810107.492289872</v>
      </c>
      <c r="BM25" s="85">
        <v>818280.408955002</v>
      </c>
      <c r="BN25" s="85">
        <v>639430.178967594</v>
      </c>
      <c r="BO25" s="85">
        <v>477338.295454428</v>
      </c>
      <c r="BP25" s="86">
        <v>13386953.9909619</v>
      </c>
      <c r="BQ25" s="85">
        <v>1055202.42885815</v>
      </c>
      <c r="BR25" s="85">
        <v>953917.914407109</v>
      </c>
      <c r="BS25" s="85">
        <v>654852.773349153</v>
      </c>
      <c r="BT25" s="85">
        <v>884471.26951392</v>
      </c>
      <c r="BU25" s="85">
        <v>1146439.52557098</v>
      </c>
      <c r="BV25" s="85">
        <v>647337.571544992</v>
      </c>
      <c r="BW25" s="85">
        <v>883353.998231125</v>
      </c>
      <c r="BX25" s="85">
        <v>583075.729321826</v>
      </c>
      <c r="BY25" s="85">
        <v>906974.689844587</v>
      </c>
      <c r="BZ25" s="85">
        <v>1229499.40506034</v>
      </c>
      <c r="CA25" s="85">
        <v>673045.710031553</v>
      </c>
      <c r="CB25" s="85">
        <v>163710.940727083</v>
      </c>
      <c r="CC25" s="86">
        <v>9781881.95646082</v>
      </c>
      <c r="CD25" s="85">
        <v>48468.8042517363</v>
      </c>
      <c r="CE25" s="85">
        <v>31224.2067470069</v>
      </c>
      <c r="CF25" s="85">
        <v>32009.8327123566</v>
      </c>
      <c r="CG25" s="85">
        <v>65643.8091349107</v>
      </c>
      <c r="CH25" s="85">
        <v>84332.8830288971</v>
      </c>
      <c r="CI25" s="85">
        <v>117819.553555955</v>
      </c>
      <c r="CJ25" s="85">
        <v>169032.449763455</v>
      </c>
      <c r="CK25" s="85">
        <v>117359.889169921</v>
      </c>
      <c r="CL25" s="85">
        <v>172181.310455421</v>
      </c>
      <c r="CM25" s="85">
        <v>214694.712189609</v>
      </c>
      <c r="CN25" s="85">
        <v>194569.944585172</v>
      </c>
      <c r="CO25" s="85">
        <v>54606.3075271786</v>
      </c>
      <c r="CP25" s="86">
        <v>1301943.70312162</v>
      </c>
      <c r="CQ25" s="85">
        <v>234395.495290547</v>
      </c>
      <c r="CR25" s="85">
        <v>195418.679534924</v>
      </c>
      <c r="CS25" s="85">
        <v>98804.1100498814</v>
      </c>
      <c r="CT25" s="85">
        <v>129456.134821941</v>
      </c>
      <c r="CU25" s="85">
        <v>197049.084783428</v>
      </c>
      <c r="CV25" s="85">
        <v>170222.20924252</v>
      </c>
      <c r="CW25" s="85">
        <v>254509.774314706</v>
      </c>
      <c r="CX25" s="85">
        <v>129519.587077203</v>
      </c>
      <c r="CY25" s="85">
        <v>198178.053503237</v>
      </c>
      <c r="CZ25" s="85">
        <v>278769.79939544</v>
      </c>
      <c r="DA25" s="85">
        <v>191625.037195789</v>
      </c>
      <c r="DB25" s="85">
        <v>41383.9262928928</v>
      </c>
      <c r="DC25" s="86">
        <v>2119331.89150251</v>
      </c>
      <c r="DD25" s="85">
        <v>29884.0456435155</v>
      </c>
      <c r="DE25" s="85">
        <v>31194.4389489457</v>
      </c>
      <c r="DF25" s="85">
        <v>20237.3206044956</v>
      </c>
      <c r="DG25" s="85">
        <v>30050.6931615608</v>
      </c>
      <c r="DH25" s="85">
        <v>34119.6274157205</v>
      </c>
      <c r="DI25" s="85">
        <v>59686.8181759246</v>
      </c>
      <c r="DJ25" s="85">
        <v>66647.8732926052</v>
      </c>
      <c r="DK25" s="85">
        <v>41811.7199154265</v>
      </c>
      <c r="DL25" s="85">
        <v>79498.5229577201</v>
      </c>
      <c r="DM25" s="85">
        <v>89357.610702507</v>
      </c>
      <c r="DN25" s="85">
        <v>47437.2317564112</v>
      </c>
      <c r="DO25" s="85">
        <v>19991.8862123992</v>
      </c>
      <c r="DP25" s="86">
        <v>549917.788787232</v>
      </c>
      <c r="DQ25" s="85">
        <v>329505.315438897</v>
      </c>
      <c r="DR25" s="85">
        <v>223807.499715473</v>
      </c>
      <c r="DS25" s="85">
        <v>135643.940757868</v>
      </c>
      <c r="DT25" s="85">
        <v>209912.47918493</v>
      </c>
      <c r="DU25" s="85">
        <v>207076.505734113</v>
      </c>
      <c r="DV25" s="85">
        <v>243428.550514436</v>
      </c>
      <c r="DW25" s="85">
        <v>294009.293251584</v>
      </c>
      <c r="DX25" s="85">
        <v>177205.944866513</v>
      </c>
      <c r="DY25" s="85">
        <v>451318.964193982</v>
      </c>
      <c r="DZ25" s="85">
        <v>363742.729226887</v>
      </c>
      <c r="EA25" s="85">
        <v>170301.939383581</v>
      </c>
      <c r="EB25" s="85">
        <v>0</v>
      </c>
      <c r="EC25" s="85">
        <v>2805953.16226826</v>
      </c>
      <c r="ED25" s="87">
        <v>25608.3883979078</v>
      </c>
      <c r="EE25" s="85">
        <v>0</v>
      </c>
      <c r="EF25" s="85">
        <v>0</v>
      </c>
      <c r="EG25" s="85">
        <v>0</v>
      </c>
      <c r="EH25" s="85">
        <v>0</v>
      </c>
      <c r="EI25" s="85">
        <v>0</v>
      </c>
      <c r="EJ25" s="85">
        <v>0</v>
      </c>
      <c r="EK25" s="85">
        <v>0</v>
      </c>
      <c r="EL25" s="85">
        <v>0</v>
      </c>
      <c r="EM25" s="85">
        <v>0</v>
      </c>
      <c r="EN25" s="85">
        <v>0</v>
      </c>
      <c r="EO25" s="85">
        <v>0</v>
      </c>
      <c r="EP25" s="86">
        <v>25608.3883979078</v>
      </c>
      <c r="EQ25" s="85">
        <v>55243.939558274</v>
      </c>
      <c r="ER25" s="85">
        <v>48215.8778992935</v>
      </c>
      <c r="ES25" s="85">
        <v>46044.3129569226</v>
      </c>
      <c r="ET25" s="85">
        <v>76129.2432285173</v>
      </c>
      <c r="EU25" s="85">
        <v>63926.6823922867</v>
      </c>
      <c r="EV25" s="85">
        <v>70354.4342659727</v>
      </c>
      <c r="EW25" s="85">
        <v>223936.438912265</v>
      </c>
      <c r="EX25" s="85">
        <v>224109.049495613</v>
      </c>
      <c r="EY25" s="85">
        <v>254660.70736304</v>
      </c>
      <c r="EZ25" s="85">
        <v>318543.055957735</v>
      </c>
      <c r="FA25" s="85">
        <v>119145.367680607</v>
      </c>
      <c r="FB25" s="85">
        <v>35798.8411709459</v>
      </c>
      <c r="FC25" s="85">
        <v>1536107.95088147</v>
      </c>
      <c r="FD25" s="87">
        <v>8739.28085392448</v>
      </c>
      <c r="FE25" s="85">
        <v>0</v>
      </c>
      <c r="FF25" s="85">
        <v>0</v>
      </c>
      <c r="FG25" s="85">
        <v>0</v>
      </c>
      <c r="FH25" s="85">
        <v>0</v>
      </c>
      <c r="FI25" s="85">
        <v>0</v>
      </c>
      <c r="FJ25" s="85">
        <v>0</v>
      </c>
      <c r="FK25" s="85">
        <v>0</v>
      </c>
      <c r="FL25" s="85">
        <v>0</v>
      </c>
      <c r="FM25" s="85">
        <v>0</v>
      </c>
      <c r="FN25" s="85">
        <v>0</v>
      </c>
      <c r="FO25" s="85">
        <v>0</v>
      </c>
      <c r="FP25" s="86">
        <v>0</v>
      </c>
      <c r="FQ25" s="87">
        <v>1706774.902542</v>
      </c>
      <c r="FR25" s="85">
        <v>968054.657827362</v>
      </c>
      <c r="FS25" s="85">
        <v>530703.777841441</v>
      </c>
      <c r="FT25" s="85">
        <v>1020735.2572082</v>
      </c>
      <c r="FU25" s="85">
        <v>1148791.83736627</v>
      </c>
      <c r="FV25" s="85">
        <v>757388.192</v>
      </c>
      <c r="FW25" s="85">
        <v>1300993.66</v>
      </c>
      <c r="FX25" s="85">
        <v>578460.78</v>
      </c>
      <c r="FY25" s="85">
        <v>1678194.82</v>
      </c>
      <c r="FZ25" s="85">
        <v>1306674.18</v>
      </c>
      <c r="GA25" s="85">
        <v>817508.72</v>
      </c>
      <c r="GB25" s="85">
        <v>267373.84</v>
      </c>
      <c r="GC25" s="86">
        <v>12081654.6247853</v>
      </c>
    </row>
    <row r="26" s="56" customFormat="1" ht="16.5" spans="1:185">
      <c r="A26" s="88" t="s">
        <v>419</v>
      </c>
      <c r="B26" s="89"/>
      <c r="C26" s="90">
        <v>630686873.418649</v>
      </c>
      <c r="D26" s="91">
        <f t="shared" si="11"/>
        <v>48563978.6135088</v>
      </c>
      <c r="E26" s="91">
        <f t="shared" si="0"/>
        <v>36307068.113281</v>
      </c>
      <c r="F26" s="91">
        <f t="shared" si="1"/>
        <v>27274497.5003678</v>
      </c>
      <c r="G26" s="91">
        <f t="shared" si="2"/>
        <v>36463177.1410736</v>
      </c>
      <c r="H26" s="91">
        <f t="shared" si="3"/>
        <v>39655983.7341398</v>
      </c>
      <c r="I26" s="91">
        <f t="shared" si="4"/>
        <v>33676881.737187</v>
      </c>
      <c r="J26" s="91">
        <f t="shared" si="5"/>
        <v>39051832.760101</v>
      </c>
      <c r="K26" s="91">
        <f t="shared" si="6"/>
        <v>49492811.6976175</v>
      </c>
      <c r="L26" s="91">
        <f t="shared" si="7"/>
        <v>46961364.3011165</v>
      </c>
      <c r="M26" s="91">
        <f t="shared" si="8"/>
        <v>45373101.5202585</v>
      </c>
      <c r="N26" s="91">
        <f t="shared" si="9"/>
        <v>37053233.0879171</v>
      </c>
      <c r="O26" s="91">
        <f t="shared" si="10"/>
        <v>19465944.137323</v>
      </c>
      <c r="P26" s="92">
        <f t="shared" si="12"/>
        <v>459339874.343892</v>
      </c>
      <c r="Q26" s="91">
        <v>5348480.98759782</v>
      </c>
      <c r="R26" s="91">
        <v>3773665.36864084</v>
      </c>
      <c r="S26" s="91">
        <v>2800899.85584122</v>
      </c>
      <c r="T26" s="91">
        <v>3351962.97909904</v>
      </c>
      <c r="U26" s="91">
        <v>4033421.49039543</v>
      </c>
      <c r="V26" s="91">
        <v>5227897.06170266</v>
      </c>
      <c r="W26" s="91">
        <v>5443145.99990809</v>
      </c>
      <c r="X26" s="91">
        <v>7985574.45759764</v>
      </c>
      <c r="Y26" s="91">
        <v>6566475.23104203</v>
      </c>
      <c r="Z26" s="91">
        <v>4998637.61696303</v>
      </c>
      <c r="AA26" s="91">
        <v>4037898.82279771</v>
      </c>
      <c r="AB26" s="91">
        <v>2740641.70532866</v>
      </c>
      <c r="AC26" s="92">
        <v>56308701.5769142</v>
      </c>
      <c r="AD26" s="91">
        <v>1879668.37050577</v>
      </c>
      <c r="AE26" s="91">
        <v>1272037.26335534</v>
      </c>
      <c r="AF26" s="91">
        <v>1040858.01759112</v>
      </c>
      <c r="AG26" s="91">
        <v>1461812.47802816</v>
      </c>
      <c r="AH26" s="91">
        <v>1881787.4954079</v>
      </c>
      <c r="AI26" s="91">
        <v>1989031.44941356</v>
      </c>
      <c r="AJ26" s="91">
        <v>2461670.77260129</v>
      </c>
      <c r="AK26" s="91">
        <v>4518457.3038106</v>
      </c>
      <c r="AL26" s="91">
        <v>4939324.18137683</v>
      </c>
      <c r="AM26" s="91">
        <v>3795689.36639308</v>
      </c>
      <c r="AN26" s="91">
        <v>3065685.70763734</v>
      </c>
      <c r="AO26" s="91">
        <v>1898515.35844218</v>
      </c>
      <c r="AP26" s="92">
        <v>30204537.7645632</v>
      </c>
      <c r="AQ26" s="91">
        <v>3065988.84875656</v>
      </c>
      <c r="AR26" s="91">
        <v>2501161.85179277</v>
      </c>
      <c r="AS26" s="91">
        <v>2832954.89565059</v>
      </c>
      <c r="AT26" s="91">
        <v>2354848.93660221</v>
      </c>
      <c r="AU26" s="91">
        <v>2985663.95821035</v>
      </c>
      <c r="AV26" s="91">
        <v>2614400.80726442</v>
      </c>
      <c r="AW26" s="91">
        <v>3051340.35938825</v>
      </c>
      <c r="AX26" s="91">
        <v>3854358.75490087</v>
      </c>
      <c r="AY26" s="91">
        <v>3949410.53100119</v>
      </c>
      <c r="AZ26" s="91">
        <v>2973367.1559461</v>
      </c>
      <c r="BA26" s="91">
        <v>2714020.37704172</v>
      </c>
      <c r="BB26" s="91">
        <v>1283875.50380905</v>
      </c>
      <c r="BC26" s="92">
        <v>34181391.9803641</v>
      </c>
      <c r="BD26" s="91">
        <v>5479181.6093069</v>
      </c>
      <c r="BE26" s="91">
        <v>4850263.0780457</v>
      </c>
      <c r="BF26" s="91">
        <v>3093621.29526016</v>
      </c>
      <c r="BG26" s="91">
        <v>3767990.53597557</v>
      </c>
      <c r="BH26" s="91">
        <v>4287559.88379504</v>
      </c>
      <c r="BI26" s="91">
        <v>3637320.08018503</v>
      </c>
      <c r="BJ26" s="91">
        <v>4285044.3515538</v>
      </c>
      <c r="BK26" s="91">
        <v>4925844.84762156</v>
      </c>
      <c r="BL26" s="91">
        <v>4272338.94671918</v>
      </c>
      <c r="BM26" s="91">
        <v>4305909.78201781</v>
      </c>
      <c r="BN26" s="91">
        <v>4176259.47907162</v>
      </c>
      <c r="BO26" s="91">
        <v>2135043.89257313</v>
      </c>
      <c r="BP26" s="92">
        <v>49216377.7821255</v>
      </c>
      <c r="BQ26" s="91">
        <v>13814706.5549044</v>
      </c>
      <c r="BR26" s="91">
        <v>11054834.5504033</v>
      </c>
      <c r="BS26" s="91">
        <v>7896123.77440415</v>
      </c>
      <c r="BT26" s="91">
        <v>8860511.52174307</v>
      </c>
      <c r="BU26" s="91">
        <v>10132214.859097</v>
      </c>
      <c r="BV26" s="91">
        <v>6298080.06820331</v>
      </c>
      <c r="BW26" s="91">
        <v>7551399.72525173</v>
      </c>
      <c r="BX26" s="91">
        <v>9506336.24187453</v>
      </c>
      <c r="BY26" s="91">
        <v>9323599.03361318</v>
      </c>
      <c r="BZ26" s="91">
        <v>10221993.7612151</v>
      </c>
      <c r="CA26" s="91">
        <v>9398427.37089903</v>
      </c>
      <c r="CB26" s="91">
        <v>4379286.65670104</v>
      </c>
      <c r="CC26" s="92">
        <v>108437514.11831</v>
      </c>
      <c r="CD26" s="91">
        <v>714873.144227391</v>
      </c>
      <c r="CE26" s="91">
        <v>575590.201635011</v>
      </c>
      <c r="CF26" s="91">
        <v>573053.738838222</v>
      </c>
      <c r="CG26" s="91">
        <v>1045294.85544887</v>
      </c>
      <c r="CH26" s="91">
        <v>1145819.01549744</v>
      </c>
      <c r="CI26" s="91">
        <v>1504746.53081962</v>
      </c>
      <c r="CJ26" s="91">
        <v>1713588.69263462</v>
      </c>
      <c r="CK26" s="91">
        <v>1732737.29876238</v>
      </c>
      <c r="CL26" s="91">
        <v>1921234.27545128</v>
      </c>
      <c r="CM26" s="91">
        <v>2021982.79284383</v>
      </c>
      <c r="CN26" s="91">
        <v>1513082.04010812</v>
      </c>
      <c r="CO26" s="91">
        <v>687818.668306042</v>
      </c>
      <c r="CP26" s="92">
        <v>15149821.2545728</v>
      </c>
      <c r="CQ26" s="91">
        <v>3727136.0071669</v>
      </c>
      <c r="CR26" s="91">
        <v>3419245.6348444</v>
      </c>
      <c r="CS26" s="91">
        <v>2228994.39709421</v>
      </c>
      <c r="CT26" s="91">
        <v>2768356.93509473</v>
      </c>
      <c r="CU26" s="91">
        <v>3599049.42220617</v>
      </c>
      <c r="CV26" s="91">
        <v>3162049.64896193</v>
      </c>
      <c r="CW26" s="91">
        <v>3190085.04589191</v>
      </c>
      <c r="CX26" s="91">
        <v>3665884.13569763</v>
      </c>
      <c r="CY26" s="91">
        <v>3286072.43005445</v>
      </c>
      <c r="CZ26" s="91">
        <v>3393270.48735047</v>
      </c>
      <c r="DA26" s="91">
        <v>3672101.76019554</v>
      </c>
      <c r="DB26" s="91">
        <v>1526407.88482768</v>
      </c>
      <c r="DC26" s="92">
        <v>37638653.789386</v>
      </c>
      <c r="DD26" s="91">
        <v>417777.706960054</v>
      </c>
      <c r="DE26" s="91">
        <v>344374.205314771</v>
      </c>
      <c r="DF26" s="91">
        <v>225460.830401129</v>
      </c>
      <c r="DG26" s="91">
        <v>279298.54726158</v>
      </c>
      <c r="DH26" s="91">
        <v>363329.688727397</v>
      </c>
      <c r="DI26" s="91">
        <v>457686.966917905</v>
      </c>
      <c r="DJ26" s="91">
        <v>506950.770734176</v>
      </c>
      <c r="DK26" s="91">
        <v>481292.109757753</v>
      </c>
      <c r="DL26" s="91">
        <v>563961.000635637</v>
      </c>
      <c r="DM26" s="91">
        <v>665092.298711941</v>
      </c>
      <c r="DN26" s="91">
        <v>496549.76326681</v>
      </c>
      <c r="DO26" s="91">
        <v>355258.637627408</v>
      </c>
      <c r="DP26" s="92">
        <v>5157032.52631656</v>
      </c>
      <c r="DQ26" s="91">
        <v>3290228.04338949</v>
      </c>
      <c r="DR26" s="91">
        <v>2663477.86721189</v>
      </c>
      <c r="DS26" s="91">
        <v>1954176.62122762</v>
      </c>
      <c r="DT26" s="91">
        <v>2685537.61770935</v>
      </c>
      <c r="DU26" s="91">
        <v>2629382.56591175</v>
      </c>
      <c r="DV26" s="91">
        <v>3031877.9282896</v>
      </c>
      <c r="DW26" s="91">
        <v>2730580.28932711</v>
      </c>
      <c r="DX26" s="91">
        <v>2810920.10373247</v>
      </c>
      <c r="DY26" s="91">
        <v>3262228.08677708</v>
      </c>
      <c r="DZ26" s="91">
        <v>2871194.06389271</v>
      </c>
      <c r="EA26" s="91">
        <v>2901192.99523789</v>
      </c>
      <c r="EB26" s="91">
        <v>1001545.14077001</v>
      </c>
      <c r="EC26" s="91">
        <v>31832341.323477</v>
      </c>
      <c r="ED26" s="93">
        <v>203192.925500227</v>
      </c>
      <c r="EE26" s="91">
        <v>35477.8430904713</v>
      </c>
      <c r="EF26" s="91">
        <v>0</v>
      </c>
      <c r="EG26" s="91">
        <v>22790.7919872787</v>
      </c>
      <c r="EH26" s="91">
        <v>0</v>
      </c>
      <c r="EI26" s="91">
        <v>0</v>
      </c>
      <c r="EJ26" s="91">
        <v>0</v>
      </c>
      <c r="EK26" s="91">
        <v>0</v>
      </c>
      <c r="EL26" s="91">
        <v>0</v>
      </c>
      <c r="EM26" s="91">
        <v>0</v>
      </c>
      <c r="EN26" s="91">
        <v>0</v>
      </c>
      <c r="EO26" s="91">
        <v>0</v>
      </c>
      <c r="EP26" s="92">
        <v>261461.560577977</v>
      </c>
      <c r="EQ26" s="91">
        <v>714847.377288373</v>
      </c>
      <c r="ER26" s="91">
        <v>824689.8421665</v>
      </c>
      <c r="ES26" s="91">
        <v>735973.152799175</v>
      </c>
      <c r="ET26" s="91">
        <v>951143.848176094</v>
      </c>
      <c r="EU26" s="91">
        <v>1079571.47429188</v>
      </c>
      <c r="EV26" s="91">
        <v>1323373.34342893</v>
      </c>
      <c r="EW26" s="91">
        <v>1917525.59281001</v>
      </c>
      <c r="EX26" s="91">
        <v>2209340.84386211</v>
      </c>
      <c r="EY26" s="91">
        <v>2752086.34444565</v>
      </c>
      <c r="EZ26" s="91">
        <v>2273551.53492444</v>
      </c>
      <c r="FA26" s="91">
        <v>1544536.63166135</v>
      </c>
      <c r="FB26" s="91">
        <v>1398713.82893785</v>
      </c>
      <c r="FC26" s="91">
        <v>17725353.8147924</v>
      </c>
      <c r="FD26" s="93">
        <v>340000</v>
      </c>
      <c r="FE26" s="91">
        <v>122070.147278919</v>
      </c>
      <c r="FF26" s="91">
        <v>0</v>
      </c>
      <c r="FG26" s="91">
        <v>0</v>
      </c>
      <c r="FH26" s="91">
        <v>0</v>
      </c>
      <c r="FI26" s="91">
        <v>0</v>
      </c>
      <c r="FJ26" s="91">
        <v>0</v>
      </c>
      <c r="FK26" s="91">
        <v>0</v>
      </c>
      <c r="FL26" s="91">
        <v>0</v>
      </c>
      <c r="FM26" s="91">
        <v>0</v>
      </c>
      <c r="FN26" s="91">
        <v>0</v>
      </c>
      <c r="FO26" s="91">
        <v>0</v>
      </c>
      <c r="FP26" s="92">
        <v>0</v>
      </c>
      <c r="FQ26" s="93">
        <v>9567897.03790488</v>
      </c>
      <c r="FR26" s="91">
        <v>4870180.25950109</v>
      </c>
      <c r="FS26" s="91">
        <v>3892380.9212602</v>
      </c>
      <c r="FT26" s="91">
        <v>8913628.09394766</v>
      </c>
      <c r="FU26" s="91">
        <v>7518183.8805995</v>
      </c>
      <c r="FV26" s="91">
        <v>4430417.852</v>
      </c>
      <c r="FW26" s="91">
        <v>6200501.16</v>
      </c>
      <c r="FX26" s="91">
        <v>7802065.6</v>
      </c>
      <c r="FY26" s="91">
        <v>6124634.24</v>
      </c>
      <c r="FZ26" s="91">
        <v>7852412.66</v>
      </c>
      <c r="GA26" s="91">
        <v>3533478.14</v>
      </c>
      <c r="GB26" s="91">
        <v>2058836.86</v>
      </c>
      <c r="GC26" s="92">
        <v>72764616.7052134</v>
      </c>
    </row>
    <row r="27" ht="15" spans="1:185">
      <c r="A27" s="76" t="s">
        <v>28</v>
      </c>
      <c r="B27" s="77" t="s">
        <v>420</v>
      </c>
      <c r="C27" s="78">
        <v>531805722.999694</v>
      </c>
      <c r="D27" s="79">
        <f t="shared" si="11"/>
        <v>87082084.644199</v>
      </c>
      <c r="E27" s="79">
        <f t="shared" si="0"/>
        <v>88375588.2458715</v>
      </c>
      <c r="F27" s="79">
        <f t="shared" si="1"/>
        <v>62163227.5086262</v>
      </c>
      <c r="G27" s="79">
        <f t="shared" si="2"/>
        <v>70208136.1516421</v>
      </c>
      <c r="H27" s="79">
        <f t="shared" si="3"/>
        <v>50098151.6992604</v>
      </c>
      <c r="I27" s="79">
        <f t="shared" si="4"/>
        <v>39977316.7989748</v>
      </c>
      <c r="J27" s="79">
        <f t="shared" si="5"/>
        <v>40564702.5325733</v>
      </c>
      <c r="K27" s="79">
        <f t="shared" si="6"/>
        <v>36954675.117994</v>
      </c>
      <c r="L27" s="79">
        <f t="shared" si="7"/>
        <v>31254084.9859904</v>
      </c>
      <c r="M27" s="79">
        <f t="shared" si="8"/>
        <v>23871840.03219</v>
      </c>
      <c r="N27" s="79">
        <f t="shared" si="9"/>
        <v>26997797.8837357</v>
      </c>
      <c r="O27" s="79">
        <f t="shared" si="10"/>
        <v>37850057.3178401</v>
      </c>
      <c r="P27" s="80">
        <f t="shared" si="12"/>
        <v>595397662.918898</v>
      </c>
      <c r="Q27" s="79">
        <v>5091513.82875277</v>
      </c>
      <c r="R27" s="79">
        <v>5068351.53456237</v>
      </c>
      <c r="S27" s="79">
        <v>4129017.8472966</v>
      </c>
      <c r="T27" s="79">
        <v>5359006.61935042</v>
      </c>
      <c r="U27" s="79">
        <v>4322010.29012154</v>
      </c>
      <c r="V27" s="79">
        <v>4287494.64749714</v>
      </c>
      <c r="W27" s="79">
        <v>4837244.41133338</v>
      </c>
      <c r="X27" s="79">
        <v>4990369.88532032</v>
      </c>
      <c r="Y27" s="79">
        <v>4569013.67352476</v>
      </c>
      <c r="Z27" s="79">
        <v>3537685.87105383</v>
      </c>
      <c r="AA27" s="79">
        <v>3673751.28508111</v>
      </c>
      <c r="AB27" s="79">
        <v>3783485.67584663</v>
      </c>
      <c r="AC27" s="80">
        <v>53648945.5697409</v>
      </c>
      <c r="AD27" s="79">
        <v>5906138.26340006</v>
      </c>
      <c r="AE27" s="79">
        <v>6414194.31479297</v>
      </c>
      <c r="AF27" s="79">
        <v>5407388.32199649</v>
      </c>
      <c r="AG27" s="79">
        <v>7667390.01301246</v>
      </c>
      <c r="AH27" s="79">
        <v>6087694.9986405</v>
      </c>
      <c r="AI27" s="79">
        <v>6209167.69746823</v>
      </c>
      <c r="AJ27" s="79">
        <v>5799176.91122345</v>
      </c>
      <c r="AK27" s="79">
        <v>5416637.25669592</v>
      </c>
      <c r="AL27" s="79">
        <v>4745000.24944754</v>
      </c>
      <c r="AM27" s="79">
        <v>4227607.29404049</v>
      </c>
      <c r="AN27" s="79">
        <v>3111554.57405613</v>
      </c>
      <c r="AO27" s="79">
        <v>3091081.32971538</v>
      </c>
      <c r="AP27" s="80">
        <v>64083031.2244896</v>
      </c>
      <c r="AQ27" s="79">
        <v>7216782.28215832</v>
      </c>
      <c r="AR27" s="79">
        <v>5255590.64374114</v>
      </c>
      <c r="AS27" s="79">
        <v>4615287.20825875</v>
      </c>
      <c r="AT27" s="79">
        <v>4975625.29099433</v>
      </c>
      <c r="AU27" s="79">
        <v>4352437.98240958</v>
      </c>
      <c r="AV27" s="79">
        <v>3799028.96439632</v>
      </c>
      <c r="AW27" s="79">
        <v>4049101.45466852</v>
      </c>
      <c r="AX27" s="79">
        <v>3331584.67035402</v>
      </c>
      <c r="AY27" s="79">
        <v>3233425.37510699</v>
      </c>
      <c r="AZ27" s="79">
        <v>2620525.98544499</v>
      </c>
      <c r="BA27" s="79">
        <v>2188462.91842615</v>
      </c>
      <c r="BB27" s="79">
        <v>2923560.61441609</v>
      </c>
      <c r="BC27" s="80">
        <v>48561413.3903752</v>
      </c>
      <c r="BD27" s="79">
        <v>6400363.71285173</v>
      </c>
      <c r="BE27" s="79">
        <v>9513980.63154589</v>
      </c>
      <c r="BF27" s="79">
        <v>5761775.99161982</v>
      </c>
      <c r="BG27" s="79">
        <v>5716793.71696394</v>
      </c>
      <c r="BH27" s="79">
        <v>4122115.7476533</v>
      </c>
      <c r="BI27" s="79">
        <v>3297787.34362294</v>
      </c>
      <c r="BJ27" s="79">
        <v>3324090.21296605</v>
      </c>
      <c r="BK27" s="79">
        <v>3068241.82644738</v>
      </c>
      <c r="BL27" s="79">
        <v>2673012.98319886</v>
      </c>
      <c r="BM27" s="79">
        <v>1905686.97125058</v>
      </c>
      <c r="BN27" s="79">
        <v>1550074.85906717</v>
      </c>
      <c r="BO27" s="79">
        <v>3861153.9661511</v>
      </c>
      <c r="BP27" s="80">
        <v>51195077.9633388</v>
      </c>
      <c r="BQ27" s="79">
        <v>17358973.9962494</v>
      </c>
      <c r="BR27" s="79">
        <v>20435759.7642018</v>
      </c>
      <c r="BS27" s="79">
        <v>11875626.9989138</v>
      </c>
      <c r="BT27" s="79">
        <v>12380673.5834131</v>
      </c>
      <c r="BU27" s="79">
        <v>9637828.11140346</v>
      </c>
      <c r="BV27" s="79">
        <v>6534004.65176249</v>
      </c>
      <c r="BW27" s="79">
        <v>6735712.56813564</v>
      </c>
      <c r="BX27" s="79">
        <v>6303249.36222529</v>
      </c>
      <c r="BY27" s="79">
        <v>4762808.81460295</v>
      </c>
      <c r="BZ27" s="79">
        <v>3819668.34232254</v>
      </c>
      <c r="CA27" s="79">
        <v>3335096.06745674</v>
      </c>
      <c r="CB27" s="79">
        <v>6886812.653826</v>
      </c>
      <c r="CC27" s="80">
        <v>110066214.914513</v>
      </c>
      <c r="CD27" s="79">
        <v>2129031.04864263</v>
      </c>
      <c r="CE27" s="79">
        <v>876157.888477817</v>
      </c>
      <c r="CF27" s="79">
        <v>863109.333445107</v>
      </c>
      <c r="CG27" s="79">
        <v>1651444.48324002</v>
      </c>
      <c r="CH27" s="79">
        <v>1643317.59153144</v>
      </c>
      <c r="CI27" s="79">
        <v>1309662.783333</v>
      </c>
      <c r="CJ27" s="79">
        <v>941981.214708121</v>
      </c>
      <c r="CK27" s="79">
        <v>913227.005840029</v>
      </c>
      <c r="CL27" s="79">
        <v>717527.448818667</v>
      </c>
      <c r="CM27" s="79">
        <v>482887.94156372</v>
      </c>
      <c r="CN27" s="79">
        <v>294229.409685954</v>
      </c>
      <c r="CO27" s="79">
        <v>514406.323440191</v>
      </c>
      <c r="CP27" s="80">
        <v>12336982.4727267</v>
      </c>
      <c r="CQ27" s="79">
        <v>9301383.47344419</v>
      </c>
      <c r="CR27" s="79">
        <v>11270926.0457075</v>
      </c>
      <c r="CS27" s="79">
        <v>8326229.48860037</v>
      </c>
      <c r="CT27" s="79">
        <v>8573084.17588436</v>
      </c>
      <c r="CU27" s="79">
        <v>7058942.29900767</v>
      </c>
      <c r="CV27" s="79">
        <v>4840593.0569598</v>
      </c>
      <c r="CW27" s="79">
        <v>4313280.03879233</v>
      </c>
      <c r="CX27" s="79">
        <v>3444960.85478687</v>
      </c>
      <c r="CY27" s="79">
        <v>2670924.46249398</v>
      </c>
      <c r="CZ27" s="79">
        <v>1709392.21394306</v>
      </c>
      <c r="DA27" s="79">
        <v>1179712.38252583</v>
      </c>
      <c r="DB27" s="79">
        <v>3568988.65471924</v>
      </c>
      <c r="DC27" s="80">
        <v>66258417.1468652</v>
      </c>
      <c r="DD27" s="79">
        <v>651080.914545052</v>
      </c>
      <c r="DE27" s="79">
        <v>818020.405295685</v>
      </c>
      <c r="DF27" s="79">
        <v>595764.315631905</v>
      </c>
      <c r="DG27" s="79">
        <v>531966.805103433</v>
      </c>
      <c r="DH27" s="79">
        <v>613954.607506157</v>
      </c>
      <c r="DI27" s="79">
        <v>499643.107063968</v>
      </c>
      <c r="DJ27" s="79">
        <v>453469.896183318</v>
      </c>
      <c r="DK27" s="79">
        <v>385899.108845407</v>
      </c>
      <c r="DL27" s="79">
        <v>278021.322852226</v>
      </c>
      <c r="DM27" s="79">
        <v>198601.19944828</v>
      </c>
      <c r="DN27" s="79">
        <v>160824.993406068</v>
      </c>
      <c r="DO27" s="79">
        <v>305943.942872722</v>
      </c>
      <c r="DP27" s="80">
        <v>5493190.61875422</v>
      </c>
      <c r="DQ27" s="79">
        <v>4410375.5692695</v>
      </c>
      <c r="DR27" s="79">
        <v>4983747.69479577</v>
      </c>
      <c r="DS27" s="79">
        <v>4800166.70147164</v>
      </c>
      <c r="DT27" s="79">
        <v>5032874.04537494</v>
      </c>
      <c r="DU27" s="79">
        <v>4344308.22886902</v>
      </c>
      <c r="DV27" s="79">
        <v>3197178.8953762</v>
      </c>
      <c r="DW27" s="79">
        <v>2352226.51336824</v>
      </c>
      <c r="DX27" s="79">
        <v>2126948.23402797</v>
      </c>
      <c r="DY27" s="79">
        <v>1739484.65342471</v>
      </c>
      <c r="DZ27" s="79">
        <v>1439107.86227374</v>
      </c>
      <c r="EA27" s="79">
        <v>1198981.50024864</v>
      </c>
      <c r="EB27" s="79">
        <v>2601840.58844963</v>
      </c>
      <c r="EC27" s="79">
        <v>38227240.48695</v>
      </c>
      <c r="ED27" s="81">
        <v>228922.64725333</v>
      </c>
      <c r="EE27" s="79">
        <v>66272.8022037611</v>
      </c>
      <c r="EF27" s="79">
        <v>0</v>
      </c>
      <c r="EG27" s="79">
        <v>74835.27390316</v>
      </c>
      <c r="EH27" s="79">
        <v>0</v>
      </c>
      <c r="EI27" s="79">
        <v>0</v>
      </c>
      <c r="EJ27" s="79">
        <v>0</v>
      </c>
      <c r="EK27" s="79">
        <v>0</v>
      </c>
      <c r="EL27" s="79">
        <v>0</v>
      </c>
      <c r="EM27" s="79">
        <v>0</v>
      </c>
      <c r="EN27" s="79">
        <v>0</v>
      </c>
      <c r="EO27" s="79">
        <v>0</v>
      </c>
      <c r="EP27" s="80">
        <v>370030.723360251</v>
      </c>
      <c r="EQ27" s="79">
        <v>502494.707588416</v>
      </c>
      <c r="ER27" s="79">
        <v>752186.224057387</v>
      </c>
      <c r="ES27" s="79">
        <v>680343.382760808</v>
      </c>
      <c r="ET27" s="79">
        <v>646003.810853443</v>
      </c>
      <c r="EU27" s="79">
        <v>665520.197470739</v>
      </c>
      <c r="EV27" s="79">
        <v>490572.563494673</v>
      </c>
      <c r="EW27" s="79">
        <v>588604.791194288</v>
      </c>
      <c r="EX27" s="79">
        <v>664139.393450758</v>
      </c>
      <c r="EY27" s="79">
        <v>544767.562519703</v>
      </c>
      <c r="EZ27" s="79">
        <v>527086.710848793</v>
      </c>
      <c r="FA27" s="79">
        <v>238855.573781901</v>
      </c>
      <c r="FB27" s="79">
        <v>453097.688403135</v>
      </c>
      <c r="FC27" s="79">
        <v>6753672.60642404</v>
      </c>
      <c r="FD27" s="81">
        <v>150354.982045943</v>
      </c>
      <c r="FE27" s="79">
        <v>491818.970565907</v>
      </c>
      <c r="FF27" s="79">
        <v>0</v>
      </c>
      <c r="FG27" s="79">
        <v>0</v>
      </c>
      <c r="FH27" s="79">
        <v>0</v>
      </c>
      <c r="FI27" s="79">
        <v>0</v>
      </c>
      <c r="FJ27" s="79">
        <v>0</v>
      </c>
      <c r="FK27" s="79">
        <v>0</v>
      </c>
      <c r="FL27" s="79">
        <v>0</v>
      </c>
      <c r="FM27" s="79">
        <v>0</v>
      </c>
      <c r="FN27" s="79">
        <v>0</v>
      </c>
      <c r="FO27" s="79">
        <v>0</v>
      </c>
      <c r="FP27" s="80">
        <v>0</v>
      </c>
      <c r="FQ27" s="81">
        <v>27734669.2179977</v>
      </c>
      <c r="FR27" s="79">
        <v>22428581.3259237</v>
      </c>
      <c r="FS27" s="79">
        <v>15108517.918631</v>
      </c>
      <c r="FT27" s="79">
        <v>17598438.3335485</v>
      </c>
      <c r="FU27" s="79">
        <v>7250021.64464699</v>
      </c>
      <c r="FV27" s="79">
        <v>5512183.088</v>
      </c>
      <c r="FW27" s="79">
        <v>7169814.52</v>
      </c>
      <c r="FX27" s="79">
        <v>6309417.52</v>
      </c>
      <c r="FY27" s="79">
        <v>5320098.44</v>
      </c>
      <c r="FZ27" s="79">
        <v>3403589.64</v>
      </c>
      <c r="GA27" s="79">
        <v>10066254.32</v>
      </c>
      <c r="GB27" s="79">
        <v>9859685.88</v>
      </c>
      <c r="GC27" s="80">
        <v>137761271.848748</v>
      </c>
    </row>
    <row r="28" ht="15" spans="1:185">
      <c r="A28" s="82"/>
      <c r="B28" s="83" t="s">
        <v>421</v>
      </c>
      <c r="C28" s="84">
        <v>4880368742.92626</v>
      </c>
      <c r="D28" s="85">
        <f t="shared" si="11"/>
        <v>335887473.768413</v>
      </c>
      <c r="E28" s="85">
        <f t="shared" si="0"/>
        <v>266618032.200103</v>
      </c>
      <c r="F28" s="85">
        <f t="shared" si="1"/>
        <v>248301057.039943</v>
      </c>
      <c r="G28" s="85">
        <f t="shared" si="2"/>
        <v>176391661.398131</v>
      </c>
      <c r="H28" s="85">
        <f t="shared" si="3"/>
        <v>160059872.70119</v>
      </c>
      <c r="I28" s="85">
        <f t="shared" si="4"/>
        <v>169240183.661562</v>
      </c>
      <c r="J28" s="85">
        <f t="shared" si="5"/>
        <v>222258669.56195</v>
      </c>
      <c r="K28" s="85">
        <f t="shared" si="6"/>
        <v>266539139.181667</v>
      </c>
      <c r="L28" s="85">
        <f t="shared" si="7"/>
        <v>268065065.533621</v>
      </c>
      <c r="M28" s="85">
        <f t="shared" si="8"/>
        <v>258141891.165705</v>
      </c>
      <c r="N28" s="85">
        <f t="shared" si="9"/>
        <v>295800136.376803</v>
      </c>
      <c r="O28" s="85">
        <f t="shared" si="10"/>
        <v>299865642.259501</v>
      </c>
      <c r="P28" s="86">
        <f t="shared" si="12"/>
        <v>2967168824.84859</v>
      </c>
      <c r="Q28" s="85">
        <v>49953421.292542</v>
      </c>
      <c r="R28" s="85">
        <v>37183516.0039355</v>
      </c>
      <c r="S28" s="85">
        <v>36326624.9387063</v>
      </c>
      <c r="T28" s="85">
        <v>25412001.8108484</v>
      </c>
      <c r="U28" s="85">
        <v>21287599.6589298</v>
      </c>
      <c r="V28" s="85">
        <v>21655784.9958153</v>
      </c>
      <c r="W28" s="85">
        <v>25917683.0207322</v>
      </c>
      <c r="X28" s="85">
        <v>34315162.3177704</v>
      </c>
      <c r="Y28" s="85">
        <v>33561077.0230959</v>
      </c>
      <c r="Z28" s="85">
        <v>36644117.5991168</v>
      </c>
      <c r="AA28" s="85">
        <v>39734358.50636</v>
      </c>
      <c r="AB28" s="85">
        <v>37893523.134036</v>
      </c>
      <c r="AC28" s="86">
        <v>399884870.301888</v>
      </c>
      <c r="AD28" s="85">
        <v>19287044.7924743</v>
      </c>
      <c r="AE28" s="85">
        <v>16046949.3703886</v>
      </c>
      <c r="AF28" s="85">
        <v>18895288.9978364</v>
      </c>
      <c r="AG28" s="85">
        <v>13252493.4525409</v>
      </c>
      <c r="AH28" s="85">
        <v>12888047.8424313</v>
      </c>
      <c r="AI28" s="85">
        <v>13602069.5298704</v>
      </c>
      <c r="AJ28" s="85">
        <v>16522949.7503362</v>
      </c>
      <c r="AK28" s="85">
        <v>22937899.6437703</v>
      </c>
      <c r="AL28" s="85">
        <v>22090190.6888902</v>
      </c>
      <c r="AM28" s="85">
        <v>21579740.8337379</v>
      </c>
      <c r="AN28" s="85">
        <v>25062571.1969069</v>
      </c>
      <c r="AO28" s="85">
        <v>26081844.0976913</v>
      </c>
      <c r="AP28" s="86">
        <v>228247090.196875</v>
      </c>
      <c r="AQ28" s="85">
        <v>20259890.7567817</v>
      </c>
      <c r="AR28" s="85">
        <v>17002064.8496368</v>
      </c>
      <c r="AS28" s="85">
        <v>17602589.9621387</v>
      </c>
      <c r="AT28" s="85">
        <v>12492543.1059664</v>
      </c>
      <c r="AU28" s="85">
        <v>12041254.5218067</v>
      </c>
      <c r="AV28" s="85">
        <v>13696119.7232972</v>
      </c>
      <c r="AW28" s="85">
        <v>19829711.5577509</v>
      </c>
      <c r="AX28" s="85">
        <v>23341849.2338317</v>
      </c>
      <c r="AY28" s="85">
        <v>23360260.0637469</v>
      </c>
      <c r="AZ28" s="85">
        <v>18946373.2934287</v>
      </c>
      <c r="BA28" s="85">
        <v>23418492.6602323</v>
      </c>
      <c r="BB28" s="85">
        <v>28389493.0516406</v>
      </c>
      <c r="BC28" s="86">
        <v>230380642.780258</v>
      </c>
      <c r="BD28" s="85">
        <v>21203135.5490845</v>
      </c>
      <c r="BE28" s="85">
        <v>18746586.7011298</v>
      </c>
      <c r="BF28" s="85">
        <v>12899331.9207264</v>
      </c>
      <c r="BG28" s="85">
        <v>10054250.1155427</v>
      </c>
      <c r="BH28" s="85">
        <v>9439165.82575837</v>
      </c>
      <c r="BI28" s="85">
        <v>12516839.2497631</v>
      </c>
      <c r="BJ28" s="85">
        <v>17007489.5627333</v>
      </c>
      <c r="BK28" s="85">
        <v>19961460.7622174</v>
      </c>
      <c r="BL28" s="85">
        <v>20853476.6065555</v>
      </c>
      <c r="BM28" s="85">
        <v>19858398.2205044</v>
      </c>
      <c r="BN28" s="85">
        <v>22642910.9283143</v>
      </c>
      <c r="BO28" s="85">
        <v>20754155.043417</v>
      </c>
      <c r="BP28" s="86">
        <v>205937200.485747</v>
      </c>
      <c r="BQ28" s="85">
        <v>69931898.1028818</v>
      </c>
      <c r="BR28" s="85">
        <v>54278773.5670927</v>
      </c>
      <c r="BS28" s="85">
        <v>43941978.0426029</v>
      </c>
      <c r="BT28" s="85">
        <v>32154042.77126</v>
      </c>
      <c r="BU28" s="85">
        <v>28752338.489675</v>
      </c>
      <c r="BV28" s="85">
        <v>34592407.623192</v>
      </c>
      <c r="BW28" s="85">
        <v>41137645.4830869</v>
      </c>
      <c r="BX28" s="85">
        <v>44719979.8467046</v>
      </c>
      <c r="BY28" s="85">
        <v>49311378.7720371</v>
      </c>
      <c r="BZ28" s="85">
        <v>43534310.0227847</v>
      </c>
      <c r="CA28" s="85">
        <v>46760667.2295261</v>
      </c>
      <c r="CB28" s="85">
        <v>44082641.8373398</v>
      </c>
      <c r="CC28" s="86">
        <v>533198061.788184</v>
      </c>
      <c r="CD28" s="85">
        <v>7922485.42257088</v>
      </c>
      <c r="CE28" s="85">
        <v>2015361.58230796</v>
      </c>
      <c r="CF28" s="85">
        <v>3092013.81600044</v>
      </c>
      <c r="CG28" s="85">
        <v>3711903.86941737</v>
      </c>
      <c r="CH28" s="85">
        <v>3116378.8939094</v>
      </c>
      <c r="CI28" s="85">
        <v>3896692.45389618</v>
      </c>
      <c r="CJ28" s="85">
        <v>4330632.65418837</v>
      </c>
      <c r="CK28" s="85">
        <v>4905723.06928656</v>
      </c>
      <c r="CL28" s="85">
        <v>4555843.20167856</v>
      </c>
      <c r="CM28" s="85">
        <v>4725768.79845016</v>
      </c>
      <c r="CN28" s="85">
        <v>5246285.93173658</v>
      </c>
      <c r="CO28" s="85">
        <v>4765361.98089534</v>
      </c>
      <c r="CP28" s="86">
        <v>52284451.6743378</v>
      </c>
      <c r="CQ28" s="85">
        <v>21639850.5601789</v>
      </c>
      <c r="CR28" s="85">
        <v>21203997.0672781</v>
      </c>
      <c r="CS28" s="85">
        <v>15552779.3384097</v>
      </c>
      <c r="CT28" s="85">
        <v>12683579.683714</v>
      </c>
      <c r="CU28" s="85">
        <v>14062202.6888161</v>
      </c>
      <c r="CV28" s="85">
        <v>15494111.3067909</v>
      </c>
      <c r="CW28" s="85">
        <v>18402312.7324703</v>
      </c>
      <c r="CX28" s="85">
        <v>20382458.6880611</v>
      </c>
      <c r="CY28" s="85">
        <v>20129199.1559309</v>
      </c>
      <c r="CZ28" s="85">
        <v>17766628.4529506</v>
      </c>
      <c r="DA28" s="85">
        <v>22841258.1364938</v>
      </c>
      <c r="DB28" s="85">
        <v>19835759.7104899</v>
      </c>
      <c r="DC28" s="86">
        <v>219994137.521584</v>
      </c>
      <c r="DD28" s="85">
        <v>3021587.63340581</v>
      </c>
      <c r="DE28" s="85">
        <v>2435681.1037289</v>
      </c>
      <c r="DF28" s="85">
        <v>1894576.91329035</v>
      </c>
      <c r="DG28" s="85">
        <v>1643598.12540528</v>
      </c>
      <c r="DH28" s="85">
        <v>1527223.48200846</v>
      </c>
      <c r="DI28" s="85">
        <v>1455688.52870856</v>
      </c>
      <c r="DJ28" s="85">
        <v>1630117.90784059</v>
      </c>
      <c r="DK28" s="85">
        <v>2024469.03875515</v>
      </c>
      <c r="DL28" s="85">
        <v>2156914.76912576</v>
      </c>
      <c r="DM28" s="85">
        <v>1947476.55065667</v>
      </c>
      <c r="DN28" s="85">
        <v>1903186.30449737</v>
      </c>
      <c r="DO28" s="85">
        <v>2261399.36741437</v>
      </c>
      <c r="DP28" s="86">
        <v>23901919.7248373</v>
      </c>
      <c r="DQ28" s="85">
        <v>23845737.0224192</v>
      </c>
      <c r="DR28" s="85">
        <v>17803450.5635686</v>
      </c>
      <c r="DS28" s="85">
        <v>15399229.2053314</v>
      </c>
      <c r="DT28" s="85">
        <v>15142684.104627</v>
      </c>
      <c r="DU28" s="85">
        <v>11851111.1788009</v>
      </c>
      <c r="DV28" s="85">
        <v>12080538.121116</v>
      </c>
      <c r="DW28" s="85">
        <v>14820490.1939368</v>
      </c>
      <c r="DX28" s="85">
        <v>17027047.0546956</v>
      </c>
      <c r="DY28" s="85">
        <v>17854167.6188611</v>
      </c>
      <c r="DZ28" s="85">
        <v>18483980.4598692</v>
      </c>
      <c r="EA28" s="85">
        <v>21046712.4692028</v>
      </c>
      <c r="EB28" s="85">
        <v>17417174.348389</v>
      </c>
      <c r="EC28" s="85">
        <v>202772322.340818</v>
      </c>
      <c r="ED28" s="87">
        <v>3207213.10400236</v>
      </c>
      <c r="EE28" s="85">
        <v>319313.276793267</v>
      </c>
      <c r="EF28" s="85">
        <v>0</v>
      </c>
      <c r="EG28" s="85">
        <v>64492.5881260605</v>
      </c>
      <c r="EH28" s="85">
        <v>0</v>
      </c>
      <c r="EI28" s="85">
        <v>0</v>
      </c>
      <c r="EJ28" s="85">
        <v>0</v>
      </c>
      <c r="EK28" s="85">
        <v>0</v>
      </c>
      <c r="EL28" s="85">
        <v>0</v>
      </c>
      <c r="EM28" s="85">
        <v>0</v>
      </c>
      <c r="EN28" s="85">
        <v>0</v>
      </c>
      <c r="EO28" s="85">
        <v>0</v>
      </c>
      <c r="EP28" s="86">
        <v>3591018.96892169</v>
      </c>
      <c r="EQ28" s="85">
        <v>3467700.29553927</v>
      </c>
      <c r="ER28" s="85">
        <v>5395492.46396114</v>
      </c>
      <c r="ES28" s="85">
        <v>5565052.64146648</v>
      </c>
      <c r="ET28" s="85">
        <v>5216780.64154418</v>
      </c>
      <c r="EU28" s="85">
        <v>4762293.03986161</v>
      </c>
      <c r="EV28" s="85">
        <v>4303383.26911256</v>
      </c>
      <c r="EW28" s="85">
        <v>4786464.71887438</v>
      </c>
      <c r="EX28" s="85">
        <v>5490698.02657436</v>
      </c>
      <c r="EY28" s="85">
        <v>6947752.49369897</v>
      </c>
      <c r="EZ28" s="85">
        <v>6926723.07420591</v>
      </c>
      <c r="FA28" s="85">
        <v>6242974.43353329</v>
      </c>
      <c r="FB28" s="85">
        <v>6987380.24818798</v>
      </c>
      <c r="FC28" s="85">
        <v>66092695.3465601</v>
      </c>
      <c r="FD28" s="87">
        <v>275634.404018211</v>
      </c>
      <c r="FE28" s="85">
        <v>289567.164826584</v>
      </c>
      <c r="FF28" s="85">
        <v>0</v>
      </c>
      <c r="FG28" s="85">
        <v>0</v>
      </c>
      <c r="FH28" s="85">
        <v>0</v>
      </c>
      <c r="FI28" s="85">
        <v>0</v>
      </c>
      <c r="FJ28" s="85">
        <v>0</v>
      </c>
      <c r="FK28" s="85">
        <v>0</v>
      </c>
      <c r="FL28" s="85">
        <v>0</v>
      </c>
      <c r="FM28" s="85">
        <v>0</v>
      </c>
      <c r="FN28" s="85">
        <v>0</v>
      </c>
      <c r="FO28" s="85">
        <v>0</v>
      </c>
      <c r="FP28" s="86">
        <v>0</v>
      </c>
      <c r="FQ28" s="87">
        <v>91871874.8325141</v>
      </c>
      <c r="FR28" s="85">
        <v>73897278.4854549</v>
      </c>
      <c r="FS28" s="85">
        <v>77131591.2634345</v>
      </c>
      <c r="FT28" s="85">
        <v>44563291.1291391</v>
      </c>
      <c r="FU28" s="85">
        <v>40332257.0791926</v>
      </c>
      <c r="FV28" s="85">
        <v>35946548.86</v>
      </c>
      <c r="FW28" s="85">
        <v>57873171.98</v>
      </c>
      <c r="FX28" s="85">
        <v>71432391.5</v>
      </c>
      <c r="FY28" s="85">
        <v>67244805.14</v>
      </c>
      <c r="FZ28" s="85">
        <v>67728373.86</v>
      </c>
      <c r="GA28" s="85">
        <v>80900718.58</v>
      </c>
      <c r="GB28" s="85">
        <v>91396909.44</v>
      </c>
      <c r="GC28" s="86">
        <v>800319212.149735</v>
      </c>
    </row>
    <row r="29" s="56" customFormat="1" ht="16.5" spans="1:185">
      <c r="A29" s="88" t="s">
        <v>422</v>
      </c>
      <c r="B29" s="89"/>
      <c r="C29" s="90">
        <v>5412174465.92595</v>
      </c>
      <c r="D29" s="91">
        <f t="shared" si="11"/>
        <v>422969558.412612</v>
      </c>
      <c r="E29" s="91">
        <f t="shared" si="0"/>
        <v>354993620.445974</v>
      </c>
      <c r="F29" s="91">
        <f t="shared" si="1"/>
        <v>310464284.54857</v>
      </c>
      <c r="G29" s="91">
        <f t="shared" si="2"/>
        <v>246599797.549774</v>
      </c>
      <c r="H29" s="91">
        <f t="shared" si="3"/>
        <v>210158024.400451</v>
      </c>
      <c r="I29" s="91">
        <f t="shared" si="4"/>
        <v>209217500.460537</v>
      </c>
      <c r="J29" s="91">
        <f t="shared" si="5"/>
        <v>262823372.094523</v>
      </c>
      <c r="K29" s="91">
        <f t="shared" si="6"/>
        <v>303493814.299661</v>
      </c>
      <c r="L29" s="91">
        <f t="shared" si="7"/>
        <v>299319150.519611</v>
      </c>
      <c r="M29" s="91">
        <f t="shared" si="8"/>
        <v>282013731.197895</v>
      </c>
      <c r="N29" s="91">
        <f t="shared" si="9"/>
        <v>322797934.260539</v>
      </c>
      <c r="O29" s="91">
        <f t="shared" si="10"/>
        <v>337715699.577341</v>
      </c>
      <c r="P29" s="92">
        <f t="shared" si="12"/>
        <v>3562566487.76749</v>
      </c>
      <c r="Q29" s="91">
        <v>55044935.1212948</v>
      </c>
      <c r="R29" s="91">
        <v>42251867.5384979</v>
      </c>
      <c r="S29" s="91">
        <v>40455642.7860029</v>
      </c>
      <c r="T29" s="91">
        <v>30771008.4301988</v>
      </c>
      <c r="U29" s="91">
        <v>25609609.9490514</v>
      </c>
      <c r="V29" s="91">
        <v>25943279.6433124</v>
      </c>
      <c r="W29" s="91">
        <v>30754927.4320656</v>
      </c>
      <c r="X29" s="91">
        <v>39305532.2030907</v>
      </c>
      <c r="Y29" s="91">
        <v>38130090.6966206</v>
      </c>
      <c r="Z29" s="91">
        <v>40181803.4701706</v>
      </c>
      <c r="AA29" s="91">
        <v>43408109.7914411</v>
      </c>
      <c r="AB29" s="91">
        <v>41677008.8098826</v>
      </c>
      <c r="AC29" s="92">
        <v>453533815.871629</v>
      </c>
      <c r="AD29" s="91">
        <v>25193183.0558744</v>
      </c>
      <c r="AE29" s="91">
        <v>22461143.6851816</v>
      </c>
      <c r="AF29" s="91">
        <v>24302677.3198329</v>
      </c>
      <c r="AG29" s="91">
        <v>20919883.4655534</v>
      </c>
      <c r="AH29" s="91">
        <v>18975742.8410718</v>
      </c>
      <c r="AI29" s="91">
        <v>19811237.2273386</v>
      </c>
      <c r="AJ29" s="91">
        <v>22322126.6615597</v>
      </c>
      <c r="AK29" s="91">
        <v>28354536.9004662</v>
      </c>
      <c r="AL29" s="91">
        <v>26835190.9383378</v>
      </c>
      <c r="AM29" s="91">
        <v>25807348.1277784</v>
      </c>
      <c r="AN29" s="91">
        <v>28174125.770963</v>
      </c>
      <c r="AO29" s="91">
        <v>29172925.4274066</v>
      </c>
      <c r="AP29" s="92">
        <v>292330121.421364</v>
      </c>
      <c r="AQ29" s="91">
        <v>27476673.03894</v>
      </c>
      <c r="AR29" s="91">
        <v>22257655.493378</v>
      </c>
      <c r="AS29" s="91">
        <v>22217877.1703974</v>
      </c>
      <c r="AT29" s="91">
        <v>17468168.3969607</v>
      </c>
      <c r="AU29" s="91">
        <v>16393692.5042162</v>
      </c>
      <c r="AV29" s="91">
        <v>17495148.6876935</v>
      </c>
      <c r="AW29" s="91">
        <v>23878813.0124194</v>
      </c>
      <c r="AX29" s="91">
        <v>26673433.9041857</v>
      </c>
      <c r="AY29" s="91">
        <v>26593685.4388538</v>
      </c>
      <c r="AZ29" s="91">
        <v>21566899.2788737</v>
      </c>
      <c r="BA29" s="91">
        <v>25606955.5786585</v>
      </c>
      <c r="BB29" s="91">
        <v>31313053.6660567</v>
      </c>
      <c r="BC29" s="92">
        <v>278942056.170634</v>
      </c>
      <c r="BD29" s="91">
        <v>27603499.2619362</v>
      </c>
      <c r="BE29" s="91">
        <v>28260567.3326757</v>
      </c>
      <c r="BF29" s="91">
        <v>18661107.9123462</v>
      </c>
      <c r="BG29" s="91">
        <v>15771043.8325066</v>
      </c>
      <c r="BH29" s="91">
        <v>13561281.5734117</v>
      </c>
      <c r="BI29" s="91">
        <v>15814626.5933861</v>
      </c>
      <c r="BJ29" s="91">
        <v>20331579.7756994</v>
      </c>
      <c r="BK29" s="91">
        <v>23029702.5886648</v>
      </c>
      <c r="BL29" s="91">
        <v>23526489.5897544</v>
      </c>
      <c r="BM29" s="91">
        <v>21764085.191755</v>
      </c>
      <c r="BN29" s="91">
        <v>24192985.7873814</v>
      </c>
      <c r="BO29" s="91">
        <v>24615309.0095681</v>
      </c>
      <c r="BP29" s="92">
        <v>257132278.449085</v>
      </c>
      <c r="BQ29" s="91">
        <v>87290872.0991313</v>
      </c>
      <c r="BR29" s="91">
        <v>74714533.3312945</v>
      </c>
      <c r="BS29" s="91">
        <v>55817605.0415167</v>
      </c>
      <c r="BT29" s="91">
        <v>44534716.3546731</v>
      </c>
      <c r="BU29" s="91">
        <v>38390166.6010785</v>
      </c>
      <c r="BV29" s="91">
        <v>41126412.2749545</v>
      </c>
      <c r="BW29" s="91">
        <v>47873358.0512226</v>
      </c>
      <c r="BX29" s="91">
        <v>51023229.2089299</v>
      </c>
      <c r="BY29" s="91">
        <v>54074187.58664</v>
      </c>
      <c r="BZ29" s="91">
        <v>47353978.3651073</v>
      </c>
      <c r="CA29" s="91">
        <v>50095763.2969828</v>
      </c>
      <c r="CB29" s="91">
        <v>50969454.4911658</v>
      </c>
      <c r="CC29" s="92">
        <v>643264276.702697</v>
      </c>
      <c r="CD29" s="91">
        <v>10051516.4712135</v>
      </c>
      <c r="CE29" s="91">
        <v>2891519.47078577</v>
      </c>
      <c r="CF29" s="91">
        <v>3955123.14944554</v>
      </c>
      <c r="CG29" s="91">
        <v>5363348.35265739</v>
      </c>
      <c r="CH29" s="91">
        <v>4759696.48544084</v>
      </c>
      <c r="CI29" s="91">
        <v>5206355.23722918</v>
      </c>
      <c r="CJ29" s="91">
        <v>5272613.8688965</v>
      </c>
      <c r="CK29" s="91">
        <v>5818950.07512659</v>
      </c>
      <c r="CL29" s="91">
        <v>5273370.65049723</v>
      </c>
      <c r="CM29" s="91">
        <v>5208656.74001388</v>
      </c>
      <c r="CN29" s="91">
        <v>5540515.34142253</v>
      </c>
      <c r="CO29" s="91">
        <v>5279768.30433553</v>
      </c>
      <c r="CP29" s="92">
        <v>64621434.1470645</v>
      </c>
      <c r="CQ29" s="91">
        <v>30941234.0336231</v>
      </c>
      <c r="CR29" s="91">
        <v>32474923.1129856</v>
      </c>
      <c r="CS29" s="91">
        <v>23879008.8270101</v>
      </c>
      <c r="CT29" s="91">
        <v>21256663.8595984</v>
      </c>
      <c r="CU29" s="91">
        <v>21121144.9878238</v>
      </c>
      <c r="CV29" s="91">
        <v>20334704.3637507</v>
      </c>
      <c r="CW29" s="91">
        <v>22715592.7712626</v>
      </c>
      <c r="CX29" s="91">
        <v>23827419.542848</v>
      </c>
      <c r="CY29" s="91">
        <v>22800123.6184249</v>
      </c>
      <c r="CZ29" s="91">
        <v>19476020.6668937</v>
      </c>
      <c r="DA29" s="91">
        <v>24020970.5190196</v>
      </c>
      <c r="DB29" s="91">
        <v>23404748.3652091</v>
      </c>
      <c r="DC29" s="92">
        <v>286252554.668449</v>
      </c>
      <c r="DD29" s="91">
        <v>3672668.54795086</v>
      </c>
      <c r="DE29" s="91">
        <v>3253701.50902459</v>
      </c>
      <c r="DF29" s="91">
        <v>2490341.22892226</v>
      </c>
      <c r="DG29" s="91">
        <v>2175564.93050871</v>
      </c>
      <c r="DH29" s="91">
        <v>2141178.08951462</v>
      </c>
      <c r="DI29" s="91">
        <v>1955331.63577253</v>
      </c>
      <c r="DJ29" s="91">
        <v>2083587.80402391</v>
      </c>
      <c r="DK29" s="91">
        <v>2410368.14760056</v>
      </c>
      <c r="DL29" s="91">
        <v>2434936.09197799</v>
      </c>
      <c r="DM29" s="91">
        <v>2146077.75010495</v>
      </c>
      <c r="DN29" s="91">
        <v>2064011.29790343</v>
      </c>
      <c r="DO29" s="91">
        <v>2567343.31028709</v>
      </c>
      <c r="DP29" s="92">
        <v>29395110.3435915</v>
      </c>
      <c r="DQ29" s="91">
        <v>28256112.5916887</v>
      </c>
      <c r="DR29" s="91">
        <v>22787198.2583644</v>
      </c>
      <c r="DS29" s="91">
        <v>20199395.906803</v>
      </c>
      <c r="DT29" s="91">
        <v>20175558.150002</v>
      </c>
      <c r="DU29" s="91">
        <v>16195419.40767</v>
      </c>
      <c r="DV29" s="91">
        <v>15277717.0164922</v>
      </c>
      <c r="DW29" s="91">
        <v>17172716.707305</v>
      </c>
      <c r="DX29" s="91">
        <v>19153995.2887235</v>
      </c>
      <c r="DY29" s="91">
        <v>19593652.2722858</v>
      </c>
      <c r="DZ29" s="91">
        <v>19923088.3221429</v>
      </c>
      <c r="EA29" s="91">
        <v>22245693.9694515</v>
      </c>
      <c r="EB29" s="91">
        <v>20019014.9368387</v>
      </c>
      <c r="EC29" s="91">
        <v>240999562.827768</v>
      </c>
      <c r="ED29" s="93">
        <v>3436135.75125569</v>
      </c>
      <c r="EE29" s="91">
        <v>385586.078997028</v>
      </c>
      <c r="EF29" s="91">
        <v>0</v>
      </c>
      <c r="EG29" s="91">
        <v>139327.862029221</v>
      </c>
      <c r="EH29" s="91">
        <v>0</v>
      </c>
      <c r="EI29" s="91">
        <v>0</v>
      </c>
      <c r="EJ29" s="91">
        <v>0</v>
      </c>
      <c r="EK29" s="91">
        <v>0</v>
      </c>
      <c r="EL29" s="91">
        <v>0</v>
      </c>
      <c r="EM29" s="91">
        <v>0</v>
      </c>
      <c r="EN29" s="91">
        <v>0</v>
      </c>
      <c r="EO29" s="91">
        <v>0</v>
      </c>
      <c r="EP29" s="92">
        <v>3961049.69228194</v>
      </c>
      <c r="EQ29" s="91">
        <v>3970195.00312769</v>
      </c>
      <c r="ER29" s="91">
        <v>6147678.68801853</v>
      </c>
      <c r="ES29" s="91">
        <v>6245396.02422729</v>
      </c>
      <c r="ET29" s="91">
        <v>5862784.45239762</v>
      </c>
      <c r="EU29" s="91">
        <v>5427813.23733235</v>
      </c>
      <c r="EV29" s="91">
        <v>4793955.83260724</v>
      </c>
      <c r="EW29" s="91">
        <v>5375069.51006867</v>
      </c>
      <c r="EX29" s="91">
        <v>6154837.42002512</v>
      </c>
      <c r="EY29" s="91">
        <v>7492520.05621867</v>
      </c>
      <c r="EZ29" s="91">
        <v>7453809.7850547</v>
      </c>
      <c r="FA29" s="91">
        <v>6481830.00731519</v>
      </c>
      <c r="FB29" s="91">
        <v>7440477.93659111</v>
      </c>
      <c r="FC29" s="91">
        <v>72846367.9529842</v>
      </c>
      <c r="FD29" s="93">
        <v>425989.386064154</v>
      </c>
      <c r="FE29" s="91">
        <v>781386.135392491</v>
      </c>
      <c r="FF29" s="91">
        <v>0</v>
      </c>
      <c r="FG29" s="91">
        <v>0</v>
      </c>
      <c r="FH29" s="91">
        <v>0</v>
      </c>
      <c r="FI29" s="91">
        <v>0</v>
      </c>
      <c r="FJ29" s="91">
        <v>0</v>
      </c>
      <c r="FK29" s="91">
        <v>0</v>
      </c>
      <c r="FL29" s="91">
        <v>0</v>
      </c>
      <c r="FM29" s="91">
        <v>0</v>
      </c>
      <c r="FN29" s="91">
        <v>0</v>
      </c>
      <c r="FO29" s="91">
        <v>0</v>
      </c>
      <c r="FP29" s="92">
        <v>0</v>
      </c>
      <c r="FQ29" s="93">
        <v>119606544.050512</v>
      </c>
      <c r="FR29" s="91">
        <v>96325859.8113786</v>
      </c>
      <c r="FS29" s="91">
        <v>92240109.1820654</v>
      </c>
      <c r="FT29" s="91">
        <v>62161729.4626877</v>
      </c>
      <c r="FU29" s="91">
        <v>47582278.7238396</v>
      </c>
      <c r="FV29" s="91">
        <v>41458731.948</v>
      </c>
      <c r="FW29" s="91">
        <v>65042986.5</v>
      </c>
      <c r="FX29" s="91">
        <v>77741809.02</v>
      </c>
      <c r="FY29" s="91">
        <v>72564903.58</v>
      </c>
      <c r="FZ29" s="91">
        <v>71131963.5</v>
      </c>
      <c r="GA29" s="91">
        <v>90966972.9</v>
      </c>
      <c r="GB29" s="91">
        <v>101256595.32</v>
      </c>
      <c r="GC29" s="92">
        <v>938080483.998483</v>
      </c>
    </row>
    <row r="30" ht="15" spans="1:185">
      <c r="A30" s="76" t="s">
        <v>29</v>
      </c>
      <c r="B30" s="77" t="s">
        <v>423</v>
      </c>
      <c r="C30" s="78">
        <v>597297946.710939</v>
      </c>
      <c r="D30" s="79">
        <f t="shared" si="11"/>
        <v>24648675.9664823</v>
      </c>
      <c r="E30" s="79">
        <f t="shared" si="0"/>
        <v>14994072.9091506</v>
      </c>
      <c r="F30" s="79">
        <f t="shared" si="1"/>
        <v>17357385.4599322</v>
      </c>
      <c r="G30" s="79">
        <f t="shared" si="2"/>
        <v>9394682.52223159</v>
      </c>
      <c r="H30" s="79">
        <f t="shared" si="3"/>
        <v>8816427.94531419</v>
      </c>
      <c r="I30" s="79">
        <f t="shared" si="4"/>
        <v>11503090.6743068</v>
      </c>
      <c r="J30" s="79">
        <f t="shared" si="5"/>
        <v>10501824.0268827</v>
      </c>
      <c r="K30" s="79">
        <f t="shared" si="6"/>
        <v>5321138.86108941</v>
      </c>
      <c r="L30" s="79">
        <f t="shared" si="7"/>
        <v>6097209.32339151</v>
      </c>
      <c r="M30" s="79">
        <f t="shared" si="8"/>
        <v>5545774.87796602</v>
      </c>
      <c r="N30" s="79">
        <f t="shared" si="9"/>
        <v>4765065.23195803</v>
      </c>
      <c r="O30" s="79">
        <f t="shared" si="10"/>
        <v>5730811.41265195</v>
      </c>
      <c r="P30" s="80">
        <f t="shared" si="12"/>
        <v>124676159.211357</v>
      </c>
      <c r="Q30" s="79">
        <v>1486019.22819062</v>
      </c>
      <c r="R30" s="79">
        <v>884170.950375338</v>
      </c>
      <c r="S30" s="79">
        <v>612570.793420041</v>
      </c>
      <c r="T30" s="79">
        <v>549005.552752559</v>
      </c>
      <c r="U30" s="79">
        <v>438121.545539719</v>
      </c>
      <c r="V30" s="79">
        <v>1084105.4054413</v>
      </c>
      <c r="W30" s="79">
        <v>1017563.78474181</v>
      </c>
      <c r="X30" s="79">
        <v>454859.877091235</v>
      </c>
      <c r="Y30" s="79">
        <v>272005.574743537</v>
      </c>
      <c r="Z30" s="79">
        <v>350044.13756575</v>
      </c>
      <c r="AA30" s="79">
        <v>544087.788863445</v>
      </c>
      <c r="AB30" s="79">
        <v>528449.213415004</v>
      </c>
      <c r="AC30" s="80">
        <v>8221003.85214036</v>
      </c>
      <c r="AD30" s="79">
        <v>874744.593154602</v>
      </c>
      <c r="AE30" s="79">
        <v>407237.034514791</v>
      </c>
      <c r="AF30" s="79">
        <v>449767.216721462</v>
      </c>
      <c r="AG30" s="79">
        <v>317219.759400274</v>
      </c>
      <c r="AH30" s="79">
        <v>292563.937241784</v>
      </c>
      <c r="AI30" s="79">
        <v>472844.976466713</v>
      </c>
      <c r="AJ30" s="79">
        <v>504562.646359925</v>
      </c>
      <c r="AK30" s="79">
        <v>222500.47745152</v>
      </c>
      <c r="AL30" s="79">
        <v>195928.232135501</v>
      </c>
      <c r="AM30" s="79">
        <v>120352.18683447</v>
      </c>
      <c r="AN30" s="79">
        <v>92555.2302003162</v>
      </c>
      <c r="AO30" s="79">
        <v>205032.226545494</v>
      </c>
      <c r="AP30" s="80">
        <v>4155308.51702685</v>
      </c>
      <c r="AQ30" s="79">
        <v>1217204.65369985</v>
      </c>
      <c r="AR30" s="79">
        <v>815285.561020206</v>
      </c>
      <c r="AS30" s="79">
        <v>1250680.02745395</v>
      </c>
      <c r="AT30" s="79">
        <v>478296.800407629</v>
      </c>
      <c r="AU30" s="79">
        <v>382185.818065861</v>
      </c>
      <c r="AV30" s="79">
        <v>1106392.62321168</v>
      </c>
      <c r="AW30" s="79">
        <v>666131.490271038</v>
      </c>
      <c r="AX30" s="79">
        <v>421730.107970101</v>
      </c>
      <c r="AY30" s="79">
        <v>289259.894050128</v>
      </c>
      <c r="AZ30" s="79">
        <v>422632.524814646</v>
      </c>
      <c r="BA30" s="79">
        <v>452825.331946462</v>
      </c>
      <c r="BB30" s="79">
        <v>615263.22575162</v>
      </c>
      <c r="BC30" s="80">
        <v>8117888.05866317</v>
      </c>
      <c r="BD30" s="79">
        <v>1334798.56080494</v>
      </c>
      <c r="BE30" s="79">
        <v>732081.622549267</v>
      </c>
      <c r="BF30" s="79">
        <v>515963.975275442</v>
      </c>
      <c r="BG30" s="79">
        <v>417395.916665235</v>
      </c>
      <c r="BH30" s="79">
        <v>309708.419122979</v>
      </c>
      <c r="BI30" s="79">
        <v>514686.204227638</v>
      </c>
      <c r="BJ30" s="79">
        <v>425545.981123996</v>
      </c>
      <c r="BK30" s="79">
        <v>291147.909711302</v>
      </c>
      <c r="BL30" s="79">
        <v>132202.728024568</v>
      </c>
      <c r="BM30" s="79">
        <v>227266.382055067</v>
      </c>
      <c r="BN30" s="79">
        <v>163745.803399816</v>
      </c>
      <c r="BO30" s="79">
        <v>225569.921750444</v>
      </c>
      <c r="BP30" s="80">
        <v>5290113.4247107</v>
      </c>
      <c r="BQ30" s="79">
        <v>9157553.89211311</v>
      </c>
      <c r="BR30" s="79">
        <v>5876870.17368367</v>
      </c>
      <c r="BS30" s="79">
        <v>7435223.1509627</v>
      </c>
      <c r="BT30" s="79">
        <v>4110388.92789159</v>
      </c>
      <c r="BU30" s="79">
        <v>3987867.95312051</v>
      </c>
      <c r="BV30" s="79">
        <v>4428580.33696235</v>
      </c>
      <c r="BW30" s="79">
        <v>3102483.5057967</v>
      </c>
      <c r="BX30" s="79">
        <v>1979897.43757032</v>
      </c>
      <c r="BY30" s="79">
        <v>3829332.2802364</v>
      </c>
      <c r="BZ30" s="79">
        <v>3190980.59487788</v>
      </c>
      <c r="CA30" s="79">
        <v>2173421.11085274</v>
      </c>
      <c r="CB30" s="79">
        <v>2461266.5416504</v>
      </c>
      <c r="CC30" s="80">
        <v>51733865.9057184</v>
      </c>
      <c r="CD30" s="79">
        <v>342461.092256811</v>
      </c>
      <c r="CE30" s="79">
        <v>122190.233635623</v>
      </c>
      <c r="CF30" s="79">
        <v>129399.067877015</v>
      </c>
      <c r="CG30" s="79">
        <v>239004.935189816</v>
      </c>
      <c r="CH30" s="79">
        <v>100335.268338027</v>
      </c>
      <c r="CI30" s="79">
        <v>389170.302418805</v>
      </c>
      <c r="CJ30" s="79">
        <v>226681.052221091</v>
      </c>
      <c r="CK30" s="79">
        <v>76835.6958471179</v>
      </c>
      <c r="CL30" s="79">
        <v>43991.8876708795</v>
      </c>
      <c r="CM30" s="79">
        <v>65538.7440648527</v>
      </c>
      <c r="CN30" s="79">
        <v>65294.9299176796</v>
      </c>
      <c r="CO30" s="79">
        <v>119818.340356651</v>
      </c>
      <c r="CP30" s="80">
        <v>1920721.54979437</v>
      </c>
      <c r="CQ30" s="79">
        <v>875938.495831945</v>
      </c>
      <c r="CR30" s="79">
        <v>670754.382780129</v>
      </c>
      <c r="CS30" s="79">
        <v>497485.437738755</v>
      </c>
      <c r="CT30" s="79">
        <v>442521.401743138</v>
      </c>
      <c r="CU30" s="79">
        <v>320580.571607751</v>
      </c>
      <c r="CV30" s="79">
        <v>507576.437867214</v>
      </c>
      <c r="CW30" s="79">
        <v>506651.877184735</v>
      </c>
      <c r="CX30" s="79">
        <v>351517.479691057</v>
      </c>
      <c r="CY30" s="79">
        <v>52974.1304866866</v>
      </c>
      <c r="CZ30" s="79">
        <v>135413.714851432</v>
      </c>
      <c r="DA30" s="79">
        <v>90927.8382900615</v>
      </c>
      <c r="DB30" s="79">
        <v>131463.43097802</v>
      </c>
      <c r="DC30" s="80">
        <v>4583805.19905092</v>
      </c>
      <c r="DD30" s="79">
        <v>89221.8037817605</v>
      </c>
      <c r="DE30" s="79">
        <v>152808.518923405</v>
      </c>
      <c r="DF30" s="79">
        <v>119910.815956602</v>
      </c>
      <c r="DG30" s="79">
        <v>54308.9085147383</v>
      </c>
      <c r="DH30" s="79">
        <v>46161.355997176</v>
      </c>
      <c r="DI30" s="79">
        <v>234675.997630516</v>
      </c>
      <c r="DJ30" s="79">
        <v>217351.071677205</v>
      </c>
      <c r="DK30" s="79">
        <v>64595.7305867985</v>
      </c>
      <c r="DL30" s="79">
        <v>41368.8312081411</v>
      </c>
      <c r="DM30" s="79">
        <v>102966.122720772</v>
      </c>
      <c r="DN30" s="79">
        <v>113416.645695784</v>
      </c>
      <c r="DO30" s="79">
        <v>225561.017931199</v>
      </c>
      <c r="DP30" s="80">
        <v>1462346.8206241</v>
      </c>
      <c r="DQ30" s="79">
        <v>1366027.24599815</v>
      </c>
      <c r="DR30" s="79">
        <v>776207.932307221</v>
      </c>
      <c r="DS30" s="79">
        <v>573203.447950294</v>
      </c>
      <c r="DT30" s="79">
        <v>509827.939964226</v>
      </c>
      <c r="DU30" s="79">
        <v>499600.979224611</v>
      </c>
      <c r="DV30" s="79">
        <v>1008002.0566</v>
      </c>
      <c r="DW30" s="79">
        <v>1227882.31665674</v>
      </c>
      <c r="DX30" s="79">
        <v>483484.319436437</v>
      </c>
      <c r="DY30" s="79">
        <v>144577.812614863</v>
      </c>
      <c r="DZ30" s="79">
        <v>151147.677409801</v>
      </c>
      <c r="EA30" s="79">
        <v>246978.599232426</v>
      </c>
      <c r="EB30" s="79">
        <v>417853.127118909</v>
      </c>
      <c r="EC30" s="79">
        <v>7404793.45451367</v>
      </c>
      <c r="ED30" s="81">
        <v>104856.449523685</v>
      </c>
      <c r="EE30" s="79">
        <v>0</v>
      </c>
      <c r="EF30" s="79">
        <v>0</v>
      </c>
      <c r="EG30" s="79">
        <v>0</v>
      </c>
      <c r="EH30" s="79">
        <v>0</v>
      </c>
      <c r="EI30" s="79">
        <v>0</v>
      </c>
      <c r="EJ30" s="79">
        <v>0</v>
      </c>
      <c r="EK30" s="79">
        <v>0</v>
      </c>
      <c r="EL30" s="79">
        <v>0</v>
      </c>
      <c r="EM30" s="79">
        <v>0</v>
      </c>
      <c r="EN30" s="79">
        <v>0</v>
      </c>
      <c r="EO30" s="79">
        <v>0</v>
      </c>
      <c r="EP30" s="80">
        <v>104856.449523685</v>
      </c>
      <c r="EQ30" s="79">
        <v>777755.402055623</v>
      </c>
      <c r="ER30" s="79">
        <v>774949.272099995</v>
      </c>
      <c r="ES30" s="79">
        <v>613682.400966139</v>
      </c>
      <c r="ET30" s="79">
        <v>316217.6638371</v>
      </c>
      <c r="EU30" s="79">
        <v>585688.438706229</v>
      </c>
      <c r="EV30" s="79">
        <v>363508.429480574</v>
      </c>
      <c r="EW30" s="79">
        <v>347664.420849464</v>
      </c>
      <c r="EX30" s="79">
        <v>171192.785733523</v>
      </c>
      <c r="EY30" s="79">
        <v>149544.252220806</v>
      </c>
      <c r="EZ30" s="79">
        <v>92298.7327713445</v>
      </c>
      <c r="FA30" s="79">
        <v>56223.2335593004</v>
      </c>
      <c r="FB30" s="79">
        <v>109232.547154211</v>
      </c>
      <c r="FC30" s="79">
        <v>4357957.57943431</v>
      </c>
      <c r="FD30" s="81">
        <v>90165.1663961261</v>
      </c>
      <c r="FE30" s="79">
        <v>0</v>
      </c>
      <c r="FF30" s="79">
        <v>0</v>
      </c>
      <c r="FG30" s="79">
        <v>0</v>
      </c>
      <c r="FH30" s="79">
        <v>0</v>
      </c>
      <c r="FI30" s="79">
        <v>0</v>
      </c>
      <c r="FJ30" s="79">
        <v>0</v>
      </c>
      <c r="FK30" s="79">
        <v>0</v>
      </c>
      <c r="FL30" s="79">
        <v>0</v>
      </c>
      <c r="FM30" s="79">
        <v>0</v>
      </c>
      <c r="FN30" s="79">
        <v>0</v>
      </c>
      <c r="FO30" s="79">
        <v>0</v>
      </c>
      <c r="FP30" s="80">
        <v>0</v>
      </c>
      <c r="FQ30" s="81">
        <v>6931929.38267513</v>
      </c>
      <c r="FR30" s="79">
        <v>3781517.22726097</v>
      </c>
      <c r="FS30" s="79">
        <v>5159499.12560976</v>
      </c>
      <c r="FT30" s="79">
        <v>1960494.71586528</v>
      </c>
      <c r="FU30" s="79">
        <v>1853613.65834955</v>
      </c>
      <c r="FV30" s="79">
        <v>1393547.904</v>
      </c>
      <c r="FW30" s="79">
        <v>2259305.88</v>
      </c>
      <c r="FX30" s="79">
        <v>803377.04</v>
      </c>
      <c r="FY30" s="79">
        <v>946023.7</v>
      </c>
      <c r="FZ30" s="79">
        <v>687134.06</v>
      </c>
      <c r="GA30" s="79">
        <v>765588.72</v>
      </c>
      <c r="GB30" s="79">
        <v>691301.82</v>
      </c>
      <c r="GC30" s="80">
        <v>27233333.2337607</v>
      </c>
    </row>
    <row r="31" ht="15" spans="1:185">
      <c r="A31" s="82"/>
      <c r="B31" s="83" t="s">
        <v>424</v>
      </c>
      <c r="C31" s="84">
        <v>1219903.04173241</v>
      </c>
      <c r="D31" s="85">
        <f t="shared" si="11"/>
        <v>-2169.11706354455</v>
      </c>
      <c r="E31" s="85">
        <f t="shared" si="0"/>
        <v>0</v>
      </c>
      <c r="F31" s="85">
        <f t="shared" si="1"/>
        <v>94926.8177003352</v>
      </c>
      <c r="G31" s="85">
        <f t="shared" si="2"/>
        <v>18653.5167637205</v>
      </c>
      <c r="H31" s="85">
        <f t="shared" si="3"/>
        <v>7471.79521459165</v>
      </c>
      <c r="I31" s="85">
        <f t="shared" si="4"/>
        <v>331959.869158342</v>
      </c>
      <c r="J31" s="85">
        <f t="shared" si="5"/>
        <v>165929.510756834</v>
      </c>
      <c r="K31" s="85">
        <f t="shared" si="6"/>
        <v>8557.10418890474</v>
      </c>
      <c r="L31" s="85">
        <f t="shared" si="7"/>
        <v>152263.403922443</v>
      </c>
      <c r="M31" s="85">
        <f t="shared" si="8"/>
        <v>8362.47465725656</v>
      </c>
      <c r="N31" s="85">
        <f t="shared" si="9"/>
        <v>0</v>
      </c>
      <c r="O31" s="85">
        <f t="shared" si="10"/>
        <v>0</v>
      </c>
      <c r="P31" s="86">
        <f t="shared" ref="P31" si="52">SUM(D31:O31)</f>
        <v>785955.375298884</v>
      </c>
      <c r="Q31" s="85">
        <v>0</v>
      </c>
      <c r="R31" s="85">
        <v>0</v>
      </c>
      <c r="S31" s="85">
        <v>0</v>
      </c>
      <c r="T31" s="85">
        <v>0</v>
      </c>
      <c r="U31" s="85">
        <v>0</v>
      </c>
      <c r="V31" s="85">
        <v>20708.1666285801</v>
      </c>
      <c r="W31" s="85">
        <v>12107.9857991863</v>
      </c>
      <c r="X31" s="85">
        <v>0</v>
      </c>
      <c r="Y31" s="85">
        <v>0</v>
      </c>
      <c r="Z31" s="85">
        <v>0</v>
      </c>
      <c r="AA31" s="85">
        <v>0</v>
      </c>
      <c r="AB31" s="85">
        <v>0</v>
      </c>
      <c r="AC31" s="86">
        <v>32816.1524277665</v>
      </c>
      <c r="AD31" s="85">
        <v>0</v>
      </c>
      <c r="AE31" s="85">
        <v>0</v>
      </c>
      <c r="AF31" s="85">
        <v>0</v>
      </c>
      <c r="AG31" s="85">
        <v>0</v>
      </c>
      <c r="AH31" s="85">
        <v>0</v>
      </c>
      <c r="AI31" s="85">
        <v>0</v>
      </c>
      <c r="AJ31" s="85">
        <v>6645.36341794866</v>
      </c>
      <c r="AK31" s="85">
        <v>0</v>
      </c>
      <c r="AL31" s="85">
        <v>0</v>
      </c>
      <c r="AM31" s="85">
        <v>0</v>
      </c>
      <c r="AN31" s="85">
        <v>0</v>
      </c>
      <c r="AO31" s="85">
        <v>0</v>
      </c>
      <c r="AP31" s="86">
        <v>6645.36341794866</v>
      </c>
      <c r="AQ31" s="85">
        <v>0</v>
      </c>
      <c r="AR31" s="85">
        <v>0</v>
      </c>
      <c r="AS31" s="85">
        <v>13540.8656047071</v>
      </c>
      <c r="AT31" s="85">
        <v>1577.7303339991</v>
      </c>
      <c r="AU31" s="85">
        <v>5122.10596729998</v>
      </c>
      <c r="AV31" s="85">
        <v>114442.863467315</v>
      </c>
      <c r="AW31" s="85">
        <v>4956.61514192022</v>
      </c>
      <c r="AX31" s="85">
        <v>0</v>
      </c>
      <c r="AY31" s="85">
        <v>0</v>
      </c>
      <c r="AZ31" s="85">
        <v>0</v>
      </c>
      <c r="BA31" s="85">
        <v>0</v>
      </c>
      <c r="BB31" s="85">
        <v>0</v>
      </c>
      <c r="BC31" s="86">
        <v>139640.180515241</v>
      </c>
      <c r="BD31" s="85">
        <v>0</v>
      </c>
      <c r="BE31" s="85">
        <v>0</v>
      </c>
      <c r="BF31" s="85">
        <v>0</v>
      </c>
      <c r="BG31" s="85">
        <v>0</v>
      </c>
      <c r="BH31" s="85">
        <v>0</v>
      </c>
      <c r="BI31" s="85">
        <v>15465.3755885753</v>
      </c>
      <c r="BJ31" s="85">
        <v>8372.72771924618</v>
      </c>
      <c r="BK31" s="85">
        <v>0</v>
      </c>
      <c r="BL31" s="85">
        <v>0</v>
      </c>
      <c r="BM31" s="85">
        <v>0</v>
      </c>
      <c r="BN31" s="85">
        <v>0</v>
      </c>
      <c r="BO31" s="85">
        <v>0</v>
      </c>
      <c r="BP31" s="86">
        <v>23838.1033078214</v>
      </c>
      <c r="BQ31" s="85">
        <v>0</v>
      </c>
      <c r="BR31" s="85">
        <v>0</v>
      </c>
      <c r="BS31" s="85">
        <v>70444.8312753942</v>
      </c>
      <c r="BT31" s="85">
        <v>8812.32843155719</v>
      </c>
      <c r="BU31" s="85">
        <v>0</v>
      </c>
      <c r="BV31" s="85">
        <v>108823.900647739</v>
      </c>
      <c r="BW31" s="85">
        <v>20620.482799656</v>
      </c>
      <c r="BX31" s="85">
        <v>0</v>
      </c>
      <c r="BY31" s="85">
        <v>45343.2919365581</v>
      </c>
      <c r="BZ31" s="85">
        <v>0</v>
      </c>
      <c r="CA31" s="85">
        <v>0</v>
      </c>
      <c r="CB31" s="85">
        <v>0</v>
      </c>
      <c r="CC31" s="86">
        <v>254044.835090905</v>
      </c>
      <c r="CD31" s="85">
        <v>0</v>
      </c>
      <c r="CE31" s="85">
        <v>0</v>
      </c>
      <c r="CF31" s="85">
        <v>0</v>
      </c>
      <c r="CG31" s="85">
        <v>0</v>
      </c>
      <c r="CH31" s="85">
        <v>0</v>
      </c>
      <c r="CI31" s="85">
        <v>25460.0251495299</v>
      </c>
      <c r="CJ31" s="85">
        <v>4181.23732862828</v>
      </c>
      <c r="CK31" s="85">
        <v>0</v>
      </c>
      <c r="CL31" s="85">
        <v>12543.7119858848</v>
      </c>
      <c r="CM31" s="85">
        <v>8362.47465725656</v>
      </c>
      <c r="CN31" s="85">
        <v>0</v>
      </c>
      <c r="CO31" s="85">
        <v>0</v>
      </c>
      <c r="CP31" s="86">
        <v>50547.4491212995</v>
      </c>
      <c r="CQ31" s="85">
        <v>-2169.11706354455</v>
      </c>
      <c r="CR31" s="85">
        <v>0</v>
      </c>
      <c r="CS31" s="85">
        <v>10941.120820234</v>
      </c>
      <c r="CT31" s="85">
        <v>8263.45799816421</v>
      </c>
      <c r="CU31" s="85">
        <v>2349.68924729167</v>
      </c>
      <c r="CV31" s="85">
        <v>8557.10418890474</v>
      </c>
      <c r="CW31" s="85">
        <v>18139.5855176869</v>
      </c>
      <c r="CX31" s="85">
        <v>8557.10418890474</v>
      </c>
      <c r="CY31" s="85">
        <v>0</v>
      </c>
      <c r="CZ31" s="85">
        <v>0</v>
      </c>
      <c r="DA31" s="85">
        <v>0</v>
      </c>
      <c r="DB31" s="85">
        <v>0</v>
      </c>
      <c r="DC31" s="86">
        <v>54638.9448976417</v>
      </c>
      <c r="DD31" s="85">
        <v>0</v>
      </c>
      <c r="DE31" s="85">
        <v>0</v>
      </c>
      <c r="DF31" s="85">
        <v>0</v>
      </c>
      <c r="DG31" s="85">
        <v>0</v>
      </c>
      <c r="DH31" s="85">
        <v>0</v>
      </c>
      <c r="DI31" s="85">
        <v>38502.4334876981</v>
      </c>
      <c r="DJ31" s="85">
        <v>0</v>
      </c>
      <c r="DK31" s="85">
        <v>0</v>
      </c>
      <c r="DL31" s="85">
        <v>0</v>
      </c>
      <c r="DM31" s="85">
        <v>0</v>
      </c>
      <c r="DN31" s="85">
        <v>0</v>
      </c>
      <c r="DO31" s="85">
        <v>0</v>
      </c>
      <c r="DP31" s="86">
        <v>38502.4334876981</v>
      </c>
      <c r="DQ31" s="85">
        <v>0</v>
      </c>
      <c r="DR31" s="85">
        <v>0</v>
      </c>
      <c r="DS31" s="85">
        <v>0</v>
      </c>
      <c r="DT31" s="85">
        <v>0</v>
      </c>
      <c r="DU31" s="85">
        <v>0</v>
      </c>
      <c r="DV31" s="85">
        <v>0</v>
      </c>
      <c r="DW31" s="85">
        <v>14264.5130325617</v>
      </c>
      <c r="DX31" s="85">
        <v>0</v>
      </c>
      <c r="DY31" s="85">
        <v>0</v>
      </c>
      <c r="DZ31" s="85">
        <v>0</v>
      </c>
      <c r="EA31" s="85">
        <v>0</v>
      </c>
      <c r="EB31" s="85">
        <v>0</v>
      </c>
      <c r="EC31" s="85">
        <v>14264.5130325617</v>
      </c>
      <c r="ED31" s="87">
        <v>0</v>
      </c>
      <c r="EE31" s="85">
        <v>0</v>
      </c>
      <c r="EF31" s="85">
        <v>0</v>
      </c>
      <c r="EG31" s="85">
        <v>0</v>
      </c>
      <c r="EH31" s="85">
        <v>0</v>
      </c>
      <c r="EI31" s="85">
        <v>0</v>
      </c>
      <c r="EJ31" s="85">
        <v>0</v>
      </c>
      <c r="EK31" s="85">
        <v>0</v>
      </c>
      <c r="EL31" s="85">
        <v>0</v>
      </c>
      <c r="EM31" s="85">
        <v>0</v>
      </c>
      <c r="EN31" s="85">
        <v>0</v>
      </c>
      <c r="EO31" s="85">
        <v>0</v>
      </c>
      <c r="EP31" s="86">
        <v>0</v>
      </c>
      <c r="EQ31" s="85">
        <v>0</v>
      </c>
      <c r="ER31" s="85">
        <v>0</v>
      </c>
      <c r="ES31" s="85">
        <v>0</v>
      </c>
      <c r="ET31" s="85">
        <v>0</v>
      </c>
      <c r="EU31" s="85">
        <v>0</v>
      </c>
      <c r="EV31" s="85">
        <v>0</v>
      </c>
      <c r="EW31" s="85">
        <v>0</v>
      </c>
      <c r="EX31" s="85">
        <v>0</v>
      </c>
      <c r="EY31" s="85">
        <v>0</v>
      </c>
      <c r="EZ31" s="85">
        <v>0</v>
      </c>
      <c r="FA31" s="85">
        <v>0</v>
      </c>
      <c r="FB31" s="85">
        <v>0</v>
      </c>
      <c r="FC31" s="85">
        <v>0</v>
      </c>
      <c r="FD31" s="87">
        <v>0</v>
      </c>
      <c r="FE31" s="85">
        <v>0</v>
      </c>
      <c r="FF31" s="85">
        <v>0</v>
      </c>
      <c r="FG31" s="85">
        <v>0</v>
      </c>
      <c r="FH31" s="85">
        <v>0</v>
      </c>
      <c r="FI31" s="85">
        <v>0</v>
      </c>
      <c r="FJ31" s="85">
        <v>0</v>
      </c>
      <c r="FK31" s="85">
        <v>0</v>
      </c>
      <c r="FL31" s="85">
        <v>0</v>
      </c>
      <c r="FM31" s="85">
        <v>0</v>
      </c>
      <c r="FN31" s="85">
        <v>0</v>
      </c>
      <c r="FO31" s="85">
        <v>0</v>
      </c>
      <c r="FP31" s="86">
        <v>0</v>
      </c>
      <c r="FQ31" s="87">
        <v>0</v>
      </c>
      <c r="FR31" s="85">
        <v>0</v>
      </c>
      <c r="FS31" s="85">
        <v>0</v>
      </c>
      <c r="FT31" s="85">
        <v>0</v>
      </c>
      <c r="FU31" s="85">
        <v>0</v>
      </c>
      <c r="FV31" s="85">
        <v>0</v>
      </c>
      <c r="FW31" s="85">
        <v>76641</v>
      </c>
      <c r="FX31" s="85">
        <v>0</v>
      </c>
      <c r="FY31" s="85">
        <v>94376.4</v>
      </c>
      <c r="FZ31" s="85">
        <v>0</v>
      </c>
      <c r="GA31" s="85">
        <v>0</v>
      </c>
      <c r="GB31" s="85">
        <v>0</v>
      </c>
      <c r="GC31" s="86">
        <v>171017.4</v>
      </c>
    </row>
    <row r="32" ht="15" spans="1:185">
      <c r="A32" s="82"/>
      <c r="B32" s="83" t="s">
        <v>425</v>
      </c>
      <c r="C32" s="84">
        <v>1021897.57630449</v>
      </c>
      <c r="D32" s="85">
        <f t="shared" si="11"/>
        <v>22252.1385623794</v>
      </c>
      <c r="E32" s="85">
        <f t="shared" si="0"/>
        <v>31659.524076141</v>
      </c>
      <c r="F32" s="85">
        <f t="shared" si="1"/>
        <v>25308.5743784968</v>
      </c>
      <c r="G32" s="85">
        <f t="shared" si="2"/>
        <v>19945.2243469718</v>
      </c>
      <c r="H32" s="85">
        <f t="shared" si="3"/>
        <v>38301.5243786192</v>
      </c>
      <c r="I32" s="85">
        <f t="shared" si="4"/>
        <v>0</v>
      </c>
      <c r="J32" s="85">
        <f t="shared" si="5"/>
        <v>0</v>
      </c>
      <c r="K32" s="85">
        <f t="shared" si="6"/>
        <v>0</v>
      </c>
      <c r="L32" s="85">
        <f t="shared" si="7"/>
        <v>0</v>
      </c>
      <c r="M32" s="85">
        <f t="shared" si="8"/>
        <v>0</v>
      </c>
      <c r="N32" s="85">
        <f t="shared" si="9"/>
        <v>0</v>
      </c>
      <c r="O32" s="85">
        <f t="shared" si="10"/>
        <v>0</v>
      </c>
      <c r="P32" s="86">
        <f t="shared" si="12"/>
        <v>137466.985742608</v>
      </c>
      <c r="Q32" s="85">
        <v>0</v>
      </c>
      <c r="R32" s="85">
        <v>0</v>
      </c>
      <c r="S32" s="85">
        <v>0</v>
      </c>
      <c r="T32" s="85">
        <v>0</v>
      </c>
      <c r="U32" s="85">
        <v>0</v>
      </c>
      <c r="V32" s="85">
        <v>0</v>
      </c>
      <c r="W32" s="85">
        <v>0</v>
      </c>
      <c r="X32" s="85">
        <v>0</v>
      </c>
      <c r="Y32" s="85">
        <v>0</v>
      </c>
      <c r="Z32" s="85">
        <v>0</v>
      </c>
      <c r="AA32" s="85">
        <v>0</v>
      </c>
      <c r="AB32" s="85">
        <v>0</v>
      </c>
      <c r="AC32" s="86">
        <v>0</v>
      </c>
      <c r="AD32" s="85">
        <v>0</v>
      </c>
      <c r="AE32" s="85">
        <v>0</v>
      </c>
      <c r="AF32" s="85">
        <v>0</v>
      </c>
      <c r="AG32" s="85">
        <v>0</v>
      </c>
      <c r="AH32" s="85">
        <v>0</v>
      </c>
      <c r="AI32" s="85">
        <v>0</v>
      </c>
      <c r="AJ32" s="85">
        <v>0</v>
      </c>
      <c r="AK32" s="85">
        <v>0</v>
      </c>
      <c r="AL32" s="85">
        <v>0</v>
      </c>
      <c r="AM32" s="85">
        <v>0</v>
      </c>
      <c r="AN32" s="85">
        <v>0</v>
      </c>
      <c r="AO32" s="85">
        <v>0</v>
      </c>
      <c r="AP32" s="86">
        <v>0</v>
      </c>
      <c r="AQ32" s="85">
        <v>0</v>
      </c>
      <c r="AR32" s="85">
        <v>0</v>
      </c>
      <c r="AS32" s="85">
        <v>0</v>
      </c>
      <c r="AT32" s="85">
        <v>0</v>
      </c>
      <c r="AU32" s="85">
        <v>0</v>
      </c>
      <c r="AV32" s="85">
        <v>0</v>
      </c>
      <c r="AW32" s="85">
        <v>0</v>
      </c>
      <c r="AX32" s="85">
        <v>0</v>
      </c>
      <c r="AY32" s="85">
        <v>0</v>
      </c>
      <c r="AZ32" s="85">
        <v>0</v>
      </c>
      <c r="BA32" s="85">
        <v>0</v>
      </c>
      <c r="BB32" s="85">
        <v>0</v>
      </c>
      <c r="BC32" s="86">
        <v>0</v>
      </c>
      <c r="BD32" s="85">
        <v>0</v>
      </c>
      <c r="BE32" s="85">
        <v>0</v>
      </c>
      <c r="BF32" s="85">
        <v>0</v>
      </c>
      <c r="BG32" s="85">
        <v>0</v>
      </c>
      <c r="BH32" s="85">
        <v>0</v>
      </c>
      <c r="BI32" s="85">
        <v>0</v>
      </c>
      <c r="BJ32" s="85">
        <v>0</v>
      </c>
      <c r="BK32" s="85">
        <v>0</v>
      </c>
      <c r="BL32" s="85">
        <v>0</v>
      </c>
      <c r="BM32" s="85">
        <v>0</v>
      </c>
      <c r="BN32" s="85">
        <v>0</v>
      </c>
      <c r="BO32" s="85">
        <v>0</v>
      </c>
      <c r="BP32" s="86">
        <v>0</v>
      </c>
      <c r="BQ32" s="85">
        <v>13461.8632212533</v>
      </c>
      <c r="BR32" s="85">
        <v>6034.60253539251</v>
      </c>
      <c r="BS32" s="85">
        <v>4270.7132064861</v>
      </c>
      <c r="BT32" s="85">
        <v>19945.2243469718</v>
      </c>
      <c r="BU32" s="85">
        <v>34109.3024839735</v>
      </c>
      <c r="BV32" s="85">
        <v>0</v>
      </c>
      <c r="BW32" s="85">
        <v>0</v>
      </c>
      <c r="BX32" s="85">
        <v>0</v>
      </c>
      <c r="BY32" s="85">
        <v>0</v>
      </c>
      <c r="BZ32" s="85">
        <v>0</v>
      </c>
      <c r="CA32" s="85">
        <v>0</v>
      </c>
      <c r="CB32" s="85">
        <v>0</v>
      </c>
      <c r="CC32" s="86">
        <v>77821.7057940773</v>
      </c>
      <c r="CD32" s="85">
        <v>0</v>
      </c>
      <c r="CE32" s="85">
        <v>21289.2870312127</v>
      </c>
      <c r="CF32" s="85">
        <v>0</v>
      </c>
      <c r="CG32" s="85">
        <v>0</v>
      </c>
      <c r="CH32" s="85">
        <v>0</v>
      </c>
      <c r="CI32" s="85">
        <v>0</v>
      </c>
      <c r="CJ32" s="85">
        <v>0</v>
      </c>
      <c r="CK32" s="85">
        <v>0</v>
      </c>
      <c r="CL32" s="85">
        <v>0</v>
      </c>
      <c r="CM32" s="85">
        <v>0</v>
      </c>
      <c r="CN32" s="85">
        <v>0</v>
      </c>
      <c r="CO32" s="85">
        <v>0</v>
      </c>
      <c r="CP32" s="86">
        <v>21289.2870312127</v>
      </c>
      <c r="CQ32" s="85">
        <v>0</v>
      </c>
      <c r="CR32" s="85">
        <v>4335.63450953575</v>
      </c>
      <c r="CS32" s="85">
        <v>0</v>
      </c>
      <c r="CT32" s="85">
        <v>0</v>
      </c>
      <c r="CU32" s="85">
        <v>4192.22189464572</v>
      </c>
      <c r="CV32" s="85">
        <v>0</v>
      </c>
      <c r="CW32" s="85">
        <v>0</v>
      </c>
      <c r="CX32" s="85">
        <v>0</v>
      </c>
      <c r="CY32" s="85">
        <v>0</v>
      </c>
      <c r="CZ32" s="85">
        <v>0</v>
      </c>
      <c r="DA32" s="85">
        <v>0</v>
      </c>
      <c r="DB32" s="85">
        <v>0</v>
      </c>
      <c r="DC32" s="86">
        <v>8527.85640418147</v>
      </c>
      <c r="DD32" s="85">
        <v>0</v>
      </c>
      <c r="DE32" s="85">
        <v>0</v>
      </c>
      <c r="DF32" s="85">
        <v>0</v>
      </c>
      <c r="DG32" s="85">
        <v>0</v>
      </c>
      <c r="DH32" s="85">
        <v>0</v>
      </c>
      <c r="DI32" s="85">
        <v>0</v>
      </c>
      <c r="DJ32" s="85">
        <v>0</v>
      </c>
      <c r="DK32" s="85">
        <v>0</v>
      </c>
      <c r="DL32" s="85">
        <v>0</v>
      </c>
      <c r="DM32" s="85">
        <v>0</v>
      </c>
      <c r="DN32" s="85">
        <v>0</v>
      </c>
      <c r="DO32" s="85">
        <v>0</v>
      </c>
      <c r="DP32" s="86">
        <v>0</v>
      </c>
      <c r="DQ32" s="85">
        <v>0</v>
      </c>
      <c r="DR32" s="85">
        <v>0</v>
      </c>
      <c r="DS32" s="85">
        <v>0</v>
      </c>
      <c r="DT32" s="85">
        <v>0</v>
      </c>
      <c r="DU32" s="85">
        <v>0</v>
      </c>
      <c r="DV32" s="85">
        <v>0</v>
      </c>
      <c r="DW32" s="85">
        <v>0</v>
      </c>
      <c r="DX32" s="85">
        <v>0</v>
      </c>
      <c r="DY32" s="85">
        <v>0</v>
      </c>
      <c r="DZ32" s="85">
        <v>0</v>
      </c>
      <c r="EA32" s="85">
        <v>0</v>
      </c>
      <c r="EB32" s="85">
        <v>0</v>
      </c>
      <c r="EC32" s="85">
        <v>0</v>
      </c>
      <c r="ED32" s="87">
        <v>0</v>
      </c>
      <c r="EE32" s="85">
        <v>0</v>
      </c>
      <c r="EF32" s="85">
        <v>0</v>
      </c>
      <c r="EG32" s="85">
        <v>0</v>
      </c>
      <c r="EH32" s="85">
        <v>0</v>
      </c>
      <c r="EI32" s="85">
        <v>0</v>
      </c>
      <c r="EJ32" s="85">
        <v>0</v>
      </c>
      <c r="EK32" s="85">
        <v>0</v>
      </c>
      <c r="EL32" s="85">
        <v>0</v>
      </c>
      <c r="EM32" s="85">
        <v>0</v>
      </c>
      <c r="EN32" s="85">
        <v>0</v>
      </c>
      <c r="EO32" s="85">
        <v>0</v>
      </c>
      <c r="EP32" s="86">
        <v>0</v>
      </c>
      <c r="EQ32" s="85">
        <v>8790.27534112608</v>
      </c>
      <c r="ER32" s="85">
        <v>0</v>
      </c>
      <c r="ES32" s="85">
        <v>0</v>
      </c>
      <c r="ET32" s="85">
        <v>0</v>
      </c>
      <c r="EU32" s="85">
        <v>0</v>
      </c>
      <c r="EV32" s="85">
        <v>0</v>
      </c>
      <c r="EW32" s="85">
        <v>0</v>
      </c>
      <c r="EX32" s="85">
        <v>0</v>
      </c>
      <c r="EY32" s="85">
        <v>0</v>
      </c>
      <c r="EZ32" s="85">
        <v>0</v>
      </c>
      <c r="FA32" s="85">
        <v>0</v>
      </c>
      <c r="FB32" s="85">
        <v>0</v>
      </c>
      <c r="FC32" s="85">
        <v>8790.27534112608</v>
      </c>
      <c r="FD32" s="87">
        <v>0</v>
      </c>
      <c r="FE32" s="85">
        <v>0</v>
      </c>
      <c r="FF32" s="85">
        <v>0</v>
      </c>
      <c r="FG32" s="85">
        <v>0</v>
      </c>
      <c r="FH32" s="85">
        <v>0</v>
      </c>
      <c r="FI32" s="85">
        <v>0</v>
      </c>
      <c r="FJ32" s="85">
        <v>0</v>
      </c>
      <c r="FK32" s="85">
        <v>0</v>
      </c>
      <c r="FL32" s="85">
        <v>0</v>
      </c>
      <c r="FM32" s="85">
        <v>0</v>
      </c>
      <c r="FN32" s="85">
        <v>0</v>
      </c>
      <c r="FO32" s="85">
        <v>0</v>
      </c>
      <c r="FP32" s="86">
        <v>0</v>
      </c>
      <c r="FQ32" s="87">
        <v>0</v>
      </c>
      <c r="FR32" s="85">
        <v>0</v>
      </c>
      <c r="FS32" s="85">
        <v>21037.8611720107</v>
      </c>
      <c r="FT32" s="85">
        <v>0</v>
      </c>
      <c r="FU32" s="85">
        <v>0</v>
      </c>
      <c r="FV32" s="85">
        <v>0</v>
      </c>
      <c r="FW32" s="85">
        <v>0</v>
      </c>
      <c r="FX32" s="85">
        <v>0</v>
      </c>
      <c r="FY32" s="85">
        <v>0</v>
      </c>
      <c r="FZ32" s="85">
        <v>0</v>
      </c>
      <c r="GA32" s="85">
        <v>0</v>
      </c>
      <c r="GB32" s="85">
        <v>0</v>
      </c>
      <c r="GC32" s="86">
        <v>21037.8611720107</v>
      </c>
    </row>
    <row r="33" s="56" customFormat="1" ht="16.5" spans="1:185">
      <c r="A33" s="88" t="s">
        <v>426</v>
      </c>
      <c r="B33" s="89"/>
      <c r="C33" s="90">
        <v>599539747.328976</v>
      </c>
      <c r="D33" s="91">
        <f t="shared" si="11"/>
        <v>24668758.9879812</v>
      </c>
      <c r="E33" s="91">
        <f t="shared" si="0"/>
        <v>15025732.4332268</v>
      </c>
      <c r="F33" s="91">
        <f t="shared" si="1"/>
        <v>17477620.852011</v>
      </c>
      <c r="G33" s="91">
        <f t="shared" si="2"/>
        <v>9433281.26334228</v>
      </c>
      <c r="H33" s="91">
        <f t="shared" si="3"/>
        <v>8862201.2649074</v>
      </c>
      <c r="I33" s="91">
        <f t="shared" si="4"/>
        <v>11835050.5434651</v>
      </c>
      <c r="J33" s="91">
        <f t="shared" si="5"/>
        <v>10667753.5376395</v>
      </c>
      <c r="K33" s="91">
        <f t="shared" si="6"/>
        <v>5329695.96527831</v>
      </c>
      <c r="L33" s="91">
        <f t="shared" si="7"/>
        <v>6249472.72731396</v>
      </c>
      <c r="M33" s="91">
        <f t="shared" si="8"/>
        <v>5554137.35262328</v>
      </c>
      <c r="N33" s="91">
        <f t="shared" si="9"/>
        <v>4765065.23195803</v>
      </c>
      <c r="O33" s="91">
        <f t="shared" si="10"/>
        <v>5730811.41265195</v>
      </c>
      <c r="P33" s="92">
        <f t="shared" si="12"/>
        <v>125599581.572399</v>
      </c>
      <c r="Q33" s="91">
        <v>1486019.22819062</v>
      </c>
      <c r="R33" s="91">
        <v>884170.950375338</v>
      </c>
      <c r="S33" s="91">
        <v>612570.793420041</v>
      </c>
      <c r="T33" s="91">
        <v>549005.552752559</v>
      </c>
      <c r="U33" s="91">
        <v>438121.545539719</v>
      </c>
      <c r="V33" s="91">
        <v>1104813.57206988</v>
      </c>
      <c r="W33" s="91">
        <v>1029671.770541</v>
      </c>
      <c r="X33" s="91">
        <v>454859.877091235</v>
      </c>
      <c r="Y33" s="91">
        <v>272005.574743537</v>
      </c>
      <c r="Z33" s="91">
        <v>350044.13756575</v>
      </c>
      <c r="AA33" s="91">
        <v>544087.788863445</v>
      </c>
      <c r="AB33" s="91">
        <v>528449.213415004</v>
      </c>
      <c r="AC33" s="92">
        <v>8253820.00456813</v>
      </c>
      <c r="AD33" s="91">
        <v>874744.593154602</v>
      </c>
      <c r="AE33" s="91">
        <v>407237.034514791</v>
      </c>
      <c r="AF33" s="91">
        <v>449767.216721462</v>
      </c>
      <c r="AG33" s="91">
        <v>317219.759400274</v>
      </c>
      <c r="AH33" s="91">
        <v>292563.937241784</v>
      </c>
      <c r="AI33" s="91">
        <v>472844.976466713</v>
      </c>
      <c r="AJ33" s="91">
        <v>511208.009777873</v>
      </c>
      <c r="AK33" s="91">
        <v>222500.47745152</v>
      </c>
      <c r="AL33" s="91">
        <v>195928.232135501</v>
      </c>
      <c r="AM33" s="91">
        <v>120352.18683447</v>
      </c>
      <c r="AN33" s="91">
        <v>92555.2302003162</v>
      </c>
      <c r="AO33" s="91">
        <v>205032.226545494</v>
      </c>
      <c r="AP33" s="92">
        <v>4161953.8804448</v>
      </c>
      <c r="AQ33" s="91">
        <v>1217204.65369985</v>
      </c>
      <c r="AR33" s="91">
        <v>815285.561020206</v>
      </c>
      <c r="AS33" s="91">
        <v>1264220.89305866</v>
      </c>
      <c r="AT33" s="91">
        <v>479874.530741628</v>
      </c>
      <c r="AU33" s="91">
        <v>387307.924033161</v>
      </c>
      <c r="AV33" s="91">
        <v>1220835.486679</v>
      </c>
      <c r="AW33" s="91">
        <v>671088.105412958</v>
      </c>
      <c r="AX33" s="91">
        <v>421730.107970101</v>
      </c>
      <c r="AY33" s="91">
        <v>289259.894050128</v>
      </c>
      <c r="AZ33" s="91">
        <v>422632.524814646</v>
      </c>
      <c r="BA33" s="91">
        <v>452825.331946462</v>
      </c>
      <c r="BB33" s="91">
        <v>615263.22575162</v>
      </c>
      <c r="BC33" s="92">
        <v>8257528.23917841</v>
      </c>
      <c r="BD33" s="91">
        <v>1334798.56080494</v>
      </c>
      <c r="BE33" s="91">
        <v>732081.622549267</v>
      </c>
      <c r="BF33" s="91">
        <v>515963.975275442</v>
      </c>
      <c r="BG33" s="91">
        <v>417395.916665235</v>
      </c>
      <c r="BH33" s="91">
        <v>309708.419122979</v>
      </c>
      <c r="BI33" s="91">
        <v>530151.579816213</v>
      </c>
      <c r="BJ33" s="91">
        <v>433918.708843242</v>
      </c>
      <c r="BK33" s="91">
        <v>291147.909711302</v>
      </c>
      <c r="BL33" s="91">
        <v>132202.728024568</v>
      </c>
      <c r="BM33" s="91">
        <v>227266.382055067</v>
      </c>
      <c r="BN33" s="91">
        <v>163745.803399816</v>
      </c>
      <c r="BO33" s="91">
        <v>225569.921750444</v>
      </c>
      <c r="BP33" s="92">
        <v>5313951.52801852</v>
      </c>
      <c r="BQ33" s="91">
        <v>9171015.75533436</v>
      </c>
      <c r="BR33" s="91">
        <v>5882904.77621907</v>
      </c>
      <c r="BS33" s="91">
        <v>7509938.69544458</v>
      </c>
      <c r="BT33" s="91">
        <v>4139146.48067012</v>
      </c>
      <c r="BU33" s="91">
        <v>4021977.25560448</v>
      </c>
      <c r="BV33" s="91">
        <v>4537404.23761009</v>
      </c>
      <c r="BW33" s="91">
        <v>3123103.98859636</v>
      </c>
      <c r="BX33" s="91">
        <v>1979897.43757032</v>
      </c>
      <c r="BY33" s="91">
        <v>3874675.57217296</v>
      </c>
      <c r="BZ33" s="91">
        <v>3190980.59487788</v>
      </c>
      <c r="CA33" s="91">
        <v>2173421.11085274</v>
      </c>
      <c r="CB33" s="91">
        <v>2461266.5416504</v>
      </c>
      <c r="CC33" s="92">
        <v>52065732.4466034</v>
      </c>
      <c r="CD33" s="91">
        <v>342461.092256811</v>
      </c>
      <c r="CE33" s="91">
        <v>143479.520666836</v>
      </c>
      <c r="CF33" s="91">
        <v>129399.067877015</v>
      </c>
      <c r="CG33" s="91">
        <v>239004.935189816</v>
      </c>
      <c r="CH33" s="91">
        <v>100335.268338027</v>
      </c>
      <c r="CI33" s="91">
        <v>414630.327568335</v>
      </c>
      <c r="CJ33" s="91">
        <v>230862.289549719</v>
      </c>
      <c r="CK33" s="91">
        <v>76835.6958471179</v>
      </c>
      <c r="CL33" s="91">
        <v>56535.5996567644</v>
      </c>
      <c r="CM33" s="91">
        <v>73901.2187221092</v>
      </c>
      <c r="CN33" s="91">
        <v>65294.9299176796</v>
      </c>
      <c r="CO33" s="91">
        <v>119818.340356651</v>
      </c>
      <c r="CP33" s="92">
        <v>1992558.28594688</v>
      </c>
      <c r="CQ33" s="91">
        <v>873769.3787684</v>
      </c>
      <c r="CR33" s="91">
        <v>675090.017289665</v>
      </c>
      <c r="CS33" s="91">
        <v>508426.558558989</v>
      </c>
      <c r="CT33" s="91">
        <v>450784.859741302</v>
      </c>
      <c r="CU33" s="91">
        <v>327122.482749689</v>
      </c>
      <c r="CV33" s="91">
        <v>516133.542056119</v>
      </c>
      <c r="CW33" s="91">
        <v>524791.462702422</v>
      </c>
      <c r="CX33" s="91">
        <v>360074.583879962</v>
      </c>
      <c r="CY33" s="91">
        <v>52974.1304866866</v>
      </c>
      <c r="CZ33" s="91">
        <v>135413.714851432</v>
      </c>
      <c r="DA33" s="91">
        <v>90927.8382900615</v>
      </c>
      <c r="DB33" s="91">
        <v>131463.43097802</v>
      </c>
      <c r="DC33" s="92">
        <v>4646972.00035275</v>
      </c>
      <c r="DD33" s="91">
        <v>89221.8037817605</v>
      </c>
      <c r="DE33" s="91">
        <v>152808.518923405</v>
      </c>
      <c r="DF33" s="91">
        <v>119910.815956602</v>
      </c>
      <c r="DG33" s="91">
        <v>54308.9085147383</v>
      </c>
      <c r="DH33" s="91">
        <v>46161.355997176</v>
      </c>
      <c r="DI33" s="91">
        <v>273178.431118214</v>
      </c>
      <c r="DJ33" s="91">
        <v>217351.071677205</v>
      </c>
      <c r="DK33" s="91">
        <v>64595.7305867985</v>
      </c>
      <c r="DL33" s="91">
        <v>41368.8312081411</v>
      </c>
      <c r="DM33" s="91">
        <v>102966.122720772</v>
      </c>
      <c r="DN33" s="91">
        <v>113416.645695784</v>
      </c>
      <c r="DO33" s="91">
        <v>225561.017931199</v>
      </c>
      <c r="DP33" s="92">
        <v>1500849.2541118</v>
      </c>
      <c r="DQ33" s="91">
        <v>1366027.24599815</v>
      </c>
      <c r="DR33" s="91">
        <v>776207.932307221</v>
      </c>
      <c r="DS33" s="91">
        <v>573203.447950294</v>
      </c>
      <c r="DT33" s="91">
        <v>509827.939964226</v>
      </c>
      <c r="DU33" s="91">
        <v>499600.979224611</v>
      </c>
      <c r="DV33" s="91">
        <v>1008002.0566</v>
      </c>
      <c r="DW33" s="91">
        <v>1242146.8296893</v>
      </c>
      <c r="DX33" s="91">
        <v>483484.319436437</v>
      </c>
      <c r="DY33" s="91">
        <v>144577.812614863</v>
      </c>
      <c r="DZ33" s="91">
        <v>151147.677409801</v>
      </c>
      <c r="EA33" s="91">
        <v>246978.599232426</v>
      </c>
      <c r="EB33" s="91">
        <v>417853.127118909</v>
      </c>
      <c r="EC33" s="91">
        <v>7419057.96754624</v>
      </c>
      <c r="ED33" s="93">
        <v>104856.449523685</v>
      </c>
      <c r="EE33" s="91">
        <v>0</v>
      </c>
      <c r="EF33" s="91">
        <v>0</v>
      </c>
      <c r="EG33" s="91">
        <v>0</v>
      </c>
      <c r="EH33" s="91">
        <v>0</v>
      </c>
      <c r="EI33" s="91">
        <v>0</v>
      </c>
      <c r="EJ33" s="91">
        <v>0</v>
      </c>
      <c r="EK33" s="91">
        <v>0</v>
      </c>
      <c r="EL33" s="91">
        <v>0</v>
      </c>
      <c r="EM33" s="91">
        <v>0</v>
      </c>
      <c r="EN33" s="91">
        <v>0</v>
      </c>
      <c r="EO33" s="91">
        <v>0</v>
      </c>
      <c r="EP33" s="92">
        <v>104856.449523685</v>
      </c>
      <c r="EQ33" s="91">
        <v>786545.67739675</v>
      </c>
      <c r="ER33" s="91">
        <v>774949.272099995</v>
      </c>
      <c r="ES33" s="91">
        <v>613682.400966139</v>
      </c>
      <c r="ET33" s="91">
        <v>316217.6638371</v>
      </c>
      <c r="EU33" s="91">
        <v>585688.438706229</v>
      </c>
      <c r="EV33" s="91">
        <v>363508.429480574</v>
      </c>
      <c r="EW33" s="91">
        <v>347664.420849464</v>
      </c>
      <c r="EX33" s="91">
        <v>171192.785733523</v>
      </c>
      <c r="EY33" s="91">
        <v>149544.252220806</v>
      </c>
      <c r="EZ33" s="91">
        <v>92298.7327713445</v>
      </c>
      <c r="FA33" s="91">
        <v>56223.2335593004</v>
      </c>
      <c r="FB33" s="91">
        <v>109232.547154211</v>
      </c>
      <c r="FC33" s="91">
        <v>4366747.85477544</v>
      </c>
      <c r="FD33" s="93">
        <v>90165.1663961261</v>
      </c>
      <c r="FE33" s="91">
        <v>0</v>
      </c>
      <c r="FF33" s="91">
        <v>0</v>
      </c>
      <c r="FG33" s="91">
        <v>0</v>
      </c>
      <c r="FH33" s="91">
        <v>0</v>
      </c>
      <c r="FI33" s="91">
        <v>0</v>
      </c>
      <c r="FJ33" s="91">
        <v>0</v>
      </c>
      <c r="FK33" s="91">
        <v>0</v>
      </c>
      <c r="FL33" s="91">
        <v>0</v>
      </c>
      <c r="FM33" s="91">
        <v>0</v>
      </c>
      <c r="FN33" s="91">
        <v>0</v>
      </c>
      <c r="FO33" s="91">
        <v>0</v>
      </c>
      <c r="FP33" s="92">
        <v>0</v>
      </c>
      <c r="FQ33" s="93">
        <v>6931929.38267513</v>
      </c>
      <c r="FR33" s="91">
        <v>3781517.22726097</v>
      </c>
      <c r="FS33" s="91">
        <v>5180536.98678177</v>
      </c>
      <c r="FT33" s="91">
        <v>1960494.71586528</v>
      </c>
      <c r="FU33" s="91">
        <v>1853613.65834955</v>
      </c>
      <c r="FV33" s="91">
        <v>1393547.904</v>
      </c>
      <c r="FW33" s="91">
        <v>2335946.88</v>
      </c>
      <c r="FX33" s="91">
        <v>803377.04</v>
      </c>
      <c r="FY33" s="91">
        <v>1040400.1</v>
      </c>
      <c r="FZ33" s="91">
        <v>687134.06</v>
      </c>
      <c r="GA33" s="91">
        <v>765588.72</v>
      </c>
      <c r="GB33" s="91">
        <v>691301.82</v>
      </c>
      <c r="GC33" s="92">
        <v>27425388.4949327</v>
      </c>
    </row>
    <row r="34" ht="15" spans="1:185">
      <c r="A34" s="76" t="s">
        <v>38</v>
      </c>
      <c r="B34" s="77" t="s">
        <v>427</v>
      </c>
      <c r="C34" s="78">
        <v>12323.6049349666</v>
      </c>
      <c r="D34" s="79">
        <f t="shared" si="11"/>
        <v>261509.205206207</v>
      </c>
      <c r="E34" s="79">
        <f t="shared" si="0"/>
        <v>110389.839040185</v>
      </c>
      <c r="F34" s="79">
        <f t="shared" si="1"/>
        <v>106124.308777136</v>
      </c>
      <c r="G34" s="79">
        <f t="shared" si="2"/>
        <v>104682.074238681</v>
      </c>
      <c r="H34" s="79">
        <f t="shared" si="3"/>
        <v>140524.075077181</v>
      </c>
      <c r="I34" s="79">
        <f t="shared" si="4"/>
        <v>0</v>
      </c>
      <c r="J34" s="79">
        <f t="shared" si="5"/>
        <v>0</v>
      </c>
      <c r="K34" s="79">
        <f t="shared" si="6"/>
        <v>0</v>
      </c>
      <c r="L34" s="79">
        <f t="shared" si="7"/>
        <v>0</v>
      </c>
      <c r="M34" s="79">
        <f t="shared" si="8"/>
        <v>0</v>
      </c>
      <c r="N34" s="79">
        <f t="shared" si="9"/>
        <v>0</v>
      </c>
      <c r="O34" s="79">
        <f t="shared" si="10"/>
        <v>0</v>
      </c>
      <c r="P34" s="80">
        <f t="shared" si="12"/>
        <v>723229.502339389</v>
      </c>
      <c r="Q34" s="79">
        <v>0</v>
      </c>
      <c r="R34" s="79">
        <v>0</v>
      </c>
      <c r="S34" s="79">
        <v>0</v>
      </c>
      <c r="T34" s="79">
        <v>0</v>
      </c>
      <c r="U34" s="79">
        <v>0</v>
      </c>
      <c r="V34" s="79">
        <v>0</v>
      </c>
      <c r="W34" s="79">
        <v>0</v>
      </c>
      <c r="X34" s="79">
        <v>0</v>
      </c>
      <c r="Y34" s="79">
        <v>0</v>
      </c>
      <c r="Z34" s="79">
        <v>0</v>
      </c>
      <c r="AA34" s="79">
        <v>0</v>
      </c>
      <c r="AB34" s="79">
        <v>0</v>
      </c>
      <c r="AC34" s="80">
        <v>0</v>
      </c>
      <c r="AD34" s="79">
        <v>0</v>
      </c>
      <c r="AE34" s="79">
        <v>0</v>
      </c>
      <c r="AF34" s="79">
        <v>0</v>
      </c>
      <c r="AG34" s="79">
        <v>0</v>
      </c>
      <c r="AH34" s="79">
        <v>16150.3173505939</v>
      </c>
      <c r="AI34" s="79">
        <v>0</v>
      </c>
      <c r="AJ34" s="79">
        <v>0</v>
      </c>
      <c r="AK34" s="79">
        <v>0</v>
      </c>
      <c r="AL34" s="79">
        <v>0</v>
      </c>
      <c r="AM34" s="79">
        <v>0</v>
      </c>
      <c r="AN34" s="79">
        <v>0</v>
      </c>
      <c r="AO34" s="79">
        <v>0</v>
      </c>
      <c r="AP34" s="80">
        <v>16150.3173505939</v>
      </c>
      <c r="AQ34" s="79">
        <v>0</v>
      </c>
      <c r="AR34" s="79">
        <v>0</v>
      </c>
      <c r="AS34" s="79">
        <v>0</v>
      </c>
      <c r="AT34" s="79">
        <v>0</v>
      </c>
      <c r="AU34" s="79">
        <v>0</v>
      </c>
      <c r="AV34" s="79">
        <v>0</v>
      </c>
      <c r="AW34" s="79">
        <v>0</v>
      </c>
      <c r="AX34" s="79">
        <v>0</v>
      </c>
      <c r="AY34" s="79">
        <v>0</v>
      </c>
      <c r="AZ34" s="79">
        <v>0</v>
      </c>
      <c r="BA34" s="79">
        <v>0</v>
      </c>
      <c r="BB34" s="79">
        <v>0</v>
      </c>
      <c r="BC34" s="80">
        <v>0</v>
      </c>
      <c r="BD34" s="79">
        <v>52591.3891362654</v>
      </c>
      <c r="BE34" s="79">
        <v>4824.24021242944</v>
      </c>
      <c r="BF34" s="79">
        <v>0</v>
      </c>
      <c r="BG34" s="79">
        <v>0</v>
      </c>
      <c r="BH34" s="79">
        <v>0</v>
      </c>
      <c r="BI34" s="79">
        <v>0</v>
      </c>
      <c r="BJ34" s="79">
        <v>0</v>
      </c>
      <c r="BK34" s="79">
        <v>0</v>
      </c>
      <c r="BL34" s="79">
        <v>0</v>
      </c>
      <c r="BM34" s="79">
        <v>0</v>
      </c>
      <c r="BN34" s="79">
        <v>0</v>
      </c>
      <c r="BO34" s="79">
        <v>0</v>
      </c>
      <c r="BP34" s="80">
        <v>57415.6293486949</v>
      </c>
      <c r="BQ34" s="79">
        <v>208917.816069941</v>
      </c>
      <c r="BR34" s="79">
        <v>105565.598827756</v>
      </c>
      <c r="BS34" s="79">
        <v>106124.308777136</v>
      </c>
      <c r="BT34" s="79">
        <v>104682.074238681</v>
      </c>
      <c r="BU34" s="79">
        <v>124373.757726587</v>
      </c>
      <c r="BV34" s="79">
        <v>0</v>
      </c>
      <c r="BW34" s="79">
        <v>0</v>
      </c>
      <c r="BX34" s="79">
        <v>0</v>
      </c>
      <c r="BY34" s="79">
        <v>0</v>
      </c>
      <c r="BZ34" s="79">
        <v>0</v>
      </c>
      <c r="CA34" s="79">
        <v>0</v>
      </c>
      <c r="CB34" s="79">
        <v>0</v>
      </c>
      <c r="CC34" s="80">
        <v>649663.5556401</v>
      </c>
      <c r="CD34" s="79">
        <v>0</v>
      </c>
      <c r="CE34" s="79">
        <v>0</v>
      </c>
      <c r="CF34" s="79">
        <v>0</v>
      </c>
      <c r="CG34" s="79">
        <v>0</v>
      </c>
      <c r="CH34" s="79">
        <v>0</v>
      </c>
      <c r="CI34" s="79">
        <v>0</v>
      </c>
      <c r="CJ34" s="79">
        <v>0</v>
      </c>
      <c r="CK34" s="79">
        <v>0</v>
      </c>
      <c r="CL34" s="79">
        <v>0</v>
      </c>
      <c r="CM34" s="79">
        <v>0</v>
      </c>
      <c r="CN34" s="79">
        <v>0</v>
      </c>
      <c r="CO34" s="79">
        <v>0</v>
      </c>
      <c r="CP34" s="80">
        <v>0</v>
      </c>
      <c r="CQ34" s="79">
        <v>0</v>
      </c>
      <c r="CR34" s="79">
        <v>0</v>
      </c>
      <c r="CS34" s="79">
        <v>0</v>
      </c>
      <c r="CT34" s="79">
        <v>0</v>
      </c>
      <c r="CU34" s="79">
        <v>0</v>
      </c>
      <c r="CV34" s="79">
        <v>0</v>
      </c>
      <c r="CW34" s="79">
        <v>0</v>
      </c>
      <c r="CX34" s="79">
        <v>0</v>
      </c>
      <c r="CY34" s="79">
        <v>0</v>
      </c>
      <c r="CZ34" s="79">
        <v>0</v>
      </c>
      <c r="DA34" s="79">
        <v>0</v>
      </c>
      <c r="DB34" s="79">
        <v>0</v>
      </c>
      <c r="DC34" s="80">
        <v>0</v>
      </c>
      <c r="DD34" s="79">
        <v>0</v>
      </c>
      <c r="DE34" s="79">
        <v>0</v>
      </c>
      <c r="DF34" s="79">
        <v>0</v>
      </c>
      <c r="DG34" s="79">
        <v>0</v>
      </c>
      <c r="DH34" s="79">
        <v>0</v>
      </c>
      <c r="DI34" s="79">
        <v>0</v>
      </c>
      <c r="DJ34" s="79">
        <v>0</v>
      </c>
      <c r="DK34" s="79">
        <v>0</v>
      </c>
      <c r="DL34" s="79">
        <v>0</v>
      </c>
      <c r="DM34" s="79">
        <v>0</v>
      </c>
      <c r="DN34" s="79">
        <v>0</v>
      </c>
      <c r="DO34" s="79">
        <v>0</v>
      </c>
      <c r="DP34" s="80">
        <v>0</v>
      </c>
      <c r="DQ34" s="79">
        <v>0</v>
      </c>
      <c r="DR34" s="79">
        <v>0</v>
      </c>
      <c r="DS34" s="79">
        <v>0</v>
      </c>
      <c r="DT34" s="79">
        <v>0</v>
      </c>
      <c r="DU34" s="79">
        <v>0</v>
      </c>
      <c r="DV34" s="79">
        <v>0</v>
      </c>
      <c r="DW34" s="79">
        <v>0</v>
      </c>
      <c r="DX34" s="79">
        <v>0</v>
      </c>
      <c r="DY34" s="79">
        <v>0</v>
      </c>
      <c r="DZ34" s="79">
        <v>0</v>
      </c>
      <c r="EA34" s="79">
        <v>0</v>
      </c>
      <c r="EB34" s="79">
        <v>0</v>
      </c>
      <c r="EC34" s="79">
        <v>0</v>
      </c>
      <c r="ED34" s="81">
        <v>0</v>
      </c>
      <c r="EE34" s="79">
        <v>0</v>
      </c>
      <c r="EF34" s="79">
        <v>0</v>
      </c>
      <c r="EG34" s="79">
        <v>0</v>
      </c>
      <c r="EH34" s="79">
        <v>0</v>
      </c>
      <c r="EI34" s="79">
        <v>0</v>
      </c>
      <c r="EJ34" s="79">
        <v>0</v>
      </c>
      <c r="EK34" s="79">
        <v>0</v>
      </c>
      <c r="EL34" s="79">
        <v>0</v>
      </c>
      <c r="EM34" s="79">
        <v>0</v>
      </c>
      <c r="EN34" s="79">
        <v>0</v>
      </c>
      <c r="EO34" s="79">
        <v>0</v>
      </c>
      <c r="EP34" s="80">
        <v>0</v>
      </c>
      <c r="EQ34" s="79">
        <v>0</v>
      </c>
      <c r="ER34" s="79">
        <v>0</v>
      </c>
      <c r="ES34" s="79">
        <v>0</v>
      </c>
      <c r="ET34" s="79">
        <v>0</v>
      </c>
      <c r="EU34" s="79">
        <v>0</v>
      </c>
      <c r="EV34" s="79">
        <v>0</v>
      </c>
      <c r="EW34" s="79">
        <v>0</v>
      </c>
      <c r="EX34" s="79">
        <v>0</v>
      </c>
      <c r="EY34" s="79">
        <v>0</v>
      </c>
      <c r="EZ34" s="79">
        <v>0</v>
      </c>
      <c r="FA34" s="79">
        <v>0</v>
      </c>
      <c r="FB34" s="79">
        <v>0</v>
      </c>
      <c r="FC34" s="79">
        <v>0</v>
      </c>
      <c r="FD34" s="81">
        <v>0</v>
      </c>
      <c r="FE34" s="79">
        <v>0</v>
      </c>
      <c r="FF34" s="79">
        <v>0</v>
      </c>
      <c r="FG34" s="79">
        <v>0</v>
      </c>
      <c r="FH34" s="79">
        <v>0</v>
      </c>
      <c r="FI34" s="79">
        <v>0</v>
      </c>
      <c r="FJ34" s="79">
        <v>0</v>
      </c>
      <c r="FK34" s="79">
        <v>0</v>
      </c>
      <c r="FL34" s="79">
        <v>0</v>
      </c>
      <c r="FM34" s="79">
        <v>0</v>
      </c>
      <c r="FN34" s="79">
        <v>0</v>
      </c>
      <c r="FO34" s="79">
        <v>0</v>
      </c>
      <c r="FP34" s="80">
        <v>0</v>
      </c>
      <c r="FQ34" s="81">
        <v>0</v>
      </c>
      <c r="FR34" s="79">
        <v>0</v>
      </c>
      <c r="FS34" s="79">
        <v>0</v>
      </c>
      <c r="FT34" s="79">
        <v>0</v>
      </c>
      <c r="FU34" s="79">
        <v>0</v>
      </c>
      <c r="FV34" s="79">
        <v>0</v>
      </c>
      <c r="FW34" s="79">
        <v>0</v>
      </c>
      <c r="FX34" s="79">
        <v>0</v>
      </c>
      <c r="FY34" s="79">
        <v>0</v>
      </c>
      <c r="FZ34" s="79">
        <v>0</v>
      </c>
      <c r="GA34" s="79">
        <v>0</v>
      </c>
      <c r="GB34" s="79">
        <v>0</v>
      </c>
      <c r="GC34" s="80">
        <v>0</v>
      </c>
    </row>
    <row r="35" s="56" customFormat="1" ht="16.5" spans="1:185">
      <c r="A35" s="88" t="s">
        <v>428</v>
      </c>
      <c r="B35" s="89"/>
      <c r="C35" s="90">
        <v>12323.6049349666</v>
      </c>
      <c r="D35" s="91">
        <f t="shared" si="11"/>
        <v>261509.205206207</v>
      </c>
      <c r="E35" s="91">
        <f t="shared" si="0"/>
        <v>110389.839040185</v>
      </c>
      <c r="F35" s="91">
        <f t="shared" si="1"/>
        <v>106124.308777136</v>
      </c>
      <c r="G35" s="91">
        <f t="shared" si="2"/>
        <v>104682.074238681</v>
      </c>
      <c r="H35" s="91">
        <f t="shared" si="3"/>
        <v>140524.075077181</v>
      </c>
      <c r="I35" s="91">
        <f t="shared" si="4"/>
        <v>0</v>
      </c>
      <c r="J35" s="91">
        <f t="shared" si="5"/>
        <v>0</v>
      </c>
      <c r="K35" s="91">
        <f t="shared" si="6"/>
        <v>0</v>
      </c>
      <c r="L35" s="91">
        <f t="shared" si="7"/>
        <v>0</v>
      </c>
      <c r="M35" s="91">
        <f t="shared" si="8"/>
        <v>0</v>
      </c>
      <c r="N35" s="91">
        <f t="shared" si="9"/>
        <v>0</v>
      </c>
      <c r="O35" s="91">
        <f t="shared" si="10"/>
        <v>0</v>
      </c>
      <c r="P35" s="92">
        <f t="shared" si="12"/>
        <v>723229.502339389</v>
      </c>
      <c r="Q35" s="91">
        <v>0</v>
      </c>
      <c r="R35" s="91">
        <v>0</v>
      </c>
      <c r="S35" s="91">
        <v>0</v>
      </c>
      <c r="T35" s="91">
        <v>0</v>
      </c>
      <c r="U35" s="91">
        <v>0</v>
      </c>
      <c r="V35" s="91">
        <v>0</v>
      </c>
      <c r="W35" s="91">
        <v>0</v>
      </c>
      <c r="X35" s="91">
        <v>0</v>
      </c>
      <c r="Y35" s="91">
        <v>0</v>
      </c>
      <c r="Z35" s="91">
        <v>0</v>
      </c>
      <c r="AA35" s="91">
        <v>0</v>
      </c>
      <c r="AB35" s="91">
        <v>0</v>
      </c>
      <c r="AC35" s="92">
        <v>0</v>
      </c>
      <c r="AD35" s="91">
        <v>0</v>
      </c>
      <c r="AE35" s="91">
        <v>0</v>
      </c>
      <c r="AF35" s="91">
        <v>0</v>
      </c>
      <c r="AG35" s="91">
        <v>0</v>
      </c>
      <c r="AH35" s="91">
        <v>16150.3173505939</v>
      </c>
      <c r="AI35" s="91">
        <v>0</v>
      </c>
      <c r="AJ35" s="91">
        <v>0</v>
      </c>
      <c r="AK35" s="91">
        <v>0</v>
      </c>
      <c r="AL35" s="91">
        <v>0</v>
      </c>
      <c r="AM35" s="91">
        <v>0</v>
      </c>
      <c r="AN35" s="91">
        <v>0</v>
      </c>
      <c r="AO35" s="91">
        <v>0</v>
      </c>
      <c r="AP35" s="92">
        <v>16150.3173505939</v>
      </c>
      <c r="AQ35" s="91">
        <v>0</v>
      </c>
      <c r="AR35" s="91">
        <v>0</v>
      </c>
      <c r="AS35" s="91">
        <v>0</v>
      </c>
      <c r="AT35" s="91">
        <v>0</v>
      </c>
      <c r="AU35" s="91">
        <v>0</v>
      </c>
      <c r="AV35" s="91">
        <v>0</v>
      </c>
      <c r="AW35" s="91">
        <v>0</v>
      </c>
      <c r="AX35" s="91">
        <v>0</v>
      </c>
      <c r="AY35" s="91">
        <v>0</v>
      </c>
      <c r="AZ35" s="91">
        <v>0</v>
      </c>
      <c r="BA35" s="91">
        <v>0</v>
      </c>
      <c r="BB35" s="91">
        <v>0</v>
      </c>
      <c r="BC35" s="92">
        <v>0</v>
      </c>
      <c r="BD35" s="91">
        <v>52591.3891362654</v>
      </c>
      <c r="BE35" s="91">
        <v>4824.24021242944</v>
      </c>
      <c r="BF35" s="91">
        <v>0</v>
      </c>
      <c r="BG35" s="91">
        <v>0</v>
      </c>
      <c r="BH35" s="91">
        <v>0</v>
      </c>
      <c r="BI35" s="91">
        <v>0</v>
      </c>
      <c r="BJ35" s="91">
        <v>0</v>
      </c>
      <c r="BK35" s="91">
        <v>0</v>
      </c>
      <c r="BL35" s="91">
        <v>0</v>
      </c>
      <c r="BM35" s="91">
        <v>0</v>
      </c>
      <c r="BN35" s="91">
        <v>0</v>
      </c>
      <c r="BO35" s="91">
        <v>0</v>
      </c>
      <c r="BP35" s="92">
        <v>57415.6293486949</v>
      </c>
      <c r="BQ35" s="91">
        <v>208917.816069941</v>
      </c>
      <c r="BR35" s="91">
        <v>105565.598827756</v>
      </c>
      <c r="BS35" s="91">
        <v>106124.308777136</v>
      </c>
      <c r="BT35" s="91">
        <v>104682.074238681</v>
      </c>
      <c r="BU35" s="91">
        <v>124373.757726587</v>
      </c>
      <c r="BV35" s="91">
        <v>0</v>
      </c>
      <c r="BW35" s="91">
        <v>0</v>
      </c>
      <c r="BX35" s="91">
        <v>0</v>
      </c>
      <c r="BY35" s="91">
        <v>0</v>
      </c>
      <c r="BZ35" s="91">
        <v>0</v>
      </c>
      <c r="CA35" s="91">
        <v>0</v>
      </c>
      <c r="CB35" s="91">
        <v>0</v>
      </c>
      <c r="CC35" s="92">
        <v>649663.5556401</v>
      </c>
      <c r="CD35" s="91">
        <v>0</v>
      </c>
      <c r="CE35" s="91">
        <v>0</v>
      </c>
      <c r="CF35" s="91">
        <v>0</v>
      </c>
      <c r="CG35" s="91">
        <v>0</v>
      </c>
      <c r="CH35" s="91">
        <v>0</v>
      </c>
      <c r="CI35" s="91">
        <v>0</v>
      </c>
      <c r="CJ35" s="91">
        <v>0</v>
      </c>
      <c r="CK35" s="91">
        <v>0</v>
      </c>
      <c r="CL35" s="91">
        <v>0</v>
      </c>
      <c r="CM35" s="91">
        <v>0</v>
      </c>
      <c r="CN35" s="91">
        <v>0</v>
      </c>
      <c r="CO35" s="91">
        <v>0</v>
      </c>
      <c r="CP35" s="92">
        <v>0</v>
      </c>
      <c r="CQ35" s="91">
        <v>0</v>
      </c>
      <c r="CR35" s="91">
        <v>0</v>
      </c>
      <c r="CS35" s="91">
        <v>0</v>
      </c>
      <c r="CT35" s="91">
        <v>0</v>
      </c>
      <c r="CU35" s="91">
        <v>0</v>
      </c>
      <c r="CV35" s="91">
        <v>0</v>
      </c>
      <c r="CW35" s="91">
        <v>0</v>
      </c>
      <c r="CX35" s="91">
        <v>0</v>
      </c>
      <c r="CY35" s="91">
        <v>0</v>
      </c>
      <c r="CZ35" s="91">
        <v>0</v>
      </c>
      <c r="DA35" s="91">
        <v>0</v>
      </c>
      <c r="DB35" s="91">
        <v>0</v>
      </c>
      <c r="DC35" s="92">
        <v>0</v>
      </c>
      <c r="DD35" s="91">
        <v>0</v>
      </c>
      <c r="DE35" s="91">
        <v>0</v>
      </c>
      <c r="DF35" s="91">
        <v>0</v>
      </c>
      <c r="DG35" s="91">
        <v>0</v>
      </c>
      <c r="DH35" s="91">
        <v>0</v>
      </c>
      <c r="DI35" s="91">
        <v>0</v>
      </c>
      <c r="DJ35" s="91">
        <v>0</v>
      </c>
      <c r="DK35" s="91">
        <v>0</v>
      </c>
      <c r="DL35" s="91">
        <v>0</v>
      </c>
      <c r="DM35" s="91">
        <v>0</v>
      </c>
      <c r="DN35" s="91">
        <v>0</v>
      </c>
      <c r="DO35" s="91">
        <v>0</v>
      </c>
      <c r="DP35" s="92">
        <v>0</v>
      </c>
      <c r="DQ35" s="91">
        <v>0</v>
      </c>
      <c r="DR35" s="91">
        <v>0</v>
      </c>
      <c r="DS35" s="91">
        <v>0</v>
      </c>
      <c r="DT35" s="91">
        <v>0</v>
      </c>
      <c r="DU35" s="91">
        <v>0</v>
      </c>
      <c r="DV35" s="91">
        <v>0</v>
      </c>
      <c r="DW35" s="91">
        <v>0</v>
      </c>
      <c r="DX35" s="91">
        <v>0</v>
      </c>
      <c r="DY35" s="91">
        <v>0</v>
      </c>
      <c r="DZ35" s="91">
        <v>0</v>
      </c>
      <c r="EA35" s="91">
        <v>0</v>
      </c>
      <c r="EB35" s="91">
        <v>0</v>
      </c>
      <c r="EC35" s="91">
        <v>0</v>
      </c>
      <c r="ED35" s="93">
        <v>0</v>
      </c>
      <c r="EE35" s="91">
        <v>0</v>
      </c>
      <c r="EF35" s="91">
        <v>0</v>
      </c>
      <c r="EG35" s="91">
        <v>0</v>
      </c>
      <c r="EH35" s="91">
        <v>0</v>
      </c>
      <c r="EI35" s="91">
        <v>0</v>
      </c>
      <c r="EJ35" s="91">
        <v>0</v>
      </c>
      <c r="EK35" s="91">
        <v>0</v>
      </c>
      <c r="EL35" s="91">
        <v>0</v>
      </c>
      <c r="EM35" s="91">
        <v>0</v>
      </c>
      <c r="EN35" s="91">
        <v>0</v>
      </c>
      <c r="EO35" s="91">
        <v>0</v>
      </c>
      <c r="EP35" s="92">
        <v>0</v>
      </c>
      <c r="EQ35" s="91">
        <v>0</v>
      </c>
      <c r="ER35" s="91">
        <v>0</v>
      </c>
      <c r="ES35" s="91">
        <v>0</v>
      </c>
      <c r="ET35" s="91">
        <v>0</v>
      </c>
      <c r="EU35" s="91">
        <v>0</v>
      </c>
      <c r="EV35" s="91">
        <v>0</v>
      </c>
      <c r="EW35" s="91">
        <v>0</v>
      </c>
      <c r="EX35" s="91">
        <v>0</v>
      </c>
      <c r="EY35" s="91">
        <v>0</v>
      </c>
      <c r="EZ35" s="91">
        <v>0</v>
      </c>
      <c r="FA35" s="91">
        <v>0</v>
      </c>
      <c r="FB35" s="91">
        <v>0</v>
      </c>
      <c r="FC35" s="91">
        <v>0</v>
      </c>
      <c r="FD35" s="93">
        <v>0</v>
      </c>
      <c r="FE35" s="91">
        <v>0</v>
      </c>
      <c r="FF35" s="91">
        <v>0</v>
      </c>
      <c r="FG35" s="91">
        <v>0</v>
      </c>
      <c r="FH35" s="91">
        <v>0</v>
      </c>
      <c r="FI35" s="91">
        <v>0</v>
      </c>
      <c r="FJ35" s="91">
        <v>0</v>
      </c>
      <c r="FK35" s="91">
        <v>0</v>
      </c>
      <c r="FL35" s="91">
        <v>0</v>
      </c>
      <c r="FM35" s="91">
        <v>0</v>
      </c>
      <c r="FN35" s="91">
        <v>0</v>
      </c>
      <c r="FO35" s="91">
        <v>0</v>
      </c>
      <c r="FP35" s="92">
        <v>0</v>
      </c>
      <c r="FQ35" s="93">
        <v>0</v>
      </c>
      <c r="FR35" s="91">
        <v>0</v>
      </c>
      <c r="FS35" s="91">
        <v>0</v>
      </c>
      <c r="FT35" s="91">
        <v>0</v>
      </c>
      <c r="FU35" s="91">
        <v>0</v>
      </c>
      <c r="FV35" s="91">
        <v>0</v>
      </c>
      <c r="FW35" s="91">
        <v>0</v>
      </c>
      <c r="FX35" s="91">
        <v>0</v>
      </c>
      <c r="FY35" s="91">
        <v>0</v>
      </c>
      <c r="FZ35" s="91">
        <v>0</v>
      </c>
      <c r="GA35" s="91">
        <v>0</v>
      </c>
      <c r="GB35" s="91">
        <v>0</v>
      </c>
      <c r="GC35" s="92">
        <v>0</v>
      </c>
    </row>
    <row r="36" ht="15" spans="1:185">
      <c r="A36" s="76" t="s">
        <v>41</v>
      </c>
      <c r="B36" s="77" t="s">
        <v>429</v>
      </c>
      <c r="C36" s="78">
        <v>5292846.48085975</v>
      </c>
      <c r="D36" s="79">
        <f t="shared" si="11"/>
        <v>337263.907866645</v>
      </c>
      <c r="E36" s="79">
        <f t="shared" si="0"/>
        <v>98671.2982454525</v>
      </c>
      <c r="F36" s="79">
        <f t="shared" si="1"/>
        <v>57903.3033006163</v>
      </c>
      <c r="G36" s="79">
        <f t="shared" si="2"/>
        <v>28947.0486842089</v>
      </c>
      <c r="H36" s="79">
        <f t="shared" si="3"/>
        <v>20829.6813031928</v>
      </c>
      <c r="I36" s="79">
        <f t="shared" si="4"/>
        <v>15943.1487132429</v>
      </c>
      <c r="J36" s="79">
        <f t="shared" si="5"/>
        <v>15524.4804457768</v>
      </c>
      <c r="K36" s="79">
        <f t="shared" si="6"/>
        <v>14398.1282674661</v>
      </c>
      <c r="L36" s="79">
        <f t="shared" si="7"/>
        <v>12708.6</v>
      </c>
      <c r="M36" s="79">
        <f t="shared" si="8"/>
        <v>6354.3</v>
      </c>
      <c r="N36" s="79">
        <f t="shared" si="9"/>
        <v>1961197.05360755</v>
      </c>
      <c r="O36" s="79">
        <f t="shared" si="10"/>
        <v>590175.604422104</v>
      </c>
      <c r="P36" s="80">
        <f t="shared" si="12"/>
        <v>3159916.55485625</v>
      </c>
      <c r="Q36" s="79">
        <v>758.251679466903</v>
      </c>
      <c r="R36" s="79">
        <v>3807.37535296064</v>
      </c>
      <c r="S36" s="79">
        <v>2994.5873647112</v>
      </c>
      <c r="T36" s="79">
        <v>1169.42313156927</v>
      </c>
      <c r="U36" s="79">
        <v>2316.66455842345</v>
      </c>
      <c r="V36" s="79">
        <v>0</v>
      </c>
      <c r="W36" s="79">
        <v>0</v>
      </c>
      <c r="X36" s="79">
        <v>0</v>
      </c>
      <c r="Y36" s="79">
        <v>0</v>
      </c>
      <c r="Z36" s="79">
        <v>0</v>
      </c>
      <c r="AA36" s="79">
        <v>28957.2562608202</v>
      </c>
      <c r="AB36" s="79">
        <v>28957.2562608202</v>
      </c>
      <c r="AC36" s="80">
        <v>68960.8146087719</v>
      </c>
      <c r="AD36" s="79">
        <v>0</v>
      </c>
      <c r="AE36" s="79">
        <v>0</v>
      </c>
      <c r="AF36" s="79">
        <v>0</v>
      </c>
      <c r="AG36" s="79">
        <v>0</v>
      </c>
      <c r="AH36" s="79">
        <v>0</v>
      </c>
      <c r="AI36" s="79">
        <v>0</v>
      </c>
      <c r="AJ36" s="79">
        <v>0</v>
      </c>
      <c r="AK36" s="79">
        <v>0</v>
      </c>
      <c r="AL36" s="79">
        <v>0</v>
      </c>
      <c r="AM36" s="79">
        <v>0</v>
      </c>
      <c r="AN36" s="79">
        <v>0</v>
      </c>
      <c r="AO36" s="79">
        <v>0</v>
      </c>
      <c r="AP36" s="80">
        <v>0</v>
      </c>
      <c r="AQ36" s="79">
        <v>7457.15998029215</v>
      </c>
      <c r="AR36" s="79">
        <v>7325.67298543323</v>
      </c>
      <c r="AS36" s="79">
        <v>6182.08326107381</v>
      </c>
      <c r="AT36" s="79">
        <v>1420.15465546798</v>
      </c>
      <c r="AU36" s="79">
        <v>1706.10342611843</v>
      </c>
      <c r="AV36" s="79">
        <v>0</v>
      </c>
      <c r="AW36" s="79">
        <v>0</v>
      </c>
      <c r="AX36" s="79">
        <v>0</v>
      </c>
      <c r="AY36" s="79">
        <v>0</v>
      </c>
      <c r="AZ36" s="79">
        <v>0</v>
      </c>
      <c r="BA36" s="79">
        <v>200038.913637542</v>
      </c>
      <c r="BB36" s="79">
        <v>0</v>
      </c>
      <c r="BC36" s="80">
        <v>224130.087945928</v>
      </c>
      <c r="BD36" s="79">
        <v>0</v>
      </c>
      <c r="BE36" s="79">
        <v>0</v>
      </c>
      <c r="BF36" s="79">
        <v>0</v>
      </c>
      <c r="BG36" s="79">
        <v>0</v>
      </c>
      <c r="BH36" s="79">
        <v>0</v>
      </c>
      <c r="BI36" s="79">
        <v>0</v>
      </c>
      <c r="BJ36" s="79">
        <v>0</v>
      </c>
      <c r="BK36" s="79">
        <v>0</v>
      </c>
      <c r="BL36" s="79">
        <v>0</v>
      </c>
      <c r="BM36" s="79">
        <v>0</v>
      </c>
      <c r="BN36" s="79">
        <v>90108.339888423</v>
      </c>
      <c r="BO36" s="79">
        <v>180216.679776846</v>
      </c>
      <c r="BP36" s="80">
        <v>270325.019665269</v>
      </c>
      <c r="BQ36" s="79">
        <v>7027.22152595588</v>
      </c>
      <c r="BR36" s="79">
        <v>6378.99465913541</v>
      </c>
      <c r="BS36" s="79">
        <v>7356.87208110443</v>
      </c>
      <c r="BT36" s="79">
        <v>669.317528250099</v>
      </c>
      <c r="BU36" s="79">
        <v>661.209779894398</v>
      </c>
      <c r="BV36" s="79">
        <v>0</v>
      </c>
      <c r="BW36" s="79">
        <v>0</v>
      </c>
      <c r="BX36" s="79">
        <v>0</v>
      </c>
      <c r="BY36" s="79">
        <v>0</v>
      </c>
      <c r="BZ36" s="79">
        <v>0</v>
      </c>
      <c r="CA36" s="79">
        <v>808423.613026436</v>
      </c>
      <c r="CB36" s="79">
        <v>0</v>
      </c>
      <c r="CC36" s="80">
        <v>830517.228600776</v>
      </c>
      <c r="CD36" s="79">
        <v>1168.88923974548</v>
      </c>
      <c r="CE36" s="79">
        <v>765.934057867332</v>
      </c>
      <c r="CF36" s="79">
        <v>762.693680123595</v>
      </c>
      <c r="CG36" s="79">
        <v>0</v>
      </c>
      <c r="CH36" s="79">
        <v>0</v>
      </c>
      <c r="CI36" s="79">
        <v>0</v>
      </c>
      <c r="CJ36" s="79">
        <v>0</v>
      </c>
      <c r="CK36" s="79">
        <v>0</v>
      </c>
      <c r="CL36" s="79">
        <v>0</v>
      </c>
      <c r="CM36" s="79">
        <v>0</v>
      </c>
      <c r="CN36" s="79">
        <v>51159.775566337</v>
      </c>
      <c r="CO36" s="79">
        <v>65776.8542995761</v>
      </c>
      <c r="CP36" s="80">
        <v>119634.14684365</v>
      </c>
      <c r="CQ36" s="79">
        <v>0</v>
      </c>
      <c r="CR36" s="79">
        <v>450.835490869612</v>
      </c>
      <c r="CS36" s="79">
        <v>0</v>
      </c>
      <c r="CT36" s="79">
        <v>0</v>
      </c>
      <c r="CU36" s="79">
        <v>0</v>
      </c>
      <c r="CV36" s="79">
        <v>0</v>
      </c>
      <c r="CW36" s="79">
        <v>0</v>
      </c>
      <c r="CX36" s="79">
        <v>0</v>
      </c>
      <c r="CY36" s="79">
        <v>0</v>
      </c>
      <c r="CZ36" s="79">
        <v>0</v>
      </c>
      <c r="DA36" s="79">
        <v>171879.76517369</v>
      </c>
      <c r="DB36" s="79">
        <v>171879.76517369</v>
      </c>
      <c r="DC36" s="80">
        <v>344210.36583825</v>
      </c>
      <c r="DD36" s="79">
        <v>9598.22926969398</v>
      </c>
      <c r="DE36" s="79">
        <v>4483.39552896046</v>
      </c>
      <c r="DF36" s="79">
        <v>0</v>
      </c>
      <c r="DG36" s="79">
        <v>0</v>
      </c>
      <c r="DH36" s="79">
        <v>0</v>
      </c>
      <c r="DI36" s="79">
        <v>0</v>
      </c>
      <c r="DJ36" s="79">
        <v>0</v>
      </c>
      <c r="DK36" s="79">
        <v>0</v>
      </c>
      <c r="DL36" s="79">
        <v>0</v>
      </c>
      <c r="DM36" s="79">
        <v>0</v>
      </c>
      <c r="DN36" s="79">
        <v>14421.3916021332</v>
      </c>
      <c r="DO36" s="79">
        <v>9614.26106808878</v>
      </c>
      <c r="DP36" s="80">
        <v>38117.2774688764</v>
      </c>
      <c r="DQ36" s="79">
        <v>26071.1745727145</v>
      </c>
      <c r="DR36" s="79">
        <v>16402.481709318</v>
      </c>
      <c r="DS36" s="79">
        <v>12275.9578883681</v>
      </c>
      <c r="DT36" s="79">
        <v>9338.43322442974</v>
      </c>
      <c r="DU36" s="79">
        <v>3738.45146815812</v>
      </c>
      <c r="DV36" s="79">
        <v>4505.40871324285</v>
      </c>
      <c r="DW36" s="79">
        <v>2815.88044577678</v>
      </c>
      <c r="DX36" s="79">
        <v>1689.52826746607</v>
      </c>
      <c r="DY36" s="79">
        <v>0</v>
      </c>
      <c r="DZ36" s="79">
        <v>0</v>
      </c>
      <c r="EA36" s="79">
        <v>109654.620144734</v>
      </c>
      <c r="EB36" s="79">
        <v>32896.3860434201</v>
      </c>
      <c r="EC36" s="79">
        <v>219388.322477628</v>
      </c>
      <c r="ED36" s="81">
        <v>0</v>
      </c>
      <c r="EE36" s="79">
        <v>0</v>
      </c>
      <c r="EF36" s="79">
        <v>0</v>
      </c>
      <c r="EG36" s="79">
        <v>0</v>
      </c>
      <c r="EH36" s="79">
        <v>0</v>
      </c>
      <c r="EI36" s="79">
        <v>0</v>
      </c>
      <c r="EJ36" s="79">
        <v>0</v>
      </c>
      <c r="EK36" s="79">
        <v>0</v>
      </c>
      <c r="EL36" s="79">
        <v>0</v>
      </c>
      <c r="EM36" s="79">
        <v>0</v>
      </c>
      <c r="EN36" s="79">
        <v>0</v>
      </c>
      <c r="EO36" s="79">
        <v>0</v>
      </c>
      <c r="EP36" s="80">
        <v>0</v>
      </c>
      <c r="EQ36" s="79">
        <v>42476.5392865269</v>
      </c>
      <c r="ER36" s="79">
        <v>0</v>
      </c>
      <c r="ES36" s="79">
        <v>0</v>
      </c>
      <c r="ET36" s="79">
        <v>0</v>
      </c>
      <c r="EU36" s="79">
        <v>0</v>
      </c>
      <c r="EV36" s="79">
        <v>0</v>
      </c>
      <c r="EW36" s="79">
        <v>0</v>
      </c>
      <c r="EX36" s="79">
        <v>0</v>
      </c>
      <c r="EY36" s="79">
        <v>0</v>
      </c>
      <c r="EZ36" s="79">
        <v>0</v>
      </c>
      <c r="FA36" s="79">
        <v>67789.0783074326</v>
      </c>
      <c r="FB36" s="79">
        <v>88125.8017996624</v>
      </c>
      <c r="FC36" s="79">
        <v>198391.419393622</v>
      </c>
      <c r="FD36" s="81">
        <v>0</v>
      </c>
      <c r="FE36" s="79">
        <v>0</v>
      </c>
      <c r="FF36" s="79">
        <v>0</v>
      </c>
      <c r="FG36" s="79">
        <v>0</v>
      </c>
      <c r="FH36" s="79">
        <v>0</v>
      </c>
      <c r="FI36" s="79">
        <v>0</v>
      </c>
      <c r="FJ36" s="79">
        <v>0</v>
      </c>
      <c r="FK36" s="79">
        <v>0</v>
      </c>
      <c r="FL36" s="79">
        <v>0</v>
      </c>
      <c r="FM36" s="79">
        <v>0</v>
      </c>
      <c r="FN36" s="79">
        <v>0</v>
      </c>
      <c r="FO36" s="79">
        <v>0</v>
      </c>
      <c r="FP36" s="80">
        <v>0</v>
      </c>
      <c r="FQ36" s="81">
        <v>242706.44231225</v>
      </c>
      <c r="FR36" s="79">
        <v>59056.6084609078</v>
      </c>
      <c r="FS36" s="79">
        <v>28331.1090252352</v>
      </c>
      <c r="FT36" s="79">
        <v>16349.7201444918</v>
      </c>
      <c r="FU36" s="79">
        <v>12407.2520705984</v>
      </c>
      <c r="FV36" s="79">
        <v>11437.74</v>
      </c>
      <c r="FW36" s="79">
        <v>12708.6</v>
      </c>
      <c r="FX36" s="79">
        <v>12708.6</v>
      </c>
      <c r="FY36" s="79">
        <v>12708.6</v>
      </c>
      <c r="FZ36" s="79">
        <v>6354.3</v>
      </c>
      <c r="GA36" s="79">
        <v>418764.3</v>
      </c>
      <c r="GB36" s="79">
        <v>12708.6</v>
      </c>
      <c r="GC36" s="80">
        <v>846241.872013483</v>
      </c>
    </row>
    <row r="37" ht="15" spans="1:185">
      <c r="A37" s="82"/>
      <c r="B37" s="83" t="s">
        <v>430</v>
      </c>
      <c r="C37" s="84">
        <v>123331.221705066</v>
      </c>
      <c r="D37" s="85">
        <f t="shared" si="11"/>
        <v>24008.8692139572</v>
      </c>
      <c r="E37" s="85">
        <f t="shared" si="0"/>
        <v>55661.8491567486</v>
      </c>
      <c r="F37" s="85">
        <f t="shared" si="1"/>
        <v>54427.3000644669</v>
      </c>
      <c r="G37" s="85">
        <f t="shared" si="2"/>
        <v>14709.6729761339</v>
      </c>
      <c r="H37" s="85">
        <f t="shared" si="3"/>
        <v>23361.7112544724</v>
      </c>
      <c r="I37" s="85">
        <f t="shared" si="4"/>
        <v>498.857928555441</v>
      </c>
      <c r="J37" s="85">
        <f t="shared" si="5"/>
        <v>249.428964277721</v>
      </c>
      <c r="K37" s="85">
        <f t="shared" si="6"/>
        <v>0</v>
      </c>
      <c r="L37" s="85">
        <f t="shared" si="7"/>
        <v>0</v>
      </c>
      <c r="M37" s="85">
        <f t="shared" si="8"/>
        <v>0</v>
      </c>
      <c r="N37" s="85">
        <f t="shared" si="9"/>
        <v>0</v>
      </c>
      <c r="O37" s="85">
        <f t="shared" si="10"/>
        <v>0</v>
      </c>
      <c r="P37" s="86">
        <f t="shared" si="12"/>
        <v>172917.689558612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5">
        <v>0</v>
      </c>
      <c r="Y37" s="85">
        <v>0</v>
      </c>
      <c r="Z37" s="85">
        <v>0</v>
      </c>
      <c r="AA37" s="85">
        <v>0</v>
      </c>
      <c r="AB37" s="85">
        <v>0</v>
      </c>
      <c r="AC37" s="86">
        <v>0</v>
      </c>
      <c r="AD37" s="85">
        <v>0</v>
      </c>
      <c r="AE37" s="85">
        <v>0</v>
      </c>
      <c r="AF37" s="85">
        <v>0</v>
      </c>
      <c r="AG37" s="85">
        <v>0</v>
      </c>
      <c r="AH37" s="85">
        <v>0</v>
      </c>
      <c r="AI37" s="85">
        <v>0</v>
      </c>
      <c r="AJ37" s="85">
        <v>0</v>
      </c>
      <c r="AK37" s="85">
        <v>0</v>
      </c>
      <c r="AL37" s="85">
        <v>0</v>
      </c>
      <c r="AM37" s="85">
        <v>0</v>
      </c>
      <c r="AN37" s="85">
        <v>0</v>
      </c>
      <c r="AO37" s="85">
        <v>0</v>
      </c>
      <c r="AP37" s="86">
        <v>0</v>
      </c>
      <c r="AQ37" s="85">
        <v>0</v>
      </c>
      <c r="AR37" s="85">
        <v>0</v>
      </c>
      <c r="AS37" s="85">
        <v>0</v>
      </c>
      <c r="AT37" s="85">
        <v>0</v>
      </c>
      <c r="AU37" s="85">
        <v>0</v>
      </c>
      <c r="AV37" s="85">
        <v>0</v>
      </c>
      <c r="AW37" s="85">
        <v>0</v>
      </c>
      <c r="AX37" s="85">
        <v>0</v>
      </c>
      <c r="AY37" s="85">
        <v>0</v>
      </c>
      <c r="AZ37" s="85">
        <v>0</v>
      </c>
      <c r="BA37" s="85">
        <v>0</v>
      </c>
      <c r="BB37" s="85">
        <v>0</v>
      </c>
      <c r="BC37" s="86">
        <v>0</v>
      </c>
      <c r="BD37" s="85">
        <v>0</v>
      </c>
      <c r="BE37" s="85">
        <v>0</v>
      </c>
      <c r="BF37" s="85">
        <v>0</v>
      </c>
      <c r="BG37" s="85">
        <v>0</v>
      </c>
      <c r="BH37" s="85">
        <v>0</v>
      </c>
      <c r="BI37" s="85">
        <v>0</v>
      </c>
      <c r="BJ37" s="85">
        <v>0</v>
      </c>
      <c r="BK37" s="85">
        <v>0</v>
      </c>
      <c r="BL37" s="85">
        <v>0</v>
      </c>
      <c r="BM37" s="85">
        <v>0</v>
      </c>
      <c r="BN37" s="85">
        <v>0</v>
      </c>
      <c r="BO37" s="85">
        <v>0</v>
      </c>
      <c r="BP37" s="86">
        <v>0</v>
      </c>
      <c r="BQ37" s="85">
        <v>15279.1917827795</v>
      </c>
      <c r="BR37" s="85">
        <v>151.086667738495</v>
      </c>
      <c r="BS37" s="85">
        <v>142.56691734683</v>
      </c>
      <c r="BT37" s="85">
        <v>0</v>
      </c>
      <c r="BU37" s="85">
        <v>0</v>
      </c>
      <c r="BV37" s="85">
        <v>0</v>
      </c>
      <c r="BW37" s="85">
        <v>0</v>
      </c>
      <c r="BX37" s="85">
        <v>0</v>
      </c>
      <c r="BY37" s="85">
        <v>0</v>
      </c>
      <c r="BZ37" s="85">
        <v>0</v>
      </c>
      <c r="CA37" s="85">
        <v>0</v>
      </c>
      <c r="CB37" s="85">
        <v>0</v>
      </c>
      <c r="CC37" s="86">
        <v>15572.8453678648</v>
      </c>
      <c r="CD37" s="85">
        <v>8729.67743117771</v>
      </c>
      <c r="CE37" s="85">
        <v>6498.154452044</v>
      </c>
      <c r="CF37" s="85">
        <v>23542.8872854914</v>
      </c>
      <c r="CG37" s="85">
        <v>14059.4232751521</v>
      </c>
      <c r="CH37" s="85">
        <v>15887.5242384838</v>
      </c>
      <c r="CI37" s="85">
        <v>0</v>
      </c>
      <c r="CJ37" s="85">
        <v>0</v>
      </c>
      <c r="CK37" s="85">
        <v>0</v>
      </c>
      <c r="CL37" s="85">
        <v>0</v>
      </c>
      <c r="CM37" s="85">
        <v>0</v>
      </c>
      <c r="CN37" s="85">
        <v>0</v>
      </c>
      <c r="CO37" s="85">
        <v>0</v>
      </c>
      <c r="CP37" s="86">
        <v>68717.666682349</v>
      </c>
      <c r="CQ37" s="85">
        <v>0</v>
      </c>
      <c r="CR37" s="85">
        <v>0</v>
      </c>
      <c r="CS37" s="85">
        <v>0</v>
      </c>
      <c r="CT37" s="85">
        <v>0</v>
      </c>
      <c r="CU37" s="85">
        <v>0</v>
      </c>
      <c r="CV37" s="85">
        <v>0</v>
      </c>
      <c r="CW37" s="85">
        <v>0</v>
      </c>
      <c r="CX37" s="85">
        <v>0</v>
      </c>
      <c r="CY37" s="85">
        <v>0</v>
      </c>
      <c r="CZ37" s="85">
        <v>0</v>
      </c>
      <c r="DA37" s="85">
        <v>0</v>
      </c>
      <c r="DB37" s="85">
        <v>0</v>
      </c>
      <c r="DC37" s="86">
        <v>0</v>
      </c>
      <c r="DD37" s="85">
        <v>0</v>
      </c>
      <c r="DE37" s="85">
        <v>13325.3698673279</v>
      </c>
      <c r="DF37" s="85">
        <v>8535.1047194519</v>
      </c>
      <c r="DG37" s="85">
        <v>143.347767182842</v>
      </c>
      <c r="DH37" s="85">
        <v>7143.15747829808</v>
      </c>
      <c r="DI37" s="85">
        <v>0</v>
      </c>
      <c r="DJ37" s="85">
        <v>0</v>
      </c>
      <c r="DK37" s="85">
        <v>0</v>
      </c>
      <c r="DL37" s="85">
        <v>0</v>
      </c>
      <c r="DM37" s="85">
        <v>0</v>
      </c>
      <c r="DN37" s="85">
        <v>0</v>
      </c>
      <c r="DO37" s="85">
        <v>0</v>
      </c>
      <c r="DP37" s="86">
        <v>29146.9798322607</v>
      </c>
      <c r="DQ37" s="85">
        <v>0</v>
      </c>
      <c r="DR37" s="85">
        <v>35687.2381696382</v>
      </c>
      <c r="DS37" s="85">
        <v>21578.8910119423</v>
      </c>
      <c r="DT37" s="85">
        <v>165.376544801551</v>
      </c>
      <c r="DU37" s="85">
        <v>331.029537690511</v>
      </c>
      <c r="DV37" s="85">
        <v>498.857928555441</v>
      </c>
      <c r="DW37" s="85">
        <v>249.428964277721</v>
      </c>
      <c r="DX37" s="85">
        <v>0</v>
      </c>
      <c r="DY37" s="85">
        <v>0</v>
      </c>
      <c r="DZ37" s="85">
        <v>0</v>
      </c>
      <c r="EA37" s="85">
        <v>0</v>
      </c>
      <c r="EB37" s="85">
        <v>0</v>
      </c>
      <c r="EC37" s="85">
        <v>58510.8221569058</v>
      </c>
      <c r="ED37" s="87">
        <v>0</v>
      </c>
      <c r="EE37" s="85">
        <v>0</v>
      </c>
      <c r="EF37" s="85">
        <v>0</v>
      </c>
      <c r="EG37" s="85">
        <v>0</v>
      </c>
      <c r="EH37" s="85">
        <v>0</v>
      </c>
      <c r="EI37" s="85">
        <v>0</v>
      </c>
      <c r="EJ37" s="85">
        <v>0</v>
      </c>
      <c r="EK37" s="85">
        <v>0</v>
      </c>
      <c r="EL37" s="85">
        <v>0</v>
      </c>
      <c r="EM37" s="85">
        <v>0</v>
      </c>
      <c r="EN37" s="85">
        <v>0</v>
      </c>
      <c r="EO37" s="85">
        <v>0</v>
      </c>
      <c r="EP37" s="86">
        <v>0</v>
      </c>
      <c r="EQ37" s="85">
        <v>0</v>
      </c>
      <c r="ER37" s="85">
        <v>0</v>
      </c>
      <c r="ES37" s="85">
        <v>0</v>
      </c>
      <c r="ET37" s="85">
        <v>0</v>
      </c>
      <c r="EU37" s="85">
        <v>0</v>
      </c>
      <c r="EV37" s="85">
        <v>0</v>
      </c>
      <c r="EW37" s="85">
        <v>0</v>
      </c>
      <c r="EX37" s="85">
        <v>0</v>
      </c>
      <c r="EY37" s="85">
        <v>0</v>
      </c>
      <c r="EZ37" s="85">
        <v>0</v>
      </c>
      <c r="FA37" s="85">
        <v>0</v>
      </c>
      <c r="FB37" s="85">
        <v>0</v>
      </c>
      <c r="FC37" s="85">
        <v>0</v>
      </c>
      <c r="FD37" s="87">
        <v>0</v>
      </c>
      <c r="FE37" s="85">
        <v>0</v>
      </c>
      <c r="FF37" s="85">
        <v>0</v>
      </c>
      <c r="FG37" s="85">
        <v>0</v>
      </c>
      <c r="FH37" s="85">
        <v>0</v>
      </c>
      <c r="FI37" s="85">
        <v>0</v>
      </c>
      <c r="FJ37" s="85">
        <v>0</v>
      </c>
      <c r="FK37" s="85">
        <v>0</v>
      </c>
      <c r="FL37" s="85">
        <v>0</v>
      </c>
      <c r="FM37" s="85">
        <v>0</v>
      </c>
      <c r="FN37" s="85">
        <v>0</v>
      </c>
      <c r="FO37" s="85">
        <v>0</v>
      </c>
      <c r="FP37" s="86">
        <v>0</v>
      </c>
      <c r="FQ37" s="87">
        <v>0</v>
      </c>
      <c r="FR37" s="85">
        <v>0</v>
      </c>
      <c r="FS37" s="85">
        <v>627.850130234422</v>
      </c>
      <c r="FT37" s="85">
        <v>341.525388997418</v>
      </c>
      <c r="FU37" s="85">
        <v>0</v>
      </c>
      <c r="FV37" s="85">
        <v>0</v>
      </c>
      <c r="FW37" s="85">
        <v>0</v>
      </c>
      <c r="FX37" s="85">
        <v>0</v>
      </c>
      <c r="FY37" s="85">
        <v>0</v>
      </c>
      <c r="FZ37" s="85">
        <v>0</v>
      </c>
      <c r="GA37" s="85">
        <v>0</v>
      </c>
      <c r="GB37" s="85">
        <v>0</v>
      </c>
      <c r="GC37" s="86">
        <v>969.37551923184</v>
      </c>
    </row>
    <row r="38" s="56" customFormat="1" ht="16.5" spans="1:185">
      <c r="A38" s="88" t="s">
        <v>431</v>
      </c>
      <c r="B38" s="89"/>
      <c r="C38" s="90">
        <v>5416177.70256481</v>
      </c>
      <c r="D38" s="91">
        <f t="shared" si="11"/>
        <v>361272.777080603</v>
      </c>
      <c r="E38" s="91">
        <f t="shared" si="0"/>
        <v>154333.147402201</v>
      </c>
      <c r="F38" s="91">
        <f t="shared" si="1"/>
        <v>112330.603365083</v>
      </c>
      <c r="G38" s="91">
        <f t="shared" si="2"/>
        <v>43656.7216603428</v>
      </c>
      <c r="H38" s="91">
        <f t="shared" si="3"/>
        <v>44191.3925576652</v>
      </c>
      <c r="I38" s="91">
        <f t="shared" si="4"/>
        <v>16442.0066417983</v>
      </c>
      <c r="J38" s="91">
        <f t="shared" si="5"/>
        <v>15773.9094100545</v>
      </c>
      <c r="K38" s="91">
        <f t="shared" si="6"/>
        <v>14398.1282674661</v>
      </c>
      <c r="L38" s="91">
        <f t="shared" si="7"/>
        <v>12708.6</v>
      </c>
      <c r="M38" s="91">
        <f t="shared" si="8"/>
        <v>6354.3</v>
      </c>
      <c r="N38" s="91">
        <f t="shared" si="9"/>
        <v>1961197.05360755</v>
      </c>
      <c r="O38" s="91">
        <f t="shared" si="10"/>
        <v>590175.604422104</v>
      </c>
      <c r="P38" s="92">
        <f t="shared" si="12"/>
        <v>3332834.24441487</v>
      </c>
      <c r="Q38" s="91">
        <v>758.251679466903</v>
      </c>
      <c r="R38" s="91">
        <v>3807.37535296064</v>
      </c>
      <c r="S38" s="91">
        <v>2994.5873647112</v>
      </c>
      <c r="T38" s="91">
        <v>1169.42313156927</v>
      </c>
      <c r="U38" s="91">
        <v>2316.66455842345</v>
      </c>
      <c r="V38" s="91">
        <v>0</v>
      </c>
      <c r="W38" s="91">
        <v>0</v>
      </c>
      <c r="X38" s="91">
        <v>0</v>
      </c>
      <c r="Y38" s="91">
        <v>0</v>
      </c>
      <c r="Z38" s="91">
        <v>0</v>
      </c>
      <c r="AA38" s="91">
        <v>28957.2562608202</v>
      </c>
      <c r="AB38" s="91">
        <v>28957.2562608202</v>
      </c>
      <c r="AC38" s="92">
        <v>68960.8146087719</v>
      </c>
      <c r="AD38" s="91">
        <v>0</v>
      </c>
      <c r="AE38" s="91">
        <v>0</v>
      </c>
      <c r="AF38" s="91">
        <v>0</v>
      </c>
      <c r="AG38" s="91">
        <v>0</v>
      </c>
      <c r="AH38" s="91">
        <v>0</v>
      </c>
      <c r="AI38" s="91">
        <v>0</v>
      </c>
      <c r="AJ38" s="91">
        <v>0</v>
      </c>
      <c r="AK38" s="91">
        <v>0</v>
      </c>
      <c r="AL38" s="91">
        <v>0</v>
      </c>
      <c r="AM38" s="91">
        <v>0</v>
      </c>
      <c r="AN38" s="91">
        <v>0</v>
      </c>
      <c r="AO38" s="91">
        <v>0</v>
      </c>
      <c r="AP38" s="92">
        <v>0</v>
      </c>
      <c r="AQ38" s="91">
        <v>7457.15998029215</v>
      </c>
      <c r="AR38" s="91">
        <v>7325.67298543323</v>
      </c>
      <c r="AS38" s="91">
        <v>6182.08326107381</v>
      </c>
      <c r="AT38" s="91">
        <v>1420.15465546798</v>
      </c>
      <c r="AU38" s="91">
        <v>1706.10342611843</v>
      </c>
      <c r="AV38" s="91">
        <v>0</v>
      </c>
      <c r="AW38" s="91">
        <v>0</v>
      </c>
      <c r="AX38" s="91">
        <v>0</v>
      </c>
      <c r="AY38" s="91">
        <v>0</v>
      </c>
      <c r="AZ38" s="91">
        <v>0</v>
      </c>
      <c r="BA38" s="91">
        <v>200038.913637542</v>
      </c>
      <c r="BB38" s="91">
        <v>0</v>
      </c>
      <c r="BC38" s="92">
        <v>224130.087945928</v>
      </c>
      <c r="BD38" s="91">
        <v>0</v>
      </c>
      <c r="BE38" s="91">
        <v>0</v>
      </c>
      <c r="BF38" s="91">
        <v>0</v>
      </c>
      <c r="BG38" s="91">
        <v>0</v>
      </c>
      <c r="BH38" s="91">
        <v>0</v>
      </c>
      <c r="BI38" s="91">
        <v>0</v>
      </c>
      <c r="BJ38" s="91">
        <v>0</v>
      </c>
      <c r="BK38" s="91">
        <v>0</v>
      </c>
      <c r="BL38" s="91">
        <v>0</v>
      </c>
      <c r="BM38" s="91">
        <v>0</v>
      </c>
      <c r="BN38" s="91">
        <v>90108.339888423</v>
      </c>
      <c r="BO38" s="91">
        <v>180216.679776846</v>
      </c>
      <c r="BP38" s="92">
        <v>270325.019665269</v>
      </c>
      <c r="BQ38" s="91">
        <v>22306.4133087353</v>
      </c>
      <c r="BR38" s="91">
        <v>6530.0813268739</v>
      </c>
      <c r="BS38" s="91">
        <v>7499.43899845126</v>
      </c>
      <c r="BT38" s="91">
        <v>669.317528250099</v>
      </c>
      <c r="BU38" s="91">
        <v>661.209779894398</v>
      </c>
      <c r="BV38" s="91">
        <v>0</v>
      </c>
      <c r="BW38" s="91">
        <v>0</v>
      </c>
      <c r="BX38" s="91">
        <v>0</v>
      </c>
      <c r="BY38" s="91">
        <v>0</v>
      </c>
      <c r="BZ38" s="91">
        <v>0</v>
      </c>
      <c r="CA38" s="91">
        <v>808423.613026436</v>
      </c>
      <c r="CB38" s="91">
        <v>0</v>
      </c>
      <c r="CC38" s="92">
        <v>846090.073968641</v>
      </c>
      <c r="CD38" s="91">
        <v>9898.56667092319</v>
      </c>
      <c r="CE38" s="91">
        <v>7264.08850991134</v>
      </c>
      <c r="CF38" s="91">
        <v>24305.580965615</v>
      </c>
      <c r="CG38" s="91">
        <v>14059.4232751521</v>
      </c>
      <c r="CH38" s="91">
        <v>15887.5242384838</v>
      </c>
      <c r="CI38" s="91">
        <v>0</v>
      </c>
      <c r="CJ38" s="91">
        <v>0</v>
      </c>
      <c r="CK38" s="91">
        <v>0</v>
      </c>
      <c r="CL38" s="91">
        <v>0</v>
      </c>
      <c r="CM38" s="91">
        <v>0</v>
      </c>
      <c r="CN38" s="91">
        <v>51159.775566337</v>
      </c>
      <c r="CO38" s="91">
        <v>65776.8542995761</v>
      </c>
      <c r="CP38" s="92">
        <v>188351.813525999</v>
      </c>
      <c r="CQ38" s="91">
        <v>0</v>
      </c>
      <c r="CR38" s="91">
        <v>450.835490869612</v>
      </c>
      <c r="CS38" s="91">
        <v>0</v>
      </c>
      <c r="CT38" s="91">
        <v>0</v>
      </c>
      <c r="CU38" s="91">
        <v>0</v>
      </c>
      <c r="CV38" s="91">
        <v>0</v>
      </c>
      <c r="CW38" s="91">
        <v>0</v>
      </c>
      <c r="CX38" s="91">
        <v>0</v>
      </c>
      <c r="CY38" s="91">
        <v>0</v>
      </c>
      <c r="CZ38" s="91">
        <v>0</v>
      </c>
      <c r="DA38" s="91">
        <v>171879.76517369</v>
      </c>
      <c r="DB38" s="91">
        <v>171879.76517369</v>
      </c>
      <c r="DC38" s="92">
        <v>344210.36583825</v>
      </c>
      <c r="DD38" s="91">
        <v>9598.22926969398</v>
      </c>
      <c r="DE38" s="91">
        <v>17808.7653962883</v>
      </c>
      <c r="DF38" s="91">
        <v>8535.1047194519</v>
      </c>
      <c r="DG38" s="91">
        <v>143.347767182842</v>
      </c>
      <c r="DH38" s="91">
        <v>7143.15747829808</v>
      </c>
      <c r="DI38" s="91">
        <v>0</v>
      </c>
      <c r="DJ38" s="91">
        <v>0</v>
      </c>
      <c r="DK38" s="91">
        <v>0</v>
      </c>
      <c r="DL38" s="91">
        <v>0</v>
      </c>
      <c r="DM38" s="91">
        <v>0</v>
      </c>
      <c r="DN38" s="91">
        <v>14421.3916021332</v>
      </c>
      <c r="DO38" s="91">
        <v>9614.26106808878</v>
      </c>
      <c r="DP38" s="92">
        <v>67264.2573011371</v>
      </c>
      <c r="DQ38" s="91">
        <v>26071.1745727145</v>
      </c>
      <c r="DR38" s="91">
        <v>52089.7198789562</v>
      </c>
      <c r="DS38" s="91">
        <v>33854.8489003104</v>
      </c>
      <c r="DT38" s="91">
        <v>9503.80976923129</v>
      </c>
      <c r="DU38" s="91">
        <v>4069.48100584863</v>
      </c>
      <c r="DV38" s="91">
        <v>5004.26664179829</v>
      </c>
      <c r="DW38" s="91">
        <v>3065.3094100545</v>
      </c>
      <c r="DX38" s="91">
        <v>1689.52826746607</v>
      </c>
      <c r="DY38" s="91">
        <v>0</v>
      </c>
      <c r="DZ38" s="91">
        <v>0</v>
      </c>
      <c r="EA38" s="91">
        <v>109654.620144734</v>
      </c>
      <c r="EB38" s="91">
        <v>32896.3860434201</v>
      </c>
      <c r="EC38" s="91">
        <v>277899.144634534</v>
      </c>
      <c r="ED38" s="93">
        <v>0</v>
      </c>
      <c r="EE38" s="91">
        <v>0</v>
      </c>
      <c r="EF38" s="91">
        <v>0</v>
      </c>
      <c r="EG38" s="91">
        <v>0</v>
      </c>
      <c r="EH38" s="91">
        <v>0</v>
      </c>
      <c r="EI38" s="91">
        <v>0</v>
      </c>
      <c r="EJ38" s="91">
        <v>0</v>
      </c>
      <c r="EK38" s="91">
        <v>0</v>
      </c>
      <c r="EL38" s="91">
        <v>0</v>
      </c>
      <c r="EM38" s="91">
        <v>0</v>
      </c>
      <c r="EN38" s="91">
        <v>0</v>
      </c>
      <c r="EO38" s="91">
        <v>0</v>
      </c>
      <c r="EP38" s="92">
        <v>0</v>
      </c>
      <c r="EQ38" s="91">
        <v>42476.5392865269</v>
      </c>
      <c r="ER38" s="91">
        <v>0</v>
      </c>
      <c r="ES38" s="91">
        <v>0</v>
      </c>
      <c r="ET38" s="91">
        <v>0</v>
      </c>
      <c r="EU38" s="91">
        <v>0</v>
      </c>
      <c r="EV38" s="91">
        <v>0</v>
      </c>
      <c r="EW38" s="91">
        <v>0</v>
      </c>
      <c r="EX38" s="91">
        <v>0</v>
      </c>
      <c r="EY38" s="91">
        <v>0</v>
      </c>
      <c r="EZ38" s="91">
        <v>0</v>
      </c>
      <c r="FA38" s="91">
        <v>67789.0783074326</v>
      </c>
      <c r="FB38" s="91">
        <v>88125.8017996624</v>
      </c>
      <c r="FC38" s="91">
        <v>198391.419393622</v>
      </c>
      <c r="FD38" s="93">
        <v>0</v>
      </c>
      <c r="FE38" s="91">
        <v>0</v>
      </c>
      <c r="FF38" s="91">
        <v>0</v>
      </c>
      <c r="FG38" s="91">
        <v>0</v>
      </c>
      <c r="FH38" s="91">
        <v>0</v>
      </c>
      <c r="FI38" s="91">
        <v>0</v>
      </c>
      <c r="FJ38" s="91">
        <v>0</v>
      </c>
      <c r="FK38" s="91">
        <v>0</v>
      </c>
      <c r="FL38" s="91">
        <v>0</v>
      </c>
      <c r="FM38" s="91">
        <v>0</v>
      </c>
      <c r="FN38" s="91">
        <v>0</v>
      </c>
      <c r="FO38" s="91">
        <v>0</v>
      </c>
      <c r="FP38" s="92">
        <v>0</v>
      </c>
      <c r="FQ38" s="93">
        <v>242706.44231225</v>
      </c>
      <c r="FR38" s="91">
        <v>59056.6084609078</v>
      </c>
      <c r="FS38" s="91">
        <v>28958.9591554696</v>
      </c>
      <c r="FT38" s="91">
        <v>16691.2455334892</v>
      </c>
      <c r="FU38" s="91">
        <v>12407.2520705984</v>
      </c>
      <c r="FV38" s="91">
        <v>11437.74</v>
      </c>
      <c r="FW38" s="91">
        <v>12708.6</v>
      </c>
      <c r="FX38" s="91">
        <v>12708.6</v>
      </c>
      <c r="FY38" s="91">
        <v>12708.6</v>
      </c>
      <c r="FZ38" s="91">
        <v>6354.3</v>
      </c>
      <c r="GA38" s="91">
        <v>418764.3</v>
      </c>
      <c r="GB38" s="91">
        <v>12708.6</v>
      </c>
      <c r="GC38" s="92">
        <v>847211.247532715</v>
      </c>
    </row>
    <row r="39" s="56" customFormat="1" ht="16.5" spans="1:185">
      <c r="A39" s="94" t="s">
        <v>305</v>
      </c>
      <c r="B39" s="95"/>
      <c r="C39" s="96">
        <v>8851685255.23082</v>
      </c>
      <c r="D39" s="97">
        <f t="shared" si="11"/>
        <v>653770119.82635</v>
      </c>
      <c r="E39" s="97">
        <f t="shared" si="0"/>
        <v>529824191.339228</v>
      </c>
      <c r="F39" s="97">
        <f t="shared" si="1"/>
        <v>468282655.316336</v>
      </c>
      <c r="G39" s="97">
        <f t="shared" si="2"/>
        <v>406885708.066262</v>
      </c>
      <c r="H39" s="97">
        <f t="shared" si="3"/>
        <v>361065603.59866</v>
      </c>
      <c r="I39" s="97">
        <f t="shared" si="4"/>
        <v>360691458.257027</v>
      </c>
      <c r="J39" s="97">
        <f t="shared" si="5"/>
        <v>422048962.873467</v>
      </c>
      <c r="K39" s="97">
        <f t="shared" si="6"/>
        <v>481098552.601102</v>
      </c>
      <c r="L39" s="97">
        <f t="shared" si="7"/>
        <v>470158300.021269</v>
      </c>
      <c r="M39" s="97">
        <f t="shared" si="8"/>
        <v>468638296.348858</v>
      </c>
      <c r="N39" s="97">
        <f t="shared" si="9"/>
        <v>480442467.052191</v>
      </c>
      <c r="O39" s="97">
        <f t="shared" si="10"/>
        <v>463686877.083689</v>
      </c>
      <c r="P39" s="98">
        <f t="shared" ref="P39" si="53">SUM(D39:O39)</f>
        <v>5566593192.38444</v>
      </c>
      <c r="Q39" s="97">
        <f>Q14+Q26+Q29+Q33+Q35+Q38</f>
        <v>79955293.2448997</v>
      </c>
      <c r="R39" s="97">
        <f t="shared" ref="R39:CC39" si="54">R14+R26+R29+R33+R35+R38</f>
        <v>60923596.5328595</v>
      </c>
      <c r="S39" s="97">
        <f t="shared" si="54"/>
        <v>57095300.6631978</v>
      </c>
      <c r="T39" s="97">
        <f t="shared" si="54"/>
        <v>46574394.2656974</v>
      </c>
      <c r="U39" s="97">
        <f t="shared" si="54"/>
        <v>42370892.8053648</v>
      </c>
      <c r="V39" s="97">
        <f t="shared" si="54"/>
        <v>48569586.3972335</v>
      </c>
      <c r="W39" s="97">
        <f t="shared" ref="W39:X39" si="55">W14+W26+W29+W33+W35+W38</f>
        <v>54164595.0262515</v>
      </c>
      <c r="X39" s="97">
        <f t="shared" si="55"/>
        <v>65370176.7691077</v>
      </c>
      <c r="Y39" s="97">
        <f t="shared" si="54"/>
        <v>63840497.2816868</v>
      </c>
      <c r="Z39" s="97">
        <f t="shared" ref="Z39:AA39" si="56">Z14+Z26+Z29+Z33+Z35+Z38</f>
        <v>63098046.2408647</v>
      </c>
      <c r="AA39" s="97">
        <f t="shared" si="56"/>
        <v>63158093.3147627</v>
      </c>
      <c r="AB39" s="97">
        <f t="shared" si="54"/>
        <v>59688167.1855234</v>
      </c>
      <c r="AC39" s="98">
        <f t="shared" si="54"/>
        <v>704808639.727449</v>
      </c>
      <c r="AD39" s="97">
        <f t="shared" si="54"/>
        <v>39379620.7889332</v>
      </c>
      <c r="AE39" s="97">
        <f t="shared" si="54"/>
        <v>35648457.630716</v>
      </c>
      <c r="AF39" s="97">
        <f t="shared" si="54"/>
        <v>35224123.7624737</v>
      </c>
      <c r="AG39" s="97">
        <f t="shared" si="54"/>
        <v>31789089.8844085</v>
      </c>
      <c r="AH39" s="97">
        <f t="shared" si="54"/>
        <v>31666760.5647294</v>
      </c>
      <c r="AI39" s="97">
        <f t="shared" si="54"/>
        <v>33595485.8910211</v>
      </c>
      <c r="AJ39" s="97">
        <f t="shared" ref="AJ39:AK39" si="57">AJ14+AJ26+AJ29+AJ33+AJ35+AJ38</f>
        <v>37410054.4330551</v>
      </c>
      <c r="AK39" s="97">
        <f t="shared" si="57"/>
        <v>47477494.5522183</v>
      </c>
      <c r="AL39" s="97">
        <f t="shared" si="54"/>
        <v>48118895.4117027</v>
      </c>
      <c r="AM39" s="97">
        <f t="shared" ref="AM39:AN39" si="58">AM14+AM26+AM29+AM33+AM35+AM38</f>
        <v>44433959.0328235</v>
      </c>
      <c r="AN39" s="97">
        <f t="shared" si="58"/>
        <v>43199838.8213876</v>
      </c>
      <c r="AO39" s="97">
        <f t="shared" si="54"/>
        <v>42041300.7941566</v>
      </c>
      <c r="AP39" s="98">
        <f t="shared" si="54"/>
        <v>469985081.567626</v>
      </c>
      <c r="AQ39" s="97">
        <f t="shared" si="54"/>
        <v>39935148.9284327</v>
      </c>
      <c r="AR39" s="97">
        <f t="shared" si="54"/>
        <v>31907336.1697675</v>
      </c>
      <c r="AS39" s="97">
        <f t="shared" si="54"/>
        <v>33864878.0366819</v>
      </c>
      <c r="AT39" s="97">
        <f t="shared" si="54"/>
        <v>27620568.4157715</v>
      </c>
      <c r="AU39" s="97">
        <f t="shared" si="54"/>
        <v>25656357.8121672</v>
      </c>
      <c r="AV39" s="97">
        <f t="shared" si="54"/>
        <v>27937759.9684119</v>
      </c>
      <c r="AW39" s="97">
        <f t="shared" ref="AW39:AX39" si="59">AW14+AW26+AW29+AW33+AW35+AW38</f>
        <v>33894999.9005039</v>
      </c>
      <c r="AX39" s="97">
        <f t="shared" si="59"/>
        <v>38471115.6541738</v>
      </c>
      <c r="AY39" s="97">
        <f t="shared" si="54"/>
        <v>38659977.7631594</v>
      </c>
      <c r="AZ39" s="97">
        <f t="shared" ref="AZ39:BA39" si="60">AZ14+AZ26+AZ29+AZ33+AZ35+AZ38</f>
        <v>36121810.7651782</v>
      </c>
      <c r="BA39" s="97">
        <f t="shared" si="60"/>
        <v>37557095.9802803</v>
      </c>
      <c r="BB39" s="97">
        <f t="shared" si="54"/>
        <v>40039535.7809309</v>
      </c>
      <c r="BC39" s="98">
        <f t="shared" si="54"/>
        <v>411666585.175459</v>
      </c>
      <c r="BD39" s="97">
        <f t="shared" si="54"/>
        <v>46911128.9300087</v>
      </c>
      <c r="BE39" s="97">
        <f t="shared" si="54"/>
        <v>43349302.4272304</v>
      </c>
      <c r="BF39" s="97">
        <f t="shared" si="54"/>
        <v>29468992.9106844</v>
      </c>
      <c r="BG39" s="97">
        <f t="shared" si="54"/>
        <v>25912213.3197967</v>
      </c>
      <c r="BH39" s="97">
        <f t="shared" si="54"/>
        <v>24352543.0870487</v>
      </c>
      <c r="BI39" s="97">
        <f t="shared" si="54"/>
        <v>26558792.7296746</v>
      </c>
      <c r="BJ39" s="97">
        <f t="shared" ref="BJ39:BK39" si="61">BJ14+BJ26+BJ29+BJ33+BJ35+BJ38</f>
        <v>32250832.1430367</v>
      </c>
      <c r="BK39" s="97">
        <f t="shared" si="61"/>
        <v>36299950.9717839</v>
      </c>
      <c r="BL39" s="97">
        <f t="shared" si="54"/>
        <v>35694805.7914955</v>
      </c>
      <c r="BM39" s="97">
        <f t="shared" ref="BM39:BN39" si="62">BM14+BM26+BM29+BM33+BM35+BM38</f>
        <v>34676630.5366921</v>
      </c>
      <c r="BN39" s="97">
        <f t="shared" si="62"/>
        <v>36326103.0160087</v>
      </c>
      <c r="BO39" s="97">
        <f t="shared" si="54"/>
        <v>35024975.9720236</v>
      </c>
      <c r="BP39" s="98">
        <f t="shared" si="54"/>
        <v>406826271.835484</v>
      </c>
      <c r="BQ39" s="97">
        <f t="shared" si="54"/>
        <v>136460878.67108</v>
      </c>
      <c r="BR39" s="97">
        <f t="shared" si="54"/>
        <v>115116029.2126</v>
      </c>
      <c r="BS39" s="97">
        <f t="shared" si="54"/>
        <v>92182991.8236453</v>
      </c>
      <c r="BT39" s="97">
        <f t="shared" si="54"/>
        <v>76055491.5149424</v>
      </c>
      <c r="BU39" s="97">
        <f t="shared" si="54"/>
        <v>70225707.5858797</v>
      </c>
      <c r="BV39" s="97">
        <f t="shared" si="54"/>
        <v>64076273.7520903</v>
      </c>
      <c r="BW39" s="97">
        <f t="shared" ref="BW39:BX39" si="63">BW14+BW26+BW29+BW33+BW35+BW38</f>
        <v>71592770.8213683</v>
      </c>
      <c r="BX39" s="97">
        <f t="shared" si="63"/>
        <v>77887278.0785465</v>
      </c>
      <c r="BY39" s="97">
        <f t="shared" si="54"/>
        <v>83657451.7900828</v>
      </c>
      <c r="BZ39" s="97">
        <f t="shared" ref="BZ39:CA39" si="64">BZ14+BZ26+BZ29+BZ33+BZ35+BZ38</f>
        <v>82842467.6297409</v>
      </c>
      <c r="CA39" s="97">
        <f t="shared" si="64"/>
        <v>83350673.0687436</v>
      </c>
      <c r="CB39" s="97">
        <f t="shared" si="54"/>
        <v>71858064.7959687</v>
      </c>
      <c r="CC39" s="98">
        <f t="shared" si="54"/>
        <v>1025306078.74469</v>
      </c>
      <c r="CD39" s="97">
        <f t="shared" ref="CD39:EO39" si="65">CD14+CD26+CD29+CD33+CD35+CD38</f>
        <v>14456559.3026676</v>
      </c>
      <c r="CE39" s="97">
        <f t="shared" si="65"/>
        <v>5557545.59560494</v>
      </c>
      <c r="CF39" s="97">
        <f t="shared" si="65"/>
        <v>6664920.23426246</v>
      </c>
      <c r="CG39" s="97">
        <f t="shared" si="65"/>
        <v>10738510.6674144</v>
      </c>
      <c r="CH39" s="97">
        <f t="shared" si="65"/>
        <v>9992422.14078281</v>
      </c>
      <c r="CI39" s="97">
        <f t="shared" si="65"/>
        <v>10677611.6866184</v>
      </c>
      <c r="CJ39" s="97">
        <f t="shared" ref="CJ39:CK39" si="66">CJ14+CJ26+CJ29+CJ33+CJ35+CJ38</f>
        <v>10319914.2130613</v>
      </c>
      <c r="CK39" s="97">
        <f t="shared" si="66"/>
        <v>10906599.8874626</v>
      </c>
      <c r="CL39" s="97">
        <f t="shared" si="65"/>
        <v>10133989.5820057</v>
      </c>
      <c r="CM39" s="97">
        <f t="shared" ref="CM39:CN39" si="67">CM14+CM26+CM29+CM33+CM35+CM38</f>
        <v>10633349.9148256</v>
      </c>
      <c r="CN39" s="97">
        <f t="shared" si="67"/>
        <v>9793662.22486586</v>
      </c>
      <c r="CO39" s="97">
        <f t="shared" si="65"/>
        <v>8417749.64318563</v>
      </c>
      <c r="CP39" s="98">
        <f t="shared" si="65"/>
        <v>118292835.092757</v>
      </c>
      <c r="CQ39" s="97">
        <f t="shared" si="65"/>
        <v>47609717.1153917</v>
      </c>
      <c r="CR39" s="97">
        <f t="shared" si="65"/>
        <v>48241280.7041352</v>
      </c>
      <c r="CS39" s="97">
        <f t="shared" si="65"/>
        <v>35528572.9410901</v>
      </c>
      <c r="CT39" s="97">
        <f t="shared" si="65"/>
        <v>32677879.4407218</v>
      </c>
      <c r="CU39" s="97">
        <f t="shared" si="65"/>
        <v>33821445.0895619</v>
      </c>
      <c r="CV39" s="97">
        <f t="shared" si="65"/>
        <v>32627828.4029511</v>
      </c>
      <c r="CW39" s="97">
        <f t="shared" ref="CW39:CX39" si="68">CW14+CW26+CW29+CW33+CW35+CW38</f>
        <v>35210252.13242</v>
      </c>
      <c r="CX39" s="97">
        <f t="shared" si="68"/>
        <v>37582228.018781</v>
      </c>
      <c r="CY39" s="97">
        <f t="shared" si="65"/>
        <v>34408398.2103347</v>
      </c>
      <c r="CZ39" s="97">
        <f t="shared" ref="CZ39:DA39" si="69">CZ14+CZ26+CZ29+CZ33+CZ35+CZ38</f>
        <v>32821259.253253</v>
      </c>
      <c r="DA39" s="97">
        <f t="shared" si="69"/>
        <v>36384752.9145873</v>
      </c>
      <c r="DB39" s="97">
        <f t="shared" si="65"/>
        <v>33833717.8659678</v>
      </c>
      <c r="DC39" s="98">
        <f t="shared" si="65"/>
        <v>440747332.089195</v>
      </c>
      <c r="DD39" s="97">
        <f t="shared" si="65"/>
        <v>6288939.05583066</v>
      </c>
      <c r="DE39" s="97">
        <f t="shared" si="65"/>
        <v>6058570.11944554</v>
      </c>
      <c r="DF39" s="97">
        <f t="shared" si="65"/>
        <v>4181283.44283035</v>
      </c>
      <c r="DG39" s="97">
        <f t="shared" si="65"/>
        <v>3706142.01733727</v>
      </c>
      <c r="DH39" s="97">
        <f t="shared" si="65"/>
        <v>4018030.88307781</v>
      </c>
      <c r="DI39" s="97">
        <f t="shared" si="65"/>
        <v>3747586.69797183</v>
      </c>
      <c r="DJ39" s="97">
        <f t="shared" ref="DJ39:DK39" si="70">DJ14+DJ26+DJ29+DJ33+DJ35+DJ38</f>
        <v>3886058.1905369</v>
      </c>
      <c r="DK39" s="97">
        <f t="shared" si="70"/>
        <v>3978621.93035953</v>
      </c>
      <c r="DL39" s="97">
        <f t="shared" si="65"/>
        <v>3974700.57724006</v>
      </c>
      <c r="DM39" s="97">
        <f t="shared" ref="DM39:DN39" si="71">DM14+DM26+DM29+DM33+DM35+DM38</f>
        <v>4022861.28558042</v>
      </c>
      <c r="DN39" s="97">
        <f t="shared" si="71"/>
        <v>3617645.62702969</v>
      </c>
      <c r="DO39" s="97">
        <f t="shared" si="65"/>
        <v>3991733.91187056</v>
      </c>
      <c r="DP39" s="98">
        <f t="shared" si="65"/>
        <v>51472173.7391106</v>
      </c>
      <c r="DQ39" s="97">
        <f t="shared" si="65"/>
        <v>55452634.6674159</v>
      </c>
      <c r="DR39" s="97">
        <f t="shared" si="65"/>
        <v>39637998.5851425</v>
      </c>
      <c r="DS39" s="97">
        <f t="shared" si="65"/>
        <v>36306567.7879843</v>
      </c>
      <c r="DT39" s="97">
        <f t="shared" si="65"/>
        <v>39022923.9535974</v>
      </c>
      <c r="DU39" s="97">
        <f t="shared" si="65"/>
        <v>31630190.4916763</v>
      </c>
      <c r="DV39" s="97">
        <f t="shared" si="65"/>
        <v>32241578.3808351</v>
      </c>
      <c r="DW39" s="97">
        <f t="shared" ref="DW39:DX39" si="72">DW14+DW26+DW29+DW33+DW35+DW38</f>
        <v>33441421.1169415</v>
      </c>
      <c r="DX39" s="97">
        <f t="shared" si="72"/>
        <v>34276953.3983986</v>
      </c>
      <c r="DY39" s="97">
        <f t="shared" si="65"/>
        <v>34209979.3683866</v>
      </c>
      <c r="DZ39" s="97">
        <f t="shared" ref="DZ39:EA39" si="73">DZ14+DZ26+DZ29+DZ33+DZ35+DZ38</f>
        <v>34084056.9598169</v>
      </c>
      <c r="EA39" s="97">
        <f t="shared" si="73"/>
        <v>34119853.9380298</v>
      </c>
      <c r="EB39" s="97">
        <f t="shared" si="65"/>
        <v>28990450.8242097</v>
      </c>
      <c r="EC39" s="97">
        <f t="shared" si="65"/>
        <v>433414609.472435</v>
      </c>
      <c r="ED39" s="99">
        <f t="shared" si="65"/>
        <v>4311390.30535561</v>
      </c>
      <c r="EE39" s="97">
        <f t="shared" si="65"/>
        <v>799825.716330824</v>
      </c>
      <c r="EF39" s="97">
        <f t="shared" si="65"/>
        <v>-5635.05958944592</v>
      </c>
      <c r="EG39" s="97">
        <f t="shared" si="65"/>
        <v>167609.523911164</v>
      </c>
      <c r="EH39" s="97">
        <f t="shared" si="65"/>
        <v>0</v>
      </c>
      <c r="EI39" s="97">
        <f t="shared" si="65"/>
        <v>0</v>
      </c>
      <c r="EJ39" s="97">
        <f t="shared" ref="EJ39:EK39" si="74">EJ14+EJ26+EJ29+EJ33+EJ35+EJ38</f>
        <v>0</v>
      </c>
      <c r="EK39" s="97">
        <f t="shared" si="74"/>
        <v>0</v>
      </c>
      <c r="EL39" s="97">
        <f t="shared" si="65"/>
        <v>0</v>
      </c>
      <c r="EM39" s="97">
        <f t="shared" ref="EM39:EN39" si="75">EM14+EM26+EM29+EM33+EM35+EM38</f>
        <v>0</v>
      </c>
      <c r="EN39" s="97">
        <f t="shared" si="75"/>
        <v>0</v>
      </c>
      <c r="EO39" s="97">
        <f t="shared" si="65"/>
        <v>0</v>
      </c>
      <c r="EP39" s="98">
        <f t="shared" ref="EP39:GC39" si="76">EP14+EP26+EP29+EP33+EP35+EP38</f>
        <v>5273190.48600815</v>
      </c>
      <c r="EQ39" s="97">
        <f t="shared" si="76"/>
        <v>8856057.51430491</v>
      </c>
      <c r="ER39" s="97">
        <f t="shared" si="76"/>
        <v>12735807.340686</v>
      </c>
      <c r="ES39" s="97">
        <f t="shared" si="76"/>
        <v>12627120.8142861</v>
      </c>
      <c r="ET39" s="97">
        <f t="shared" si="76"/>
        <v>13621096.5846017</v>
      </c>
      <c r="EU39" s="97">
        <f t="shared" si="76"/>
        <v>11598824.328209</v>
      </c>
      <c r="EV39" s="97">
        <f t="shared" si="76"/>
        <v>10278124.5702197</v>
      </c>
      <c r="EW39" s="97">
        <f t="shared" ref="EW39:EX39" si="77">EW14+EW26+EW29+EW33+EW35+EW38</f>
        <v>12236469.1962919</v>
      </c>
      <c r="EX39" s="97">
        <f t="shared" si="77"/>
        <v>12848397.3602699</v>
      </c>
      <c r="EY39" s="97">
        <f t="shared" si="76"/>
        <v>14702926.8451747</v>
      </c>
      <c r="EZ39" s="97">
        <f t="shared" ref="EZ39:FA39" si="78">EZ14+EZ26+EZ29+EZ33+EZ35+EZ38</f>
        <v>15629966.090083</v>
      </c>
      <c r="FA39" s="97">
        <f t="shared" si="78"/>
        <v>12692598.5814952</v>
      </c>
      <c r="FB39" s="97">
        <f t="shared" si="76"/>
        <v>13236360.6448523</v>
      </c>
      <c r="FC39" s="97">
        <f t="shared" si="76"/>
        <v>151063749.870474</v>
      </c>
      <c r="FD39" s="99">
        <f t="shared" ref="FD39:FN39" si="79">FD14+FD26+FD29+FD33+FD35+FD38</f>
        <v>999950.974765941</v>
      </c>
      <c r="FE39" s="97">
        <f t="shared" si="79"/>
        <v>1027432.16276598</v>
      </c>
      <c r="FF39" s="97">
        <f t="shared" si="79"/>
        <v>0</v>
      </c>
      <c r="FG39" s="97">
        <f t="shared" si="79"/>
        <v>0</v>
      </c>
      <c r="FH39" s="97">
        <f t="shared" si="79"/>
        <v>0</v>
      </c>
      <c r="FI39" s="97">
        <f t="shared" si="79"/>
        <v>0</v>
      </c>
      <c r="FJ39" s="97">
        <f t="shared" si="79"/>
        <v>0</v>
      </c>
      <c r="FK39" s="97">
        <f t="shared" si="79"/>
        <v>0</v>
      </c>
      <c r="FL39" s="97">
        <f t="shared" si="79"/>
        <v>0</v>
      </c>
      <c r="FM39" s="97">
        <f t="shared" si="79"/>
        <v>0</v>
      </c>
      <c r="FN39" s="97">
        <f t="shared" si="79"/>
        <v>0</v>
      </c>
      <c r="FO39" s="97">
        <f t="shared" si="76"/>
        <v>0</v>
      </c>
      <c r="FP39" s="98">
        <f t="shared" si="76"/>
        <v>0</v>
      </c>
      <c r="FQ39" s="99">
        <f t="shared" ref="FQ39:GA39" si="80">FQ14+FQ26+FQ29+FQ33+FQ35+FQ38</f>
        <v>173152800.327263</v>
      </c>
      <c r="FR39" s="97">
        <f t="shared" si="80"/>
        <v>128821009.141943</v>
      </c>
      <c r="FS39" s="97">
        <f t="shared" si="80"/>
        <v>125143537.958789</v>
      </c>
      <c r="FT39" s="97">
        <f t="shared" si="80"/>
        <v>98999788.4780616</v>
      </c>
      <c r="FU39" s="97">
        <f t="shared" si="80"/>
        <v>75732428.8101622</v>
      </c>
      <c r="FV39" s="97">
        <f t="shared" si="80"/>
        <v>70380829.78</v>
      </c>
      <c r="FW39" s="97">
        <f t="shared" si="80"/>
        <v>97641595.7</v>
      </c>
      <c r="FX39" s="97">
        <f t="shared" si="80"/>
        <v>115999735.98</v>
      </c>
      <c r="FY39" s="97">
        <f t="shared" si="80"/>
        <v>102756677.4</v>
      </c>
      <c r="FZ39" s="97">
        <f t="shared" si="80"/>
        <v>110273888.64</v>
      </c>
      <c r="GA39" s="97">
        <f t="shared" si="80"/>
        <v>120242149.565</v>
      </c>
      <c r="GB39" s="97">
        <f t="shared" si="76"/>
        <v>126564819.665</v>
      </c>
      <c r="GC39" s="98">
        <f t="shared" si="76"/>
        <v>1345709261.44622</v>
      </c>
    </row>
    <row r="40" spans="1:185"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EQ40" s="101"/>
      <c r="ER40" s="101"/>
      <c r="ES40" s="101"/>
      <c r="ET40" s="101"/>
      <c r="EU40" s="101"/>
      <c r="EV40" s="101"/>
      <c r="EW40" s="101"/>
      <c r="EX40" s="101"/>
      <c r="EY40" s="101"/>
      <c r="EZ40" s="101"/>
      <c r="FA40" s="101"/>
      <c r="FB40" s="101"/>
      <c r="FQ40" s="102"/>
      <c r="FR40" s="101"/>
      <c r="FS40" s="101"/>
      <c r="FT40" s="101"/>
      <c r="FU40" s="101"/>
      <c r="FV40" s="101"/>
      <c r="FW40" s="101"/>
      <c r="FX40" s="101"/>
      <c r="FY40" s="101"/>
      <c r="FZ40" s="101"/>
      <c r="GA40" s="101"/>
      <c r="GB40" s="101"/>
    </row>
    <row r="41" ht="16.5" spans="1:185">
      <c r="A41" s="103" t="s">
        <v>394</v>
      </c>
      <c r="B41" s="103"/>
      <c r="C41" s="104"/>
      <c r="D41" s="61" t="s">
        <v>2</v>
      </c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2" t="s">
        <v>2</v>
      </c>
      <c r="Q41" s="63" t="s">
        <v>3</v>
      </c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4" t="s">
        <v>3</v>
      </c>
      <c r="AD41" s="63" t="s">
        <v>4</v>
      </c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4" t="s">
        <v>4</v>
      </c>
      <c r="AQ41" s="63" t="s">
        <v>5</v>
      </c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4" t="s">
        <v>5</v>
      </c>
      <c r="BD41" s="63" t="s">
        <v>6</v>
      </c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4" t="s">
        <v>6</v>
      </c>
      <c r="BQ41" s="63" t="s">
        <v>7</v>
      </c>
      <c r="BR41" s="63"/>
      <c r="BS41" s="63"/>
      <c r="BT41" s="63"/>
      <c r="BU41" s="63"/>
      <c r="BV41" s="63"/>
      <c r="BW41" s="63"/>
      <c r="BX41" s="63"/>
      <c r="BY41" s="63"/>
      <c r="BZ41" s="63"/>
      <c r="CA41" s="63"/>
      <c r="CB41" s="63"/>
      <c r="CC41" s="64" t="s">
        <v>7</v>
      </c>
      <c r="CD41" s="63" t="s">
        <v>8</v>
      </c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4" t="s">
        <v>8</v>
      </c>
      <c r="CQ41" s="63" t="s">
        <v>9</v>
      </c>
      <c r="CR41" s="63"/>
      <c r="CS41" s="63"/>
      <c r="CT41" s="63"/>
      <c r="CU41" s="63"/>
      <c r="CV41" s="63"/>
      <c r="CW41" s="63"/>
      <c r="CX41" s="63"/>
      <c r="CY41" s="63"/>
      <c r="CZ41" s="63"/>
      <c r="DA41" s="63"/>
      <c r="DB41" s="63"/>
      <c r="DC41" s="64" t="s">
        <v>9</v>
      </c>
      <c r="DD41" s="63" t="s">
        <v>10</v>
      </c>
      <c r="DE41" s="63"/>
      <c r="DF41" s="63"/>
      <c r="DG41" s="63"/>
      <c r="DH41" s="63"/>
      <c r="DI41" s="63"/>
      <c r="DJ41" s="63"/>
      <c r="DK41" s="63"/>
      <c r="DL41" s="63"/>
      <c r="DM41" s="63"/>
      <c r="DN41" s="63"/>
      <c r="DO41" s="63"/>
      <c r="DP41" s="64" t="s">
        <v>10</v>
      </c>
      <c r="DQ41" s="63" t="s">
        <v>11</v>
      </c>
      <c r="DR41" s="63"/>
      <c r="DS41" s="63"/>
      <c r="DT41" s="63"/>
      <c r="DU41" s="63"/>
      <c r="DV41" s="63"/>
      <c r="DW41" s="63"/>
      <c r="DX41" s="63"/>
      <c r="DY41" s="63"/>
      <c r="DZ41" s="63"/>
      <c r="EA41" s="63"/>
      <c r="EB41" s="63"/>
      <c r="EC41" s="63" t="s">
        <v>11</v>
      </c>
      <c r="ED41" s="65" t="s">
        <v>299</v>
      </c>
      <c r="EE41" s="63"/>
      <c r="EF41" s="63"/>
      <c r="EG41" s="63"/>
      <c r="EH41" s="63"/>
      <c r="EI41" s="63"/>
      <c r="EJ41" s="63"/>
      <c r="EK41" s="63"/>
      <c r="EL41" s="63"/>
      <c r="EM41" s="63"/>
      <c r="EN41" s="63"/>
      <c r="EO41" s="63"/>
      <c r="EP41" s="64" t="s">
        <v>299</v>
      </c>
      <c r="EQ41" s="63" t="s">
        <v>301</v>
      </c>
      <c r="ER41" s="63"/>
      <c r="ES41" s="63"/>
      <c r="ET41" s="63"/>
      <c r="EU41" s="63"/>
      <c r="EV41" s="63"/>
      <c r="EW41" s="63"/>
      <c r="EX41" s="63"/>
      <c r="EY41" s="63"/>
      <c r="EZ41" s="63"/>
      <c r="FA41" s="63"/>
      <c r="FB41" s="63"/>
      <c r="FC41" s="63" t="s">
        <v>301</v>
      </c>
      <c r="FD41" s="65" t="s">
        <v>302</v>
      </c>
      <c r="FE41" s="63"/>
      <c r="FF41" s="63"/>
      <c r="FG41" s="63"/>
      <c r="FH41" s="63"/>
      <c r="FI41" s="63"/>
      <c r="FJ41" s="63"/>
      <c r="FK41" s="63"/>
      <c r="FL41" s="63"/>
      <c r="FM41" s="63"/>
      <c r="FN41" s="63"/>
      <c r="FO41" s="63"/>
      <c r="FP41" s="64" t="s">
        <v>302</v>
      </c>
      <c r="FQ41" s="65" t="s">
        <v>303</v>
      </c>
      <c r="FR41" s="63"/>
      <c r="FS41" s="63"/>
      <c r="FT41" s="63"/>
      <c r="FU41" s="63"/>
      <c r="FV41" s="63"/>
      <c r="FW41" s="63"/>
      <c r="FX41" s="63"/>
      <c r="FY41" s="63"/>
      <c r="FZ41" s="63"/>
      <c r="GA41" s="63"/>
      <c r="GB41" s="63"/>
      <c r="GC41" s="64" t="s">
        <v>303</v>
      </c>
    </row>
    <row r="42" s="55" customFormat="1" ht="16.5" spans="1:185">
      <c r="A42" s="105" t="s">
        <v>19</v>
      </c>
      <c r="B42" s="106" t="s">
        <v>395</v>
      </c>
      <c r="C42" s="107" t="s">
        <v>382</v>
      </c>
      <c r="D42" s="69">
        <v>46023</v>
      </c>
      <c r="E42" s="69">
        <v>46054</v>
      </c>
      <c r="F42" s="69">
        <v>46082</v>
      </c>
      <c r="G42" s="69">
        <v>46113</v>
      </c>
      <c r="H42" s="69">
        <v>46143</v>
      </c>
      <c r="I42" s="69">
        <v>46174</v>
      </c>
      <c r="J42" s="69">
        <v>46204</v>
      </c>
      <c r="K42" s="69">
        <v>46235</v>
      </c>
      <c r="L42" s="69">
        <v>46266</v>
      </c>
      <c r="M42" s="69">
        <v>46296</v>
      </c>
      <c r="N42" s="69">
        <v>46327</v>
      </c>
      <c r="O42" s="69">
        <v>46357</v>
      </c>
      <c r="P42" s="70" t="s">
        <v>305</v>
      </c>
      <c r="Q42" s="71">
        <v>46023</v>
      </c>
      <c r="R42" s="71">
        <v>46054</v>
      </c>
      <c r="S42" s="71">
        <v>46082</v>
      </c>
      <c r="T42" s="71">
        <v>46113</v>
      </c>
      <c r="U42" s="71">
        <v>46143</v>
      </c>
      <c r="V42" s="71">
        <v>46174</v>
      </c>
      <c r="W42" s="71">
        <v>46204</v>
      </c>
      <c r="X42" s="71">
        <v>46235</v>
      </c>
      <c r="Y42" s="71">
        <v>46266</v>
      </c>
      <c r="Z42" s="71">
        <v>46296</v>
      </c>
      <c r="AA42" s="71">
        <v>46327</v>
      </c>
      <c r="AB42" s="71">
        <v>46357</v>
      </c>
      <c r="AC42" s="72" t="s">
        <v>305</v>
      </c>
      <c r="AD42" s="71">
        <v>46023</v>
      </c>
      <c r="AE42" s="71">
        <v>46054</v>
      </c>
      <c r="AF42" s="71">
        <v>46082</v>
      </c>
      <c r="AG42" s="71">
        <v>46113</v>
      </c>
      <c r="AH42" s="71">
        <v>46143</v>
      </c>
      <c r="AI42" s="71">
        <v>46174</v>
      </c>
      <c r="AJ42" s="71">
        <v>46204</v>
      </c>
      <c r="AK42" s="71">
        <v>46235</v>
      </c>
      <c r="AL42" s="71">
        <v>46266</v>
      </c>
      <c r="AM42" s="71">
        <v>46296</v>
      </c>
      <c r="AN42" s="71">
        <v>46327</v>
      </c>
      <c r="AO42" s="71">
        <v>46357</v>
      </c>
      <c r="AP42" s="72" t="s">
        <v>305</v>
      </c>
      <c r="AQ42" s="71">
        <v>46023</v>
      </c>
      <c r="AR42" s="71">
        <v>46054</v>
      </c>
      <c r="AS42" s="71">
        <v>46082</v>
      </c>
      <c r="AT42" s="71">
        <v>46113</v>
      </c>
      <c r="AU42" s="71">
        <v>46143</v>
      </c>
      <c r="AV42" s="71">
        <v>46174</v>
      </c>
      <c r="AW42" s="71">
        <v>46204</v>
      </c>
      <c r="AX42" s="71">
        <v>46235</v>
      </c>
      <c r="AY42" s="71">
        <v>46266</v>
      </c>
      <c r="AZ42" s="71">
        <v>46296</v>
      </c>
      <c r="BA42" s="71">
        <v>46327</v>
      </c>
      <c r="BB42" s="71">
        <v>46357</v>
      </c>
      <c r="BC42" s="72" t="s">
        <v>305</v>
      </c>
      <c r="BD42" s="71">
        <v>46023</v>
      </c>
      <c r="BE42" s="71">
        <v>46054</v>
      </c>
      <c r="BF42" s="71">
        <v>46082</v>
      </c>
      <c r="BG42" s="71">
        <v>46113</v>
      </c>
      <c r="BH42" s="71">
        <v>46143</v>
      </c>
      <c r="BI42" s="71">
        <v>46174</v>
      </c>
      <c r="BJ42" s="71">
        <v>46204</v>
      </c>
      <c r="BK42" s="71">
        <v>46235</v>
      </c>
      <c r="BL42" s="71">
        <v>46266</v>
      </c>
      <c r="BM42" s="71">
        <v>46296</v>
      </c>
      <c r="BN42" s="71">
        <v>46327</v>
      </c>
      <c r="BO42" s="71">
        <v>46357</v>
      </c>
      <c r="BP42" s="72" t="s">
        <v>305</v>
      </c>
      <c r="BQ42" s="71">
        <v>46023</v>
      </c>
      <c r="BR42" s="71">
        <v>46054</v>
      </c>
      <c r="BS42" s="71">
        <v>46082</v>
      </c>
      <c r="BT42" s="71">
        <v>46113</v>
      </c>
      <c r="BU42" s="71">
        <v>46143</v>
      </c>
      <c r="BV42" s="71">
        <v>46174</v>
      </c>
      <c r="BW42" s="71">
        <v>46204</v>
      </c>
      <c r="BX42" s="71">
        <v>46235</v>
      </c>
      <c r="BY42" s="71">
        <v>46266</v>
      </c>
      <c r="BZ42" s="71">
        <v>46296</v>
      </c>
      <c r="CA42" s="71">
        <v>46327</v>
      </c>
      <c r="CB42" s="71">
        <v>46357</v>
      </c>
      <c r="CC42" s="72" t="s">
        <v>305</v>
      </c>
      <c r="CD42" s="71">
        <v>46023</v>
      </c>
      <c r="CE42" s="71">
        <v>46054</v>
      </c>
      <c r="CF42" s="71">
        <v>46082</v>
      </c>
      <c r="CG42" s="71">
        <v>46113</v>
      </c>
      <c r="CH42" s="71">
        <v>46143</v>
      </c>
      <c r="CI42" s="71">
        <v>46174</v>
      </c>
      <c r="CJ42" s="71">
        <v>46204</v>
      </c>
      <c r="CK42" s="71">
        <v>46235</v>
      </c>
      <c r="CL42" s="71">
        <v>46266</v>
      </c>
      <c r="CM42" s="71">
        <v>46296</v>
      </c>
      <c r="CN42" s="71">
        <v>46327</v>
      </c>
      <c r="CO42" s="71">
        <v>46357</v>
      </c>
      <c r="CP42" s="72" t="s">
        <v>305</v>
      </c>
      <c r="CQ42" s="71">
        <v>46023</v>
      </c>
      <c r="CR42" s="71">
        <v>46054</v>
      </c>
      <c r="CS42" s="71">
        <v>46082</v>
      </c>
      <c r="CT42" s="71">
        <v>46113</v>
      </c>
      <c r="CU42" s="71">
        <v>46143</v>
      </c>
      <c r="CV42" s="71">
        <v>46174</v>
      </c>
      <c r="CW42" s="71">
        <v>46204</v>
      </c>
      <c r="CX42" s="71">
        <v>46235</v>
      </c>
      <c r="CY42" s="71">
        <v>46266</v>
      </c>
      <c r="CZ42" s="71">
        <v>46296</v>
      </c>
      <c r="DA42" s="71">
        <v>46327</v>
      </c>
      <c r="DB42" s="71">
        <v>46357</v>
      </c>
      <c r="DC42" s="72" t="s">
        <v>305</v>
      </c>
      <c r="DD42" s="71">
        <v>46023</v>
      </c>
      <c r="DE42" s="71">
        <v>46054</v>
      </c>
      <c r="DF42" s="71">
        <v>46082</v>
      </c>
      <c r="DG42" s="71">
        <v>46113</v>
      </c>
      <c r="DH42" s="71">
        <v>46143</v>
      </c>
      <c r="DI42" s="71">
        <v>46174</v>
      </c>
      <c r="DJ42" s="71">
        <v>46204</v>
      </c>
      <c r="DK42" s="71">
        <v>46235</v>
      </c>
      <c r="DL42" s="71">
        <v>46266</v>
      </c>
      <c r="DM42" s="71">
        <v>46296</v>
      </c>
      <c r="DN42" s="71">
        <v>46327</v>
      </c>
      <c r="DO42" s="71">
        <v>46357</v>
      </c>
      <c r="DP42" s="72" t="s">
        <v>305</v>
      </c>
      <c r="DQ42" s="71">
        <v>46023</v>
      </c>
      <c r="DR42" s="71">
        <v>46054</v>
      </c>
      <c r="DS42" s="71">
        <v>46082</v>
      </c>
      <c r="DT42" s="71">
        <v>46113</v>
      </c>
      <c r="DU42" s="71">
        <v>46143</v>
      </c>
      <c r="DV42" s="71">
        <v>46174</v>
      </c>
      <c r="DW42" s="71">
        <v>46204</v>
      </c>
      <c r="DX42" s="71">
        <v>46235</v>
      </c>
      <c r="DY42" s="71">
        <v>46266</v>
      </c>
      <c r="DZ42" s="71">
        <v>46296</v>
      </c>
      <c r="EA42" s="71">
        <v>46327</v>
      </c>
      <c r="EB42" s="71">
        <v>46357</v>
      </c>
      <c r="EC42" s="73" t="s">
        <v>305</v>
      </c>
      <c r="ED42" s="74">
        <v>46023</v>
      </c>
      <c r="EE42" s="75">
        <v>46054</v>
      </c>
      <c r="EF42" s="75">
        <v>46082</v>
      </c>
      <c r="EG42" s="75">
        <v>46113</v>
      </c>
      <c r="EH42" s="75">
        <v>46143</v>
      </c>
      <c r="EI42" s="75">
        <v>46174</v>
      </c>
      <c r="EJ42" s="75">
        <v>46204</v>
      </c>
      <c r="EK42" s="75">
        <v>46235</v>
      </c>
      <c r="EL42" s="75">
        <v>46266</v>
      </c>
      <c r="EM42" s="75">
        <v>46296</v>
      </c>
      <c r="EN42" s="75">
        <v>46327</v>
      </c>
      <c r="EO42" s="75">
        <v>46357</v>
      </c>
      <c r="EP42" s="73" t="s">
        <v>305</v>
      </c>
      <c r="EQ42" s="74">
        <v>46023</v>
      </c>
      <c r="ER42" s="75">
        <v>46054</v>
      </c>
      <c r="ES42" s="75">
        <v>46082</v>
      </c>
      <c r="ET42" s="75">
        <v>46113</v>
      </c>
      <c r="EU42" s="75">
        <v>46143</v>
      </c>
      <c r="EV42" s="75">
        <v>46174</v>
      </c>
      <c r="EW42" s="75">
        <v>46204</v>
      </c>
      <c r="EX42" s="75">
        <v>46235</v>
      </c>
      <c r="EY42" s="75">
        <v>46266</v>
      </c>
      <c r="EZ42" s="75">
        <v>46296</v>
      </c>
      <c r="FA42" s="75">
        <v>46327</v>
      </c>
      <c r="FB42" s="75">
        <v>46357</v>
      </c>
      <c r="FC42" s="73" t="s">
        <v>305</v>
      </c>
      <c r="FD42" s="74">
        <v>46023</v>
      </c>
      <c r="FE42" s="75">
        <v>46054</v>
      </c>
      <c r="FF42" s="75">
        <v>46082</v>
      </c>
      <c r="FG42" s="75">
        <v>46113</v>
      </c>
      <c r="FH42" s="75">
        <v>46143</v>
      </c>
      <c r="FI42" s="75">
        <v>46174</v>
      </c>
      <c r="FJ42" s="75">
        <v>46204</v>
      </c>
      <c r="FK42" s="75">
        <v>46235</v>
      </c>
      <c r="FL42" s="75">
        <v>46266</v>
      </c>
      <c r="FM42" s="75">
        <v>46296</v>
      </c>
      <c r="FN42" s="75">
        <v>46327</v>
      </c>
      <c r="FO42" s="75">
        <v>46357</v>
      </c>
      <c r="FP42" s="73" t="s">
        <v>305</v>
      </c>
      <c r="FQ42" s="74">
        <v>46023</v>
      </c>
      <c r="FR42" s="75">
        <v>46054</v>
      </c>
      <c r="FS42" s="75">
        <v>46082</v>
      </c>
      <c r="FT42" s="75">
        <v>46113</v>
      </c>
      <c r="FU42" s="75">
        <v>46143</v>
      </c>
      <c r="FV42" s="75">
        <v>46174</v>
      </c>
      <c r="FW42" s="75">
        <v>46204</v>
      </c>
      <c r="FX42" s="75">
        <v>46235</v>
      </c>
      <c r="FY42" s="75">
        <v>46266</v>
      </c>
      <c r="FZ42" s="75">
        <v>46296</v>
      </c>
      <c r="GA42" s="75">
        <v>46327</v>
      </c>
      <c r="GB42" s="75">
        <v>46357</v>
      </c>
      <c r="GC42" s="72" t="s">
        <v>305</v>
      </c>
    </row>
    <row r="43" customHeight="1" spans="1:185">
      <c r="A43" s="108" t="s">
        <v>26</v>
      </c>
      <c r="B43" s="109" t="s">
        <v>396</v>
      </c>
      <c r="C43" s="110">
        <f>P3/C3-1</f>
        <v>-0.344380678070289</v>
      </c>
      <c r="D43" s="111">
        <f t="shared" ref="D43:AI43" si="81">D3/D$39</f>
        <v>0.00311502616819494</v>
      </c>
      <c r="E43" s="111">
        <f t="shared" si="81"/>
        <v>0.00311266185577132</v>
      </c>
      <c r="F43" s="111">
        <f t="shared" si="81"/>
        <v>0.00294800320634316</v>
      </c>
      <c r="G43" s="111">
        <f t="shared" si="81"/>
        <v>0.00464654580263996</v>
      </c>
      <c r="H43" s="111">
        <f t="shared" si="81"/>
        <v>0.00453622822293338</v>
      </c>
      <c r="I43" s="111">
        <f t="shared" si="81"/>
        <v>0.00356566562741932</v>
      </c>
      <c r="J43" s="111">
        <f t="shared" si="81"/>
        <v>0.00733790299108339</v>
      </c>
      <c r="K43" s="111">
        <f t="shared" si="81"/>
        <v>0.00730449501909212</v>
      </c>
      <c r="L43" s="111">
        <f t="shared" si="81"/>
        <v>0.0049231494185593</v>
      </c>
      <c r="M43" s="111">
        <f t="shared" si="81"/>
        <v>0.0101308208399129</v>
      </c>
      <c r="N43" s="111">
        <f t="shared" si="81"/>
        <v>0.00812268960340305</v>
      </c>
      <c r="O43" s="111">
        <f t="shared" si="81"/>
        <v>0.00632665333228645</v>
      </c>
      <c r="P43" s="112">
        <f t="shared" si="81"/>
        <v>0.00545941191729235</v>
      </c>
      <c r="Q43" s="111">
        <f t="shared" si="81"/>
        <v>0.00228377495401224</v>
      </c>
      <c r="R43" s="111">
        <f t="shared" si="81"/>
        <v>0.00230339810989025</v>
      </c>
      <c r="S43" s="111">
        <f t="shared" si="81"/>
        <v>0.00259835339497687</v>
      </c>
      <c r="T43" s="111">
        <f t="shared" si="81"/>
        <v>0.00350350628646993</v>
      </c>
      <c r="U43" s="111">
        <f t="shared" si="81"/>
        <v>0.00308838500851713</v>
      </c>
      <c r="V43" s="111">
        <f t="shared" si="81"/>
        <v>0.00312892730364708</v>
      </c>
      <c r="W43" s="111">
        <f t="shared" si="81"/>
        <v>0.0044005431727297</v>
      </c>
      <c r="X43" s="111">
        <f t="shared" si="81"/>
        <v>0.00374341128491551</v>
      </c>
      <c r="Y43" s="111">
        <f t="shared" si="81"/>
        <v>0.00289381085059681</v>
      </c>
      <c r="Z43" s="111">
        <f t="shared" si="81"/>
        <v>0.00298793508043206</v>
      </c>
      <c r="AA43" s="111">
        <f t="shared" si="81"/>
        <v>0.00410524260612134</v>
      </c>
      <c r="AB43" s="111">
        <f t="shared" si="81"/>
        <v>0.00353602126637651</v>
      </c>
      <c r="AC43" s="112">
        <f t="shared" si="81"/>
        <v>0.00318378785859848</v>
      </c>
      <c r="AD43" s="111">
        <f t="shared" si="81"/>
        <v>0.00377855444882094</v>
      </c>
      <c r="AE43" s="111">
        <f t="shared" si="81"/>
        <v>0.00318507228178301</v>
      </c>
      <c r="AF43" s="111">
        <f t="shared" si="81"/>
        <v>0.00282958007908264</v>
      </c>
      <c r="AG43" s="111">
        <f t="shared" si="81"/>
        <v>0.00296252892989069</v>
      </c>
      <c r="AH43" s="111">
        <f t="shared" si="81"/>
        <v>0.00177254783617331</v>
      </c>
      <c r="AI43" s="111">
        <f t="shared" si="81"/>
        <v>0.00224684834111748</v>
      </c>
      <c r="AJ43" s="111">
        <f t="shared" ref="AJ43:BO43" si="82">AJ3/AJ$39</f>
        <v>0.00600285792552503</v>
      </c>
      <c r="AK43" s="111">
        <f t="shared" si="82"/>
        <v>0.00719561978767426</v>
      </c>
      <c r="AL43" s="111">
        <f t="shared" si="82"/>
        <v>0.00651412356651965</v>
      </c>
      <c r="AM43" s="111">
        <f t="shared" si="82"/>
        <v>0.00600848842328643</v>
      </c>
      <c r="AN43" s="111">
        <f t="shared" si="82"/>
        <v>0.00516550897055409</v>
      </c>
      <c r="AO43" s="111">
        <f t="shared" si="82"/>
        <v>0.00451058212647152</v>
      </c>
      <c r="AP43" s="112">
        <f t="shared" si="82"/>
        <v>0.00456868084069271</v>
      </c>
      <c r="AQ43" s="111">
        <f t="shared" si="82"/>
        <v>0.00380941628846334</v>
      </c>
      <c r="AR43" s="111">
        <f t="shared" si="82"/>
        <v>0.0028012476133943</v>
      </c>
      <c r="AS43" s="111">
        <f t="shared" si="82"/>
        <v>0.00243871308054404</v>
      </c>
      <c r="AT43" s="111">
        <f t="shared" si="82"/>
        <v>0.00192450974549305</v>
      </c>
      <c r="AU43" s="111">
        <f t="shared" si="82"/>
        <v>0.00493558826592308</v>
      </c>
      <c r="AV43" s="111">
        <f t="shared" si="82"/>
        <v>0.00511028033796379</v>
      </c>
      <c r="AW43" s="111">
        <f t="shared" si="82"/>
        <v>0.00723933478093011</v>
      </c>
      <c r="AX43" s="111">
        <f t="shared" si="82"/>
        <v>0.0031032912745575</v>
      </c>
      <c r="AY43" s="111">
        <f t="shared" si="82"/>
        <v>0.00327356251537891</v>
      </c>
      <c r="AZ43" s="111">
        <f t="shared" si="82"/>
        <v>0.00758530971204487</v>
      </c>
      <c r="BA43" s="111">
        <f t="shared" si="82"/>
        <v>0.00657535488572911</v>
      </c>
      <c r="BB43" s="111">
        <f t="shared" si="82"/>
        <v>0.00340878714987261</v>
      </c>
      <c r="BC43" s="112">
        <f t="shared" si="82"/>
        <v>0.00436130741184553</v>
      </c>
      <c r="BD43" s="111">
        <f t="shared" si="82"/>
        <v>0.0063069007242085</v>
      </c>
      <c r="BE43" s="111">
        <f t="shared" si="82"/>
        <v>0.00361538485314789</v>
      </c>
      <c r="BF43" s="111">
        <f t="shared" si="82"/>
        <v>0.00339315932897709</v>
      </c>
      <c r="BG43" s="111">
        <f t="shared" si="82"/>
        <v>0.00412013332671983</v>
      </c>
      <c r="BH43" s="111">
        <f t="shared" si="82"/>
        <v>0.00877870619728192</v>
      </c>
      <c r="BI43" s="111">
        <f t="shared" si="82"/>
        <v>0.00420395008046047</v>
      </c>
      <c r="BJ43" s="111">
        <f t="shared" si="82"/>
        <v>0.0182233371980048</v>
      </c>
      <c r="BK43" s="111">
        <f t="shared" si="82"/>
        <v>0.0115135926371873</v>
      </c>
      <c r="BL43" s="111">
        <f t="shared" si="82"/>
        <v>0.00693942007618541</v>
      </c>
      <c r="BM43" s="111">
        <f t="shared" si="82"/>
        <v>0.0126915433729759</v>
      </c>
      <c r="BN43" s="111">
        <f t="shared" si="82"/>
        <v>0.0113487351804477</v>
      </c>
      <c r="BO43" s="111">
        <f t="shared" si="82"/>
        <v>0.0123444863853952</v>
      </c>
      <c r="BP43" s="112">
        <f t="shared" ref="BP43:CU43" si="83">BP3/BP$39</f>
        <v>0.00865937482885933</v>
      </c>
      <c r="BQ43" s="111">
        <f t="shared" si="83"/>
        <v>0.00541403181514898</v>
      </c>
      <c r="BR43" s="111">
        <f t="shared" si="83"/>
        <v>0.00586491197140981</v>
      </c>
      <c r="BS43" s="111">
        <f t="shared" si="83"/>
        <v>0.0050337886684915</v>
      </c>
      <c r="BT43" s="111">
        <f t="shared" si="83"/>
        <v>0.00770409832478592</v>
      </c>
      <c r="BU43" s="111">
        <f t="shared" si="83"/>
        <v>0.00687658934061429</v>
      </c>
      <c r="BV43" s="111">
        <f t="shared" si="83"/>
        <v>0.00377531306105996</v>
      </c>
      <c r="BW43" s="111">
        <f t="shared" si="83"/>
        <v>0.00802102564111498</v>
      </c>
      <c r="BX43" s="111">
        <f t="shared" si="83"/>
        <v>0.019250944632429</v>
      </c>
      <c r="BY43" s="111">
        <f t="shared" si="83"/>
        <v>0.010396873644675</v>
      </c>
      <c r="BZ43" s="111">
        <f t="shared" si="83"/>
        <v>0.00958543809336871</v>
      </c>
      <c r="CA43" s="111">
        <f t="shared" si="83"/>
        <v>0.0116763968613489</v>
      </c>
      <c r="CB43" s="111">
        <f t="shared" si="83"/>
        <v>0.00507987436315376</v>
      </c>
      <c r="CC43" s="112">
        <f t="shared" si="83"/>
        <v>0.00806053238659744</v>
      </c>
      <c r="CD43" s="111">
        <f t="shared" si="83"/>
        <v>0.00183315609842474</v>
      </c>
      <c r="CE43" s="111">
        <f t="shared" si="83"/>
        <v>0.00463818947806785</v>
      </c>
      <c r="CF43" s="111">
        <f t="shared" si="83"/>
        <v>0.00336202960835379</v>
      </c>
      <c r="CG43" s="111">
        <f t="shared" si="83"/>
        <v>0.00507243126667864</v>
      </c>
      <c r="CH43" s="111">
        <f t="shared" si="83"/>
        <v>0.00266640624011441</v>
      </c>
      <c r="CI43" s="111">
        <f t="shared" si="83"/>
        <v>0.00412512592971399</v>
      </c>
      <c r="CJ43" s="111">
        <f t="shared" si="83"/>
        <v>0.00464303480917346</v>
      </c>
      <c r="CK43" s="111">
        <f t="shared" si="83"/>
        <v>0.00444853128345983</v>
      </c>
      <c r="CL43" s="111">
        <f t="shared" si="83"/>
        <v>0.00531152692920687</v>
      </c>
      <c r="CM43" s="111">
        <f t="shared" si="83"/>
        <v>0.0194843355686408</v>
      </c>
      <c r="CN43" s="111">
        <f t="shared" si="83"/>
        <v>0.0153811169268519</v>
      </c>
      <c r="CO43" s="111">
        <f t="shared" si="83"/>
        <v>0.01508968131522</v>
      </c>
      <c r="CP43" s="112">
        <f t="shared" si="83"/>
        <v>0.00705832991731917</v>
      </c>
      <c r="CQ43" s="111">
        <f t="shared" si="83"/>
        <v>0.00248606355035927</v>
      </c>
      <c r="CR43" s="111">
        <f t="shared" si="83"/>
        <v>0.00180504889572223</v>
      </c>
      <c r="CS43" s="111">
        <f t="shared" si="83"/>
        <v>0.00240167556659011</v>
      </c>
      <c r="CT43" s="111">
        <f t="shared" si="83"/>
        <v>0.00418143740916148</v>
      </c>
      <c r="CU43" s="111">
        <f t="shared" si="83"/>
        <v>0.0023787620176735</v>
      </c>
      <c r="CV43" s="111">
        <f t="shared" ref="CV43:EA43" si="84">CV3/CV$39</f>
        <v>0.00303574326897607</v>
      </c>
      <c r="CW43" s="111">
        <f t="shared" si="84"/>
        <v>0.00806125724362041</v>
      </c>
      <c r="CX43" s="111">
        <f t="shared" si="84"/>
        <v>0.00521864287637873</v>
      </c>
      <c r="CY43" s="111">
        <f t="shared" si="84"/>
        <v>0.00217069800365145</v>
      </c>
      <c r="CZ43" s="111">
        <f t="shared" si="84"/>
        <v>0.0101062069852339</v>
      </c>
      <c r="DA43" s="111">
        <f t="shared" si="84"/>
        <v>0.00916709930122029</v>
      </c>
      <c r="DB43" s="111">
        <f t="shared" si="84"/>
        <v>0.00847815223303432</v>
      </c>
      <c r="DC43" s="112">
        <f t="shared" si="84"/>
        <v>0.00479561837942148</v>
      </c>
      <c r="DD43" s="111">
        <f t="shared" si="84"/>
        <v>0.00282277236185501</v>
      </c>
      <c r="DE43" s="111">
        <f t="shared" si="84"/>
        <v>0.00187421927659149</v>
      </c>
      <c r="DF43" s="111">
        <f t="shared" si="84"/>
        <v>0.00132513707029217</v>
      </c>
      <c r="DG43" s="111">
        <f t="shared" si="84"/>
        <v>0.0047436533151639</v>
      </c>
      <c r="DH43" s="111">
        <f t="shared" si="84"/>
        <v>0.0081750533986409</v>
      </c>
      <c r="DI43" s="111">
        <f t="shared" si="84"/>
        <v>0.00790005666753772</v>
      </c>
      <c r="DJ43" s="111">
        <f t="shared" si="84"/>
        <v>0.0185393681961704</v>
      </c>
      <c r="DK43" s="111">
        <f t="shared" si="84"/>
        <v>0.0129950629823237</v>
      </c>
      <c r="DL43" s="111">
        <f t="shared" si="84"/>
        <v>0.0129040697131206</v>
      </c>
      <c r="DM43" s="111">
        <f t="shared" si="84"/>
        <v>0.0252478715645953</v>
      </c>
      <c r="DN43" s="111">
        <f t="shared" si="84"/>
        <v>0.0305396071996292</v>
      </c>
      <c r="DO43" s="111">
        <f t="shared" si="84"/>
        <v>0.0181622716794674</v>
      </c>
      <c r="DP43" s="112">
        <f t="shared" si="84"/>
        <v>0.0111568818298476</v>
      </c>
      <c r="DQ43" s="111">
        <f t="shared" si="84"/>
        <v>0.00337730997965939</v>
      </c>
      <c r="DR43" s="111">
        <f t="shared" si="84"/>
        <v>0.00505686066980323</v>
      </c>
      <c r="DS43" s="111">
        <f t="shared" si="84"/>
        <v>0.00489322303910184</v>
      </c>
      <c r="DT43" s="111">
        <f t="shared" si="84"/>
        <v>0.00555789858191363</v>
      </c>
      <c r="DU43" s="111">
        <f t="shared" si="84"/>
        <v>0.00944645457359988</v>
      </c>
      <c r="DV43" s="111">
        <f t="shared" si="84"/>
        <v>0.00889951143819161</v>
      </c>
      <c r="DW43" s="111">
        <f t="shared" si="84"/>
        <v>0.0122732396723191</v>
      </c>
      <c r="DX43" s="111">
        <f t="shared" si="84"/>
        <v>0.00767503929395863</v>
      </c>
      <c r="DY43" s="111">
        <f t="shared" si="84"/>
        <v>0.00621808474002215</v>
      </c>
      <c r="DZ43" s="111">
        <f t="shared" si="84"/>
        <v>0.0140451403335781</v>
      </c>
      <c r="EA43" s="111">
        <f t="shared" si="84"/>
        <v>0.0109241846413412</v>
      </c>
      <c r="EB43" s="111">
        <f t="shared" ref="EB43:FT43" si="85">EB3/EB$39</f>
        <v>0.009233697280832</v>
      </c>
      <c r="EC43" s="111">
        <f t="shared" si="85"/>
        <v>0.00778322102063568</v>
      </c>
      <c r="ED43" s="113">
        <f t="shared" si="85"/>
        <v>0.001691593178686</v>
      </c>
      <c r="EE43" s="111">
        <f t="shared" si="85"/>
        <v>0</v>
      </c>
      <c r="EF43" s="111">
        <f t="shared" si="85"/>
        <v>0</v>
      </c>
      <c r="EG43" s="111">
        <f t="shared" si="85"/>
        <v>0</v>
      </c>
      <c r="EH43" s="111" t="e">
        <f t="shared" si="85"/>
        <v>#DIV/0!</v>
      </c>
      <c r="EI43" s="111" t="e">
        <f t="shared" si="85"/>
        <v>#DIV/0!</v>
      </c>
      <c r="EJ43" s="111" t="e">
        <f t="shared" si="85"/>
        <v>#DIV/0!</v>
      </c>
      <c r="EK43" s="111" t="e">
        <f t="shared" si="85"/>
        <v>#DIV/0!</v>
      </c>
      <c r="EL43" s="111" t="e">
        <f t="shared" si="85"/>
        <v>#DIV/0!</v>
      </c>
      <c r="EM43" s="111" t="e">
        <f t="shared" si="85"/>
        <v>#DIV/0!</v>
      </c>
      <c r="EN43" s="111" t="e">
        <f t="shared" si="85"/>
        <v>#DIV/0!</v>
      </c>
      <c r="EO43" s="111" t="e">
        <f t="shared" si="85"/>
        <v>#DIV/0!</v>
      </c>
      <c r="EP43" s="112">
        <f t="shared" si="85"/>
        <v>0.00138305613092188</v>
      </c>
      <c r="EQ43" s="111">
        <f t="shared" si="85"/>
        <v>0.0125981558178844</v>
      </c>
      <c r="ER43" s="111">
        <f t="shared" si="85"/>
        <v>0.008862748460559</v>
      </c>
      <c r="ES43" s="111">
        <f t="shared" si="85"/>
        <v>0.0123527402893333</v>
      </c>
      <c r="ET43" s="111">
        <f t="shared" si="85"/>
        <v>0.00726875689056198</v>
      </c>
      <c r="EU43" s="111">
        <f t="shared" si="85"/>
        <v>0.00766469535638667</v>
      </c>
      <c r="EV43" s="111">
        <f t="shared" si="85"/>
        <v>0.00634830838764448</v>
      </c>
      <c r="EW43" s="111">
        <f t="shared" si="85"/>
        <v>0.0120531267581771</v>
      </c>
      <c r="EX43" s="111">
        <f t="shared" si="85"/>
        <v>0.0102896830665187</v>
      </c>
      <c r="EY43" s="111">
        <f t="shared" si="85"/>
        <v>0.00697515417007819</v>
      </c>
      <c r="EZ43" s="111">
        <f t="shared" si="85"/>
        <v>0.0139498800127449</v>
      </c>
      <c r="FA43" s="111">
        <f t="shared" si="85"/>
        <v>0.013303920206759</v>
      </c>
      <c r="FB43" s="111">
        <f t="shared" si="85"/>
        <v>0.0105611091440045</v>
      </c>
      <c r="FC43" s="111">
        <f t="shared" si="85"/>
        <v>0.0102110489516659</v>
      </c>
      <c r="FD43" s="113"/>
      <c r="FE43" s="111"/>
      <c r="FF43" s="111"/>
      <c r="FG43" s="111"/>
      <c r="FH43" s="111"/>
      <c r="FI43" s="111"/>
      <c r="FJ43" s="111"/>
      <c r="FK43" s="111"/>
      <c r="FL43" s="111"/>
      <c r="FM43" s="111"/>
      <c r="FN43" s="111"/>
      <c r="FO43" s="111"/>
      <c r="FP43" s="112"/>
      <c r="FQ43" s="113">
        <f t="shared" si="85"/>
        <v>0.00028621028500557</v>
      </c>
      <c r="FR43" s="111">
        <f t="shared" si="85"/>
        <v>0.000283425810216993</v>
      </c>
      <c r="FS43" s="111">
        <f t="shared" si="85"/>
        <v>0.000311273737743678</v>
      </c>
      <c r="FT43" s="111">
        <f t="shared" si="85"/>
        <v>0.00366486717234939</v>
      </c>
      <c r="FU43" s="111">
        <f t="shared" ref="FU43:GC43" si="86">FU3/FU$39</f>
        <v>0.0013194064662254</v>
      </c>
      <c r="FV43" s="111">
        <f t="shared" si="86"/>
        <v>0.000531899099755115</v>
      </c>
      <c r="FW43" s="111">
        <f t="shared" si="86"/>
        <v>0.00271368977637468</v>
      </c>
      <c r="FX43" s="111">
        <f t="shared" si="86"/>
        <v>0.0017196504657079</v>
      </c>
      <c r="FY43" s="111">
        <f t="shared" si="86"/>
        <v>0.000752739402996695</v>
      </c>
      <c r="FZ43" s="111">
        <f t="shared" si="86"/>
        <v>0.013120041542411</v>
      </c>
      <c r="GA43" s="111">
        <f t="shared" si="86"/>
        <v>0.00541706882616807</v>
      </c>
      <c r="GB43" s="111">
        <f t="shared" si="86"/>
        <v>0.0055715956603619</v>
      </c>
      <c r="GC43" s="112">
        <f t="shared" si="86"/>
        <v>0.00295035841167215</v>
      </c>
    </row>
    <row r="44" customHeight="1" spans="1:185">
      <c r="A44" s="114"/>
      <c r="B44" s="115" t="s">
        <v>397</v>
      </c>
      <c r="C44" s="116">
        <f t="shared" ref="C44:C79" si="87">P4/C4-1</f>
        <v>-0.9121762333647</v>
      </c>
      <c r="D44" s="117">
        <f t="shared" ref="D44:AI44" si="88">D4/D$39</f>
        <v>0.00457962343797661</v>
      </c>
      <c r="E44" s="117">
        <f t="shared" si="88"/>
        <v>1.00889983137393e-5</v>
      </c>
      <c r="F44" s="117">
        <f t="shared" si="88"/>
        <v>1.17958846967075e-5</v>
      </c>
      <c r="G44" s="117">
        <f t="shared" si="88"/>
        <v>1.58699893788555e-5</v>
      </c>
      <c r="H44" s="117">
        <f t="shared" si="88"/>
        <v>1.75674434402407e-5</v>
      </c>
      <c r="I44" s="117">
        <f t="shared" si="88"/>
        <v>0.00257323915012256</v>
      </c>
      <c r="J44" s="117">
        <f t="shared" si="88"/>
        <v>0.00121607069110767</v>
      </c>
      <c r="K44" s="117">
        <f t="shared" si="88"/>
        <v>0.000520919509369871</v>
      </c>
      <c r="L44" s="117">
        <f t="shared" si="88"/>
        <v>0.000300665321789656</v>
      </c>
      <c r="M44" s="117">
        <f t="shared" si="88"/>
        <v>6.01326987639275e-6</v>
      </c>
      <c r="N44" s="117">
        <f t="shared" si="88"/>
        <v>0.00209473752004376</v>
      </c>
      <c r="O44" s="117">
        <f t="shared" si="88"/>
        <v>0.000888369881894227</v>
      </c>
      <c r="P44" s="9">
        <f t="shared" si="88"/>
        <v>0.00112675657494635</v>
      </c>
      <c r="Q44" s="117">
        <f t="shared" si="88"/>
        <v>0.00561432886899246</v>
      </c>
      <c r="R44" s="117">
        <f t="shared" si="88"/>
        <v>0</v>
      </c>
      <c r="S44" s="117">
        <f t="shared" si="88"/>
        <v>6.25544431335283e-6</v>
      </c>
      <c r="T44" s="117">
        <f t="shared" si="88"/>
        <v>0</v>
      </c>
      <c r="U44" s="117">
        <f t="shared" si="88"/>
        <v>0</v>
      </c>
      <c r="V44" s="117">
        <f t="shared" si="88"/>
        <v>0.00241733673556112</v>
      </c>
      <c r="W44" s="117">
        <f t="shared" si="88"/>
        <v>0.00166708148858143</v>
      </c>
      <c r="X44" s="117">
        <f t="shared" si="88"/>
        <v>0.00061312856240998</v>
      </c>
      <c r="Y44" s="117">
        <f t="shared" si="88"/>
        <v>0.000565037739243676</v>
      </c>
      <c r="Z44" s="117">
        <f t="shared" si="88"/>
        <v>0</v>
      </c>
      <c r="AA44" s="117">
        <f t="shared" si="88"/>
        <v>0.000388632912982128</v>
      </c>
      <c r="AB44" s="117">
        <f t="shared" si="88"/>
        <v>0.00032898063305608</v>
      </c>
      <c r="AC44" s="9">
        <f t="shared" si="88"/>
        <v>0.00110284187857711</v>
      </c>
      <c r="AD44" s="117">
        <f t="shared" si="88"/>
        <v>0.0127477650352747</v>
      </c>
      <c r="AE44" s="117">
        <f t="shared" si="88"/>
        <v>1.0679480998726e-5</v>
      </c>
      <c r="AF44" s="117">
        <f t="shared" si="88"/>
        <v>1.03436280729394e-5</v>
      </c>
      <c r="AG44" s="117">
        <f t="shared" si="88"/>
        <v>0</v>
      </c>
      <c r="AH44" s="117">
        <f t="shared" si="88"/>
        <v>4.53591318175706e-5</v>
      </c>
      <c r="AI44" s="117">
        <f t="shared" si="88"/>
        <v>0.00235721727394401</v>
      </c>
      <c r="AJ44" s="117">
        <f t="shared" ref="AJ44:BO44" si="89">AJ4/AJ$39</f>
        <v>0.00105843015826895</v>
      </c>
      <c r="AK44" s="117">
        <f t="shared" si="89"/>
        <v>0.00083399366811319</v>
      </c>
      <c r="AL44" s="117">
        <f t="shared" si="89"/>
        <v>0.000822876948767171</v>
      </c>
      <c r="AM44" s="117">
        <f t="shared" si="89"/>
        <v>0</v>
      </c>
      <c r="AN44" s="117">
        <f t="shared" si="89"/>
        <v>0.00224525561856271</v>
      </c>
      <c r="AO44" s="117">
        <f t="shared" si="89"/>
        <v>0.00230712844280512</v>
      </c>
      <c r="AP44" s="9">
        <f t="shared" si="89"/>
        <v>0.00190676816778103</v>
      </c>
      <c r="AQ44" s="117">
        <f t="shared" si="89"/>
        <v>0.00479451804033442</v>
      </c>
      <c r="AR44" s="117">
        <f t="shared" si="89"/>
        <v>1.14991134700974e-5</v>
      </c>
      <c r="AS44" s="117">
        <f t="shared" si="89"/>
        <v>2.15364401800455e-5</v>
      </c>
      <c r="AT44" s="117">
        <f t="shared" si="89"/>
        <v>0</v>
      </c>
      <c r="AU44" s="117">
        <f t="shared" si="89"/>
        <v>0</v>
      </c>
      <c r="AV44" s="117">
        <f t="shared" si="89"/>
        <v>0</v>
      </c>
      <c r="AW44" s="117">
        <f t="shared" si="89"/>
        <v>0.00108915925179994</v>
      </c>
      <c r="AX44" s="117">
        <f t="shared" si="89"/>
        <v>0</v>
      </c>
      <c r="AY44" s="117">
        <f t="shared" si="89"/>
        <v>0</v>
      </c>
      <c r="AZ44" s="117">
        <f t="shared" si="89"/>
        <v>0</v>
      </c>
      <c r="BA44" s="117">
        <f t="shared" si="89"/>
        <v>0.000902949907630891</v>
      </c>
      <c r="BB44" s="117">
        <f t="shared" si="89"/>
        <v>0.000338786908338028</v>
      </c>
      <c r="BC44" s="9">
        <f t="shared" si="89"/>
        <v>0.000672777768635596</v>
      </c>
      <c r="BD44" s="117">
        <f t="shared" si="89"/>
        <v>0.00513833103591789</v>
      </c>
      <c r="BE44" s="117">
        <f t="shared" si="89"/>
        <v>1.99896563494432e-5</v>
      </c>
      <c r="BF44" s="117">
        <f t="shared" si="89"/>
        <v>4.35564667529858e-5</v>
      </c>
      <c r="BG44" s="117">
        <f t="shared" si="89"/>
        <v>1.64535707747106e-5</v>
      </c>
      <c r="BH44" s="117">
        <f t="shared" si="89"/>
        <v>3.47716120571112e-5</v>
      </c>
      <c r="BI44" s="117">
        <f t="shared" si="89"/>
        <v>0.00452560963321541</v>
      </c>
      <c r="BJ44" s="117">
        <f t="shared" si="89"/>
        <v>0.00187061090194912</v>
      </c>
      <c r="BK44" s="117">
        <f t="shared" si="89"/>
        <v>0.000425049628867822</v>
      </c>
      <c r="BL44" s="117">
        <f t="shared" si="89"/>
        <v>0</v>
      </c>
      <c r="BM44" s="117">
        <f t="shared" si="89"/>
        <v>0</v>
      </c>
      <c r="BN44" s="117">
        <f t="shared" si="89"/>
        <v>0.00319595713055386</v>
      </c>
      <c r="BO44" s="117">
        <f t="shared" si="89"/>
        <v>0.00191902659551134</v>
      </c>
      <c r="BP44" s="9">
        <f t="shared" ref="BP44:CU44" si="90">BP4/BP$39</f>
        <v>0.00153316409693714</v>
      </c>
      <c r="BQ44" s="117">
        <f t="shared" si="90"/>
        <v>0.00461965151730989</v>
      </c>
      <c r="BR44" s="117">
        <f t="shared" si="90"/>
        <v>1.4591656738294e-5</v>
      </c>
      <c r="BS44" s="117">
        <f t="shared" si="90"/>
        <v>2.1492649233919e-5</v>
      </c>
      <c r="BT44" s="117">
        <f t="shared" si="90"/>
        <v>2.60700635909429e-5</v>
      </c>
      <c r="BU44" s="117">
        <f t="shared" si="90"/>
        <v>3.90491338420822e-5</v>
      </c>
      <c r="BV44" s="117">
        <f t="shared" si="90"/>
        <v>0.00140239109530937</v>
      </c>
      <c r="BW44" s="117">
        <f t="shared" si="90"/>
        <v>0.000746431418766572</v>
      </c>
      <c r="BX44" s="117">
        <f t="shared" si="90"/>
        <v>1.5678727757279e-5</v>
      </c>
      <c r="BY44" s="117">
        <f t="shared" si="90"/>
        <v>1.4597306069198e-5</v>
      </c>
      <c r="BZ44" s="117">
        <f t="shared" si="90"/>
        <v>1.47409108358164e-5</v>
      </c>
      <c r="CA44" s="117">
        <f t="shared" si="90"/>
        <v>0.0024810442233053</v>
      </c>
      <c r="CB44" s="117">
        <f t="shared" si="90"/>
        <v>0.000970612708897829</v>
      </c>
      <c r="CC44" s="9">
        <f t="shared" si="90"/>
        <v>0.00103607440591959</v>
      </c>
      <c r="CD44" s="117">
        <f t="shared" si="90"/>
        <v>0.00478926048395134</v>
      </c>
      <c r="CE44" s="117">
        <f t="shared" si="90"/>
        <v>0</v>
      </c>
      <c r="CF44" s="117">
        <f t="shared" si="90"/>
        <v>0</v>
      </c>
      <c r="CG44" s="117">
        <f t="shared" si="90"/>
        <v>0</v>
      </c>
      <c r="CH44" s="117">
        <f t="shared" si="90"/>
        <v>0</v>
      </c>
      <c r="CI44" s="117">
        <f t="shared" si="90"/>
        <v>0.00227374369318667</v>
      </c>
      <c r="CJ44" s="117">
        <f t="shared" si="90"/>
        <v>0.00352883053039591</v>
      </c>
      <c r="CK44" s="117">
        <f t="shared" si="90"/>
        <v>0.00296800744274155</v>
      </c>
      <c r="CL44" s="117">
        <f t="shared" si="90"/>
        <v>0.00239571513610533</v>
      </c>
      <c r="CM44" s="117">
        <f t="shared" si="90"/>
        <v>0</v>
      </c>
      <c r="CN44" s="117">
        <f t="shared" si="90"/>
        <v>0.00126510520833317</v>
      </c>
      <c r="CO44" s="117">
        <f t="shared" si="90"/>
        <v>0.000883134824473922</v>
      </c>
      <c r="CP44" s="9">
        <f t="shared" si="90"/>
        <v>0.0017448618205139</v>
      </c>
      <c r="CQ44" s="117">
        <f t="shared" si="90"/>
        <v>0.0063945741922115</v>
      </c>
      <c r="CR44" s="117">
        <f t="shared" si="90"/>
        <v>1.86908591268377e-5</v>
      </c>
      <c r="CS44" s="117">
        <f t="shared" si="90"/>
        <v>1.22950377434347e-5</v>
      </c>
      <c r="CT44" s="117">
        <f t="shared" si="90"/>
        <v>0</v>
      </c>
      <c r="CU44" s="117">
        <f t="shared" si="90"/>
        <v>0</v>
      </c>
      <c r="CV44" s="117">
        <f t="shared" ref="CV44:EA44" si="91">CV4/CV$39</f>
        <v>0.00427349296638965</v>
      </c>
      <c r="CW44" s="117">
        <f t="shared" si="91"/>
        <v>0.00270264750374127</v>
      </c>
      <c r="CX44" s="117">
        <f t="shared" si="91"/>
        <v>0.00126603590378184</v>
      </c>
      <c r="CY44" s="117">
        <f t="shared" si="91"/>
        <v>0</v>
      </c>
      <c r="CZ44" s="117">
        <f t="shared" si="91"/>
        <v>0</v>
      </c>
      <c r="DA44" s="117">
        <f t="shared" si="91"/>
        <v>0.00416437508895421</v>
      </c>
      <c r="DB44" s="117">
        <f t="shared" si="91"/>
        <v>0.00241142763783874</v>
      </c>
      <c r="DC44" s="9">
        <f t="shared" si="91"/>
        <v>0.00186289461321069</v>
      </c>
      <c r="DD44" s="117">
        <f t="shared" si="91"/>
        <v>0.00759924943024314</v>
      </c>
      <c r="DE44" s="117">
        <f t="shared" si="91"/>
        <v>0</v>
      </c>
      <c r="DF44" s="117">
        <f t="shared" si="91"/>
        <v>0</v>
      </c>
      <c r="DG44" s="117">
        <f t="shared" si="91"/>
        <v>0</v>
      </c>
      <c r="DH44" s="117">
        <f t="shared" si="91"/>
        <v>0</v>
      </c>
      <c r="DI44" s="117">
        <f t="shared" si="91"/>
        <v>0.00568143448146267</v>
      </c>
      <c r="DJ44" s="117">
        <f t="shared" si="91"/>
        <v>0.00342436783692152</v>
      </c>
      <c r="DK44" s="117">
        <f t="shared" si="91"/>
        <v>0.00133787958876278</v>
      </c>
      <c r="DL44" s="117">
        <f t="shared" si="91"/>
        <v>0.000669599755829671</v>
      </c>
      <c r="DM44" s="117">
        <f t="shared" si="91"/>
        <v>0.000396950083099671</v>
      </c>
      <c r="DN44" s="117">
        <f t="shared" si="91"/>
        <v>0.00555358907394938</v>
      </c>
      <c r="DO44" s="117">
        <f t="shared" si="91"/>
        <v>0.00244989094367318</v>
      </c>
      <c r="DP44" s="9">
        <f t="shared" si="91"/>
        <v>0.00236713644230801</v>
      </c>
      <c r="DQ44" s="117">
        <f t="shared" si="91"/>
        <v>0.00853200450779051</v>
      </c>
      <c r="DR44" s="117">
        <f t="shared" si="91"/>
        <v>0</v>
      </c>
      <c r="DS44" s="117">
        <f t="shared" si="91"/>
        <v>0</v>
      </c>
      <c r="DT44" s="117">
        <f t="shared" si="91"/>
        <v>2.39305174426874e-5</v>
      </c>
      <c r="DU44" s="117">
        <f t="shared" si="91"/>
        <v>2.95481663955101e-5</v>
      </c>
      <c r="DV44" s="117">
        <f t="shared" si="91"/>
        <v>3.49347716481596e-5</v>
      </c>
      <c r="DW44" s="117">
        <f t="shared" si="91"/>
        <v>0.000941389015739928</v>
      </c>
      <c r="DX44" s="117">
        <f t="shared" si="91"/>
        <v>0.000918441792195359</v>
      </c>
      <c r="DY44" s="117">
        <f t="shared" si="91"/>
        <v>0</v>
      </c>
      <c r="DZ44" s="117">
        <f t="shared" si="91"/>
        <v>0</v>
      </c>
      <c r="EA44" s="117">
        <f t="shared" si="91"/>
        <v>0.00217931966329787</v>
      </c>
      <c r="EB44" s="117">
        <f t="shared" ref="EB44:FT44" si="92">EB4/EB$39</f>
        <v>0</v>
      </c>
      <c r="EC44" s="117">
        <f t="shared" si="92"/>
        <v>0.00141536017068462</v>
      </c>
      <c r="ED44" s="118">
        <f t="shared" si="92"/>
        <v>0.00207139032821712</v>
      </c>
      <c r="EE44" s="117">
        <f t="shared" si="92"/>
        <v>0</v>
      </c>
      <c r="EF44" s="117">
        <f t="shared" si="92"/>
        <v>0</v>
      </c>
      <c r="EG44" s="117">
        <f t="shared" si="92"/>
        <v>0</v>
      </c>
      <c r="EH44" s="117" t="e">
        <f t="shared" si="92"/>
        <v>#DIV/0!</v>
      </c>
      <c r="EI44" s="117" t="e">
        <f t="shared" si="92"/>
        <v>#DIV/0!</v>
      </c>
      <c r="EJ44" s="117" t="e">
        <f t="shared" si="92"/>
        <v>#DIV/0!</v>
      </c>
      <c r="EK44" s="117" t="e">
        <f t="shared" si="92"/>
        <v>#DIV/0!</v>
      </c>
      <c r="EL44" s="117" t="e">
        <f t="shared" si="92"/>
        <v>#DIV/0!</v>
      </c>
      <c r="EM44" s="117" t="e">
        <f t="shared" si="92"/>
        <v>#DIV/0!</v>
      </c>
      <c r="EN44" s="117" t="e">
        <f t="shared" si="92"/>
        <v>#DIV/0!</v>
      </c>
      <c r="EO44" s="117" t="e">
        <f t="shared" si="92"/>
        <v>#DIV/0!</v>
      </c>
      <c r="EP44" s="9">
        <f t="shared" si="92"/>
        <v>0.00169358042410548</v>
      </c>
      <c r="EQ44" s="117">
        <f t="shared" si="92"/>
        <v>0.008616622934348</v>
      </c>
      <c r="ER44" s="117">
        <f t="shared" si="92"/>
        <v>0</v>
      </c>
      <c r="ES44" s="117">
        <f t="shared" si="92"/>
        <v>0</v>
      </c>
      <c r="ET44" s="117">
        <f t="shared" si="92"/>
        <v>0</v>
      </c>
      <c r="EU44" s="117">
        <f t="shared" si="92"/>
        <v>0</v>
      </c>
      <c r="EV44" s="117">
        <f t="shared" si="92"/>
        <v>0.00730314018387021</v>
      </c>
      <c r="EW44" s="117">
        <f t="shared" si="92"/>
        <v>0.00460075022619729</v>
      </c>
      <c r="EX44" s="117">
        <f t="shared" si="92"/>
        <v>0.00292108745000779</v>
      </c>
      <c r="EY44" s="117">
        <f t="shared" si="92"/>
        <v>0.00255264089096075</v>
      </c>
      <c r="EZ44" s="117">
        <f t="shared" si="92"/>
        <v>0</v>
      </c>
      <c r="FA44" s="117">
        <f t="shared" si="92"/>
        <v>0.00362168229332992</v>
      </c>
      <c r="FB44" s="117">
        <f t="shared" si="92"/>
        <v>0.00347290020061694</v>
      </c>
      <c r="FC44" s="117">
        <f t="shared" si="92"/>
        <v>0.00248020147278677</v>
      </c>
      <c r="FD44" s="118"/>
      <c r="FE44" s="117"/>
      <c r="FF44" s="117"/>
      <c r="FG44" s="117"/>
      <c r="FH44" s="117"/>
      <c r="FI44" s="117"/>
      <c r="FJ44" s="117"/>
      <c r="FK44" s="117"/>
      <c r="FL44" s="117"/>
      <c r="FM44" s="117"/>
      <c r="FN44" s="117"/>
      <c r="FO44" s="117"/>
      <c r="FP44" s="9"/>
      <c r="FQ44" s="118">
        <f t="shared" si="92"/>
        <v>2.15861538115133e-6</v>
      </c>
      <c r="FR44" s="117">
        <f t="shared" si="92"/>
        <v>8.92587359794431e-6</v>
      </c>
      <c r="FS44" s="117">
        <f t="shared" si="92"/>
        <v>2.96723682668438e-6</v>
      </c>
      <c r="FT44" s="117">
        <f t="shared" si="92"/>
        <v>3.14577759704198e-5</v>
      </c>
      <c r="FU44" s="117">
        <f t="shared" ref="FU44:GC44" si="93">FU4/FU$39</f>
        <v>5.05699396532233e-6</v>
      </c>
      <c r="FV44" s="117">
        <f t="shared" si="93"/>
        <v>0.00369839629361642</v>
      </c>
      <c r="FW44" s="117">
        <f t="shared" si="93"/>
        <v>0</v>
      </c>
      <c r="FX44" s="117">
        <f t="shared" si="93"/>
        <v>0</v>
      </c>
      <c r="FY44" s="117">
        <f t="shared" si="93"/>
        <v>0</v>
      </c>
      <c r="FZ44" s="117">
        <f t="shared" si="93"/>
        <v>0</v>
      </c>
      <c r="GA44" s="117">
        <f t="shared" si="93"/>
        <v>0.00186064537942295</v>
      </c>
      <c r="GB44" s="117">
        <f t="shared" si="93"/>
        <v>0</v>
      </c>
      <c r="GC44" s="9">
        <f t="shared" si="93"/>
        <v>0.000363686604886299</v>
      </c>
    </row>
    <row r="45" customHeight="1" spans="1:185">
      <c r="A45" s="114"/>
      <c r="B45" s="115" t="s">
        <v>398</v>
      </c>
      <c r="C45" s="116">
        <f t="shared" si="87"/>
        <v>-0.516719439776121</v>
      </c>
      <c r="D45" s="117">
        <f t="shared" ref="D45:AI45" si="94">D5/D$39</f>
        <v>0.00501021151803171</v>
      </c>
      <c r="E45" s="117">
        <f t="shared" si="94"/>
        <v>0.00745352673340742</v>
      </c>
      <c r="F45" s="117">
        <f t="shared" si="94"/>
        <v>0.00682753384059765</v>
      </c>
      <c r="G45" s="117">
        <f t="shared" si="94"/>
        <v>0.00582993469239853</v>
      </c>
      <c r="H45" s="117">
        <f t="shared" si="94"/>
        <v>0.0034553629938906</v>
      </c>
      <c r="I45" s="117">
        <f t="shared" si="94"/>
        <v>0.00389998931054915</v>
      </c>
      <c r="J45" s="117">
        <f t="shared" si="94"/>
        <v>0.00323699120591228</v>
      </c>
      <c r="K45" s="117">
        <f t="shared" si="94"/>
        <v>0.00175806857161284</v>
      </c>
      <c r="L45" s="117">
        <f t="shared" si="94"/>
        <v>0.00600202392638354</v>
      </c>
      <c r="M45" s="117">
        <f t="shared" si="94"/>
        <v>0.00671213745785182</v>
      </c>
      <c r="N45" s="117">
        <f t="shared" si="94"/>
        <v>0.00154872121965993</v>
      </c>
      <c r="O45" s="117">
        <f t="shared" si="94"/>
        <v>0.000754493206341087</v>
      </c>
      <c r="P45" s="9">
        <f t="shared" si="94"/>
        <v>0.00444106151464789</v>
      </c>
      <c r="Q45" s="117">
        <f t="shared" si="94"/>
        <v>0.00129854363110556</v>
      </c>
      <c r="R45" s="117">
        <f t="shared" si="94"/>
        <v>0.0025381424954635</v>
      </c>
      <c r="S45" s="117">
        <f t="shared" si="94"/>
        <v>0.00311245680534803</v>
      </c>
      <c r="T45" s="117">
        <f t="shared" si="94"/>
        <v>0.00233970942438177</v>
      </c>
      <c r="U45" s="117">
        <f t="shared" si="94"/>
        <v>0.00196355425475879</v>
      </c>
      <c r="V45" s="117">
        <f t="shared" si="94"/>
        <v>0.00211638709215521</v>
      </c>
      <c r="W45" s="117">
        <f t="shared" si="94"/>
        <v>0.00189777188720054</v>
      </c>
      <c r="X45" s="117">
        <f t="shared" si="94"/>
        <v>0.000939702698248661</v>
      </c>
      <c r="Y45" s="117">
        <f t="shared" si="94"/>
        <v>0.00127648563055954</v>
      </c>
      <c r="Z45" s="117">
        <f t="shared" si="94"/>
        <v>0.00147509187913881</v>
      </c>
      <c r="AA45" s="117">
        <f t="shared" si="94"/>
        <v>0.000900578885273353</v>
      </c>
      <c r="AB45" s="117">
        <f t="shared" si="94"/>
        <v>0.000103934282278793</v>
      </c>
      <c r="AC45" s="9">
        <f t="shared" si="94"/>
        <v>0.00160752139445281</v>
      </c>
      <c r="AD45" s="117">
        <f t="shared" si="94"/>
        <v>0.00252715457309367</v>
      </c>
      <c r="AE45" s="117">
        <f t="shared" si="94"/>
        <v>0.0034460004233107</v>
      </c>
      <c r="AF45" s="117">
        <f t="shared" si="94"/>
        <v>0.00281839540544009</v>
      </c>
      <c r="AG45" s="117">
        <f t="shared" si="94"/>
        <v>0.00166406173476251</v>
      </c>
      <c r="AH45" s="117">
        <f t="shared" si="94"/>
        <v>0.00123150623135616</v>
      </c>
      <c r="AI45" s="117">
        <f t="shared" si="94"/>
        <v>0.00202224269001493</v>
      </c>
      <c r="AJ45" s="117">
        <f t="shared" ref="AJ45:BO45" si="95">AJ5/AJ$39</f>
        <v>0.00212462760762183</v>
      </c>
      <c r="AK45" s="117">
        <f t="shared" si="95"/>
        <v>0.000361483457078311</v>
      </c>
      <c r="AL45" s="117">
        <f t="shared" si="95"/>
        <v>0.00107856416605206</v>
      </c>
      <c r="AM45" s="117">
        <f t="shared" si="95"/>
        <v>0.00210614858056542</v>
      </c>
      <c r="AN45" s="117">
        <f t="shared" si="95"/>
        <v>0.00120611437104753</v>
      </c>
      <c r="AO45" s="117">
        <f t="shared" si="95"/>
        <v>0.000218666129310169</v>
      </c>
      <c r="AP45" s="9">
        <f t="shared" si="95"/>
        <v>0.00167005109160917</v>
      </c>
      <c r="AQ45" s="117">
        <f t="shared" si="95"/>
        <v>0.00333854572228256</v>
      </c>
      <c r="AR45" s="117">
        <f t="shared" si="95"/>
        <v>0.00176543358461648</v>
      </c>
      <c r="AS45" s="117">
        <f t="shared" si="95"/>
        <v>0.00526996900696767</v>
      </c>
      <c r="AT45" s="117">
        <f t="shared" si="95"/>
        <v>0.00192267563821128</v>
      </c>
      <c r="AU45" s="117">
        <f t="shared" si="95"/>
        <v>0.0026675123185107</v>
      </c>
      <c r="AV45" s="117">
        <f t="shared" si="95"/>
        <v>0.00279242940299572</v>
      </c>
      <c r="AW45" s="117">
        <f t="shared" si="95"/>
        <v>0.00151474752584952</v>
      </c>
      <c r="AX45" s="117">
        <f t="shared" si="95"/>
        <v>0.00116124533147489</v>
      </c>
      <c r="AY45" s="117">
        <f t="shared" si="95"/>
        <v>0.00253538981201355</v>
      </c>
      <c r="AZ45" s="117">
        <f t="shared" si="95"/>
        <v>0.010651197946166</v>
      </c>
      <c r="BA45" s="117">
        <f t="shared" si="95"/>
        <v>0.00332001092338253</v>
      </c>
      <c r="BB45" s="117">
        <f t="shared" si="95"/>
        <v>0.000782688292033819</v>
      </c>
      <c r="BC45" s="9">
        <f t="shared" si="95"/>
        <v>0.00316393086259155</v>
      </c>
      <c r="BD45" s="117">
        <f t="shared" si="95"/>
        <v>0.00944083653785174</v>
      </c>
      <c r="BE45" s="117">
        <f t="shared" si="95"/>
        <v>0.00394933629086478</v>
      </c>
      <c r="BF45" s="117">
        <f t="shared" si="95"/>
        <v>0.00372347328042848</v>
      </c>
      <c r="BG45" s="117">
        <f t="shared" si="95"/>
        <v>0.00179069758412941</v>
      </c>
      <c r="BH45" s="117">
        <f t="shared" si="95"/>
        <v>0.00216833387378411</v>
      </c>
      <c r="BI45" s="117">
        <f t="shared" si="95"/>
        <v>0.00134735891427865</v>
      </c>
      <c r="BJ45" s="117">
        <f t="shared" si="95"/>
        <v>0.000407106391938968</v>
      </c>
      <c r="BK45" s="117">
        <f t="shared" si="95"/>
        <v>0.000297879211875954</v>
      </c>
      <c r="BL45" s="117">
        <f t="shared" si="95"/>
        <v>0.000504882085168212</v>
      </c>
      <c r="BM45" s="117">
        <f t="shared" si="95"/>
        <v>0.00311823860024961</v>
      </c>
      <c r="BN45" s="117">
        <f t="shared" si="95"/>
        <v>0</v>
      </c>
      <c r="BO45" s="117">
        <f t="shared" si="95"/>
        <v>0</v>
      </c>
      <c r="BP45" s="9">
        <f t="shared" ref="BP45:CU45" si="96">BP5/BP$39</f>
        <v>0.00247990888347427</v>
      </c>
      <c r="BQ45" s="117">
        <f t="shared" si="96"/>
        <v>0.0075006760147576</v>
      </c>
      <c r="BR45" s="117">
        <f t="shared" si="96"/>
        <v>0.00547224225666094</v>
      </c>
      <c r="BS45" s="117">
        <f t="shared" si="96"/>
        <v>0.00979061626773378</v>
      </c>
      <c r="BT45" s="117">
        <f t="shared" si="96"/>
        <v>0.00704372633325561</v>
      </c>
      <c r="BU45" s="117">
        <f t="shared" si="96"/>
        <v>0.0044274963178945</v>
      </c>
      <c r="BV45" s="117">
        <f t="shared" si="96"/>
        <v>0.0053945986770089</v>
      </c>
      <c r="BW45" s="117">
        <f t="shared" si="96"/>
        <v>0.00382240038312062</v>
      </c>
      <c r="BX45" s="117">
        <f t="shared" si="96"/>
        <v>0.00282733900778081</v>
      </c>
      <c r="BY45" s="117">
        <f t="shared" si="96"/>
        <v>0.0254558720387952</v>
      </c>
      <c r="BZ45" s="117">
        <f t="shared" si="96"/>
        <v>0.0156322363654821</v>
      </c>
      <c r="CA45" s="117">
        <f t="shared" si="96"/>
        <v>0.00359154352192622</v>
      </c>
      <c r="CB45" s="117">
        <f t="shared" si="96"/>
        <v>0.00253356236797311</v>
      </c>
      <c r="CC45" s="9">
        <f t="shared" si="96"/>
        <v>0.00794708514353837</v>
      </c>
      <c r="CD45" s="117">
        <f t="shared" si="96"/>
        <v>0.000476136115479388</v>
      </c>
      <c r="CE45" s="117">
        <f t="shared" si="96"/>
        <v>0.0149637649241772</v>
      </c>
      <c r="CF45" s="117">
        <f t="shared" si="96"/>
        <v>0.0122754592503125</v>
      </c>
      <c r="CG45" s="117">
        <f t="shared" si="96"/>
        <v>0.00125591845770169</v>
      </c>
      <c r="CH45" s="117">
        <f t="shared" si="96"/>
        <v>0.0022854798560501</v>
      </c>
      <c r="CI45" s="117">
        <f t="shared" si="96"/>
        <v>0.00236453124684127</v>
      </c>
      <c r="CJ45" s="117">
        <f t="shared" si="96"/>
        <v>0.00203947038595564</v>
      </c>
      <c r="CK45" s="117">
        <f t="shared" si="96"/>
        <v>0.00127395211232681</v>
      </c>
      <c r="CL45" s="117">
        <f t="shared" si="96"/>
        <v>0.00333905880009195</v>
      </c>
      <c r="CM45" s="117">
        <f t="shared" si="96"/>
        <v>0.00219161745571679</v>
      </c>
      <c r="CN45" s="117">
        <f t="shared" si="96"/>
        <v>0.00127528622378036</v>
      </c>
      <c r="CO45" s="117">
        <f t="shared" si="96"/>
        <v>0</v>
      </c>
      <c r="CP45" s="9">
        <f t="shared" si="96"/>
        <v>0.00285736124545951</v>
      </c>
      <c r="CQ45" s="117">
        <f t="shared" si="96"/>
        <v>0.00237325159103811</v>
      </c>
      <c r="CR45" s="117">
        <f t="shared" si="96"/>
        <v>0.00277900486775222</v>
      </c>
      <c r="CS45" s="117">
        <f t="shared" si="96"/>
        <v>0.00241166348231758</v>
      </c>
      <c r="CT45" s="117">
        <f t="shared" si="96"/>
        <v>0.00130132377929553</v>
      </c>
      <c r="CU45" s="117">
        <f t="shared" si="96"/>
        <v>0.000892350674285061</v>
      </c>
      <c r="CV45" s="117">
        <f t="shared" ref="CV45:EA45" si="97">CV5/CV$39</f>
        <v>0.00165561674725372</v>
      </c>
      <c r="CW45" s="117">
        <f t="shared" si="97"/>
        <v>0.00136333551855393</v>
      </c>
      <c r="CX45" s="117">
        <f t="shared" si="97"/>
        <v>0.000705610553195623</v>
      </c>
      <c r="CY45" s="117">
        <f t="shared" si="97"/>
        <v>0.000499528528247692</v>
      </c>
      <c r="CZ45" s="117">
        <f t="shared" si="97"/>
        <v>0.00366578974600611</v>
      </c>
      <c r="DA45" s="117">
        <f t="shared" si="97"/>
        <v>0</v>
      </c>
      <c r="DB45" s="117">
        <f t="shared" si="97"/>
        <v>0</v>
      </c>
      <c r="DC45" s="9">
        <f t="shared" si="97"/>
        <v>0.00152351560650381</v>
      </c>
      <c r="DD45" s="117">
        <f t="shared" si="97"/>
        <v>0.000528076002479104</v>
      </c>
      <c r="DE45" s="117">
        <f t="shared" si="97"/>
        <v>0.000991893604305108</v>
      </c>
      <c r="DF45" s="117">
        <f t="shared" si="97"/>
        <v>0.00192433524809214</v>
      </c>
      <c r="DG45" s="117">
        <f t="shared" si="97"/>
        <v>0.00439384089368056</v>
      </c>
      <c r="DH45" s="117">
        <f t="shared" si="97"/>
        <v>0.00341493142480731</v>
      </c>
      <c r="DI45" s="117">
        <f t="shared" si="97"/>
        <v>0.0050219036182076</v>
      </c>
      <c r="DJ45" s="117">
        <f t="shared" si="97"/>
        <v>0.00236856532968256</v>
      </c>
      <c r="DK45" s="117">
        <f t="shared" si="97"/>
        <v>0.00158817024051065</v>
      </c>
      <c r="DL45" s="117">
        <f t="shared" si="97"/>
        <v>0.002833773850382</v>
      </c>
      <c r="DM45" s="117">
        <f t="shared" si="97"/>
        <v>0.00853562344925347</v>
      </c>
      <c r="DN45" s="117">
        <f t="shared" si="97"/>
        <v>0.00417650277109153</v>
      </c>
      <c r="DO45" s="117">
        <f t="shared" si="97"/>
        <v>0.00137655616314689</v>
      </c>
      <c r="DP45" s="9">
        <f t="shared" si="97"/>
        <v>0.00287398586123375</v>
      </c>
      <c r="DQ45" s="117">
        <f t="shared" si="97"/>
        <v>0.00123469817393968</v>
      </c>
      <c r="DR45" s="117">
        <f t="shared" si="97"/>
        <v>0.00389068042335932</v>
      </c>
      <c r="DS45" s="117">
        <f t="shared" si="97"/>
        <v>0.00486366598201901</v>
      </c>
      <c r="DT45" s="117">
        <f t="shared" si="97"/>
        <v>0.00298786514090658</v>
      </c>
      <c r="DU45" s="117">
        <f t="shared" si="97"/>
        <v>0.00175322550551352</v>
      </c>
      <c r="DV45" s="117">
        <f t="shared" si="97"/>
        <v>0.00328946393707121</v>
      </c>
      <c r="DW45" s="117">
        <f t="shared" si="97"/>
        <v>0.00425914262981318</v>
      </c>
      <c r="DX45" s="117">
        <f t="shared" si="97"/>
        <v>0.00161853169129903</v>
      </c>
      <c r="DY45" s="117">
        <f t="shared" si="97"/>
        <v>0.00182741072990135</v>
      </c>
      <c r="DZ45" s="117">
        <f t="shared" si="97"/>
        <v>0.00386061859739326</v>
      </c>
      <c r="EA45" s="117">
        <f t="shared" si="97"/>
        <v>0</v>
      </c>
      <c r="EB45" s="117">
        <f t="shared" ref="EB45:FT45" si="98">EB5/EB$39</f>
        <v>0</v>
      </c>
      <c r="EC45" s="117">
        <f t="shared" si="98"/>
        <v>0.00246735572039017</v>
      </c>
      <c r="ED45" s="118">
        <f t="shared" si="98"/>
        <v>0.00250828381825185</v>
      </c>
      <c r="EE45" s="117">
        <f t="shared" si="98"/>
        <v>0.020557370954049</v>
      </c>
      <c r="EF45" s="117">
        <f t="shared" si="98"/>
        <v>0</v>
      </c>
      <c r="EG45" s="117">
        <f t="shared" si="98"/>
        <v>0.0327598919592135</v>
      </c>
      <c r="EH45" s="117" t="e">
        <f t="shared" si="98"/>
        <v>#DIV/0!</v>
      </c>
      <c r="EI45" s="117" t="e">
        <f t="shared" si="98"/>
        <v>#DIV/0!</v>
      </c>
      <c r="EJ45" s="117" t="e">
        <f t="shared" si="98"/>
        <v>#DIV/0!</v>
      </c>
      <c r="EK45" s="117" t="e">
        <f t="shared" si="98"/>
        <v>#DIV/0!</v>
      </c>
      <c r="EL45" s="117" t="e">
        <f t="shared" si="98"/>
        <v>#DIV/0!</v>
      </c>
      <c r="EM45" s="117" t="e">
        <f t="shared" si="98"/>
        <v>#DIV/0!</v>
      </c>
      <c r="EN45" s="117" t="e">
        <f t="shared" si="98"/>
        <v>#DIV/0!</v>
      </c>
      <c r="EO45" s="117" t="e">
        <f t="shared" si="98"/>
        <v>#DIV/0!</v>
      </c>
      <c r="EP45" s="9">
        <f t="shared" si="98"/>
        <v>0.00621016336653278</v>
      </c>
      <c r="EQ45" s="117">
        <f t="shared" si="98"/>
        <v>0.0153890421238274</v>
      </c>
      <c r="ER45" s="117">
        <f t="shared" si="98"/>
        <v>0.0082713643674034</v>
      </c>
      <c r="ES45" s="117">
        <f t="shared" si="98"/>
        <v>0.00656440880250394</v>
      </c>
      <c r="ET45" s="117">
        <f t="shared" si="98"/>
        <v>0.00442546894489982</v>
      </c>
      <c r="EU45" s="117">
        <f t="shared" si="98"/>
        <v>0.0073981854051539</v>
      </c>
      <c r="EV45" s="117">
        <f t="shared" si="98"/>
        <v>0.0149904481868079</v>
      </c>
      <c r="EW45" s="117">
        <f t="shared" si="98"/>
        <v>0.0238811966840393</v>
      </c>
      <c r="EX45" s="117">
        <f t="shared" si="98"/>
        <v>0.0172323697562371</v>
      </c>
      <c r="EY45" s="117">
        <f t="shared" si="98"/>
        <v>0.010215545152302</v>
      </c>
      <c r="EZ45" s="117">
        <f t="shared" si="98"/>
        <v>0.0264713910180987</v>
      </c>
      <c r="FA45" s="117">
        <f t="shared" si="98"/>
        <v>0.00541290288906702</v>
      </c>
      <c r="FB45" s="117">
        <f t="shared" si="98"/>
        <v>6.21963033335654e-5</v>
      </c>
      <c r="FC45" s="117">
        <f t="shared" si="98"/>
        <v>0.0117287191088045</v>
      </c>
      <c r="FD45" s="118"/>
      <c r="FE45" s="117"/>
      <c r="FF45" s="117"/>
      <c r="FG45" s="117"/>
      <c r="FH45" s="117"/>
      <c r="FI45" s="117"/>
      <c r="FJ45" s="117"/>
      <c r="FK45" s="117"/>
      <c r="FL45" s="117"/>
      <c r="FM45" s="117"/>
      <c r="FN45" s="117"/>
      <c r="FO45" s="117"/>
      <c r="FP45" s="9"/>
      <c r="FQ45" s="118">
        <f t="shared" si="98"/>
        <v>0.00654720242698237</v>
      </c>
      <c r="FR45" s="117">
        <f t="shared" si="98"/>
        <v>0.0179696599626606</v>
      </c>
      <c r="FS45" s="117">
        <f t="shared" si="98"/>
        <v>0.0103440789300421</v>
      </c>
      <c r="FT45" s="117">
        <f t="shared" si="98"/>
        <v>0.0133370578915572</v>
      </c>
      <c r="FU45" s="117">
        <f t="shared" ref="FU45:GC45" si="99">FU5/FU$39</f>
        <v>0.00640737050358815</v>
      </c>
      <c r="FV45" s="117">
        <f t="shared" si="99"/>
        <v>0.00594310103059998</v>
      </c>
      <c r="FW45" s="117">
        <f t="shared" si="99"/>
        <v>0.00340897685677622</v>
      </c>
      <c r="FX45" s="117">
        <f t="shared" si="99"/>
        <v>0.00144736484597644</v>
      </c>
      <c r="FY45" s="117">
        <f t="shared" si="99"/>
        <v>0.0016338981003292</v>
      </c>
      <c r="FZ45" s="117">
        <f t="shared" si="99"/>
        <v>0.00406017186409071</v>
      </c>
      <c r="GA45" s="117">
        <f t="shared" si="99"/>
        <v>0.000954228449966084</v>
      </c>
      <c r="GB45" s="117">
        <f t="shared" si="99"/>
        <v>0.000906559028833583</v>
      </c>
      <c r="GC45" s="9">
        <f t="shared" si="99"/>
        <v>0.00617724554624295</v>
      </c>
    </row>
    <row r="46" customHeight="1" spans="1:185">
      <c r="A46" s="114"/>
      <c r="B46" s="115" t="s">
        <v>399</v>
      </c>
      <c r="C46" s="116">
        <f t="shared" si="87"/>
        <v>-0.305669811599621</v>
      </c>
      <c r="D46" s="117">
        <f t="shared" ref="D46:AI46" si="100">D6/D$39</f>
        <v>0.0132001028158001</v>
      </c>
      <c r="E46" s="117">
        <f t="shared" si="100"/>
        <v>0.0163171607869841</v>
      </c>
      <c r="F46" s="117">
        <f t="shared" si="100"/>
        <v>0.0199615105943632</v>
      </c>
      <c r="G46" s="117">
        <f t="shared" si="100"/>
        <v>0.014361427365821</v>
      </c>
      <c r="H46" s="117">
        <f t="shared" si="100"/>
        <v>0.0149418535833698</v>
      </c>
      <c r="I46" s="117">
        <f t="shared" si="100"/>
        <v>0.00842640988750733</v>
      </c>
      <c r="J46" s="117">
        <f t="shared" si="100"/>
        <v>0.0107438633042254</v>
      </c>
      <c r="K46" s="117">
        <f t="shared" si="100"/>
        <v>0.00772335509831431</v>
      </c>
      <c r="L46" s="117">
        <f t="shared" si="100"/>
        <v>0.00794172709802825</v>
      </c>
      <c r="M46" s="117">
        <f t="shared" si="100"/>
        <v>0.0249717296448014</v>
      </c>
      <c r="N46" s="117">
        <f t="shared" si="100"/>
        <v>0.00899017349088224</v>
      </c>
      <c r="O46" s="117">
        <f t="shared" si="100"/>
        <v>0.00536156303627587</v>
      </c>
      <c r="P46" s="9">
        <f t="shared" si="100"/>
        <v>0.0128251743314108</v>
      </c>
      <c r="Q46" s="117">
        <f t="shared" si="100"/>
        <v>0.00352236931923718</v>
      </c>
      <c r="R46" s="117">
        <f t="shared" si="100"/>
        <v>0.00505954254198673</v>
      </c>
      <c r="S46" s="117">
        <f t="shared" si="100"/>
        <v>0.00395657835675684</v>
      </c>
      <c r="T46" s="117">
        <f t="shared" si="100"/>
        <v>0.00402558899807997</v>
      </c>
      <c r="U46" s="117">
        <f t="shared" si="100"/>
        <v>0.00528971188394893</v>
      </c>
      <c r="V46" s="117">
        <f t="shared" si="100"/>
        <v>0.00481183161261985</v>
      </c>
      <c r="W46" s="117">
        <f t="shared" si="100"/>
        <v>0.00372709151796113</v>
      </c>
      <c r="X46" s="117">
        <f t="shared" si="100"/>
        <v>0.00290797212850716</v>
      </c>
      <c r="Y46" s="117">
        <f t="shared" si="100"/>
        <v>0.00301635736458609</v>
      </c>
      <c r="Z46" s="117">
        <f t="shared" si="100"/>
        <v>0.00185258868706485</v>
      </c>
      <c r="AA46" s="117">
        <f t="shared" si="100"/>
        <v>0.000757227453826528</v>
      </c>
      <c r="AB46" s="117">
        <f t="shared" si="100"/>
        <v>0.000801248295003358</v>
      </c>
      <c r="AC46" s="9">
        <f t="shared" si="100"/>
        <v>0.0032039747804148</v>
      </c>
      <c r="AD46" s="117">
        <f t="shared" si="100"/>
        <v>0.00320556203700139</v>
      </c>
      <c r="AE46" s="117">
        <f t="shared" si="100"/>
        <v>0.00645512783553836</v>
      </c>
      <c r="AF46" s="117">
        <f t="shared" si="100"/>
        <v>0.00556036228639541</v>
      </c>
      <c r="AG46" s="117">
        <f t="shared" si="100"/>
        <v>0.00620642773333892</v>
      </c>
      <c r="AH46" s="117">
        <f t="shared" si="100"/>
        <v>0.00577679567178273</v>
      </c>
      <c r="AI46" s="117">
        <f t="shared" si="100"/>
        <v>0.00389595632776856</v>
      </c>
      <c r="AJ46" s="117">
        <f t="shared" ref="AJ46:BO46" si="101">AJ6/AJ$39</f>
        <v>0.00333542247937182</v>
      </c>
      <c r="AK46" s="117">
        <f t="shared" si="101"/>
        <v>0.00290712521520592</v>
      </c>
      <c r="AL46" s="117">
        <f t="shared" si="101"/>
        <v>0.00422261326242048</v>
      </c>
      <c r="AM46" s="117">
        <f t="shared" si="101"/>
        <v>0.00501847171538729</v>
      </c>
      <c r="AN46" s="117">
        <f t="shared" si="101"/>
        <v>0.00224392930722685</v>
      </c>
      <c r="AO46" s="117">
        <f t="shared" si="101"/>
        <v>0.00147760868570583</v>
      </c>
      <c r="AP46" s="9">
        <f t="shared" si="101"/>
        <v>0.00406685479902256</v>
      </c>
      <c r="AQ46" s="117">
        <f t="shared" si="101"/>
        <v>0.00458128288573976</v>
      </c>
      <c r="AR46" s="117">
        <f t="shared" si="101"/>
        <v>0.013179855517879</v>
      </c>
      <c r="AS46" s="117">
        <f t="shared" si="101"/>
        <v>0.013548046999277</v>
      </c>
      <c r="AT46" s="117">
        <f t="shared" si="101"/>
        <v>0.010529902569037</v>
      </c>
      <c r="AU46" s="117">
        <f t="shared" si="101"/>
        <v>0.0123978661760976</v>
      </c>
      <c r="AV46" s="117">
        <f t="shared" si="101"/>
        <v>0.0064655212887146</v>
      </c>
      <c r="AW46" s="117">
        <f t="shared" si="101"/>
        <v>0.00368811274706396</v>
      </c>
      <c r="AX46" s="117">
        <f t="shared" si="101"/>
        <v>0.004200091854228</v>
      </c>
      <c r="AY46" s="117">
        <f t="shared" si="101"/>
        <v>0.00521048860405299</v>
      </c>
      <c r="AZ46" s="117">
        <f t="shared" si="101"/>
        <v>0.0102002434826635</v>
      </c>
      <c r="BA46" s="117">
        <f t="shared" si="101"/>
        <v>0.0059184747025744</v>
      </c>
      <c r="BB46" s="117">
        <f t="shared" si="101"/>
        <v>0.00358871111131907</v>
      </c>
      <c r="BC46" s="9">
        <f t="shared" si="101"/>
        <v>0.00746793648148322</v>
      </c>
      <c r="BD46" s="117">
        <f t="shared" si="101"/>
        <v>0.0135776901362934</v>
      </c>
      <c r="BE46" s="117">
        <f t="shared" si="101"/>
        <v>0.0110001096347478</v>
      </c>
      <c r="BF46" s="117">
        <f t="shared" si="101"/>
        <v>0.0107296050996181</v>
      </c>
      <c r="BG46" s="117">
        <f t="shared" si="101"/>
        <v>0.0106792128255217</v>
      </c>
      <c r="BH46" s="117">
        <f t="shared" si="101"/>
        <v>0.011761026399934</v>
      </c>
      <c r="BI46" s="117">
        <f t="shared" si="101"/>
        <v>0.00719994161415582</v>
      </c>
      <c r="BJ46" s="117">
        <f t="shared" si="101"/>
        <v>0.00421088308080377</v>
      </c>
      <c r="BK46" s="117">
        <f t="shared" si="101"/>
        <v>0.00352167236577286</v>
      </c>
      <c r="BL46" s="117">
        <f t="shared" si="101"/>
        <v>0.00578079153138093</v>
      </c>
      <c r="BM46" s="117">
        <f t="shared" si="101"/>
        <v>0.00482486828146395</v>
      </c>
      <c r="BN46" s="117">
        <f t="shared" si="101"/>
        <v>0.00292547539338884</v>
      </c>
      <c r="BO46" s="117">
        <f t="shared" si="101"/>
        <v>0.00130540919235896</v>
      </c>
      <c r="BP46" s="9">
        <f t="shared" ref="BP46:CU46" si="102">BP6/BP$39</f>
        <v>0.00730932558649446</v>
      </c>
      <c r="BQ46" s="117">
        <f t="shared" si="102"/>
        <v>0.0156304139922923</v>
      </c>
      <c r="BR46" s="117">
        <f t="shared" si="102"/>
        <v>0.0341383080538705</v>
      </c>
      <c r="BS46" s="117">
        <f t="shared" si="102"/>
        <v>0.0433363428271845</v>
      </c>
      <c r="BT46" s="117">
        <f t="shared" si="102"/>
        <v>0.0311302591784443</v>
      </c>
      <c r="BU46" s="117">
        <f t="shared" si="102"/>
        <v>0.0244208645220203</v>
      </c>
      <c r="BV46" s="117">
        <f t="shared" si="102"/>
        <v>0.0145488498414654</v>
      </c>
      <c r="BW46" s="117">
        <f t="shared" si="102"/>
        <v>0.0140628597882982</v>
      </c>
      <c r="BX46" s="117">
        <f t="shared" si="102"/>
        <v>0.021120134313561</v>
      </c>
      <c r="BY46" s="117">
        <f t="shared" si="102"/>
        <v>0.0128427017474764</v>
      </c>
      <c r="BZ46" s="117">
        <f t="shared" si="102"/>
        <v>0.0502141531330985</v>
      </c>
      <c r="CA46" s="117">
        <f t="shared" si="102"/>
        <v>0.0319622410921416</v>
      </c>
      <c r="CB46" s="117">
        <f t="shared" si="102"/>
        <v>0.0235871259187582</v>
      </c>
      <c r="CC46" s="9">
        <f t="shared" si="102"/>
        <v>0.0266433185141538</v>
      </c>
      <c r="CD46" s="117">
        <f t="shared" si="102"/>
        <v>0.0139414495918159</v>
      </c>
      <c r="CE46" s="117">
        <f t="shared" si="102"/>
        <v>0.020064954586265</v>
      </c>
      <c r="CF46" s="117">
        <f t="shared" si="102"/>
        <v>0.0177194420170806</v>
      </c>
      <c r="CG46" s="117">
        <f t="shared" si="102"/>
        <v>0.0179647331653487</v>
      </c>
      <c r="CH46" s="117">
        <f t="shared" si="102"/>
        <v>0.0340263150632351</v>
      </c>
      <c r="CI46" s="117">
        <f t="shared" si="102"/>
        <v>0.0156955176577765</v>
      </c>
      <c r="CJ46" s="117">
        <f t="shared" si="102"/>
        <v>0.0159742594733395</v>
      </c>
      <c r="CK46" s="117">
        <f t="shared" si="102"/>
        <v>0.0269747660293524</v>
      </c>
      <c r="CL46" s="117">
        <f t="shared" si="102"/>
        <v>0.0113822831835689</v>
      </c>
      <c r="CM46" s="117">
        <f t="shared" si="102"/>
        <v>0.0165049038150099</v>
      </c>
      <c r="CN46" s="117">
        <f t="shared" si="102"/>
        <v>0.0102855537602558</v>
      </c>
      <c r="CO46" s="117">
        <f t="shared" si="102"/>
        <v>0.00261665345566706</v>
      </c>
      <c r="CP46" s="9">
        <f t="shared" si="102"/>
        <v>0.0169438181244911</v>
      </c>
      <c r="CQ46" s="117">
        <f t="shared" si="102"/>
        <v>0.00759942043781923</v>
      </c>
      <c r="CR46" s="117">
        <f t="shared" si="102"/>
        <v>0.00708005067356417</v>
      </c>
      <c r="CS46" s="117">
        <f t="shared" si="102"/>
        <v>0.00400597131242775</v>
      </c>
      <c r="CT46" s="117">
        <f t="shared" si="102"/>
        <v>0.00647641119428301</v>
      </c>
      <c r="CU46" s="117">
        <f t="shared" si="102"/>
        <v>0.00916639139504279</v>
      </c>
      <c r="CV46" s="117">
        <f t="shared" ref="CV46:EA46" si="103">CV6/CV$39</f>
        <v>0.00598670080350957</v>
      </c>
      <c r="CW46" s="117">
        <f t="shared" si="103"/>
        <v>0.00478330590965409</v>
      </c>
      <c r="CX46" s="117">
        <f t="shared" si="103"/>
        <v>0.00476791738492726</v>
      </c>
      <c r="CY46" s="117">
        <f t="shared" si="103"/>
        <v>0.0059777517720345</v>
      </c>
      <c r="CZ46" s="117">
        <f t="shared" si="103"/>
        <v>0.00668053283571153</v>
      </c>
      <c r="DA46" s="117">
        <f t="shared" si="103"/>
        <v>0.00246233376121465</v>
      </c>
      <c r="DB46" s="117">
        <f t="shared" si="103"/>
        <v>0.00112940281772194</v>
      </c>
      <c r="DC46" s="9">
        <f t="shared" si="103"/>
        <v>0.00558831398082102</v>
      </c>
      <c r="DD46" s="117">
        <f t="shared" si="103"/>
        <v>0.00528244765206114</v>
      </c>
      <c r="DE46" s="117">
        <f t="shared" si="103"/>
        <v>0.01145676107395</v>
      </c>
      <c r="DF46" s="117">
        <f t="shared" si="103"/>
        <v>0.0131766731229324</v>
      </c>
      <c r="DG46" s="117">
        <f t="shared" si="103"/>
        <v>0.0122297874361952</v>
      </c>
      <c r="DH46" s="117">
        <f t="shared" si="103"/>
        <v>0.0153066933121456</v>
      </c>
      <c r="DI46" s="117">
        <f t="shared" si="103"/>
        <v>0.0140009924159456</v>
      </c>
      <c r="DJ46" s="117">
        <f t="shared" si="103"/>
        <v>0.0089008787971992</v>
      </c>
      <c r="DK46" s="117">
        <f t="shared" si="103"/>
        <v>0.00736767178183782</v>
      </c>
      <c r="DL46" s="117">
        <f t="shared" si="103"/>
        <v>0.010800799782406</v>
      </c>
      <c r="DM46" s="117">
        <f t="shared" si="103"/>
        <v>0.0105668727547618</v>
      </c>
      <c r="DN46" s="117">
        <f t="shared" si="103"/>
        <v>0.0041377223175047</v>
      </c>
      <c r="DO46" s="117">
        <f t="shared" si="103"/>
        <v>0.00169941802168722</v>
      </c>
      <c r="DP46" s="9">
        <f t="shared" si="103"/>
        <v>0.00948318167549625</v>
      </c>
      <c r="DQ46" s="117">
        <f t="shared" si="103"/>
        <v>0.00581176009482405</v>
      </c>
      <c r="DR46" s="117">
        <f t="shared" si="103"/>
        <v>0.008383963531077</v>
      </c>
      <c r="DS46" s="117">
        <f t="shared" si="103"/>
        <v>0.0061109743715772</v>
      </c>
      <c r="DT46" s="117">
        <f t="shared" si="103"/>
        <v>0.00524651881998623</v>
      </c>
      <c r="DU46" s="117">
        <f t="shared" si="103"/>
        <v>0.00656470298471981</v>
      </c>
      <c r="DV46" s="117">
        <f t="shared" si="103"/>
        <v>0.0106836662314595</v>
      </c>
      <c r="DW46" s="117">
        <f t="shared" si="103"/>
        <v>0.00915264860723705</v>
      </c>
      <c r="DX46" s="117">
        <f t="shared" si="103"/>
        <v>0.00558840800875018</v>
      </c>
      <c r="DY46" s="117">
        <f t="shared" si="103"/>
        <v>0.00765383867224998</v>
      </c>
      <c r="DZ46" s="117">
        <f t="shared" si="103"/>
        <v>0.00500172871762659</v>
      </c>
      <c r="EA46" s="117">
        <f t="shared" si="103"/>
        <v>0.000553841448609412</v>
      </c>
      <c r="EB46" s="117">
        <f t="shared" ref="EB46:FT46" si="104">EB6/EB$39</f>
        <v>0.000172996543640529</v>
      </c>
      <c r="EC46" s="117">
        <f t="shared" si="104"/>
        <v>0.00596926187922071</v>
      </c>
      <c r="ED46" s="118">
        <f t="shared" si="104"/>
        <v>0</v>
      </c>
      <c r="EE46" s="117">
        <f t="shared" si="104"/>
        <v>0.0113102964620543</v>
      </c>
      <c r="EF46" s="117">
        <f t="shared" si="104"/>
        <v>0</v>
      </c>
      <c r="EG46" s="117">
        <f t="shared" si="104"/>
        <v>0</v>
      </c>
      <c r="EH46" s="117" t="e">
        <f t="shared" si="104"/>
        <v>#DIV/0!</v>
      </c>
      <c r="EI46" s="117" t="e">
        <f t="shared" si="104"/>
        <v>#DIV/0!</v>
      </c>
      <c r="EJ46" s="117" t="e">
        <f t="shared" si="104"/>
        <v>#DIV/0!</v>
      </c>
      <c r="EK46" s="117" t="e">
        <f t="shared" si="104"/>
        <v>#DIV/0!</v>
      </c>
      <c r="EL46" s="117" t="e">
        <f t="shared" si="104"/>
        <v>#DIV/0!</v>
      </c>
      <c r="EM46" s="117" t="e">
        <f t="shared" si="104"/>
        <v>#DIV/0!</v>
      </c>
      <c r="EN46" s="117" t="e">
        <f t="shared" si="104"/>
        <v>#DIV/0!</v>
      </c>
      <c r="EO46" s="117" t="e">
        <f t="shared" si="104"/>
        <v>#DIV/0!</v>
      </c>
      <c r="EP46" s="9">
        <f t="shared" si="104"/>
        <v>0.0017155204223477</v>
      </c>
      <c r="EQ46" s="117">
        <f t="shared" si="104"/>
        <v>0.0195128835152895</v>
      </c>
      <c r="ER46" s="117">
        <f t="shared" si="104"/>
        <v>0.0162993889685404</v>
      </c>
      <c r="ES46" s="117">
        <f t="shared" si="104"/>
        <v>0.0372427408169294</v>
      </c>
      <c r="ET46" s="117">
        <f t="shared" si="104"/>
        <v>0.0282710198277702</v>
      </c>
      <c r="EU46" s="117">
        <f t="shared" si="104"/>
        <v>0.040122858742637</v>
      </c>
      <c r="EV46" s="117">
        <f t="shared" si="104"/>
        <v>0.0186385422104694</v>
      </c>
      <c r="EW46" s="117">
        <f t="shared" si="104"/>
        <v>0.0178313707754353</v>
      </c>
      <c r="EX46" s="117">
        <f t="shared" si="104"/>
        <v>0.015893974300869</v>
      </c>
      <c r="EY46" s="117">
        <f t="shared" si="104"/>
        <v>0.013791098604766</v>
      </c>
      <c r="EZ46" s="117">
        <f t="shared" si="104"/>
        <v>0.0401747206677534</v>
      </c>
      <c r="FA46" s="117">
        <f t="shared" si="104"/>
        <v>0.0269705422742902</v>
      </c>
      <c r="FB46" s="117">
        <f t="shared" si="104"/>
        <v>0.0118340965383574</v>
      </c>
      <c r="FC46" s="117">
        <f t="shared" si="104"/>
        <v>0.0241273105969341</v>
      </c>
      <c r="FD46" s="118"/>
      <c r="FE46" s="117"/>
      <c r="FF46" s="117"/>
      <c r="FG46" s="117"/>
      <c r="FH46" s="117"/>
      <c r="FI46" s="117"/>
      <c r="FJ46" s="117"/>
      <c r="FK46" s="117"/>
      <c r="FL46" s="117"/>
      <c r="FM46" s="117"/>
      <c r="FN46" s="117"/>
      <c r="FO46" s="117"/>
      <c r="FP46" s="9"/>
      <c r="FQ46" s="118">
        <f t="shared" si="104"/>
        <v>0.0241259201050242</v>
      </c>
      <c r="FR46" s="117">
        <f t="shared" si="104"/>
        <v>0.0170468094057619</v>
      </c>
      <c r="FS46" s="117">
        <f t="shared" si="104"/>
        <v>0.025157857562661</v>
      </c>
      <c r="FT46" s="117">
        <f t="shared" si="104"/>
        <v>0.0149878138190249</v>
      </c>
      <c r="FU46" s="117">
        <f t="shared" ref="FU46:GC46" si="105">FU6/FU$39</f>
        <v>0.0169532422113921</v>
      </c>
      <c r="FV46" s="117">
        <f t="shared" si="105"/>
        <v>0.00595656071845762</v>
      </c>
      <c r="FW46" s="117">
        <f t="shared" si="105"/>
        <v>0.0209750273468749</v>
      </c>
      <c r="FX46" s="117">
        <f t="shared" si="105"/>
        <v>0.00478188967684925</v>
      </c>
      <c r="FY46" s="117">
        <f t="shared" si="105"/>
        <v>0.00999814772134701</v>
      </c>
      <c r="FZ46" s="117">
        <f t="shared" si="105"/>
        <v>0.0492547610951829</v>
      </c>
      <c r="GA46" s="117">
        <f t="shared" si="105"/>
        <v>0.00511763838409553</v>
      </c>
      <c r="GB46" s="117">
        <f t="shared" si="105"/>
        <v>0.00207898087870278</v>
      </c>
      <c r="GC46" s="9">
        <f t="shared" si="105"/>
        <v>0.01683040705849</v>
      </c>
    </row>
    <row r="47" customHeight="1" spans="1:185">
      <c r="A47" s="114"/>
      <c r="B47" s="115" t="s">
        <v>400</v>
      </c>
      <c r="C47" s="116">
        <f t="shared" si="87"/>
        <v>-0.374886342027006</v>
      </c>
      <c r="D47" s="117">
        <f t="shared" ref="D47:AI47" si="106">D7/D$39</f>
        <v>0.000524205342980729</v>
      </c>
      <c r="E47" s="117">
        <f t="shared" si="106"/>
        <v>0.000520170310433582</v>
      </c>
      <c r="F47" s="117">
        <f t="shared" si="106"/>
        <v>0.000651984747608927</v>
      </c>
      <c r="G47" s="117">
        <f t="shared" si="106"/>
        <v>0.00122208785953933</v>
      </c>
      <c r="H47" s="117">
        <f t="shared" si="106"/>
        <v>0.00420098450184013</v>
      </c>
      <c r="I47" s="117">
        <f t="shared" si="106"/>
        <v>0.00641557283041276</v>
      </c>
      <c r="J47" s="117">
        <f t="shared" si="106"/>
        <v>0.00483456004450297</v>
      </c>
      <c r="K47" s="117">
        <f t="shared" si="106"/>
        <v>0.0026161482426107</v>
      </c>
      <c r="L47" s="117">
        <f t="shared" si="106"/>
        <v>0.0016055470458597</v>
      </c>
      <c r="M47" s="117">
        <f t="shared" si="106"/>
        <v>0.00261837189774041</v>
      </c>
      <c r="N47" s="117">
        <f t="shared" si="106"/>
        <v>0.00163031307423617</v>
      </c>
      <c r="O47" s="117">
        <f t="shared" si="106"/>
        <v>0.00119509720578886</v>
      </c>
      <c r="P47" s="9">
        <f t="shared" si="106"/>
        <v>0.0021323894307621</v>
      </c>
      <c r="Q47" s="117">
        <f t="shared" si="106"/>
        <v>7.84396347143689e-5</v>
      </c>
      <c r="R47" s="117">
        <f t="shared" si="106"/>
        <v>0.000130284651218342</v>
      </c>
      <c r="S47" s="117">
        <f t="shared" si="106"/>
        <v>0.000241756067868205</v>
      </c>
      <c r="T47" s="117">
        <f t="shared" si="106"/>
        <v>0.000374180115832806</v>
      </c>
      <c r="U47" s="117">
        <f t="shared" si="106"/>
        <v>0.000955039881627773</v>
      </c>
      <c r="V47" s="117">
        <f t="shared" si="106"/>
        <v>0.00486565179781108</v>
      </c>
      <c r="W47" s="117">
        <f t="shared" si="106"/>
        <v>0.00912114844617123</v>
      </c>
      <c r="X47" s="117">
        <f t="shared" si="106"/>
        <v>0.00743759801056983</v>
      </c>
      <c r="Y47" s="117">
        <f t="shared" si="106"/>
        <v>0.0058494789765234</v>
      </c>
      <c r="Z47" s="117">
        <f t="shared" si="106"/>
        <v>0.00108141124354134</v>
      </c>
      <c r="AA47" s="117">
        <f t="shared" si="106"/>
        <v>0.0015074693540273</v>
      </c>
      <c r="AB47" s="117">
        <f t="shared" si="106"/>
        <v>0.00195445034321924</v>
      </c>
      <c r="AC47" s="9">
        <f t="shared" si="106"/>
        <v>0.00277522626637384</v>
      </c>
      <c r="AD47" s="117">
        <f t="shared" si="106"/>
        <v>0</v>
      </c>
      <c r="AE47" s="117">
        <f t="shared" si="106"/>
        <v>0</v>
      </c>
      <c r="AF47" s="117">
        <f t="shared" si="106"/>
        <v>0</v>
      </c>
      <c r="AG47" s="117">
        <f t="shared" si="106"/>
        <v>0.000176289497183018</v>
      </c>
      <c r="AH47" s="117">
        <f t="shared" si="106"/>
        <v>9.35535602445074e-5</v>
      </c>
      <c r="AI47" s="117">
        <f t="shared" si="106"/>
        <v>0.00356719456456152</v>
      </c>
      <c r="AJ47" s="117">
        <f t="shared" ref="AJ47:BO47" si="107">AJ7/AJ$39</f>
        <v>0.00632788076792472</v>
      </c>
      <c r="AK47" s="117">
        <f t="shared" si="107"/>
        <v>0.00352475463453729</v>
      </c>
      <c r="AL47" s="117">
        <f t="shared" si="107"/>
        <v>0.00242908172163208</v>
      </c>
      <c r="AM47" s="117">
        <f t="shared" si="107"/>
        <v>0.00283707311501924</v>
      </c>
      <c r="AN47" s="117">
        <f t="shared" si="107"/>
        <v>0.00303630559387911</v>
      </c>
      <c r="AO47" s="117">
        <f t="shared" si="107"/>
        <v>0.00278023579436769</v>
      </c>
      <c r="AP47" s="9">
        <f t="shared" si="107"/>
        <v>0.00217768805873742</v>
      </c>
      <c r="AQ47" s="117">
        <f t="shared" si="107"/>
        <v>0.000306119753187637</v>
      </c>
      <c r="AR47" s="117">
        <f t="shared" si="107"/>
        <v>0.000220437221484863</v>
      </c>
      <c r="AS47" s="117">
        <f t="shared" si="107"/>
        <v>0.000503161367234993</v>
      </c>
      <c r="AT47" s="117">
        <f t="shared" si="107"/>
        <v>0.000628829235717649</v>
      </c>
      <c r="AU47" s="117">
        <f t="shared" si="107"/>
        <v>0.00171707955352083</v>
      </c>
      <c r="AV47" s="117">
        <f t="shared" si="107"/>
        <v>0.00100771525483129</v>
      </c>
      <c r="AW47" s="117">
        <f t="shared" si="107"/>
        <v>0.000626168067010256</v>
      </c>
      <c r="AX47" s="117">
        <f t="shared" si="107"/>
        <v>0.000331869395209684</v>
      </c>
      <c r="AY47" s="117">
        <f t="shared" si="107"/>
        <v>9.53436062910732e-5</v>
      </c>
      <c r="AZ47" s="117">
        <f t="shared" si="107"/>
        <v>0.0011021394694197</v>
      </c>
      <c r="BA47" s="117">
        <f t="shared" si="107"/>
        <v>0.000807295636122089</v>
      </c>
      <c r="BB47" s="117">
        <f t="shared" si="107"/>
        <v>0.000186880767159177</v>
      </c>
      <c r="BC47" s="9">
        <f t="shared" si="107"/>
        <v>0.000585825644078925</v>
      </c>
      <c r="BD47" s="117">
        <f t="shared" si="107"/>
        <v>0.000167796735986611</v>
      </c>
      <c r="BE47" s="117">
        <f t="shared" si="107"/>
        <v>0.000105670646690038</v>
      </c>
      <c r="BF47" s="117">
        <f t="shared" si="107"/>
        <v>0.000382764468282105</v>
      </c>
      <c r="BG47" s="117">
        <f t="shared" si="107"/>
        <v>0.00191595651243304</v>
      </c>
      <c r="BH47" s="117">
        <f t="shared" si="107"/>
        <v>0.00333685274060531</v>
      </c>
      <c r="BI47" s="117">
        <f t="shared" si="107"/>
        <v>0.00413444404763338</v>
      </c>
      <c r="BJ47" s="117">
        <f t="shared" si="107"/>
        <v>0.00533299380646922</v>
      </c>
      <c r="BK47" s="117">
        <f t="shared" si="107"/>
        <v>0.00243601840937565</v>
      </c>
      <c r="BL47" s="117">
        <f t="shared" si="107"/>
        <v>0.000523842249310795</v>
      </c>
      <c r="BM47" s="117">
        <f t="shared" si="107"/>
        <v>0.00538331105987298</v>
      </c>
      <c r="BN47" s="117">
        <f t="shared" si="107"/>
        <v>0.00188506820758407</v>
      </c>
      <c r="BO47" s="117">
        <f t="shared" si="107"/>
        <v>0.000659734402081718</v>
      </c>
      <c r="BP47" s="9">
        <f t="shared" ref="BP47:CU47" si="108">BP7/BP$39</f>
        <v>0.00202008603271813</v>
      </c>
      <c r="BQ47" s="117">
        <f t="shared" si="108"/>
        <v>0.00101890714651166</v>
      </c>
      <c r="BR47" s="117">
        <f t="shared" si="108"/>
        <v>0.00113181952633854</v>
      </c>
      <c r="BS47" s="117">
        <f t="shared" si="108"/>
        <v>0.00119074091245661</v>
      </c>
      <c r="BT47" s="117">
        <f t="shared" si="108"/>
        <v>0.00119649334474936</v>
      </c>
      <c r="BU47" s="117">
        <f t="shared" si="108"/>
        <v>0.00648030851232729</v>
      </c>
      <c r="BV47" s="117">
        <f t="shared" si="108"/>
        <v>0.00750383905248044</v>
      </c>
      <c r="BW47" s="117">
        <f t="shared" si="108"/>
        <v>0.00179925923531498</v>
      </c>
      <c r="BX47" s="117">
        <f t="shared" si="108"/>
        <v>0.000388226844782837</v>
      </c>
      <c r="BY47" s="117">
        <f t="shared" si="108"/>
        <v>0.000318131818065195</v>
      </c>
      <c r="BZ47" s="117">
        <f t="shared" si="108"/>
        <v>0.0036013810796317</v>
      </c>
      <c r="CA47" s="117">
        <f t="shared" si="108"/>
        <v>0.000370901025037663</v>
      </c>
      <c r="CB47" s="117">
        <f t="shared" si="108"/>
        <v>0.00121523829132147</v>
      </c>
      <c r="CC47" s="9">
        <f t="shared" si="108"/>
        <v>0.00195868592022186</v>
      </c>
      <c r="CD47" s="117">
        <f t="shared" si="108"/>
        <v>0.00156444630382932</v>
      </c>
      <c r="CE47" s="117">
        <f t="shared" si="108"/>
        <v>0.00148767679398696</v>
      </c>
      <c r="CF47" s="117">
        <f t="shared" si="108"/>
        <v>0.00140780795891949</v>
      </c>
      <c r="CG47" s="117">
        <f t="shared" si="108"/>
        <v>0.00106037813648356</v>
      </c>
      <c r="CH47" s="117">
        <f t="shared" si="108"/>
        <v>0.0147097826781855</v>
      </c>
      <c r="CI47" s="117">
        <f t="shared" si="108"/>
        <v>0.00278342830316596</v>
      </c>
      <c r="CJ47" s="117">
        <f t="shared" si="108"/>
        <v>0.00262720405765146</v>
      </c>
      <c r="CK47" s="117">
        <f t="shared" si="108"/>
        <v>0.00076259893590233</v>
      </c>
      <c r="CL47" s="117">
        <f t="shared" si="108"/>
        <v>0.000118751505461471</v>
      </c>
      <c r="CM47" s="117">
        <f t="shared" si="108"/>
        <v>0.00323315943242368</v>
      </c>
      <c r="CN47" s="117">
        <f t="shared" si="108"/>
        <v>0.00391180445966747</v>
      </c>
      <c r="CO47" s="117">
        <f t="shared" si="108"/>
        <v>0.00135285257608455</v>
      </c>
      <c r="CP47" s="9">
        <f t="shared" si="108"/>
        <v>0.00295091724196929</v>
      </c>
      <c r="CQ47" s="117">
        <f t="shared" si="108"/>
        <v>0.000242929456925354</v>
      </c>
      <c r="CR47" s="117">
        <f t="shared" si="108"/>
        <v>0.000308399175592822</v>
      </c>
      <c r="CS47" s="117">
        <f t="shared" si="108"/>
        <v>0.000561063235258458</v>
      </c>
      <c r="CT47" s="117">
        <f t="shared" si="108"/>
        <v>0.00153894856854121</v>
      </c>
      <c r="CU47" s="117">
        <f t="shared" si="108"/>
        <v>0.00180193364278839</v>
      </c>
      <c r="CV47" s="117">
        <f t="shared" ref="CV47:EA47" si="109">CV7/CV$39</f>
        <v>0.00466660320072246</v>
      </c>
      <c r="CW47" s="117">
        <f t="shared" si="109"/>
        <v>0.0054369655667318</v>
      </c>
      <c r="CX47" s="117">
        <f t="shared" si="109"/>
        <v>0.00256282306724211</v>
      </c>
      <c r="CY47" s="117">
        <f t="shared" si="109"/>
        <v>0.00136066139883206</v>
      </c>
      <c r="CZ47" s="117">
        <f t="shared" si="109"/>
        <v>0.00426364386767234</v>
      </c>
      <c r="DA47" s="117">
        <f t="shared" si="109"/>
        <v>0.0043789465090683</v>
      </c>
      <c r="DB47" s="117">
        <f t="shared" si="109"/>
        <v>0.00130382796331607</v>
      </c>
      <c r="DC47" s="9">
        <f t="shared" si="109"/>
        <v>0.00224124319220165</v>
      </c>
      <c r="DD47" s="117">
        <f t="shared" si="109"/>
        <v>0</v>
      </c>
      <c r="DE47" s="117">
        <f t="shared" si="109"/>
        <v>0</v>
      </c>
      <c r="DF47" s="117">
        <f t="shared" si="109"/>
        <v>0.00341567870993777</v>
      </c>
      <c r="DG47" s="117">
        <f t="shared" si="109"/>
        <v>0.00299789595487516</v>
      </c>
      <c r="DH47" s="117">
        <f t="shared" si="109"/>
        <v>0.00284939582883769</v>
      </c>
      <c r="DI47" s="117">
        <f t="shared" si="109"/>
        <v>0.00791106719947854</v>
      </c>
      <c r="DJ47" s="117">
        <f t="shared" si="109"/>
        <v>0.00187765078810012</v>
      </c>
      <c r="DK47" s="117">
        <f t="shared" si="109"/>
        <v>0</v>
      </c>
      <c r="DL47" s="117">
        <f t="shared" si="109"/>
        <v>0</v>
      </c>
      <c r="DM47" s="117">
        <f t="shared" si="109"/>
        <v>0.00619973803345937</v>
      </c>
      <c r="DN47" s="117">
        <f t="shared" si="109"/>
        <v>0.00318455960042446</v>
      </c>
      <c r="DO47" s="117">
        <f t="shared" si="109"/>
        <v>0.00171423452106527</v>
      </c>
      <c r="DP47" s="9">
        <f t="shared" si="109"/>
        <v>0.00227481440274854</v>
      </c>
      <c r="DQ47" s="117">
        <f t="shared" si="109"/>
        <v>0.0012801734631097</v>
      </c>
      <c r="DR47" s="117">
        <f t="shared" si="109"/>
        <v>0.00100251598659294</v>
      </c>
      <c r="DS47" s="117">
        <f t="shared" si="109"/>
        <v>0.00170236529421266</v>
      </c>
      <c r="DT47" s="117">
        <f t="shared" si="109"/>
        <v>0.00201417463066182</v>
      </c>
      <c r="DU47" s="117">
        <f t="shared" si="109"/>
        <v>0.00238112225118435</v>
      </c>
      <c r="DV47" s="117">
        <f t="shared" si="109"/>
        <v>0.00501060963662831</v>
      </c>
      <c r="DW47" s="117">
        <f t="shared" si="109"/>
        <v>0.00868237628897948</v>
      </c>
      <c r="DX47" s="117">
        <f t="shared" si="109"/>
        <v>0.00758112646968192</v>
      </c>
      <c r="DY47" s="117">
        <f t="shared" si="109"/>
        <v>0.00239882336961681</v>
      </c>
      <c r="DZ47" s="117">
        <f t="shared" si="109"/>
        <v>0.00279232081169828</v>
      </c>
      <c r="EA47" s="117">
        <f t="shared" si="109"/>
        <v>0.00141683364439213</v>
      </c>
      <c r="EB47" s="117">
        <f t="shared" ref="EB47:FT47" si="110">EB7/EB$39</f>
        <v>0.00129917861002986</v>
      </c>
      <c r="EC47" s="117">
        <f t="shared" si="110"/>
        <v>0.00300278347560361</v>
      </c>
      <c r="ED47" s="118">
        <f t="shared" si="110"/>
        <v>0</v>
      </c>
      <c r="EE47" s="117">
        <f t="shared" si="110"/>
        <v>0</v>
      </c>
      <c r="EF47" s="117">
        <f t="shared" si="110"/>
        <v>0</v>
      </c>
      <c r="EG47" s="117">
        <f t="shared" si="110"/>
        <v>0</v>
      </c>
      <c r="EH47" s="117" t="e">
        <f t="shared" si="110"/>
        <v>#DIV/0!</v>
      </c>
      <c r="EI47" s="117" t="e">
        <f t="shared" si="110"/>
        <v>#DIV/0!</v>
      </c>
      <c r="EJ47" s="117" t="e">
        <f t="shared" si="110"/>
        <v>#DIV/0!</v>
      </c>
      <c r="EK47" s="117" t="e">
        <f t="shared" si="110"/>
        <v>#DIV/0!</v>
      </c>
      <c r="EL47" s="117" t="e">
        <f t="shared" si="110"/>
        <v>#DIV/0!</v>
      </c>
      <c r="EM47" s="117" t="e">
        <f t="shared" si="110"/>
        <v>#DIV/0!</v>
      </c>
      <c r="EN47" s="117" t="e">
        <f t="shared" si="110"/>
        <v>#DIV/0!</v>
      </c>
      <c r="EO47" s="117" t="e">
        <f t="shared" si="110"/>
        <v>#DIV/0!</v>
      </c>
      <c r="EP47" s="9">
        <f t="shared" si="110"/>
        <v>0</v>
      </c>
      <c r="EQ47" s="117">
        <f t="shared" si="110"/>
        <v>0.00048789208445765</v>
      </c>
      <c r="ER47" s="117">
        <f t="shared" si="110"/>
        <v>0.00164047409061503</v>
      </c>
      <c r="ES47" s="117">
        <f t="shared" si="110"/>
        <v>8.8885369459909e-5</v>
      </c>
      <c r="ET47" s="117">
        <f t="shared" si="110"/>
        <v>0.00237352073851007</v>
      </c>
      <c r="EU47" s="117">
        <f t="shared" si="110"/>
        <v>0.00335889144494393</v>
      </c>
      <c r="EV47" s="117">
        <f t="shared" si="110"/>
        <v>0.00842639333801067</v>
      </c>
      <c r="EW47" s="117">
        <f t="shared" si="110"/>
        <v>0.0081529218713663</v>
      </c>
      <c r="EX47" s="117">
        <f t="shared" si="110"/>
        <v>0.00437875072615297</v>
      </c>
      <c r="EY47" s="117">
        <f t="shared" si="110"/>
        <v>0.00376761880340253</v>
      </c>
      <c r="EZ47" s="117">
        <f t="shared" si="110"/>
        <v>0.00316628560047409</v>
      </c>
      <c r="FA47" s="117">
        <f t="shared" si="110"/>
        <v>0.0018268865745468</v>
      </c>
      <c r="FB47" s="117">
        <f t="shared" si="110"/>
        <v>0.00131442678479046</v>
      </c>
      <c r="FC47" s="117">
        <f t="shared" si="110"/>
        <v>0.00321536853290486</v>
      </c>
      <c r="FD47" s="118"/>
      <c r="FE47" s="117"/>
      <c r="FF47" s="117"/>
      <c r="FG47" s="117"/>
      <c r="FH47" s="117"/>
      <c r="FI47" s="117"/>
      <c r="FJ47" s="117"/>
      <c r="FK47" s="117"/>
      <c r="FL47" s="117"/>
      <c r="FM47" s="117"/>
      <c r="FN47" s="117"/>
      <c r="FO47" s="117"/>
      <c r="FP47" s="9"/>
      <c r="FQ47" s="118">
        <f t="shared" si="110"/>
        <v>0.000391611246320645</v>
      </c>
      <c r="FR47" s="117">
        <f t="shared" si="110"/>
        <v>0.000325883408253309</v>
      </c>
      <c r="FS47" s="117">
        <f t="shared" si="110"/>
        <v>0.000374743600561841</v>
      </c>
      <c r="FT47" s="117">
        <f t="shared" si="110"/>
        <v>0.00133826124688939</v>
      </c>
      <c r="FU47" s="117">
        <f t="shared" ref="FU47:GC47" si="111">FU7/FU$39</f>
        <v>0.00738586645499449</v>
      </c>
      <c r="FV47" s="117">
        <f t="shared" si="111"/>
        <v>0.012493663526682</v>
      </c>
      <c r="FW47" s="117">
        <f t="shared" si="111"/>
        <v>0.00380636835495715</v>
      </c>
      <c r="FX47" s="117">
        <f t="shared" si="111"/>
        <v>0.000456010003411734</v>
      </c>
      <c r="FY47" s="117">
        <f t="shared" si="111"/>
        <v>0.00029257504972616</v>
      </c>
      <c r="FZ47" s="117">
        <f t="shared" si="111"/>
        <v>0.00148736606664386</v>
      </c>
      <c r="GA47" s="117">
        <f t="shared" si="111"/>
        <v>0.00121833018230274</v>
      </c>
      <c r="GB47" s="117">
        <f t="shared" si="111"/>
        <v>0.000673868459069005</v>
      </c>
      <c r="GC47" s="9">
        <f t="shared" si="111"/>
        <v>0.00191591073881698</v>
      </c>
    </row>
    <row r="48" customHeight="1" spans="1:185">
      <c r="A48" s="114"/>
      <c r="B48" s="115" t="s">
        <v>401</v>
      </c>
      <c r="C48" s="116">
        <f t="shared" si="87"/>
        <v>-0.388767678959645</v>
      </c>
      <c r="D48" s="117">
        <f t="shared" ref="D48:AI48" si="112">D8/D$39</f>
        <v>0.00470731710548022</v>
      </c>
      <c r="E48" s="117">
        <f t="shared" si="112"/>
        <v>0.00414226660193161</v>
      </c>
      <c r="F48" s="117">
        <f t="shared" si="112"/>
        <v>0.00592981259274748</v>
      </c>
      <c r="G48" s="117">
        <f t="shared" si="112"/>
        <v>0.00468305930980414</v>
      </c>
      <c r="H48" s="117">
        <f t="shared" si="112"/>
        <v>0.00490986261647298</v>
      </c>
      <c r="I48" s="117">
        <f t="shared" si="112"/>
        <v>0.00585600695689357</v>
      </c>
      <c r="J48" s="117">
        <f t="shared" si="112"/>
        <v>0.00763777706319821</v>
      </c>
      <c r="K48" s="117">
        <f t="shared" si="112"/>
        <v>0.00567549942045604</v>
      </c>
      <c r="L48" s="117">
        <f t="shared" si="112"/>
        <v>0.00559276495856901</v>
      </c>
      <c r="M48" s="117">
        <f t="shared" si="112"/>
        <v>0.00491005531297176</v>
      </c>
      <c r="N48" s="117">
        <f t="shared" si="112"/>
        <v>0.002738224295779</v>
      </c>
      <c r="O48" s="117">
        <f t="shared" si="112"/>
        <v>0.000658635893449119</v>
      </c>
      <c r="P48" s="9">
        <f t="shared" si="112"/>
        <v>0.00473268716096271</v>
      </c>
      <c r="Q48" s="117">
        <f t="shared" si="112"/>
        <v>0.00224697652065991</v>
      </c>
      <c r="R48" s="117">
        <f t="shared" si="112"/>
        <v>0.00170040496259799</v>
      </c>
      <c r="S48" s="117">
        <f t="shared" si="112"/>
        <v>0.00231670995697585</v>
      </c>
      <c r="T48" s="117">
        <f t="shared" si="112"/>
        <v>0.00190187949908494</v>
      </c>
      <c r="U48" s="117">
        <f t="shared" si="112"/>
        <v>0.00283002876039355</v>
      </c>
      <c r="V48" s="117">
        <f t="shared" si="112"/>
        <v>0.00395676448656271</v>
      </c>
      <c r="W48" s="117">
        <f t="shared" si="112"/>
        <v>0.00503573422271159</v>
      </c>
      <c r="X48" s="117">
        <f t="shared" si="112"/>
        <v>0.00203588784639198</v>
      </c>
      <c r="Y48" s="117">
        <f t="shared" si="112"/>
        <v>0.0019582621459042</v>
      </c>
      <c r="Z48" s="117">
        <f t="shared" si="112"/>
        <v>0.000898054713199075</v>
      </c>
      <c r="AA48" s="117">
        <f t="shared" si="112"/>
        <v>0.00107675913915858</v>
      </c>
      <c r="AB48" s="117">
        <f t="shared" si="112"/>
        <v>0.000381034530691536</v>
      </c>
      <c r="AC48" s="9">
        <f t="shared" si="112"/>
        <v>0.00212039105721988</v>
      </c>
      <c r="AD48" s="117">
        <f t="shared" si="112"/>
        <v>0.00101017979656535</v>
      </c>
      <c r="AE48" s="117">
        <f t="shared" si="112"/>
        <v>0.000975570858605088</v>
      </c>
      <c r="AF48" s="117">
        <f t="shared" si="112"/>
        <v>0.00167515793396564</v>
      </c>
      <c r="AG48" s="117">
        <f t="shared" si="112"/>
        <v>0.00103982145287728</v>
      </c>
      <c r="AH48" s="117">
        <f t="shared" si="112"/>
        <v>0.00199807848927536</v>
      </c>
      <c r="AI48" s="117">
        <f t="shared" si="112"/>
        <v>0.00592456411352322</v>
      </c>
      <c r="AJ48" s="117">
        <f t="shared" ref="AJ48:BO48" si="113">AJ8/AJ$39</f>
        <v>0.00553870758402677</v>
      </c>
      <c r="AK48" s="117">
        <f t="shared" si="113"/>
        <v>0.0016127110117119</v>
      </c>
      <c r="AL48" s="117">
        <f t="shared" si="113"/>
        <v>0.00226992838929301</v>
      </c>
      <c r="AM48" s="117">
        <f t="shared" si="113"/>
        <v>0.00121717137293983</v>
      </c>
      <c r="AN48" s="117">
        <f t="shared" si="113"/>
        <v>0.00127539045421521</v>
      </c>
      <c r="AO48" s="117">
        <f t="shared" si="113"/>
        <v>0.000388415294801368</v>
      </c>
      <c r="AP48" s="9">
        <f t="shared" si="113"/>
        <v>0.00201588843680854</v>
      </c>
      <c r="AQ48" s="117">
        <f t="shared" si="113"/>
        <v>0.00658664956782566</v>
      </c>
      <c r="AR48" s="117">
        <f t="shared" si="113"/>
        <v>0.0136381154013477</v>
      </c>
      <c r="AS48" s="117">
        <f t="shared" si="113"/>
        <v>0.00541793505724904</v>
      </c>
      <c r="AT48" s="117">
        <f t="shared" si="113"/>
        <v>0.00517274600142753</v>
      </c>
      <c r="AU48" s="117">
        <f t="shared" si="113"/>
        <v>0.00491580122519439</v>
      </c>
      <c r="AV48" s="117">
        <f t="shared" si="113"/>
        <v>0.00391446142241127</v>
      </c>
      <c r="AW48" s="117">
        <f t="shared" si="113"/>
        <v>0.00423711092600094</v>
      </c>
      <c r="AX48" s="117">
        <f t="shared" si="113"/>
        <v>0.00620650816117526</v>
      </c>
      <c r="AY48" s="117">
        <f t="shared" si="113"/>
        <v>0.00753483445524678</v>
      </c>
      <c r="AZ48" s="117">
        <f t="shared" si="113"/>
        <v>0.0049035355954948</v>
      </c>
      <c r="BA48" s="117">
        <f t="shared" si="113"/>
        <v>0.00172612019051161</v>
      </c>
      <c r="BB48" s="117">
        <f t="shared" si="113"/>
        <v>0.00133391984605752</v>
      </c>
      <c r="BC48" s="9">
        <f t="shared" si="113"/>
        <v>0.00541476149922471</v>
      </c>
      <c r="BD48" s="117">
        <f t="shared" si="113"/>
        <v>0.00562687727253826</v>
      </c>
      <c r="BE48" s="117">
        <f t="shared" si="113"/>
        <v>0.0014392995748252</v>
      </c>
      <c r="BF48" s="117">
        <f t="shared" si="113"/>
        <v>0.00357261097013249</v>
      </c>
      <c r="BG48" s="117">
        <f t="shared" si="113"/>
        <v>0.00348892276810023</v>
      </c>
      <c r="BH48" s="117">
        <f t="shared" si="113"/>
        <v>0.00581650156445856</v>
      </c>
      <c r="BI48" s="117">
        <f t="shared" si="113"/>
        <v>0.00648823284366453</v>
      </c>
      <c r="BJ48" s="117">
        <f t="shared" si="113"/>
        <v>0.00318969956570738</v>
      </c>
      <c r="BK48" s="117">
        <f t="shared" si="113"/>
        <v>0.00368407122556169</v>
      </c>
      <c r="BL48" s="117">
        <f t="shared" si="113"/>
        <v>0.00619618164179615</v>
      </c>
      <c r="BM48" s="117">
        <f t="shared" si="113"/>
        <v>0.0018725045099496</v>
      </c>
      <c r="BN48" s="117">
        <f t="shared" si="113"/>
        <v>0.001239737534487</v>
      </c>
      <c r="BO48" s="117">
        <f t="shared" si="113"/>
        <v>0.000440559040051222</v>
      </c>
      <c r="BP48" s="9">
        <f t="shared" ref="BP48:CU48" si="114">BP8/BP$39</f>
        <v>0.00348841805796073</v>
      </c>
      <c r="BQ48" s="117">
        <f t="shared" si="114"/>
        <v>0.00417753909608029</v>
      </c>
      <c r="BR48" s="117">
        <f t="shared" si="114"/>
        <v>0.00332836739576045</v>
      </c>
      <c r="BS48" s="117">
        <f t="shared" si="114"/>
        <v>0.00395681657518282</v>
      </c>
      <c r="BT48" s="117">
        <f t="shared" si="114"/>
        <v>0.0052832912816375</v>
      </c>
      <c r="BU48" s="117">
        <f t="shared" si="114"/>
        <v>0.00487961720391122</v>
      </c>
      <c r="BV48" s="117">
        <f t="shared" si="114"/>
        <v>0.00558519759043052</v>
      </c>
      <c r="BW48" s="117">
        <f t="shared" si="114"/>
        <v>0.00544115720214698</v>
      </c>
      <c r="BX48" s="117">
        <f t="shared" si="114"/>
        <v>0.00944789653052902</v>
      </c>
      <c r="BY48" s="117">
        <f t="shared" si="114"/>
        <v>0.00707111396840614</v>
      </c>
      <c r="BZ48" s="117">
        <f t="shared" si="114"/>
        <v>0.0026022840254337</v>
      </c>
      <c r="CA48" s="117">
        <f t="shared" si="114"/>
        <v>0.00176416389257232</v>
      </c>
      <c r="CB48" s="117">
        <f t="shared" si="114"/>
        <v>0.000850090861606868</v>
      </c>
      <c r="CC48" s="9">
        <f t="shared" si="114"/>
        <v>0.00444845350824569</v>
      </c>
      <c r="CD48" s="117">
        <f t="shared" si="114"/>
        <v>0.00181827418959943</v>
      </c>
      <c r="CE48" s="117">
        <f t="shared" si="114"/>
        <v>0.00288710132238513</v>
      </c>
      <c r="CF48" s="117">
        <f t="shared" si="114"/>
        <v>0.00154941016041334</v>
      </c>
      <c r="CG48" s="117">
        <f t="shared" si="114"/>
        <v>0.0020712764968848</v>
      </c>
      <c r="CH48" s="117">
        <f t="shared" si="114"/>
        <v>0.00213583366513005</v>
      </c>
      <c r="CI48" s="117">
        <f t="shared" si="114"/>
        <v>0.00465000031289271</v>
      </c>
      <c r="CJ48" s="117">
        <f t="shared" si="114"/>
        <v>0.00573513855289681</v>
      </c>
      <c r="CK48" s="117">
        <f t="shared" si="114"/>
        <v>0.00495506898454405</v>
      </c>
      <c r="CL48" s="117">
        <f t="shared" si="114"/>
        <v>0.00600095463773608</v>
      </c>
      <c r="CM48" s="117">
        <f t="shared" si="114"/>
        <v>0.00488069209210325</v>
      </c>
      <c r="CN48" s="117">
        <f t="shared" si="114"/>
        <v>0.00463284730089602</v>
      </c>
      <c r="CO48" s="117">
        <f t="shared" si="114"/>
        <v>0.00346919207419925</v>
      </c>
      <c r="CP48" s="9">
        <f t="shared" si="114"/>
        <v>0.00377376616242338</v>
      </c>
      <c r="CQ48" s="117">
        <f t="shared" si="114"/>
        <v>0.00366058065481512</v>
      </c>
      <c r="CR48" s="117">
        <f t="shared" si="114"/>
        <v>0.00357604067870397</v>
      </c>
      <c r="CS48" s="117">
        <f t="shared" si="114"/>
        <v>0.00257695916175336</v>
      </c>
      <c r="CT48" s="117">
        <f t="shared" si="114"/>
        <v>0.00296628884729211</v>
      </c>
      <c r="CU48" s="117">
        <f t="shared" si="114"/>
        <v>0.00414817600347806</v>
      </c>
      <c r="CV48" s="117">
        <f t="shared" ref="CV48:EA48" si="115">CV8/CV$39</f>
        <v>0.00547592874633357</v>
      </c>
      <c r="CW48" s="117">
        <f t="shared" si="115"/>
        <v>0.00607743017285095</v>
      </c>
      <c r="CX48" s="117">
        <f t="shared" si="115"/>
        <v>0.00484541710213809</v>
      </c>
      <c r="CY48" s="117">
        <f t="shared" si="115"/>
        <v>0.00456221763137807</v>
      </c>
      <c r="CZ48" s="117">
        <f t="shared" si="115"/>
        <v>0.00390448188029541</v>
      </c>
      <c r="DA48" s="117">
        <f t="shared" si="115"/>
        <v>0.00202298610699051</v>
      </c>
      <c r="DB48" s="117">
        <f t="shared" si="115"/>
        <v>0.000869945413650686</v>
      </c>
      <c r="DC48" s="9">
        <f t="shared" si="115"/>
        <v>0.00371755407936421</v>
      </c>
      <c r="DD48" s="117">
        <f t="shared" si="115"/>
        <v>0.00196097681092357</v>
      </c>
      <c r="DE48" s="117">
        <f t="shared" si="115"/>
        <v>0.00207955040358846</v>
      </c>
      <c r="DF48" s="117">
        <f t="shared" si="115"/>
        <v>0.00479007027553442</v>
      </c>
      <c r="DG48" s="117">
        <f t="shared" si="115"/>
        <v>0.00338270671030975</v>
      </c>
      <c r="DH48" s="117">
        <f t="shared" si="115"/>
        <v>0.00744679097864043</v>
      </c>
      <c r="DI48" s="117">
        <f t="shared" si="115"/>
        <v>0.0073231047938388</v>
      </c>
      <c r="DJ48" s="117">
        <f t="shared" si="115"/>
        <v>0.0096742373216099</v>
      </c>
      <c r="DK48" s="117">
        <f t="shared" si="115"/>
        <v>0.00544900725531755</v>
      </c>
      <c r="DL48" s="117">
        <f t="shared" si="115"/>
        <v>0.00434980306500205</v>
      </c>
      <c r="DM48" s="117">
        <f t="shared" si="115"/>
        <v>0.00484545786191949</v>
      </c>
      <c r="DN48" s="117">
        <f t="shared" si="115"/>
        <v>0.0059950018838936</v>
      </c>
      <c r="DO48" s="117">
        <f t="shared" si="115"/>
        <v>0.00130660850329236</v>
      </c>
      <c r="DP48" s="9">
        <f t="shared" si="115"/>
        <v>0.00462039529183183</v>
      </c>
      <c r="DQ48" s="117">
        <f t="shared" si="115"/>
        <v>0.00283241469989839</v>
      </c>
      <c r="DR48" s="117">
        <f t="shared" si="115"/>
        <v>0.00504395274654082</v>
      </c>
      <c r="DS48" s="117">
        <f t="shared" si="115"/>
        <v>0.0052295118454637</v>
      </c>
      <c r="DT48" s="117">
        <f t="shared" si="115"/>
        <v>0.00287049734451386</v>
      </c>
      <c r="DU48" s="117">
        <f t="shared" si="115"/>
        <v>0.0046268522179116</v>
      </c>
      <c r="DV48" s="117">
        <f t="shared" si="115"/>
        <v>0.00900387785209872</v>
      </c>
      <c r="DW48" s="117">
        <f t="shared" si="115"/>
        <v>0.00920940965512648</v>
      </c>
      <c r="DX48" s="117">
        <f t="shared" si="115"/>
        <v>0.00210045276324527</v>
      </c>
      <c r="DY48" s="117">
        <f t="shared" si="115"/>
        <v>0.0062574292585099</v>
      </c>
      <c r="DZ48" s="117">
        <f t="shared" si="115"/>
        <v>0.003352497122486</v>
      </c>
      <c r="EA48" s="117">
        <f t="shared" si="115"/>
        <v>0.00488112431929019</v>
      </c>
      <c r="EB48" s="117">
        <f t="shared" ref="EB48:FT48" si="116">EB8/EB$39</f>
        <v>0</v>
      </c>
      <c r="EC48" s="117">
        <f t="shared" si="116"/>
        <v>0.00454616579209361</v>
      </c>
      <c r="ED48" s="118">
        <f t="shared" si="116"/>
        <v>0.00114924132793868</v>
      </c>
      <c r="EE48" s="117">
        <f t="shared" si="116"/>
        <v>0.00175609803721366</v>
      </c>
      <c r="EF48" s="117">
        <f t="shared" si="116"/>
        <v>0</v>
      </c>
      <c r="EG48" s="117">
        <f t="shared" si="116"/>
        <v>0</v>
      </c>
      <c r="EH48" s="117" t="e">
        <f t="shared" si="116"/>
        <v>#DIV/0!</v>
      </c>
      <c r="EI48" s="117" t="e">
        <f t="shared" si="116"/>
        <v>#DIV/0!</v>
      </c>
      <c r="EJ48" s="117" t="e">
        <f t="shared" si="116"/>
        <v>#DIV/0!</v>
      </c>
      <c r="EK48" s="117" t="e">
        <f t="shared" si="116"/>
        <v>#DIV/0!</v>
      </c>
      <c r="EL48" s="117" t="e">
        <f t="shared" si="116"/>
        <v>#DIV/0!</v>
      </c>
      <c r="EM48" s="117" t="e">
        <f t="shared" si="116"/>
        <v>#DIV/0!</v>
      </c>
      <c r="EN48" s="117" t="e">
        <f t="shared" si="116"/>
        <v>#DIV/0!</v>
      </c>
      <c r="EO48" s="117" t="e">
        <f t="shared" si="116"/>
        <v>#DIV/0!</v>
      </c>
      <c r="EP48" s="9">
        <f t="shared" si="116"/>
        <v>0.00120598721157985</v>
      </c>
      <c r="EQ48" s="117">
        <f t="shared" si="116"/>
        <v>0.00738334131237063</v>
      </c>
      <c r="ER48" s="117">
        <f t="shared" si="116"/>
        <v>0.0106661942202423</v>
      </c>
      <c r="ES48" s="117">
        <f t="shared" si="116"/>
        <v>0.00769770148837076</v>
      </c>
      <c r="ET48" s="117">
        <f t="shared" si="116"/>
        <v>0.00754345534336149</v>
      </c>
      <c r="EU48" s="117">
        <f t="shared" si="116"/>
        <v>0.0116267292593975</v>
      </c>
      <c r="EV48" s="117">
        <f t="shared" si="116"/>
        <v>0.0161975270481751</v>
      </c>
      <c r="EW48" s="117">
        <f t="shared" si="116"/>
        <v>0.0173278177881692</v>
      </c>
      <c r="EX48" s="117">
        <f t="shared" si="116"/>
        <v>0.00821560681151867</v>
      </c>
      <c r="EY48" s="117">
        <f t="shared" si="116"/>
        <v>0.00362746532283074</v>
      </c>
      <c r="EZ48" s="117">
        <f t="shared" si="116"/>
        <v>0.00254260356034107</v>
      </c>
      <c r="FA48" s="117">
        <f t="shared" si="116"/>
        <v>0.00819085892865462</v>
      </c>
      <c r="FB48" s="117">
        <f t="shared" si="116"/>
        <v>0.00146169533760143</v>
      </c>
      <c r="FC48" s="117">
        <f t="shared" si="116"/>
        <v>0.00818522701625861</v>
      </c>
      <c r="FD48" s="118"/>
      <c r="FE48" s="117"/>
      <c r="FF48" s="117"/>
      <c r="FG48" s="117"/>
      <c r="FH48" s="117"/>
      <c r="FI48" s="117"/>
      <c r="FJ48" s="117"/>
      <c r="FK48" s="117"/>
      <c r="FL48" s="117"/>
      <c r="FM48" s="117"/>
      <c r="FN48" s="117"/>
      <c r="FO48" s="117"/>
      <c r="FP48" s="9"/>
      <c r="FQ48" s="118">
        <f t="shared" si="116"/>
        <v>0.00762729685419644</v>
      </c>
      <c r="FR48" s="117">
        <f t="shared" si="116"/>
        <v>0.00494691999900627</v>
      </c>
      <c r="FS48" s="117">
        <f t="shared" si="116"/>
        <v>0.0121705250697723</v>
      </c>
      <c r="FT48" s="117">
        <f t="shared" si="116"/>
        <v>0.00810361579751754</v>
      </c>
      <c r="FU48" s="117">
        <f t="shared" ref="FU48:GC48" si="117">FU8/FU$39</f>
        <v>0.0066865775454721</v>
      </c>
      <c r="FV48" s="117">
        <f t="shared" si="117"/>
        <v>0.00524138654166348</v>
      </c>
      <c r="FW48" s="117">
        <f t="shared" si="117"/>
        <v>0.0130758153924762</v>
      </c>
      <c r="FX48" s="117">
        <f t="shared" si="117"/>
        <v>0.00842302192970905</v>
      </c>
      <c r="FY48" s="117">
        <f t="shared" si="117"/>
        <v>0.00767580599097884</v>
      </c>
      <c r="FZ48" s="117">
        <f t="shared" si="117"/>
        <v>0.0125061892439672</v>
      </c>
      <c r="GA48" s="117">
        <f t="shared" si="117"/>
        <v>0.00436100537038831</v>
      </c>
      <c r="GB48" s="117">
        <f t="shared" si="117"/>
        <v>0.000420358991865356</v>
      </c>
      <c r="GC48" s="9">
        <f t="shared" si="117"/>
        <v>0.00754828371515157</v>
      </c>
    </row>
    <row r="49" customHeight="1" spans="1:185">
      <c r="A49" s="114"/>
      <c r="B49" s="115" t="s">
        <v>402</v>
      </c>
      <c r="C49" s="116">
        <f t="shared" si="87"/>
        <v>-0.336172841178135</v>
      </c>
      <c r="D49" s="117">
        <f t="shared" ref="D49:AI49" si="118">D9/D$39</f>
        <v>0.201833891575098</v>
      </c>
      <c r="E49" s="117">
        <f t="shared" si="118"/>
        <v>0.194135102253981</v>
      </c>
      <c r="F49" s="117">
        <f t="shared" si="118"/>
        <v>0.196475231731246</v>
      </c>
      <c r="G49" s="117">
        <f t="shared" si="118"/>
        <v>0.244206467390336</v>
      </c>
      <c r="H49" s="117">
        <f t="shared" si="118"/>
        <v>0.241706131738468</v>
      </c>
      <c r="I49" s="117">
        <f t="shared" si="118"/>
        <v>0.259542681575847</v>
      </c>
      <c r="J49" s="117">
        <f t="shared" si="118"/>
        <v>0.222506126647617</v>
      </c>
      <c r="K49" s="117">
        <f t="shared" si="118"/>
        <v>0.228426750214396</v>
      </c>
      <c r="L49" s="117">
        <f t="shared" si="118"/>
        <v>0.223195845076978</v>
      </c>
      <c r="M49" s="117">
        <f t="shared" si="118"/>
        <v>0.239523781692294</v>
      </c>
      <c r="N49" s="117">
        <f t="shared" si="118"/>
        <v>0.211475355334817</v>
      </c>
      <c r="O49" s="117">
        <f t="shared" si="118"/>
        <v>0.19976829653077</v>
      </c>
      <c r="P49" s="9">
        <f t="shared" si="118"/>
        <v>0.219576030801807</v>
      </c>
      <c r="Q49" s="117">
        <f t="shared" si="118"/>
        <v>0.211009329838146</v>
      </c>
      <c r="R49" s="117">
        <f t="shared" si="118"/>
        <v>0.218208191127126</v>
      </c>
      <c r="S49" s="117">
        <f t="shared" si="118"/>
        <v>0.219294171678006</v>
      </c>
      <c r="T49" s="117">
        <f t="shared" si="118"/>
        <v>0.243381695121009</v>
      </c>
      <c r="U49" s="117">
        <f t="shared" si="118"/>
        <v>0.275870076177821</v>
      </c>
      <c r="V49" s="117">
        <f t="shared" si="118"/>
        <v>0.314172215056514</v>
      </c>
      <c r="W49" s="117">
        <f t="shared" si="118"/>
        <v>0.286842892827737</v>
      </c>
      <c r="X49" s="117">
        <f t="shared" si="118"/>
        <v>0.251928580228731</v>
      </c>
      <c r="Y49" s="117">
        <f t="shared" si="118"/>
        <v>0.280051137116487</v>
      </c>
      <c r="Z49" s="117">
        <f t="shared" si="118"/>
        <v>0.270121795982731</v>
      </c>
      <c r="AA49" s="117">
        <f t="shared" si="118"/>
        <v>0.230964797204027</v>
      </c>
      <c r="AB49" s="117">
        <f t="shared" si="118"/>
        <v>0.239393945135858</v>
      </c>
      <c r="AC49" s="9">
        <f t="shared" si="118"/>
        <v>0.250811095029135</v>
      </c>
      <c r="AD49" s="117">
        <f t="shared" si="118"/>
        <v>0.251910365307786</v>
      </c>
      <c r="AE49" s="117">
        <f t="shared" si="118"/>
        <v>0.293819230644707</v>
      </c>
      <c r="AF49" s="117">
        <f t="shared" si="118"/>
        <v>0.238725053822038</v>
      </c>
      <c r="AG49" s="117">
        <f t="shared" si="118"/>
        <v>0.259116150699222</v>
      </c>
      <c r="AH49" s="117">
        <f t="shared" si="118"/>
        <v>0.305411156915438</v>
      </c>
      <c r="AI49" s="117">
        <f t="shared" si="118"/>
        <v>0.312355409160384</v>
      </c>
      <c r="AJ49" s="117">
        <f t="shared" ref="AJ49:BO49" si="119">AJ9/AJ$39</f>
        <v>0.299456803796914</v>
      </c>
      <c r="AK49" s="117">
        <f t="shared" si="119"/>
        <v>0.28648678120036</v>
      </c>
      <c r="AL49" s="117">
        <f t="shared" si="119"/>
        <v>0.318257632268752</v>
      </c>
      <c r="AM49" s="117">
        <f t="shared" si="119"/>
        <v>0.31387856286278</v>
      </c>
      <c r="AN49" s="117">
        <f t="shared" si="119"/>
        <v>0.259538523233801</v>
      </c>
      <c r="AO49" s="117">
        <f t="shared" si="119"/>
        <v>0.244370995988322</v>
      </c>
      <c r="AP49" s="9">
        <f t="shared" si="119"/>
        <v>0.282469685093053</v>
      </c>
      <c r="AQ49" s="117">
        <f t="shared" si="119"/>
        <v>0.172442168218886</v>
      </c>
      <c r="AR49" s="117">
        <f t="shared" si="119"/>
        <v>0.153357634102401</v>
      </c>
      <c r="AS49" s="117">
        <f t="shared" si="119"/>
        <v>0.180624504071802</v>
      </c>
      <c r="AT49" s="117">
        <f t="shared" si="119"/>
        <v>0.233718806160934</v>
      </c>
      <c r="AU49" s="117">
        <f t="shared" si="119"/>
        <v>0.202636881400939</v>
      </c>
      <c r="AV49" s="117">
        <f t="shared" si="119"/>
        <v>0.217212983912374</v>
      </c>
      <c r="AW49" s="117">
        <f t="shared" si="119"/>
        <v>0.167289344921087</v>
      </c>
      <c r="AX49" s="117">
        <f t="shared" si="119"/>
        <v>0.180509725008119</v>
      </c>
      <c r="AY49" s="117">
        <f t="shared" si="119"/>
        <v>0.183823904070277</v>
      </c>
      <c r="AZ49" s="117">
        <f t="shared" si="119"/>
        <v>0.27448205928266</v>
      </c>
      <c r="BA49" s="117">
        <f t="shared" si="119"/>
        <v>0.209288650525692</v>
      </c>
      <c r="BB49" s="117">
        <f t="shared" si="119"/>
        <v>0.160875274417991</v>
      </c>
      <c r="BC49" s="9">
        <f t="shared" si="119"/>
        <v>0.193256209913969</v>
      </c>
      <c r="BD49" s="117">
        <f t="shared" si="119"/>
        <v>0.21722808359168</v>
      </c>
      <c r="BE49" s="117">
        <f t="shared" si="119"/>
        <v>0.192130497544794</v>
      </c>
      <c r="BF49" s="117">
        <f t="shared" si="119"/>
        <v>0.213400156219772</v>
      </c>
      <c r="BG49" s="117">
        <f t="shared" si="119"/>
        <v>0.206318686275875</v>
      </c>
      <c r="BH49" s="117">
        <f t="shared" si="119"/>
        <v>0.215235478536421</v>
      </c>
      <c r="BI49" s="117">
        <f t="shared" si="119"/>
        <v>0.218432270092398</v>
      </c>
      <c r="BJ49" s="117">
        <f t="shared" si="119"/>
        <v>0.190024393039564</v>
      </c>
      <c r="BK49" s="117">
        <f t="shared" si="119"/>
        <v>0.199974788225122</v>
      </c>
      <c r="BL49" s="117">
        <f t="shared" si="119"/>
        <v>0.197559204259174</v>
      </c>
      <c r="BM49" s="117">
        <f t="shared" si="119"/>
        <v>0.213752653797444</v>
      </c>
      <c r="BN49" s="117">
        <f t="shared" si="119"/>
        <v>0.191456498269973</v>
      </c>
      <c r="BO49" s="117">
        <f t="shared" si="119"/>
        <v>0.20799436372982</v>
      </c>
      <c r="BP49" s="9">
        <f t="shared" ref="BP49:CU49" si="120">BP9/BP$39</f>
        <v>0.204726879044115</v>
      </c>
      <c r="BQ49" s="117">
        <f t="shared" si="120"/>
        <v>0.144304269517989</v>
      </c>
      <c r="BR49" s="117">
        <f t="shared" si="120"/>
        <v>0.144274350391903</v>
      </c>
      <c r="BS49" s="117">
        <f t="shared" si="120"/>
        <v>0.15171114860859</v>
      </c>
      <c r="BT49" s="117">
        <f t="shared" si="120"/>
        <v>0.18692230395768</v>
      </c>
      <c r="BU49" s="117">
        <f t="shared" si="120"/>
        <v>0.178851776194192</v>
      </c>
      <c r="BV49" s="117">
        <f t="shared" si="120"/>
        <v>0.146315907568286</v>
      </c>
      <c r="BW49" s="117">
        <f t="shared" si="120"/>
        <v>0.148316730632286</v>
      </c>
      <c r="BX49" s="117">
        <f t="shared" si="120"/>
        <v>0.144386583096864</v>
      </c>
      <c r="BY49" s="117">
        <f t="shared" si="120"/>
        <v>0.139758809945203</v>
      </c>
      <c r="BZ49" s="117">
        <f t="shared" si="120"/>
        <v>0.184825591414718</v>
      </c>
      <c r="CA49" s="117">
        <f t="shared" si="120"/>
        <v>0.198597250010703</v>
      </c>
      <c r="CB49" s="117">
        <f t="shared" si="120"/>
        <v>0.161260787912445</v>
      </c>
      <c r="CC49" s="9">
        <f t="shared" si="120"/>
        <v>0.1594117769639</v>
      </c>
      <c r="CD49" s="117">
        <f t="shared" si="120"/>
        <v>0.206462784509291</v>
      </c>
      <c r="CE49" s="117">
        <f t="shared" si="120"/>
        <v>0.295486384670236</v>
      </c>
      <c r="CF49" s="117">
        <f t="shared" si="120"/>
        <v>0.260049721362322</v>
      </c>
      <c r="CG49" s="117">
        <f t="shared" si="120"/>
        <v>0.335874896993901</v>
      </c>
      <c r="CH49" s="117">
        <f t="shared" si="120"/>
        <v>0.332153956568052</v>
      </c>
      <c r="CI49" s="117">
        <f t="shared" si="120"/>
        <v>0.299709231896552</v>
      </c>
      <c r="CJ49" s="117">
        <f t="shared" si="120"/>
        <v>0.264803776570062</v>
      </c>
      <c r="CK49" s="117">
        <f t="shared" si="120"/>
        <v>0.257743166230105</v>
      </c>
      <c r="CL49" s="117">
        <f t="shared" si="120"/>
        <v>0.254292133531701</v>
      </c>
      <c r="CM49" s="117">
        <f t="shared" si="120"/>
        <v>0.266758956747284</v>
      </c>
      <c r="CN49" s="117">
        <f t="shared" si="120"/>
        <v>0.231136852992566</v>
      </c>
      <c r="CO49" s="117">
        <f t="shared" si="120"/>
        <v>0.24561139233617</v>
      </c>
      <c r="CP49" s="9">
        <f t="shared" si="120"/>
        <v>0.268610429052648</v>
      </c>
      <c r="CQ49" s="117">
        <f t="shared" si="120"/>
        <v>0.221751411817261</v>
      </c>
      <c r="CR49" s="117">
        <f t="shared" si="120"/>
        <v>0.220785729594818</v>
      </c>
      <c r="CS49" s="117">
        <f t="shared" si="120"/>
        <v>0.232426758549083</v>
      </c>
      <c r="CT49" s="117">
        <f t="shared" si="120"/>
        <v>0.229542700605466</v>
      </c>
      <c r="CU49" s="117">
        <f t="shared" si="120"/>
        <v>0.237607317513355</v>
      </c>
      <c r="CV49" s="117">
        <f t="shared" ref="CV49:EA49" si="121">CV9/CV$39</f>
        <v>0.238821781519293</v>
      </c>
      <c r="CW49" s="117">
        <f t="shared" si="121"/>
        <v>0.220928082299038</v>
      </c>
      <c r="CX49" s="117">
        <f t="shared" si="121"/>
        <v>0.239501913750605</v>
      </c>
      <c r="CY49" s="117">
        <f t="shared" si="121"/>
        <v>0.225755006741823</v>
      </c>
      <c r="CZ49" s="117">
        <f t="shared" si="121"/>
        <v>0.270470683881168</v>
      </c>
      <c r="DA49" s="117">
        <f t="shared" si="121"/>
        <v>0.20946374175522</v>
      </c>
      <c r="DB49" s="117">
        <f t="shared" si="121"/>
        <v>0.239968446491162</v>
      </c>
      <c r="DC49" s="9">
        <f t="shared" si="121"/>
        <v>0.231336723864137</v>
      </c>
      <c r="DD49" s="117">
        <f t="shared" si="121"/>
        <v>0.303220393167956</v>
      </c>
      <c r="DE49" s="117">
        <f t="shared" si="121"/>
        <v>0.35285110048867</v>
      </c>
      <c r="DF49" s="117">
        <f t="shared" si="121"/>
        <v>0.284745754200784</v>
      </c>
      <c r="DG49" s="117">
        <f t="shared" si="121"/>
        <v>0.284399648418765</v>
      </c>
      <c r="DH49" s="117">
        <f t="shared" si="121"/>
        <v>0.315612020185451</v>
      </c>
      <c r="DI49" s="117">
        <f t="shared" si="121"/>
        <v>0.22754145098258</v>
      </c>
      <c r="DJ49" s="117">
        <f t="shared" si="121"/>
        <v>0.226990106319985</v>
      </c>
      <c r="DK49" s="117">
        <f t="shared" si="121"/>
        <v>0.224534913990245</v>
      </c>
      <c r="DL49" s="117">
        <f t="shared" si="121"/>
        <v>0.20058094267188</v>
      </c>
      <c r="DM49" s="117">
        <f t="shared" si="121"/>
        <v>0.218352975125487</v>
      </c>
      <c r="DN49" s="117">
        <f t="shared" si="121"/>
        <v>0.202871958728472</v>
      </c>
      <c r="DO49" s="117">
        <f t="shared" si="121"/>
        <v>0.181843930576086</v>
      </c>
      <c r="DP49" s="9">
        <f t="shared" si="121"/>
        <v>0.258801712557661</v>
      </c>
      <c r="DQ49" s="117">
        <f t="shared" si="121"/>
        <v>0.372591155596417</v>
      </c>
      <c r="DR49" s="117">
        <f t="shared" si="121"/>
        <v>0.301971858051844</v>
      </c>
      <c r="DS49" s="117">
        <f t="shared" si="121"/>
        <v>0.337772816205921</v>
      </c>
      <c r="DT49" s="117">
        <f t="shared" si="121"/>
        <v>0.373296840853312</v>
      </c>
      <c r="DU49" s="117">
        <f t="shared" si="121"/>
        <v>0.354651125320945</v>
      </c>
      <c r="DV49" s="117">
        <f t="shared" si="121"/>
        <v>0.355976370451316</v>
      </c>
      <c r="DW49" s="117">
        <f t="shared" si="121"/>
        <v>0.319069189742468</v>
      </c>
      <c r="DX49" s="117">
        <f t="shared" si="121"/>
        <v>0.317112440607118</v>
      </c>
      <c r="DY49" s="117">
        <f t="shared" si="121"/>
        <v>0.303312579176258</v>
      </c>
      <c r="DZ49" s="117">
        <f t="shared" si="121"/>
        <v>0.29774643523329</v>
      </c>
      <c r="EA49" s="117">
        <f t="shared" si="121"/>
        <v>0.232576074922987</v>
      </c>
      <c r="EB49" s="117">
        <f t="shared" ref="EB49:FT49" si="122">EB9/EB$39</f>
        <v>0.248660264333524</v>
      </c>
      <c r="EC49" s="117">
        <f t="shared" si="122"/>
        <v>0.321550960083005</v>
      </c>
      <c r="ED49" s="118">
        <f t="shared" si="122"/>
        <v>0.124139182978496</v>
      </c>
      <c r="EE49" s="117">
        <f t="shared" si="122"/>
        <v>0.439931643568642</v>
      </c>
      <c r="EF49" s="117">
        <f t="shared" si="122"/>
        <v>1</v>
      </c>
      <c r="EG49" s="117">
        <f t="shared" si="122"/>
        <v>0</v>
      </c>
      <c r="EH49" s="117" t="e">
        <f t="shared" si="122"/>
        <v>#DIV/0!</v>
      </c>
      <c r="EI49" s="117" t="e">
        <f t="shared" si="122"/>
        <v>#DIV/0!</v>
      </c>
      <c r="EJ49" s="117" t="e">
        <f t="shared" si="122"/>
        <v>#DIV/0!</v>
      </c>
      <c r="EK49" s="117" t="e">
        <f t="shared" si="122"/>
        <v>#DIV/0!</v>
      </c>
      <c r="EL49" s="117" t="e">
        <f t="shared" si="122"/>
        <v>#DIV/0!</v>
      </c>
      <c r="EM49" s="117" t="e">
        <f t="shared" si="122"/>
        <v>#DIV/0!</v>
      </c>
      <c r="EN49" s="117" t="e">
        <f t="shared" si="122"/>
        <v>#DIV/0!</v>
      </c>
      <c r="EO49" s="117" t="e">
        <f t="shared" si="122"/>
        <v>#DIV/0!</v>
      </c>
      <c r="EP49" s="9">
        <f t="shared" si="122"/>
        <v>0.167156118238383</v>
      </c>
      <c r="EQ49" s="117">
        <f t="shared" si="122"/>
        <v>0.30234203816326</v>
      </c>
      <c r="ER49" s="117">
        <f t="shared" si="122"/>
        <v>0.331578521561675</v>
      </c>
      <c r="ES49" s="117">
        <f t="shared" si="122"/>
        <v>0.3211794225144</v>
      </c>
      <c r="ET49" s="117">
        <f t="shared" si="122"/>
        <v>0.410650670332624</v>
      </c>
      <c r="EU49" s="117">
        <f t="shared" si="122"/>
        <v>0.30582315279418</v>
      </c>
      <c r="EV49" s="117">
        <f t="shared" si="122"/>
        <v>0.295533493055159</v>
      </c>
      <c r="EW49" s="117">
        <f t="shared" si="122"/>
        <v>0.291345272352979</v>
      </c>
      <c r="EX49" s="117">
        <f t="shared" si="122"/>
        <v>0.2767544651859</v>
      </c>
      <c r="EY49" s="117">
        <f t="shared" si="122"/>
        <v>0.252126154857911</v>
      </c>
      <c r="EZ49" s="117">
        <f t="shared" si="122"/>
        <v>0.285436555036543</v>
      </c>
      <c r="FA49" s="117">
        <f t="shared" si="122"/>
        <v>0.298536854808018</v>
      </c>
      <c r="FB49" s="117">
        <f t="shared" si="122"/>
        <v>0.288587025383059</v>
      </c>
      <c r="FC49" s="117">
        <f t="shared" si="122"/>
        <v>0.304722852869984</v>
      </c>
      <c r="FD49" s="118"/>
      <c r="FE49" s="117"/>
      <c r="FF49" s="117"/>
      <c r="FG49" s="117"/>
      <c r="FH49" s="117"/>
      <c r="FI49" s="117"/>
      <c r="FJ49" s="117"/>
      <c r="FK49" s="117"/>
      <c r="FL49" s="117"/>
      <c r="FM49" s="117"/>
      <c r="FN49" s="117"/>
      <c r="FO49" s="117"/>
      <c r="FP49" s="9"/>
      <c r="FQ49" s="118">
        <f t="shared" si="122"/>
        <v>0.167053536247678</v>
      </c>
      <c r="FR49" s="117">
        <f t="shared" si="122"/>
        <v>0.141063434841889</v>
      </c>
      <c r="FS49" s="117">
        <f t="shared" si="122"/>
        <v>0.137368509532694</v>
      </c>
      <c r="FT49" s="117">
        <f t="shared" si="122"/>
        <v>0.216678997853671</v>
      </c>
      <c r="FU49" s="117">
        <f t="shared" ref="FU49:GC49" si="123">FU9/FU$39</f>
        <v>0.204969299659339</v>
      </c>
      <c r="FV49" s="117">
        <f t="shared" si="123"/>
        <v>0.287817663010224</v>
      </c>
      <c r="FW49" s="117">
        <f t="shared" si="123"/>
        <v>0.195848761615435</v>
      </c>
      <c r="FX49" s="117">
        <f t="shared" si="123"/>
        <v>0.234872678371418</v>
      </c>
      <c r="FY49" s="117">
        <f t="shared" si="123"/>
        <v>0.201143302634657</v>
      </c>
      <c r="FZ49" s="117">
        <f t="shared" si="123"/>
        <v>0.19423156255896</v>
      </c>
      <c r="GA49" s="117">
        <f t="shared" si="123"/>
        <v>0.18371689365931</v>
      </c>
      <c r="GB49" s="117">
        <f t="shared" si="123"/>
        <v>0.164437578942447</v>
      </c>
      <c r="GC49" s="9">
        <f t="shared" si="123"/>
        <v>0.187913929208135</v>
      </c>
    </row>
    <row r="50" customHeight="1" spans="1:185">
      <c r="A50" s="114"/>
      <c r="B50" s="115" t="s">
        <v>403</v>
      </c>
      <c r="C50" s="116">
        <f t="shared" si="87"/>
        <v>-0.54437933665595</v>
      </c>
      <c r="D50" s="117">
        <f t="shared" ref="D50:AI50" si="124">D10/D$39</f>
        <v>0.000683593889634036</v>
      </c>
      <c r="E50" s="117">
        <f t="shared" si="124"/>
        <v>7.6087265111484e-5</v>
      </c>
      <c r="F50" s="117">
        <f t="shared" si="124"/>
        <v>2.3359711212715e-5</v>
      </c>
      <c r="G50" s="117">
        <f t="shared" si="124"/>
        <v>2.56880056345749e-5</v>
      </c>
      <c r="H50" s="117">
        <f t="shared" si="124"/>
        <v>0.002704718941703</v>
      </c>
      <c r="I50" s="117">
        <f t="shared" si="124"/>
        <v>0</v>
      </c>
      <c r="J50" s="117">
        <f t="shared" si="124"/>
        <v>0</v>
      </c>
      <c r="K50" s="117">
        <f t="shared" si="124"/>
        <v>0</v>
      </c>
      <c r="L50" s="117">
        <f t="shared" si="124"/>
        <v>0</v>
      </c>
      <c r="M50" s="117">
        <f t="shared" si="124"/>
        <v>0</v>
      </c>
      <c r="N50" s="117">
        <f t="shared" si="124"/>
        <v>0</v>
      </c>
      <c r="O50" s="117">
        <f t="shared" si="124"/>
        <v>0</v>
      </c>
      <c r="P50" s="9">
        <f t="shared" si="124"/>
        <v>0.000266805582647148</v>
      </c>
      <c r="Q50" s="117">
        <f t="shared" si="124"/>
        <v>0</v>
      </c>
      <c r="R50" s="117">
        <f t="shared" si="124"/>
        <v>0</v>
      </c>
      <c r="S50" s="117">
        <f t="shared" si="124"/>
        <v>0</v>
      </c>
      <c r="T50" s="117">
        <f t="shared" si="124"/>
        <v>0</v>
      </c>
      <c r="U50" s="117">
        <f t="shared" si="124"/>
        <v>0</v>
      </c>
      <c r="V50" s="117">
        <f t="shared" si="124"/>
        <v>0</v>
      </c>
      <c r="W50" s="117">
        <f t="shared" si="124"/>
        <v>0</v>
      </c>
      <c r="X50" s="117">
        <f t="shared" si="124"/>
        <v>0</v>
      </c>
      <c r="Y50" s="117">
        <f t="shared" si="124"/>
        <v>0</v>
      </c>
      <c r="Z50" s="117">
        <f t="shared" si="124"/>
        <v>0</v>
      </c>
      <c r="AA50" s="117">
        <f t="shared" si="124"/>
        <v>0</v>
      </c>
      <c r="AB50" s="117">
        <f t="shared" si="124"/>
        <v>0</v>
      </c>
      <c r="AC50" s="9">
        <f t="shared" si="124"/>
        <v>0</v>
      </c>
      <c r="AD50" s="117">
        <f t="shared" si="124"/>
        <v>0</v>
      </c>
      <c r="AE50" s="117">
        <f t="shared" si="124"/>
        <v>0</v>
      </c>
      <c r="AF50" s="117">
        <f t="shared" si="124"/>
        <v>0</v>
      </c>
      <c r="AG50" s="117">
        <f t="shared" si="124"/>
        <v>0</v>
      </c>
      <c r="AH50" s="117">
        <f t="shared" si="124"/>
        <v>0</v>
      </c>
      <c r="AI50" s="117">
        <f t="shared" si="124"/>
        <v>0</v>
      </c>
      <c r="AJ50" s="117">
        <f t="shared" ref="AJ50:BO50" si="125">AJ10/AJ$39</f>
        <v>0</v>
      </c>
      <c r="AK50" s="117">
        <f t="shared" si="125"/>
        <v>0</v>
      </c>
      <c r="AL50" s="117">
        <f t="shared" si="125"/>
        <v>0</v>
      </c>
      <c r="AM50" s="117">
        <f t="shared" si="125"/>
        <v>0</v>
      </c>
      <c r="AN50" s="117">
        <f t="shared" si="125"/>
        <v>0</v>
      </c>
      <c r="AO50" s="117">
        <f t="shared" si="125"/>
        <v>0</v>
      </c>
      <c r="AP50" s="9">
        <f t="shared" si="125"/>
        <v>0</v>
      </c>
      <c r="AQ50" s="117">
        <f t="shared" si="125"/>
        <v>0</v>
      </c>
      <c r="AR50" s="117">
        <f t="shared" si="125"/>
        <v>0</v>
      </c>
      <c r="AS50" s="117">
        <f t="shared" si="125"/>
        <v>0</v>
      </c>
      <c r="AT50" s="117">
        <f t="shared" si="125"/>
        <v>0</v>
      </c>
      <c r="AU50" s="117">
        <f t="shared" si="125"/>
        <v>0</v>
      </c>
      <c r="AV50" s="117">
        <f t="shared" si="125"/>
        <v>0</v>
      </c>
      <c r="AW50" s="117">
        <f t="shared" si="125"/>
        <v>0</v>
      </c>
      <c r="AX50" s="117">
        <f t="shared" si="125"/>
        <v>0</v>
      </c>
      <c r="AY50" s="117">
        <f t="shared" si="125"/>
        <v>0</v>
      </c>
      <c r="AZ50" s="117">
        <f t="shared" si="125"/>
        <v>0</v>
      </c>
      <c r="BA50" s="117">
        <f t="shared" si="125"/>
        <v>0</v>
      </c>
      <c r="BB50" s="117">
        <f t="shared" si="125"/>
        <v>0</v>
      </c>
      <c r="BC50" s="9">
        <f t="shared" si="125"/>
        <v>0</v>
      </c>
      <c r="BD50" s="117">
        <f t="shared" si="125"/>
        <v>1.58337679925236e-5</v>
      </c>
      <c r="BE50" s="117">
        <f t="shared" si="125"/>
        <v>0.000109007992379827</v>
      </c>
      <c r="BF50" s="117">
        <f t="shared" si="125"/>
        <v>0</v>
      </c>
      <c r="BG50" s="117">
        <f t="shared" si="125"/>
        <v>8.97242761146979e-5</v>
      </c>
      <c r="BH50" s="117">
        <f t="shared" si="125"/>
        <v>0.00387219450497617</v>
      </c>
      <c r="BI50" s="117">
        <f t="shared" si="125"/>
        <v>0</v>
      </c>
      <c r="BJ50" s="117">
        <f t="shared" si="125"/>
        <v>0</v>
      </c>
      <c r="BK50" s="117">
        <f t="shared" si="125"/>
        <v>0</v>
      </c>
      <c r="BL50" s="117">
        <f t="shared" si="125"/>
        <v>0</v>
      </c>
      <c r="BM50" s="117">
        <f t="shared" si="125"/>
        <v>0</v>
      </c>
      <c r="BN50" s="117">
        <f t="shared" si="125"/>
        <v>0</v>
      </c>
      <c r="BO50" s="117">
        <f t="shared" si="125"/>
        <v>0</v>
      </c>
      <c r="BP50" s="9">
        <f t="shared" ref="BP50:CU50" si="126">BP10/BP$39</f>
        <v>0.000250944802572145</v>
      </c>
      <c r="BQ50" s="117">
        <f t="shared" si="126"/>
        <v>0.00017421546432295</v>
      </c>
      <c r="BR50" s="117">
        <f t="shared" si="126"/>
        <v>0</v>
      </c>
      <c r="BS50" s="117">
        <f t="shared" si="126"/>
        <v>0</v>
      </c>
      <c r="BT50" s="117">
        <f t="shared" si="126"/>
        <v>0</v>
      </c>
      <c r="BU50" s="117">
        <f t="shared" si="126"/>
        <v>0.0105063902813837</v>
      </c>
      <c r="BV50" s="117">
        <f t="shared" si="126"/>
        <v>0</v>
      </c>
      <c r="BW50" s="117">
        <f t="shared" si="126"/>
        <v>0</v>
      </c>
      <c r="BX50" s="117">
        <f t="shared" si="126"/>
        <v>0</v>
      </c>
      <c r="BY50" s="117">
        <f t="shared" si="126"/>
        <v>0</v>
      </c>
      <c r="BZ50" s="117">
        <f t="shared" si="126"/>
        <v>0</v>
      </c>
      <c r="CA50" s="117">
        <f t="shared" si="126"/>
        <v>0</v>
      </c>
      <c r="CB50" s="117">
        <f t="shared" si="126"/>
        <v>0</v>
      </c>
      <c r="CC50" s="9">
        <f t="shared" si="126"/>
        <v>0.000742795056824025</v>
      </c>
      <c r="CD50" s="117">
        <f t="shared" si="126"/>
        <v>0</v>
      </c>
      <c r="CE50" s="117">
        <f t="shared" si="126"/>
        <v>0.00135508798773212</v>
      </c>
      <c r="CF50" s="117">
        <f t="shared" si="126"/>
        <v>0</v>
      </c>
      <c r="CG50" s="117">
        <f t="shared" si="126"/>
        <v>0.0007568207575979</v>
      </c>
      <c r="CH50" s="117">
        <f t="shared" si="126"/>
        <v>0.00493503749276039</v>
      </c>
      <c r="CI50" s="117">
        <f t="shared" si="126"/>
        <v>0</v>
      </c>
      <c r="CJ50" s="117">
        <f t="shared" si="126"/>
        <v>0</v>
      </c>
      <c r="CK50" s="117">
        <f t="shared" si="126"/>
        <v>0</v>
      </c>
      <c r="CL50" s="117">
        <f t="shared" si="126"/>
        <v>0</v>
      </c>
      <c r="CM50" s="117">
        <f t="shared" si="126"/>
        <v>0</v>
      </c>
      <c r="CN50" s="117">
        <f t="shared" si="126"/>
        <v>0</v>
      </c>
      <c r="CO50" s="117">
        <f t="shared" si="126"/>
        <v>0</v>
      </c>
      <c r="CP50" s="9">
        <f t="shared" si="126"/>
        <v>0.000549239257931132</v>
      </c>
      <c r="CQ50" s="117">
        <f t="shared" si="126"/>
        <v>0.00113923188234877</v>
      </c>
      <c r="CR50" s="117">
        <f t="shared" si="126"/>
        <v>0.000581586760047164</v>
      </c>
      <c r="CS50" s="117">
        <f t="shared" si="126"/>
        <v>0</v>
      </c>
      <c r="CT50" s="117">
        <f t="shared" si="126"/>
        <v>0</v>
      </c>
      <c r="CU50" s="117">
        <f t="shared" si="126"/>
        <v>0.000879300486558362</v>
      </c>
      <c r="CV50" s="117">
        <f t="shared" ref="CV50:EA50" si="127">CV10/CV$39</f>
        <v>0</v>
      </c>
      <c r="CW50" s="117">
        <f t="shared" si="127"/>
        <v>0</v>
      </c>
      <c r="CX50" s="117">
        <f t="shared" si="127"/>
        <v>0</v>
      </c>
      <c r="CY50" s="117">
        <f t="shared" si="127"/>
        <v>0</v>
      </c>
      <c r="CZ50" s="117">
        <f t="shared" si="127"/>
        <v>0</v>
      </c>
      <c r="DA50" s="117">
        <f t="shared" si="127"/>
        <v>0</v>
      </c>
      <c r="DB50" s="117">
        <f t="shared" si="127"/>
        <v>0</v>
      </c>
      <c r="DC50" s="9">
        <f t="shared" si="127"/>
        <v>0.000254191466990865</v>
      </c>
      <c r="DD50" s="117">
        <f t="shared" si="127"/>
        <v>0</v>
      </c>
      <c r="DE50" s="117">
        <f t="shared" si="127"/>
        <v>0</v>
      </c>
      <c r="DF50" s="117">
        <f t="shared" si="127"/>
        <v>0</v>
      </c>
      <c r="DG50" s="117">
        <f t="shared" si="127"/>
        <v>0</v>
      </c>
      <c r="DH50" s="117">
        <f t="shared" si="127"/>
        <v>0</v>
      </c>
      <c r="DI50" s="117">
        <f t="shared" si="127"/>
        <v>0</v>
      </c>
      <c r="DJ50" s="117">
        <f t="shared" si="127"/>
        <v>0</v>
      </c>
      <c r="DK50" s="117">
        <f t="shared" si="127"/>
        <v>0</v>
      </c>
      <c r="DL50" s="117">
        <f t="shared" si="127"/>
        <v>0</v>
      </c>
      <c r="DM50" s="117">
        <f t="shared" si="127"/>
        <v>0</v>
      </c>
      <c r="DN50" s="117">
        <f t="shared" si="127"/>
        <v>0</v>
      </c>
      <c r="DO50" s="117">
        <f t="shared" si="127"/>
        <v>0</v>
      </c>
      <c r="DP50" s="9">
        <f t="shared" si="127"/>
        <v>0</v>
      </c>
      <c r="DQ50" s="117">
        <f t="shared" si="127"/>
        <v>0.000162845296163963</v>
      </c>
      <c r="DR50" s="117">
        <f t="shared" si="127"/>
        <v>0</v>
      </c>
      <c r="DS50" s="117">
        <f t="shared" si="127"/>
        <v>0.00017350442975265</v>
      </c>
      <c r="DT50" s="117">
        <f t="shared" si="127"/>
        <v>0</v>
      </c>
      <c r="DU50" s="117">
        <f t="shared" si="127"/>
        <v>0</v>
      </c>
      <c r="DV50" s="117">
        <f t="shared" si="127"/>
        <v>0</v>
      </c>
      <c r="DW50" s="117">
        <f t="shared" si="127"/>
        <v>0</v>
      </c>
      <c r="DX50" s="117">
        <f t="shared" si="127"/>
        <v>0</v>
      </c>
      <c r="DY50" s="117">
        <f t="shared" si="127"/>
        <v>0</v>
      </c>
      <c r="DZ50" s="117">
        <f t="shared" si="127"/>
        <v>0</v>
      </c>
      <c r="EA50" s="117">
        <f t="shared" si="127"/>
        <v>0</v>
      </c>
      <c r="EB50" s="117">
        <f t="shared" ref="EB50:FT50" si="128">EB10/EB$39</f>
        <v>0</v>
      </c>
      <c r="EC50" s="117">
        <f t="shared" si="128"/>
        <v>3.53692531834059e-5</v>
      </c>
      <c r="ED50" s="118">
        <f t="shared" si="128"/>
        <v>0</v>
      </c>
      <c r="EE50" s="117">
        <f t="shared" si="128"/>
        <v>0</v>
      </c>
      <c r="EF50" s="117">
        <f t="shared" si="128"/>
        <v>0</v>
      </c>
      <c r="EG50" s="117">
        <f t="shared" si="128"/>
        <v>0</v>
      </c>
      <c r="EH50" s="117" t="e">
        <f t="shared" si="128"/>
        <v>#DIV/0!</v>
      </c>
      <c r="EI50" s="117" t="e">
        <f t="shared" si="128"/>
        <v>#DIV/0!</v>
      </c>
      <c r="EJ50" s="117" t="e">
        <f t="shared" si="128"/>
        <v>#DIV/0!</v>
      </c>
      <c r="EK50" s="117" t="e">
        <f t="shared" si="128"/>
        <v>#DIV/0!</v>
      </c>
      <c r="EL50" s="117" t="e">
        <f t="shared" si="128"/>
        <v>#DIV/0!</v>
      </c>
      <c r="EM50" s="117" t="e">
        <f t="shared" si="128"/>
        <v>#DIV/0!</v>
      </c>
      <c r="EN50" s="117" t="e">
        <f t="shared" si="128"/>
        <v>#DIV/0!</v>
      </c>
      <c r="EO50" s="117" t="e">
        <f t="shared" si="128"/>
        <v>#DIV/0!</v>
      </c>
      <c r="EP50" s="9">
        <f t="shared" si="128"/>
        <v>0</v>
      </c>
      <c r="EQ50" s="117">
        <f t="shared" si="128"/>
        <v>0</v>
      </c>
      <c r="ER50" s="117">
        <f t="shared" si="128"/>
        <v>-1.12183278959447e-11</v>
      </c>
      <c r="ES50" s="117">
        <f t="shared" si="128"/>
        <v>0</v>
      </c>
      <c r="ET50" s="117">
        <f t="shared" si="128"/>
        <v>0</v>
      </c>
      <c r="EU50" s="117">
        <f t="shared" si="128"/>
        <v>0</v>
      </c>
      <c r="EV50" s="117">
        <f t="shared" si="128"/>
        <v>0</v>
      </c>
      <c r="EW50" s="117">
        <f t="shared" si="128"/>
        <v>0</v>
      </c>
      <c r="EX50" s="117">
        <f t="shared" si="128"/>
        <v>0</v>
      </c>
      <c r="EY50" s="117">
        <f t="shared" si="128"/>
        <v>0</v>
      </c>
      <c r="EZ50" s="117">
        <f t="shared" si="128"/>
        <v>0</v>
      </c>
      <c r="FA50" s="117">
        <f t="shared" si="128"/>
        <v>0</v>
      </c>
      <c r="FB50" s="117">
        <f t="shared" si="128"/>
        <v>0</v>
      </c>
      <c r="FC50" s="117">
        <f t="shared" si="128"/>
        <v>-9.45789197540104e-13</v>
      </c>
      <c r="FD50" s="118"/>
      <c r="FE50" s="117"/>
      <c r="FF50" s="117"/>
      <c r="FG50" s="117"/>
      <c r="FH50" s="117"/>
      <c r="FI50" s="117"/>
      <c r="FJ50" s="117"/>
      <c r="FK50" s="117"/>
      <c r="FL50" s="117"/>
      <c r="FM50" s="117"/>
      <c r="FN50" s="117"/>
      <c r="FO50" s="117"/>
      <c r="FP50" s="9"/>
      <c r="FQ50" s="118">
        <f t="shared" si="128"/>
        <v>0.00207405352281656</v>
      </c>
      <c r="FR50" s="117">
        <f t="shared" si="128"/>
        <v>0</v>
      </c>
      <c r="FS50" s="117">
        <f t="shared" si="128"/>
        <v>3.70742055839168e-5</v>
      </c>
      <c r="FT50" s="117">
        <f t="shared" si="128"/>
        <v>0</v>
      </c>
      <c r="FU50" s="117">
        <f t="shared" ref="FU50:GC50" si="129">FU10/FU$39</f>
        <v>0.000863729211374327</v>
      </c>
      <c r="FV50" s="117">
        <f t="shared" si="129"/>
        <v>0</v>
      </c>
      <c r="FW50" s="117">
        <f t="shared" si="129"/>
        <v>0</v>
      </c>
      <c r="FX50" s="117">
        <f t="shared" si="129"/>
        <v>0</v>
      </c>
      <c r="FY50" s="117">
        <f t="shared" si="129"/>
        <v>0</v>
      </c>
      <c r="FZ50" s="117">
        <f t="shared" si="129"/>
        <v>0</v>
      </c>
      <c r="GA50" s="117">
        <f t="shared" si="129"/>
        <v>0</v>
      </c>
      <c r="GB50" s="117">
        <f t="shared" si="129"/>
        <v>0</v>
      </c>
      <c r="GC50" s="9">
        <f t="shared" si="129"/>
        <v>0.000318924819844461</v>
      </c>
    </row>
    <row r="51" customHeight="1" spans="1:185">
      <c r="A51" s="114"/>
      <c r="B51" s="115" t="s">
        <v>404</v>
      </c>
      <c r="C51" s="116">
        <f t="shared" si="87"/>
        <v>-0.242239446457644</v>
      </c>
      <c r="D51" s="117">
        <f t="shared" ref="D51:AI51" si="130">D11/D$39</f>
        <v>0.00637004195839749</v>
      </c>
      <c r="E51" s="117">
        <f t="shared" si="130"/>
        <v>0.00678837335305677</v>
      </c>
      <c r="F51" s="117">
        <f t="shared" si="130"/>
        <v>0.00811358030610966</v>
      </c>
      <c r="G51" s="117">
        <f t="shared" si="130"/>
        <v>0.00575340876832606</v>
      </c>
      <c r="H51" s="117">
        <f t="shared" si="130"/>
        <v>0.00656879144559061</v>
      </c>
      <c r="I51" s="117">
        <f t="shared" si="130"/>
        <v>0.00275174186198476</v>
      </c>
      <c r="J51" s="117">
        <f t="shared" si="130"/>
        <v>0.000900915326429475</v>
      </c>
      <c r="K51" s="117">
        <f t="shared" si="130"/>
        <v>0.000653642519462551</v>
      </c>
      <c r="L51" s="117">
        <f t="shared" si="130"/>
        <v>0.000481022050411365</v>
      </c>
      <c r="M51" s="117">
        <f t="shared" si="130"/>
        <v>0.000300277466304206</v>
      </c>
      <c r="N51" s="117">
        <f t="shared" si="130"/>
        <v>0.000283727291836966</v>
      </c>
      <c r="O51" s="117">
        <f t="shared" si="130"/>
        <v>0.000288544202289427</v>
      </c>
      <c r="P51" s="9">
        <f t="shared" si="130"/>
        <v>0.00334092931108089</v>
      </c>
      <c r="Q51" s="117">
        <f t="shared" si="130"/>
        <v>0</v>
      </c>
      <c r="R51" s="117">
        <f t="shared" si="130"/>
        <v>0</v>
      </c>
      <c r="S51" s="117">
        <f t="shared" si="130"/>
        <v>0</v>
      </c>
      <c r="T51" s="117">
        <f t="shared" si="130"/>
        <v>0</v>
      </c>
      <c r="U51" s="117">
        <f t="shared" si="130"/>
        <v>0</v>
      </c>
      <c r="V51" s="117">
        <f t="shared" si="130"/>
        <v>0</v>
      </c>
      <c r="W51" s="117">
        <f t="shared" si="130"/>
        <v>0</v>
      </c>
      <c r="X51" s="117">
        <f t="shared" si="130"/>
        <v>0</v>
      </c>
      <c r="Y51" s="117">
        <f t="shared" si="130"/>
        <v>0</v>
      </c>
      <c r="Z51" s="117">
        <f t="shared" si="130"/>
        <v>0</v>
      </c>
      <c r="AA51" s="117">
        <f t="shared" si="130"/>
        <v>0</v>
      </c>
      <c r="AB51" s="117">
        <f t="shared" si="130"/>
        <v>0</v>
      </c>
      <c r="AC51" s="9">
        <f t="shared" si="130"/>
        <v>0</v>
      </c>
      <c r="AD51" s="117">
        <f t="shared" si="130"/>
        <v>0.0151234877586681</v>
      </c>
      <c r="AE51" s="117">
        <f t="shared" si="130"/>
        <v>0.0149284462594499</v>
      </c>
      <c r="AF51" s="117">
        <f t="shared" si="130"/>
        <v>0.0161186741986448</v>
      </c>
      <c r="AG51" s="117">
        <f t="shared" si="130"/>
        <v>0.0147873601346355</v>
      </c>
      <c r="AH51" s="117">
        <f t="shared" si="130"/>
        <v>0.0152652601933509</v>
      </c>
      <c r="AI51" s="117">
        <f t="shared" si="130"/>
        <v>0.00465120996054037</v>
      </c>
      <c r="AJ51" s="117">
        <f t="shared" ref="AJ51:BO51" si="131">AJ11/AJ$39</f>
        <v>0</v>
      </c>
      <c r="AK51" s="117">
        <f t="shared" si="131"/>
        <v>0</v>
      </c>
      <c r="AL51" s="117">
        <f t="shared" si="131"/>
        <v>0</v>
      </c>
      <c r="AM51" s="117">
        <f t="shared" si="131"/>
        <v>0</v>
      </c>
      <c r="AN51" s="117">
        <f t="shared" si="131"/>
        <v>0</v>
      </c>
      <c r="AO51" s="117">
        <f t="shared" si="131"/>
        <v>0</v>
      </c>
      <c r="AP51" s="9">
        <f t="shared" si="131"/>
        <v>0.00596877922379532</v>
      </c>
      <c r="AQ51" s="117">
        <f t="shared" si="131"/>
        <v>0.00866852544382237</v>
      </c>
      <c r="AR51" s="117">
        <f t="shared" si="131"/>
        <v>0.0132844962846485</v>
      </c>
      <c r="AS51" s="117">
        <f t="shared" si="131"/>
        <v>0.0149332626497917</v>
      </c>
      <c r="AT51" s="117">
        <f t="shared" si="131"/>
        <v>0.0109868837399663</v>
      </c>
      <c r="AU51" s="117">
        <f t="shared" si="131"/>
        <v>0.000223549452246019</v>
      </c>
      <c r="AV51" s="117">
        <f t="shared" si="131"/>
        <v>0</v>
      </c>
      <c r="AW51" s="117">
        <f t="shared" si="131"/>
        <v>0</v>
      </c>
      <c r="AX51" s="117">
        <f t="shared" si="131"/>
        <v>0</v>
      </c>
      <c r="AY51" s="117">
        <f t="shared" si="131"/>
        <v>0</v>
      </c>
      <c r="AZ51" s="117">
        <f t="shared" si="131"/>
        <v>0</v>
      </c>
      <c r="BA51" s="117">
        <f t="shared" si="131"/>
        <v>0</v>
      </c>
      <c r="BB51" s="117">
        <f t="shared" si="131"/>
        <v>0</v>
      </c>
      <c r="BC51" s="9">
        <f t="shared" si="131"/>
        <v>0.00385011647178034</v>
      </c>
      <c r="BD51" s="117">
        <f t="shared" si="131"/>
        <v>0.00762313900744386</v>
      </c>
      <c r="BE51" s="117">
        <f t="shared" si="131"/>
        <v>0.00676468526711985</v>
      </c>
      <c r="BF51" s="117">
        <f t="shared" si="131"/>
        <v>0.00899380154668091</v>
      </c>
      <c r="BG51" s="117">
        <f t="shared" si="131"/>
        <v>0.00140480706781083</v>
      </c>
      <c r="BH51" s="117">
        <f t="shared" si="131"/>
        <v>0.00321798897172457</v>
      </c>
      <c r="BI51" s="117">
        <f t="shared" si="131"/>
        <v>0.00129595745564465</v>
      </c>
      <c r="BJ51" s="117">
        <f t="shared" si="131"/>
        <v>0</v>
      </c>
      <c r="BK51" s="117">
        <f t="shared" si="131"/>
        <v>0</v>
      </c>
      <c r="BL51" s="117">
        <f t="shared" si="131"/>
        <v>0</v>
      </c>
      <c r="BM51" s="117">
        <f t="shared" si="131"/>
        <v>0</v>
      </c>
      <c r="BN51" s="117">
        <f t="shared" si="131"/>
        <v>0</v>
      </c>
      <c r="BO51" s="117">
        <f t="shared" si="131"/>
        <v>0</v>
      </c>
      <c r="BP51" s="9">
        <f t="shared" ref="BP51:CU51" si="132">BP11/BP$39</f>
        <v>0.00261802084330906</v>
      </c>
      <c r="BQ51" s="117">
        <f t="shared" si="132"/>
        <v>0.00725209318126841</v>
      </c>
      <c r="BR51" s="117">
        <f t="shared" si="132"/>
        <v>0.00853603371916998</v>
      </c>
      <c r="BS51" s="117">
        <f t="shared" si="132"/>
        <v>0.0109778822856124</v>
      </c>
      <c r="BT51" s="117">
        <f t="shared" si="132"/>
        <v>0.00272204987606374</v>
      </c>
      <c r="BU51" s="117">
        <f t="shared" si="132"/>
        <v>0.0134543160841889</v>
      </c>
      <c r="BV51" s="117">
        <f t="shared" si="132"/>
        <v>0.00453572681164524</v>
      </c>
      <c r="BW51" s="117">
        <f t="shared" si="132"/>
        <v>0</v>
      </c>
      <c r="BX51" s="117">
        <f t="shared" si="132"/>
        <v>0</v>
      </c>
      <c r="BY51" s="117">
        <f t="shared" si="132"/>
        <v>0</v>
      </c>
      <c r="BZ51" s="117">
        <f t="shared" si="132"/>
        <v>0</v>
      </c>
      <c r="CA51" s="117">
        <f t="shared" si="132"/>
        <v>0</v>
      </c>
      <c r="CB51" s="117">
        <f t="shared" si="132"/>
        <v>0</v>
      </c>
      <c r="CC51" s="9">
        <f t="shared" si="132"/>
        <v>0.00431747516242917</v>
      </c>
      <c r="CD51" s="117">
        <f t="shared" si="132"/>
        <v>0</v>
      </c>
      <c r="CE51" s="117">
        <f t="shared" si="132"/>
        <v>0.00813643542344449</v>
      </c>
      <c r="CF51" s="117">
        <f t="shared" si="132"/>
        <v>0.00116987759982407</v>
      </c>
      <c r="CG51" s="117">
        <f t="shared" si="132"/>
        <v>0.0155867957410293</v>
      </c>
      <c r="CH51" s="117">
        <f t="shared" si="132"/>
        <v>0.00445669418044715</v>
      </c>
      <c r="CI51" s="117">
        <f t="shared" si="132"/>
        <v>0.00104580459273185</v>
      </c>
      <c r="CJ51" s="117">
        <f t="shared" si="132"/>
        <v>0.00131448283109356</v>
      </c>
      <c r="CK51" s="117">
        <f t="shared" si="132"/>
        <v>0.00143291468001133</v>
      </c>
      <c r="CL51" s="117">
        <f t="shared" si="132"/>
        <v>0.00163283659201949</v>
      </c>
      <c r="CM51" s="117">
        <f t="shared" si="132"/>
        <v>0</v>
      </c>
      <c r="CN51" s="117">
        <f t="shared" si="132"/>
        <v>0</v>
      </c>
      <c r="CO51" s="117">
        <f t="shared" si="132"/>
        <v>0</v>
      </c>
      <c r="CP51" s="9">
        <f t="shared" si="132"/>
        <v>0.0027206661749053</v>
      </c>
      <c r="CQ51" s="117">
        <f t="shared" si="132"/>
        <v>0.00781709536563204</v>
      </c>
      <c r="CR51" s="117">
        <f t="shared" si="132"/>
        <v>0.00499138004685392</v>
      </c>
      <c r="CS51" s="117">
        <f t="shared" si="132"/>
        <v>0.00641702917521614</v>
      </c>
      <c r="CT51" s="117">
        <f t="shared" si="132"/>
        <v>0.00497364652024081</v>
      </c>
      <c r="CU51" s="117">
        <f t="shared" si="132"/>
        <v>0.0025435470908063</v>
      </c>
      <c r="CV51" s="117">
        <f t="shared" ref="CV51:EA51" si="133">CV11/CV$39</f>
        <v>0.000120731867405625</v>
      </c>
      <c r="CW51" s="117">
        <f t="shared" si="133"/>
        <v>0</v>
      </c>
      <c r="CX51" s="117">
        <f t="shared" si="133"/>
        <v>0</v>
      </c>
      <c r="CY51" s="117">
        <f t="shared" si="133"/>
        <v>0</v>
      </c>
      <c r="CZ51" s="117">
        <f t="shared" si="133"/>
        <v>0</v>
      </c>
      <c r="DA51" s="117">
        <f t="shared" si="133"/>
        <v>0</v>
      </c>
      <c r="DB51" s="117">
        <f t="shared" si="133"/>
        <v>0</v>
      </c>
      <c r="DC51" s="9">
        <f t="shared" si="133"/>
        <v>0.00248088179497967</v>
      </c>
      <c r="DD51" s="117">
        <f t="shared" si="133"/>
        <v>0.0124536493939606</v>
      </c>
      <c r="DE51" s="117">
        <f t="shared" si="133"/>
        <v>0.00870316718438785</v>
      </c>
      <c r="DF51" s="117">
        <f t="shared" si="133"/>
        <v>0.0103891122514399</v>
      </c>
      <c r="DG51" s="117">
        <f t="shared" si="133"/>
        <v>0.0107829641829797</v>
      </c>
      <c r="DH51" s="117">
        <f t="shared" si="133"/>
        <v>0.0106115827513339</v>
      </c>
      <c r="DI51" s="117">
        <f t="shared" si="133"/>
        <v>0.00783949874186322</v>
      </c>
      <c r="DJ51" s="117">
        <f t="shared" si="133"/>
        <v>0.00567011604625144</v>
      </c>
      <c r="DK51" s="117">
        <f t="shared" si="133"/>
        <v>0.00369213281860116</v>
      </c>
      <c r="DL51" s="117">
        <f t="shared" si="133"/>
        <v>0.0029566203172138</v>
      </c>
      <c r="DM51" s="117">
        <f t="shared" si="133"/>
        <v>0.00146061219207734</v>
      </c>
      <c r="DN51" s="117">
        <f t="shared" si="133"/>
        <v>0.00040605416108564</v>
      </c>
      <c r="DO51" s="117">
        <f t="shared" si="133"/>
        <v>0.000368000496180444</v>
      </c>
      <c r="DP51" s="9">
        <f t="shared" si="133"/>
        <v>0.00667852737070113</v>
      </c>
      <c r="DQ51" s="117">
        <f t="shared" si="133"/>
        <v>0.0100978692591641</v>
      </c>
      <c r="DR51" s="117">
        <f t="shared" si="133"/>
        <v>0.0115675128854614</v>
      </c>
      <c r="DS51" s="117">
        <f t="shared" si="133"/>
        <v>0.0123031718978928</v>
      </c>
      <c r="DT51" s="117">
        <f t="shared" si="133"/>
        <v>0.00883885889747055</v>
      </c>
      <c r="DU51" s="117">
        <f t="shared" si="133"/>
        <v>0.00945488019086139</v>
      </c>
      <c r="DV51" s="117">
        <f t="shared" si="133"/>
        <v>0.00779463846523004</v>
      </c>
      <c r="DW51" s="117">
        <f t="shared" si="133"/>
        <v>0.00400798672039164</v>
      </c>
      <c r="DX51" s="117">
        <f t="shared" si="133"/>
        <v>0.00244393022240543</v>
      </c>
      <c r="DY51" s="117">
        <f t="shared" si="133"/>
        <v>0</v>
      </c>
      <c r="DZ51" s="117">
        <f t="shared" si="133"/>
        <v>0</v>
      </c>
      <c r="EA51" s="117">
        <f t="shared" si="133"/>
        <v>0</v>
      </c>
      <c r="EB51" s="117">
        <f t="shared" ref="EB51:FT51" si="134">EB11/EB$39</f>
        <v>0</v>
      </c>
      <c r="EC51" s="117">
        <f t="shared" si="134"/>
        <v>0.00594868027917705</v>
      </c>
      <c r="ED51" s="118">
        <f t="shared" si="134"/>
        <v>0</v>
      </c>
      <c r="EE51" s="117">
        <f t="shared" si="134"/>
        <v>0</v>
      </c>
      <c r="EF51" s="117">
        <f t="shared" si="134"/>
        <v>0</v>
      </c>
      <c r="EG51" s="117">
        <f t="shared" si="134"/>
        <v>0</v>
      </c>
      <c r="EH51" s="117" t="e">
        <f t="shared" si="134"/>
        <v>#DIV/0!</v>
      </c>
      <c r="EI51" s="117" t="e">
        <f t="shared" si="134"/>
        <v>#DIV/0!</v>
      </c>
      <c r="EJ51" s="117" t="e">
        <f t="shared" si="134"/>
        <v>#DIV/0!</v>
      </c>
      <c r="EK51" s="117" t="e">
        <f t="shared" si="134"/>
        <v>#DIV/0!</v>
      </c>
      <c r="EL51" s="117" t="e">
        <f t="shared" si="134"/>
        <v>#DIV/0!</v>
      </c>
      <c r="EM51" s="117" t="e">
        <f t="shared" si="134"/>
        <v>#DIV/0!</v>
      </c>
      <c r="EN51" s="117" t="e">
        <f t="shared" si="134"/>
        <v>#DIV/0!</v>
      </c>
      <c r="EO51" s="117" t="e">
        <f t="shared" si="134"/>
        <v>#DIV/0!</v>
      </c>
      <c r="EP51" s="9">
        <f t="shared" si="134"/>
        <v>0</v>
      </c>
      <c r="EQ51" s="117">
        <f t="shared" si="134"/>
        <v>0.0110380472131989</v>
      </c>
      <c r="ER51" s="117">
        <f t="shared" si="134"/>
        <v>0.0143713995125057</v>
      </c>
      <c r="ES51" s="117">
        <f t="shared" si="134"/>
        <v>0.013386897919797</v>
      </c>
      <c r="ET51" s="117">
        <f t="shared" si="134"/>
        <v>0.0160036760227241</v>
      </c>
      <c r="EU51" s="117">
        <f t="shared" si="134"/>
        <v>0.0124716841204244</v>
      </c>
      <c r="EV51" s="117">
        <f t="shared" si="134"/>
        <v>0.00201544023678899</v>
      </c>
      <c r="EW51" s="117">
        <f t="shared" si="134"/>
        <v>0.000423221467836237</v>
      </c>
      <c r="EX51" s="117">
        <f t="shared" si="134"/>
        <v>0</v>
      </c>
      <c r="EY51" s="117">
        <f t="shared" si="134"/>
        <v>0</v>
      </c>
      <c r="EZ51" s="117">
        <f t="shared" si="134"/>
        <v>0</v>
      </c>
      <c r="FA51" s="117">
        <f t="shared" si="134"/>
        <v>0</v>
      </c>
      <c r="FB51" s="117">
        <f t="shared" si="134"/>
        <v>0</v>
      </c>
      <c r="FC51" s="117">
        <f t="shared" si="134"/>
        <v>0.00554971729967963</v>
      </c>
      <c r="FD51" s="118"/>
      <c r="FE51" s="117"/>
      <c r="FF51" s="117"/>
      <c r="FG51" s="117"/>
      <c r="FH51" s="117"/>
      <c r="FI51" s="117"/>
      <c r="FJ51" s="117"/>
      <c r="FK51" s="117"/>
      <c r="FL51" s="117"/>
      <c r="FM51" s="117"/>
      <c r="FN51" s="117"/>
      <c r="FO51" s="117"/>
      <c r="FP51" s="9"/>
      <c r="FQ51" s="118">
        <f t="shared" si="134"/>
        <v>0.0044317676867606</v>
      </c>
      <c r="FR51" s="117">
        <f t="shared" si="134"/>
        <v>0.00298425231566945</v>
      </c>
      <c r="FS51" s="117">
        <f t="shared" si="134"/>
        <v>0.00442698491506657</v>
      </c>
      <c r="FT51" s="117">
        <f t="shared" si="134"/>
        <v>0.00395187186369074</v>
      </c>
      <c r="FU51" s="117">
        <f t="shared" ref="FU51:GC51" si="135">FU11/FU$39</f>
        <v>0.0032021810976066</v>
      </c>
      <c r="FV51" s="117">
        <f t="shared" si="135"/>
        <v>0.00276647889217313</v>
      </c>
      <c r="FW51" s="117">
        <f t="shared" si="135"/>
        <v>0.0021038074862187</v>
      </c>
      <c r="FX51" s="117">
        <f t="shared" si="135"/>
        <v>0.00172740186266069</v>
      </c>
      <c r="FY51" s="117">
        <f t="shared" si="135"/>
        <v>0.00192549705777077</v>
      </c>
      <c r="FZ51" s="117">
        <f t="shared" si="135"/>
        <v>0.00122282510994255</v>
      </c>
      <c r="GA51" s="117">
        <f t="shared" si="135"/>
        <v>0.00112145100938258</v>
      </c>
      <c r="GB51" s="117">
        <f t="shared" si="135"/>
        <v>0.00104551328204984</v>
      </c>
      <c r="GC51" s="9">
        <f t="shared" si="135"/>
        <v>0.00263053697183298</v>
      </c>
    </row>
    <row r="52" customHeight="1" spans="1:185">
      <c r="A52" s="114"/>
      <c r="B52" s="115" t="s">
        <v>405</v>
      </c>
      <c r="C52" s="116" t="e">
        <f t="shared" si="87"/>
        <v>#DIV/0!</v>
      </c>
      <c r="D52" s="117">
        <f t="shared" ref="D52:BO52" si="136">D12/D$39</f>
        <v>0</v>
      </c>
      <c r="E52" s="117">
        <f t="shared" si="136"/>
        <v>0</v>
      </c>
      <c r="F52" s="117">
        <f t="shared" si="136"/>
        <v>0</v>
      </c>
      <c r="G52" s="117">
        <f t="shared" si="136"/>
        <v>0</v>
      </c>
      <c r="H52" s="117">
        <f t="shared" si="136"/>
        <v>0</v>
      </c>
      <c r="I52" s="117">
        <f t="shared" si="136"/>
        <v>0.000697809704771672</v>
      </c>
      <c r="J52" s="117">
        <f t="shared" si="136"/>
        <v>0.00101121537438288</v>
      </c>
      <c r="K52" s="117">
        <f t="shared" si="136"/>
        <v>0.000503415856669209</v>
      </c>
      <c r="L52" s="117">
        <f t="shared" si="136"/>
        <v>0.000118964187163068</v>
      </c>
      <c r="M52" s="117">
        <f t="shared" si="136"/>
        <v>0.000369884410536869</v>
      </c>
      <c r="N52" s="117">
        <f t="shared" si="136"/>
        <v>0.000116417685437295</v>
      </c>
      <c r="O52" s="117">
        <f t="shared" si="136"/>
        <v>0.000818475438396982</v>
      </c>
      <c r="P52" s="9">
        <f t="shared" si="136"/>
        <v>0.000284804602241987</v>
      </c>
      <c r="Q52" s="117">
        <f t="shared" si="136"/>
        <v>0</v>
      </c>
      <c r="R52" s="117">
        <f t="shared" si="136"/>
        <v>0</v>
      </c>
      <c r="S52" s="117">
        <f t="shared" si="136"/>
        <v>0</v>
      </c>
      <c r="T52" s="117">
        <f t="shared" si="136"/>
        <v>0</v>
      </c>
      <c r="U52" s="117">
        <f t="shared" si="136"/>
        <v>0</v>
      </c>
      <c r="V52" s="117">
        <f t="shared" si="136"/>
        <v>0</v>
      </c>
      <c r="W52" s="117">
        <f t="shared" si="136"/>
        <v>0</v>
      </c>
      <c r="X52" s="117">
        <f t="shared" si="136"/>
        <v>0</v>
      </c>
      <c r="Y52" s="117">
        <f t="shared" si="136"/>
        <v>0</v>
      </c>
      <c r="Z52" s="117">
        <f t="shared" si="136"/>
        <v>0</v>
      </c>
      <c r="AA52" s="117">
        <f t="shared" si="136"/>
        <v>0</v>
      </c>
      <c r="AB52" s="117">
        <f t="shared" si="136"/>
        <v>0</v>
      </c>
      <c r="AC52" s="9">
        <f t="shared" si="136"/>
        <v>0</v>
      </c>
      <c r="AD52" s="117">
        <f t="shared" si="136"/>
        <v>0</v>
      </c>
      <c r="AE52" s="117">
        <f t="shared" si="136"/>
        <v>0</v>
      </c>
      <c r="AF52" s="117">
        <f t="shared" si="136"/>
        <v>0</v>
      </c>
      <c r="AG52" s="117">
        <f t="shared" si="136"/>
        <v>0</v>
      </c>
      <c r="AH52" s="117">
        <f t="shared" si="136"/>
        <v>0</v>
      </c>
      <c r="AI52" s="117">
        <f t="shared" si="136"/>
        <v>0</v>
      </c>
      <c r="AJ52" s="117">
        <f t="shared" si="136"/>
        <v>0</v>
      </c>
      <c r="AK52" s="117">
        <f t="shared" si="136"/>
        <v>0</v>
      </c>
      <c r="AL52" s="117">
        <f t="shared" si="136"/>
        <v>0</v>
      </c>
      <c r="AM52" s="117">
        <f t="shared" si="136"/>
        <v>0</v>
      </c>
      <c r="AN52" s="117">
        <f t="shared" si="136"/>
        <v>0</v>
      </c>
      <c r="AO52" s="117">
        <f t="shared" si="136"/>
        <v>0</v>
      </c>
      <c r="AP52" s="9">
        <f t="shared" si="136"/>
        <v>0</v>
      </c>
      <c r="AQ52" s="117">
        <f t="shared" si="136"/>
        <v>0</v>
      </c>
      <c r="AR52" s="117">
        <f t="shared" si="136"/>
        <v>0</v>
      </c>
      <c r="AS52" s="117">
        <f t="shared" si="136"/>
        <v>0</v>
      </c>
      <c r="AT52" s="117">
        <f t="shared" si="136"/>
        <v>0</v>
      </c>
      <c r="AU52" s="117">
        <f t="shared" si="136"/>
        <v>0</v>
      </c>
      <c r="AV52" s="117">
        <f t="shared" si="136"/>
        <v>0</v>
      </c>
      <c r="AW52" s="117">
        <f t="shared" si="136"/>
        <v>0</v>
      </c>
      <c r="AX52" s="117">
        <f t="shared" si="136"/>
        <v>0</v>
      </c>
      <c r="AY52" s="117">
        <f t="shared" si="136"/>
        <v>0</v>
      </c>
      <c r="AZ52" s="117">
        <f t="shared" si="136"/>
        <v>0</v>
      </c>
      <c r="BA52" s="117">
        <f t="shared" si="136"/>
        <v>0</v>
      </c>
      <c r="BB52" s="117">
        <f t="shared" si="136"/>
        <v>0</v>
      </c>
      <c r="BC52" s="9">
        <f t="shared" si="136"/>
        <v>0</v>
      </c>
      <c r="BD52" s="117">
        <f t="shared" si="136"/>
        <v>0</v>
      </c>
      <c r="BE52" s="117">
        <f t="shared" si="136"/>
        <v>0</v>
      </c>
      <c r="BF52" s="117">
        <f t="shared" si="136"/>
        <v>0</v>
      </c>
      <c r="BG52" s="117">
        <f t="shared" si="136"/>
        <v>0</v>
      </c>
      <c r="BH52" s="117">
        <f t="shared" si="136"/>
        <v>0</v>
      </c>
      <c r="BI52" s="117">
        <f t="shared" si="136"/>
        <v>0</v>
      </c>
      <c r="BJ52" s="117">
        <f t="shared" si="136"/>
        <v>0</v>
      </c>
      <c r="BK52" s="117">
        <f t="shared" si="136"/>
        <v>0</v>
      </c>
      <c r="BL52" s="117">
        <f t="shared" si="136"/>
        <v>0</v>
      </c>
      <c r="BM52" s="117">
        <f t="shared" si="136"/>
        <v>0</v>
      </c>
      <c r="BN52" s="117">
        <f t="shared" si="136"/>
        <v>0</v>
      </c>
      <c r="BO52" s="117">
        <f t="shared" si="136"/>
        <v>0</v>
      </c>
      <c r="BP52" s="9">
        <f t="shared" ref="BP52:EA52" si="137">BP12/BP$39</f>
        <v>0</v>
      </c>
      <c r="BQ52" s="117">
        <f t="shared" si="137"/>
        <v>0</v>
      </c>
      <c r="BR52" s="117">
        <f t="shared" si="137"/>
        <v>0</v>
      </c>
      <c r="BS52" s="117">
        <f t="shared" si="137"/>
        <v>0</v>
      </c>
      <c r="BT52" s="117">
        <f t="shared" si="137"/>
        <v>0</v>
      </c>
      <c r="BU52" s="117">
        <f t="shared" si="137"/>
        <v>0</v>
      </c>
      <c r="BV52" s="117">
        <f t="shared" si="137"/>
        <v>0</v>
      </c>
      <c r="BW52" s="117">
        <f t="shared" si="137"/>
        <v>0</v>
      </c>
      <c r="BX52" s="117">
        <f t="shared" si="137"/>
        <v>0</v>
      </c>
      <c r="BY52" s="117">
        <f t="shared" si="137"/>
        <v>0</v>
      </c>
      <c r="BZ52" s="117">
        <f t="shared" si="137"/>
        <v>0</v>
      </c>
      <c r="CA52" s="117">
        <f t="shared" si="137"/>
        <v>0</v>
      </c>
      <c r="CB52" s="117">
        <f t="shared" si="137"/>
        <v>0</v>
      </c>
      <c r="CC52" s="9">
        <f t="shared" si="137"/>
        <v>0</v>
      </c>
      <c r="CD52" s="117">
        <f t="shared" si="137"/>
        <v>0</v>
      </c>
      <c r="CE52" s="117">
        <f t="shared" si="137"/>
        <v>0</v>
      </c>
      <c r="CF52" s="117">
        <f t="shared" si="137"/>
        <v>0</v>
      </c>
      <c r="CG52" s="117">
        <f t="shared" si="137"/>
        <v>0</v>
      </c>
      <c r="CH52" s="117">
        <f t="shared" si="137"/>
        <v>0</v>
      </c>
      <c r="CI52" s="117">
        <f t="shared" si="137"/>
        <v>0</v>
      </c>
      <c r="CJ52" s="117">
        <f t="shared" si="137"/>
        <v>0</v>
      </c>
      <c r="CK52" s="117">
        <f t="shared" si="137"/>
        <v>0</v>
      </c>
      <c r="CL52" s="117">
        <f t="shared" si="137"/>
        <v>0</v>
      </c>
      <c r="CM52" s="117">
        <f t="shared" si="137"/>
        <v>0</v>
      </c>
      <c r="CN52" s="117">
        <f t="shared" si="137"/>
        <v>0</v>
      </c>
      <c r="CO52" s="117">
        <f t="shared" si="137"/>
        <v>0</v>
      </c>
      <c r="CP52" s="9">
        <f t="shared" si="137"/>
        <v>0</v>
      </c>
      <c r="CQ52" s="117">
        <f t="shared" si="137"/>
        <v>0</v>
      </c>
      <c r="CR52" s="117">
        <f t="shared" si="137"/>
        <v>0</v>
      </c>
      <c r="CS52" s="117">
        <f t="shared" si="137"/>
        <v>0</v>
      </c>
      <c r="CT52" s="117">
        <f t="shared" si="137"/>
        <v>0</v>
      </c>
      <c r="CU52" s="117">
        <f t="shared" si="137"/>
        <v>0</v>
      </c>
      <c r="CV52" s="117">
        <f t="shared" si="137"/>
        <v>0</v>
      </c>
      <c r="CW52" s="117">
        <f t="shared" si="137"/>
        <v>0</v>
      </c>
      <c r="CX52" s="117">
        <f t="shared" si="137"/>
        <v>0</v>
      </c>
      <c r="CY52" s="117">
        <f t="shared" si="137"/>
        <v>0</v>
      </c>
      <c r="CZ52" s="117">
        <f t="shared" si="137"/>
        <v>0</v>
      </c>
      <c r="DA52" s="117">
        <f t="shared" si="137"/>
        <v>0</v>
      </c>
      <c r="DB52" s="117">
        <f t="shared" si="137"/>
        <v>0</v>
      </c>
      <c r="DC52" s="9">
        <f t="shared" si="137"/>
        <v>0</v>
      </c>
      <c r="DD52" s="117">
        <f t="shared" si="137"/>
        <v>0</v>
      </c>
      <c r="DE52" s="117">
        <f t="shared" si="137"/>
        <v>0</v>
      </c>
      <c r="DF52" s="117">
        <f t="shared" si="137"/>
        <v>0</v>
      </c>
      <c r="DG52" s="117">
        <f t="shared" si="137"/>
        <v>0</v>
      </c>
      <c r="DH52" s="117">
        <f t="shared" si="137"/>
        <v>0</v>
      </c>
      <c r="DI52" s="117">
        <f t="shared" si="137"/>
        <v>0</v>
      </c>
      <c r="DJ52" s="117">
        <f t="shared" si="137"/>
        <v>0</v>
      </c>
      <c r="DK52" s="117">
        <f t="shared" si="137"/>
        <v>0</v>
      </c>
      <c r="DL52" s="117">
        <f t="shared" si="137"/>
        <v>0</v>
      </c>
      <c r="DM52" s="117">
        <f t="shared" si="137"/>
        <v>0</v>
      </c>
      <c r="DN52" s="117">
        <f t="shared" si="137"/>
        <v>0</v>
      </c>
      <c r="DO52" s="117">
        <f t="shared" si="137"/>
        <v>0</v>
      </c>
      <c r="DP52" s="9">
        <f t="shared" si="137"/>
        <v>0</v>
      </c>
      <c r="DQ52" s="117">
        <f t="shared" si="137"/>
        <v>0</v>
      </c>
      <c r="DR52" s="117">
        <f t="shared" si="137"/>
        <v>0</v>
      </c>
      <c r="DS52" s="117">
        <f t="shared" si="137"/>
        <v>0</v>
      </c>
      <c r="DT52" s="117">
        <f t="shared" si="137"/>
        <v>0</v>
      </c>
      <c r="DU52" s="117">
        <f t="shared" si="137"/>
        <v>0</v>
      </c>
      <c r="DV52" s="117">
        <f t="shared" si="137"/>
        <v>0</v>
      </c>
      <c r="DW52" s="117">
        <f t="shared" si="137"/>
        <v>0</v>
      </c>
      <c r="DX52" s="117">
        <f t="shared" si="137"/>
        <v>0</v>
      </c>
      <c r="DY52" s="117">
        <f t="shared" si="137"/>
        <v>0</v>
      </c>
      <c r="DZ52" s="117">
        <f t="shared" si="137"/>
        <v>0</v>
      </c>
      <c r="EA52" s="117">
        <f t="shared" si="137"/>
        <v>0</v>
      </c>
      <c r="EB52" s="117">
        <f t="shared" ref="EB52:FC52" si="138">EB12/EB$39</f>
        <v>0</v>
      </c>
      <c r="EC52" s="117">
        <f t="shared" si="138"/>
        <v>0</v>
      </c>
      <c r="ED52" s="118">
        <f t="shared" si="138"/>
        <v>0</v>
      </c>
      <c r="EE52" s="117">
        <f t="shared" si="138"/>
        <v>0</v>
      </c>
      <c r="EF52" s="117">
        <f t="shared" si="138"/>
        <v>0</v>
      </c>
      <c r="EG52" s="117">
        <f t="shared" si="138"/>
        <v>0</v>
      </c>
      <c r="EH52" s="117" t="e">
        <f t="shared" si="138"/>
        <v>#DIV/0!</v>
      </c>
      <c r="EI52" s="117" t="e">
        <f t="shared" si="138"/>
        <v>#DIV/0!</v>
      </c>
      <c r="EJ52" s="117" t="e">
        <f t="shared" si="138"/>
        <v>#DIV/0!</v>
      </c>
      <c r="EK52" s="117" t="e">
        <f t="shared" si="138"/>
        <v>#DIV/0!</v>
      </c>
      <c r="EL52" s="117" t="e">
        <f t="shared" si="138"/>
        <v>#DIV/0!</v>
      </c>
      <c r="EM52" s="117" t="e">
        <f t="shared" si="138"/>
        <v>#DIV/0!</v>
      </c>
      <c r="EN52" s="117" t="e">
        <f t="shared" si="138"/>
        <v>#DIV/0!</v>
      </c>
      <c r="EO52" s="117" t="e">
        <f t="shared" si="138"/>
        <v>#DIV/0!</v>
      </c>
      <c r="EP52" s="9">
        <f t="shared" si="138"/>
        <v>0</v>
      </c>
      <c r="EQ52" s="117">
        <f t="shared" si="138"/>
        <v>0</v>
      </c>
      <c r="ER52" s="117">
        <f t="shared" si="138"/>
        <v>0</v>
      </c>
      <c r="ES52" s="117">
        <f t="shared" si="138"/>
        <v>0</v>
      </c>
      <c r="ET52" s="117">
        <f t="shared" si="138"/>
        <v>0</v>
      </c>
      <c r="EU52" s="117">
        <f t="shared" si="138"/>
        <v>0</v>
      </c>
      <c r="EV52" s="117">
        <f t="shared" si="138"/>
        <v>0</v>
      </c>
      <c r="EW52" s="117">
        <f t="shared" si="138"/>
        <v>0</v>
      </c>
      <c r="EX52" s="117">
        <f t="shared" si="138"/>
        <v>0</v>
      </c>
      <c r="EY52" s="117">
        <f t="shared" si="138"/>
        <v>0</v>
      </c>
      <c r="EZ52" s="117">
        <f t="shared" si="138"/>
        <v>0</v>
      </c>
      <c r="FA52" s="117">
        <f t="shared" si="138"/>
        <v>0</v>
      </c>
      <c r="FB52" s="117">
        <f t="shared" si="138"/>
        <v>0</v>
      </c>
      <c r="FC52" s="117">
        <f t="shared" si="138"/>
        <v>0</v>
      </c>
      <c r="FD52" s="118"/>
      <c r="FE52" s="117"/>
      <c r="FF52" s="117"/>
      <c r="FG52" s="117"/>
      <c r="FH52" s="117"/>
      <c r="FI52" s="117"/>
      <c r="FJ52" s="117"/>
      <c r="FK52" s="117"/>
      <c r="FL52" s="117"/>
      <c r="FM52" s="117"/>
      <c r="FN52" s="117"/>
      <c r="FO52" s="117"/>
      <c r="FP52" s="9"/>
      <c r="FQ52" s="118">
        <f t="shared" ref="FQ52:GC52" si="139">FQ12/FQ$39</f>
        <v>0</v>
      </c>
      <c r="FR52" s="117">
        <f t="shared" si="139"/>
        <v>0</v>
      </c>
      <c r="FS52" s="117">
        <f t="shared" si="139"/>
        <v>0</v>
      </c>
      <c r="FT52" s="117">
        <f t="shared" si="139"/>
        <v>0</v>
      </c>
      <c r="FU52" s="117">
        <f t="shared" si="139"/>
        <v>0</v>
      </c>
      <c r="FV52" s="117">
        <f t="shared" si="139"/>
        <v>0.00357617267069397</v>
      </c>
      <c r="FW52" s="117">
        <f t="shared" si="139"/>
        <v>0.00437090767454551</v>
      </c>
      <c r="FX52" s="117">
        <f t="shared" si="139"/>
        <v>0.00208787233827633</v>
      </c>
      <c r="FY52" s="117">
        <f t="shared" si="139"/>
        <v>0.000544314991640631</v>
      </c>
      <c r="FZ52" s="117">
        <f t="shared" si="139"/>
        <v>0.00157192243909972</v>
      </c>
      <c r="GA52" s="117">
        <f t="shared" si="139"/>
        <v>0.000465161344855736</v>
      </c>
      <c r="GB52" s="117">
        <f t="shared" si="139"/>
        <v>0.00299859250781164</v>
      </c>
      <c r="GC52" s="9">
        <f t="shared" si="139"/>
        <v>0.00117810838152083</v>
      </c>
    </row>
    <row r="53" customHeight="1" spans="1:185">
      <c r="A53" s="114"/>
      <c r="B53" s="115" t="s">
        <v>406</v>
      </c>
      <c r="C53" s="116">
        <f t="shared" si="87"/>
        <v>-0.913757779847611</v>
      </c>
      <c r="D53" s="117">
        <f t="shared" ref="D53:AI53" si="140">D13/D$39</f>
        <v>3.74956860377734e-5</v>
      </c>
      <c r="E53" s="117">
        <f t="shared" si="140"/>
        <v>3.68997801447442e-5</v>
      </c>
      <c r="F53" s="117">
        <f t="shared" si="140"/>
        <v>3.94151530743671e-5</v>
      </c>
      <c r="G53" s="117">
        <f t="shared" si="140"/>
        <v>2.50513809835978e-5</v>
      </c>
      <c r="H53" s="117">
        <f t="shared" si="140"/>
        <v>2.25115694085004e-5</v>
      </c>
      <c r="I53" s="117">
        <f t="shared" si="140"/>
        <v>0</v>
      </c>
      <c r="J53" s="117">
        <f t="shared" si="140"/>
        <v>0</v>
      </c>
      <c r="K53" s="117">
        <f t="shared" si="140"/>
        <v>0</v>
      </c>
      <c r="L53" s="117">
        <f t="shared" si="140"/>
        <v>0</v>
      </c>
      <c r="M53" s="117">
        <f t="shared" si="140"/>
        <v>0</v>
      </c>
      <c r="N53" s="117">
        <f t="shared" si="140"/>
        <v>0</v>
      </c>
      <c r="O53" s="117">
        <f t="shared" si="140"/>
        <v>0</v>
      </c>
      <c r="P53" s="9">
        <f t="shared" si="140"/>
        <v>1.45228126725008e-5</v>
      </c>
      <c r="Q53" s="117">
        <f t="shared" si="140"/>
        <v>1.13158861953875e-5</v>
      </c>
      <c r="R53" s="117">
        <f t="shared" si="140"/>
        <v>2.15961196867149e-5</v>
      </c>
      <c r="S53" s="117">
        <f t="shared" si="140"/>
        <v>7.23347663429506e-5</v>
      </c>
      <c r="T53" s="117">
        <f t="shared" si="140"/>
        <v>5.435509734385e-6</v>
      </c>
      <c r="U53" s="117">
        <f t="shared" si="140"/>
        <v>0</v>
      </c>
      <c r="V53" s="117">
        <f t="shared" si="140"/>
        <v>0</v>
      </c>
      <c r="W53" s="117">
        <f t="shared" si="140"/>
        <v>0</v>
      </c>
      <c r="X53" s="117">
        <f t="shared" si="140"/>
        <v>0</v>
      </c>
      <c r="Y53" s="117">
        <f t="shared" si="140"/>
        <v>0</v>
      </c>
      <c r="Z53" s="117">
        <f t="shared" si="140"/>
        <v>0</v>
      </c>
      <c r="AA53" s="117">
        <f t="shared" si="140"/>
        <v>0</v>
      </c>
      <c r="AB53" s="117">
        <f t="shared" si="140"/>
        <v>0</v>
      </c>
      <c r="AC53" s="9">
        <f t="shared" si="140"/>
        <v>9.36936455582854e-6</v>
      </c>
      <c r="AD53" s="117">
        <f t="shared" si="140"/>
        <v>0</v>
      </c>
      <c r="AE53" s="117">
        <f t="shared" si="140"/>
        <v>0</v>
      </c>
      <c r="AF53" s="117">
        <f t="shared" si="140"/>
        <v>0</v>
      </c>
      <c r="AG53" s="117">
        <f t="shared" si="140"/>
        <v>0</v>
      </c>
      <c r="AH53" s="117">
        <f t="shared" si="140"/>
        <v>0</v>
      </c>
      <c r="AI53" s="117">
        <f t="shared" si="140"/>
        <v>0</v>
      </c>
      <c r="AJ53" s="117">
        <f t="shared" ref="AJ53:BO53" si="141">AJ13/AJ$39</f>
        <v>0</v>
      </c>
      <c r="AK53" s="117">
        <f t="shared" si="141"/>
        <v>0</v>
      </c>
      <c r="AL53" s="117">
        <f t="shared" si="141"/>
        <v>0</v>
      </c>
      <c r="AM53" s="117">
        <f t="shared" si="141"/>
        <v>0</v>
      </c>
      <c r="AN53" s="117">
        <f t="shared" si="141"/>
        <v>0</v>
      </c>
      <c r="AO53" s="117">
        <f t="shared" si="141"/>
        <v>0</v>
      </c>
      <c r="AP53" s="9">
        <f t="shared" si="141"/>
        <v>0</v>
      </c>
      <c r="AQ53" s="117">
        <f t="shared" si="141"/>
        <v>0</v>
      </c>
      <c r="AR53" s="117">
        <f t="shared" si="141"/>
        <v>0</v>
      </c>
      <c r="AS53" s="117">
        <f t="shared" si="141"/>
        <v>0</v>
      </c>
      <c r="AT53" s="117">
        <f t="shared" si="141"/>
        <v>0</v>
      </c>
      <c r="AU53" s="117">
        <f t="shared" si="141"/>
        <v>0</v>
      </c>
      <c r="AV53" s="117">
        <f t="shared" si="141"/>
        <v>0</v>
      </c>
      <c r="AW53" s="117">
        <f t="shared" si="141"/>
        <v>0</v>
      </c>
      <c r="AX53" s="117">
        <f t="shared" si="141"/>
        <v>0</v>
      </c>
      <c r="AY53" s="117">
        <f t="shared" si="141"/>
        <v>0</v>
      </c>
      <c r="AZ53" s="117">
        <f t="shared" si="141"/>
        <v>0</v>
      </c>
      <c r="BA53" s="117">
        <f t="shared" si="141"/>
        <v>0</v>
      </c>
      <c r="BB53" s="117">
        <f t="shared" si="141"/>
        <v>0</v>
      </c>
      <c r="BC53" s="9">
        <f t="shared" si="141"/>
        <v>0</v>
      </c>
      <c r="BD53" s="117">
        <f t="shared" si="141"/>
        <v>7.9344085634294e-5</v>
      </c>
      <c r="BE53" s="117">
        <f t="shared" si="141"/>
        <v>5.21558407699692e-5</v>
      </c>
      <c r="BF53" s="117">
        <f t="shared" si="141"/>
        <v>2.77788424309487e-5</v>
      </c>
      <c r="BG53" s="117">
        <f t="shared" si="141"/>
        <v>2.00339277456692e-5</v>
      </c>
      <c r="BH53" s="117">
        <f t="shared" si="141"/>
        <v>0.000125019704611963</v>
      </c>
      <c r="BI53" s="117">
        <f t="shared" si="141"/>
        <v>0</v>
      </c>
      <c r="BJ53" s="117">
        <f t="shared" si="141"/>
        <v>0</v>
      </c>
      <c r="BK53" s="117">
        <f t="shared" si="141"/>
        <v>0</v>
      </c>
      <c r="BL53" s="117">
        <f t="shared" si="141"/>
        <v>0</v>
      </c>
      <c r="BM53" s="117">
        <f t="shared" si="141"/>
        <v>0</v>
      </c>
      <c r="BN53" s="117">
        <f t="shared" si="141"/>
        <v>0</v>
      </c>
      <c r="BO53" s="117">
        <f t="shared" si="141"/>
        <v>0</v>
      </c>
      <c r="BP53" s="9">
        <f t="shared" ref="BP53:CU53" si="142">BP13/BP$39</f>
        <v>2.54785060032609e-5</v>
      </c>
      <c r="BQ53" s="117">
        <f t="shared" si="142"/>
        <v>9.50183225917259e-5</v>
      </c>
      <c r="BR53" s="117">
        <f t="shared" si="142"/>
        <v>9.26269536666275e-5</v>
      </c>
      <c r="BS53" s="117">
        <f t="shared" si="142"/>
        <v>0.000115083244126314</v>
      </c>
      <c r="BT53" s="117">
        <f t="shared" si="142"/>
        <v>0.000107619186312108</v>
      </c>
      <c r="BU53" s="117">
        <f t="shared" si="142"/>
        <v>6.1983399470643e-5</v>
      </c>
      <c r="BV53" s="117">
        <f t="shared" si="142"/>
        <v>0</v>
      </c>
      <c r="BW53" s="117">
        <f t="shared" si="142"/>
        <v>0</v>
      </c>
      <c r="BX53" s="117">
        <f t="shared" si="142"/>
        <v>0</v>
      </c>
      <c r="BY53" s="117">
        <f t="shared" si="142"/>
        <v>0</v>
      </c>
      <c r="BZ53" s="117">
        <f t="shared" si="142"/>
        <v>0</v>
      </c>
      <c r="CA53" s="117">
        <f t="shared" si="142"/>
        <v>0</v>
      </c>
      <c r="CB53" s="117">
        <f t="shared" si="142"/>
        <v>0</v>
      </c>
      <c r="CC53" s="9">
        <f t="shared" si="142"/>
        <v>4.56212128404561e-5</v>
      </c>
      <c r="CD53" s="117">
        <f t="shared" si="142"/>
        <v>0</v>
      </c>
      <c r="CE53" s="117">
        <f t="shared" si="142"/>
        <v>0</v>
      </c>
      <c r="CF53" s="117">
        <f t="shared" si="142"/>
        <v>0</v>
      </c>
      <c r="CG53" s="117">
        <f t="shared" si="142"/>
        <v>0</v>
      </c>
      <c r="CH53" s="117">
        <f t="shared" si="142"/>
        <v>0</v>
      </c>
      <c r="CI53" s="117">
        <f t="shared" si="142"/>
        <v>0</v>
      </c>
      <c r="CJ53" s="117">
        <f t="shared" si="142"/>
        <v>0</v>
      </c>
      <c r="CK53" s="117">
        <f t="shared" si="142"/>
        <v>0</v>
      </c>
      <c r="CL53" s="117">
        <f t="shared" si="142"/>
        <v>0</v>
      </c>
      <c r="CM53" s="117">
        <f t="shared" si="142"/>
        <v>0</v>
      </c>
      <c r="CN53" s="117">
        <f t="shared" si="142"/>
        <v>0</v>
      </c>
      <c r="CO53" s="117">
        <f t="shared" si="142"/>
        <v>0</v>
      </c>
      <c r="CP53" s="9">
        <f t="shared" si="142"/>
        <v>0</v>
      </c>
      <c r="CQ53" s="117">
        <f t="shared" si="142"/>
        <v>4.23748625766353e-6</v>
      </c>
      <c r="CR53" s="117">
        <f t="shared" si="142"/>
        <v>1.56366061498955e-5</v>
      </c>
      <c r="CS53" s="117">
        <f t="shared" si="142"/>
        <v>3.09731130643836e-5</v>
      </c>
      <c r="CT53" s="117">
        <f t="shared" si="142"/>
        <v>1.69799749600704e-5</v>
      </c>
      <c r="CU53" s="117">
        <f t="shared" si="142"/>
        <v>7.21539336858389e-6</v>
      </c>
      <c r="CV53" s="117">
        <f t="shared" ref="CV53:EA53" si="143">CV13/CV$39</f>
        <v>0</v>
      </c>
      <c r="CW53" s="117">
        <f t="shared" si="143"/>
        <v>0</v>
      </c>
      <c r="CX53" s="117">
        <f t="shared" si="143"/>
        <v>0</v>
      </c>
      <c r="CY53" s="117">
        <f t="shared" si="143"/>
        <v>0</v>
      </c>
      <c r="CZ53" s="117">
        <f t="shared" si="143"/>
        <v>0</v>
      </c>
      <c r="DA53" s="117">
        <f t="shared" si="143"/>
        <v>0</v>
      </c>
      <c r="DB53" s="117">
        <f t="shared" si="143"/>
        <v>0</v>
      </c>
      <c r="DC53" s="9">
        <f t="shared" si="143"/>
        <v>6.47856568296678e-6</v>
      </c>
      <c r="DD53" s="117">
        <f t="shared" si="143"/>
        <v>0</v>
      </c>
      <c r="DE53" s="117">
        <f t="shared" si="143"/>
        <v>0</v>
      </c>
      <c r="DF53" s="117">
        <f t="shared" si="143"/>
        <v>0</v>
      </c>
      <c r="DG53" s="117">
        <f t="shared" si="143"/>
        <v>0</v>
      </c>
      <c r="DH53" s="117">
        <f t="shared" si="143"/>
        <v>0</v>
      </c>
      <c r="DI53" s="117">
        <f t="shared" si="143"/>
        <v>0</v>
      </c>
      <c r="DJ53" s="117">
        <f t="shared" si="143"/>
        <v>0</v>
      </c>
      <c r="DK53" s="117">
        <f t="shared" si="143"/>
        <v>0</v>
      </c>
      <c r="DL53" s="117">
        <f t="shared" si="143"/>
        <v>0</v>
      </c>
      <c r="DM53" s="117">
        <f t="shared" si="143"/>
        <v>0</v>
      </c>
      <c r="DN53" s="117">
        <f t="shared" si="143"/>
        <v>0</v>
      </c>
      <c r="DO53" s="117">
        <f t="shared" si="143"/>
        <v>0</v>
      </c>
      <c r="DP53" s="9">
        <f t="shared" si="143"/>
        <v>0</v>
      </c>
      <c r="DQ53" s="117">
        <f t="shared" si="143"/>
        <v>8.7450021168455e-5</v>
      </c>
      <c r="DR53" s="117">
        <f t="shared" si="143"/>
        <v>0.000108370530071884</v>
      </c>
      <c r="DS53" s="117">
        <f t="shared" si="143"/>
        <v>4.95693933230285e-5</v>
      </c>
      <c r="DT53" s="117">
        <f t="shared" si="143"/>
        <v>1.74479549896848e-5</v>
      </c>
      <c r="DU53" s="117">
        <f t="shared" si="143"/>
        <v>1.53885426725209e-5</v>
      </c>
      <c r="DV53" s="117">
        <f t="shared" si="143"/>
        <v>0</v>
      </c>
      <c r="DW53" s="117">
        <f t="shared" si="143"/>
        <v>0</v>
      </c>
      <c r="DX53" s="117">
        <f t="shared" si="143"/>
        <v>0</v>
      </c>
      <c r="DY53" s="117">
        <f t="shared" si="143"/>
        <v>0</v>
      </c>
      <c r="DZ53" s="117">
        <f t="shared" si="143"/>
        <v>0</v>
      </c>
      <c r="EA53" s="117">
        <f t="shared" si="143"/>
        <v>0</v>
      </c>
      <c r="EB53" s="117">
        <f t="shared" ref="EB53:FT53" si="144">EB13/EB$39</f>
        <v>0</v>
      </c>
      <c r="EC53" s="117">
        <f t="shared" si="144"/>
        <v>2.79460637093824e-5</v>
      </c>
      <c r="ED53" s="118">
        <f t="shared" si="144"/>
        <v>0</v>
      </c>
      <c r="EE53" s="117">
        <f t="shared" si="144"/>
        <v>0</v>
      </c>
      <c r="EF53" s="117">
        <f t="shared" si="144"/>
        <v>0</v>
      </c>
      <c r="EG53" s="117">
        <f t="shared" si="144"/>
        <v>0</v>
      </c>
      <c r="EH53" s="117" t="e">
        <f t="shared" si="144"/>
        <v>#DIV/0!</v>
      </c>
      <c r="EI53" s="117" t="e">
        <f t="shared" si="144"/>
        <v>#DIV/0!</v>
      </c>
      <c r="EJ53" s="117" t="e">
        <f t="shared" si="144"/>
        <v>#DIV/0!</v>
      </c>
      <c r="EK53" s="117" t="e">
        <f t="shared" si="144"/>
        <v>#DIV/0!</v>
      </c>
      <c r="EL53" s="117" t="e">
        <f t="shared" si="144"/>
        <v>#DIV/0!</v>
      </c>
      <c r="EM53" s="117" t="e">
        <f t="shared" si="144"/>
        <v>#DIV/0!</v>
      </c>
      <c r="EN53" s="117" t="e">
        <f t="shared" si="144"/>
        <v>#DIV/0!</v>
      </c>
      <c r="EO53" s="117" t="e">
        <f t="shared" si="144"/>
        <v>#DIV/0!</v>
      </c>
      <c r="EP53" s="9">
        <f t="shared" si="144"/>
        <v>0</v>
      </c>
      <c r="EQ53" s="117">
        <f t="shared" si="144"/>
        <v>0</v>
      </c>
      <c r="ER53" s="117">
        <f t="shared" si="144"/>
        <v>0</v>
      </c>
      <c r="ES53" s="117">
        <f t="shared" si="144"/>
        <v>0</v>
      </c>
      <c r="ET53" s="117">
        <f t="shared" si="144"/>
        <v>0</v>
      </c>
      <c r="EU53" s="117">
        <f t="shared" si="144"/>
        <v>0</v>
      </c>
      <c r="EV53" s="117">
        <f t="shared" si="144"/>
        <v>0</v>
      </c>
      <c r="EW53" s="117">
        <f t="shared" si="144"/>
        <v>0</v>
      </c>
      <c r="EX53" s="117">
        <f t="shared" si="144"/>
        <v>0</v>
      </c>
      <c r="EY53" s="117">
        <f t="shared" si="144"/>
        <v>0</v>
      </c>
      <c r="EZ53" s="117">
        <f t="shared" si="144"/>
        <v>0</v>
      </c>
      <c r="FA53" s="117">
        <f t="shared" si="144"/>
        <v>0</v>
      </c>
      <c r="FB53" s="117">
        <f t="shared" si="144"/>
        <v>0</v>
      </c>
      <c r="FC53" s="117">
        <f t="shared" si="144"/>
        <v>0</v>
      </c>
      <c r="FD53" s="118"/>
      <c r="FE53" s="117"/>
      <c r="FF53" s="117"/>
      <c r="FG53" s="117"/>
      <c r="FH53" s="117"/>
      <c r="FI53" s="117"/>
      <c r="FJ53" s="117"/>
      <c r="FK53" s="117"/>
      <c r="FL53" s="117"/>
      <c r="FM53" s="117"/>
      <c r="FN53" s="117"/>
      <c r="FO53" s="117"/>
      <c r="FP53" s="9"/>
      <c r="FQ53" s="118">
        <f t="shared" si="144"/>
        <v>1.07957256943704e-5</v>
      </c>
      <c r="FR53" s="117">
        <f t="shared" si="144"/>
        <v>2.02603326748448e-6</v>
      </c>
      <c r="FS53" s="117">
        <f t="shared" si="144"/>
        <v>0</v>
      </c>
      <c r="FT53" s="117">
        <f t="shared" si="144"/>
        <v>0</v>
      </c>
      <c r="FU53" s="117">
        <f t="shared" ref="FU53:GC53" si="145">FU13/FU$39</f>
        <v>0</v>
      </c>
      <c r="FV53" s="117">
        <f t="shared" si="145"/>
        <v>0</v>
      </c>
      <c r="FW53" s="117">
        <f t="shared" si="145"/>
        <v>0</v>
      </c>
      <c r="FX53" s="117">
        <f t="shared" si="145"/>
        <v>0</v>
      </c>
      <c r="FY53" s="117">
        <f t="shared" si="145"/>
        <v>0</v>
      </c>
      <c r="FZ53" s="117">
        <f t="shared" si="145"/>
        <v>0</v>
      </c>
      <c r="GA53" s="117">
        <f t="shared" si="145"/>
        <v>0</v>
      </c>
      <c r="GB53" s="117">
        <f t="shared" si="145"/>
        <v>0</v>
      </c>
      <c r="GC53" s="9">
        <f t="shared" si="145"/>
        <v>1.58303568731354e-6</v>
      </c>
    </row>
    <row r="54" s="56" customFormat="1" ht="16.5" spans="1:185">
      <c r="A54" s="88" t="s">
        <v>407</v>
      </c>
      <c r="B54" s="119"/>
      <c r="C54" s="120">
        <f t="shared" si="87"/>
        <v>-0.357929284579798</v>
      </c>
      <c r="D54" s="121">
        <f t="shared" ref="D54:AI54" si="146">D14/D$39</f>
        <v>0.240061509497631</v>
      </c>
      <c r="E54" s="121">
        <f t="shared" si="146"/>
        <v>0.232592337939136</v>
      </c>
      <c r="F54" s="121">
        <f t="shared" si="146"/>
        <v>0.240982227768</v>
      </c>
      <c r="G54" s="121">
        <f t="shared" si="146"/>
        <v>0.280769540564863</v>
      </c>
      <c r="H54" s="121">
        <f t="shared" si="146"/>
        <v>0.283064013057117</v>
      </c>
      <c r="I54" s="121">
        <f t="shared" si="146"/>
        <v>0.293729116905508</v>
      </c>
      <c r="J54" s="121">
        <f t="shared" si="146"/>
        <v>0.25942542264846</v>
      </c>
      <c r="K54" s="121">
        <f t="shared" si="146"/>
        <v>0.255182294451983</v>
      </c>
      <c r="L54" s="121">
        <f t="shared" si="146"/>
        <v>0.250161709083742</v>
      </c>
      <c r="M54" s="121">
        <f t="shared" si="146"/>
        <v>0.28954307199229</v>
      </c>
      <c r="N54" s="121">
        <f t="shared" si="146"/>
        <v>0.237000359516095</v>
      </c>
      <c r="O54" s="121">
        <f t="shared" si="146"/>
        <v>0.216060128727492</v>
      </c>
      <c r="P54" s="122">
        <f t="shared" si="146"/>
        <v>0.254200574040472</v>
      </c>
      <c r="Q54" s="121">
        <f t="shared" si="146"/>
        <v>0.226065078653063</v>
      </c>
      <c r="R54" s="121">
        <f t="shared" si="146"/>
        <v>0.229961560007969</v>
      </c>
      <c r="S54" s="121">
        <f t="shared" si="146"/>
        <v>0.231598616470588</v>
      </c>
      <c r="T54" s="121">
        <f t="shared" si="146"/>
        <v>0.255531994954593</v>
      </c>
      <c r="U54" s="121">
        <f t="shared" si="146"/>
        <v>0.289996795967067</v>
      </c>
      <c r="V54" s="121">
        <f t="shared" si="146"/>
        <v>0.335469114084871</v>
      </c>
      <c r="W54" s="121">
        <f t="shared" si="146"/>
        <v>0.312692263563093</v>
      </c>
      <c r="X54" s="121">
        <f t="shared" si="146"/>
        <v>0.269606280759774</v>
      </c>
      <c r="Y54" s="121">
        <f t="shared" si="146"/>
        <v>0.295610569823901</v>
      </c>
      <c r="Z54" s="121">
        <f t="shared" si="146"/>
        <v>0.278416877586107</v>
      </c>
      <c r="AA54" s="121">
        <f t="shared" si="146"/>
        <v>0.239700707555417</v>
      </c>
      <c r="AB54" s="121">
        <f t="shared" si="146"/>
        <v>0.246499614486483</v>
      </c>
      <c r="AC54" s="122">
        <f t="shared" si="146"/>
        <v>0.264814207629328</v>
      </c>
      <c r="AD54" s="121">
        <f t="shared" si="146"/>
        <v>0.29030306895721</v>
      </c>
      <c r="AE54" s="121">
        <f t="shared" si="146"/>
        <v>0.322820127784393</v>
      </c>
      <c r="AF54" s="121">
        <f t="shared" si="146"/>
        <v>0.267737567353639</v>
      </c>
      <c r="AG54" s="121">
        <f t="shared" si="146"/>
        <v>0.28595264018191</v>
      </c>
      <c r="AH54" s="121">
        <f t="shared" si="146"/>
        <v>0.331594258029439</v>
      </c>
      <c r="AI54" s="121">
        <f t="shared" si="146"/>
        <v>0.337020642431854</v>
      </c>
      <c r="AJ54" s="121">
        <f t="shared" ref="AJ54:BO54" si="147">AJ14/AJ$39</f>
        <v>0.323844730319654</v>
      </c>
      <c r="AK54" s="121">
        <f t="shared" si="147"/>
        <v>0.302922468974681</v>
      </c>
      <c r="AL54" s="121">
        <f t="shared" si="147"/>
        <v>0.335594820323436</v>
      </c>
      <c r="AM54" s="121">
        <f t="shared" si="147"/>
        <v>0.331065916069978</v>
      </c>
      <c r="AN54" s="121">
        <f t="shared" si="147"/>
        <v>0.274711027549286</v>
      </c>
      <c r="AO54" s="121">
        <f t="shared" si="147"/>
        <v>0.256053632461784</v>
      </c>
      <c r="AP54" s="122">
        <f t="shared" si="147"/>
        <v>0.3048443957115</v>
      </c>
      <c r="AQ54" s="121">
        <f t="shared" si="147"/>
        <v>0.204527225920542</v>
      </c>
      <c r="AR54" s="121">
        <f t="shared" si="147"/>
        <v>0.198258718839242</v>
      </c>
      <c r="AS54" s="121">
        <f t="shared" si="147"/>
        <v>0.222757128673047</v>
      </c>
      <c r="AT54" s="121">
        <f t="shared" si="147"/>
        <v>0.264884353090786</v>
      </c>
      <c r="AU54" s="121">
        <f t="shared" si="147"/>
        <v>0.229494278392432</v>
      </c>
      <c r="AV54" s="121">
        <f t="shared" si="147"/>
        <v>0.23650339161929</v>
      </c>
      <c r="AW54" s="121">
        <f t="shared" si="147"/>
        <v>0.185683978219742</v>
      </c>
      <c r="AX54" s="121">
        <f t="shared" si="147"/>
        <v>0.195512731024765</v>
      </c>
      <c r="AY54" s="121">
        <f t="shared" si="147"/>
        <v>0.202473523063261</v>
      </c>
      <c r="AZ54" s="121">
        <f t="shared" si="147"/>
        <v>0.308924485488449</v>
      </c>
      <c r="BA54" s="121">
        <f t="shared" si="147"/>
        <v>0.228538856771642</v>
      </c>
      <c r="BB54" s="121">
        <f t="shared" si="147"/>
        <v>0.170515048492772</v>
      </c>
      <c r="BC54" s="122">
        <f t="shared" si="147"/>
        <v>0.218772866053608</v>
      </c>
      <c r="BD54" s="121">
        <f t="shared" si="147"/>
        <v>0.265204832895547</v>
      </c>
      <c r="BE54" s="121">
        <f t="shared" si="147"/>
        <v>0.219186137301689</v>
      </c>
      <c r="BF54" s="121">
        <f t="shared" si="147"/>
        <v>0.244266906223075</v>
      </c>
      <c r="BG54" s="121">
        <f t="shared" si="147"/>
        <v>0.229844628135226</v>
      </c>
      <c r="BH54" s="121">
        <f t="shared" si="147"/>
        <v>0.254346874105855</v>
      </c>
      <c r="BI54" s="121">
        <f t="shared" si="147"/>
        <v>0.247627764681451</v>
      </c>
      <c r="BJ54" s="121">
        <f t="shared" si="147"/>
        <v>0.223259023984437</v>
      </c>
      <c r="BK54" s="121">
        <f t="shared" si="147"/>
        <v>0.221853071703763</v>
      </c>
      <c r="BL54" s="121">
        <f t="shared" si="147"/>
        <v>0.217504321843015</v>
      </c>
      <c r="BM54" s="121">
        <f t="shared" si="147"/>
        <v>0.241643119621956</v>
      </c>
      <c r="BN54" s="121">
        <f t="shared" si="147"/>
        <v>0.212051471716434</v>
      </c>
      <c r="BO54" s="121">
        <f t="shared" si="147"/>
        <v>0.224663579345219</v>
      </c>
      <c r="BP54" s="122">
        <f t="shared" ref="BP54:CU54" si="148">BP14/BP$39</f>
        <v>0.233111600682444</v>
      </c>
      <c r="BQ54" s="121">
        <f t="shared" si="148"/>
        <v>0.190186816068273</v>
      </c>
      <c r="BR54" s="121">
        <f t="shared" si="148"/>
        <v>0.202853251925518</v>
      </c>
      <c r="BS54" s="121">
        <f t="shared" si="148"/>
        <v>0.226133912038612</v>
      </c>
      <c r="BT54" s="121">
        <f t="shared" si="148"/>
        <v>0.24213591154652</v>
      </c>
      <c r="BU54" s="121">
        <f t="shared" si="148"/>
        <v>0.249998390989845</v>
      </c>
      <c r="BV54" s="121">
        <f t="shared" si="148"/>
        <v>0.189061823697686</v>
      </c>
      <c r="BW54" s="121">
        <f t="shared" si="148"/>
        <v>0.182209864301049</v>
      </c>
      <c r="BX54" s="121">
        <f t="shared" si="148"/>
        <v>0.197436803153704</v>
      </c>
      <c r="BY54" s="121">
        <f t="shared" si="148"/>
        <v>0.19585810046869</v>
      </c>
      <c r="BZ54" s="121">
        <f t="shared" si="148"/>
        <v>0.266475825022569</v>
      </c>
      <c r="CA54" s="121">
        <f t="shared" si="148"/>
        <v>0.250443540627035</v>
      </c>
      <c r="CB54" s="121">
        <f t="shared" si="148"/>
        <v>0.195497292424156</v>
      </c>
      <c r="CC54" s="122">
        <f t="shared" si="148"/>
        <v>0.214611818274671</v>
      </c>
      <c r="CD54" s="121">
        <f t="shared" si="148"/>
        <v>0.230885507292391</v>
      </c>
      <c r="CE54" s="121">
        <f t="shared" si="148"/>
        <v>0.349019595186294</v>
      </c>
      <c r="CF54" s="121">
        <f t="shared" si="148"/>
        <v>0.297533747957226</v>
      </c>
      <c r="CG54" s="121">
        <f t="shared" si="148"/>
        <v>0.379643251015625</v>
      </c>
      <c r="CH54" s="121">
        <f t="shared" si="148"/>
        <v>0.397369505743975</v>
      </c>
      <c r="CI54" s="121">
        <f t="shared" si="148"/>
        <v>0.332647383632861</v>
      </c>
      <c r="CJ54" s="121">
        <f t="shared" si="148"/>
        <v>0.300666197210568</v>
      </c>
      <c r="CK54" s="121">
        <f t="shared" si="148"/>
        <v>0.300559005698444</v>
      </c>
      <c r="CL54" s="121">
        <f t="shared" si="148"/>
        <v>0.284473260315891</v>
      </c>
      <c r="CM54" s="121">
        <f t="shared" si="148"/>
        <v>0.313053665111178</v>
      </c>
      <c r="CN54" s="121">
        <f t="shared" si="148"/>
        <v>0.267888566872351</v>
      </c>
      <c r="CO54" s="121">
        <f t="shared" si="148"/>
        <v>0.269022906581814</v>
      </c>
      <c r="CP54" s="122">
        <f t="shared" si="148"/>
        <v>0.307209388997661</v>
      </c>
      <c r="CQ54" s="121">
        <f t="shared" si="148"/>
        <v>0.253468796434668</v>
      </c>
      <c r="CR54" s="121">
        <f t="shared" si="148"/>
        <v>0.241941568158331</v>
      </c>
      <c r="CS54" s="121">
        <f t="shared" si="148"/>
        <v>0.250844388633454</v>
      </c>
      <c r="CT54" s="121">
        <f t="shared" si="148"/>
        <v>0.250997736899241</v>
      </c>
      <c r="CU54" s="121">
        <f t="shared" si="148"/>
        <v>0.259424994217356</v>
      </c>
      <c r="CV54" s="121">
        <f t="shared" ref="CV54:EA54" si="149">CV14/CV$39</f>
        <v>0.264036599119884</v>
      </c>
      <c r="CW54" s="121">
        <f t="shared" si="149"/>
        <v>0.249353024214191</v>
      </c>
      <c r="CX54" s="121">
        <f t="shared" si="149"/>
        <v>0.258868360638269</v>
      </c>
      <c r="CY54" s="121">
        <f t="shared" si="149"/>
        <v>0.240325864075967</v>
      </c>
      <c r="CZ54" s="121">
        <f t="shared" si="149"/>
        <v>0.299091339196087</v>
      </c>
      <c r="DA54" s="121">
        <f t="shared" si="149"/>
        <v>0.231659482522668</v>
      </c>
      <c r="DB54" s="121">
        <f t="shared" si="149"/>
        <v>0.254161202556724</v>
      </c>
      <c r="DC54" s="122">
        <f t="shared" si="149"/>
        <v>0.253807415543313</v>
      </c>
      <c r="DD54" s="121">
        <f t="shared" si="149"/>
        <v>0.333867564819479</v>
      </c>
      <c r="DE54" s="121">
        <f t="shared" si="149"/>
        <v>0.377956692031493</v>
      </c>
      <c r="DF54" s="121">
        <f t="shared" si="149"/>
        <v>0.319766760879013</v>
      </c>
      <c r="DG54" s="121">
        <f t="shared" si="149"/>
        <v>0.32293049691197</v>
      </c>
      <c r="DH54" s="121">
        <f t="shared" si="149"/>
        <v>0.363416467879857</v>
      </c>
      <c r="DI54" s="121">
        <f t="shared" si="149"/>
        <v>0.283219508900914</v>
      </c>
      <c r="DJ54" s="121">
        <f t="shared" si="149"/>
        <v>0.27744529063592</v>
      </c>
      <c r="DK54" s="121">
        <f t="shared" si="149"/>
        <v>0.256964838657599</v>
      </c>
      <c r="DL54" s="121">
        <f t="shared" si="149"/>
        <v>0.235095609155834</v>
      </c>
      <c r="DM54" s="121">
        <f t="shared" si="149"/>
        <v>0.275606101064654</v>
      </c>
      <c r="DN54" s="121">
        <f t="shared" si="149"/>
        <v>0.256864995736051</v>
      </c>
      <c r="DO54" s="121">
        <f t="shared" si="149"/>
        <v>0.208920910904599</v>
      </c>
      <c r="DP54" s="122">
        <f t="shared" si="149"/>
        <v>0.298256635431828</v>
      </c>
      <c r="DQ54" s="121">
        <f t="shared" si="149"/>
        <v>0.406007681092135</v>
      </c>
      <c r="DR54" s="121">
        <f t="shared" si="149"/>
        <v>0.33702571482475</v>
      </c>
      <c r="DS54" s="121">
        <f t="shared" si="149"/>
        <v>0.373098802459264</v>
      </c>
      <c r="DT54" s="121">
        <f t="shared" si="149"/>
        <v>0.400854032741197</v>
      </c>
      <c r="DU54" s="121">
        <f t="shared" si="149"/>
        <v>0.388923299753803</v>
      </c>
      <c r="DV54" s="121">
        <f t="shared" si="149"/>
        <v>0.400693072783643</v>
      </c>
      <c r="DW54" s="121">
        <f t="shared" si="149"/>
        <v>0.367595382332075</v>
      </c>
      <c r="DX54" s="121">
        <f t="shared" si="149"/>
        <v>0.345038370848654</v>
      </c>
      <c r="DY54" s="121">
        <f t="shared" si="149"/>
        <v>0.327668165946558</v>
      </c>
      <c r="DZ54" s="121">
        <f t="shared" si="149"/>
        <v>0.326798740816073</v>
      </c>
      <c r="EA54" s="121">
        <f t="shared" si="149"/>
        <v>0.252531378639918</v>
      </c>
      <c r="EB54" s="121">
        <f t="shared" ref="EB54:FT54" si="150">EB14/EB$39</f>
        <v>0.259366136768026</v>
      </c>
      <c r="EC54" s="121">
        <f t="shared" si="150"/>
        <v>0.352747103737704</v>
      </c>
      <c r="ED54" s="123">
        <f t="shared" si="150"/>
        <v>0.131559691631589</v>
      </c>
      <c r="EE54" s="121">
        <f t="shared" si="150"/>
        <v>0.473555409021959</v>
      </c>
      <c r="EF54" s="121">
        <f t="shared" si="150"/>
        <v>1</v>
      </c>
      <c r="EG54" s="121">
        <f t="shared" si="150"/>
        <v>0.0327598919592135</v>
      </c>
      <c r="EH54" s="121" t="e">
        <f t="shared" si="150"/>
        <v>#DIV/0!</v>
      </c>
      <c r="EI54" s="121" t="e">
        <f t="shared" si="150"/>
        <v>#DIV/0!</v>
      </c>
      <c r="EJ54" s="121" t="e">
        <f t="shared" si="150"/>
        <v>#DIV/0!</v>
      </c>
      <c r="EK54" s="121" t="e">
        <f t="shared" si="150"/>
        <v>#DIV/0!</v>
      </c>
      <c r="EL54" s="121" t="e">
        <f t="shared" si="150"/>
        <v>#DIV/0!</v>
      </c>
      <c r="EM54" s="121" t="e">
        <f t="shared" si="150"/>
        <v>#DIV/0!</v>
      </c>
      <c r="EN54" s="121" t="e">
        <f t="shared" si="150"/>
        <v>#DIV/0!</v>
      </c>
      <c r="EO54" s="121" t="e">
        <f t="shared" si="150"/>
        <v>#DIV/0!</v>
      </c>
      <c r="EP54" s="122">
        <f t="shared" si="150"/>
        <v>0.17936442579387</v>
      </c>
      <c r="EQ54" s="121">
        <f t="shared" si="150"/>
        <v>0.377368023164636</v>
      </c>
      <c r="ER54" s="121">
        <f t="shared" si="150"/>
        <v>0.391690091170322</v>
      </c>
      <c r="ES54" s="121">
        <f t="shared" si="150"/>
        <v>0.398512797200795</v>
      </c>
      <c r="ET54" s="121">
        <f t="shared" si="150"/>
        <v>0.476536568100452</v>
      </c>
      <c r="EU54" s="121">
        <f t="shared" si="150"/>
        <v>0.388466197123123</v>
      </c>
      <c r="EV54" s="121">
        <f t="shared" si="150"/>
        <v>0.369453292646926</v>
      </c>
      <c r="EW54" s="121">
        <f t="shared" si="150"/>
        <v>0.3756156779242</v>
      </c>
      <c r="EX54" s="121">
        <f t="shared" si="150"/>
        <v>0.335685937297204</v>
      </c>
      <c r="EY54" s="121">
        <f t="shared" si="150"/>
        <v>0.293055677802251</v>
      </c>
      <c r="EZ54" s="121">
        <f t="shared" si="150"/>
        <v>0.371741435895955</v>
      </c>
      <c r="FA54" s="121">
        <f t="shared" si="150"/>
        <v>0.357863647974665</v>
      </c>
      <c r="FB54" s="121">
        <f t="shared" si="150"/>
        <v>0.317293449691763</v>
      </c>
      <c r="FC54" s="121">
        <f t="shared" si="150"/>
        <v>0.370220445848073</v>
      </c>
      <c r="FD54" s="123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2"/>
      <c r="FQ54" s="123">
        <f t="shared" si="150"/>
        <v>0.21255055271586</v>
      </c>
      <c r="FR54" s="121">
        <f t="shared" si="150"/>
        <v>0.184631337650323</v>
      </c>
      <c r="FS54" s="121">
        <f t="shared" si="150"/>
        <v>0.190194014790952</v>
      </c>
      <c r="FT54" s="121">
        <f t="shared" si="150"/>
        <v>0.262093943420671</v>
      </c>
      <c r="FU54" s="121">
        <f t="shared" ref="FU54:GC54" si="151">FU14/FU$39</f>
        <v>0.247792730143957</v>
      </c>
      <c r="FV54" s="121">
        <f t="shared" si="151"/>
        <v>0.328025321783866</v>
      </c>
      <c r="FW54" s="121">
        <f t="shared" si="151"/>
        <v>0.246303354503659</v>
      </c>
      <c r="FX54" s="121">
        <f t="shared" si="151"/>
        <v>0.25551588949401</v>
      </c>
      <c r="FY54" s="121">
        <f t="shared" si="151"/>
        <v>0.223966280949446</v>
      </c>
      <c r="FZ54" s="121">
        <f t="shared" si="151"/>
        <v>0.277454839920298</v>
      </c>
      <c r="GA54" s="121">
        <f t="shared" si="151"/>
        <v>0.204232422605892</v>
      </c>
      <c r="GB54" s="121">
        <f t="shared" si="151"/>
        <v>0.178133047751141</v>
      </c>
      <c r="GC54" s="122">
        <f t="shared" si="151"/>
        <v>0.227828974492281</v>
      </c>
    </row>
    <row r="55" customHeight="1" spans="1:185">
      <c r="A55" s="108" t="s">
        <v>27</v>
      </c>
      <c r="B55" s="109" t="s">
        <v>408</v>
      </c>
      <c r="C55" s="110">
        <f t="shared" si="87"/>
        <v>-0.891087547699944</v>
      </c>
      <c r="D55" s="111">
        <f t="shared" ref="D55:AI55" si="152">D15/D$39</f>
        <v>0.00211942861853054</v>
      </c>
      <c r="E55" s="111">
        <f t="shared" si="152"/>
        <v>0.00158595251668173</v>
      </c>
      <c r="F55" s="111">
        <f t="shared" si="152"/>
        <v>0.00167107465978487</v>
      </c>
      <c r="G55" s="111">
        <f t="shared" si="152"/>
        <v>0.00149958327848439</v>
      </c>
      <c r="H55" s="111">
        <f t="shared" si="152"/>
        <v>0.000911353536570637</v>
      </c>
      <c r="I55" s="111">
        <f t="shared" si="152"/>
        <v>0.000520772135279089</v>
      </c>
      <c r="J55" s="111">
        <f t="shared" si="152"/>
        <v>0.0040328072988778</v>
      </c>
      <c r="K55" s="111">
        <f t="shared" si="152"/>
        <v>0.00555923745375508</v>
      </c>
      <c r="L55" s="111">
        <f t="shared" si="152"/>
        <v>0.00693594890141289</v>
      </c>
      <c r="M55" s="111">
        <f t="shared" si="152"/>
        <v>0.00363151946966035</v>
      </c>
      <c r="N55" s="111">
        <f t="shared" si="152"/>
        <v>0.00131453067377405</v>
      </c>
      <c r="O55" s="111">
        <f t="shared" si="152"/>
        <v>0.000155927544325029</v>
      </c>
      <c r="P55" s="112">
        <f t="shared" si="152"/>
        <v>0.00254712165388287</v>
      </c>
      <c r="Q55" s="111">
        <f t="shared" si="152"/>
        <v>0.00186642873683839</v>
      </c>
      <c r="R55" s="111">
        <f t="shared" si="152"/>
        <v>0.001908116554491</v>
      </c>
      <c r="S55" s="111">
        <f t="shared" si="152"/>
        <v>0.00184396137572336</v>
      </c>
      <c r="T55" s="111">
        <f t="shared" si="152"/>
        <v>0.00192296496290168</v>
      </c>
      <c r="U55" s="111">
        <f t="shared" si="152"/>
        <v>0.00106672261292952</v>
      </c>
      <c r="V55" s="111">
        <f t="shared" si="152"/>
        <v>0.000611682183991904</v>
      </c>
      <c r="W55" s="111">
        <f t="shared" si="152"/>
        <v>0.00595838650825722</v>
      </c>
      <c r="X55" s="111">
        <f t="shared" si="152"/>
        <v>0.00585243095156807</v>
      </c>
      <c r="Y55" s="111">
        <f t="shared" si="152"/>
        <v>0.00595669500921537</v>
      </c>
      <c r="Z55" s="111">
        <f t="shared" si="152"/>
        <v>0.00432561214692872</v>
      </c>
      <c r="AA55" s="111">
        <f t="shared" si="152"/>
        <v>0.0017683289481083</v>
      </c>
      <c r="AB55" s="111">
        <f t="shared" si="152"/>
        <v>0.000122118443852779</v>
      </c>
      <c r="AC55" s="112">
        <f t="shared" si="152"/>
        <v>0.00285570729411986</v>
      </c>
      <c r="AD55" s="111">
        <f t="shared" si="152"/>
        <v>0.00123448432861504</v>
      </c>
      <c r="AE55" s="111">
        <f t="shared" si="152"/>
        <v>0.00068935442709079</v>
      </c>
      <c r="AF55" s="111">
        <f t="shared" si="152"/>
        <v>0.000528682180418213</v>
      </c>
      <c r="AG55" s="111">
        <f t="shared" si="152"/>
        <v>0.000159237609648314</v>
      </c>
      <c r="AH55" s="111">
        <f t="shared" si="152"/>
        <v>0.000282786360018731</v>
      </c>
      <c r="AI55" s="111">
        <f t="shared" si="152"/>
        <v>2.71354081535415e-5</v>
      </c>
      <c r="AJ55" s="111">
        <f t="shared" ref="AJ55:BO55" si="153">AJ15/AJ$39</f>
        <v>0.00170062650313492</v>
      </c>
      <c r="AK55" s="111">
        <f t="shared" si="153"/>
        <v>0.00432493600122233</v>
      </c>
      <c r="AL55" s="111">
        <f t="shared" si="153"/>
        <v>0.00508978097822336</v>
      </c>
      <c r="AM55" s="111">
        <f t="shared" si="153"/>
        <v>0.00467464267753755</v>
      </c>
      <c r="AN55" s="111">
        <f t="shared" si="153"/>
        <v>0.00211814288749915</v>
      </c>
      <c r="AO55" s="111">
        <f t="shared" si="153"/>
        <v>1.24847773329011e-5</v>
      </c>
      <c r="AP55" s="112">
        <f t="shared" si="153"/>
        <v>0.00195825868995406</v>
      </c>
      <c r="AQ55" s="111">
        <f t="shared" si="153"/>
        <v>0.00382042526827225</v>
      </c>
      <c r="AR55" s="111">
        <f t="shared" si="153"/>
        <v>0.00219884397524731</v>
      </c>
      <c r="AS55" s="111">
        <f t="shared" si="153"/>
        <v>0.00257342368811051</v>
      </c>
      <c r="AT55" s="111">
        <f t="shared" si="153"/>
        <v>0.00215197659535335</v>
      </c>
      <c r="AU55" s="111">
        <f t="shared" si="153"/>
        <v>0.00154365647542158</v>
      </c>
      <c r="AV55" s="111">
        <f t="shared" si="153"/>
        <v>0.000639190511653908</v>
      </c>
      <c r="AW55" s="111">
        <f t="shared" si="153"/>
        <v>0.00269250298758916</v>
      </c>
      <c r="AX55" s="111">
        <f t="shared" si="153"/>
        <v>0.00527172451428271</v>
      </c>
      <c r="AY55" s="111">
        <f t="shared" si="153"/>
        <v>0.00526817839481607</v>
      </c>
      <c r="AZ55" s="111">
        <f t="shared" si="153"/>
        <v>0.0014504698379836</v>
      </c>
      <c r="BA55" s="111">
        <f t="shared" si="153"/>
        <v>0.00113901225479043</v>
      </c>
      <c r="BB55" s="111">
        <f t="shared" si="153"/>
        <v>0.000433704421897712</v>
      </c>
      <c r="BC55" s="112">
        <f t="shared" si="153"/>
        <v>0.00251916059807876</v>
      </c>
      <c r="BD55" s="111">
        <f t="shared" si="153"/>
        <v>0.000578870785087808</v>
      </c>
      <c r="BE55" s="111">
        <f t="shared" si="153"/>
        <v>0.000282299837434086</v>
      </c>
      <c r="BF55" s="111">
        <f t="shared" si="153"/>
        <v>0.000374478618372679</v>
      </c>
      <c r="BG55" s="111">
        <f t="shared" si="153"/>
        <v>2.95719959246211e-5</v>
      </c>
      <c r="BH55" s="111">
        <f t="shared" si="153"/>
        <v>4.12348053629561e-5</v>
      </c>
      <c r="BI55" s="111">
        <f t="shared" si="153"/>
        <v>0</v>
      </c>
      <c r="BJ55" s="111">
        <f t="shared" si="153"/>
        <v>0.00470540642700592</v>
      </c>
      <c r="BK55" s="111">
        <f t="shared" si="153"/>
        <v>0.00999109888759906</v>
      </c>
      <c r="BL55" s="111">
        <f t="shared" si="153"/>
        <v>0.00988745474086932</v>
      </c>
      <c r="BM55" s="111">
        <f t="shared" si="153"/>
        <v>0.00416880396556975</v>
      </c>
      <c r="BN55" s="111">
        <f t="shared" si="153"/>
        <v>0.00136695834631284</v>
      </c>
      <c r="BO55" s="111">
        <f t="shared" si="153"/>
        <v>0</v>
      </c>
      <c r="BP55" s="112">
        <f t="shared" ref="BP55:CU55" si="154">BP15/BP$39</f>
        <v>0.00273771830907477</v>
      </c>
      <c r="BQ55" s="111">
        <f t="shared" si="154"/>
        <v>0.0037034670647482</v>
      </c>
      <c r="BR55" s="111">
        <f t="shared" si="154"/>
        <v>0.00319345018738586</v>
      </c>
      <c r="BS55" s="111">
        <f t="shared" si="154"/>
        <v>0.0037568299296191</v>
      </c>
      <c r="BT55" s="111">
        <f t="shared" si="154"/>
        <v>0.00313425813421652</v>
      </c>
      <c r="BU55" s="111">
        <f t="shared" si="154"/>
        <v>0.00131625021790224</v>
      </c>
      <c r="BV55" s="111">
        <f t="shared" si="154"/>
        <v>0.000527257007177675</v>
      </c>
      <c r="BW55" s="111">
        <f t="shared" si="154"/>
        <v>0.00687553136517333</v>
      </c>
      <c r="BX55" s="111">
        <f t="shared" si="154"/>
        <v>0.00738591818487558</v>
      </c>
      <c r="BY55" s="111">
        <f t="shared" si="154"/>
        <v>0.0104547342756958</v>
      </c>
      <c r="BZ55" s="111">
        <f t="shared" si="154"/>
        <v>0.00474843472262745</v>
      </c>
      <c r="CA55" s="111">
        <f t="shared" si="154"/>
        <v>0.000795372863814489</v>
      </c>
      <c r="CB55" s="111">
        <f t="shared" si="154"/>
        <v>0.000127306921176156</v>
      </c>
      <c r="CC55" s="112">
        <f t="shared" si="154"/>
        <v>0.00389624831680205</v>
      </c>
      <c r="CD55" s="111">
        <f t="shared" si="154"/>
        <v>0.00252726024647266</v>
      </c>
      <c r="CE55" s="111">
        <f t="shared" si="154"/>
        <v>0.00255526478628733</v>
      </c>
      <c r="CF55" s="111">
        <f t="shared" si="154"/>
        <v>0.00180838757550111</v>
      </c>
      <c r="CG55" s="111">
        <f t="shared" si="154"/>
        <v>0.000720959408359055</v>
      </c>
      <c r="CH55" s="111">
        <f t="shared" si="154"/>
        <v>0.000691537620558042</v>
      </c>
      <c r="CI55" s="111">
        <f t="shared" si="154"/>
        <v>0.00227874884278591</v>
      </c>
      <c r="CJ55" s="111">
        <f t="shared" si="154"/>
        <v>0.0108660219797425</v>
      </c>
      <c r="CK55" s="111">
        <f t="shared" si="154"/>
        <v>0.00964736631113866</v>
      </c>
      <c r="CL55" s="111">
        <f t="shared" si="154"/>
        <v>0.0194364513436722</v>
      </c>
      <c r="CM55" s="111">
        <f t="shared" si="154"/>
        <v>0.0117271554050197</v>
      </c>
      <c r="CN55" s="111">
        <f t="shared" si="154"/>
        <v>0.0105226860552026</v>
      </c>
      <c r="CO55" s="111">
        <f t="shared" si="154"/>
        <v>0.00136705792941772</v>
      </c>
      <c r="CP55" s="112">
        <f t="shared" si="154"/>
        <v>0.0063855119678728</v>
      </c>
      <c r="CQ55" s="111">
        <f t="shared" si="154"/>
        <v>0.000965065270604595</v>
      </c>
      <c r="CR55" s="111">
        <f t="shared" si="154"/>
        <v>0.000526471376781434</v>
      </c>
      <c r="CS55" s="111">
        <f t="shared" si="154"/>
        <v>0.000468787967628098</v>
      </c>
      <c r="CT55" s="111">
        <f t="shared" si="154"/>
        <v>0.000232491798677364</v>
      </c>
      <c r="CU55" s="111">
        <f t="shared" si="154"/>
        <v>0.000267050173557923</v>
      </c>
      <c r="CV55" s="111">
        <f t="shared" ref="CV55:EA55" si="155">CV15/CV$39</f>
        <v>0.000264750967662896</v>
      </c>
      <c r="CW55" s="111">
        <f t="shared" si="155"/>
        <v>0.00374536029685955</v>
      </c>
      <c r="CX55" s="111">
        <f t="shared" si="155"/>
        <v>0.00754925041886477</v>
      </c>
      <c r="CY55" s="111">
        <f t="shared" si="155"/>
        <v>0.00989843558677945</v>
      </c>
      <c r="CZ55" s="111">
        <f t="shared" si="155"/>
        <v>0.00389054693460244</v>
      </c>
      <c r="DA55" s="111">
        <f t="shared" si="155"/>
        <v>0.00102183303059052</v>
      </c>
      <c r="DB55" s="111">
        <f t="shared" si="155"/>
        <v>0</v>
      </c>
      <c r="DC55" s="112">
        <f t="shared" si="155"/>
        <v>0.00234674353609512</v>
      </c>
      <c r="DD55" s="111">
        <f t="shared" si="155"/>
        <v>0.00259850976292366</v>
      </c>
      <c r="DE55" s="111">
        <f t="shared" si="155"/>
        <v>0.00230364141370508</v>
      </c>
      <c r="DF55" s="111">
        <f t="shared" si="155"/>
        <v>0.00281100527282773</v>
      </c>
      <c r="DG55" s="111">
        <f t="shared" si="155"/>
        <v>0.0019385396172219</v>
      </c>
      <c r="DH55" s="111">
        <f t="shared" si="155"/>
        <v>0.00173269750120302</v>
      </c>
      <c r="DI55" s="111">
        <f t="shared" si="155"/>
        <v>7.63396881230126e-5</v>
      </c>
      <c r="DJ55" s="111">
        <f t="shared" si="155"/>
        <v>0.00781428352491506</v>
      </c>
      <c r="DK55" s="111">
        <f t="shared" si="155"/>
        <v>0.00921926947625989</v>
      </c>
      <c r="DL55" s="111">
        <f t="shared" si="155"/>
        <v>0.0096799555399604</v>
      </c>
      <c r="DM55" s="111">
        <f t="shared" si="155"/>
        <v>0.00603459859320343</v>
      </c>
      <c r="DN55" s="111">
        <f t="shared" si="155"/>
        <v>0.00288838339116817</v>
      </c>
      <c r="DO55" s="111">
        <f t="shared" si="155"/>
        <v>7.16705086194124e-5</v>
      </c>
      <c r="DP55" s="112">
        <f t="shared" si="155"/>
        <v>0.00382766310702347</v>
      </c>
      <c r="DQ55" s="111">
        <f t="shared" si="155"/>
        <v>0.00198077667954045</v>
      </c>
      <c r="DR55" s="111">
        <f t="shared" si="155"/>
        <v>0.00129408786702663</v>
      </c>
      <c r="DS55" s="111">
        <f t="shared" si="155"/>
        <v>0.000968927694806643</v>
      </c>
      <c r="DT55" s="111">
        <f t="shared" si="155"/>
        <v>0.000743827339047686</v>
      </c>
      <c r="DU55" s="111">
        <f t="shared" si="155"/>
        <v>0.000841777046520461</v>
      </c>
      <c r="DV55" s="111">
        <f t="shared" si="155"/>
        <v>0.00083089289057886</v>
      </c>
      <c r="DW55" s="111">
        <f t="shared" si="155"/>
        <v>0.00601104188144879</v>
      </c>
      <c r="DX55" s="111">
        <f t="shared" si="155"/>
        <v>0.00918176346590679</v>
      </c>
      <c r="DY55" s="111">
        <f t="shared" si="155"/>
        <v>0.0112296959585843</v>
      </c>
      <c r="DZ55" s="111">
        <f t="shared" si="155"/>
        <v>0.00543469055770382</v>
      </c>
      <c r="EA55" s="111">
        <f t="shared" si="155"/>
        <v>0</v>
      </c>
      <c r="EB55" s="111">
        <f t="shared" ref="EB55:FT55" si="156">EB15/EB$39</f>
        <v>0</v>
      </c>
      <c r="EC55" s="111">
        <f t="shared" si="156"/>
        <v>0.00314686806360788</v>
      </c>
      <c r="ED55" s="113">
        <f t="shared" si="156"/>
        <v>0.0111109808217018</v>
      </c>
      <c r="EE55" s="111">
        <f t="shared" si="156"/>
        <v>0</v>
      </c>
      <c r="EF55" s="111">
        <f t="shared" si="156"/>
        <v>0</v>
      </c>
      <c r="EG55" s="111">
        <f t="shared" si="156"/>
        <v>0</v>
      </c>
      <c r="EH55" s="111" t="e">
        <f t="shared" si="156"/>
        <v>#DIV/0!</v>
      </c>
      <c r="EI55" s="111" t="e">
        <f t="shared" si="156"/>
        <v>#DIV/0!</v>
      </c>
      <c r="EJ55" s="111" t="e">
        <f t="shared" si="156"/>
        <v>#DIV/0!</v>
      </c>
      <c r="EK55" s="111" t="e">
        <f t="shared" si="156"/>
        <v>#DIV/0!</v>
      </c>
      <c r="EL55" s="111" t="e">
        <f t="shared" si="156"/>
        <v>#DIV/0!</v>
      </c>
      <c r="EM55" s="111" t="e">
        <f t="shared" si="156"/>
        <v>#DIV/0!</v>
      </c>
      <c r="EN55" s="111" t="e">
        <f t="shared" si="156"/>
        <v>#DIV/0!</v>
      </c>
      <c r="EO55" s="111" t="e">
        <f t="shared" si="156"/>
        <v>#DIV/0!</v>
      </c>
      <c r="EP55" s="112">
        <f t="shared" si="156"/>
        <v>0.00908440063464135</v>
      </c>
      <c r="EQ55" s="111">
        <f t="shared" si="156"/>
        <v>0.00414042745279404</v>
      </c>
      <c r="ER55" s="111">
        <f t="shared" si="156"/>
        <v>0.00176974731362029</v>
      </c>
      <c r="ES55" s="111">
        <f t="shared" si="156"/>
        <v>0.00160642127573972</v>
      </c>
      <c r="ET55" s="111">
        <f t="shared" si="156"/>
        <v>0.00242252335708433</v>
      </c>
      <c r="EU55" s="111">
        <f t="shared" si="156"/>
        <v>0.00194533541203484</v>
      </c>
      <c r="EV55" s="111">
        <f t="shared" si="156"/>
        <v>0.0009872600031817</v>
      </c>
      <c r="EW55" s="111">
        <f t="shared" si="156"/>
        <v>0.00537115025022411</v>
      </c>
      <c r="EX55" s="111">
        <f t="shared" si="156"/>
        <v>0.0129370526730975</v>
      </c>
      <c r="EY55" s="111">
        <f t="shared" si="156"/>
        <v>0.0139476521173157</v>
      </c>
      <c r="EZ55" s="111">
        <f t="shared" si="156"/>
        <v>0.00913680210898062</v>
      </c>
      <c r="FA55" s="111">
        <f t="shared" si="156"/>
        <v>0.00730937283206926</v>
      </c>
      <c r="FB55" s="111">
        <f t="shared" si="156"/>
        <v>0</v>
      </c>
      <c r="FC55" s="111">
        <f t="shared" si="156"/>
        <v>0.00541359637540655</v>
      </c>
      <c r="FD55" s="113"/>
      <c r="FE55" s="111"/>
      <c r="FF55" s="111"/>
      <c r="FG55" s="111"/>
      <c r="FH55" s="111"/>
      <c r="FI55" s="111"/>
      <c r="FJ55" s="111"/>
      <c r="FK55" s="111"/>
      <c r="FL55" s="111"/>
      <c r="FM55" s="111"/>
      <c r="FN55" s="111"/>
      <c r="FO55" s="111"/>
      <c r="FP55" s="112"/>
      <c r="FQ55" s="113">
        <f t="shared" si="156"/>
        <v>0.00120954931140572</v>
      </c>
      <c r="FR55" s="111">
        <f t="shared" si="156"/>
        <v>0.000947427475929339</v>
      </c>
      <c r="FS55" s="111">
        <f t="shared" si="156"/>
        <v>0.000944569128789883</v>
      </c>
      <c r="FT55" s="111">
        <f t="shared" si="156"/>
        <v>0.00133743524903862</v>
      </c>
      <c r="FU55" s="111">
        <f t="shared" ref="FU55:GC55" si="157">FU15/FU$39</f>
        <v>0.000921253385796904</v>
      </c>
      <c r="FV55" s="111">
        <f t="shared" si="157"/>
        <v>0.000502731412951523</v>
      </c>
      <c r="FW55" s="111">
        <f t="shared" si="157"/>
        <v>0.000402636394030173</v>
      </c>
      <c r="FX55" s="111">
        <f t="shared" si="157"/>
        <v>0.00033891508172724</v>
      </c>
      <c r="FY55" s="111">
        <f t="shared" si="157"/>
        <v>0.000382593725242424</v>
      </c>
      <c r="FZ55" s="111">
        <f t="shared" si="157"/>
        <v>0.000237414861513312</v>
      </c>
      <c r="GA55" s="111">
        <f t="shared" si="157"/>
        <v>0.000217732800808317</v>
      </c>
      <c r="GB55" s="111">
        <f t="shared" si="157"/>
        <v>0.000206855744505437</v>
      </c>
      <c r="GC55" s="112">
        <f t="shared" si="157"/>
        <v>0.000656704638288232</v>
      </c>
    </row>
    <row r="56" customHeight="1" spans="1:185">
      <c r="A56" s="114"/>
      <c r="B56" s="115" t="s">
        <v>409</v>
      </c>
      <c r="C56" s="116">
        <f t="shared" si="87"/>
        <v>0.600034077092882</v>
      </c>
      <c r="D56" s="117">
        <f t="shared" ref="D56:AI56" si="158">D16/D$39</f>
        <v>0.0229097946760055</v>
      </c>
      <c r="E56" s="117">
        <f t="shared" si="158"/>
        <v>0.0195588009025398</v>
      </c>
      <c r="F56" s="117">
        <f t="shared" si="158"/>
        <v>0.0143965989331059</v>
      </c>
      <c r="G56" s="117">
        <f t="shared" si="158"/>
        <v>0.0322721643860687</v>
      </c>
      <c r="H56" s="117">
        <f t="shared" si="158"/>
        <v>0.0406768844169786</v>
      </c>
      <c r="I56" s="117">
        <f t="shared" si="158"/>
        <v>0.0377479970553684</v>
      </c>
      <c r="J56" s="117">
        <f t="shared" si="158"/>
        <v>0.0348289649202414</v>
      </c>
      <c r="K56" s="117">
        <f t="shared" si="158"/>
        <v>0.0335725849904276</v>
      </c>
      <c r="L56" s="117">
        <f t="shared" si="158"/>
        <v>0.0304682445992636</v>
      </c>
      <c r="M56" s="117">
        <f t="shared" si="158"/>
        <v>0.0344049992832243</v>
      </c>
      <c r="N56" s="117">
        <f t="shared" si="158"/>
        <v>0.0270940993777881</v>
      </c>
      <c r="O56" s="117">
        <f t="shared" si="158"/>
        <v>0.0156660902810467</v>
      </c>
      <c r="P56" s="9">
        <f t="shared" si="158"/>
        <v>0.0278620314102023</v>
      </c>
      <c r="Q56" s="117">
        <f t="shared" si="158"/>
        <v>0.0245012992574176</v>
      </c>
      <c r="R56" s="117">
        <f t="shared" si="158"/>
        <v>0.0189439120029971</v>
      </c>
      <c r="S56" s="117">
        <f t="shared" si="158"/>
        <v>0.0152449043240145</v>
      </c>
      <c r="T56" s="117">
        <f t="shared" si="158"/>
        <v>0.0270779926555767</v>
      </c>
      <c r="U56" s="117">
        <f t="shared" si="158"/>
        <v>0.0402479138242884</v>
      </c>
      <c r="V56" s="117">
        <f t="shared" si="158"/>
        <v>0.0518626998502792</v>
      </c>
      <c r="W56" s="117">
        <f t="shared" si="158"/>
        <v>0.0379152650650219</v>
      </c>
      <c r="X56" s="117">
        <f t="shared" si="158"/>
        <v>0.0457116336177654</v>
      </c>
      <c r="Y56" s="117">
        <f t="shared" si="158"/>
        <v>0.0354548770985785</v>
      </c>
      <c r="Z56" s="117">
        <f t="shared" si="158"/>
        <v>0.0311032486685674</v>
      </c>
      <c r="AA56" s="117">
        <f t="shared" si="158"/>
        <v>0.0224781505325825</v>
      </c>
      <c r="AB56" s="117">
        <f t="shared" si="158"/>
        <v>0.0168447800852272</v>
      </c>
      <c r="AC56" s="9">
        <f t="shared" si="158"/>
        <v>0.0300250975729173</v>
      </c>
      <c r="AD56" s="117">
        <f t="shared" si="158"/>
        <v>0.024608140326611</v>
      </c>
      <c r="AE56" s="117">
        <f t="shared" si="158"/>
        <v>0.0176590269116749</v>
      </c>
      <c r="AF56" s="117">
        <f t="shared" si="158"/>
        <v>0.013439754021207</v>
      </c>
      <c r="AG56" s="117">
        <f t="shared" si="158"/>
        <v>0.0210597435336405</v>
      </c>
      <c r="AH56" s="117">
        <f t="shared" si="158"/>
        <v>0.0233757287844048</v>
      </c>
      <c r="AI56" s="117">
        <f t="shared" si="158"/>
        <v>0.0279053106430157</v>
      </c>
      <c r="AJ56" s="117">
        <f t="shared" ref="AJ56:BO56" si="159">AJ16/AJ$39</f>
        <v>0.0300594438444546</v>
      </c>
      <c r="AK56" s="117">
        <f t="shared" si="159"/>
        <v>0.039062862649863</v>
      </c>
      <c r="AL56" s="117">
        <f t="shared" si="159"/>
        <v>0.0491293260204025</v>
      </c>
      <c r="AM56" s="117">
        <f t="shared" si="159"/>
        <v>0.0424123894506288</v>
      </c>
      <c r="AN56" s="117">
        <f t="shared" si="159"/>
        <v>0.0360436710744098</v>
      </c>
      <c r="AO56" s="117">
        <f t="shared" si="159"/>
        <v>0.020701001994644</v>
      </c>
      <c r="AP56" s="9">
        <f t="shared" si="159"/>
        <v>0.0299462386402715</v>
      </c>
      <c r="AQ56" s="117">
        <f t="shared" si="159"/>
        <v>0.0301725522560879</v>
      </c>
      <c r="AR56" s="117">
        <f t="shared" si="159"/>
        <v>0.0270582571109929</v>
      </c>
      <c r="AS56" s="117">
        <f t="shared" si="159"/>
        <v>0.0215256774474924</v>
      </c>
      <c r="AT56" s="117">
        <f t="shared" si="159"/>
        <v>0.0383748066704144</v>
      </c>
      <c r="AU56" s="117">
        <f t="shared" si="159"/>
        <v>0.0500854030441819</v>
      </c>
      <c r="AV56" s="117">
        <f t="shared" si="159"/>
        <v>0.0507644284880519</v>
      </c>
      <c r="AW56" s="117">
        <f t="shared" si="159"/>
        <v>0.0389834018321629</v>
      </c>
      <c r="AX56" s="117">
        <f t="shared" si="159"/>
        <v>0.0315056233067135</v>
      </c>
      <c r="AY56" s="117">
        <f t="shared" si="159"/>
        <v>0.0322012173315706</v>
      </c>
      <c r="AZ56" s="117">
        <f t="shared" si="159"/>
        <v>0.0318459256874263</v>
      </c>
      <c r="BA56" s="117">
        <f t="shared" si="159"/>
        <v>0.0279869768360304</v>
      </c>
      <c r="BB56" s="117">
        <f t="shared" si="159"/>
        <v>0.015183800260235</v>
      </c>
      <c r="BC56" s="9">
        <f t="shared" si="159"/>
        <v>0.0319388218935981</v>
      </c>
      <c r="BD56" s="117">
        <f t="shared" si="159"/>
        <v>0.0257931844246224</v>
      </c>
      <c r="BE56" s="117">
        <f t="shared" si="159"/>
        <v>0.0240565612256674</v>
      </c>
      <c r="BF56" s="117">
        <f t="shared" si="159"/>
        <v>0.01742878624853</v>
      </c>
      <c r="BG56" s="117">
        <f t="shared" si="159"/>
        <v>0.035902694161265</v>
      </c>
      <c r="BH56" s="117">
        <f t="shared" si="159"/>
        <v>0.045665643332426</v>
      </c>
      <c r="BI56" s="117">
        <f t="shared" si="159"/>
        <v>0.0410684549297872</v>
      </c>
      <c r="BJ56" s="117">
        <f t="shared" si="159"/>
        <v>0.0405204563551294</v>
      </c>
      <c r="BK56" s="117">
        <f t="shared" si="159"/>
        <v>0.0317311320357881</v>
      </c>
      <c r="BL56" s="117">
        <f t="shared" si="159"/>
        <v>0.0277607861602012</v>
      </c>
      <c r="BM56" s="117">
        <f t="shared" si="159"/>
        <v>0.0360795968246859</v>
      </c>
      <c r="BN56" s="117">
        <f t="shared" si="159"/>
        <v>0.0371124222847185</v>
      </c>
      <c r="BO56" s="117">
        <f t="shared" si="159"/>
        <v>0.0189129014667403</v>
      </c>
      <c r="BP56" s="9">
        <f t="shared" ref="BP56:CU56" si="160">BP16/BP$39</f>
        <v>0.0309980423732051</v>
      </c>
      <c r="BQ56" s="117">
        <f t="shared" si="160"/>
        <v>0.0220188898252545</v>
      </c>
      <c r="BR56" s="117">
        <f t="shared" si="160"/>
        <v>0.0254153529370227</v>
      </c>
      <c r="BS56" s="117">
        <f t="shared" si="160"/>
        <v>0.0181744756159775</v>
      </c>
      <c r="BT56" s="117">
        <f t="shared" si="160"/>
        <v>0.0368857425471817</v>
      </c>
      <c r="BU56" s="117">
        <f t="shared" si="160"/>
        <v>0.0454094595125627</v>
      </c>
      <c r="BV56" s="117">
        <f t="shared" si="160"/>
        <v>0.035647305478865</v>
      </c>
      <c r="BW56" s="117">
        <f t="shared" si="160"/>
        <v>0.0388927671048925</v>
      </c>
      <c r="BX56" s="117">
        <f t="shared" si="160"/>
        <v>0.039775665793462</v>
      </c>
      <c r="BY56" s="117">
        <f t="shared" si="160"/>
        <v>0.0381868101968133</v>
      </c>
      <c r="BZ56" s="117">
        <f t="shared" si="160"/>
        <v>0.0463424125253889</v>
      </c>
      <c r="CA56" s="117">
        <f t="shared" si="160"/>
        <v>0.0412762439682331</v>
      </c>
      <c r="CB56" s="117">
        <f t="shared" si="160"/>
        <v>0.0206769761709152</v>
      </c>
      <c r="CC56" s="9">
        <f t="shared" si="160"/>
        <v>0.032894207462856</v>
      </c>
      <c r="CD56" s="117">
        <f t="shared" si="160"/>
        <v>0.020521459982512</v>
      </c>
      <c r="CE56" s="117">
        <f t="shared" si="160"/>
        <v>0.0360292852518892</v>
      </c>
      <c r="CF56" s="117">
        <f t="shared" si="160"/>
        <v>0.0338255036199747</v>
      </c>
      <c r="CG56" s="117">
        <f t="shared" si="160"/>
        <v>0.0383815545604829</v>
      </c>
      <c r="CH56" s="117">
        <f t="shared" si="160"/>
        <v>0.0469346852841788</v>
      </c>
      <c r="CI56" s="117">
        <f t="shared" si="160"/>
        <v>0.0674148734628624</v>
      </c>
      <c r="CJ56" s="117">
        <f t="shared" si="160"/>
        <v>0.067342754066348</v>
      </c>
      <c r="CK56" s="117">
        <f t="shared" si="160"/>
        <v>0.0586581698410399</v>
      </c>
      <c r="CL56" s="117">
        <f t="shared" si="160"/>
        <v>0.0516802047050558</v>
      </c>
      <c r="CM56" s="117">
        <f t="shared" si="160"/>
        <v>0.0580861406836322</v>
      </c>
      <c r="CN56" s="117">
        <f t="shared" si="160"/>
        <v>0.0477758873814522</v>
      </c>
      <c r="CO56" s="117">
        <f t="shared" si="160"/>
        <v>0.0264543402777251</v>
      </c>
      <c r="CP56" s="9">
        <f t="shared" si="160"/>
        <v>0.0464104745290737</v>
      </c>
      <c r="CQ56" s="117">
        <f t="shared" si="160"/>
        <v>0.0198299540473137</v>
      </c>
      <c r="CR56" s="117">
        <f t="shared" si="160"/>
        <v>0.0158924911720307</v>
      </c>
      <c r="CS56" s="117">
        <f t="shared" si="160"/>
        <v>0.0127550778734189</v>
      </c>
      <c r="CT56" s="117">
        <f t="shared" si="160"/>
        <v>0.0255787354640584</v>
      </c>
      <c r="CU56" s="117">
        <f t="shared" si="160"/>
        <v>0.0439966470994134</v>
      </c>
      <c r="CV56" s="117">
        <f t="shared" ref="CV56:EA56" si="161">CV16/CV$39</f>
        <v>0.0376576343489679</v>
      </c>
      <c r="CW56" s="117">
        <f t="shared" si="161"/>
        <v>0.0321611992425205</v>
      </c>
      <c r="CX56" s="117">
        <f t="shared" si="161"/>
        <v>0.0201672004644225</v>
      </c>
      <c r="CY56" s="117">
        <f t="shared" si="161"/>
        <v>0.0199627326081162</v>
      </c>
      <c r="CZ56" s="117">
        <f t="shared" si="161"/>
        <v>0.0314326674205108</v>
      </c>
      <c r="DA56" s="117">
        <f t="shared" si="161"/>
        <v>0.0316693899778454</v>
      </c>
      <c r="DB56" s="117">
        <f t="shared" si="161"/>
        <v>0.0161964649255742</v>
      </c>
      <c r="DC56" s="9">
        <f t="shared" si="161"/>
        <v>0.0250158414707803</v>
      </c>
      <c r="DD56" s="117">
        <f t="shared" si="161"/>
        <v>0.0226611096190723</v>
      </c>
      <c r="DE56" s="117">
        <f t="shared" si="161"/>
        <v>0.0155697923805784</v>
      </c>
      <c r="DF56" s="117">
        <f t="shared" si="161"/>
        <v>0.0127940905511993</v>
      </c>
      <c r="DG56" s="117">
        <f t="shared" si="161"/>
        <v>0.0237971671473814</v>
      </c>
      <c r="DH56" s="117">
        <f t="shared" si="161"/>
        <v>0.0318601035348603</v>
      </c>
      <c r="DI56" s="117">
        <f t="shared" si="161"/>
        <v>0.0346244527765626</v>
      </c>
      <c r="DJ56" s="117">
        <f t="shared" si="161"/>
        <v>0.0399148562349509</v>
      </c>
      <c r="DK56" s="117">
        <f t="shared" si="161"/>
        <v>0.0266092841929354</v>
      </c>
      <c r="DL56" s="117">
        <f t="shared" si="161"/>
        <v>0.0327941238555381</v>
      </c>
      <c r="DM56" s="117">
        <f t="shared" si="161"/>
        <v>0.0398088622097709</v>
      </c>
      <c r="DN56" s="117">
        <f t="shared" si="161"/>
        <v>0.0379523768425943</v>
      </c>
      <c r="DO56" s="117">
        <f t="shared" si="161"/>
        <v>0.0209453615742703</v>
      </c>
      <c r="DP56" s="9">
        <f t="shared" si="161"/>
        <v>0.0273679540224419</v>
      </c>
      <c r="DQ56" s="117">
        <f t="shared" si="161"/>
        <v>0.0169028654004723</v>
      </c>
      <c r="DR56" s="117">
        <f t="shared" si="161"/>
        <v>0.016078195394392</v>
      </c>
      <c r="DS56" s="117">
        <f t="shared" si="161"/>
        <v>0.0121701367405694</v>
      </c>
      <c r="DT56" s="117">
        <f t="shared" si="161"/>
        <v>0.0237137836687695</v>
      </c>
      <c r="DU56" s="117">
        <f t="shared" si="161"/>
        <v>0.0269503398651142</v>
      </c>
      <c r="DV56" s="117">
        <f t="shared" si="161"/>
        <v>0.0287085000761145</v>
      </c>
      <c r="DW56" s="117">
        <f t="shared" si="161"/>
        <v>0.0250365945746787</v>
      </c>
      <c r="DX56" s="117">
        <f t="shared" si="161"/>
        <v>0.0218968825290156</v>
      </c>
      <c r="DY56" s="117">
        <f t="shared" si="161"/>
        <v>0.0182993281441979</v>
      </c>
      <c r="DZ56" s="117">
        <f t="shared" si="161"/>
        <v>0.0269331076488483</v>
      </c>
      <c r="EA56" s="117">
        <f t="shared" si="161"/>
        <v>0.0297275753868741</v>
      </c>
      <c r="EB56" s="117">
        <f t="shared" ref="EB56:FT56" si="162">EB16/EB$39</f>
        <v>0.0146821955550332</v>
      </c>
      <c r="EC56" s="117">
        <f t="shared" si="162"/>
        <v>0.0214383074541929</v>
      </c>
      <c r="ED56" s="118">
        <f t="shared" si="162"/>
        <v>0.0123683426399058</v>
      </c>
      <c r="EE56" s="117">
        <f t="shared" si="162"/>
        <v>0.00447560249512093</v>
      </c>
      <c r="EF56" s="117">
        <f t="shared" si="162"/>
        <v>0</v>
      </c>
      <c r="EG56" s="117">
        <f t="shared" si="162"/>
        <v>0.135975518905227</v>
      </c>
      <c r="EH56" s="117" t="e">
        <f t="shared" si="162"/>
        <v>#DIV/0!</v>
      </c>
      <c r="EI56" s="117" t="e">
        <f t="shared" si="162"/>
        <v>#DIV/0!</v>
      </c>
      <c r="EJ56" s="117" t="e">
        <f t="shared" si="162"/>
        <v>#DIV/0!</v>
      </c>
      <c r="EK56" s="117" t="e">
        <f t="shared" si="162"/>
        <v>#DIV/0!</v>
      </c>
      <c r="EL56" s="117" t="e">
        <f t="shared" si="162"/>
        <v>#DIV/0!</v>
      </c>
      <c r="EM56" s="117" t="e">
        <f t="shared" si="162"/>
        <v>#DIV/0!</v>
      </c>
      <c r="EN56" s="117" t="e">
        <f t="shared" si="162"/>
        <v>#DIV/0!</v>
      </c>
      <c r="EO56" s="117" t="e">
        <f t="shared" si="162"/>
        <v>#DIV/0!</v>
      </c>
      <c r="EP56" s="9">
        <f t="shared" si="162"/>
        <v>0.0151132880030449</v>
      </c>
      <c r="EQ56" s="117">
        <f t="shared" si="162"/>
        <v>0.0223507514374966</v>
      </c>
      <c r="ER56" s="117">
        <f t="shared" si="162"/>
        <v>0.0190868369707177</v>
      </c>
      <c r="ES56" s="117">
        <f t="shared" si="162"/>
        <v>0.0195003091413843</v>
      </c>
      <c r="ET56" s="117">
        <f t="shared" si="162"/>
        <v>0.0262162825990907</v>
      </c>
      <c r="EU56" s="117">
        <f t="shared" si="162"/>
        <v>0.0375368230213463</v>
      </c>
      <c r="EV56" s="117">
        <f t="shared" si="162"/>
        <v>0.044587231150043</v>
      </c>
      <c r="EW56" s="117">
        <f t="shared" si="162"/>
        <v>0.0464802281135048</v>
      </c>
      <c r="EX56" s="117">
        <f t="shared" si="162"/>
        <v>0.0474287223574913</v>
      </c>
      <c r="EY56" s="117">
        <f t="shared" si="162"/>
        <v>0.0539574282289615</v>
      </c>
      <c r="EZ56" s="117">
        <f t="shared" si="162"/>
        <v>0.0421722463715737</v>
      </c>
      <c r="FA56" s="117">
        <f t="shared" si="162"/>
        <v>0.0384092252495227</v>
      </c>
      <c r="FB56" s="117">
        <f t="shared" si="162"/>
        <v>0.0394781033722754</v>
      </c>
      <c r="FC56" s="117">
        <f t="shared" si="162"/>
        <v>0.0369293650888056</v>
      </c>
      <c r="FD56" s="118"/>
      <c r="FE56" s="117"/>
      <c r="FF56" s="117"/>
      <c r="FG56" s="117"/>
      <c r="FH56" s="117"/>
      <c r="FI56" s="117"/>
      <c r="FJ56" s="117"/>
      <c r="FK56" s="117"/>
      <c r="FL56" s="117"/>
      <c r="FM56" s="117"/>
      <c r="FN56" s="117"/>
      <c r="FO56" s="117"/>
      <c r="FP56" s="9"/>
      <c r="FQ56" s="118">
        <f t="shared" si="162"/>
        <v>0.0226546002825916</v>
      </c>
      <c r="FR56" s="117">
        <f t="shared" si="162"/>
        <v>0.0138548071115749</v>
      </c>
      <c r="FS56" s="117">
        <f t="shared" si="162"/>
        <v>0.00846797613557505</v>
      </c>
      <c r="FT56" s="117">
        <f t="shared" si="162"/>
        <v>0.0380139601574255</v>
      </c>
      <c r="FU56" s="117">
        <f t="shared" ref="FU56:GC56" si="163">FU16/FU$39</f>
        <v>0.0433445959853052</v>
      </c>
      <c r="FV56" s="117">
        <f t="shared" si="163"/>
        <v>0.0270480324251727</v>
      </c>
      <c r="FW56" s="117">
        <f t="shared" si="163"/>
        <v>0.0278594002944997</v>
      </c>
      <c r="FX56" s="117">
        <f t="shared" si="163"/>
        <v>0.0257201014708723</v>
      </c>
      <c r="FY56" s="117">
        <f t="shared" si="163"/>
        <v>0.0146623645112138</v>
      </c>
      <c r="FZ56" s="117">
        <f t="shared" si="163"/>
        <v>0.0240240790696034</v>
      </c>
      <c r="GA56" s="117">
        <f t="shared" si="163"/>
        <v>0.00782953883813496</v>
      </c>
      <c r="GB56" s="117">
        <f t="shared" si="163"/>
        <v>0.00655612532926845</v>
      </c>
      <c r="GC56" s="9">
        <f t="shared" si="163"/>
        <v>0.0203221458451826</v>
      </c>
    </row>
    <row r="57" customHeight="1" spans="1:185">
      <c r="A57" s="114"/>
      <c r="B57" s="115" t="s">
        <v>410</v>
      </c>
      <c r="C57" s="116">
        <f t="shared" si="87"/>
        <v>-0.671864774691747</v>
      </c>
      <c r="D57" s="117">
        <f t="shared" ref="D57:AI57" si="164">D17/D$39</f>
        <v>0.00077128423093505</v>
      </c>
      <c r="E57" s="117">
        <f t="shared" si="164"/>
        <v>0.000660760882644926</v>
      </c>
      <c r="F57" s="117">
        <f t="shared" si="164"/>
        <v>0.000796845191802126</v>
      </c>
      <c r="G57" s="117">
        <f t="shared" si="164"/>
        <v>0.000451082913694954</v>
      </c>
      <c r="H57" s="117">
        <f t="shared" si="164"/>
        <v>0.000577397093740164</v>
      </c>
      <c r="I57" s="117">
        <f t="shared" si="164"/>
        <v>0.000465320833032942</v>
      </c>
      <c r="J57" s="117">
        <f t="shared" si="164"/>
        <v>0.00102968467201844</v>
      </c>
      <c r="K57" s="117">
        <f t="shared" si="164"/>
        <v>0.00234670991239624</v>
      </c>
      <c r="L57" s="117">
        <f t="shared" si="164"/>
        <v>0.000759725545715393</v>
      </c>
      <c r="M57" s="117">
        <f t="shared" si="164"/>
        <v>0.00018624278857893</v>
      </c>
      <c r="N57" s="117">
        <f t="shared" si="164"/>
        <v>0.000144979957161915</v>
      </c>
      <c r="O57" s="117">
        <f t="shared" si="164"/>
        <v>0.000122793499267073</v>
      </c>
      <c r="P57" s="9">
        <f t="shared" si="164"/>
        <v>0.000704555394782059</v>
      </c>
      <c r="Q57" s="117">
        <f t="shared" si="164"/>
        <v>0.00053329880896264</v>
      </c>
      <c r="R57" s="117">
        <f t="shared" si="164"/>
        <v>0.000434718012837787</v>
      </c>
      <c r="S57" s="117">
        <f t="shared" si="164"/>
        <v>0.000323546151827711</v>
      </c>
      <c r="T57" s="117">
        <f t="shared" si="164"/>
        <v>0.000251217192271266</v>
      </c>
      <c r="U57" s="117">
        <f t="shared" si="164"/>
        <v>0.000246942573016654</v>
      </c>
      <c r="V57" s="117">
        <f t="shared" si="164"/>
        <v>0.000145681261975622</v>
      </c>
      <c r="W57" s="117">
        <f t="shared" si="164"/>
        <v>0.000455131022357579</v>
      </c>
      <c r="X57" s="117">
        <f t="shared" si="164"/>
        <v>0.000705699885153172</v>
      </c>
      <c r="Y57" s="117">
        <f t="shared" si="164"/>
        <v>0.00062413715021309</v>
      </c>
      <c r="Z57" s="117">
        <f t="shared" si="164"/>
        <v>0.000163397570455401</v>
      </c>
      <c r="AA57" s="117">
        <f t="shared" si="164"/>
        <v>8.1170165369685e-6</v>
      </c>
      <c r="AB57" s="117">
        <f t="shared" si="164"/>
        <v>8.5888931098502e-6</v>
      </c>
      <c r="AC57" s="9">
        <f t="shared" si="164"/>
        <v>0.000338816894608734</v>
      </c>
      <c r="AD57" s="117">
        <f t="shared" si="164"/>
        <v>0.00100214654759861</v>
      </c>
      <c r="AE57" s="117">
        <f t="shared" si="164"/>
        <v>0.000825521857306527</v>
      </c>
      <c r="AF57" s="117">
        <f t="shared" si="164"/>
        <v>0.000532700528034649</v>
      </c>
      <c r="AG57" s="117">
        <f t="shared" si="164"/>
        <v>0.000466936352993948</v>
      </c>
      <c r="AH57" s="117">
        <f t="shared" si="164"/>
        <v>0.000437008726651671</v>
      </c>
      <c r="AI57" s="117">
        <f t="shared" si="164"/>
        <v>0.000318681157035531</v>
      </c>
      <c r="AJ57" s="117">
        <f t="shared" ref="AJ57:BO57" si="165">AJ17/AJ$39</f>
        <v>0.000286186386980007</v>
      </c>
      <c r="AK57" s="117">
        <f t="shared" si="165"/>
        <v>0.000608147320779178</v>
      </c>
      <c r="AL57" s="117">
        <f t="shared" si="165"/>
        <v>0.000695299127252881</v>
      </c>
      <c r="AM57" s="117">
        <f t="shared" si="165"/>
        <v>9.14144977406573e-5</v>
      </c>
      <c r="AN57" s="117">
        <f t="shared" si="165"/>
        <v>3.5407775841258e-5</v>
      </c>
      <c r="AO57" s="117">
        <f t="shared" si="165"/>
        <v>3.63835128902284e-5</v>
      </c>
      <c r="AP57" s="9">
        <f t="shared" si="165"/>
        <v>0.000440870878722911</v>
      </c>
      <c r="AQ57" s="117">
        <f t="shared" si="165"/>
        <v>0.00162945034150465</v>
      </c>
      <c r="AR57" s="117">
        <f t="shared" si="165"/>
        <v>0.000824762027351248</v>
      </c>
      <c r="AS57" s="117">
        <f t="shared" si="165"/>
        <v>0.00225168392460736</v>
      </c>
      <c r="AT57" s="117">
        <f t="shared" si="165"/>
        <v>0.000614768038473821</v>
      </c>
      <c r="AU57" s="117">
        <f t="shared" si="165"/>
        <v>0.00182282865765685</v>
      </c>
      <c r="AV57" s="117">
        <f t="shared" si="165"/>
        <v>0.000922455708485148</v>
      </c>
      <c r="AW57" s="117">
        <f t="shared" si="165"/>
        <v>0.00133794911706897</v>
      </c>
      <c r="AX57" s="117">
        <f t="shared" si="165"/>
        <v>0.00195937833304462</v>
      </c>
      <c r="AY57" s="117">
        <f t="shared" si="165"/>
        <v>0.000474250546820504</v>
      </c>
      <c r="AZ57" s="117">
        <f t="shared" si="165"/>
        <v>0.000312678662911037</v>
      </c>
      <c r="BA57" s="117">
        <f t="shared" si="165"/>
        <v>0.000300729308195492</v>
      </c>
      <c r="BB57" s="117">
        <f t="shared" si="165"/>
        <v>0.000235983426658803</v>
      </c>
      <c r="BC57" s="9">
        <f t="shared" si="165"/>
        <v>0.00104031157353915</v>
      </c>
      <c r="BD57" s="117">
        <f t="shared" si="165"/>
        <v>0.000991386421407258</v>
      </c>
      <c r="BE57" s="117">
        <f t="shared" si="165"/>
        <v>0.000635846829984522</v>
      </c>
      <c r="BF57" s="117">
        <f t="shared" si="165"/>
        <v>0.000717330186272076</v>
      </c>
      <c r="BG57" s="117">
        <f t="shared" si="165"/>
        <v>0.000671003276262097</v>
      </c>
      <c r="BH57" s="117">
        <f t="shared" si="165"/>
        <v>0.000497392016628843</v>
      </c>
      <c r="BI57" s="117">
        <f t="shared" si="165"/>
        <v>0.000359795649118243</v>
      </c>
      <c r="BJ57" s="117">
        <f t="shared" si="165"/>
        <v>0.00173045997980325</v>
      </c>
      <c r="BK57" s="117">
        <f t="shared" si="165"/>
        <v>0.00178602167848281</v>
      </c>
      <c r="BL57" s="117">
        <f t="shared" si="165"/>
        <v>0.00088252160591059</v>
      </c>
      <c r="BM57" s="117">
        <f t="shared" si="165"/>
        <v>0.000248578040632917</v>
      </c>
      <c r="BN57" s="117">
        <f t="shared" si="165"/>
        <v>0.00023729076776454</v>
      </c>
      <c r="BO57" s="117">
        <f t="shared" si="165"/>
        <v>0.000246105775531371</v>
      </c>
      <c r="BP57" s="9">
        <f t="shared" ref="BP57:CU57" si="166">BP17/BP$39</f>
        <v>0.000767569669982658</v>
      </c>
      <c r="BQ57" s="117">
        <f t="shared" si="166"/>
        <v>0.000885901589601085</v>
      </c>
      <c r="BR57" s="117">
        <f t="shared" si="166"/>
        <v>0.000528584381061849</v>
      </c>
      <c r="BS57" s="117">
        <f t="shared" si="166"/>
        <v>0.000722862034450078</v>
      </c>
      <c r="BT57" s="117">
        <f t="shared" si="166"/>
        <v>0.000327104760990737</v>
      </c>
      <c r="BU57" s="117">
        <f t="shared" si="166"/>
        <v>0.000478301948956114</v>
      </c>
      <c r="BV57" s="117">
        <f t="shared" si="166"/>
        <v>0.000249135837161179</v>
      </c>
      <c r="BW57" s="117">
        <f t="shared" si="166"/>
        <v>0.00116060345424641</v>
      </c>
      <c r="BX57" s="117">
        <f t="shared" si="166"/>
        <v>0.00211536172047789</v>
      </c>
      <c r="BY57" s="117">
        <f t="shared" si="166"/>
        <v>0.00121546630796057</v>
      </c>
      <c r="BZ57" s="117">
        <f t="shared" si="166"/>
        <v>0.000460225744525835</v>
      </c>
      <c r="CA57" s="117">
        <f t="shared" si="166"/>
        <v>0.000435286667858248</v>
      </c>
      <c r="CB57" s="117">
        <f t="shared" si="166"/>
        <v>0.000382236348360336</v>
      </c>
      <c r="CC57" s="9">
        <f t="shared" si="166"/>
        <v>0.000755105019699151</v>
      </c>
      <c r="CD57" s="117">
        <f t="shared" si="166"/>
        <v>0.000245892197118365</v>
      </c>
      <c r="CE57" s="117">
        <f t="shared" si="166"/>
        <v>0.000439947797081003</v>
      </c>
      <c r="CF57" s="117">
        <f t="shared" si="166"/>
        <v>0.000465539983141617</v>
      </c>
      <c r="CG57" s="117">
        <f t="shared" si="166"/>
        <v>0.000691551993284983</v>
      </c>
      <c r="CH57" s="117">
        <f t="shared" si="166"/>
        <v>0.000585959801065317</v>
      </c>
      <c r="CI57" s="117">
        <f t="shared" si="166"/>
        <v>0.000961838594239549</v>
      </c>
      <c r="CJ57" s="117">
        <f t="shared" si="166"/>
        <v>0.00143907315200413</v>
      </c>
      <c r="CK57" s="117">
        <f t="shared" si="166"/>
        <v>0.00246277053260832</v>
      </c>
      <c r="CL57" s="117">
        <f t="shared" si="166"/>
        <v>0.00196769715929542</v>
      </c>
      <c r="CM57" s="117">
        <f t="shared" si="166"/>
        <v>0.000114062083024406</v>
      </c>
      <c r="CN57" s="117">
        <f t="shared" si="166"/>
        <v>0</v>
      </c>
      <c r="CO57" s="117">
        <f t="shared" si="166"/>
        <v>0</v>
      </c>
      <c r="CP57" s="9">
        <f t="shared" si="166"/>
        <v>0.000807480485643492</v>
      </c>
      <c r="CQ57" s="117">
        <f t="shared" si="166"/>
        <v>0.00148397954054218</v>
      </c>
      <c r="CR57" s="117">
        <f t="shared" si="166"/>
        <v>0.0013579954031666</v>
      </c>
      <c r="CS57" s="117">
        <f t="shared" si="166"/>
        <v>0.00180677454176411</v>
      </c>
      <c r="CT57" s="117">
        <f t="shared" si="166"/>
        <v>0.00107042352389499</v>
      </c>
      <c r="CU57" s="117">
        <f t="shared" si="166"/>
        <v>0.0010950871041582</v>
      </c>
      <c r="CV57" s="117">
        <f t="shared" ref="CV57:EA57" si="167">CV17/CV$39</f>
        <v>0.000984092836818131</v>
      </c>
      <c r="CW57" s="117">
        <f t="shared" si="167"/>
        <v>0.00197299435146245</v>
      </c>
      <c r="CX57" s="117">
        <f t="shared" si="167"/>
        <v>0.00258981220472583</v>
      </c>
      <c r="CY57" s="117">
        <f t="shared" si="167"/>
        <v>0.000961467356086474</v>
      </c>
      <c r="CZ57" s="117">
        <f t="shared" si="167"/>
        <v>9.28247188902835e-5</v>
      </c>
      <c r="DA57" s="117">
        <f t="shared" si="167"/>
        <v>8.3733540006723e-5</v>
      </c>
      <c r="DB57" s="117">
        <f t="shared" si="167"/>
        <v>9.00469814129658e-5</v>
      </c>
      <c r="DC57" s="9">
        <f t="shared" si="167"/>
        <v>0.00116507518988074</v>
      </c>
      <c r="DD57" s="117">
        <f t="shared" si="167"/>
        <v>0.00162875889281123</v>
      </c>
      <c r="DE57" s="117">
        <f t="shared" si="167"/>
        <v>0.000950459828764194</v>
      </c>
      <c r="DF57" s="117">
        <f t="shared" si="167"/>
        <v>0.000588826997919213</v>
      </c>
      <c r="DG57" s="117">
        <f t="shared" si="167"/>
        <v>0.000381450902426907</v>
      </c>
      <c r="DH57" s="117">
        <f t="shared" si="167"/>
        <v>5.94634296137685e-5</v>
      </c>
      <c r="DI57" s="117">
        <f t="shared" si="167"/>
        <v>0.000402251433571259</v>
      </c>
      <c r="DJ57" s="117">
        <f t="shared" si="167"/>
        <v>0.00451521038714292</v>
      </c>
      <c r="DK57" s="117">
        <f t="shared" si="167"/>
        <v>0.00606643695700497</v>
      </c>
      <c r="DL57" s="117">
        <f t="shared" si="167"/>
        <v>0.00300126030093578</v>
      </c>
      <c r="DM57" s="117">
        <f t="shared" si="167"/>
        <v>0.00119255976731408</v>
      </c>
      <c r="DN57" s="117">
        <f t="shared" si="167"/>
        <v>0.000757739647044644</v>
      </c>
      <c r="DO57" s="117">
        <f t="shared" si="167"/>
        <v>0.000171595736983016</v>
      </c>
      <c r="DP57" s="9">
        <f t="shared" si="167"/>
        <v>0.00162143911393254</v>
      </c>
      <c r="DQ57" s="117">
        <f t="shared" si="167"/>
        <v>0.000952370710931206</v>
      </c>
      <c r="DR57" s="117">
        <f t="shared" si="167"/>
        <v>0.00156956401777182</v>
      </c>
      <c r="DS57" s="117">
        <f t="shared" si="167"/>
        <v>0.00142715041484122</v>
      </c>
      <c r="DT57" s="117">
        <f t="shared" si="167"/>
        <v>0.00063840374614087</v>
      </c>
      <c r="DU57" s="117">
        <f t="shared" si="167"/>
        <v>0.000476182908175831</v>
      </c>
      <c r="DV57" s="117">
        <f t="shared" si="167"/>
        <v>0.000821351513531222</v>
      </c>
      <c r="DW57" s="117">
        <f t="shared" si="167"/>
        <v>0.00104599352870577</v>
      </c>
      <c r="DX57" s="117">
        <f t="shared" si="167"/>
        <v>0.00169432098808373</v>
      </c>
      <c r="DY57" s="117">
        <f t="shared" si="167"/>
        <v>0.000676835772586482</v>
      </c>
      <c r="DZ57" s="117">
        <f t="shared" si="167"/>
        <v>0</v>
      </c>
      <c r="EA57" s="117">
        <f t="shared" si="167"/>
        <v>0</v>
      </c>
      <c r="EB57" s="117">
        <f t="shared" ref="EB57:FT57" si="168">EB17/EB$39</f>
        <v>0</v>
      </c>
      <c r="EC57" s="117">
        <f t="shared" si="168"/>
        <v>0.000806402882222893</v>
      </c>
      <c r="ED57" s="118">
        <f t="shared" si="168"/>
        <v>0</v>
      </c>
      <c r="EE57" s="117">
        <f t="shared" si="168"/>
        <v>0</v>
      </c>
      <c r="EF57" s="117">
        <f t="shared" si="168"/>
        <v>0</v>
      </c>
      <c r="EG57" s="117">
        <f t="shared" si="168"/>
        <v>0</v>
      </c>
      <c r="EH57" s="117" t="e">
        <f t="shared" si="168"/>
        <v>#DIV/0!</v>
      </c>
      <c r="EI57" s="117" t="e">
        <f t="shared" si="168"/>
        <v>#DIV/0!</v>
      </c>
      <c r="EJ57" s="117" t="e">
        <f t="shared" si="168"/>
        <v>#DIV/0!</v>
      </c>
      <c r="EK57" s="117" t="e">
        <f t="shared" si="168"/>
        <v>#DIV/0!</v>
      </c>
      <c r="EL57" s="117" t="e">
        <f t="shared" si="168"/>
        <v>#DIV/0!</v>
      </c>
      <c r="EM57" s="117" t="e">
        <f t="shared" si="168"/>
        <v>#DIV/0!</v>
      </c>
      <c r="EN57" s="117" t="e">
        <f t="shared" si="168"/>
        <v>#DIV/0!</v>
      </c>
      <c r="EO57" s="117" t="e">
        <f t="shared" si="168"/>
        <v>#DIV/0!</v>
      </c>
      <c r="EP57" s="9">
        <f t="shared" si="168"/>
        <v>0</v>
      </c>
      <c r="EQ57" s="117">
        <f t="shared" si="168"/>
        <v>0.00345837809115103</v>
      </c>
      <c r="ER57" s="117">
        <f t="shared" si="168"/>
        <v>0.00208985744486502</v>
      </c>
      <c r="ES57" s="117">
        <f t="shared" si="168"/>
        <v>0.00153530393754419</v>
      </c>
      <c r="ET57" s="117">
        <f t="shared" si="168"/>
        <v>0.000687442017600993</v>
      </c>
      <c r="EU57" s="117">
        <f t="shared" si="168"/>
        <v>0.00218621637134824</v>
      </c>
      <c r="EV57" s="117">
        <f t="shared" si="168"/>
        <v>0.00210564970608739</v>
      </c>
      <c r="EW57" s="117">
        <f t="shared" si="168"/>
        <v>0.00304111540799424</v>
      </c>
      <c r="EX57" s="117">
        <f t="shared" si="168"/>
        <v>0.00416735104863386</v>
      </c>
      <c r="EY57" s="117">
        <f t="shared" si="168"/>
        <v>0.00262769647287579</v>
      </c>
      <c r="EZ57" s="117">
        <f t="shared" si="168"/>
        <v>1.1665681735781e-5</v>
      </c>
      <c r="FA57" s="117">
        <f t="shared" si="168"/>
        <v>0</v>
      </c>
      <c r="FB57" s="117">
        <f t="shared" si="168"/>
        <v>0</v>
      </c>
      <c r="FC57" s="117">
        <f t="shared" si="168"/>
        <v>0.00173812003064883</v>
      </c>
      <c r="FD57" s="118"/>
      <c r="FE57" s="117"/>
      <c r="FF57" s="117"/>
      <c r="FG57" s="117"/>
      <c r="FH57" s="117"/>
      <c r="FI57" s="117"/>
      <c r="FJ57" s="117"/>
      <c r="FK57" s="117"/>
      <c r="FL57" s="117"/>
      <c r="FM57" s="117"/>
      <c r="FN57" s="117"/>
      <c r="FO57" s="117"/>
      <c r="FP57" s="9"/>
      <c r="FQ57" s="118">
        <f t="shared" si="168"/>
        <v>0.000125780441768787</v>
      </c>
      <c r="FR57" s="117">
        <f t="shared" si="168"/>
        <v>0.000131194677050313</v>
      </c>
      <c r="FS57" s="117">
        <f t="shared" si="168"/>
        <v>0.000247123917636341</v>
      </c>
      <c r="FT57" s="117">
        <f t="shared" si="168"/>
        <v>0.000198532433408873</v>
      </c>
      <c r="FU57" s="117">
        <f t="shared" ref="FU57:GC57" si="169">FU17/FU$39</f>
        <v>0.000107702829871966</v>
      </c>
      <c r="FV57" s="117">
        <f t="shared" si="169"/>
        <v>9.59681779983697e-5</v>
      </c>
      <c r="FW57" s="117">
        <f t="shared" si="169"/>
        <v>0.000418987417265242</v>
      </c>
      <c r="FX57" s="117">
        <f t="shared" si="169"/>
        <v>0.00421616994097576</v>
      </c>
      <c r="FY57" s="117">
        <f t="shared" si="169"/>
        <v>5.47760023233293e-5</v>
      </c>
      <c r="FZ57" s="117">
        <f t="shared" si="169"/>
        <v>5.10420015963627e-5</v>
      </c>
      <c r="GA57" s="117">
        <f t="shared" si="169"/>
        <v>4.68105404000393e-5</v>
      </c>
      <c r="GB57" s="117">
        <f t="shared" si="169"/>
        <v>4.44720737950573e-5</v>
      </c>
      <c r="GC57" s="9">
        <f t="shared" si="169"/>
        <v>0.000487973912642404</v>
      </c>
    </row>
    <row r="58" customHeight="1" spans="1:185">
      <c r="A58" s="114"/>
      <c r="B58" s="115" t="s">
        <v>411</v>
      </c>
      <c r="C58" s="116">
        <f t="shared" si="87"/>
        <v>0.196012794565337</v>
      </c>
      <c r="D58" s="117">
        <f t="shared" ref="D58:AI58" si="170">D18/D$39</f>
        <v>0.00285112921434983</v>
      </c>
      <c r="E58" s="117">
        <f t="shared" si="170"/>
        <v>0.00218513117665991</v>
      </c>
      <c r="F58" s="117">
        <f t="shared" si="170"/>
        <v>0.00250688158811697</v>
      </c>
      <c r="G58" s="117">
        <f t="shared" si="170"/>
        <v>0.00275312332570042</v>
      </c>
      <c r="H58" s="117">
        <f t="shared" si="170"/>
        <v>0.00340614001133086</v>
      </c>
      <c r="I58" s="117">
        <f t="shared" si="170"/>
        <v>7.50401595137171e-5</v>
      </c>
      <c r="J58" s="117">
        <f t="shared" si="170"/>
        <v>5.25534037441302e-5</v>
      </c>
      <c r="K58" s="117">
        <f t="shared" si="170"/>
        <v>3.82019499715429e-5</v>
      </c>
      <c r="L58" s="117">
        <f t="shared" si="170"/>
        <v>8.58981406353613e-5</v>
      </c>
      <c r="M58" s="117">
        <f t="shared" si="170"/>
        <v>4.18997345383381e-5</v>
      </c>
      <c r="N58" s="117">
        <f t="shared" si="170"/>
        <v>7.14910428035543e-6</v>
      </c>
      <c r="O58" s="117">
        <f t="shared" si="170"/>
        <v>5.13000672946489e-6</v>
      </c>
      <c r="P58" s="9">
        <f t="shared" si="170"/>
        <v>0.00119986395026497</v>
      </c>
      <c r="Q58" s="117">
        <f t="shared" si="170"/>
        <v>0.000392223038014262</v>
      </c>
      <c r="R58" s="117">
        <f t="shared" si="170"/>
        <v>0.000274010355281714</v>
      </c>
      <c r="S58" s="117">
        <f t="shared" si="170"/>
        <v>0.000202418796910962</v>
      </c>
      <c r="T58" s="117">
        <f t="shared" si="170"/>
        <v>0.000224416753992284</v>
      </c>
      <c r="U58" s="117">
        <f t="shared" si="170"/>
        <v>0.000194921838713928</v>
      </c>
      <c r="V58" s="117">
        <f t="shared" si="170"/>
        <v>0.000168028153449634</v>
      </c>
      <c r="W58" s="117">
        <f t="shared" si="170"/>
        <v>0.00015067144713598</v>
      </c>
      <c r="X58" s="117">
        <f t="shared" si="170"/>
        <v>0.000124843748625081</v>
      </c>
      <c r="Y58" s="117">
        <f t="shared" si="170"/>
        <v>0.000102203208648727</v>
      </c>
      <c r="Z58" s="117">
        <f t="shared" si="170"/>
        <v>1.6249482144736e-5</v>
      </c>
      <c r="AA58" s="117">
        <f t="shared" si="170"/>
        <v>1.6234033073937e-5</v>
      </c>
      <c r="AB58" s="117">
        <f t="shared" si="170"/>
        <v>0</v>
      </c>
      <c r="AC58" s="9">
        <f t="shared" si="170"/>
        <v>0.000158029776342018</v>
      </c>
      <c r="AD58" s="117">
        <f t="shared" si="170"/>
        <v>0.000211530686667566</v>
      </c>
      <c r="AE58" s="117">
        <f t="shared" si="170"/>
        <v>0.000250433855712396</v>
      </c>
      <c r="AF58" s="117">
        <f t="shared" si="170"/>
        <v>0.000294536615426429</v>
      </c>
      <c r="AG58" s="117">
        <f t="shared" si="170"/>
        <v>0.000285204036064531</v>
      </c>
      <c r="AH58" s="117">
        <f t="shared" si="170"/>
        <v>0.0104650984477631</v>
      </c>
      <c r="AI58" s="117">
        <f t="shared" si="170"/>
        <v>8.43603598039392e-5</v>
      </c>
      <c r="AJ58" s="117">
        <f t="shared" ref="AJ58:BO58" si="171">AJ18/AJ$39</f>
        <v>5.41522406556206e-5</v>
      </c>
      <c r="AK58" s="117">
        <f t="shared" si="171"/>
        <v>0</v>
      </c>
      <c r="AL58" s="117">
        <f t="shared" si="171"/>
        <v>0</v>
      </c>
      <c r="AM58" s="117">
        <f t="shared" si="171"/>
        <v>0</v>
      </c>
      <c r="AN58" s="117">
        <f t="shared" si="171"/>
        <v>0</v>
      </c>
      <c r="AO58" s="117">
        <f t="shared" si="171"/>
        <v>0</v>
      </c>
      <c r="AP58" s="9">
        <f t="shared" si="171"/>
        <v>0.000793545363161043</v>
      </c>
      <c r="AQ58" s="117">
        <f t="shared" si="171"/>
        <v>0.000113587291997879</v>
      </c>
      <c r="AR58" s="117">
        <f t="shared" si="171"/>
        <v>0.000104361678896573</v>
      </c>
      <c r="AS58" s="117">
        <f t="shared" si="171"/>
        <v>7.86594414813817e-5</v>
      </c>
      <c r="AT58" s="117">
        <f t="shared" si="171"/>
        <v>9.67418988180736e-5</v>
      </c>
      <c r="AU58" s="117">
        <f t="shared" si="171"/>
        <v>9.56715418274641e-5</v>
      </c>
      <c r="AV58" s="117">
        <f t="shared" si="171"/>
        <v>5.39487718169431e-5</v>
      </c>
      <c r="AW58" s="117">
        <f t="shared" si="171"/>
        <v>4.44669668693516e-5</v>
      </c>
      <c r="AX58" s="117">
        <f t="shared" si="171"/>
        <v>3.91776482689257e-5</v>
      </c>
      <c r="AY58" s="117">
        <f t="shared" si="171"/>
        <v>3.89862572308218e-5</v>
      </c>
      <c r="AZ58" s="117">
        <f t="shared" si="171"/>
        <v>4.17256999492769e-5</v>
      </c>
      <c r="BA58" s="117">
        <f t="shared" si="171"/>
        <v>4.01311070058174e-5</v>
      </c>
      <c r="BB58" s="117">
        <f t="shared" si="171"/>
        <v>3.76429898153365e-5</v>
      </c>
      <c r="BC58" s="9">
        <f t="shared" si="171"/>
        <v>6.36605601180083e-5</v>
      </c>
      <c r="BD58" s="117">
        <f t="shared" si="171"/>
        <v>0.00109861048944631</v>
      </c>
      <c r="BE58" s="117">
        <f t="shared" si="171"/>
        <v>0.00214347593866883</v>
      </c>
      <c r="BF58" s="117">
        <f t="shared" si="171"/>
        <v>0.000144763507760996</v>
      </c>
      <c r="BG58" s="117">
        <f t="shared" si="171"/>
        <v>4.61418036869168e-5</v>
      </c>
      <c r="BH58" s="117">
        <f t="shared" si="171"/>
        <v>4.33387877385141e-5</v>
      </c>
      <c r="BI58" s="117">
        <f t="shared" si="171"/>
        <v>2.88314130581619e-5</v>
      </c>
      <c r="BJ58" s="117">
        <f t="shared" si="171"/>
        <v>0</v>
      </c>
      <c r="BK58" s="117">
        <f t="shared" si="171"/>
        <v>0</v>
      </c>
      <c r="BL58" s="117">
        <f t="shared" si="171"/>
        <v>0</v>
      </c>
      <c r="BM58" s="117">
        <f t="shared" si="171"/>
        <v>0</v>
      </c>
      <c r="BN58" s="117">
        <f t="shared" si="171"/>
        <v>0</v>
      </c>
      <c r="BO58" s="117">
        <f t="shared" si="171"/>
        <v>0</v>
      </c>
      <c r="BP58" s="9">
        <f t="shared" ref="BP58:CU58" si="172">BP18/BP$39</f>
        <v>0.000372979976449927</v>
      </c>
      <c r="BQ58" s="117">
        <f t="shared" si="172"/>
        <v>0.0125221286710189</v>
      </c>
      <c r="BR58" s="117">
        <f t="shared" si="172"/>
        <v>0.00867007641951689</v>
      </c>
      <c r="BS58" s="117">
        <f t="shared" si="172"/>
        <v>0.0121612471386412</v>
      </c>
      <c r="BT58" s="117">
        <f t="shared" si="172"/>
        <v>0.0142236762153508</v>
      </c>
      <c r="BU58" s="117">
        <f t="shared" si="172"/>
        <v>0.0120965748939287</v>
      </c>
      <c r="BV58" s="117">
        <f t="shared" si="172"/>
        <v>0.000106120293732196</v>
      </c>
      <c r="BW58" s="117">
        <f t="shared" si="172"/>
        <v>6.36200935536881e-5</v>
      </c>
      <c r="BX58" s="117">
        <f t="shared" si="172"/>
        <v>5.27282747788899e-5</v>
      </c>
      <c r="BY58" s="117">
        <f t="shared" si="172"/>
        <v>0.000367412973931122</v>
      </c>
      <c r="BZ58" s="117">
        <f t="shared" si="172"/>
        <v>0.00018600647934888</v>
      </c>
      <c r="CA58" s="117">
        <f t="shared" si="172"/>
        <v>0</v>
      </c>
      <c r="CB58" s="117">
        <f t="shared" si="172"/>
        <v>0</v>
      </c>
      <c r="CC58" s="9">
        <f t="shared" si="172"/>
        <v>0.00567712646725422</v>
      </c>
      <c r="CD58" s="117">
        <f t="shared" si="172"/>
        <v>0.000947884478140073</v>
      </c>
      <c r="CE58" s="117">
        <f t="shared" si="172"/>
        <v>0.00010542055331733</v>
      </c>
      <c r="CF58" s="117">
        <f t="shared" si="172"/>
        <v>4.60336822381269e-5</v>
      </c>
      <c r="CG58" s="117">
        <f t="shared" si="172"/>
        <v>0.000162332819356568</v>
      </c>
      <c r="CH58" s="117">
        <f t="shared" si="172"/>
        <v>0.00302001903182669</v>
      </c>
      <c r="CI58" s="117">
        <f t="shared" si="172"/>
        <v>9.24287733324889e-5</v>
      </c>
      <c r="CJ58" s="117">
        <f t="shared" si="172"/>
        <v>9.40712419051837e-5</v>
      </c>
      <c r="CK58" s="117">
        <f t="shared" si="172"/>
        <v>9.18563757100994e-5</v>
      </c>
      <c r="CL58" s="117">
        <f t="shared" si="172"/>
        <v>9.80767717346208e-5</v>
      </c>
      <c r="CM58" s="117">
        <f t="shared" si="172"/>
        <v>0.000100720461985475</v>
      </c>
      <c r="CN58" s="117">
        <f t="shared" si="172"/>
        <v>2.85025907569636e-5</v>
      </c>
      <c r="CO58" s="117">
        <f t="shared" si="172"/>
        <v>2.95136865354033e-5</v>
      </c>
      <c r="CP58" s="9">
        <f t="shared" si="172"/>
        <v>0.000440165383949586</v>
      </c>
      <c r="CQ58" s="117">
        <f t="shared" si="172"/>
        <v>9.1787508273516e-5</v>
      </c>
      <c r="CR58" s="117">
        <f t="shared" si="172"/>
        <v>4.13858585200972e-5</v>
      </c>
      <c r="CS58" s="117">
        <f t="shared" si="172"/>
        <v>5.10450746033138e-5</v>
      </c>
      <c r="CT58" s="117">
        <f t="shared" si="172"/>
        <v>3.73116768210114e-5</v>
      </c>
      <c r="CU58" s="117">
        <f t="shared" si="172"/>
        <v>2.49717105689258e-5</v>
      </c>
      <c r="CV58" s="117">
        <f t="shared" ref="CV58:EA58" si="173">CV18/CV$39</f>
        <v>3.7304790490502e-5</v>
      </c>
      <c r="CW58" s="117">
        <f t="shared" si="173"/>
        <v>3.45687471408766e-5</v>
      </c>
      <c r="CX58" s="117">
        <f t="shared" si="173"/>
        <v>3.23869649804658e-5</v>
      </c>
      <c r="CY58" s="117">
        <f t="shared" si="173"/>
        <v>0</v>
      </c>
      <c r="CZ58" s="117">
        <f t="shared" si="173"/>
        <v>0</v>
      </c>
      <c r="DA58" s="117">
        <f t="shared" si="173"/>
        <v>0</v>
      </c>
      <c r="DB58" s="117">
        <f t="shared" si="173"/>
        <v>0</v>
      </c>
      <c r="DC58" s="9">
        <f t="shared" si="173"/>
        <v>3.15269327553809e-5</v>
      </c>
      <c r="DD58" s="117">
        <f t="shared" si="173"/>
        <v>0.000462705410754107</v>
      </c>
      <c r="DE58" s="117">
        <f t="shared" si="173"/>
        <v>0.000607590595523982</v>
      </c>
      <c r="DF58" s="117">
        <f t="shared" si="173"/>
        <v>0.000337394540760289</v>
      </c>
      <c r="DG58" s="117">
        <f t="shared" si="173"/>
        <v>0.000107447589437183</v>
      </c>
      <c r="DH58" s="117">
        <f t="shared" si="173"/>
        <v>0.000302374592302862</v>
      </c>
      <c r="DI58" s="117">
        <f t="shared" si="173"/>
        <v>0.000166259032306369</v>
      </c>
      <c r="DJ58" s="117">
        <f t="shared" si="173"/>
        <v>0.000160334742131829</v>
      </c>
      <c r="DK58" s="117">
        <f t="shared" si="173"/>
        <v>0.000156604510002465</v>
      </c>
      <c r="DL58" s="117">
        <f t="shared" si="173"/>
        <v>0.000156759012605086</v>
      </c>
      <c r="DM58" s="117">
        <f t="shared" si="173"/>
        <v>0.000154882332165505</v>
      </c>
      <c r="DN58" s="117">
        <f t="shared" si="173"/>
        <v>0.000172230837988572</v>
      </c>
      <c r="DO58" s="117">
        <f t="shared" si="173"/>
        <v>0.000156090098099009</v>
      </c>
      <c r="DP58" s="9">
        <f t="shared" si="173"/>
        <v>0.000271534209434887</v>
      </c>
      <c r="DQ58" s="117">
        <f t="shared" si="173"/>
        <v>0.00084159805204032</v>
      </c>
      <c r="DR58" s="117">
        <f t="shared" si="173"/>
        <v>0.000510324690237415</v>
      </c>
      <c r="DS58" s="117">
        <f t="shared" si="173"/>
        <v>0.000294785639983092</v>
      </c>
      <c r="DT58" s="117">
        <f t="shared" si="173"/>
        <v>0.000217349533898933</v>
      </c>
      <c r="DU58" s="117">
        <f t="shared" si="173"/>
        <v>0.000131724031544281</v>
      </c>
      <c r="DV58" s="117">
        <f t="shared" si="173"/>
        <v>0.000129375428708157</v>
      </c>
      <c r="DW58" s="117">
        <f t="shared" si="173"/>
        <v>9.33039043405778e-5</v>
      </c>
      <c r="DX58" s="117">
        <f t="shared" si="173"/>
        <v>5.13957610442191e-5</v>
      </c>
      <c r="DY58" s="117">
        <f t="shared" si="173"/>
        <v>0</v>
      </c>
      <c r="DZ58" s="117">
        <f t="shared" si="173"/>
        <v>0</v>
      </c>
      <c r="EA58" s="117">
        <f t="shared" si="173"/>
        <v>0</v>
      </c>
      <c r="EB58" s="117">
        <f t="shared" ref="EB58:FT58" si="174">EB18/EB$39</f>
        <v>0</v>
      </c>
      <c r="EC58" s="117">
        <f t="shared" si="174"/>
        <v>0.000229113128971694</v>
      </c>
      <c r="ED58" s="118">
        <f t="shared" si="174"/>
        <v>-0.00409709344258544</v>
      </c>
      <c r="EE58" s="117">
        <f t="shared" si="174"/>
        <v>0</v>
      </c>
      <c r="EF58" s="117">
        <f t="shared" si="174"/>
        <v>0</v>
      </c>
      <c r="EG58" s="117">
        <f t="shared" si="174"/>
        <v>0</v>
      </c>
      <c r="EH58" s="117" t="e">
        <f t="shared" si="174"/>
        <v>#DIV/0!</v>
      </c>
      <c r="EI58" s="117" t="e">
        <f t="shared" si="174"/>
        <v>#DIV/0!</v>
      </c>
      <c r="EJ58" s="117" t="e">
        <f t="shared" si="174"/>
        <v>#DIV/0!</v>
      </c>
      <c r="EK58" s="117" t="e">
        <f t="shared" si="174"/>
        <v>#DIV/0!</v>
      </c>
      <c r="EL58" s="117" t="e">
        <f t="shared" si="174"/>
        <v>#DIV/0!</v>
      </c>
      <c r="EM58" s="117" t="e">
        <f t="shared" si="174"/>
        <v>#DIV/0!</v>
      </c>
      <c r="EN58" s="117" t="e">
        <f t="shared" si="174"/>
        <v>#DIV/0!</v>
      </c>
      <c r="EO58" s="117" t="e">
        <f t="shared" si="174"/>
        <v>#DIV/0!</v>
      </c>
      <c r="EP58" s="9">
        <f t="shared" si="174"/>
        <v>-0.00334980672429128</v>
      </c>
      <c r="EQ58" s="117">
        <f t="shared" si="174"/>
        <v>9.32617735956618e-5</v>
      </c>
      <c r="ER58" s="117">
        <f t="shared" si="174"/>
        <v>0.00066955396116894</v>
      </c>
      <c r="ES58" s="117">
        <f t="shared" si="174"/>
        <v>0.000665288742740179</v>
      </c>
      <c r="ET58" s="117">
        <f t="shared" si="174"/>
        <v>0</v>
      </c>
      <c r="EU58" s="117">
        <f t="shared" si="174"/>
        <v>0</v>
      </c>
      <c r="EV58" s="117">
        <f t="shared" si="174"/>
        <v>0</v>
      </c>
      <c r="EW58" s="117">
        <f t="shared" si="174"/>
        <v>0</v>
      </c>
      <c r="EX58" s="117">
        <f t="shared" si="174"/>
        <v>0</v>
      </c>
      <c r="EY58" s="117">
        <f t="shared" si="174"/>
        <v>0</v>
      </c>
      <c r="EZ58" s="117">
        <f t="shared" si="174"/>
        <v>0</v>
      </c>
      <c r="FA58" s="117">
        <f t="shared" si="174"/>
        <v>0</v>
      </c>
      <c r="FB58" s="117">
        <f t="shared" si="174"/>
        <v>0</v>
      </c>
      <c r="FC58" s="117">
        <f t="shared" si="174"/>
        <v>0.000117526032755558</v>
      </c>
      <c r="FD58" s="118"/>
      <c r="FE58" s="117"/>
      <c r="FF58" s="117"/>
      <c r="FG58" s="117"/>
      <c r="FH58" s="117"/>
      <c r="FI58" s="117"/>
      <c r="FJ58" s="117"/>
      <c r="FK58" s="117"/>
      <c r="FL58" s="117"/>
      <c r="FM58" s="117"/>
      <c r="FN58" s="117"/>
      <c r="FO58" s="117"/>
      <c r="FP58" s="9"/>
      <c r="FQ58" s="118">
        <f t="shared" si="174"/>
        <v>4.98130739062636e-5</v>
      </c>
      <c r="FR58" s="117">
        <f t="shared" si="174"/>
        <v>2.15969832068132e-5</v>
      </c>
      <c r="FS58" s="117">
        <f t="shared" si="174"/>
        <v>1.09697220270821e-5</v>
      </c>
      <c r="FT58" s="117">
        <f t="shared" si="174"/>
        <v>3.22160779484635e-5</v>
      </c>
      <c r="FU58" s="117">
        <f t="shared" ref="FU58:GC58" si="175">FU18/FU$39</f>
        <v>1.03179661016018e-5</v>
      </c>
      <c r="FV58" s="117">
        <f t="shared" si="175"/>
        <v>0</v>
      </c>
      <c r="FW58" s="117">
        <f t="shared" si="175"/>
        <v>0</v>
      </c>
      <c r="FX58" s="117">
        <f t="shared" si="175"/>
        <v>0</v>
      </c>
      <c r="FY58" s="117">
        <f t="shared" si="175"/>
        <v>0</v>
      </c>
      <c r="FZ58" s="117">
        <f t="shared" si="175"/>
        <v>0</v>
      </c>
      <c r="GA58" s="117">
        <f t="shared" si="175"/>
        <v>0</v>
      </c>
      <c r="GB58" s="117">
        <f t="shared" si="175"/>
        <v>0</v>
      </c>
      <c r="GC58" s="9">
        <f t="shared" si="175"/>
        <v>1.24477093614849e-5</v>
      </c>
    </row>
    <row r="59" customHeight="1" spans="1:185">
      <c r="A59" s="114"/>
      <c r="B59" s="115" t="s">
        <v>412</v>
      </c>
      <c r="C59" s="116">
        <f t="shared" si="87"/>
        <v>-0.331733582614037</v>
      </c>
      <c r="D59" s="117">
        <f t="shared" ref="D59:AI59" si="176">D19/D$39</f>
        <v>0.020429824605596</v>
      </c>
      <c r="E59" s="117">
        <f t="shared" si="176"/>
        <v>0.0219678160179754</v>
      </c>
      <c r="F59" s="117">
        <f t="shared" si="176"/>
        <v>0.0188579582861333</v>
      </c>
      <c r="G59" s="117">
        <f t="shared" si="176"/>
        <v>0.019584433368099</v>
      </c>
      <c r="H59" s="117">
        <f t="shared" si="176"/>
        <v>0.0263944022661346</v>
      </c>
      <c r="I59" s="117">
        <f t="shared" si="176"/>
        <v>0.0228467132593389</v>
      </c>
      <c r="J59" s="117">
        <f t="shared" si="176"/>
        <v>0.0229500091738487</v>
      </c>
      <c r="K59" s="117">
        <f t="shared" si="176"/>
        <v>0.0301570744489326</v>
      </c>
      <c r="L59" s="117">
        <f t="shared" si="176"/>
        <v>0.0281686387656999</v>
      </c>
      <c r="M59" s="117">
        <f t="shared" si="176"/>
        <v>0.0211556694342998</v>
      </c>
      <c r="N59" s="117">
        <f t="shared" si="176"/>
        <v>0.0135147783695288</v>
      </c>
      <c r="O59" s="117">
        <f t="shared" si="176"/>
        <v>0.00896111442873485</v>
      </c>
      <c r="P59" s="9">
        <f t="shared" si="176"/>
        <v>0.0211200180006244</v>
      </c>
      <c r="Q59" s="117">
        <f t="shared" si="176"/>
        <v>0.0227519200078116</v>
      </c>
      <c r="R59" s="117">
        <f t="shared" si="176"/>
        <v>0.0227890492352036</v>
      </c>
      <c r="S59" s="117">
        <f t="shared" si="176"/>
        <v>0.0171262594247069</v>
      </c>
      <c r="T59" s="117">
        <f t="shared" si="176"/>
        <v>0.0215233814602842</v>
      </c>
      <c r="U59" s="117">
        <f t="shared" si="176"/>
        <v>0.0320350129229269</v>
      </c>
      <c r="V59" s="117">
        <f t="shared" si="176"/>
        <v>0.02627122311522</v>
      </c>
      <c r="W59" s="117">
        <f t="shared" si="176"/>
        <v>0.0250548834297053</v>
      </c>
      <c r="X59" s="117">
        <f t="shared" si="176"/>
        <v>0.0285400097189977</v>
      </c>
      <c r="Y59" s="117">
        <f t="shared" si="176"/>
        <v>0.0276386028193653</v>
      </c>
      <c r="Z59" s="117">
        <f t="shared" si="176"/>
        <v>0.0198648441993748</v>
      </c>
      <c r="AA59" s="117">
        <f t="shared" si="176"/>
        <v>0.0107916964709987</v>
      </c>
      <c r="AB59" s="117">
        <f t="shared" si="176"/>
        <v>0.00616196688909313</v>
      </c>
      <c r="AC59" s="9">
        <f t="shared" si="176"/>
        <v>0.0214400844899668</v>
      </c>
      <c r="AD59" s="117">
        <f t="shared" si="176"/>
        <v>0.0138756125422853</v>
      </c>
      <c r="AE59" s="117">
        <f t="shared" si="176"/>
        <v>0.0119157100988403</v>
      </c>
      <c r="AF59" s="117">
        <f t="shared" si="176"/>
        <v>0.0111101217015731</v>
      </c>
      <c r="AG59" s="117">
        <f t="shared" si="176"/>
        <v>0.0132946816466854</v>
      </c>
      <c r="AH59" s="117">
        <f t="shared" si="176"/>
        <v>0.0147974519903585</v>
      </c>
      <c r="AI59" s="117">
        <f t="shared" si="176"/>
        <v>0.01823353243901</v>
      </c>
      <c r="AJ59" s="117">
        <f t="shared" ref="AJ59:BO59" si="177">AJ19/AJ$39</f>
        <v>0.0208479562616181</v>
      </c>
      <c r="AK59" s="117">
        <f t="shared" si="177"/>
        <v>0.0170244183432921</v>
      </c>
      <c r="AL59" s="117">
        <f t="shared" si="177"/>
        <v>0.0236984946540002</v>
      </c>
      <c r="AM59" s="117">
        <f t="shared" si="177"/>
        <v>0.0234715357819831</v>
      </c>
      <c r="AN59" s="117">
        <f t="shared" si="177"/>
        <v>0.0160998090964305</v>
      </c>
      <c r="AO59" s="117">
        <f t="shared" si="177"/>
        <v>0.00999103432364631</v>
      </c>
      <c r="AP59" s="9">
        <f t="shared" si="177"/>
        <v>0.0164969889970109</v>
      </c>
      <c r="AQ59" s="117">
        <f t="shared" si="177"/>
        <v>0.0312143447996277</v>
      </c>
      <c r="AR59" s="117">
        <f t="shared" si="177"/>
        <v>0.0397542121991246</v>
      </c>
      <c r="AS59" s="117">
        <f t="shared" si="177"/>
        <v>0.0509056777967343</v>
      </c>
      <c r="AT59" s="117">
        <f t="shared" si="177"/>
        <v>0.0331150500206178</v>
      </c>
      <c r="AU59" s="117">
        <f t="shared" si="177"/>
        <v>0.047595603930939</v>
      </c>
      <c r="AV59" s="117">
        <f t="shared" si="177"/>
        <v>0.0299862980363023</v>
      </c>
      <c r="AW59" s="117">
        <f t="shared" si="177"/>
        <v>0.0367344990545704</v>
      </c>
      <c r="AX59" s="117">
        <f t="shared" si="177"/>
        <v>0.0452841542430955</v>
      </c>
      <c r="AY59" s="117">
        <f t="shared" si="177"/>
        <v>0.0474340708709062</v>
      </c>
      <c r="AZ59" s="117">
        <f t="shared" si="177"/>
        <v>0.0300633932221248</v>
      </c>
      <c r="BA59" s="117">
        <f t="shared" si="177"/>
        <v>0.0239347459259484</v>
      </c>
      <c r="BB59" s="117">
        <f t="shared" si="177"/>
        <v>0.0118326116497153</v>
      </c>
      <c r="BC59" s="9">
        <f t="shared" si="177"/>
        <v>0.0352035746639555</v>
      </c>
      <c r="BD59" s="117">
        <f t="shared" si="177"/>
        <v>0.0259541148708023</v>
      </c>
      <c r="BE59" s="117">
        <f t="shared" si="177"/>
        <v>0.030480171786081</v>
      </c>
      <c r="BF59" s="117">
        <f t="shared" si="177"/>
        <v>0.0226002595214898</v>
      </c>
      <c r="BG59" s="117">
        <f t="shared" si="177"/>
        <v>0.0185426838890323</v>
      </c>
      <c r="BH59" s="117">
        <f t="shared" si="177"/>
        <v>0.0271102871550172</v>
      </c>
      <c r="BI59" s="117">
        <f t="shared" si="177"/>
        <v>0.0212272492084027</v>
      </c>
      <c r="BJ59" s="117">
        <f t="shared" si="177"/>
        <v>0.0264912942878223</v>
      </c>
      <c r="BK59" s="117">
        <f t="shared" si="177"/>
        <v>0.0425477910138116</v>
      </c>
      <c r="BL59" s="117">
        <f t="shared" si="177"/>
        <v>0.0343365322308326</v>
      </c>
      <c r="BM59" s="117">
        <f t="shared" si="177"/>
        <v>0.0224669314197956</v>
      </c>
      <c r="BN59" s="117">
        <f t="shared" si="177"/>
        <v>0.0174832269118526</v>
      </c>
      <c r="BO59" s="117">
        <f t="shared" si="177"/>
        <v>0.0118007253780671</v>
      </c>
      <c r="BP59" s="9">
        <f t="shared" ref="BP59:CU59" si="178">BP19/BP$39</f>
        <v>0.0254685479148236</v>
      </c>
      <c r="BQ59" s="117">
        <f t="shared" si="178"/>
        <v>0.0243210990373823</v>
      </c>
      <c r="BR59" s="117">
        <f t="shared" si="178"/>
        <v>0.0235337504173385</v>
      </c>
      <c r="BS59" s="117">
        <f t="shared" si="178"/>
        <v>0.021373722141025</v>
      </c>
      <c r="BT59" s="117">
        <f t="shared" si="178"/>
        <v>0.0227991788314127</v>
      </c>
      <c r="BU59" s="117">
        <f t="shared" si="178"/>
        <v>0.0283867276122427</v>
      </c>
      <c r="BV59" s="117">
        <f t="shared" si="178"/>
        <v>0.0238778800856607</v>
      </c>
      <c r="BW59" s="117">
        <f t="shared" si="178"/>
        <v>0.0221092099326725</v>
      </c>
      <c r="BX59" s="117">
        <f t="shared" si="178"/>
        <v>0.0367869683655682</v>
      </c>
      <c r="BY59" s="117">
        <f t="shared" si="178"/>
        <v>0.0253487166982352</v>
      </c>
      <c r="BZ59" s="117">
        <f t="shared" si="178"/>
        <v>0.0194307514643973</v>
      </c>
      <c r="CA59" s="117">
        <f t="shared" si="178"/>
        <v>0.0177254776573317</v>
      </c>
      <c r="CB59" s="117">
        <f t="shared" si="178"/>
        <v>0.0106270509660983</v>
      </c>
      <c r="CC59" s="9">
        <f t="shared" si="178"/>
        <v>0.023090897093371</v>
      </c>
      <c r="CD59" s="117">
        <f t="shared" si="178"/>
        <v>0.0125429430061361</v>
      </c>
      <c r="CE59" s="117">
        <f t="shared" si="178"/>
        <v>0.0400285623075059</v>
      </c>
      <c r="CF59" s="117">
        <f t="shared" si="178"/>
        <v>0.0306132037113135</v>
      </c>
      <c r="CG59" s="117">
        <f t="shared" si="178"/>
        <v>0.0306741757870224</v>
      </c>
      <c r="CH59" s="117">
        <f t="shared" si="178"/>
        <v>0.0339888199511089</v>
      </c>
      <c r="CI59" s="117">
        <f t="shared" si="178"/>
        <v>0.0330405501546235</v>
      </c>
      <c r="CJ59" s="117">
        <f t="shared" si="178"/>
        <v>0.0382334922226308</v>
      </c>
      <c r="CK59" s="117">
        <f t="shared" si="178"/>
        <v>0.0489915593497844</v>
      </c>
      <c r="CL59" s="117">
        <f t="shared" si="178"/>
        <v>0.0625484804614179</v>
      </c>
      <c r="CM59" s="117">
        <f t="shared" si="178"/>
        <v>0.0423635083186958</v>
      </c>
      <c r="CN59" s="117">
        <f t="shared" si="178"/>
        <v>0.0261620466217655</v>
      </c>
      <c r="CO59" s="117">
        <f t="shared" si="178"/>
        <v>0.0152981416622541</v>
      </c>
      <c r="CP59" s="9">
        <f t="shared" si="178"/>
        <v>0.0340499930473628</v>
      </c>
      <c r="CQ59" s="117">
        <f t="shared" si="178"/>
        <v>0.026883301780544</v>
      </c>
      <c r="CR59" s="117">
        <f t="shared" si="178"/>
        <v>0.0292355652341764</v>
      </c>
      <c r="CS59" s="117">
        <f t="shared" si="178"/>
        <v>0.0224130751526011</v>
      </c>
      <c r="CT59" s="117">
        <f t="shared" si="178"/>
        <v>0.0174634879155753</v>
      </c>
      <c r="CU59" s="117">
        <f t="shared" si="178"/>
        <v>0.0252072488220039</v>
      </c>
      <c r="CV59" s="117">
        <f t="shared" ref="CV59:EA59" si="179">CV19/CV$39</f>
        <v>0.019979587148627</v>
      </c>
      <c r="CW59" s="117">
        <f t="shared" si="179"/>
        <v>0.0198075742939328</v>
      </c>
      <c r="CX59" s="117">
        <f t="shared" si="179"/>
        <v>0.0381726165428716</v>
      </c>
      <c r="CY59" s="117">
        <f t="shared" si="179"/>
        <v>0.0325058533136975</v>
      </c>
      <c r="CZ59" s="117">
        <f t="shared" si="179"/>
        <v>0.02042555870432</v>
      </c>
      <c r="DA59" s="117">
        <f t="shared" si="179"/>
        <v>0.0175124069587911</v>
      </c>
      <c r="DB59" s="117">
        <f t="shared" si="179"/>
        <v>0.00923508468776882</v>
      </c>
      <c r="DC59" s="9">
        <f t="shared" si="179"/>
        <v>0.0236694078669918</v>
      </c>
      <c r="DD59" s="117">
        <f t="shared" si="179"/>
        <v>0.0115376238616362</v>
      </c>
      <c r="DE59" s="117">
        <f t="shared" si="179"/>
        <v>0.0129226120991689</v>
      </c>
      <c r="DF59" s="117">
        <f t="shared" si="179"/>
        <v>0.0130942548608416</v>
      </c>
      <c r="DG59" s="117">
        <f t="shared" si="179"/>
        <v>0.0165212715581041</v>
      </c>
      <c r="DH59" s="117">
        <f t="shared" si="179"/>
        <v>0.0186955590664389</v>
      </c>
      <c r="DI59" s="117">
        <f t="shared" si="179"/>
        <v>0.0248012231966951</v>
      </c>
      <c r="DJ59" s="117">
        <f t="shared" si="179"/>
        <v>0.0273347729245942</v>
      </c>
      <c r="DK59" s="117">
        <f t="shared" si="179"/>
        <v>0.0351139807725615</v>
      </c>
      <c r="DL59" s="117">
        <f t="shared" si="179"/>
        <v>0.0334062799113845</v>
      </c>
      <c r="DM59" s="117">
        <f t="shared" si="179"/>
        <v>0.0338740994686476</v>
      </c>
      <c r="DN59" s="117">
        <f t="shared" si="179"/>
        <v>0.0200871343564023</v>
      </c>
      <c r="DO59" s="117">
        <f t="shared" si="179"/>
        <v>0.0130505793940396</v>
      </c>
      <c r="DP59" s="9">
        <f t="shared" si="179"/>
        <v>0.0208780790480543</v>
      </c>
      <c r="DQ59" s="117">
        <f t="shared" si="179"/>
        <v>0.0194336761635104</v>
      </c>
      <c r="DR59" s="117">
        <f t="shared" si="179"/>
        <v>0.0250945067153074</v>
      </c>
      <c r="DS59" s="117">
        <f t="shared" si="179"/>
        <v>0.0214745964500205</v>
      </c>
      <c r="DT59" s="117">
        <f t="shared" si="179"/>
        <v>0.0181444110147611</v>
      </c>
      <c r="DU59" s="117">
        <f t="shared" si="179"/>
        <v>0.0239764633699971</v>
      </c>
      <c r="DV59" s="117">
        <f t="shared" si="179"/>
        <v>0.0232245680737574</v>
      </c>
      <c r="DW59" s="117">
        <f t="shared" si="179"/>
        <v>0.0189300440209134</v>
      </c>
      <c r="DX59" s="117">
        <f t="shared" si="179"/>
        <v>0.0242896458227946</v>
      </c>
      <c r="DY59" s="117">
        <f t="shared" si="179"/>
        <v>0.0290143812927728</v>
      </c>
      <c r="DZ59" s="117">
        <f t="shared" si="179"/>
        <v>0.0139549763870796</v>
      </c>
      <c r="EA59" s="117">
        <f t="shared" si="179"/>
        <v>0.00883700330304861</v>
      </c>
      <c r="EB59" s="117">
        <f t="shared" ref="EB59:FT59" si="180">EB19/EB$39</f>
        <v>0.00467431574374607</v>
      </c>
      <c r="EC59" s="117">
        <f t="shared" si="180"/>
        <v>0.0194689151917781</v>
      </c>
      <c r="ED59" s="118">
        <f t="shared" si="180"/>
        <v>0.0111099666771102</v>
      </c>
      <c r="EE59" s="117">
        <f t="shared" si="180"/>
        <v>0.0398813647367216</v>
      </c>
      <c r="EF59" s="117">
        <f t="shared" si="180"/>
        <v>0</v>
      </c>
      <c r="EG59" s="117">
        <f t="shared" si="180"/>
        <v>0</v>
      </c>
      <c r="EH59" s="117" t="e">
        <f t="shared" si="180"/>
        <v>#DIV/0!</v>
      </c>
      <c r="EI59" s="117" t="e">
        <f t="shared" si="180"/>
        <v>#DIV/0!</v>
      </c>
      <c r="EJ59" s="117" t="e">
        <f t="shared" si="180"/>
        <v>#DIV/0!</v>
      </c>
      <c r="EK59" s="117" t="e">
        <f t="shared" si="180"/>
        <v>#DIV/0!</v>
      </c>
      <c r="EL59" s="117" t="e">
        <f t="shared" si="180"/>
        <v>#DIV/0!</v>
      </c>
      <c r="EM59" s="117" t="e">
        <f t="shared" si="180"/>
        <v>#DIV/0!</v>
      </c>
      <c r="EN59" s="117" t="e">
        <f t="shared" si="180"/>
        <v>#DIV/0!</v>
      </c>
      <c r="EO59" s="117" t="e">
        <f t="shared" si="180"/>
        <v>#DIV/0!</v>
      </c>
      <c r="EP59" s="9">
        <f t="shared" si="180"/>
        <v>0.0151326874982139</v>
      </c>
      <c r="EQ59" s="117">
        <f t="shared" si="180"/>
        <v>0.0278764333633852</v>
      </c>
      <c r="ER59" s="117">
        <f t="shared" si="180"/>
        <v>0.021341535950068</v>
      </c>
      <c r="ES59" s="117">
        <f t="shared" si="180"/>
        <v>0.0163815940848419</v>
      </c>
      <c r="ET59" s="117">
        <f t="shared" si="180"/>
        <v>0.0163843167060849</v>
      </c>
      <c r="EU59" s="117">
        <f t="shared" si="180"/>
        <v>0.0233007978715901</v>
      </c>
      <c r="EV59" s="117">
        <f t="shared" si="180"/>
        <v>0.0355133794459783</v>
      </c>
      <c r="EW59" s="117">
        <f t="shared" si="180"/>
        <v>0.035735879852294</v>
      </c>
      <c r="EX59" s="117">
        <f t="shared" si="180"/>
        <v>0.0467939352635938</v>
      </c>
      <c r="EY59" s="117">
        <f t="shared" si="180"/>
        <v>0.0485107400807856</v>
      </c>
      <c r="EZ59" s="117">
        <f t="shared" si="180"/>
        <v>0.0328815138018315</v>
      </c>
      <c r="FA59" s="117">
        <f t="shared" si="180"/>
        <v>0.0161546479870439</v>
      </c>
      <c r="FB59" s="117">
        <f t="shared" si="180"/>
        <v>0.0282437152439191</v>
      </c>
      <c r="FC59" s="117">
        <f t="shared" si="180"/>
        <v>0.0293158210153997</v>
      </c>
      <c r="FD59" s="118"/>
      <c r="FE59" s="117"/>
      <c r="FF59" s="117"/>
      <c r="FG59" s="117"/>
      <c r="FH59" s="117"/>
      <c r="FI59" s="117"/>
      <c r="FJ59" s="117"/>
      <c r="FK59" s="117"/>
      <c r="FL59" s="117"/>
      <c r="FM59" s="117"/>
      <c r="FN59" s="117"/>
      <c r="FO59" s="117"/>
      <c r="FP59" s="9"/>
      <c r="FQ59" s="118">
        <f t="shared" si="180"/>
        <v>0.0123025508985315</v>
      </c>
      <c r="FR59" s="117">
        <f t="shared" si="180"/>
        <v>0.0112899355936315</v>
      </c>
      <c r="FS59" s="117">
        <f t="shared" si="180"/>
        <v>0.00846911687835935</v>
      </c>
      <c r="FT59" s="117">
        <f t="shared" si="180"/>
        <v>0.0153728135521893</v>
      </c>
      <c r="FU59" s="117">
        <f t="shared" ref="FU59:GC59" si="181">FU19/FU$39</f>
        <v>0.0202478847076568</v>
      </c>
      <c r="FV59" s="117">
        <f t="shared" si="181"/>
        <v>0.017179460710814</v>
      </c>
      <c r="FW59" s="117">
        <f t="shared" si="181"/>
        <v>0.0163672654931837</v>
      </c>
      <c r="FX59" s="117">
        <f t="shared" si="181"/>
        <v>0.0184507356152001</v>
      </c>
      <c r="FY59" s="117">
        <f t="shared" si="181"/>
        <v>0.0152585272283239</v>
      </c>
      <c r="FZ59" s="117">
        <f t="shared" si="181"/>
        <v>0.0171987147945017</v>
      </c>
      <c r="GA59" s="117">
        <f t="shared" si="181"/>
        <v>0.00525520445439485</v>
      </c>
      <c r="GB59" s="117">
        <f t="shared" si="181"/>
        <v>0.0056406252692463</v>
      </c>
      <c r="GC59" s="9">
        <f t="shared" si="181"/>
        <v>0.0129727736610134</v>
      </c>
    </row>
    <row r="60" customHeight="1" spans="1:185">
      <c r="A60" s="114"/>
      <c r="B60" s="115" t="s">
        <v>413</v>
      </c>
      <c r="C60" s="116">
        <f t="shared" si="87"/>
        <v>-0.336477683406418</v>
      </c>
      <c r="D60" s="117">
        <f t="shared" ref="D60:AI60" si="182">D20/D$39</f>
        <v>0.00888172284285558</v>
      </c>
      <c r="E60" s="117">
        <f t="shared" si="182"/>
        <v>0.00840487027461916</v>
      </c>
      <c r="F60" s="117">
        <f t="shared" si="182"/>
        <v>0.0084215586151002</v>
      </c>
      <c r="G60" s="117">
        <f t="shared" si="182"/>
        <v>0.0178565247583418</v>
      </c>
      <c r="H60" s="117">
        <f t="shared" si="182"/>
        <v>0.0157668614243723</v>
      </c>
      <c r="I60" s="117">
        <f t="shared" si="182"/>
        <v>0.011755683790193</v>
      </c>
      <c r="J60" s="117">
        <f t="shared" si="182"/>
        <v>0.00827087329689105</v>
      </c>
      <c r="K60" s="117">
        <f t="shared" si="182"/>
        <v>0.0190043640147902</v>
      </c>
      <c r="L60" s="117">
        <f t="shared" si="182"/>
        <v>0.01900245482417</v>
      </c>
      <c r="M60" s="117">
        <f t="shared" si="182"/>
        <v>0.0168413023805125</v>
      </c>
      <c r="N60" s="117">
        <f t="shared" si="182"/>
        <v>0.0162775916983473</v>
      </c>
      <c r="O60" s="117">
        <f t="shared" si="182"/>
        <v>0.00807975984662125</v>
      </c>
      <c r="P60" s="9">
        <f t="shared" si="182"/>
        <v>0.013011412594887</v>
      </c>
      <c r="Q60" s="117">
        <f t="shared" si="182"/>
        <v>0.00207414122076812</v>
      </c>
      <c r="R60" s="117">
        <f t="shared" si="182"/>
        <v>0.00372571880935379</v>
      </c>
      <c r="S60" s="117">
        <f t="shared" si="182"/>
        <v>0.0020760590232383</v>
      </c>
      <c r="T60" s="117">
        <f t="shared" si="182"/>
        <v>0.00760227659813566</v>
      </c>
      <c r="U60" s="117">
        <f t="shared" si="182"/>
        <v>0.00770778984058547</v>
      </c>
      <c r="V60" s="117">
        <f t="shared" si="182"/>
        <v>0.00959344801033639</v>
      </c>
      <c r="W60" s="117">
        <f t="shared" si="182"/>
        <v>0.00862408563655867</v>
      </c>
      <c r="X60" s="117">
        <f t="shared" si="182"/>
        <v>0.0244033564690285</v>
      </c>
      <c r="Y60" s="117">
        <f t="shared" si="182"/>
        <v>0.0210286021886431</v>
      </c>
      <c r="Z60" s="117">
        <f t="shared" si="182"/>
        <v>0.00863180698337539</v>
      </c>
      <c r="AA60" s="117">
        <f t="shared" si="182"/>
        <v>0.0110335671657871</v>
      </c>
      <c r="AB60" s="117">
        <f t="shared" si="182"/>
        <v>0.00898918758266685</v>
      </c>
      <c r="AC60" s="9">
        <f t="shared" si="182"/>
        <v>0.00970599444926735</v>
      </c>
      <c r="AD60" s="117">
        <f t="shared" si="182"/>
        <v>0.00218491182814296</v>
      </c>
      <c r="AE60" s="117">
        <f t="shared" si="182"/>
        <v>0.00118998151134698</v>
      </c>
      <c r="AF60" s="117">
        <f t="shared" si="182"/>
        <v>0.000930558213287988</v>
      </c>
      <c r="AG60" s="117">
        <f t="shared" si="182"/>
        <v>0.00656949144663979</v>
      </c>
      <c r="AH60" s="117">
        <f t="shared" si="182"/>
        <v>0.00588938576956529</v>
      </c>
      <c r="AI60" s="117">
        <f t="shared" si="182"/>
        <v>0.0075111784329116</v>
      </c>
      <c r="AJ60" s="117">
        <f t="shared" ref="AJ60:BO60" si="183">AJ20/AJ$39</f>
        <v>0.00650516098203064</v>
      </c>
      <c r="AK60" s="117">
        <f t="shared" si="183"/>
        <v>0.0291848649328937</v>
      </c>
      <c r="AL60" s="117">
        <f t="shared" si="183"/>
        <v>0.0188534929893223</v>
      </c>
      <c r="AM60" s="117">
        <f t="shared" si="183"/>
        <v>0.00831623245164012</v>
      </c>
      <c r="AN60" s="117">
        <f t="shared" si="183"/>
        <v>0.00974393570194222</v>
      </c>
      <c r="AO60" s="117">
        <f t="shared" si="183"/>
        <v>0.00964800715696553</v>
      </c>
      <c r="AP60" s="9">
        <f t="shared" si="183"/>
        <v>0.00966240035508476</v>
      </c>
      <c r="AQ60" s="117">
        <f t="shared" si="183"/>
        <v>0.00451686638816992</v>
      </c>
      <c r="AR60" s="117">
        <f t="shared" si="183"/>
        <v>0.00409119438781078</v>
      </c>
      <c r="AS60" s="117">
        <f t="shared" si="183"/>
        <v>0.00266964837173389</v>
      </c>
      <c r="AT60" s="117">
        <f t="shared" si="183"/>
        <v>0.00602990179042381</v>
      </c>
      <c r="AU60" s="117">
        <f t="shared" si="183"/>
        <v>0.00768129321327312</v>
      </c>
      <c r="AV60" s="117">
        <f t="shared" si="183"/>
        <v>0.00490001670704687</v>
      </c>
      <c r="AW60" s="117">
        <f t="shared" si="183"/>
        <v>0.00372838631009563</v>
      </c>
      <c r="AX60" s="117">
        <f t="shared" si="183"/>
        <v>0.0104859223551579</v>
      </c>
      <c r="AY60" s="117">
        <f t="shared" si="183"/>
        <v>0.0103668159203708</v>
      </c>
      <c r="AZ60" s="117">
        <f t="shared" si="183"/>
        <v>0.00970444709605106</v>
      </c>
      <c r="BA60" s="117">
        <f t="shared" si="183"/>
        <v>0.0127891742163185</v>
      </c>
      <c r="BB60" s="117">
        <f t="shared" si="183"/>
        <v>0.00200060578529964</v>
      </c>
      <c r="BC60" s="9">
        <f t="shared" si="183"/>
        <v>0.00666407356061196</v>
      </c>
      <c r="BD60" s="117">
        <f t="shared" si="183"/>
        <v>0.0150320703152741</v>
      </c>
      <c r="BE60" s="117">
        <f t="shared" si="183"/>
        <v>0.00998240432579658</v>
      </c>
      <c r="BF60" s="117">
        <f t="shared" si="183"/>
        <v>0.014920082530631</v>
      </c>
      <c r="BG60" s="117">
        <f t="shared" si="183"/>
        <v>0.0339508937062015</v>
      </c>
      <c r="BH60" s="117">
        <f t="shared" si="183"/>
        <v>0.0321145578293955</v>
      </c>
      <c r="BI60" s="117">
        <f t="shared" si="183"/>
        <v>0.0197485957279249</v>
      </c>
      <c r="BJ60" s="117">
        <f t="shared" si="183"/>
        <v>0.0124872740880193</v>
      </c>
      <c r="BK60" s="117">
        <f t="shared" si="183"/>
        <v>0.0204361546141836</v>
      </c>
      <c r="BL60" s="117">
        <f t="shared" si="183"/>
        <v>0.0217586121408316</v>
      </c>
      <c r="BM60" s="117">
        <f t="shared" si="183"/>
        <v>0.0242841195368366</v>
      </c>
      <c r="BN60" s="117">
        <f t="shared" si="183"/>
        <v>0.0232538351831565</v>
      </c>
      <c r="BO60" s="117">
        <f t="shared" si="183"/>
        <v>0.010093476286019</v>
      </c>
      <c r="BP60" s="9">
        <f t="shared" ref="BP60:CU60" si="184">BP20/BP$39</f>
        <v>0.0189895713514264</v>
      </c>
      <c r="BQ60" s="117">
        <f t="shared" si="184"/>
        <v>0.0175696756699449</v>
      </c>
      <c r="BR60" s="117">
        <f t="shared" si="184"/>
        <v>0.0163838559686206</v>
      </c>
      <c r="BS60" s="117">
        <f t="shared" si="184"/>
        <v>0.0128321803569047</v>
      </c>
      <c r="BT60" s="117">
        <f t="shared" si="184"/>
        <v>0.0163092721084422</v>
      </c>
      <c r="BU60" s="117">
        <f t="shared" si="184"/>
        <v>0.025037985567471</v>
      </c>
      <c r="BV60" s="117">
        <f t="shared" si="184"/>
        <v>0.0177483492693679</v>
      </c>
      <c r="BW60" s="117">
        <f t="shared" si="184"/>
        <v>0.0104039996307279</v>
      </c>
      <c r="BX60" s="117">
        <f t="shared" si="184"/>
        <v>0.0208383685050725</v>
      </c>
      <c r="BY60" s="117">
        <f t="shared" si="184"/>
        <v>0.0196771685812789</v>
      </c>
      <c r="BZ60" s="117">
        <f t="shared" si="184"/>
        <v>0.0191856307845842</v>
      </c>
      <c r="CA60" s="117">
        <f t="shared" si="184"/>
        <v>0.0241503023452113</v>
      </c>
      <c r="CB60" s="117">
        <f t="shared" si="184"/>
        <v>0.0129948050634071</v>
      </c>
      <c r="CC60" s="9">
        <f t="shared" si="184"/>
        <v>0.0177046076909963</v>
      </c>
      <c r="CD60" s="117">
        <f t="shared" si="184"/>
        <v>0.00716933293171821</v>
      </c>
      <c r="CE60" s="117">
        <f t="shared" si="184"/>
        <v>0.0142817231864354</v>
      </c>
      <c r="CF60" s="117">
        <f t="shared" si="184"/>
        <v>0.0106661165301246</v>
      </c>
      <c r="CG60" s="117">
        <f t="shared" si="184"/>
        <v>0.0173205483768695</v>
      </c>
      <c r="CH60" s="117">
        <f t="shared" si="184"/>
        <v>0.0122951811875854</v>
      </c>
      <c r="CI60" s="117">
        <f t="shared" si="184"/>
        <v>0.0143112294491821</v>
      </c>
      <c r="CJ60" s="117">
        <f t="shared" si="184"/>
        <v>0.014113766292841</v>
      </c>
      <c r="CK60" s="117">
        <f t="shared" si="184"/>
        <v>0.0211091929621377</v>
      </c>
      <c r="CL60" s="117">
        <f t="shared" si="184"/>
        <v>0.0328619914544945</v>
      </c>
      <c r="CM60" s="117">
        <f t="shared" si="184"/>
        <v>0.0382738338240862</v>
      </c>
      <c r="CN60" s="117">
        <f t="shared" si="184"/>
        <v>0.0236752439973467</v>
      </c>
      <c r="CO60" s="117">
        <f t="shared" si="184"/>
        <v>0.0194397533082415</v>
      </c>
      <c r="CP60" s="9">
        <f t="shared" si="184"/>
        <v>0.0188275152807901</v>
      </c>
      <c r="CQ60" s="117">
        <f t="shared" si="184"/>
        <v>0.0117357700479485</v>
      </c>
      <c r="CR60" s="117">
        <f t="shared" si="184"/>
        <v>0.0131898134014008</v>
      </c>
      <c r="CS60" s="117">
        <f t="shared" si="184"/>
        <v>0.0146169637923395</v>
      </c>
      <c r="CT60" s="117">
        <f t="shared" si="184"/>
        <v>0.0287014276933695</v>
      </c>
      <c r="CU60" s="117">
        <f t="shared" si="184"/>
        <v>0.0195409379299917</v>
      </c>
      <c r="CV60" s="117">
        <f t="shared" ref="CV60:EA60" si="185">CV20/CV$39</f>
        <v>0.015114979460325</v>
      </c>
      <c r="CW60" s="117">
        <f t="shared" si="185"/>
        <v>0.00934557912805983</v>
      </c>
      <c r="CX60" s="117">
        <f t="shared" si="185"/>
        <v>0.0179979442378403</v>
      </c>
      <c r="CY60" s="117">
        <f t="shared" si="185"/>
        <v>0.0241124974998176</v>
      </c>
      <c r="CZ60" s="117">
        <f t="shared" si="185"/>
        <v>0.0272124766093004</v>
      </c>
      <c r="DA60" s="117">
        <f t="shared" si="185"/>
        <v>0.0225178344330428</v>
      </c>
      <c r="DB60" s="117">
        <f t="shared" si="185"/>
        <v>0.00998911005674341</v>
      </c>
      <c r="DC60" s="9">
        <f t="shared" si="185"/>
        <v>0.0174519067433206</v>
      </c>
      <c r="DD60" s="117">
        <f t="shared" si="185"/>
        <v>0.0129986750706356</v>
      </c>
      <c r="DE60" s="117">
        <f t="shared" si="185"/>
        <v>0.00834106620243239</v>
      </c>
      <c r="DF60" s="117">
        <f t="shared" si="185"/>
        <v>0.0130054650830669</v>
      </c>
      <c r="DG60" s="117">
        <f t="shared" si="185"/>
        <v>0.0165413418711709</v>
      </c>
      <c r="DH60" s="117">
        <f t="shared" si="185"/>
        <v>0.0189790148330944</v>
      </c>
      <c r="DI60" s="117">
        <f t="shared" si="185"/>
        <v>0.020234788583106</v>
      </c>
      <c r="DJ60" s="117">
        <f t="shared" si="185"/>
        <v>0.0129138485682603</v>
      </c>
      <c r="DK60" s="117">
        <f t="shared" si="185"/>
        <v>0.0208712672900195</v>
      </c>
      <c r="DL60" s="117">
        <f t="shared" si="185"/>
        <v>0.031589882434201</v>
      </c>
      <c r="DM60" s="117">
        <f t="shared" si="185"/>
        <v>0.0296543252002444</v>
      </c>
      <c r="DN60" s="117">
        <f t="shared" si="185"/>
        <v>0.031518623552434</v>
      </c>
      <c r="DO60" s="117">
        <f t="shared" si="185"/>
        <v>0.0328261266569498</v>
      </c>
      <c r="DP60" s="9">
        <f t="shared" si="185"/>
        <v>0.0198785384179705</v>
      </c>
      <c r="DQ60" s="117">
        <f t="shared" si="185"/>
        <v>0.0065293915595049</v>
      </c>
      <c r="DR60" s="117">
        <f t="shared" si="185"/>
        <v>0.0106419900485431</v>
      </c>
      <c r="DS60" s="117">
        <f t="shared" si="185"/>
        <v>0.00917605805199679</v>
      </c>
      <c r="DT60" s="117">
        <f t="shared" si="185"/>
        <v>0.0162681183681271</v>
      </c>
      <c r="DU60" s="117">
        <f t="shared" si="185"/>
        <v>0.0140613081905586</v>
      </c>
      <c r="DV60" s="117">
        <f t="shared" si="185"/>
        <v>0.016632989725202</v>
      </c>
      <c r="DW60" s="117">
        <f t="shared" si="185"/>
        <v>0.012505866148752</v>
      </c>
      <c r="DX60" s="117">
        <f t="shared" si="185"/>
        <v>0.017152500010183</v>
      </c>
      <c r="DY60" s="117">
        <f t="shared" si="185"/>
        <v>0.0198315632732768</v>
      </c>
      <c r="DZ60" s="117">
        <f t="shared" si="185"/>
        <v>0.0141482834699247</v>
      </c>
      <c r="EA60" s="117">
        <f t="shared" si="185"/>
        <v>0.0251636478261723</v>
      </c>
      <c r="EB60" s="117">
        <f t="shared" ref="EB60:FT60" si="186">EB20/EB$39</f>
        <v>0.0122569431029141</v>
      </c>
      <c r="EC60" s="117">
        <f t="shared" si="186"/>
        <v>0.0141057716569794</v>
      </c>
      <c r="ED60" s="118">
        <f t="shared" si="186"/>
        <v>0.00176978372669361</v>
      </c>
      <c r="EE60" s="117">
        <f t="shared" si="186"/>
        <v>0</v>
      </c>
      <c r="EF60" s="117">
        <f t="shared" si="186"/>
        <v>0</v>
      </c>
      <c r="EG60" s="117">
        <f t="shared" si="186"/>
        <v>0</v>
      </c>
      <c r="EH60" s="117" t="e">
        <f t="shared" si="186"/>
        <v>#DIV/0!</v>
      </c>
      <c r="EI60" s="117" t="e">
        <f t="shared" si="186"/>
        <v>#DIV/0!</v>
      </c>
      <c r="EJ60" s="117" t="e">
        <f t="shared" si="186"/>
        <v>#DIV/0!</v>
      </c>
      <c r="EK60" s="117" t="e">
        <f t="shared" si="186"/>
        <v>#DIV/0!</v>
      </c>
      <c r="EL60" s="117" t="e">
        <f t="shared" si="186"/>
        <v>#DIV/0!</v>
      </c>
      <c r="EM60" s="117" t="e">
        <f t="shared" si="186"/>
        <v>#DIV/0!</v>
      </c>
      <c r="EN60" s="117" t="e">
        <f t="shared" si="186"/>
        <v>#DIV/0!</v>
      </c>
      <c r="EO60" s="117" t="e">
        <f t="shared" si="186"/>
        <v>#DIV/0!</v>
      </c>
      <c r="EP60" s="9">
        <f t="shared" si="186"/>
        <v>0.00144698516431162</v>
      </c>
      <c r="EQ60" s="117">
        <f t="shared" si="186"/>
        <v>0.007477908323587</v>
      </c>
      <c r="ER60" s="117">
        <f t="shared" si="186"/>
        <v>0.00914456885545444</v>
      </c>
      <c r="ES60" s="117">
        <f t="shared" si="186"/>
        <v>0.00880030005109503</v>
      </c>
      <c r="ET60" s="117">
        <f t="shared" si="186"/>
        <v>0.0137318447067434</v>
      </c>
      <c r="EU60" s="117">
        <f t="shared" si="186"/>
        <v>0.0138316867523743</v>
      </c>
      <c r="EV60" s="117">
        <f t="shared" si="186"/>
        <v>0.0136630279172946</v>
      </c>
      <c r="EW60" s="117">
        <f t="shared" si="186"/>
        <v>0.0140606402391151</v>
      </c>
      <c r="EX60" s="117">
        <f t="shared" si="186"/>
        <v>0.0275225168528629</v>
      </c>
      <c r="EY60" s="117">
        <f t="shared" si="186"/>
        <v>0.0440430810967775</v>
      </c>
      <c r="EZ60" s="117">
        <f t="shared" si="186"/>
        <v>0.0245377419071179</v>
      </c>
      <c r="FA60" s="117">
        <f t="shared" si="186"/>
        <v>0.0211455865367937</v>
      </c>
      <c r="FB60" s="117">
        <f t="shared" si="186"/>
        <v>0.0233198553749129</v>
      </c>
      <c r="FC60" s="117">
        <f t="shared" si="186"/>
        <v>0.019300041562434</v>
      </c>
      <c r="FD60" s="118"/>
      <c r="FE60" s="117"/>
      <c r="FF60" s="117"/>
      <c r="FG60" s="117"/>
      <c r="FH60" s="117"/>
      <c r="FI60" s="117"/>
      <c r="FJ60" s="117"/>
      <c r="FK60" s="117"/>
      <c r="FL60" s="117"/>
      <c r="FM60" s="117"/>
      <c r="FN60" s="117"/>
      <c r="FO60" s="117"/>
      <c r="FP60" s="9"/>
      <c r="FQ60" s="118">
        <f t="shared" si="186"/>
        <v>0.00616331268963233</v>
      </c>
      <c r="FR60" s="117">
        <f t="shared" si="186"/>
        <v>0.00301314879351225</v>
      </c>
      <c r="FS60" s="117">
        <f t="shared" si="186"/>
        <v>0.00791331932251857</v>
      </c>
      <c r="FT60" s="117">
        <f t="shared" si="186"/>
        <v>0.0243321503526652</v>
      </c>
      <c r="FU60" s="117">
        <f t="shared" ref="FU60:GC60" si="187">FU20/FU$39</f>
        <v>0.0129022586991101</v>
      </c>
      <c r="FV60" s="117">
        <f t="shared" si="187"/>
        <v>0.00461384619952686</v>
      </c>
      <c r="FW60" s="117">
        <f t="shared" si="187"/>
        <v>0.00400568648224171</v>
      </c>
      <c r="FX60" s="117">
        <f t="shared" si="187"/>
        <v>0.0126085524906037</v>
      </c>
      <c r="FY60" s="117">
        <f t="shared" si="187"/>
        <v>0.0121318510051396</v>
      </c>
      <c r="FZ60" s="117">
        <f t="shared" si="187"/>
        <v>0.0173305786489403</v>
      </c>
      <c r="GA60" s="117">
        <f t="shared" si="187"/>
        <v>0.0089194393470173</v>
      </c>
      <c r="GB60" s="117">
        <f t="shared" si="187"/>
        <v>0.00110822170308664</v>
      </c>
      <c r="GC60" s="9">
        <f t="shared" si="187"/>
        <v>0.00920004054519229</v>
      </c>
    </row>
    <row r="61" customHeight="1" spans="1:185">
      <c r="A61" s="114"/>
      <c r="B61" s="115" t="s">
        <v>414</v>
      </c>
      <c r="C61" s="116" t="e">
        <f t="shared" si="87"/>
        <v>#DIV/0!</v>
      </c>
      <c r="D61" s="117">
        <f t="shared" ref="D61:AI61" si="188">D21/D$39</f>
        <v>0</v>
      </c>
      <c r="E61" s="117">
        <f t="shared" si="188"/>
        <v>0</v>
      </c>
      <c r="F61" s="117">
        <f t="shared" si="188"/>
        <v>3.40221627399491e-5</v>
      </c>
      <c r="G61" s="117">
        <f t="shared" si="188"/>
        <v>2.89291136666447e-5</v>
      </c>
      <c r="H61" s="117">
        <f t="shared" si="188"/>
        <v>0</v>
      </c>
      <c r="I61" s="117">
        <f t="shared" si="188"/>
        <v>0</v>
      </c>
      <c r="J61" s="117">
        <f t="shared" si="188"/>
        <v>0</v>
      </c>
      <c r="K61" s="117">
        <f t="shared" si="188"/>
        <v>0</v>
      </c>
      <c r="L61" s="117">
        <f t="shared" si="188"/>
        <v>0</v>
      </c>
      <c r="M61" s="117">
        <f t="shared" si="188"/>
        <v>0</v>
      </c>
      <c r="N61" s="117">
        <f t="shared" si="188"/>
        <v>0</v>
      </c>
      <c r="O61" s="117">
        <f t="shared" si="188"/>
        <v>0</v>
      </c>
      <c r="P61" s="9">
        <f t="shared" si="188"/>
        <v>4.97662226213149e-6</v>
      </c>
      <c r="Q61" s="117">
        <f t="shared" si="188"/>
        <v>0</v>
      </c>
      <c r="R61" s="117">
        <f t="shared" si="188"/>
        <v>0</v>
      </c>
      <c r="S61" s="117">
        <f t="shared" si="188"/>
        <v>0</v>
      </c>
      <c r="T61" s="117">
        <f t="shared" si="188"/>
        <v>0</v>
      </c>
      <c r="U61" s="117">
        <f t="shared" si="188"/>
        <v>0</v>
      </c>
      <c r="V61" s="117">
        <f t="shared" si="188"/>
        <v>0</v>
      </c>
      <c r="W61" s="117">
        <f t="shared" si="188"/>
        <v>0</v>
      </c>
      <c r="X61" s="117">
        <f t="shared" si="188"/>
        <v>0</v>
      </c>
      <c r="Y61" s="117">
        <f t="shared" si="188"/>
        <v>0</v>
      </c>
      <c r="Z61" s="117">
        <f t="shared" si="188"/>
        <v>0</v>
      </c>
      <c r="AA61" s="117">
        <f t="shared" si="188"/>
        <v>0</v>
      </c>
      <c r="AB61" s="117">
        <f t="shared" si="188"/>
        <v>0</v>
      </c>
      <c r="AC61" s="9">
        <f t="shared" si="188"/>
        <v>0</v>
      </c>
      <c r="AD61" s="117">
        <f t="shared" si="188"/>
        <v>0</v>
      </c>
      <c r="AE61" s="117">
        <f t="shared" si="188"/>
        <v>0</v>
      </c>
      <c r="AF61" s="117">
        <f t="shared" si="188"/>
        <v>0</v>
      </c>
      <c r="AG61" s="117">
        <f t="shared" si="188"/>
        <v>0</v>
      </c>
      <c r="AH61" s="117">
        <f t="shared" si="188"/>
        <v>0</v>
      </c>
      <c r="AI61" s="117">
        <f t="shared" si="188"/>
        <v>0</v>
      </c>
      <c r="AJ61" s="117">
        <f t="shared" ref="AJ61:BO61" si="189">AJ21/AJ$39</f>
        <v>0</v>
      </c>
      <c r="AK61" s="117">
        <f t="shared" si="189"/>
        <v>0</v>
      </c>
      <c r="AL61" s="117">
        <f t="shared" si="189"/>
        <v>0</v>
      </c>
      <c r="AM61" s="117">
        <f t="shared" si="189"/>
        <v>0</v>
      </c>
      <c r="AN61" s="117">
        <f t="shared" si="189"/>
        <v>0</v>
      </c>
      <c r="AO61" s="117">
        <f t="shared" si="189"/>
        <v>0</v>
      </c>
      <c r="AP61" s="9">
        <f t="shared" si="189"/>
        <v>0</v>
      </c>
      <c r="AQ61" s="117">
        <f t="shared" si="189"/>
        <v>0</v>
      </c>
      <c r="AR61" s="117">
        <f t="shared" si="189"/>
        <v>0</v>
      </c>
      <c r="AS61" s="117">
        <f t="shared" si="189"/>
        <v>0</v>
      </c>
      <c r="AT61" s="117">
        <f t="shared" si="189"/>
        <v>0</v>
      </c>
      <c r="AU61" s="117">
        <f t="shared" si="189"/>
        <v>0</v>
      </c>
      <c r="AV61" s="117">
        <f t="shared" si="189"/>
        <v>0</v>
      </c>
      <c r="AW61" s="117">
        <f t="shared" si="189"/>
        <v>0</v>
      </c>
      <c r="AX61" s="117">
        <f t="shared" si="189"/>
        <v>0</v>
      </c>
      <c r="AY61" s="117">
        <f t="shared" si="189"/>
        <v>0</v>
      </c>
      <c r="AZ61" s="117">
        <f t="shared" si="189"/>
        <v>0</v>
      </c>
      <c r="BA61" s="117">
        <f t="shared" si="189"/>
        <v>0</v>
      </c>
      <c r="BB61" s="117">
        <f t="shared" si="189"/>
        <v>0</v>
      </c>
      <c r="BC61" s="9">
        <f t="shared" si="189"/>
        <v>0</v>
      </c>
      <c r="BD61" s="117">
        <f t="shared" si="189"/>
        <v>0</v>
      </c>
      <c r="BE61" s="117">
        <f t="shared" si="189"/>
        <v>0</v>
      </c>
      <c r="BF61" s="117">
        <f t="shared" si="189"/>
        <v>0</v>
      </c>
      <c r="BG61" s="117">
        <f t="shared" si="189"/>
        <v>0</v>
      </c>
      <c r="BH61" s="117">
        <f t="shared" si="189"/>
        <v>0</v>
      </c>
      <c r="BI61" s="117">
        <f t="shared" si="189"/>
        <v>0</v>
      </c>
      <c r="BJ61" s="117">
        <f t="shared" si="189"/>
        <v>0</v>
      </c>
      <c r="BK61" s="117">
        <f t="shared" si="189"/>
        <v>0</v>
      </c>
      <c r="BL61" s="117">
        <f t="shared" si="189"/>
        <v>0</v>
      </c>
      <c r="BM61" s="117">
        <f t="shared" si="189"/>
        <v>0</v>
      </c>
      <c r="BN61" s="117">
        <f t="shared" si="189"/>
        <v>0</v>
      </c>
      <c r="BO61" s="117">
        <f t="shared" si="189"/>
        <v>0</v>
      </c>
      <c r="BP61" s="9">
        <f t="shared" ref="BP61:CU61" si="190">BP21/BP$39</f>
        <v>0</v>
      </c>
      <c r="BQ61" s="117">
        <f t="shared" si="190"/>
        <v>0</v>
      </c>
      <c r="BR61" s="117">
        <f t="shared" si="190"/>
        <v>0</v>
      </c>
      <c r="BS61" s="117">
        <f t="shared" si="190"/>
        <v>0.000172830024197384</v>
      </c>
      <c r="BT61" s="117">
        <f t="shared" si="190"/>
        <v>0.000154766508815074</v>
      </c>
      <c r="BU61" s="117">
        <f t="shared" si="190"/>
        <v>0</v>
      </c>
      <c r="BV61" s="117">
        <f t="shared" si="190"/>
        <v>0</v>
      </c>
      <c r="BW61" s="117">
        <f t="shared" si="190"/>
        <v>0</v>
      </c>
      <c r="BX61" s="117">
        <f t="shared" si="190"/>
        <v>0</v>
      </c>
      <c r="BY61" s="117">
        <f t="shared" si="190"/>
        <v>0</v>
      </c>
      <c r="BZ61" s="117">
        <f t="shared" si="190"/>
        <v>0</v>
      </c>
      <c r="CA61" s="117">
        <f t="shared" si="190"/>
        <v>0</v>
      </c>
      <c r="CB61" s="117">
        <f t="shared" si="190"/>
        <v>0</v>
      </c>
      <c r="CC61" s="9">
        <f t="shared" si="190"/>
        <v>2.70190845248546e-5</v>
      </c>
      <c r="CD61" s="117">
        <f t="shared" si="190"/>
        <v>0</v>
      </c>
      <c r="CE61" s="117">
        <f t="shared" si="190"/>
        <v>0</v>
      </c>
      <c r="CF61" s="117">
        <f t="shared" si="190"/>
        <v>0</v>
      </c>
      <c r="CG61" s="117">
        <f t="shared" si="190"/>
        <v>0</v>
      </c>
      <c r="CH61" s="117">
        <f t="shared" si="190"/>
        <v>0</v>
      </c>
      <c r="CI61" s="117">
        <f t="shared" si="190"/>
        <v>0</v>
      </c>
      <c r="CJ61" s="117">
        <f t="shared" si="190"/>
        <v>0</v>
      </c>
      <c r="CK61" s="117">
        <f t="shared" si="190"/>
        <v>0</v>
      </c>
      <c r="CL61" s="117">
        <f t="shared" si="190"/>
        <v>0</v>
      </c>
      <c r="CM61" s="117">
        <f t="shared" si="190"/>
        <v>0</v>
      </c>
      <c r="CN61" s="117">
        <f t="shared" si="190"/>
        <v>0</v>
      </c>
      <c r="CO61" s="117">
        <f t="shared" si="190"/>
        <v>0</v>
      </c>
      <c r="CP61" s="9">
        <f t="shared" si="190"/>
        <v>0</v>
      </c>
      <c r="CQ61" s="117">
        <f t="shared" si="190"/>
        <v>0</v>
      </c>
      <c r="CR61" s="117">
        <f t="shared" si="190"/>
        <v>0</v>
      </c>
      <c r="CS61" s="117">
        <f t="shared" si="190"/>
        <v>0</v>
      </c>
      <c r="CT61" s="117">
        <f t="shared" si="190"/>
        <v>0</v>
      </c>
      <c r="CU61" s="117">
        <f t="shared" si="190"/>
        <v>0</v>
      </c>
      <c r="CV61" s="117">
        <f t="shared" ref="CV61:EA61" si="191">CV21/CV$39</f>
        <v>0</v>
      </c>
      <c r="CW61" s="117">
        <f t="shared" si="191"/>
        <v>0</v>
      </c>
      <c r="CX61" s="117">
        <f t="shared" si="191"/>
        <v>0</v>
      </c>
      <c r="CY61" s="117">
        <f t="shared" si="191"/>
        <v>0</v>
      </c>
      <c r="CZ61" s="117">
        <f t="shared" si="191"/>
        <v>0</v>
      </c>
      <c r="DA61" s="117">
        <f t="shared" si="191"/>
        <v>0</v>
      </c>
      <c r="DB61" s="117">
        <f t="shared" si="191"/>
        <v>0</v>
      </c>
      <c r="DC61" s="9">
        <f t="shared" si="191"/>
        <v>0</v>
      </c>
      <c r="DD61" s="117">
        <f t="shared" si="191"/>
        <v>0</v>
      </c>
      <c r="DE61" s="117">
        <f t="shared" si="191"/>
        <v>0</v>
      </c>
      <c r="DF61" s="117">
        <f t="shared" si="191"/>
        <v>0</v>
      </c>
      <c r="DG61" s="117">
        <f t="shared" si="191"/>
        <v>0</v>
      </c>
      <c r="DH61" s="117">
        <f t="shared" si="191"/>
        <v>0</v>
      </c>
      <c r="DI61" s="117">
        <f t="shared" si="191"/>
        <v>0</v>
      </c>
      <c r="DJ61" s="117">
        <f t="shared" si="191"/>
        <v>0</v>
      </c>
      <c r="DK61" s="117">
        <f t="shared" si="191"/>
        <v>0</v>
      </c>
      <c r="DL61" s="117">
        <f t="shared" si="191"/>
        <v>0</v>
      </c>
      <c r="DM61" s="117">
        <f t="shared" si="191"/>
        <v>0</v>
      </c>
      <c r="DN61" s="117">
        <f t="shared" si="191"/>
        <v>0</v>
      </c>
      <c r="DO61" s="117">
        <f t="shared" si="191"/>
        <v>0</v>
      </c>
      <c r="DP61" s="9">
        <f t="shared" si="191"/>
        <v>0</v>
      </c>
      <c r="DQ61" s="117">
        <f t="shared" si="191"/>
        <v>0</v>
      </c>
      <c r="DR61" s="117">
        <f t="shared" si="191"/>
        <v>0</v>
      </c>
      <c r="DS61" s="117">
        <f t="shared" si="191"/>
        <v>0</v>
      </c>
      <c r="DT61" s="117">
        <f t="shared" si="191"/>
        <v>0</v>
      </c>
      <c r="DU61" s="117">
        <f t="shared" si="191"/>
        <v>0</v>
      </c>
      <c r="DV61" s="117">
        <f t="shared" si="191"/>
        <v>0</v>
      </c>
      <c r="DW61" s="117">
        <f t="shared" si="191"/>
        <v>0</v>
      </c>
      <c r="DX61" s="117">
        <f t="shared" si="191"/>
        <v>0</v>
      </c>
      <c r="DY61" s="117">
        <f t="shared" si="191"/>
        <v>0</v>
      </c>
      <c r="DZ61" s="117">
        <f t="shared" si="191"/>
        <v>0</v>
      </c>
      <c r="EA61" s="117">
        <f t="shared" si="191"/>
        <v>0</v>
      </c>
      <c r="EB61" s="117">
        <f t="shared" ref="EB61:FT61" si="192">EB21/EB$39</f>
        <v>0</v>
      </c>
      <c r="EC61" s="117">
        <f t="shared" si="192"/>
        <v>0</v>
      </c>
      <c r="ED61" s="118">
        <f t="shared" si="192"/>
        <v>0</v>
      </c>
      <c r="EE61" s="117">
        <f t="shared" si="192"/>
        <v>0</v>
      </c>
      <c r="EF61" s="117">
        <f t="shared" si="192"/>
        <v>0</v>
      </c>
      <c r="EG61" s="117">
        <f t="shared" si="192"/>
        <v>0</v>
      </c>
      <c r="EH61" s="117" t="e">
        <f t="shared" si="192"/>
        <v>#DIV/0!</v>
      </c>
      <c r="EI61" s="117" t="e">
        <f t="shared" si="192"/>
        <v>#DIV/0!</v>
      </c>
      <c r="EJ61" s="117" t="e">
        <f t="shared" si="192"/>
        <v>#DIV/0!</v>
      </c>
      <c r="EK61" s="117" t="e">
        <f t="shared" si="192"/>
        <v>#DIV/0!</v>
      </c>
      <c r="EL61" s="117" t="e">
        <f t="shared" si="192"/>
        <v>#DIV/0!</v>
      </c>
      <c r="EM61" s="117" t="e">
        <f t="shared" si="192"/>
        <v>#DIV/0!</v>
      </c>
      <c r="EN61" s="117" t="e">
        <f t="shared" si="192"/>
        <v>#DIV/0!</v>
      </c>
      <c r="EO61" s="117" t="e">
        <f t="shared" si="192"/>
        <v>#DIV/0!</v>
      </c>
      <c r="EP61" s="9">
        <f t="shared" si="192"/>
        <v>0</v>
      </c>
      <c r="EQ61" s="117">
        <f t="shared" si="192"/>
        <v>0</v>
      </c>
      <c r="ER61" s="117">
        <f t="shared" si="192"/>
        <v>0</v>
      </c>
      <c r="ES61" s="117">
        <f t="shared" si="192"/>
        <v>0</v>
      </c>
      <c r="ET61" s="117">
        <f t="shared" si="192"/>
        <v>0</v>
      </c>
      <c r="EU61" s="117">
        <f t="shared" si="192"/>
        <v>0</v>
      </c>
      <c r="EV61" s="117">
        <f t="shared" si="192"/>
        <v>0</v>
      </c>
      <c r="EW61" s="117">
        <f t="shared" si="192"/>
        <v>0</v>
      </c>
      <c r="EX61" s="117">
        <f t="shared" si="192"/>
        <v>0</v>
      </c>
      <c r="EY61" s="117">
        <f t="shared" si="192"/>
        <v>0</v>
      </c>
      <c r="EZ61" s="117">
        <f t="shared" si="192"/>
        <v>0</v>
      </c>
      <c r="FA61" s="117">
        <f t="shared" si="192"/>
        <v>0</v>
      </c>
      <c r="FB61" s="117">
        <f t="shared" si="192"/>
        <v>0</v>
      </c>
      <c r="FC61" s="117">
        <f t="shared" si="192"/>
        <v>0</v>
      </c>
      <c r="FD61" s="118"/>
      <c r="FE61" s="117"/>
      <c r="FF61" s="117"/>
      <c r="FG61" s="117"/>
      <c r="FH61" s="117"/>
      <c r="FI61" s="117"/>
      <c r="FJ61" s="117"/>
      <c r="FK61" s="117"/>
      <c r="FL61" s="117"/>
      <c r="FM61" s="117"/>
      <c r="FN61" s="117"/>
      <c r="FO61" s="117"/>
      <c r="FP61" s="9"/>
      <c r="FQ61" s="118">
        <f t="shared" si="192"/>
        <v>0</v>
      </c>
      <c r="FR61" s="117">
        <f t="shared" si="192"/>
        <v>0</v>
      </c>
      <c r="FS61" s="117">
        <f t="shared" si="192"/>
        <v>0</v>
      </c>
      <c r="FT61" s="117">
        <f t="shared" si="192"/>
        <v>0</v>
      </c>
      <c r="FU61" s="117">
        <f t="shared" ref="FU61:GC61" si="193">FU21/FU$39</f>
        <v>0</v>
      </c>
      <c r="FV61" s="117">
        <f t="shared" si="193"/>
        <v>0</v>
      </c>
      <c r="FW61" s="117">
        <f t="shared" si="193"/>
        <v>0</v>
      </c>
      <c r="FX61" s="117">
        <f t="shared" si="193"/>
        <v>0</v>
      </c>
      <c r="FY61" s="117">
        <f t="shared" si="193"/>
        <v>0</v>
      </c>
      <c r="FZ61" s="117">
        <f t="shared" si="193"/>
        <v>0</v>
      </c>
      <c r="GA61" s="117">
        <f t="shared" si="193"/>
        <v>0</v>
      </c>
      <c r="GB61" s="117">
        <f t="shared" si="193"/>
        <v>0</v>
      </c>
      <c r="GC61" s="9">
        <f t="shared" si="193"/>
        <v>0</v>
      </c>
    </row>
    <row r="62" customHeight="1" spans="1:185">
      <c r="A62" s="114"/>
      <c r="B62" s="115" t="s">
        <v>415</v>
      </c>
      <c r="C62" s="116">
        <f t="shared" si="87"/>
        <v>-0.343923137498559</v>
      </c>
      <c r="D62" s="117">
        <f t="shared" ref="D62:AI62" si="194">D22/D$39</f>
        <v>0.00042250099295986</v>
      </c>
      <c r="E62" s="117">
        <f t="shared" si="194"/>
        <v>0.000249957194886123</v>
      </c>
      <c r="F62" s="117">
        <f t="shared" si="194"/>
        <v>0.00028709562162697</v>
      </c>
      <c r="G62" s="117">
        <f t="shared" si="194"/>
        <v>0.000170943879662246</v>
      </c>
      <c r="H62" s="117">
        <f t="shared" si="194"/>
        <v>0.000147980905065385</v>
      </c>
      <c r="I62" s="117">
        <f t="shared" si="194"/>
        <v>9.95353671425037e-5</v>
      </c>
      <c r="J62" s="117">
        <f t="shared" si="194"/>
        <v>0.00188933966412579</v>
      </c>
      <c r="K62" s="117">
        <f t="shared" si="194"/>
        <v>0.00137643110682317</v>
      </c>
      <c r="L62" s="117">
        <f t="shared" si="194"/>
        <v>0.000434274162576237</v>
      </c>
      <c r="M62" s="117">
        <f t="shared" si="194"/>
        <v>2.67239766973342e-5</v>
      </c>
      <c r="N62" s="117">
        <f t="shared" si="194"/>
        <v>2.08878860965964e-5</v>
      </c>
      <c r="O62" s="117">
        <f t="shared" si="194"/>
        <v>1.91865918393709e-5</v>
      </c>
      <c r="P62" s="9">
        <f t="shared" si="194"/>
        <v>0.000430641694477437</v>
      </c>
      <c r="Q62" s="117">
        <f t="shared" si="194"/>
        <v>8.16447465675964e-5</v>
      </c>
      <c r="R62" s="117">
        <f t="shared" si="194"/>
        <v>6.97055433648302e-5</v>
      </c>
      <c r="S62" s="117">
        <f t="shared" si="194"/>
        <v>4.94194266434019e-5</v>
      </c>
      <c r="T62" s="117">
        <f t="shared" si="194"/>
        <v>6.98924099473175e-5</v>
      </c>
      <c r="U62" s="117">
        <f t="shared" si="194"/>
        <v>3.11381010471852e-5</v>
      </c>
      <c r="V62" s="117">
        <f t="shared" si="194"/>
        <v>1.76557501340479e-5</v>
      </c>
      <c r="W62" s="117">
        <f t="shared" si="194"/>
        <v>0.00104491031003642</v>
      </c>
      <c r="X62" s="117">
        <f t="shared" si="194"/>
        <v>0.000669023073215728</v>
      </c>
      <c r="Y62" s="117">
        <f t="shared" si="194"/>
        <v>0.00033581054270296</v>
      </c>
      <c r="Z62" s="117">
        <f t="shared" si="194"/>
        <v>0</v>
      </c>
      <c r="AA62" s="117">
        <f t="shared" si="194"/>
        <v>0</v>
      </c>
      <c r="AB62" s="117">
        <f t="shared" si="194"/>
        <v>0</v>
      </c>
      <c r="AC62" s="9">
        <f t="shared" si="194"/>
        <v>0.000199767627409433</v>
      </c>
      <c r="AD62" s="117">
        <f t="shared" si="194"/>
        <v>0.000122194403367181</v>
      </c>
      <c r="AE62" s="117">
        <f t="shared" si="194"/>
        <v>7.47547963674409e-5</v>
      </c>
      <c r="AF62" s="117">
        <f t="shared" si="194"/>
        <v>8.48157986379513e-5</v>
      </c>
      <c r="AG62" s="117">
        <f t="shared" si="194"/>
        <v>3.17903722719292e-5</v>
      </c>
      <c r="AH62" s="117">
        <f t="shared" si="194"/>
        <v>3.11848931321598e-5</v>
      </c>
      <c r="AI62" s="117">
        <f t="shared" si="194"/>
        <v>1.08419812600009e-5</v>
      </c>
      <c r="AJ62" s="117">
        <f t="shared" ref="AJ62:BO62" si="195">AJ22/AJ$39</f>
        <v>0.000519259818731118</v>
      </c>
      <c r="AK62" s="117">
        <f t="shared" si="195"/>
        <v>0.000364543588883791</v>
      </c>
      <c r="AL62" s="117">
        <f t="shared" si="195"/>
        <v>0.000359684404789288</v>
      </c>
      <c r="AM62" s="117">
        <f t="shared" si="195"/>
        <v>8.19737057825541e-6</v>
      </c>
      <c r="AN62" s="117">
        <f t="shared" si="195"/>
        <v>8.43155063510892e-6</v>
      </c>
      <c r="AO62" s="117">
        <f t="shared" si="195"/>
        <v>8.66390005947913e-6</v>
      </c>
      <c r="AP62" s="9">
        <f t="shared" si="195"/>
        <v>0.000144600915997873</v>
      </c>
      <c r="AQ62" s="117">
        <f t="shared" si="195"/>
        <v>0.000512451022980842</v>
      </c>
      <c r="AR62" s="117">
        <f t="shared" si="195"/>
        <v>0.000309117618848845</v>
      </c>
      <c r="AS62" s="117">
        <f t="shared" si="195"/>
        <v>0.000220177625145893</v>
      </c>
      <c r="AT62" s="117">
        <f t="shared" si="195"/>
        <v>9.04234674540596e-5</v>
      </c>
      <c r="AU62" s="117">
        <f t="shared" si="195"/>
        <v>2.51024487301677e-5</v>
      </c>
      <c r="AV62" s="117">
        <f t="shared" si="195"/>
        <v>2.82718880154613e-5</v>
      </c>
      <c r="AW62" s="117">
        <f t="shared" si="195"/>
        <v>0.00118845004870822</v>
      </c>
      <c r="AX62" s="117">
        <f t="shared" si="195"/>
        <v>0.00104708463993683</v>
      </c>
      <c r="AY62" s="117">
        <f t="shared" si="195"/>
        <v>0.00104196941160959</v>
      </c>
      <c r="AZ62" s="117">
        <f t="shared" si="195"/>
        <v>2.18663794670894e-5</v>
      </c>
      <c r="BA62" s="117">
        <f t="shared" si="195"/>
        <v>2.10307320258334e-5</v>
      </c>
      <c r="BB62" s="117">
        <f t="shared" si="195"/>
        <v>1.97268326374042e-5</v>
      </c>
      <c r="BC62" s="9">
        <f t="shared" si="195"/>
        <v>0.000400646452182693</v>
      </c>
      <c r="BD62" s="117">
        <f t="shared" si="195"/>
        <v>0.000439117868046157</v>
      </c>
      <c r="BE62" s="117">
        <f t="shared" si="195"/>
        <v>0.000202914640847869</v>
      </c>
      <c r="BF62" s="117">
        <f t="shared" si="195"/>
        <v>0.000286081221737345</v>
      </c>
      <c r="BG62" s="117">
        <f t="shared" si="195"/>
        <v>0.000144095522743547</v>
      </c>
      <c r="BH62" s="117">
        <f t="shared" si="195"/>
        <v>0.00013467039937825</v>
      </c>
      <c r="BI62" s="117">
        <f t="shared" si="195"/>
        <v>0.000120567727334131</v>
      </c>
      <c r="BJ62" s="117">
        <f t="shared" si="195"/>
        <v>0.00407082409235466</v>
      </c>
      <c r="BK62" s="117">
        <f t="shared" si="195"/>
        <v>0.00302865172933105</v>
      </c>
      <c r="BL62" s="117">
        <f t="shared" si="195"/>
        <v>0.000897086623431931</v>
      </c>
      <c r="BM62" s="117">
        <f t="shared" si="195"/>
        <v>0</v>
      </c>
      <c r="BN62" s="117">
        <f t="shared" si="195"/>
        <v>0</v>
      </c>
      <c r="BO62" s="117">
        <f t="shared" si="195"/>
        <v>0</v>
      </c>
      <c r="BP62" s="9">
        <f t="shared" ref="BP62:CU62" si="196">BP22/BP$39</f>
        <v>0.000789748625580784</v>
      </c>
      <c r="BQ62" s="117">
        <f t="shared" si="196"/>
        <v>0.000726548035710515</v>
      </c>
      <c r="BR62" s="117">
        <f t="shared" si="196"/>
        <v>0.000365138690863326</v>
      </c>
      <c r="BS62" s="117">
        <f t="shared" si="196"/>
        <v>0.000343769063431604</v>
      </c>
      <c r="BT62" s="117">
        <f t="shared" si="196"/>
        <v>0.00029584711437189</v>
      </c>
      <c r="BU62" s="117">
        <f t="shared" si="196"/>
        <v>0.000355899496128663</v>
      </c>
      <c r="BV62" s="117">
        <f t="shared" si="196"/>
        <v>8.17535029252536e-5</v>
      </c>
      <c r="BW62" s="117">
        <f t="shared" si="196"/>
        <v>0.00319421333041624</v>
      </c>
      <c r="BX62" s="117">
        <f t="shared" si="196"/>
        <v>0.00272642448520564</v>
      </c>
      <c r="BY62" s="117">
        <f t="shared" si="196"/>
        <v>3.01569229377581e-5</v>
      </c>
      <c r="BZ62" s="117">
        <f t="shared" si="196"/>
        <v>3.16717434299712e-5</v>
      </c>
      <c r="CA62" s="117">
        <f t="shared" si="196"/>
        <v>3.1478634584161e-5</v>
      </c>
      <c r="CB62" s="117">
        <f t="shared" si="196"/>
        <v>3.6513165047301e-5</v>
      </c>
      <c r="CC62" s="9">
        <f t="shared" si="196"/>
        <v>0.000660321281862218</v>
      </c>
      <c r="CD62" s="117">
        <f t="shared" si="196"/>
        <v>7.33818974220149e-5</v>
      </c>
      <c r="CE62" s="117">
        <f t="shared" si="196"/>
        <v>4.02091880990093e-5</v>
      </c>
      <c r="CF62" s="117">
        <f t="shared" si="196"/>
        <v>0.0001780774091825</v>
      </c>
      <c r="CG62" s="117">
        <f t="shared" si="196"/>
        <v>0.000217068848503782</v>
      </c>
      <c r="CH62" s="117">
        <f t="shared" si="196"/>
        <v>0.00015612975047173</v>
      </c>
      <c r="CI62" s="117">
        <f t="shared" si="196"/>
        <v>0.000479478728377142</v>
      </c>
      <c r="CJ62" s="117">
        <f t="shared" si="196"/>
        <v>0.00506229100777741</v>
      </c>
      <c r="CK62" s="117">
        <f t="shared" si="196"/>
        <v>0.00320244238157509</v>
      </c>
      <c r="CL62" s="117">
        <f t="shared" si="196"/>
        <v>0.000854286017525933</v>
      </c>
      <c r="CM62" s="117">
        <f t="shared" si="196"/>
        <v>0</v>
      </c>
      <c r="CN62" s="117">
        <f t="shared" si="196"/>
        <v>0</v>
      </c>
      <c r="CO62" s="117">
        <f t="shared" si="196"/>
        <v>0</v>
      </c>
      <c r="CP62" s="9">
        <f t="shared" si="196"/>
        <v>0.000907151107062984</v>
      </c>
      <c r="CQ62" s="117">
        <f t="shared" si="196"/>
        <v>0.000409621202176556</v>
      </c>
      <c r="CR62" s="117">
        <f t="shared" si="196"/>
        <v>0.000307478515604557</v>
      </c>
      <c r="CS62" s="117">
        <f t="shared" si="196"/>
        <v>0.000290639695961693</v>
      </c>
      <c r="CT62" s="117">
        <f t="shared" si="196"/>
        <v>0.00017805258659247</v>
      </c>
      <c r="CU62" s="117">
        <f t="shared" si="196"/>
        <v>0.000122953930852084</v>
      </c>
      <c r="CV62" s="117">
        <f t="shared" ref="CV62:EA62" si="197">CV22/CV$39</f>
        <v>0.000206156069468218</v>
      </c>
      <c r="CW62" s="117">
        <f t="shared" si="197"/>
        <v>0.00317657017318279</v>
      </c>
      <c r="CX62" s="117">
        <f t="shared" si="197"/>
        <v>0.00207508846027871</v>
      </c>
      <c r="CY62" s="117">
        <f t="shared" si="197"/>
        <v>0.000887574294826372</v>
      </c>
      <c r="CZ62" s="117">
        <f t="shared" si="197"/>
        <v>0</v>
      </c>
      <c r="DA62" s="117">
        <f t="shared" si="197"/>
        <v>0</v>
      </c>
      <c r="DB62" s="117">
        <f t="shared" si="197"/>
        <v>0</v>
      </c>
      <c r="DC62" s="9">
        <f t="shared" si="197"/>
        <v>0.000639229507862206</v>
      </c>
      <c r="DD62" s="117">
        <f t="shared" si="197"/>
        <v>0.000828133907171941</v>
      </c>
      <c r="DE62" s="117">
        <f t="shared" si="197"/>
        <v>0.000608991359190978</v>
      </c>
      <c r="DF62" s="117">
        <f t="shared" si="197"/>
        <v>0.000565205936492367</v>
      </c>
      <c r="DG62" s="117">
        <f t="shared" si="197"/>
        <v>0.000593154786908462</v>
      </c>
      <c r="DH62" s="117">
        <f t="shared" si="197"/>
        <v>0.000417290795943873</v>
      </c>
      <c r="DI62" s="117">
        <f t="shared" si="197"/>
        <v>0.000151945340783304</v>
      </c>
      <c r="DJ62" s="117">
        <f t="shared" si="197"/>
        <v>0.0038098083097285</v>
      </c>
      <c r="DK62" s="117">
        <f t="shared" si="197"/>
        <v>0.00300556205289499</v>
      </c>
      <c r="DL62" s="117">
        <f t="shared" si="197"/>
        <v>0.00157589523930146</v>
      </c>
      <c r="DM62" s="117">
        <f t="shared" si="197"/>
        <v>0.000990836641535612</v>
      </c>
      <c r="DN62" s="117">
        <f t="shared" si="197"/>
        <v>0.000472209052498469</v>
      </c>
      <c r="DO62" s="117">
        <f t="shared" si="197"/>
        <v>0.000142651877732869</v>
      </c>
      <c r="DP62" s="9">
        <f t="shared" si="197"/>
        <v>0.00106846028820184</v>
      </c>
      <c r="DQ62" s="117">
        <f t="shared" si="197"/>
        <v>0.000376588092442666</v>
      </c>
      <c r="DR62" s="117">
        <f t="shared" si="197"/>
        <v>0.00022316779270195</v>
      </c>
      <c r="DS62" s="117">
        <f t="shared" si="197"/>
        <v>0.000152106081324087</v>
      </c>
      <c r="DT62" s="117">
        <f t="shared" si="197"/>
        <v>0.000156301545409365</v>
      </c>
      <c r="DU62" s="117">
        <f t="shared" si="197"/>
        <v>0.000145590929548744</v>
      </c>
      <c r="DV62" s="117">
        <f t="shared" si="197"/>
        <v>0.000161147581753071</v>
      </c>
      <c r="DW62" s="117">
        <f t="shared" si="197"/>
        <v>0.00165076138448715</v>
      </c>
      <c r="DX62" s="117">
        <f t="shared" si="197"/>
        <v>0.000814734940435608</v>
      </c>
      <c r="DY62" s="117">
        <f t="shared" si="197"/>
        <v>0</v>
      </c>
      <c r="DZ62" s="117">
        <f t="shared" si="197"/>
        <v>0</v>
      </c>
      <c r="EA62" s="117">
        <f t="shared" si="197"/>
        <v>0</v>
      </c>
      <c r="EB62" s="117">
        <f t="shared" ref="EB62:FT62" si="198">EB22/EB$39</f>
        <v>0</v>
      </c>
      <c r="EC62" s="117">
        <f t="shared" si="198"/>
        <v>0.000309822687401053</v>
      </c>
      <c r="ED62" s="118">
        <f t="shared" si="198"/>
        <v>0</v>
      </c>
      <c r="EE62" s="117">
        <f t="shared" si="198"/>
        <v>0</v>
      </c>
      <c r="EF62" s="117">
        <f t="shared" si="198"/>
        <v>0</v>
      </c>
      <c r="EG62" s="117">
        <f t="shared" si="198"/>
        <v>0</v>
      </c>
      <c r="EH62" s="117" t="e">
        <f t="shared" si="198"/>
        <v>#DIV/0!</v>
      </c>
      <c r="EI62" s="117" t="e">
        <f t="shared" si="198"/>
        <v>#DIV/0!</v>
      </c>
      <c r="EJ62" s="117" t="e">
        <f t="shared" si="198"/>
        <v>#DIV/0!</v>
      </c>
      <c r="EK62" s="117" t="e">
        <f t="shared" si="198"/>
        <v>#DIV/0!</v>
      </c>
      <c r="EL62" s="117" t="e">
        <f t="shared" si="198"/>
        <v>#DIV/0!</v>
      </c>
      <c r="EM62" s="117" t="e">
        <f t="shared" si="198"/>
        <v>#DIV/0!</v>
      </c>
      <c r="EN62" s="117" t="e">
        <f t="shared" si="198"/>
        <v>#DIV/0!</v>
      </c>
      <c r="EO62" s="117" t="e">
        <f t="shared" si="198"/>
        <v>#DIV/0!</v>
      </c>
      <c r="EP62" s="9">
        <f t="shared" si="198"/>
        <v>0</v>
      </c>
      <c r="EQ62" s="117">
        <f t="shared" si="198"/>
        <v>0.000547576827934997</v>
      </c>
      <c r="ER62" s="117">
        <f t="shared" si="198"/>
        <v>0.000414126926789332</v>
      </c>
      <c r="ES62" s="117">
        <f t="shared" si="198"/>
        <v>0.000400252531260091</v>
      </c>
      <c r="ET62" s="117">
        <f t="shared" si="198"/>
        <v>0.000279505701821574</v>
      </c>
      <c r="EU62" s="117">
        <f t="shared" si="198"/>
        <v>0.000270316692310346</v>
      </c>
      <c r="EV62" s="117">
        <f t="shared" si="198"/>
        <v>0.00029267664532217</v>
      </c>
      <c r="EW62" s="117">
        <f t="shared" si="198"/>
        <v>0.00677492925712248</v>
      </c>
      <c r="EX62" s="117">
        <f t="shared" si="198"/>
        <v>0.00643201174708375</v>
      </c>
      <c r="EY62" s="117">
        <f t="shared" si="198"/>
        <v>0.00288998841291146</v>
      </c>
      <c r="EZ62" s="117">
        <f t="shared" si="198"/>
        <v>0.000134829487398474</v>
      </c>
      <c r="FA62" s="117">
        <f t="shared" si="198"/>
        <v>0.000149428997711188</v>
      </c>
      <c r="FB62" s="117">
        <f t="shared" si="198"/>
        <v>0.000143290314858631</v>
      </c>
      <c r="FC62" s="117">
        <f t="shared" si="198"/>
        <v>0.00158252761455835</v>
      </c>
      <c r="FD62" s="118"/>
      <c r="FE62" s="117"/>
      <c r="FF62" s="117"/>
      <c r="FG62" s="117"/>
      <c r="FH62" s="117"/>
      <c r="FI62" s="117"/>
      <c r="FJ62" s="117"/>
      <c r="FK62" s="117"/>
      <c r="FL62" s="117"/>
      <c r="FM62" s="117"/>
      <c r="FN62" s="117"/>
      <c r="FO62" s="117"/>
      <c r="FP62" s="9"/>
      <c r="FQ62" s="118">
        <f t="shared" si="198"/>
        <v>0.000422550849679177</v>
      </c>
      <c r="FR62" s="117">
        <f t="shared" si="198"/>
        <v>0.0002481172529136</v>
      </c>
      <c r="FS62" s="117">
        <f t="shared" si="198"/>
        <v>0.00045230931333966</v>
      </c>
      <c r="FT62" s="117">
        <f t="shared" si="198"/>
        <v>0.000164671545816112</v>
      </c>
      <c r="FU62" s="117">
        <f t="shared" ref="FU62:GC62" si="199">FU22/FU$39</f>
        <v>9.33726438544841e-5</v>
      </c>
      <c r="FV62" s="117">
        <f t="shared" si="199"/>
        <v>6.86263008705323e-5</v>
      </c>
      <c r="FW62" s="117">
        <f t="shared" si="199"/>
        <v>4.2176697036507e-5</v>
      </c>
      <c r="FX62" s="117">
        <f t="shared" si="199"/>
        <v>2.70790271500409e-5</v>
      </c>
      <c r="FY62" s="117">
        <f t="shared" si="199"/>
        <v>2.58147700676822e-5</v>
      </c>
      <c r="FZ62" s="117">
        <f t="shared" si="199"/>
        <v>2.40550145888099e-5</v>
      </c>
      <c r="GA62" s="117">
        <f t="shared" si="199"/>
        <v>2.20608165239598e-5</v>
      </c>
      <c r="GB62" s="117">
        <f t="shared" si="199"/>
        <v>2.09587467277335e-5</v>
      </c>
      <c r="GC62" s="9">
        <f t="shared" si="199"/>
        <v>0.0001544210572021</v>
      </c>
    </row>
    <row r="63" customHeight="1" spans="1:185">
      <c r="A63" s="114"/>
      <c r="B63" s="115" t="s">
        <v>416</v>
      </c>
      <c r="C63" s="116" t="e">
        <f t="shared" si="87"/>
        <v>#DIV/0!</v>
      </c>
      <c r="D63" s="117">
        <f t="shared" ref="D63:BO63" si="200">D23/D$39</f>
        <v>2.46109430718302e-5</v>
      </c>
      <c r="E63" s="117">
        <f t="shared" si="200"/>
        <v>1.98482963750458e-5</v>
      </c>
      <c r="F63" s="117">
        <f t="shared" si="200"/>
        <v>4.49251273899853e-5</v>
      </c>
      <c r="G63" s="117">
        <f t="shared" si="200"/>
        <v>3.81732006015005e-5</v>
      </c>
      <c r="H63" s="117">
        <f t="shared" si="200"/>
        <v>0.000209382328553241</v>
      </c>
      <c r="I63" s="117">
        <f t="shared" si="200"/>
        <v>0</v>
      </c>
      <c r="J63" s="117">
        <f t="shared" si="200"/>
        <v>0</v>
      </c>
      <c r="K63" s="117">
        <f t="shared" si="200"/>
        <v>0</v>
      </c>
      <c r="L63" s="117">
        <f t="shared" si="200"/>
        <v>0</v>
      </c>
      <c r="M63" s="117">
        <f t="shared" si="200"/>
        <v>0</v>
      </c>
      <c r="N63" s="117">
        <f t="shared" si="200"/>
        <v>0</v>
      </c>
      <c r="O63" s="117">
        <f t="shared" si="200"/>
        <v>0</v>
      </c>
      <c r="P63" s="9">
        <f t="shared" si="200"/>
        <v>2.49302484524665e-5</v>
      </c>
      <c r="Q63" s="117">
        <f t="shared" si="200"/>
        <v>0</v>
      </c>
      <c r="R63" s="117">
        <f t="shared" si="200"/>
        <v>0</v>
      </c>
      <c r="S63" s="117">
        <f t="shared" si="200"/>
        <v>0</v>
      </c>
      <c r="T63" s="117">
        <f t="shared" si="200"/>
        <v>0</v>
      </c>
      <c r="U63" s="117">
        <f t="shared" si="200"/>
        <v>0</v>
      </c>
      <c r="V63" s="117">
        <f t="shared" si="200"/>
        <v>0</v>
      </c>
      <c r="W63" s="117">
        <f t="shared" si="200"/>
        <v>0</v>
      </c>
      <c r="X63" s="117">
        <f t="shared" si="200"/>
        <v>0</v>
      </c>
      <c r="Y63" s="117">
        <f t="shared" si="200"/>
        <v>0</v>
      </c>
      <c r="Z63" s="117">
        <f t="shared" si="200"/>
        <v>0</v>
      </c>
      <c r="AA63" s="117">
        <f t="shared" si="200"/>
        <v>0</v>
      </c>
      <c r="AB63" s="117">
        <f t="shared" si="200"/>
        <v>0</v>
      </c>
      <c r="AC63" s="9">
        <f t="shared" si="200"/>
        <v>0</v>
      </c>
      <c r="AD63" s="117">
        <f t="shared" si="200"/>
        <v>0</v>
      </c>
      <c r="AE63" s="117">
        <f t="shared" si="200"/>
        <v>0</v>
      </c>
      <c r="AF63" s="117">
        <f t="shared" si="200"/>
        <v>2.00409677305888e-5</v>
      </c>
      <c r="AG63" s="117">
        <f t="shared" si="200"/>
        <v>2.05190450734247e-5</v>
      </c>
      <c r="AH63" s="117">
        <f t="shared" si="200"/>
        <v>2.79244445316797e-5</v>
      </c>
      <c r="AI63" s="117">
        <f t="shared" si="200"/>
        <v>0</v>
      </c>
      <c r="AJ63" s="117">
        <f t="shared" si="200"/>
        <v>0</v>
      </c>
      <c r="AK63" s="117">
        <f t="shared" si="200"/>
        <v>0</v>
      </c>
      <c r="AL63" s="117">
        <f t="shared" si="200"/>
        <v>0</v>
      </c>
      <c r="AM63" s="117">
        <f t="shared" si="200"/>
        <v>0</v>
      </c>
      <c r="AN63" s="117">
        <f t="shared" si="200"/>
        <v>0</v>
      </c>
      <c r="AO63" s="117">
        <f t="shared" si="200"/>
        <v>0</v>
      </c>
      <c r="AP63" s="9">
        <f t="shared" si="200"/>
        <v>4.77139399244619e-6</v>
      </c>
      <c r="AQ63" s="117">
        <f t="shared" si="200"/>
        <v>0</v>
      </c>
      <c r="AR63" s="117">
        <f t="shared" si="200"/>
        <v>0</v>
      </c>
      <c r="AS63" s="117">
        <f t="shared" si="200"/>
        <v>0</v>
      </c>
      <c r="AT63" s="117">
        <f t="shared" si="200"/>
        <v>0</v>
      </c>
      <c r="AU63" s="117">
        <f t="shared" si="200"/>
        <v>0</v>
      </c>
      <c r="AV63" s="117">
        <f t="shared" si="200"/>
        <v>0</v>
      </c>
      <c r="AW63" s="117">
        <f t="shared" si="200"/>
        <v>0</v>
      </c>
      <c r="AX63" s="117">
        <f t="shared" si="200"/>
        <v>0</v>
      </c>
      <c r="AY63" s="117">
        <f t="shared" si="200"/>
        <v>0</v>
      </c>
      <c r="AZ63" s="117">
        <f t="shared" si="200"/>
        <v>0</v>
      </c>
      <c r="BA63" s="117">
        <f t="shared" si="200"/>
        <v>0</v>
      </c>
      <c r="BB63" s="117">
        <f t="shared" si="200"/>
        <v>0</v>
      </c>
      <c r="BC63" s="9">
        <f t="shared" si="200"/>
        <v>0</v>
      </c>
      <c r="BD63" s="117">
        <f t="shared" si="200"/>
        <v>0</v>
      </c>
      <c r="BE63" s="117">
        <f t="shared" si="200"/>
        <v>0</v>
      </c>
      <c r="BF63" s="117">
        <f t="shared" si="200"/>
        <v>0.000607977385398719</v>
      </c>
      <c r="BG63" s="117">
        <f t="shared" si="200"/>
        <v>0.000350028482250751</v>
      </c>
      <c r="BH63" s="117">
        <f t="shared" si="200"/>
        <v>0.000431802894155828</v>
      </c>
      <c r="BI63" s="117">
        <f t="shared" si="200"/>
        <v>0</v>
      </c>
      <c r="BJ63" s="117">
        <f t="shared" si="200"/>
        <v>0</v>
      </c>
      <c r="BK63" s="117">
        <f t="shared" si="200"/>
        <v>0</v>
      </c>
      <c r="BL63" s="117">
        <f t="shared" si="200"/>
        <v>0</v>
      </c>
      <c r="BM63" s="117">
        <f t="shared" si="200"/>
        <v>0</v>
      </c>
      <c r="BN63" s="117">
        <f t="shared" si="200"/>
        <v>0</v>
      </c>
      <c r="BO63" s="117">
        <f t="shared" si="200"/>
        <v>0</v>
      </c>
      <c r="BP63" s="9">
        <f t="shared" ref="BP63:EA63" si="201">BP23/BP$39</f>
        <v>9.21818356914396e-5</v>
      </c>
      <c r="BQ63" s="117">
        <f t="shared" si="201"/>
        <v>0.000117908512372197</v>
      </c>
      <c r="BR63" s="117">
        <f t="shared" si="201"/>
        <v>9.13522438908002e-5</v>
      </c>
      <c r="BS63" s="117">
        <f t="shared" si="201"/>
        <v>2.62006158510699e-5</v>
      </c>
      <c r="BT63" s="117">
        <f t="shared" si="201"/>
        <v>7.63894252986067e-5</v>
      </c>
      <c r="BU63" s="117">
        <f t="shared" si="201"/>
        <v>4.79038535132364e-5</v>
      </c>
      <c r="BV63" s="117">
        <f t="shared" si="201"/>
        <v>0</v>
      </c>
      <c r="BW63" s="117">
        <f t="shared" si="201"/>
        <v>0</v>
      </c>
      <c r="BX63" s="117">
        <f t="shared" si="201"/>
        <v>0</v>
      </c>
      <c r="BY63" s="117">
        <f t="shared" si="201"/>
        <v>0</v>
      </c>
      <c r="BZ63" s="117">
        <f t="shared" si="201"/>
        <v>0</v>
      </c>
      <c r="CA63" s="117">
        <f t="shared" si="201"/>
        <v>0</v>
      </c>
      <c r="CB63" s="117">
        <f t="shared" si="201"/>
        <v>0</v>
      </c>
      <c r="CC63" s="9">
        <f t="shared" si="201"/>
        <v>3.72524615066203e-5</v>
      </c>
      <c r="CD63" s="117">
        <f t="shared" si="201"/>
        <v>0</v>
      </c>
      <c r="CE63" s="117">
        <f t="shared" si="201"/>
        <v>0</v>
      </c>
      <c r="CF63" s="117">
        <f t="shared" si="201"/>
        <v>0</v>
      </c>
      <c r="CG63" s="117">
        <f t="shared" si="201"/>
        <v>0</v>
      </c>
      <c r="CH63" s="117">
        <f t="shared" si="201"/>
        <v>0</v>
      </c>
      <c r="CI63" s="117">
        <f t="shared" si="201"/>
        <v>0</v>
      </c>
      <c r="CJ63" s="117">
        <f t="shared" si="201"/>
        <v>0</v>
      </c>
      <c r="CK63" s="117">
        <f t="shared" si="201"/>
        <v>0</v>
      </c>
      <c r="CL63" s="117">
        <f t="shared" si="201"/>
        <v>0</v>
      </c>
      <c r="CM63" s="117">
        <f t="shared" si="201"/>
        <v>0</v>
      </c>
      <c r="CN63" s="117">
        <f t="shared" si="201"/>
        <v>0</v>
      </c>
      <c r="CO63" s="117">
        <f t="shared" si="201"/>
        <v>0</v>
      </c>
      <c r="CP63" s="9">
        <f t="shared" si="201"/>
        <v>0</v>
      </c>
      <c r="CQ63" s="117">
        <f t="shared" si="201"/>
        <v>0</v>
      </c>
      <c r="CR63" s="117">
        <f t="shared" si="201"/>
        <v>0</v>
      </c>
      <c r="CS63" s="117">
        <f t="shared" si="201"/>
        <v>0</v>
      </c>
      <c r="CT63" s="117">
        <f t="shared" si="201"/>
        <v>0</v>
      </c>
      <c r="CU63" s="117">
        <f t="shared" si="201"/>
        <v>0</v>
      </c>
      <c r="CV63" s="117">
        <f t="shared" si="201"/>
        <v>0</v>
      </c>
      <c r="CW63" s="117">
        <f t="shared" si="201"/>
        <v>0</v>
      </c>
      <c r="CX63" s="117">
        <f t="shared" si="201"/>
        <v>0</v>
      </c>
      <c r="CY63" s="117">
        <f t="shared" si="201"/>
        <v>0</v>
      </c>
      <c r="CZ63" s="117">
        <f t="shared" si="201"/>
        <v>0</v>
      </c>
      <c r="DA63" s="117">
        <f t="shared" si="201"/>
        <v>0</v>
      </c>
      <c r="DB63" s="117">
        <f t="shared" si="201"/>
        <v>0</v>
      </c>
      <c r="DC63" s="9">
        <f t="shared" si="201"/>
        <v>0</v>
      </c>
      <c r="DD63" s="117">
        <f t="shared" si="201"/>
        <v>0</v>
      </c>
      <c r="DE63" s="117">
        <f t="shared" si="201"/>
        <v>0</v>
      </c>
      <c r="DF63" s="117">
        <f t="shared" si="201"/>
        <v>0</v>
      </c>
      <c r="DG63" s="117">
        <f t="shared" si="201"/>
        <v>0</v>
      </c>
      <c r="DH63" s="117">
        <f t="shared" si="201"/>
        <v>0</v>
      </c>
      <c r="DI63" s="117">
        <f t="shared" si="201"/>
        <v>0</v>
      </c>
      <c r="DJ63" s="117">
        <f t="shared" si="201"/>
        <v>0</v>
      </c>
      <c r="DK63" s="117">
        <f t="shared" si="201"/>
        <v>0</v>
      </c>
      <c r="DL63" s="117">
        <f t="shared" si="201"/>
        <v>0</v>
      </c>
      <c r="DM63" s="117">
        <f t="shared" si="201"/>
        <v>0</v>
      </c>
      <c r="DN63" s="117">
        <f t="shared" si="201"/>
        <v>0</v>
      </c>
      <c r="DO63" s="117">
        <f t="shared" si="201"/>
        <v>0</v>
      </c>
      <c r="DP63" s="9">
        <f t="shared" si="201"/>
        <v>0</v>
      </c>
      <c r="DQ63" s="117">
        <f t="shared" si="201"/>
        <v>0</v>
      </c>
      <c r="DR63" s="117">
        <f t="shared" si="201"/>
        <v>0</v>
      </c>
      <c r="DS63" s="117">
        <f t="shared" si="201"/>
        <v>0</v>
      </c>
      <c r="DT63" s="117">
        <f t="shared" si="201"/>
        <v>0</v>
      </c>
      <c r="DU63" s="117">
        <f t="shared" si="201"/>
        <v>0</v>
      </c>
      <c r="DV63" s="117">
        <f t="shared" si="201"/>
        <v>0</v>
      </c>
      <c r="DW63" s="117">
        <f t="shared" si="201"/>
        <v>0</v>
      </c>
      <c r="DX63" s="117">
        <f t="shared" si="201"/>
        <v>0</v>
      </c>
      <c r="DY63" s="117">
        <f t="shared" si="201"/>
        <v>0</v>
      </c>
      <c r="DZ63" s="117">
        <f t="shared" si="201"/>
        <v>0</v>
      </c>
      <c r="EA63" s="117">
        <f t="shared" si="201"/>
        <v>0</v>
      </c>
      <c r="EB63" s="117">
        <f t="shared" ref="EB63:FC63" si="202">EB23/EB$39</f>
        <v>0</v>
      </c>
      <c r="EC63" s="117">
        <f t="shared" si="202"/>
        <v>0</v>
      </c>
      <c r="ED63" s="118">
        <f t="shared" si="202"/>
        <v>0</v>
      </c>
      <c r="EE63" s="117">
        <f t="shared" si="202"/>
        <v>0</v>
      </c>
      <c r="EF63" s="117">
        <f t="shared" si="202"/>
        <v>0</v>
      </c>
      <c r="EG63" s="117">
        <f t="shared" si="202"/>
        <v>0</v>
      </c>
      <c r="EH63" s="117" t="e">
        <f t="shared" si="202"/>
        <v>#DIV/0!</v>
      </c>
      <c r="EI63" s="117" t="e">
        <f t="shared" si="202"/>
        <v>#DIV/0!</v>
      </c>
      <c r="EJ63" s="117" t="e">
        <f t="shared" si="202"/>
        <v>#DIV/0!</v>
      </c>
      <c r="EK63" s="117" t="e">
        <f t="shared" si="202"/>
        <v>#DIV/0!</v>
      </c>
      <c r="EL63" s="117" t="e">
        <f t="shared" si="202"/>
        <v>#DIV/0!</v>
      </c>
      <c r="EM63" s="117" t="e">
        <f t="shared" si="202"/>
        <v>#DIV/0!</v>
      </c>
      <c r="EN63" s="117" t="e">
        <f t="shared" si="202"/>
        <v>#DIV/0!</v>
      </c>
      <c r="EO63" s="117" t="e">
        <f t="shared" si="202"/>
        <v>#DIV/0!</v>
      </c>
      <c r="EP63" s="9">
        <f t="shared" si="202"/>
        <v>0</v>
      </c>
      <c r="EQ63" s="117">
        <f t="shared" si="202"/>
        <v>0</v>
      </c>
      <c r="ER63" s="117">
        <f t="shared" si="202"/>
        <v>0</v>
      </c>
      <c r="ES63" s="117">
        <f t="shared" si="202"/>
        <v>0</v>
      </c>
      <c r="ET63" s="117">
        <f t="shared" si="202"/>
        <v>0</v>
      </c>
      <c r="EU63" s="117">
        <f t="shared" si="202"/>
        <v>0</v>
      </c>
      <c r="EV63" s="117">
        <f t="shared" si="202"/>
        <v>0</v>
      </c>
      <c r="EW63" s="117">
        <f t="shared" si="202"/>
        <v>0</v>
      </c>
      <c r="EX63" s="117">
        <f t="shared" si="202"/>
        <v>0</v>
      </c>
      <c r="EY63" s="117">
        <f t="shared" si="202"/>
        <v>0</v>
      </c>
      <c r="EZ63" s="117">
        <f t="shared" si="202"/>
        <v>0</v>
      </c>
      <c r="FA63" s="117">
        <f t="shared" si="202"/>
        <v>0</v>
      </c>
      <c r="FB63" s="117">
        <f t="shared" si="202"/>
        <v>0</v>
      </c>
      <c r="FC63" s="117">
        <f t="shared" si="202"/>
        <v>0</v>
      </c>
      <c r="FD63" s="118"/>
      <c r="FE63" s="117"/>
      <c r="FF63" s="117"/>
      <c r="FG63" s="117"/>
      <c r="FH63" s="117"/>
      <c r="FI63" s="117"/>
      <c r="FJ63" s="117"/>
      <c r="FK63" s="117"/>
      <c r="FL63" s="117"/>
      <c r="FM63" s="117"/>
      <c r="FN63" s="117"/>
      <c r="FO63" s="117"/>
      <c r="FP63" s="9"/>
      <c r="FQ63" s="118">
        <f t="shared" ref="FQ63:GC63" si="203">FQ23/FQ$39</f>
        <v>0</v>
      </c>
      <c r="FR63" s="117">
        <f t="shared" si="203"/>
        <v>0</v>
      </c>
      <c r="FS63" s="117">
        <f t="shared" si="203"/>
        <v>0</v>
      </c>
      <c r="FT63" s="117">
        <f t="shared" si="203"/>
        <v>0</v>
      </c>
      <c r="FU63" s="117">
        <f t="shared" si="203"/>
        <v>0.0008033137257684</v>
      </c>
      <c r="FV63" s="117">
        <f t="shared" si="203"/>
        <v>0</v>
      </c>
      <c r="FW63" s="117">
        <f t="shared" si="203"/>
        <v>0</v>
      </c>
      <c r="FX63" s="117">
        <f t="shared" si="203"/>
        <v>0</v>
      </c>
      <c r="FY63" s="117">
        <f t="shared" si="203"/>
        <v>0</v>
      </c>
      <c r="FZ63" s="117">
        <f t="shared" si="203"/>
        <v>0</v>
      </c>
      <c r="GA63" s="117">
        <f t="shared" si="203"/>
        <v>0</v>
      </c>
      <c r="GB63" s="117">
        <f t="shared" si="203"/>
        <v>0</v>
      </c>
      <c r="GC63" s="9">
        <f t="shared" si="203"/>
        <v>4.52080559240566e-5</v>
      </c>
    </row>
    <row r="64" customHeight="1" spans="1:185">
      <c r="A64" s="114"/>
      <c r="B64" s="115" t="s">
        <v>417</v>
      </c>
      <c r="C64" s="116" t="e">
        <f t="shared" si="87"/>
        <v>#DIV/0!</v>
      </c>
      <c r="D64" s="117">
        <f t="shared" ref="D64:BO64" si="204">D24/D$39</f>
        <v>0.00623967656904101</v>
      </c>
      <c r="E64" s="117">
        <f t="shared" si="204"/>
        <v>0.00491275338053127</v>
      </c>
      <c r="F64" s="117">
        <f t="shared" si="204"/>
        <v>0.00384472948523256</v>
      </c>
      <c r="G64" s="117">
        <f t="shared" si="204"/>
        <v>0.00404511962542582</v>
      </c>
      <c r="H64" s="117">
        <f t="shared" si="204"/>
        <v>0.00761863218968881</v>
      </c>
      <c r="I64" s="117">
        <f t="shared" si="204"/>
        <v>0.00852300317728478</v>
      </c>
      <c r="J64" s="117">
        <f t="shared" si="204"/>
        <v>0.00629431034915319</v>
      </c>
      <c r="K64" s="117">
        <f t="shared" si="204"/>
        <v>0.00276245428344644</v>
      </c>
      <c r="L64" s="117">
        <f t="shared" si="204"/>
        <v>0.00212342282161083</v>
      </c>
      <c r="M64" s="117">
        <f t="shared" si="204"/>
        <v>0.00831644578670573</v>
      </c>
      <c r="N64" s="117">
        <f t="shared" si="204"/>
        <v>0.0109360039960524</v>
      </c>
      <c r="O64" s="117">
        <f t="shared" si="204"/>
        <v>0.00548698581405168</v>
      </c>
      <c r="P64" s="9">
        <f t="shared" si="204"/>
        <v>0.00586232267123683</v>
      </c>
      <c r="Q64" s="117">
        <f t="shared" si="204"/>
        <v>0.00631315875747088</v>
      </c>
      <c r="R64" s="117">
        <f t="shared" si="204"/>
        <v>0.00680060282089256</v>
      </c>
      <c r="S64" s="117">
        <f t="shared" si="204"/>
        <v>0.00458755239239922</v>
      </c>
      <c r="T64" s="117">
        <f t="shared" si="204"/>
        <v>0.00309766295822286</v>
      </c>
      <c r="U64" s="117">
        <f t="shared" si="204"/>
        <v>0.00382588558409782</v>
      </c>
      <c r="V64" s="117">
        <f t="shared" si="204"/>
        <v>0.00785804556509547</v>
      </c>
      <c r="W64" s="117">
        <f t="shared" si="204"/>
        <v>0.00579146243040225</v>
      </c>
      <c r="X64" s="117">
        <f t="shared" si="204"/>
        <v>0.00489851697888836</v>
      </c>
      <c r="Y64" s="117">
        <f t="shared" si="204"/>
        <v>0.00218340121409897</v>
      </c>
      <c r="Z64" s="117">
        <f t="shared" si="204"/>
        <v>0.00723231623025542</v>
      </c>
      <c r="AA64" s="117">
        <f t="shared" si="204"/>
        <v>0.0105596973801602</v>
      </c>
      <c r="AB64" s="117">
        <f t="shared" si="204"/>
        <v>0.00892342615865406</v>
      </c>
      <c r="AC64" s="9">
        <f t="shared" si="204"/>
        <v>0.00609846695407976</v>
      </c>
      <c r="AD64" s="117">
        <f t="shared" si="204"/>
        <v>0.000122682658491651</v>
      </c>
      <c r="AE64" s="117">
        <f t="shared" si="204"/>
        <v>2.80337803269447e-5</v>
      </c>
      <c r="AF64" s="117">
        <f t="shared" si="204"/>
        <v>2.71522678618541e-5</v>
      </c>
      <c r="AG64" s="117">
        <f t="shared" si="204"/>
        <v>1.82070523369705e-5</v>
      </c>
      <c r="AH64" s="117">
        <f t="shared" si="204"/>
        <v>2.97672366019955e-5</v>
      </c>
      <c r="AI64" s="117">
        <f t="shared" si="204"/>
        <v>1.21210914086526e-5</v>
      </c>
      <c r="AJ64" s="117">
        <f t="shared" si="204"/>
        <v>1.08851473641096e-5</v>
      </c>
      <c r="AK64" s="117">
        <f t="shared" si="204"/>
        <v>8.57698914493668e-6</v>
      </c>
      <c r="AL64" s="117">
        <f t="shared" si="204"/>
        <v>8.46266216044791e-6</v>
      </c>
      <c r="AM64" s="117">
        <f t="shared" si="204"/>
        <v>0</v>
      </c>
      <c r="AN64" s="117">
        <f t="shared" si="204"/>
        <v>0</v>
      </c>
      <c r="AO64" s="117">
        <f t="shared" si="204"/>
        <v>0</v>
      </c>
      <c r="AP64" s="9">
        <f t="shared" si="204"/>
        <v>2.11437473897626e-5</v>
      </c>
      <c r="AQ64" s="117">
        <f t="shared" si="204"/>
        <v>4.16884651024092e-5</v>
      </c>
      <c r="AR64" s="117">
        <f t="shared" si="204"/>
        <v>1.97620767431679e-5</v>
      </c>
      <c r="AS64" s="117">
        <f t="shared" si="204"/>
        <v>2.59083941834517e-5</v>
      </c>
      <c r="AT64" s="117">
        <f t="shared" si="204"/>
        <v>0</v>
      </c>
      <c r="AU64" s="117">
        <f t="shared" si="204"/>
        <v>0</v>
      </c>
      <c r="AV64" s="117">
        <f t="shared" si="204"/>
        <v>0</v>
      </c>
      <c r="AW64" s="117">
        <f t="shared" si="204"/>
        <v>0</v>
      </c>
      <c r="AX64" s="117">
        <f t="shared" si="204"/>
        <v>0</v>
      </c>
      <c r="AY64" s="117">
        <f t="shared" si="204"/>
        <v>0</v>
      </c>
      <c r="AZ64" s="117">
        <f t="shared" si="204"/>
        <v>0</v>
      </c>
      <c r="BA64" s="117">
        <f t="shared" si="204"/>
        <v>0.00226308964191034</v>
      </c>
      <c r="BB64" s="117">
        <f t="shared" si="204"/>
        <v>0.000707592909819933</v>
      </c>
      <c r="BC64" s="9">
        <f t="shared" si="204"/>
        <v>0.000282994893482276</v>
      </c>
      <c r="BD64" s="117">
        <f t="shared" si="204"/>
        <v>0.00913695501898193</v>
      </c>
      <c r="BE64" s="117">
        <f t="shared" si="204"/>
        <v>0.00620351074371827</v>
      </c>
      <c r="BF64" s="117">
        <f t="shared" si="204"/>
        <v>0.00384264244002932</v>
      </c>
      <c r="BG64" s="117">
        <f t="shared" si="204"/>
        <v>0.00607089296314673</v>
      </c>
      <c r="BH64" s="117">
        <f t="shared" si="204"/>
        <v>0.00934105031729038</v>
      </c>
      <c r="BI64" s="117">
        <f t="shared" si="204"/>
        <v>0.0116603650727296</v>
      </c>
      <c r="BJ64" s="117">
        <f t="shared" si="204"/>
        <v>0.00772470888433472</v>
      </c>
      <c r="BK64" s="117">
        <f t="shared" si="204"/>
        <v>0.00153708940481961</v>
      </c>
      <c r="BL64" s="117">
        <f t="shared" si="204"/>
        <v>0.00147239217541545</v>
      </c>
      <c r="BM64" s="117">
        <f t="shared" si="204"/>
        <v>0.013327756241415</v>
      </c>
      <c r="BN64" s="117">
        <f t="shared" si="204"/>
        <v>0.0179095674511206</v>
      </c>
      <c r="BO64" s="117">
        <f t="shared" si="204"/>
        <v>0.00627603404423847</v>
      </c>
      <c r="BP64" s="9">
        <f t="shared" ref="BP64:EA64" si="205">BP24/BP$39</f>
        <v>0.00785421520310503</v>
      </c>
      <c r="BQ64" s="117">
        <f t="shared" si="205"/>
        <v>0.0116374005566494</v>
      </c>
      <c r="BR64" s="117">
        <f t="shared" si="205"/>
        <v>0.00956396563780093</v>
      </c>
      <c r="BS64" s="117">
        <f t="shared" si="205"/>
        <v>0.00898910485977499</v>
      </c>
      <c r="BT64" s="117">
        <f t="shared" si="205"/>
        <v>0.0106650904522084</v>
      </c>
      <c r="BU64" s="117">
        <f t="shared" si="205"/>
        <v>0.0148265365401876</v>
      </c>
      <c r="BV64" s="117">
        <f t="shared" si="205"/>
        <v>0.00994994986846888</v>
      </c>
      <c r="BW64" s="117">
        <f t="shared" si="205"/>
        <v>0.0104385891961551</v>
      </c>
      <c r="BX64" s="117">
        <f t="shared" si="205"/>
        <v>0.00488490634646075</v>
      </c>
      <c r="BY64" s="117">
        <f t="shared" si="205"/>
        <v>0.00532771853444619</v>
      </c>
      <c r="BZ64" s="117">
        <f t="shared" si="205"/>
        <v>0.0181641965284512</v>
      </c>
      <c r="CA64" s="117">
        <f t="shared" si="205"/>
        <v>0.0202686357291726</v>
      </c>
      <c r="CB64" s="117">
        <f t="shared" si="205"/>
        <v>0.0138204223213025</v>
      </c>
      <c r="CC64" s="9">
        <f t="shared" si="205"/>
        <v>0.0114778795715284</v>
      </c>
      <c r="CD64" s="117">
        <f t="shared" si="205"/>
        <v>0.00206886779700396</v>
      </c>
      <c r="CE64" s="117">
        <f t="shared" si="205"/>
        <v>0.00447037932927158</v>
      </c>
      <c r="CF64" s="117">
        <f t="shared" si="205"/>
        <v>0.00357498915200107</v>
      </c>
      <c r="CG64" s="117">
        <f t="shared" si="205"/>
        <v>0.0030596401331938</v>
      </c>
      <c r="CH64" s="117">
        <f t="shared" si="205"/>
        <v>0.00855677954574095</v>
      </c>
      <c r="CI64" s="117">
        <f t="shared" si="205"/>
        <v>0.0113119754002002</v>
      </c>
      <c r="CJ64" s="117">
        <f t="shared" si="205"/>
        <v>0.0125160767801451</v>
      </c>
      <c r="CK64" s="117">
        <f t="shared" si="205"/>
        <v>0.00394672478872155</v>
      </c>
      <c r="CL64" s="117">
        <f t="shared" si="205"/>
        <v>0.00314554576215117</v>
      </c>
      <c r="CM64" s="117">
        <f t="shared" si="205"/>
        <v>0.0192987104833019</v>
      </c>
      <c r="CN64" s="117">
        <f t="shared" si="205"/>
        <v>0.0264647501485475</v>
      </c>
      <c r="CO64" s="117">
        <f t="shared" si="205"/>
        <v>0.0126346658713766</v>
      </c>
      <c r="CP64" s="9">
        <f t="shared" si="205"/>
        <v>0.00923608949059102</v>
      </c>
      <c r="CQ64" s="117">
        <f t="shared" si="205"/>
        <v>0.0119624459299624</v>
      </c>
      <c r="CR64" s="117">
        <f t="shared" si="205"/>
        <v>0.00627594185571844</v>
      </c>
      <c r="CS64" s="117">
        <f t="shared" si="205"/>
        <v>0.00755473833234925</v>
      </c>
      <c r="CT64" s="117">
        <f t="shared" si="205"/>
        <v>0.00749302790739516</v>
      </c>
      <c r="CU64" s="117">
        <f t="shared" si="205"/>
        <v>0.0103321812923211</v>
      </c>
      <c r="CV64" s="117">
        <f t="shared" si="205"/>
        <v>0.0174510679466372</v>
      </c>
      <c r="CW64" s="117">
        <f t="shared" si="205"/>
        <v>0.0131288959027673</v>
      </c>
      <c r="CX64" s="117">
        <f t="shared" si="205"/>
        <v>0.00551242501020548</v>
      </c>
      <c r="CY64" s="117">
        <f t="shared" si="205"/>
        <v>0.00141390156385988</v>
      </c>
      <c r="CZ64" s="117">
        <f t="shared" si="205"/>
        <v>0.0118387103139973</v>
      </c>
      <c r="DA64" s="117">
        <f t="shared" si="205"/>
        <v>0.0228523631037719</v>
      </c>
      <c r="DB64" s="117">
        <f t="shared" si="205"/>
        <v>0.00838112824579759</v>
      </c>
      <c r="DC64" s="9">
        <f t="shared" si="205"/>
        <v>0.0102691216207308</v>
      </c>
      <c r="DD64" s="117">
        <f t="shared" si="205"/>
        <v>0.00896319555551835</v>
      </c>
      <c r="DE64" s="117">
        <f t="shared" si="205"/>
        <v>0.0103878724884825</v>
      </c>
      <c r="DF64" s="117">
        <f t="shared" si="205"/>
        <v>0.00588522004504412</v>
      </c>
      <c r="DG64" s="117">
        <f t="shared" si="205"/>
        <v>0.00737227171310902</v>
      </c>
      <c r="DH64" s="117">
        <f t="shared" si="205"/>
        <v>0.0098866796618733</v>
      </c>
      <c r="DI64" s="117">
        <f t="shared" si="205"/>
        <v>0.0257444587662919</v>
      </c>
      <c r="DJ64" s="117">
        <f t="shared" si="205"/>
        <v>0.0168401030814355</v>
      </c>
      <c r="DK64" s="117">
        <f t="shared" si="205"/>
        <v>0.0094180500353138</v>
      </c>
      <c r="DL64" s="117">
        <f t="shared" si="205"/>
        <v>0.00968237786465849</v>
      </c>
      <c r="DM64" s="117">
        <f t="shared" si="205"/>
        <v>0.0314055554548839</v>
      </c>
      <c r="DN64" s="117">
        <f t="shared" si="205"/>
        <v>0.0302962788633981</v>
      </c>
      <c r="DO64" s="117">
        <f t="shared" si="205"/>
        <v>0.0166261797206918</v>
      </c>
      <c r="DP64" s="9">
        <f t="shared" si="205"/>
        <v>0.0145932323734509</v>
      </c>
      <c r="DQ64" s="117">
        <f t="shared" si="205"/>
        <v>0.00637465503667474</v>
      </c>
      <c r="DR64" s="117">
        <f t="shared" si="205"/>
        <v>0.00613694127762134</v>
      </c>
      <c r="DS64" s="117">
        <f t="shared" si="205"/>
        <v>0.00442449543941898</v>
      </c>
      <c r="DT64" s="117">
        <f t="shared" si="205"/>
        <v>0.00355808264380853</v>
      </c>
      <c r="DU64" s="117">
        <f t="shared" si="205"/>
        <v>0.00999870255917782</v>
      </c>
      <c r="DV64" s="117">
        <f t="shared" si="205"/>
        <v>0.0159773059052429</v>
      </c>
      <c r="DW64" s="117">
        <f t="shared" si="205"/>
        <v>0.00758726334436873</v>
      </c>
      <c r="DX64" s="117">
        <f t="shared" si="205"/>
        <v>0.00175505311177535</v>
      </c>
      <c r="DY64" s="117">
        <f t="shared" si="205"/>
        <v>0.0031145450998695</v>
      </c>
      <c r="DZ64" s="117">
        <f t="shared" si="205"/>
        <v>0.013095634352841</v>
      </c>
      <c r="EA64" s="117">
        <f t="shared" si="205"/>
        <v>0.0163099547965883</v>
      </c>
      <c r="EB64" s="117">
        <f t="shared" ref="EB64:FC64" si="206">EB24/EB$39</f>
        <v>0.00293396077453534</v>
      </c>
      <c r="EC64" s="117">
        <f t="shared" si="206"/>
        <v>0.00746621043511946</v>
      </c>
      <c r="ED64" s="118">
        <f t="shared" si="206"/>
        <v>0.00892764160738622</v>
      </c>
      <c r="EE64" s="117">
        <f t="shared" si="206"/>
        <v>0</v>
      </c>
      <c r="EF64" s="117">
        <f t="shared" si="206"/>
        <v>0</v>
      </c>
      <c r="EG64" s="117">
        <f t="shared" si="206"/>
        <v>0</v>
      </c>
      <c r="EH64" s="117" t="e">
        <f t="shared" si="206"/>
        <v>#DIV/0!</v>
      </c>
      <c r="EI64" s="117" t="e">
        <f t="shared" si="206"/>
        <v>#DIV/0!</v>
      </c>
      <c r="EJ64" s="117" t="e">
        <f t="shared" si="206"/>
        <v>#DIV/0!</v>
      </c>
      <c r="EK64" s="117" t="e">
        <f t="shared" si="206"/>
        <v>#DIV/0!</v>
      </c>
      <c r="EL64" s="117" t="e">
        <f t="shared" si="206"/>
        <v>#DIV/0!</v>
      </c>
      <c r="EM64" s="117" t="e">
        <f t="shared" si="206"/>
        <v>#DIV/0!</v>
      </c>
      <c r="EN64" s="117" t="e">
        <f t="shared" si="206"/>
        <v>#DIV/0!</v>
      </c>
      <c r="EO64" s="117" t="e">
        <f t="shared" si="206"/>
        <v>#DIV/0!</v>
      </c>
      <c r="EP64" s="9">
        <f t="shared" si="206"/>
        <v>0.00729929016937751</v>
      </c>
      <c r="EQ64" s="117">
        <f t="shared" si="206"/>
        <v>0.00853574534488297</v>
      </c>
      <c r="ER64" s="117">
        <f t="shared" si="206"/>
        <v>0.00645155761805517</v>
      </c>
      <c r="ES64" s="117">
        <f t="shared" si="206"/>
        <v>0.00574918064425711</v>
      </c>
      <c r="ET64" s="117">
        <f t="shared" si="206"/>
        <v>0.00451774428942174</v>
      </c>
      <c r="EU64" s="117">
        <f t="shared" si="206"/>
        <v>0.00849328413463493</v>
      </c>
      <c r="EV64" s="117">
        <f t="shared" si="206"/>
        <v>0.0247620149309873</v>
      </c>
      <c r="EW64" s="117">
        <f t="shared" si="206"/>
        <v>0.0269411087562259</v>
      </c>
      <c r="EX64" s="117">
        <f t="shared" si="206"/>
        <v>0.00923042729179718</v>
      </c>
      <c r="EY64" s="117">
        <f t="shared" si="206"/>
        <v>0.00388249426057417</v>
      </c>
      <c r="EZ64" s="117">
        <f t="shared" si="206"/>
        <v>0.0162059888976542</v>
      </c>
      <c r="FA64" s="117">
        <f t="shared" si="206"/>
        <v>0.0291327187539352</v>
      </c>
      <c r="FB64" s="117">
        <f t="shared" si="206"/>
        <v>0.0117825374368145</v>
      </c>
      <c r="FC64" s="117">
        <f t="shared" si="206"/>
        <v>0.0127713062429999</v>
      </c>
      <c r="FD64" s="118"/>
      <c r="FE64" s="117"/>
      <c r="FF64" s="117"/>
      <c r="FG64" s="117"/>
      <c r="FH64" s="117"/>
      <c r="FI64" s="117"/>
      <c r="FJ64" s="117"/>
      <c r="FK64" s="117"/>
      <c r="FL64" s="117"/>
      <c r="FM64" s="117"/>
      <c r="FN64" s="117"/>
      <c r="FO64" s="117"/>
      <c r="FP64" s="9"/>
      <c r="FQ64" s="118">
        <f t="shared" ref="FQ64:GC64" si="207">FQ24/FQ$39</f>
        <v>0.00247175582671356</v>
      </c>
      <c r="FR64" s="117">
        <f t="shared" si="207"/>
        <v>0.000784837425713484</v>
      </c>
      <c r="FS64" s="117">
        <f t="shared" si="207"/>
        <v>0.000357186340507905</v>
      </c>
      <c r="FT64" s="117">
        <f t="shared" si="207"/>
        <v>0.000274581243768609</v>
      </c>
      <c r="FU64" s="117">
        <f t="shared" si="207"/>
        <v>0.00567319244851543</v>
      </c>
      <c r="FV64" s="117">
        <f t="shared" si="207"/>
        <v>0.00267926252914945</v>
      </c>
      <c r="FW64" s="117">
        <f t="shared" si="207"/>
        <v>0.00108233380704572</v>
      </c>
      <c r="FX64" s="117">
        <f t="shared" si="207"/>
        <v>0.000911043452876659</v>
      </c>
      <c r="FY64" s="117">
        <f t="shared" si="207"/>
        <v>0.000755610262657247</v>
      </c>
      <c r="FZ64" s="117">
        <f t="shared" si="207"/>
        <v>0.000493031493407214</v>
      </c>
      <c r="GA64" s="117">
        <f t="shared" si="207"/>
        <v>0.00029671209412897</v>
      </c>
      <c r="GB64" s="117">
        <f t="shared" si="207"/>
        <v>0.000577251247174208</v>
      </c>
      <c r="GC64" s="9">
        <f t="shared" si="207"/>
        <v>0.00124194917196729</v>
      </c>
    </row>
    <row r="65" customHeight="1" spans="1:185">
      <c r="A65" s="114"/>
      <c r="B65" s="115" t="s">
        <v>418</v>
      </c>
      <c r="C65" s="116">
        <f t="shared" si="87"/>
        <v>-0.442183268000889</v>
      </c>
      <c r="D65" s="117">
        <f t="shared" ref="D65:AI65" si="208">D25/D$39</f>
        <v>0.00963298570556131</v>
      </c>
      <c r="E65" s="117">
        <f t="shared" si="208"/>
        <v>0.00898074273241101</v>
      </c>
      <c r="F65" s="117">
        <f t="shared" si="208"/>
        <v>0.00738197404515429</v>
      </c>
      <c r="G65" s="117">
        <f t="shared" si="208"/>
        <v>0.0109152033415407</v>
      </c>
      <c r="H65" s="117">
        <f t="shared" si="208"/>
        <v>0.0141213770849589</v>
      </c>
      <c r="I65" s="117">
        <f t="shared" si="208"/>
        <v>0.0113334952400221</v>
      </c>
      <c r="J65" s="117">
        <f t="shared" si="208"/>
        <v>0.0131806095123917</v>
      </c>
      <c r="K65" s="117">
        <f t="shared" si="208"/>
        <v>0.00805752217238531</v>
      </c>
      <c r="L65" s="117">
        <f t="shared" si="208"/>
        <v>0.0119055467864206</v>
      </c>
      <c r="M65" s="117">
        <f t="shared" si="208"/>
        <v>0.0122142191372812</v>
      </c>
      <c r="N65" s="117">
        <f t="shared" si="208"/>
        <v>0.00781312193317871</v>
      </c>
      <c r="O65" s="117">
        <f t="shared" si="208"/>
        <v>0.00348380786358468</v>
      </c>
      <c r="P65" s="9">
        <f t="shared" si="208"/>
        <v>0.00974935999337936</v>
      </c>
      <c r="Q65" s="117">
        <f t="shared" si="208"/>
        <v>0.00837928010379277</v>
      </c>
      <c r="R65" s="117">
        <f t="shared" si="208"/>
        <v>0.00699511538493784</v>
      </c>
      <c r="S65" s="117">
        <f t="shared" si="208"/>
        <v>0.00760245332632101</v>
      </c>
      <c r="T65" s="117">
        <f t="shared" si="208"/>
        <v>0.0102002771095061</v>
      </c>
      <c r="U65" s="117">
        <f t="shared" si="208"/>
        <v>0.00983688727361839</v>
      </c>
      <c r="V65" s="117">
        <f t="shared" si="208"/>
        <v>0.0111087932799935</v>
      </c>
      <c r="W65" s="117">
        <f t="shared" si="208"/>
        <v>0.0154978967898771</v>
      </c>
      <c r="X65" s="117">
        <f t="shared" si="208"/>
        <v>0.0112537767240938</v>
      </c>
      <c r="Y65" s="117">
        <f t="shared" si="208"/>
        <v>0.00953319084812262</v>
      </c>
      <c r="Z65" s="117">
        <f t="shared" si="208"/>
        <v>0.00788268944288473</v>
      </c>
      <c r="AA65" s="117">
        <f t="shared" si="208"/>
        <v>0.00727740546479504</v>
      </c>
      <c r="AB65" s="117">
        <f t="shared" si="208"/>
        <v>0.00486592894576556</v>
      </c>
      <c r="AC65" s="9">
        <f t="shared" si="208"/>
        <v>0.00907021900800053</v>
      </c>
      <c r="AD65" s="117">
        <f t="shared" si="208"/>
        <v>0.00437030457592028</v>
      </c>
      <c r="AE65" s="117">
        <f t="shared" si="208"/>
        <v>0.00304999620960213</v>
      </c>
      <c r="AF65" s="117">
        <f t="shared" si="208"/>
        <v>0.00258121641528644</v>
      </c>
      <c r="AG65" s="117">
        <f t="shared" si="208"/>
        <v>0.00407891144132691</v>
      </c>
      <c r="AH65" s="117">
        <f t="shared" si="208"/>
        <v>0.00408835541679628</v>
      </c>
      <c r="AI65" s="117">
        <f t="shared" si="208"/>
        <v>0.0051021571979472</v>
      </c>
      <c r="AJ65" s="117">
        <f t="shared" ref="AJ65:BO65" si="209">AJ25/AJ$39</f>
        <v>0.00581871295767942</v>
      </c>
      <c r="AK65" s="117">
        <f t="shared" si="209"/>
        <v>0.00459215877860227</v>
      </c>
      <c r="AL65" s="117">
        <f t="shared" si="209"/>
        <v>0.00481378762434744</v>
      </c>
      <c r="AM65" s="117">
        <f t="shared" si="209"/>
        <v>0.00644875169703992</v>
      </c>
      <c r="AN65" s="117">
        <f t="shared" si="209"/>
        <v>0.00691581361953111</v>
      </c>
      <c r="AO65" s="117">
        <f t="shared" si="209"/>
        <v>0.00476076440908794</v>
      </c>
      <c r="AP65" s="9">
        <f t="shared" si="209"/>
        <v>0.00479819490706103</v>
      </c>
      <c r="AQ65" s="117">
        <f t="shared" si="209"/>
        <v>0.00475282760299763</v>
      </c>
      <c r="AR65" s="117">
        <f t="shared" si="209"/>
        <v>0.00402778929844671</v>
      </c>
      <c r="AS65" s="117">
        <f t="shared" si="209"/>
        <v>0.00340380441934364</v>
      </c>
      <c r="AT65" s="117">
        <f t="shared" si="209"/>
        <v>0.00478340882238535</v>
      </c>
      <c r="AU65" s="117">
        <f t="shared" si="209"/>
        <v>0.00752175028961702</v>
      </c>
      <c r="AV65" s="117">
        <f t="shared" si="209"/>
        <v>0.00628486119271242</v>
      </c>
      <c r="AW65" s="117">
        <f t="shared" si="209"/>
        <v>0.00531366182263793</v>
      </c>
      <c r="AX65" s="117">
        <f t="shared" si="209"/>
        <v>0.00459531497812573</v>
      </c>
      <c r="AY65" s="117">
        <f t="shared" si="209"/>
        <v>0.00533211092170535</v>
      </c>
      <c r="AZ65" s="117">
        <f t="shared" si="209"/>
        <v>0.00887450179712326</v>
      </c>
      <c r="BA65" s="117">
        <f t="shared" si="209"/>
        <v>0.00378896068834988</v>
      </c>
      <c r="BB65" s="117">
        <f t="shared" si="209"/>
        <v>0.00161352625648333</v>
      </c>
      <c r="BC65" s="9">
        <f t="shared" si="209"/>
        <v>0.00491849365071853</v>
      </c>
      <c r="BD65" s="117">
        <f t="shared" si="209"/>
        <v>0.0377748744407885</v>
      </c>
      <c r="BE65" s="117">
        <f t="shared" si="209"/>
        <v>0.0379007299661185</v>
      </c>
      <c r="BF65" s="117">
        <f t="shared" si="209"/>
        <v>0.0440564588198904</v>
      </c>
      <c r="BG65" s="117">
        <f t="shared" si="209"/>
        <v>0.0497056834692047</v>
      </c>
      <c r="BH65" s="117">
        <f t="shared" si="209"/>
        <v>0.0606821227725853</v>
      </c>
      <c r="BI65" s="117">
        <f t="shared" si="209"/>
        <v>0.0427396575947797</v>
      </c>
      <c r="BJ65" s="117">
        <f t="shared" si="209"/>
        <v>0.0351357398514418</v>
      </c>
      <c r="BK65" s="117">
        <f t="shared" si="209"/>
        <v>0.024640449084234</v>
      </c>
      <c r="BL65" s="117">
        <f t="shared" si="209"/>
        <v>0.0226953887078687</v>
      </c>
      <c r="BM65" s="117">
        <f t="shared" si="209"/>
        <v>0.0235974601998646</v>
      </c>
      <c r="BN65" s="117">
        <f t="shared" si="209"/>
        <v>0.0176024986408754</v>
      </c>
      <c r="BO65" s="117">
        <f t="shared" si="209"/>
        <v>0.0136285117179154</v>
      </c>
      <c r="BP65" s="9">
        <f t="shared" ref="BP65:CU65" si="210">BP25/BP$39</f>
        <v>0.0329058247161958</v>
      </c>
      <c r="BQ65" s="117">
        <f t="shared" si="210"/>
        <v>0.00773263692227544</v>
      </c>
      <c r="BR65" s="117">
        <f t="shared" si="210"/>
        <v>0.00828657764632742</v>
      </c>
      <c r="BS65" s="117">
        <f t="shared" si="210"/>
        <v>0.00710383510444038</v>
      </c>
      <c r="BT65" s="117">
        <f t="shared" si="210"/>
        <v>0.0116292887192787</v>
      </c>
      <c r="BU65" s="117">
        <f t="shared" si="210"/>
        <v>0.0163250690520845</v>
      </c>
      <c r="BV65" s="117">
        <f t="shared" si="210"/>
        <v>0.0101026094939529</v>
      </c>
      <c r="BW65" s="117">
        <f t="shared" si="210"/>
        <v>0.0123385921245483</v>
      </c>
      <c r="BX65" s="117">
        <f t="shared" si="210"/>
        <v>0.0074861484918476</v>
      </c>
      <c r="BY65" s="117">
        <f t="shared" si="210"/>
        <v>0.0108415290023465</v>
      </c>
      <c r="BZ65" s="117">
        <f t="shared" si="210"/>
        <v>0.0148414145575131</v>
      </c>
      <c r="CA65" s="117">
        <f t="shared" si="210"/>
        <v>0.0080748683274154</v>
      </c>
      <c r="CB65" s="117">
        <f t="shared" si="210"/>
        <v>0.00227825423899069</v>
      </c>
      <c r="CC65" s="9">
        <f t="shared" si="210"/>
        <v>0.00954045056324746</v>
      </c>
      <c r="CD65" s="117">
        <f t="shared" si="210"/>
        <v>0.00335272060501925</v>
      </c>
      <c r="CE65" s="117">
        <f t="shared" si="210"/>
        <v>0.00561834468289381</v>
      </c>
      <c r="CF65" s="117">
        <f t="shared" si="210"/>
        <v>0.00480273305414867</v>
      </c>
      <c r="CG65" s="117">
        <f t="shared" si="210"/>
        <v>0.0061129342017701</v>
      </c>
      <c r="CH65" s="117">
        <f t="shared" si="210"/>
        <v>0.00843968377643926</v>
      </c>
      <c r="CI65" s="117">
        <f t="shared" si="210"/>
        <v>0.011034260939046</v>
      </c>
      <c r="CJ65" s="117">
        <f t="shared" si="210"/>
        <v>0.0163792495047606</v>
      </c>
      <c r="CK65" s="117">
        <f t="shared" si="210"/>
        <v>0.0107604469202935</v>
      </c>
      <c r="CL65" s="117">
        <f t="shared" si="210"/>
        <v>0.0169904763629472</v>
      </c>
      <c r="CM65" s="117">
        <f t="shared" si="210"/>
        <v>0.0201906937991639</v>
      </c>
      <c r="CN65" s="117">
        <f t="shared" si="210"/>
        <v>0.0198669241513317</v>
      </c>
      <c r="CO65" s="117">
        <f t="shared" si="210"/>
        <v>0.00648704343106518</v>
      </c>
      <c r="CP65" s="9">
        <f t="shared" si="210"/>
        <v>0.0110061078686695</v>
      </c>
      <c r="CQ65" s="117">
        <f t="shared" si="210"/>
        <v>0.00492327006947852</v>
      </c>
      <c r="CR65" s="117">
        <f t="shared" si="210"/>
        <v>0.00405086010741362</v>
      </c>
      <c r="CS65" s="117">
        <f t="shared" si="210"/>
        <v>0.00278097603902382</v>
      </c>
      <c r="CT65" s="117">
        <f t="shared" si="210"/>
        <v>0.00396158309650343</v>
      </c>
      <c r="CU65" s="117">
        <f t="shared" si="210"/>
        <v>0.00582615805627542</v>
      </c>
      <c r="CV65" s="117">
        <f t="shared" ref="CV65:EA65" si="211">CV25/CV$39</f>
        <v>0.00521708668870906</v>
      </c>
      <c r="CW65" s="117">
        <f t="shared" si="211"/>
        <v>0.00722828605025424</v>
      </c>
      <c r="CX65" s="117">
        <f t="shared" si="211"/>
        <v>0.00344629879347435</v>
      </c>
      <c r="CY65" s="117">
        <f t="shared" si="211"/>
        <v>0.00575958381706107</v>
      </c>
      <c r="CZ65" s="117">
        <f t="shared" si="211"/>
        <v>0.00849357415705524</v>
      </c>
      <c r="DA65" s="117">
        <f t="shared" si="211"/>
        <v>0.00526663016361899</v>
      </c>
      <c r="DB65" s="117">
        <f t="shared" si="211"/>
        <v>0.00122315633347878</v>
      </c>
      <c r="DC65" s="9">
        <f t="shared" si="211"/>
        <v>0.00480849624535813</v>
      </c>
      <c r="DD65" s="117">
        <f t="shared" si="211"/>
        <v>0.00475184214351848</v>
      </c>
      <c r="DE65" s="117">
        <f t="shared" si="211"/>
        <v>0.00514881206851503</v>
      </c>
      <c r="DF65" s="117">
        <f t="shared" si="211"/>
        <v>0.00483997817445179</v>
      </c>
      <c r="DG65" s="117">
        <f t="shared" si="211"/>
        <v>0.0081083490651422</v>
      </c>
      <c r="DH65" s="117">
        <f t="shared" si="211"/>
        <v>0.00849162896169301</v>
      </c>
      <c r="DI65" s="117">
        <f t="shared" si="211"/>
        <v>0.0159267344523949</v>
      </c>
      <c r="DJ65" s="117">
        <f t="shared" si="211"/>
        <v>0.0171505083106841</v>
      </c>
      <c r="DK65" s="117">
        <f t="shared" si="211"/>
        <v>0.0105090960255296</v>
      </c>
      <c r="DL65" s="117">
        <f t="shared" si="211"/>
        <v>0.0200011350321443</v>
      </c>
      <c r="DM65" s="117">
        <f t="shared" si="211"/>
        <v>0.0222124513770339</v>
      </c>
      <c r="DN65" s="117">
        <f t="shared" si="211"/>
        <v>0.0131127359191785</v>
      </c>
      <c r="DO65" s="117">
        <f t="shared" si="211"/>
        <v>0.00500832135953442</v>
      </c>
      <c r="DP65" s="9">
        <f t="shared" si="211"/>
        <v>0.010683787935099</v>
      </c>
      <c r="DQ65" s="117">
        <f t="shared" si="211"/>
        <v>0.00594210387685176</v>
      </c>
      <c r="DR65" s="117">
        <f t="shared" si="211"/>
        <v>0.00564628658620929</v>
      </c>
      <c r="DS65" s="117">
        <f t="shared" si="211"/>
        <v>0.00373607170884271</v>
      </c>
      <c r="DT65" s="117">
        <f t="shared" si="211"/>
        <v>0.0053792093958551</v>
      </c>
      <c r="DU65" s="117">
        <f t="shared" si="211"/>
        <v>0.00654679919770343</v>
      </c>
      <c r="DV65" s="117">
        <f t="shared" si="211"/>
        <v>0.00755014371936374</v>
      </c>
      <c r="DW65" s="117">
        <f t="shared" si="211"/>
        <v>0.00879177030854822</v>
      </c>
      <c r="DX65" s="117">
        <f t="shared" si="211"/>
        <v>0.0051698277500588</v>
      </c>
      <c r="DY65" s="117">
        <f t="shared" si="211"/>
        <v>0.0131926114112494</v>
      </c>
      <c r="DZ65" s="117">
        <f t="shared" si="211"/>
        <v>0.0106719317379301</v>
      </c>
      <c r="EA65" s="117">
        <f t="shared" si="211"/>
        <v>0.00499128570986533</v>
      </c>
      <c r="EB65" s="117">
        <f t="shared" ref="EB65:FT65" si="212">EB25/EB$39</f>
        <v>0</v>
      </c>
      <c r="EC65" s="117">
        <f t="shared" si="212"/>
        <v>0.00647406225111736</v>
      </c>
      <c r="ED65" s="118">
        <f t="shared" si="212"/>
        <v>0.0059397054277589</v>
      </c>
      <c r="EE65" s="117">
        <f t="shared" si="212"/>
        <v>0</v>
      </c>
      <c r="EF65" s="117">
        <f t="shared" si="212"/>
        <v>0</v>
      </c>
      <c r="EG65" s="117">
        <f t="shared" si="212"/>
        <v>0</v>
      </c>
      <c r="EH65" s="117" t="e">
        <f t="shared" si="212"/>
        <v>#DIV/0!</v>
      </c>
      <c r="EI65" s="117" t="e">
        <f t="shared" si="212"/>
        <v>#DIV/0!</v>
      </c>
      <c r="EJ65" s="117" t="e">
        <f t="shared" si="212"/>
        <v>#DIV/0!</v>
      </c>
      <c r="EK65" s="117" t="e">
        <f t="shared" si="212"/>
        <v>#DIV/0!</v>
      </c>
      <c r="EL65" s="117" t="e">
        <f t="shared" si="212"/>
        <v>#DIV/0!</v>
      </c>
      <c r="EM65" s="117" t="e">
        <f t="shared" si="212"/>
        <v>#DIV/0!</v>
      </c>
      <c r="EN65" s="117" t="e">
        <f t="shared" si="212"/>
        <v>#DIV/0!</v>
      </c>
      <c r="EO65" s="117" t="e">
        <f t="shared" si="212"/>
        <v>#DIV/0!</v>
      </c>
      <c r="EP65" s="9">
        <f t="shared" si="212"/>
        <v>0.00485633668380783</v>
      </c>
      <c r="EQ65" s="117">
        <f t="shared" si="212"/>
        <v>0.00623798337680624</v>
      </c>
      <c r="ER65" s="117">
        <f t="shared" si="212"/>
        <v>0.00378585170217379</v>
      </c>
      <c r="ES65" s="117">
        <f t="shared" si="212"/>
        <v>0.00364646174168451</v>
      </c>
      <c r="ET65" s="117">
        <f t="shared" si="212"/>
        <v>0.00558906860073069</v>
      </c>
      <c r="EU65" s="117">
        <f t="shared" si="212"/>
        <v>0.00551147948993534</v>
      </c>
      <c r="EV65" s="117">
        <f t="shared" si="212"/>
        <v>0.00684506534098848</v>
      </c>
      <c r="EW65" s="117">
        <f t="shared" si="212"/>
        <v>0.0183007398065551</v>
      </c>
      <c r="EX65" s="117">
        <f t="shared" si="212"/>
        <v>0.01744256837733</v>
      </c>
      <c r="EY65" s="117">
        <f t="shared" si="212"/>
        <v>0.0173204090617247</v>
      </c>
      <c r="EZ65" s="117">
        <f t="shared" si="212"/>
        <v>0.0203802781222824</v>
      </c>
      <c r="FA65" s="117">
        <f t="shared" si="212"/>
        <v>0.00938699565070236</v>
      </c>
      <c r="FB65" s="117">
        <f t="shared" si="212"/>
        <v>0.0027045833920269</v>
      </c>
      <c r="FC65" s="117">
        <f t="shared" si="212"/>
        <v>0.0101686073078324</v>
      </c>
      <c r="FD65" s="118"/>
      <c r="FE65" s="117"/>
      <c r="FF65" s="117"/>
      <c r="FG65" s="117"/>
      <c r="FH65" s="117"/>
      <c r="FI65" s="117"/>
      <c r="FJ65" s="117"/>
      <c r="FK65" s="117"/>
      <c r="FL65" s="117"/>
      <c r="FM65" s="117"/>
      <c r="FN65" s="117"/>
      <c r="FO65" s="117"/>
      <c r="FP65" s="9"/>
      <c r="FQ65" s="118">
        <f t="shared" si="212"/>
        <v>0.00985704475651655</v>
      </c>
      <c r="FR65" s="117">
        <f t="shared" si="212"/>
        <v>0.00751472655179016</v>
      </c>
      <c r="FS65" s="117">
        <f t="shared" si="212"/>
        <v>0.00424076054183643</v>
      </c>
      <c r="FT65" s="117">
        <f t="shared" si="212"/>
        <v>0.0103104791727348</v>
      </c>
      <c r="FU65" s="117">
        <f t="shared" ref="FU65:GC65" si="213">FU25/FU$39</f>
        <v>0.0151690874756696</v>
      </c>
      <c r="FV65" s="117">
        <f t="shared" si="213"/>
        <v>0.0107612853438569</v>
      </c>
      <c r="FW65" s="117">
        <f t="shared" si="213"/>
        <v>0.0133241745044525</v>
      </c>
      <c r="FX65" s="117">
        <f t="shared" si="213"/>
        <v>0.0049867422120662</v>
      </c>
      <c r="FY65" s="117">
        <f t="shared" si="213"/>
        <v>0.0163317349535087</v>
      </c>
      <c r="FZ65" s="117">
        <f t="shared" si="213"/>
        <v>0.0118493525177639</v>
      </c>
      <c r="GA65" s="117">
        <f t="shared" si="213"/>
        <v>0.00679885317218214</v>
      </c>
      <c r="GB65" s="117">
        <f t="shared" si="213"/>
        <v>0.00211254470798206</v>
      </c>
      <c r="GC65" s="9">
        <f t="shared" si="213"/>
        <v>0.0089779085058843</v>
      </c>
    </row>
    <row r="66" s="56" customFormat="1" ht="16.5" spans="1:185">
      <c r="A66" s="88" t="s">
        <v>419</v>
      </c>
      <c r="B66" s="119"/>
      <c r="C66" s="120">
        <f t="shared" si="87"/>
        <v>-0.271683154187066</v>
      </c>
      <c r="D66" s="121">
        <f t="shared" ref="D66:AI66" si="214">D26/D$39</f>
        <v>0.0742829583989064</v>
      </c>
      <c r="E66" s="121">
        <f t="shared" si="214"/>
        <v>0.0685266333753244</v>
      </c>
      <c r="F66" s="121">
        <f t="shared" si="214"/>
        <v>0.0582436637161871</v>
      </c>
      <c r="G66" s="121">
        <f t="shared" si="214"/>
        <v>0.0896152811912862</v>
      </c>
      <c r="H66" s="121">
        <f t="shared" si="214"/>
        <v>0.109830411257394</v>
      </c>
      <c r="I66" s="121">
        <f t="shared" si="214"/>
        <v>0.0933675610171754</v>
      </c>
      <c r="J66" s="121">
        <f t="shared" si="214"/>
        <v>0.0925291522912922</v>
      </c>
      <c r="K66" s="121">
        <f t="shared" si="214"/>
        <v>0.102874580332928</v>
      </c>
      <c r="L66" s="121">
        <f t="shared" si="214"/>
        <v>0.0998841545475047</v>
      </c>
      <c r="M66" s="121">
        <f t="shared" si="214"/>
        <v>0.0968190219914985</v>
      </c>
      <c r="N66" s="121">
        <f t="shared" si="214"/>
        <v>0.0771231429962081</v>
      </c>
      <c r="O66" s="121">
        <f t="shared" si="214"/>
        <v>0.0419807958762001</v>
      </c>
      <c r="P66" s="122">
        <f t="shared" si="214"/>
        <v>0.0825172342344518</v>
      </c>
      <c r="Q66" s="121">
        <f t="shared" si="214"/>
        <v>0.0668933946776438</v>
      </c>
      <c r="R66" s="121">
        <f t="shared" si="214"/>
        <v>0.0619409487193602</v>
      </c>
      <c r="S66" s="121">
        <f t="shared" si="214"/>
        <v>0.0490565742417854</v>
      </c>
      <c r="T66" s="121">
        <f t="shared" si="214"/>
        <v>0.0719700821008381</v>
      </c>
      <c r="U66" s="121">
        <f t="shared" si="214"/>
        <v>0.0951932145712243</v>
      </c>
      <c r="V66" s="121">
        <f t="shared" si="214"/>
        <v>0.107637257170476</v>
      </c>
      <c r="W66" s="121">
        <f t="shared" si="214"/>
        <v>0.100492692639352</v>
      </c>
      <c r="X66" s="121">
        <f t="shared" si="214"/>
        <v>0.122159291167336</v>
      </c>
      <c r="Y66" s="121">
        <f t="shared" si="214"/>
        <v>0.102857520079589</v>
      </c>
      <c r="Z66" s="121">
        <f t="shared" si="214"/>
        <v>0.0792201647239866</v>
      </c>
      <c r="AA66" s="121">
        <f t="shared" si="214"/>
        <v>0.0639331970120428</v>
      </c>
      <c r="AB66" s="121">
        <f t="shared" si="214"/>
        <v>0.0459159969983694</v>
      </c>
      <c r="AC66" s="122">
        <f t="shared" si="214"/>
        <v>0.0798921840667118</v>
      </c>
      <c r="AD66" s="121">
        <f t="shared" si="214"/>
        <v>0.0477320078976996</v>
      </c>
      <c r="AE66" s="121">
        <f t="shared" si="214"/>
        <v>0.0356828134482685</v>
      </c>
      <c r="AF66" s="121">
        <f t="shared" si="214"/>
        <v>0.0295495787094642</v>
      </c>
      <c r="AG66" s="121">
        <f t="shared" si="214"/>
        <v>0.0459847225366817</v>
      </c>
      <c r="AH66" s="121">
        <f t="shared" si="214"/>
        <v>0.0594246920698243</v>
      </c>
      <c r="AI66" s="121">
        <f t="shared" si="214"/>
        <v>0.0592053187105461</v>
      </c>
      <c r="AJ66" s="121">
        <f t="shared" ref="AJ66:BO66" si="215">AJ26/AJ$39</f>
        <v>0.0658023841426486</v>
      </c>
      <c r="AK66" s="121">
        <f t="shared" si="215"/>
        <v>0.0951705086046812</v>
      </c>
      <c r="AL66" s="121">
        <f t="shared" si="215"/>
        <v>0.102648328460498</v>
      </c>
      <c r="AM66" s="121">
        <f t="shared" si="215"/>
        <v>0.0854231639271484</v>
      </c>
      <c r="AN66" s="121">
        <f t="shared" si="215"/>
        <v>0.0709652117062891</v>
      </c>
      <c r="AO66" s="121">
        <f t="shared" si="215"/>
        <v>0.0451583400746264</v>
      </c>
      <c r="AP66" s="122">
        <f t="shared" si="215"/>
        <v>0.0642670138886463</v>
      </c>
      <c r="AQ66" s="121">
        <f t="shared" si="215"/>
        <v>0.0767741934367411</v>
      </c>
      <c r="AR66" s="121">
        <f t="shared" si="215"/>
        <v>0.0783883003734621</v>
      </c>
      <c r="AS66" s="121">
        <f t="shared" si="215"/>
        <v>0.0836546611088329</v>
      </c>
      <c r="AT66" s="121">
        <f t="shared" si="215"/>
        <v>0.0852570773039406</v>
      </c>
      <c r="AU66" s="121">
        <f t="shared" si="215"/>
        <v>0.116371309601647</v>
      </c>
      <c r="AV66" s="121">
        <f t="shared" si="215"/>
        <v>0.0935794713040849</v>
      </c>
      <c r="AW66" s="121">
        <f t="shared" si="215"/>
        <v>0.0900233181397025</v>
      </c>
      <c r="AX66" s="121">
        <f t="shared" si="215"/>
        <v>0.100188380018626</v>
      </c>
      <c r="AY66" s="121">
        <f t="shared" si="215"/>
        <v>0.10215759965503</v>
      </c>
      <c r="AZ66" s="121">
        <f t="shared" si="215"/>
        <v>0.0823150083830364</v>
      </c>
      <c r="BA66" s="121">
        <f t="shared" si="215"/>
        <v>0.0722638507105751</v>
      </c>
      <c r="BB66" s="121">
        <f t="shared" si="215"/>
        <v>0.0320651945325625</v>
      </c>
      <c r="BC66" s="122">
        <f t="shared" si="215"/>
        <v>0.0830317378462849</v>
      </c>
      <c r="BD66" s="121">
        <f t="shared" si="215"/>
        <v>0.116799184634457</v>
      </c>
      <c r="BE66" s="121">
        <f t="shared" si="215"/>
        <v>0.111887915294317</v>
      </c>
      <c r="BF66" s="121">
        <f t="shared" si="215"/>
        <v>0.104978860480112</v>
      </c>
      <c r="BG66" s="121">
        <f t="shared" si="215"/>
        <v>0.145413689269718</v>
      </c>
      <c r="BH66" s="121">
        <f t="shared" si="215"/>
        <v>0.176062100309979</v>
      </c>
      <c r="BI66" s="121">
        <f t="shared" si="215"/>
        <v>0.136953517323135</v>
      </c>
      <c r="BJ66" s="121">
        <f t="shared" si="215"/>
        <v>0.132866163965911</v>
      </c>
      <c r="BK66" s="121">
        <f t="shared" si="215"/>
        <v>0.13569838844825</v>
      </c>
      <c r="BL66" s="121">
        <f t="shared" si="215"/>
        <v>0.119690774385361</v>
      </c>
      <c r="BM66" s="121">
        <f t="shared" si="215"/>
        <v>0.1241732462288</v>
      </c>
      <c r="BN66" s="121">
        <f t="shared" si="215"/>
        <v>0.114965799585801</v>
      </c>
      <c r="BO66" s="121">
        <f t="shared" si="215"/>
        <v>0.0609577546685116</v>
      </c>
      <c r="BP66" s="122">
        <f t="shared" ref="BP66:CU66" si="216">BP26/BP$39</f>
        <v>0.120976399975536</v>
      </c>
      <c r="BQ66" s="121">
        <f t="shared" si="216"/>
        <v>0.101235655884957</v>
      </c>
      <c r="BR66" s="121">
        <f t="shared" si="216"/>
        <v>0.0960321045298289</v>
      </c>
      <c r="BS66" s="121">
        <f t="shared" si="216"/>
        <v>0.0856570568843131</v>
      </c>
      <c r="BT66" s="121">
        <f t="shared" si="216"/>
        <v>0.116500614817567</v>
      </c>
      <c r="BU66" s="121">
        <f t="shared" si="216"/>
        <v>0.144280708694977</v>
      </c>
      <c r="BV66" s="121">
        <f t="shared" si="216"/>
        <v>0.0982903608373116</v>
      </c>
      <c r="BW66" s="121">
        <f t="shared" si="216"/>
        <v>0.105477126232386</v>
      </c>
      <c r="BX66" s="121">
        <f t="shared" si="216"/>
        <v>0.122052490167749</v>
      </c>
      <c r="BY66" s="121">
        <f t="shared" si="216"/>
        <v>0.111449713493645</v>
      </c>
      <c r="BZ66" s="121">
        <f t="shared" si="216"/>
        <v>0.123390744550267</v>
      </c>
      <c r="CA66" s="121">
        <f t="shared" si="216"/>
        <v>0.112757666193621</v>
      </c>
      <c r="CB66" s="121">
        <f t="shared" si="216"/>
        <v>0.0609435651952976</v>
      </c>
      <c r="CC66" s="122">
        <f t="shared" si="216"/>
        <v>0.105761115013648</v>
      </c>
      <c r="CD66" s="121">
        <f t="shared" si="216"/>
        <v>0.0494497431415427</v>
      </c>
      <c r="CE66" s="121">
        <f t="shared" si="216"/>
        <v>0.103569137082781</v>
      </c>
      <c r="CF66" s="121">
        <f t="shared" si="216"/>
        <v>0.0859805847176259</v>
      </c>
      <c r="CG66" s="121">
        <f t="shared" si="216"/>
        <v>0.0973407661288431</v>
      </c>
      <c r="CH66" s="121">
        <f t="shared" si="216"/>
        <v>0.114668795948975</v>
      </c>
      <c r="CI66" s="121">
        <f t="shared" si="216"/>
        <v>0.140925384344649</v>
      </c>
      <c r="CJ66" s="121">
        <f t="shared" si="216"/>
        <v>0.166046796248155</v>
      </c>
      <c r="CK66" s="121">
        <f t="shared" si="216"/>
        <v>0.158870529463009</v>
      </c>
      <c r="CL66" s="121">
        <f t="shared" si="216"/>
        <v>0.189583210038295</v>
      </c>
      <c r="CM66" s="121">
        <f t="shared" si="216"/>
        <v>0.190154825058909</v>
      </c>
      <c r="CN66" s="121">
        <f t="shared" si="216"/>
        <v>0.154496040946403</v>
      </c>
      <c r="CO66" s="121">
        <f t="shared" si="216"/>
        <v>0.0817105161666156</v>
      </c>
      <c r="CP66" s="122">
        <f t="shared" si="216"/>
        <v>0.128070489161016</v>
      </c>
      <c r="CQ66" s="121">
        <f t="shared" si="216"/>
        <v>0.0782851953968439</v>
      </c>
      <c r="CR66" s="121">
        <f t="shared" si="216"/>
        <v>0.0708780029248126</v>
      </c>
      <c r="CS66" s="121">
        <f t="shared" si="216"/>
        <v>0.0627380784696898</v>
      </c>
      <c r="CT66" s="121">
        <f t="shared" si="216"/>
        <v>0.0847165416628876</v>
      </c>
      <c r="CU66" s="121">
        <f t="shared" si="216"/>
        <v>0.106413236119143</v>
      </c>
      <c r="CV66" s="121">
        <f t="shared" ref="CV66:EA66" si="217">CV26/CV$39</f>
        <v>0.096912660257706</v>
      </c>
      <c r="CW66" s="121">
        <f t="shared" si="217"/>
        <v>0.0906010281861804</v>
      </c>
      <c r="CX66" s="121">
        <f t="shared" si="217"/>
        <v>0.097543023097664</v>
      </c>
      <c r="CY66" s="121">
        <f t="shared" si="217"/>
        <v>0.0955020460402446</v>
      </c>
      <c r="CZ66" s="121">
        <f t="shared" si="217"/>
        <v>0.103386358858676</v>
      </c>
      <c r="DA66" s="121">
        <f t="shared" si="217"/>
        <v>0.100924191207667</v>
      </c>
      <c r="DB66" s="121">
        <f t="shared" si="217"/>
        <v>0.0451149912307758</v>
      </c>
      <c r="DC66" s="122">
        <f t="shared" si="217"/>
        <v>0.0853973491137751</v>
      </c>
      <c r="DD66" s="121">
        <f t="shared" si="217"/>
        <v>0.066430554224042</v>
      </c>
      <c r="DE66" s="121">
        <f t="shared" si="217"/>
        <v>0.0568408384363614</v>
      </c>
      <c r="DF66" s="121">
        <f t="shared" si="217"/>
        <v>0.0539214414626033</v>
      </c>
      <c r="DG66" s="121">
        <f t="shared" si="217"/>
        <v>0.075360994250902</v>
      </c>
      <c r="DH66" s="121">
        <f t="shared" si="217"/>
        <v>0.0904248123770234</v>
      </c>
      <c r="DI66" s="121">
        <f t="shared" si="217"/>
        <v>0.122128453269834</v>
      </c>
      <c r="DJ66" s="121">
        <f t="shared" si="217"/>
        <v>0.130453726083843</v>
      </c>
      <c r="DK66" s="121">
        <f t="shared" si="217"/>
        <v>0.120969551312522</v>
      </c>
      <c r="DL66" s="121">
        <f t="shared" si="217"/>
        <v>0.141887669190729</v>
      </c>
      <c r="DM66" s="121">
        <f t="shared" si="217"/>
        <v>0.165328171044799</v>
      </c>
      <c r="DN66" s="121">
        <f t="shared" si="217"/>
        <v>0.137257712462707</v>
      </c>
      <c r="DO66" s="121">
        <f t="shared" si="217"/>
        <v>0.0889985769269202</v>
      </c>
      <c r="DP66" s="122">
        <f t="shared" si="217"/>
        <v>0.100190688515609</v>
      </c>
      <c r="DQ66" s="121">
        <f t="shared" si="217"/>
        <v>0.0593340255719687</v>
      </c>
      <c r="DR66" s="121">
        <f t="shared" si="217"/>
        <v>0.0671950643898109</v>
      </c>
      <c r="DS66" s="121">
        <f t="shared" si="217"/>
        <v>0.0538243282218034</v>
      </c>
      <c r="DT66" s="121">
        <f t="shared" si="217"/>
        <v>0.0688194872558182</v>
      </c>
      <c r="DU66" s="121">
        <f t="shared" si="217"/>
        <v>0.0831288880983405</v>
      </c>
      <c r="DV66" s="121">
        <f t="shared" si="217"/>
        <v>0.0940362749142518</v>
      </c>
      <c r="DW66" s="121">
        <f t="shared" si="217"/>
        <v>0.0816526390962433</v>
      </c>
      <c r="DX66" s="121">
        <f t="shared" si="217"/>
        <v>0.0820061243792978</v>
      </c>
      <c r="DY66" s="121">
        <f t="shared" si="217"/>
        <v>0.0953589609525372</v>
      </c>
      <c r="DZ66" s="121">
        <f t="shared" si="217"/>
        <v>0.0842386241543276</v>
      </c>
      <c r="EA66" s="121">
        <f t="shared" si="217"/>
        <v>0.0850294670225487</v>
      </c>
      <c r="EB66" s="121">
        <f t="shared" ref="EB66:FT66" si="218">EB26/EB$39</f>
        <v>0.0345474151762287</v>
      </c>
      <c r="EC66" s="121">
        <f t="shared" si="218"/>
        <v>0.0734454737513908</v>
      </c>
      <c r="ED66" s="123">
        <f t="shared" si="218"/>
        <v>0.0471293274579712</v>
      </c>
      <c r="EE66" s="121">
        <f t="shared" si="218"/>
        <v>0.0443569672318425</v>
      </c>
      <c r="EF66" s="121">
        <f t="shared" si="218"/>
        <v>0</v>
      </c>
      <c r="EG66" s="121">
        <f t="shared" si="218"/>
        <v>0.135975518905227</v>
      </c>
      <c r="EH66" s="121" t="e">
        <f t="shared" si="218"/>
        <v>#DIV/0!</v>
      </c>
      <c r="EI66" s="121" t="e">
        <f t="shared" si="218"/>
        <v>#DIV/0!</v>
      </c>
      <c r="EJ66" s="121" t="e">
        <f t="shared" si="218"/>
        <v>#DIV/0!</v>
      </c>
      <c r="EK66" s="121" t="e">
        <f t="shared" si="218"/>
        <v>#DIV/0!</v>
      </c>
      <c r="EL66" s="121" t="e">
        <f t="shared" si="218"/>
        <v>#DIV/0!</v>
      </c>
      <c r="EM66" s="121" t="e">
        <f t="shared" si="218"/>
        <v>#DIV/0!</v>
      </c>
      <c r="EN66" s="121" t="e">
        <f t="shared" si="218"/>
        <v>#DIV/0!</v>
      </c>
      <c r="EO66" s="121" t="e">
        <f t="shared" si="218"/>
        <v>#DIV/0!</v>
      </c>
      <c r="EP66" s="122">
        <f t="shared" si="218"/>
        <v>0.0495831814291058</v>
      </c>
      <c r="EQ66" s="121">
        <f t="shared" si="218"/>
        <v>0.0807184659916337</v>
      </c>
      <c r="ER66" s="121">
        <f t="shared" si="218"/>
        <v>0.0647536367429127</v>
      </c>
      <c r="ES66" s="121">
        <f t="shared" si="218"/>
        <v>0.058285112150547</v>
      </c>
      <c r="ET66" s="121">
        <f t="shared" si="218"/>
        <v>0.0698287279785784</v>
      </c>
      <c r="EU66" s="121">
        <f t="shared" si="218"/>
        <v>0.0930759397455743</v>
      </c>
      <c r="EV66" s="121">
        <f t="shared" si="218"/>
        <v>0.128756305139883</v>
      </c>
      <c r="EW66" s="121">
        <f t="shared" si="218"/>
        <v>0.156705791683036</v>
      </c>
      <c r="EX66" s="121">
        <f t="shared" si="218"/>
        <v>0.17195458561189</v>
      </c>
      <c r="EY66" s="121">
        <f t="shared" si="218"/>
        <v>0.187179489731926</v>
      </c>
      <c r="EZ66" s="121">
        <f t="shared" si="218"/>
        <v>0.145461066378575</v>
      </c>
      <c r="FA66" s="121">
        <f t="shared" si="218"/>
        <v>0.121687976007778</v>
      </c>
      <c r="FB66" s="121">
        <f t="shared" si="218"/>
        <v>0.105672085134807</v>
      </c>
      <c r="FC66" s="121">
        <f t="shared" si="218"/>
        <v>0.117336911270841</v>
      </c>
      <c r="FD66" s="123"/>
      <c r="FE66" s="121"/>
      <c r="FF66" s="121"/>
      <c r="FG66" s="121"/>
      <c r="FH66" s="121"/>
      <c r="FI66" s="121"/>
      <c r="FJ66" s="121"/>
      <c r="FK66" s="121"/>
      <c r="FL66" s="121"/>
      <c r="FM66" s="121"/>
      <c r="FN66" s="121"/>
      <c r="FO66" s="121"/>
      <c r="FP66" s="122"/>
      <c r="FQ66" s="123">
        <f t="shared" si="218"/>
        <v>0.0552569581307455</v>
      </c>
      <c r="FR66" s="121">
        <f t="shared" si="218"/>
        <v>0.0378057918653224</v>
      </c>
      <c r="FS66" s="121">
        <f t="shared" si="218"/>
        <v>0.0311033313005903</v>
      </c>
      <c r="FT66" s="121">
        <f t="shared" si="218"/>
        <v>0.0900368397849954</v>
      </c>
      <c r="FU66" s="121">
        <f t="shared" ref="FU66:GC66" si="219">FU26/FU$39</f>
        <v>0.0992729798676505</v>
      </c>
      <c r="FV66" s="121">
        <f t="shared" si="219"/>
        <v>0.0629492131003404</v>
      </c>
      <c r="FW66" s="121">
        <f t="shared" si="219"/>
        <v>0.0635026610897552</v>
      </c>
      <c r="FX66" s="121">
        <f t="shared" si="219"/>
        <v>0.0672593392914721</v>
      </c>
      <c r="FY66" s="121">
        <f t="shared" si="219"/>
        <v>0.0596032724584768</v>
      </c>
      <c r="FZ66" s="121">
        <f t="shared" si="219"/>
        <v>0.0712082684019149</v>
      </c>
      <c r="GA66" s="121">
        <f t="shared" si="219"/>
        <v>0.0293863520635905</v>
      </c>
      <c r="GB66" s="121">
        <f t="shared" si="219"/>
        <v>0.0162670548217859</v>
      </c>
      <c r="GC66" s="122">
        <f t="shared" si="219"/>
        <v>0.0540715731026582</v>
      </c>
    </row>
    <row r="67" customHeight="1" spans="1:185">
      <c r="A67" s="108" t="s">
        <v>28</v>
      </c>
      <c r="B67" s="109" t="s">
        <v>420</v>
      </c>
      <c r="C67" s="110">
        <f t="shared" si="87"/>
        <v>0.119577389202411</v>
      </c>
      <c r="D67" s="111">
        <f t="shared" ref="D67:AI67" si="220">D27/D$39</f>
        <v>0.133199854204608</v>
      </c>
      <c r="E67" s="111">
        <f t="shared" si="220"/>
        <v>0.16680172345941</v>
      </c>
      <c r="F67" s="111">
        <f t="shared" si="220"/>
        <v>0.132747234609049</v>
      </c>
      <c r="G67" s="111">
        <f t="shared" si="220"/>
        <v>0.172550017756359</v>
      </c>
      <c r="H67" s="111">
        <f t="shared" si="220"/>
        <v>0.138750828658126</v>
      </c>
      <c r="I67" s="111">
        <f t="shared" si="220"/>
        <v>0.110835219087686</v>
      </c>
      <c r="J67" s="111">
        <f t="shared" si="220"/>
        <v>0.0961137358480724</v>
      </c>
      <c r="K67" s="111">
        <f t="shared" si="220"/>
        <v>0.0768131080798212</v>
      </c>
      <c r="L67" s="111">
        <f t="shared" si="220"/>
        <v>0.0664756635894262</v>
      </c>
      <c r="M67" s="111">
        <f t="shared" si="220"/>
        <v>0.0509387308254032</v>
      </c>
      <c r="N67" s="111">
        <f t="shared" si="220"/>
        <v>0.0561936126283418</v>
      </c>
      <c r="O67" s="111">
        <f t="shared" si="220"/>
        <v>0.081628485058482</v>
      </c>
      <c r="P67" s="112">
        <f t="shared" si="220"/>
        <v>0.106959075747344</v>
      </c>
      <c r="Q67" s="111">
        <f t="shared" si="220"/>
        <v>0.0636795091621724</v>
      </c>
      <c r="R67" s="111">
        <f t="shared" si="220"/>
        <v>0.0831919292852109</v>
      </c>
      <c r="S67" s="111">
        <f t="shared" si="220"/>
        <v>0.0723179981423246</v>
      </c>
      <c r="T67" s="111">
        <f t="shared" si="220"/>
        <v>0.115063366981831</v>
      </c>
      <c r="U67" s="111">
        <f t="shared" si="220"/>
        <v>0.102004229884302</v>
      </c>
      <c r="V67" s="111">
        <f t="shared" si="220"/>
        <v>0.0882752966523379</v>
      </c>
      <c r="W67" s="111">
        <f t="shared" si="220"/>
        <v>0.0893063893303172</v>
      </c>
      <c r="X67" s="111">
        <f t="shared" si="220"/>
        <v>0.0763401620122074</v>
      </c>
      <c r="Y67" s="111">
        <f t="shared" si="220"/>
        <v>0.0715692055681312</v>
      </c>
      <c r="Z67" s="111">
        <f t="shared" si="220"/>
        <v>0.0560664882958402</v>
      </c>
      <c r="AA67" s="111">
        <f t="shared" si="220"/>
        <v>0.058167545792938</v>
      </c>
      <c r="AB67" s="111">
        <f t="shared" si="220"/>
        <v>0.063387533145167</v>
      </c>
      <c r="AC67" s="112">
        <f t="shared" si="220"/>
        <v>0.0761184561961201</v>
      </c>
      <c r="AD67" s="111">
        <f t="shared" si="220"/>
        <v>0.149979561638132</v>
      </c>
      <c r="AE67" s="111">
        <f t="shared" si="220"/>
        <v>0.179929083643335</v>
      </c>
      <c r="AF67" s="111">
        <f t="shared" si="220"/>
        <v>0.153513778183953</v>
      </c>
      <c r="AG67" s="111">
        <f t="shared" si="220"/>
        <v>0.24119564419405</v>
      </c>
      <c r="AH67" s="111">
        <f t="shared" si="220"/>
        <v>0.192242429919435</v>
      </c>
      <c r="AI67" s="111">
        <f t="shared" si="220"/>
        <v>0.184821488149029</v>
      </c>
      <c r="AJ67" s="111">
        <f t="shared" ref="AJ67:BO67" si="221">AJ27/AJ$39</f>
        <v>0.155016532296178</v>
      </c>
      <c r="AK67" s="111">
        <f t="shared" si="221"/>
        <v>0.11408852357907</v>
      </c>
      <c r="AL67" s="111">
        <f t="shared" si="221"/>
        <v>0.0986099163093743</v>
      </c>
      <c r="AM67" s="111">
        <f t="shared" si="221"/>
        <v>0.095143610564108</v>
      </c>
      <c r="AN67" s="111">
        <f t="shared" si="221"/>
        <v>0.0720269949830379</v>
      </c>
      <c r="AO67" s="111">
        <f t="shared" si="221"/>
        <v>0.073524873667682</v>
      </c>
      <c r="AP67" s="112">
        <f t="shared" si="221"/>
        <v>0.136351202916361</v>
      </c>
      <c r="AQ67" s="111">
        <f t="shared" si="221"/>
        <v>0.180712542103985</v>
      </c>
      <c r="AR67" s="111">
        <f t="shared" si="221"/>
        <v>0.164714177823496</v>
      </c>
      <c r="AS67" s="111">
        <f t="shared" si="221"/>
        <v>0.136285363356677</v>
      </c>
      <c r="AT67" s="111">
        <f t="shared" si="221"/>
        <v>0.180142030971138</v>
      </c>
      <c r="AU67" s="111">
        <f t="shared" si="221"/>
        <v>0.169643642105174</v>
      </c>
      <c r="AV67" s="111">
        <f t="shared" si="221"/>
        <v>0.135981874305303</v>
      </c>
      <c r="AW67" s="111">
        <f t="shared" si="221"/>
        <v>0.119460140627064</v>
      </c>
      <c r="AX67" s="111">
        <f t="shared" si="221"/>
        <v>0.0865996375125287</v>
      </c>
      <c r="AY67" s="111">
        <f t="shared" si="221"/>
        <v>0.0836375384102846</v>
      </c>
      <c r="AZ67" s="111">
        <f t="shared" si="221"/>
        <v>0.0725469163902273</v>
      </c>
      <c r="BA67" s="111">
        <f t="shared" si="221"/>
        <v>0.0582702911741424</v>
      </c>
      <c r="BB67" s="111">
        <f t="shared" si="221"/>
        <v>0.0730168459097983</v>
      </c>
      <c r="BC67" s="112">
        <f t="shared" si="221"/>
        <v>0.117962970858268</v>
      </c>
      <c r="BD67" s="111">
        <f t="shared" si="221"/>
        <v>0.136435934475187</v>
      </c>
      <c r="BE67" s="111">
        <f t="shared" si="221"/>
        <v>0.21947251971394</v>
      </c>
      <c r="BF67" s="111">
        <f t="shared" si="221"/>
        <v>0.195519949021767</v>
      </c>
      <c r="BG67" s="111">
        <f t="shared" si="221"/>
        <v>0.220621590537631</v>
      </c>
      <c r="BH67" s="111">
        <f t="shared" si="221"/>
        <v>0.169268389462189</v>
      </c>
      <c r="BI67" s="111">
        <f t="shared" si="221"/>
        <v>0.124169324155246</v>
      </c>
      <c r="BJ67" s="111">
        <f t="shared" si="221"/>
        <v>0.103069905242236</v>
      </c>
      <c r="BK67" s="111">
        <f t="shared" si="221"/>
        <v>0.0845246823840708</v>
      </c>
      <c r="BL67" s="111">
        <f t="shared" si="221"/>
        <v>0.0748852087559396</v>
      </c>
      <c r="BM67" s="111">
        <f t="shared" si="221"/>
        <v>0.0549559441547854</v>
      </c>
      <c r="BN67" s="111">
        <f t="shared" si="221"/>
        <v>0.0426711023305763</v>
      </c>
      <c r="BO67" s="111">
        <f t="shared" si="221"/>
        <v>0.110240017558762</v>
      </c>
      <c r="BP67" s="112">
        <f t="shared" ref="BP67:CU67" si="222">BP27/BP$39</f>
        <v>0.125840147275546</v>
      </c>
      <c r="BQ67" s="111">
        <f t="shared" si="222"/>
        <v>0.127208429003969</v>
      </c>
      <c r="BR67" s="111">
        <f t="shared" si="222"/>
        <v>0.177523146897816</v>
      </c>
      <c r="BS67" s="111">
        <f t="shared" si="222"/>
        <v>0.128826660580001</v>
      </c>
      <c r="BT67" s="111">
        <f t="shared" si="222"/>
        <v>0.162784742255997</v>
      </c>
      <c r="BU67" s="111">
        <f t="shared" si="222"/>
        <v>0.137240740502576</v>
      </c>
      <c r="BV67" s="111">
        <f t="shared" si="222"/>
        <v>0.10197229441029</v>
      </c>
      <c r="BW67" s="111">
        <f t="shared" si="222"/>
        <v>0.0940836971506798</v>
      </c>
      <c r="BX67" s="111">
        <f t="shared" si="222"/>
        <v>0.0809278423604518</v>
      </c>
      <c r="BY67" s="111">
        <f t="shared" si="222"/>
        <v>0.0569322721728844</v>
      </c>
      <c r="BZ67" s="111">
        <f t="shared" si="222"/>
        <v>0.046107611851862</v>
      </c>
      <c r="CA67" s="111">
        <f t="shared" si="222"/>
        <v>0.0400128270674685</v>
      </c>
      <c r="CB67" s="111">
        <f t="shared" si="222"/>
        <v>0.0958391055114019</v>
      </c>
      <c r="CC67" s="112">
        <f t="shared" si="222"/>
        <v>0.107349617052178</v>
      </c>
      <c r="CD67" s="111">
        <f t="shared" si="222"/>
        <v>0.147270937992125</v>
      </c>
      <c r="CE67" s="111">
        <f t="shared" si="222"/>
        <v>0.157651947861787</v>
      </c>
      <c r="CF67" s="111">
        <f t="shared" si="222"/>
        <v>0.129500324551239</v>
      </c>
      <c r="CG67" s="111">
        <f t="shared" si="222"/>
        <v>0.153787106460793</v>
      </c>
      <c r="CH67" s="111">
        <f t="shared" si="222"/>
        <v>0.164456381884072</v>
      </c>
      <c r="CI67" s="111">
        <f t="shared" si="222"/>
        <v>0.122655030148204</v>
      </c>
      <c r="CJ67" s="111">
        <f t="shared" si="222"/>
        <v>0.0912780082528124</v>
      </c>
      <c r="CK67" s="111">
        <f t="shared" si="222"/>
        <v>0.0837315951133227</v>
      </c>
      <c r="CL67" s="111">
        <f t="shared" si="222"/>
        <v>0.0708040444498518</v>
      </c>
      <c r="CM67" s="111">
        <f t="shared" si="222"/>
        <v>0.045412588265383</v>
      </c>
      <c r="CN67" s="111">
        <f t="shared" si="222"/>
        <v>0.0300428382080518</v>
      </c>
      <c r="CO67" s="111">
        <f t="shared" si="222"/>
        <v>0.061109719966145</v>
      </c>
      <c r="CP67" s="112">
        <f t="shared" si="222"/>
        <v>0.104291882623769</v>
      </c>
      <c r="CQ67" s="111">
        <f t="shared" si="222"/>
        <v>0.195367333330303</v>
      </c>
      <c r="CR67" s="111">
        <f t="shared" si="222"/>
        <v>0.233636542836254</v>
      </c>
      <c r="CS67" s="111">
        <f t="shared" si="222"/>
        <v>0.234353051624282</v>
      </c>
      <c r="CT67" s="111">
        <f t="shared" si="222"/>
        <v>0.262351300715093</v>
      </c>
      <c r="CU67" s="111">
        <f t="shared" si="222"/>
        <v>0.208712025175596</v>
      </c>
      <c r="CV67" s="111">
        <f t="shared" ref="CV67:EA67" si="223">CV27/CV$39</f>
        <v>0.148357806629937</v>
      </c>
      <c r="CW67" s="111">
        <f t="shared" si="223"/>
        <v>0.122500685952795</v>
      </c>
      <c r="CX67" s="111">
        <f t="shared" si="223"/>
        <v>0.0916646254465095</v>
      </c>
      <c r="CY67" s="111">
        <f t="shared" si="223"/>
        <v>0.0776242022708212</v>
      </c>
      <c r="CZ67" s="111">
        <f t="shared" si="223"/>
        <v>0.0520818595274841</v>
      </c>
      <c r="DA67" s="111">
        <f t="shared" si="223"/>
        <v>0.0324232621641045</v>
      </c>
      <c r="DB67" s="111">
        <f t="shared" si="223"/>
        <v>0.105486150498086</v>
      </c>
      <c r="DC67" s="112">
        <f t="shared" si="223"/>
        <v>0.1503319755398</v>
      </c>
      <c r="DD67" s="111">
        <f t="shared" si="223"/>
        <v>0.103527941480275</v>
      </c>
      <c r="DE67" s="111">
        <f t="shared" si="223"/>
        <v>0.135018723753015</v>
      </c>
      <c r="DF67" s="111">
        <f t="shared" si="223"/>
        <v>0.142483599540104</v>
      </c>
      <c r="DG67" s="111">
        <f t="shared" si="223"/>
        <v>0.143536540859714</v>
      </c>
      <c r="DH67" s="111">
        <f t="shared" si="223"/>
        <v>0.152799872716724</v>
      </c>
      <c r="DI67" s="111">
        <f t="shared" si="223"/>
        <v>0.133323962147259</v>
      </c>
      <c r="DJ67" s="111">
        <f t="shared" si="223"/>
        <v>0.116691483747614</v>
      </c>
      <c r="DK67" s="111">
        <f t="shared" si="223"/>
        <v>0.0969931588374206</v>
      </c>
      <c r="DL67" s="111">
        <f t="shared" si="223"/>
        <v>0.0699477400748706</v>
      </c>
      <c r="DM67" s="111">
        <f t="shared" si="223"/>
        <v>0.0493681450464493</v>
      </c>
      <c r="DN67" s="111">
        <f t="shared" si="223"/>
        <v>0.0444557068288957</v>
      </c>
      <c r="DO67" s="111">
        <f t="shared" si="223"/>
        <v>0.076644373003649</v>
      </c>
      <c r="DP67" s="112">
        <f t="shared" si="223"/>
        <v>0.106721558848413</v>
      </c>
      <c r="DQ67" s="111">
        <f t="shared" si="223"/>
        <v>0.0795341032165789</v>
      </c>
      <c r="DR67" s="111">
        <f t="shared" si="223"/>
        <v>0.125731567503104</v>
      </c>
      <c r="DS67" s="111">
        <f t="shared" si="223"/>
        <v>0.132212076049234</v>
      </c>
      <c r="DT67" s="111">
        <f t="shared" si="223"/>
        <v>0.128972243375704</v>
      </c>
      <c r="DU67" s="111">
        <f t="shared" si="223"/>
        <v>0.137346887936456</v>
      </c>
      <c r="DV67" s="111">
        <f t="shared" si="223"/>
        <v>0.0991632251253758</v>
      </c>
      <c r="DW67" s="111">
        <f t="shared" si="223"/>
        <v>0.0703387127342083</v>
      </c>
      <c r="DX67" s="111">
        <f t="shared" si="223"/>
        <v>0.0620518460117095</v>
      </c>
      <c r="DY67" s="111">
        <f t="shared" si="223"/>
        <v>0.0508472874155595</v>
      </c>
      <c r="DZ67" s="111">
        <f t="shared" si="223"/>
        <v>0.0422223171370227</v>
      </c>
      <c r="EA67" s="111">
        <f t="shared" si="223"/>
        <v>0.0351402881860598</v>
      </c>
      <c r="EB67" s="111">
        <f t="shared" ref="EB67:FT67" si="224">EB27/EB$39</f>
        <v>0.0897481934388152</v>
      </c>
      <c r="EC67" s="111">
        <f t="shared" si="224"/>
        <v>0.0882001659645976</v>
      </c>
      <c r="ED67" s="113">
        <f t="shared" si="224"/>
        <v>0.0530971753981452</v>
      </c>
      <c r="EE67" s="111">
        <f t="shared" si="224"/>
        <v>0.0828590539796414</v>
      </c>
      <c r="EF67" s="111">
        <f t="shared" si="224"/>
        <v>0</v>
      </c>
      <c r="EG67" s="111">
        <f t="shared" si="224"/>
        <v>0.446485809140678</v>
      </c>
      <c r="EH67" s="111" t="e">
        <f t="shared" si="224"/>
        <v>#DIV/0!</v>
      </c>
      <c r="EI67" s="111" t="e">
        <f t="shared" si="224"/>
        <v>#DIV/0!</v>
      </c>
      <c r="EJ67" s="111" t="e">
        <f t="shared" si="224"/>
        <v>#DIV/0!</v>
      </c>
      <c r="EK67" s="111" t="e">
        <f t="shared" si="224"/>
        <v>#DIV/0!</v>
      </c>
      <c r="EL67" s="111" t="e">
        <f t="shared" si="224"/>
        <v>#DIV/0!</v>
      </c>
      <c r="EM67" s="111" t="e">
        <f t="shared" si="224"/>
        <v>#DIV/0!</v>
      </c>
      <c r="EN67" s="111" t="e">
        <f t="shared" si="224"/>
        <v>#DIV/0!</v>
      </c>
      <c r="EO67" s="111" t="e">
        <f t="shared" si="224"/>
        <v>#DIV/0!</v>
      </c>
      <c r="EP67" s="112">
        <f t="shared" si="224"/>
        <v>0.0701720759646532</v>
      </c>
      <c r="EQ67" s="111">
        <f t="shared" si="224"/>
        <v>0.0567402263113979</v>
      </c>
      <c r="ER67" s="111">
        <f t="shared" si="224"/>
        <v>0.0590607414148331</v>
      </c>
      <c r="ES67" s="111">
        <f t="shared" si="224"/>
        <v>0.0538795338040226</v>
      </c>
      <c r="ET67" s="111">
        <f t="shared" si="224"/>
        <v>0.0474267109730163</v>
      </c>
      <c r="EU67" s="111">
        <f t="shared" si="224"/>
        <v>0.0573782461600146</v>
      </c>
      <c r="EV67" s="111">
        <f t="shared" si="224"/>
        <v>0.047729774059762</v>
      </c>
      <c r="EW67" s="111">
        <f t="shared" si="224"/>
        <v>0.048102502588954</v>
      </c>
      <c r="EX67" s="111">
        <f t="shared" si="224"/>
        <v>0.0516904462734338</v>
      </c>
      <c r="EY67" s="111">
        <f t="shared" si="224"/>
        <v>0.037051640687343</v>
      </c>
      <c r="EZ67" s="111">
        <f t="shared" si="224"/>
        <v>0.0337228313747411</v>
      </c>
      <c r="FA67" s="111">
        <f t="shared" si="224"/>
        <v>0.0188184927025214</v>
      </c>
      <c r="FB67" s="111">
        <f t="shared" si="224"/>
        <v>0.0342312891405952</v>
      </c>
      <c r="FC67" s="111">
        <f t="shared" si="224"/>
        <v>0.0447074338629539</v>
      </c>
      <c r="FD67" s="113"/>
      <c r="FE67" s="111"/>
      <c r="FF67" s="111"/>
      <c r="FG67" s="111"/>
      <c r="FH67" s="111"/>
      <c r="FI67" s="111"/>
      <c r="FJ67" s="111"/>
      <c r="FK67" s="111"/>
      <c r="FL67" s="111"/>
      <c r="FM67" s="111"/>
      <c r="FN67" s="111"/>
      <c r="FO67" s="111"/>
      <c r="FP67" s="112"/>
      <c r="FQ67" s="113">
        <f t="shared" si="224"/>
        <v>0.160174534662902</v>
      </c>
      <c r="FR67" s="111">
        <f t="shared" si="224"/>
        <v>0.174106548887616</v>
      </c>
      <c r="FS67" s="111">
        <f t="shared" si="224"/>
        <v>0.120729509210507</v>
      </c>
      <c r="FT67" s="111">
        <f t="shared" si="224"/>
        <v>0.177762383173661</v>
      </c>
      <c r="FU67" s="111">
        <f t="shared" ref="FU67:GC67" si="225">FU27/FU$39</f>
        <v>0.0957320629821679</v>
      </c>
      <c r="FV67" s="111">
        <f t="shared" si="225"/>
        <v>0.0783193819287193</v>
      </c>
      <c r="FW67" s="111">
        <f t="shared" si="225"/>
        <v>0.0734299195808821</v>
      </c>
      <c r="FX67" s="111">
        <f t="shared" si="225"/>
        <v>0.054391654142108</v>
      </c>
      <c r="FY67" s="111">
        <f t="shared" si="225"/>
        <v>0.0517737491578333</v>
      </c>
      <c r="FZ67" s="111">
        <f t="shared" si="225"/>
        <v>0.0308648736521059</v>
      </c>
      <c r="GA67" s="111">
        <f t="shared" si="225"/>
        <v>0.0837165200091373</v>
      </c>
      <c r="GB67" s="111">
        <f t="shared" si="225"/>
        <v>0.0779022630940988</v>
      </c>
      <c r="GC67" s="112">
        <f t="shared" si="225"/>
        <v>0.102370754066668</v>
      </c>
    </row>
    <row r="68" customHeight="1" spans="1:185">
      <c r="A68" s="114"/>
      <c r="B68" s="115" t="s">
        <v>421</v>
      </c>
      <c r="C68" s="116">
        <f t="shared" si="87"/>
        <v>-0.392019541730471</v>
      </c>
      <c r="D68" s="117">
        <f t="shared" ref="D68:AI68" si="226">D28/D$39</f>
        <v>0.513769998937286</v>
      </c>
      <c r="E68" s="117">
        <f t="shared" si="226"/>
        <v>0.503219816230318</v>
      </c>
      <c r="F68" s="117">
        <f t="shared" si="226"/>
        <v>0.530237569598238</v>
      </c>
      <c r="G68" s="117">
        <f t="shared" si="226"/>
        <v>0.433516483624944</v>
      </c>
      <c r="H68" s="117">
        <f t="shared" si="226"/>
        <v>0.443298589247797</v>
      </c>
      <c r="I68" s="117">
        <f t="shared" si="226"/>
        <v>0.4692104007103</v>
      </c>
      <c r="J68" s="117">
        <f t="shared" si="226"/>
        <v>0.526618210476647</v>
      </c>
      <c r="K68" s="117">
        <f t="shared" si="226"/>
        <v>0.554021910356204</v>
      </c>
      <c r="L68" s="117">
        <f t="shared" si="226"/>
        <v>0.570159168776759</v>
      </c>
      <c r="M68" s="117">
        <f t="shared" si="226"/>
        <v>0.550833965505759</v>
      </c>
      <c r="N68" s="117">
        <f t="shared" si="226"/>
        <v>0.615682743850098</v>
      </c>
      <c r="O68" s="117">
        <f t="shared" si="226"/>
        <v>0.646698574144421</v>
      </c>
      <c r="P68" s="9">
        <f t="shared" si="226"/>
        <v>0.533031375259813</v>
      </c>
      <c r="Q68" s="117">
        <f t="shared" si="226"/>
        <v>0.624766907420836</v>
      </c>
      <c r="R68" s="117">
        <f t="shared" si="226"/>
        <v>0.610330284488053</v>
      </c>
      <c r="S68" s="117">
        <f t="shared" si="226"/>
        <v>0.636245444314152</v>
      </c>
      <c r="T68" s="117">
        <f t="shared" si="226"/>
        <v>0.545621735107882</v>
      </c>
      <c r="U68" s="117">
        <f t="shared" si="226"/>
        <v>0.502410929991886</v>
      </c>
      <c r="V68" s="117">
        <f t="shared" si="226"/>
        <v>0.445871307585374</v>
      </c>
      <c r="W68" s="117">
        <f t="shared" si="226"/>
        <v>0.478498602420472</v>
      </c>
      <c r="X68" s="117">
        <f t="shared" si="226"/>
        <v>0.524936049033095</v>
      </c>
      <c r="Y68" s="117">
        <f t="shared" si="226"/>
        <v>0.525701998764397</v>
      </c>
      <c r="Z68" s="117">
        <f t="shared" si="226"/>
        <v>0.580748846948998</v>
      </c>
      <c r="AA68" s="117">
        <f t="shared" si="226"/>
        <v>0.629125364952592</v>
      </c>
      <c r="AB68" s="117">
        <f t="shared" si="226"/>
        <v>0.634858212621188</v>
      </c>
      <c r="AC68" s="9">
        <f t="shared" si="226"/>
        <v>0.567366584008568</v>
      </c>
      <c r="AD68" s="117">
        <f t="shared" si="226"/>
        <v>0.489772232593325</v>
      </c>
      <c r="AE68" s="117">
        <f t="shared" si="226"/>
        <v>0.450144282162772</v>
      </c>
      <c r="AF68" s="117">
        <f t="shared" si="226"/>
        <v>0.536430348849916</v>
      </c>
      <c r="AG68" s="117">
        <f t="shared" si="226"/>
        <v>0.416888105344622</v>
      </c>
      <c r="AH68" s="117">
        <f t="shared" si="226"/>
        <v>0.406989777690935</v>
      </c>
      <c r="AI68" s="117">
        <f t="shared" si="226"/>
        <v>0.404877892642884</v>
      </c>
      <c r="AJ68" s="117">
        <f t="shared" ref="AJ68:BO68" si="227">AJ28/AJ$39</f>
        <v>0.441671363507472</v>
      </c>
      <c r="AK68" s="117">
        <f t="shared" si="227"/>
        <v>0.483132057833043</v>
      </c>
      <c r="AL68" s="117">
        <f t="shared" si="227"/>
        <v>0.459075182418211</v>
      </c>
      <c r="AM68" s="117">
        <f t="shared" si="227"/>
        <v>0.485658746225986</v>
      </c>
      <c r="AN68" s="117">
        <f t="shared" si="227"/>
        <v>0.580154275587222</v>
      </c>
      <c r="AO68" s="117">
        <f t="shared" si="227"/>
        <v>0.620386229850348</v>
      </c>
      <c r="AP68" s="9">
        <f t="shared" si="227"/>
        <v>0.485647521907634</v>
      </c>
      <c r="AQ68" s="117">
        <f t="shared" si="227"/>
        <v>0.507319774694948</v>
      </c>
      <c r="AR68" s="117">
        <f t="shared" si="227"/>
        <v>0.53285754596294</v>
      </c>
      <c r="AS68" s="117">
        <f t="shared" si="227"/>
        <v>0.519788966700893</v>
      </c>
      <c r="AT68" s="117">
        <f t="shared" si="227"/>
        <v>0.452291311240108</v>
      </c>
      <c r="AU68" s="117">
        <f t="shared" si="227"/>
        <v>0.469328289305984</v>
      </c>
      <c r="AV68" s="117">
        <f t="shared" si="227"/>
        <v>0.490236860033975</v>
      </c>
      <c r="AW68" s="117">
        <f t="shared" si="227"/>
        <v>0.585033533440313</v>
      </c>
      <c r="AX68" s="117">
        <f t="shared" si="227"/>
        <v>0.606736998314716</v>
      </c>
      <c r="AY68" s="117">
        <f t="shared" si="227"/>
        <v>0.604249185213132</v>
      </c>
      <c r="AZ68" s="117">
        <f t="shared" si="227"/>
        <v>0.52451338656846</v>
      </c>
      <c r="BA68" s="117">
        <f t="shared" si="227"/>
        <v>0.623543755154244</v>
      </c>
      <c r="BB68" s="117">
        <f t="shared" si="227"/>
        <v>0.709036518479351</v>
      </c>
      <c r="BC68" s="9">
        <f t="shared" si="227"/>
        <v>0.559629202554942</v>
      </c>
      <c r="BD68" s="117">
        <f t="shared" si="227"/>
        <v>0.45198519056575</v>
      </c>
      <c r="BE68" s="117">
        <f t="shared" si="227"/>
        <v>0.43245417230414</v>
      </c>
      <c r="BF68" s="117">
        <f t="shared" si="227"/>
        <v>0.437725576840108</v>
      </c>
      <c r="BG68" s="117">
        <f t="shared" si="227"/>
        <v>0.388012015471534</v>
      </c>
      <c r="BH68" s="117">
        <f t="shared" si="227"/>
        <v>0.387604932758681</v>
      </c>
      <c r="BI68" s="117">
        <f t="shared" si="227"/>
        <v>0.471287960155577</v>
      </c>
      <c r="BJ68" s="117">
        <f t="shared" si="227"/>
        <v>0.527350410287178</v>
      </c>
      <c r="BK68" s="117">
        <f t="shared" si="227"/>
        <v>0.549903243057643</v>
      </c>
      <c r="BL68" s="117">
        <f t="shared" si="227"/>
        <v>0.584215998494772</v>
      </c>
      <c r="BM68" s="117">
        <f t="shared" si="227"/>
        <v>0.572673812684649</v>
      </c>
      <c r="BN68" s="117">
        <f t="shared" si="227"/>
        <v>0.623323424434921</v>
      </c>
      <c r="BO68" s="117">
        <f t="shared" si="227"/>
        <v>0.592553013026889</v>
      </c>
      <c r="BP68" s="9">
        <f t="shared" ref="BP68:CU68" si="228">BP28/BP$39</f>
        <v>0.506204281145897</v>
      </c>
      <c r="BQ68" s="117">
        <f t="shared" si="228"/>
        <v>0.512468472897956</v>
      </c>
      <c r="BR68" s="117">
        <f t="shared" si="228"/>
        <v>0.471513601870759</v>
      </c>
      <c r="BS68" s="117">
        <f t="shared" si="228"/>
        <v>0.476682055694916</v>
      </c>
      <c r="BT68" s="117">
        <f t="shared" si="228"/>
        <v>0.42277082339206</v>
      </c>
      <c r="BU68" s="117">
        <f t="shared" si="228"/>
        <v>0.409427536981575</v>
      </c>
      <c r="BV68" s="117">
        <f t="shared" si="228"/>
        <v>0.539862972635227</v>
      </c>
      <c r="BW68" s="117">
        <f t="shared" si="228"/>
        <v>0.574606137059981</v>
      </c>
      <c r="BX68" s="117">
        <f t="shared" si="228"/>
        <v>0.574162827998766</v>
      </c>
      <c r="BY68" s="117">
        <f t="shared" si="228"/>
        <v>0.589443949306172</v>
      </c>
      <c r="BZ68" s="117">
        <f t="shared" si="228"/>
        <v>0.525507161584787</v>
      </c>
      <c r="CA68" s="117">
        <f t="shared" si="228"/>
        <v>0.561011273309817</v>
      </c>
      <c r="CB68" s="117">
        <f t="shared" si="228"/>
        <v>0.613468258051571</v>
      </c>
      <c r="CC68" s="9">
        <f t="shared" si="228"/>
        <v>0.520037940710342</v>
      </c>
      <c r="CD68" s="117">
        <f t="shared" si="228"/>
        <v>0.548020124062922</v>
      </c>
      <c r="CE68" s="117">
        <f t="shared" si="228"/>
        <v>0.362635186277511</v>
      </c>
      <c r="CF68" s="117">
        <f t="shared" si="228"/>
        <v>0.463923604082352</v>
      </c>
      <c r="CG68" s="117">
        <f t="shared" si="228"/>
        <v>0.345662819023963</v>
      </c>
      <c r="CH68" s="117">
        <f t="shared" si="228"/>
        <v>0.311874223286694</v>
      </c>
      <c r="CI68" s="117">
        <f t="shared" si="228"/>
        <v>0.364940453751438</v>
      </c>
      <c r="CJ68" s="117">
        <f t="shared" si="228"/>
        <v>0.419638435434605</v>
      </c>
      <c r="CK68" s="117">
        <f t="shared" si="228"/>
        <v>0.449793988952121</v>
      </c>
      <c r="CL68" s="117">
        <f t="shared" si="228"/>
        <v>0.449560675468632</v>
      </c>
      <c r="CM68" s="117">
        <f t="shared" si="228"/>
        <v>0.444428974528641</v>
      </c>
      <c r="CN68" s="117">
        <f t="shared" si="228"/>
        <v>0.535681730825512</v>
      </c>
      <c r="CO68" s="117">
        <f t="shared" si="228"/>
        <v>0.566108780005475</v>
      </c>
      <c r="CP68" s="9">
        <f t="shared" si="228"/>
        <v>0.441991703329621</v>
      </c>
      <c r="CQ68" s="117">
        <f t="shared" si="228"/>
        <v>0.45452592183504</v>
      </c>
      <c r="CR68" s="117">
        <f t="shared" si="228"/>
        <v>0.439540508829412</v>
      </c>
      <c r="CS68" s="117">
        <f t="shared" si="228"/>
        <v>0.437754124383148</v>
      </c>
      <c r="CT68" s="117">
        <f t="shared" si="228"/>
        <v>0.388139619240662</v>
      </c>
      <c r="CU68" s="117">
        <f t="shared" si="228"/>
        <v>0.415777701147255</v>
      </c>
      <c r="CV68" s="117">
        <f t="shared" ref="CV68:EA68" si="229">CV28/CV$39</f>
        <v>0.474874120197025</v>
      </c>
      <c r="CW68" s="117">
        <f t="shared" si="229"/>
        <v>0.522640754268449</v>
      </c>
      <c r="CX68" s="117">
        <f t="shared" si="229"/>
        <v>0.542343010581367</v>
      </c>
      <c r="CY68" s="117">
        <f t="shared" si="229"/>
        <v>0.585008317820649</v>
      </c>
      <c r="CZ68" s="117">
        <f t="shared" si="229"/>
        <v>0.541314649625752</v>
      </c>
      <c r="DA68" s="117">
        <f t="shared" si="229"/>
        <v>0.627770049452123</v>
      </c>
      <c r="DB68" s="117">
        <f t="shared" si="229"/>
        <v>0.586271948860873</v>
      </c>
      <c r="DC68" s="9">
        <f t="shared" si="229"/>
        <v>0.499138897741673</v>
      </c>
      <c r="DD68" s="117">
        <f t="shared" si="229"/>
        <v>0.480460632005076</v>
      </c>
      <c r="DE68" s="117">
        <f t="shared" si="229"/>
        <v>0.402022433628582</v>
      </c>
      <c r="DF68" s="117">
        <f t="shared" si="229"/>
        <v>0.453108941116868</v>
      </c>
      <c r="DG68" s="117">
        <f t="shared" si="229"/>
        <v>0.443479531468723</v>
      </c>
      <c r="DH68" s="117">
        <f t="shared" si="229"/>
        <v>0.380092519557393</v>
      </c>
      <c r="DI68" s="117">
        <f t="shared" si="229"/>
        <v>0.388433583003262</v>
      </c>
      <c r="DJ68" s="117">
        <f t="shared" si="229"/>
        <v>0.419478512136066</v>
      </c>
      <c r="DK68" s="117">
        <f t="shared" si="229"/>
        <v>0.508836746539576</v>
      </c>
      <c r="DL68" s="117">
        <f t="shared" si="229"/>
        <v>0.542660944443637</v>
      </c>
      <c r="DM68" s="117">
        <f t="shared" si="229"/>
        <v>0.48410233721884</v>
      </c>
      <c r="DN68" s="117">
        <f t="shared" si="229"/>
        <v>0.526084227343185</v>
      </c>
      <c r="DO68" s="117">
        <f t="shared" si="229"/>
        <v>0.566520569091404</v>
      </c>
      <c r="DP68" s="9">
        <f t="shared" si="229"/>
        <v>0.464365850293896</v>
      </c>
      <c r="DQ68" s="117">
        <f t="shared" si="229"/>
        <v>0.43001991096432</v>
      </c>
      <c r="DR68" s="117">
        <f t="shared" si="229"/>
        <v>0.449151097407876</v>
      </c>
      <c r="DS68" s="117">
        <f t="shared" si="229"/>
        <v>0.424144449435614</v>
      </c>
      <c r="DT68" s="117">
        <f t="shared" si="229"/>
        <v>0.388045860495574</v>
      </c>
      <c r="DU68" s="117">
        <f t="shared" si="229"/>
        <v>0.37467719904879</v>
      </c>
      <c r="DV68" s="117">
        <f t="shared" si="229"/>
        <v>0.374688173712266</v>
      </c>
      <c r="DW68" s="117">
        <f t="shared" si="229"/>
        <v>0.443177643142344</v>
      </c>
      <c r="DX68" s="117">
        <f t="shared" si="229"/>
        <v>0.496749138022607</v>
      </c>
      <c r="DY68" s="117">
        <f t="shared" si="229"/>
        <v>0.521899397441909</v>
      </c>
      <c r="DZ68" s="117">
        <f t="shared" si="229"/>
        <v>0.542305761361118</v>
      </c>
      <c r="EA68" s="117">
        <f t="shared" si="229"/>
        <v>0.616846499619516</v>
      </c>
      <c r="EB68" s="117">
        <f t="shared" ref="EB68:FT68" si="230">EB28/EB$39</f>
        <v>0.600790048212843</v>
      </c>
      <c r="EC68" s="117">
        <f t="shared" si="230"/>
        <v>0.467848378686723</v>
      </c>
      <c r="ED68" s="118">
        <f t="shared" si="230"/>
        <v>0.743893008252665</v>
      </c>
      <c r="EE68" s="117">
        <f t="shared" si="230"/>
        <v>0.399228569766557</v>
      </c>
      <c r="EF68" s="117">
        <f t="shared" si="230"/>
        <v>0</v>
      </c>
      <c r="EG68" s="117">
        <f t="shared" si="230"/>
        <v>0.384778779994881</v>
      </c>
      <c r="EH68" s="117" t="e">
        <f t="shared" si="230"/>
        <v>#DIV/0!</v>
      </c>
      <c r="EI68" s="117" t="e">
        <f t="shared" si="230"/>
        <v>#DIV/0!</v>
      </c>
      <c r="EJ68" s="117" t="e">
        <f t="shared" si="230"/>
        <v>#DIV/0!</v>
      </c>
      <c r="EK68" s="117" t="e">
        <f t="shared" si="230"/>
        <v>#DIV/0!</v>
      </c>
      <c r="EL68" s="117" t="e">
        <f t="shared" si="230"/>
        <v>#DIV/0!</v>
      </c>
      <c r="EM68" s="117" t="e">
        <f t="shared" si="230"/>
        <v>#DIV/0!</v>
      </c>
      <c r="EN68" s="117" t="e">
        <f t="shared" si="230"/>
        <v>#DIV/0!</v>
      </c>
      <c r="EO68" s="117" t="e">
        <f t="shared" si="230"/>
        <v>#DIV/0!</v>
      </c>
      <c r="EP68" s="9">
        <f t="shared" si="230"/>
        <v>0.680995495696595</v>
      </c>
      <c r="EQ68" s="117">
        <f t="shared" si="230"/>
        <v>0.391562531062836</v>
      </c>
      <c r="ER68" s="117">
        <f t="shared" si="230"/>
        <v>0.423647462593489</v>
      </c>
      <c r="ES68" s="117">
        <f t="shared" si="230"/>
        <v>0.440722213980107</v>
      </c>
      <c r="ET68" s="117">
        <f t="shared" si="230"/>
        <v>0.382992706140974</v>
      </c>
      <c r="EU68" s="117">
        <f t="shared" si="230"/>
        <v>0.410584116553905</v>
      </c>
      <c r="EV68" s="117">
        <f t="shared" si="230"/>
        <v>0.418693433778901</v>
      </c>
      <c r="EW68" s="117">
        <f t="shared" si="230"/>
        <v>0.391163875958994</v>
      </c>
      <c r="EX68" s="117">
        <f t="shared" si="230"/>
        <v>0.42734497327681</v>
      </c>
      <c r="EY68" s="117">
        <f t="shared" si="230"/>
        <v>0.472542138504833</v>
      </c>
      <c r="EZ68" s="117">
        <f t="shared" si="230"/>
        <v>0.443169424315053</v>
      </c>
      <c r="FA68" s="117">
        <f t="shared" si="230"/>
        <v>0.491859440243784</v>
      </c>
      <c r="FB68" s="117">
        <f t="shared" si="230"/>
        <v>0.527892857838186</v>
      </c>
      <c r="FC68" s="117">
        <f t="shared" si="230"/>
        <v>0.437515256990705</v>
      </c>
      <c r="FD68" s="118"/>
      <c r="FE68" s="117"/>
      <c r="FF68" s="117"/>
      <c r="FG68" s="117"/>
      <c r="FH68" s="117"/>
      <c r="FI68" s="117"/>
      <c r="FJ68" s="117"/>
      <c r="FK68" s="117"/>
      <c r="FL68" s="117"/>
      <c r="FM68" s="117"/>
      <c r="FN68" s="117"/>
      <c r="FO68" s="117"/>
      <c r="FP68" s="9"/>
      <c r="FQ68" s="118">
        <f t="shared" si="230"/>
        <v>0.530582668365018</v>
      </c>
      <c r="FR68" s="117">
        <f t="shared" si="230"/>
        <v>0.573643064727356</v>
      </c>
      <c r="FS68" s="117">
        <f t="shared" si="230"/>
        <v>0.61634497890602</v>
      </c>
      <c r="FT68" s="117">
        <f t="shared" si="230"/>
        <v>0.450135215581945</v>
      </c>
      <c r="FU68" s="117">
        <f t="shared" ref="FU68:GC68" si="231">FU28/FU$39</f>
        <v>0.532562572108879</v>
      </c>
      <c r="FV68" s="117">
        <f t="shared" si="231"/>
        <v>0.510743464837848</v>
      </c>
      <c r="FW68" s="117">
        <f t="shared" si="231"/>
        <v>0.592710223190259</v>
      </c>
      <c r="FX68" s="117">
        <f t="shared" si="231"/>
        <v>0.615797880025485</v>
      </c>
      <c r="FY68" s="117">
        <f t="shared" si="231"/>
        <v>0.654408130366426</v>
      </c>
      <c r="FZ68" s="117">
        <f t="shared" si="231"/>
        <v>0.614183236805097</v>
      </c>
      <c r="GA68" s="117">
        <f t="shared" si="231"/>
        <v>0.672814972725242</v>
      </c>
      <c r="GB68" s="117">
        <f t="shared" si="231"/>
        <v>0.722135184816091</v>
      </c>
      <c r="GC68" s="9">
        <f t="shared" si="231"/>
        <v>0.59471925703301</v>
      </c>
    </row>
    <row r="69" s="56" customFormat="1" ht="16.5" spans="1:185">
      <c r="A69" s="88" t="s">
        <v>422</v>
      </c>
      <c r="B69" s="119"/>
      <c r="C69" s="120">
        <f t="shared" si="87"/>
        <v>-0.341749511181366</v>
      </c>
      <c r="D69" s="121">
        <f t="shared" ref="D69:AI69" si="232">D29/D$39</f>
        <v>0.646969853141894</v>
      </c>
      <c r="E69" s="121">
        <f t="shared" si="232"/>
        <v>0.670021539689728</v>
      </c>
      <c r="F69" s="121">
        <f t="shared" si="232"/>
        <v>0.662984804207288</v>
      </c>
      <c r="G69" s="121">
        <f t="shared" si="232"/>
        <v>0.606066501381303</v>
      </c>
      <c r="H69" s="121">
        <f t="shared" si="232"/>
        <v>0.582049417905923</v>
      </c>
      <c r="I69" s="121">
        <f t="shared" si="232"/>
        <v>0.580045619797986</v>
      </c>
      <c r="J69" s="121">
        <f t="shared" si="232"/>
        <v>0.622731946324719</v>
      </c>
      <c r="K69" s="121">
        <f t="shared" si="232"/>
        <v>0.630835018436025</v>
      </c>
      <c r="L69" s="121">
        <f t="shared" si="232"/>
        <v>0.636634832366185</v>
      </c>
      <c r="M69" s="121">
        <f t="shared" si="232"/>
        <v>0.601772696331163</v>
      </c>
      <c r="N69" s="121">
        <f t="shared" si="232"/>
        <v>0.67187635647844</v>
      </c>
      <c r="O69" s="121">
        <f t="shared" si="232"/>
        <v>0.728327059202903</v>
      </c>
      <c r="P69" s="122">
        <f t="shared" si="232"/>
        <v>0.639990451007157</v>
      </c>
      <c r="Q69" s="121">
        <f t="shared" si="232"/>
        <v>0.688446416583008</v>
      </c>
      <c r="R69" s="121">
        <f t="shared" si="232"/>
        <v>0.693522213773264</v>
      </c>
      <c r="S69" s="121">
        <f t="shared" si="232"/>
        <v>0.708563442456476</v>
      </c>
      <c r="T69" s="121">
        <f t="shared" si="232"/>
        <v>0.660685102089713</v>
      </c>
      <c r="U69" s="121">
        <f t="shared" si="232"/>
        <v>0.604415159876188</v>
      </c>
      <c r="V69" s="121">
        <f t="shared" si="232"/>
        <v>0.534146604237712</v>
      </c>
      <c r="W69" s="121">
        <f t="shared" si="232"/>
        <v>0.567804991750789</v>
      </c>
      <c r="X69" s="121">
        <f t="shared" si="232"/>
        <v>0.601276211045302</v>
      </c>
      <c r="Y69" s="121">
        <f t="shared" si="232"/>
        <v>0.597271204332529</v>
      </c>
      <c r="Z69" s="121">
        <f t="shared" si="232"/>
        <v>0.636815335244838</v>
      </c>
      <c r="AA69" s="121">
        <f t="shared" si="232"/>
        <v>0.68729291074553</v>
      </c>
      <c r="AB69" s="121">
        <f t="shared" si="232"/>
        <v>0.698245745766355</v>
      </c>
      <c r="AC69" s="122">
        <f t="shared" si="232"/>
        <v>0.643485040204688</v>
      </c>
      <c r="AD69" s="121">
        <f t="shared" si="232"/>
        <v>0.639751794231456</v>
      </c>
      <c r="AE69" s="121">
        <f t="shared" si="232"/>
        <v>0.630073365806107</v>
      </c>
      <c r="AF69" s="121">
        <f t="shared" si="232"/>
        <v>0.689944127033869</v>
      </c>
      <c r="AG69" s="121">
        <f t="shared" si="232"/>
        <v>0.658083749538672</v>
      </c>
      <c r="AH69" s="121">
        <f t="shared" si="232"/>
        <v>0.599232207610369</v>
      </c>
      <c r="AI69" s="121">
        <f t="shared" si="232"/>
        <v>0.589699380791914</v>
      </c>
      <c r="AJ69" s="121">
        <f t="shared" ref="AJ69:BO69" si="233">AJ29/AJ$39</f>
        <v>0.59668789580365</v>
      </c>
      <c r="AK69" s="121">
        <f t="shared" si="233"/>
        <v>0.597220581412113</v>
      </c>
      <c r="AL69" s="121">
        <f t="shared" si="233"/>
        <v>0.557685098727586</v>
      </c>
      <c r="AM69" s="121">
        <f t="shared" si="233"/>
        <v>0.580802356790094</v>
      </c>
      <c r="AN69" s="121">
        <f t="shared" si="233"/>
        <v>0.65218127057026</v>
      </c>
      <c r="AO69" s="121">
        <f t="shared" si="233"/>
        <v>0.69391110351803</v>
      </c>
      <c r="AP69" s="122">
        <f t="shared" si="233"/>
        <v>0.621998724823995</v>
      </c>
      <c r="AQ69" s="121">
        <f t="shared" si="233"/>
        <v>0.688032316798933</v>
      </c>
      <c r="AR69" s="121">
        <f t="shared" si="233"/>
        <v>0.697571723786435</v>
      </c>
      <c r="AS69" s="121">
        <f t="shared" si="233"/>
        <v>0.65607433005757</v>
      </c>
      <c r="AT69" s="121">
        <f t="shared" si="233"/>
        <v>0.632433342211246</v>
      </c>
      <c r="AU69" s="121">
        <f t="shared" si="233"/>
        <v>0.638971931411158</v>
      </c>
      <c r="AV69" s="121">
        <f t="shared" si="233"/>
        <v>0.626218734339278</v>
      </c>
      <c r="AW69" s="121">
        <f t="shared" si="233"/>
        <v>0.704493674067377</v>
      </c>
      <c r="AX69" s="121">
        <f t="shared" si="233"/>
        <v>0.693336635827245</v>
      </c>
      <c r="AY69" s="121">
        <f t="shared" si="233"/>
        <v>0.687886723623417</v>
      </c>
      <c r="AZ69" s="121">
        <f t="shared" si="233"/>
        <v>0.597060302958688</v>
      </c>
      <c r="BA69" s="121">
        <f t="shared" si="233"/>
        <v>0.681814046328386</v>
      </c>
      <c r="BB69" s="121">
        <f t="shared" si="233"/>
        <v>0.782053364389149</v>
      </c>
      <c r="BC69" s="122">
        <f t="shared" si="233"/>
        <v>0.67759217341321</v>
      </c>
      <c r="BD69" s="121">
        <f t="shared" si="233"/>
        <v>0.588421125040937</v>
      </c>
      <c r="BE69" s="121">
        <f t="shared" si="233"/>
        <v>0.65192669201808</v>
      </c>
      <c r="BF69" s="121">
        <f t="shared" si="233"/>
        <v>0.633245525861874</v>
      </c>
      <c r="BG69" s="121">
        <f t="shared" si="233"/>
        <v>0.608633606009165</v>
      </c>
      <c r="BH69" s="121">
        <f t="shared" si="233"/>
        <v>0.55687332222087</v>
      </c>
      <c r="BI69" s="121">
        <f t="shared" si="233"/>
        <v>0.595457284310823</v>
      </c>
      <c r="BJ69" s="121">
        <f t="shared" si="233"/>
        <v>0.630420315529414</v>
      </c>
      <c r="BK69" s="121">
        <f t="shared" si="233"/>
        <v>0.634427925441714</v>
      </c>
      <c r="BL69" s="121">
        <f t="shared" si="233"/>
        <v>0.659101207250712</v>
      </c>
      <c r="BM69" s="121">
        <f t="shared" si="233"/>
        <v>0.627629756839434</v>
      </c>
      <c r="BN69" s="121">
        <f t="shared" si="233"/>
        <v>0.665994526765497</v>
      </c>
      <c r="BO69" s="121">
        <f t="shared" si="233"/>
        <v>0.702793030585651</v>
      </c>
      <c r="BP69" s="122">
        <f t="shared" ref="BP69:CU69" si="234">BP29/BP$39</f>
        <v>0.632044428421444</v>
      </c>
      <c r="BQ69" s="121">
        <f t="shared" si="234"/>
        <v>0.639676901901925</v>
      </c>
      <c r="BR69" s="121">
        <f t="shared" si="234"/>
        <v>0.649036748768575</v>
      </c>
      <c r="BS69" s="121">
        <f t="shared" si="234"/>
        <v>0.605508716274917</v>
      </c>
      <c r="BT69" s="121">
        <f t="shared" si="234"/>
        <v>0.585555565648057</v>
      </c>
      <c r="BU69" s="121">
        <f t="shared" si="234"/>
        <v>0.54666827748415</v>
      </c>
      <c r="BV69" s="121">
        <f t="shared" si="234"/>
        <v>0.641835267045517</v>
      </c>
      <c r="BW69" s="121">
        <f t="shared" si="234"/>
        <v>0.668689834210661</v>
      </c>
      <c r="BX69" s="121">
        <f t="shared" si="234"/>
        <v>0.655090670359218</v>
      </c>
      <c r="BY69" s="121">
        <f t="shared" si="234"/>
        <v>0.646376221479056</v>
      </c>
      <c r="BZ69" s="121">
        <f t="shared" si="234"/>
        <v>0.571614773436649</v>
      </c>
      <c r="CA69" s="121">
        <f t="shared" si="234"/>
        <v>0.601024100377285</v>
      </c>
      <c r="CB69" s="121">
        <f t="shared" si="234"/>
        <v>0.709307363562973</v>
      </c>
      <c r="CC69" s="122">
        <f t="shared" si="234"/>
        <v>0.62738755776252</v>
      </c>
      <c r="CD69" s="121">
        <f t="shared" si="234"/>
        <v>0.695291062055047</v>
      </c>
      <c r="CE69" s="121">
        <f t="shared" si="234"/>
        <v>0.520287134139298</v>
      </c>
      <c r="CF69" s="121">
        <f t="shared" si="234"/>
        <v>0.593423928633591</v>
      </c>
      <c r="CG69" s="121">
        <f t="shared" si="234"/>
        <v>0.499449925484756</v>
      </c>
      <c r="CH69" s="121">
        <f t="shared" si="234"/>
        <v>0.476330605170766</v>
      </c>
      <c r="CI69" s="121">
        <f t="shared" si="234"/>
        <v>0.487595483899643</v>
      </c>
      <c r="CJ69" s="121">
        <f t="shared" si="234"/>
        <v>0.510916443687418</v>
      </c>
      <c r="CK69" s="121">
        <f t="shared" si="234"/>
        <v>0.533525584065443</v>
      </c>
      <c r="CL69" s="121">
        <f t="shared" si="234"/>
        <v>0.520364719918484</v>
      </c>
      <c r="CM69" s="121">
        <f t="shared" si="234"/>
        <v>0.489841562794024</v>
      </c>
      <c r="CN69" s="121">
        <f t="shared" si="234"/>
        <v>0.565724569033564</v>
      </c>
      <c r="CO69" s="121">
        <f t="shared" si="234"/>
        <v>0.62721849997162</v>
      </c>
      <c r="CP69" s="122">
        <f t="shared" si="234"/>
        <v>0.54628358595339</v>
      </c>
      <c r="CQ69" s="121">
        <f t="shared" si="234"/>
        <v>0.649893255165343</v>
      </c>
      <c r="CR69" s="121">
        <f t="shared" si="234"/>
        <v>0.673177051665667</v>
      </c>
      <c r="CS69" s="121">
        <f t="shared" si="234"/>
        <v>0.672107176007431</v>
      </c>
      <c r="CT69" s="121">
        <f t="shared" si="234"/>
        <v>0.650490919955755</v>
      </c>
      <c r="CU69" s="121">
        <f t="shared" si="234"/>
        <v>0.62448972632285</v>
      </c>
      <c r="CV69" s="121">
        <f t="shared" ref="CV69:EA69" si="235">CV29/CV$39</f>
        <v>0.623231926826962</v>
      </c>
      <c r="CW69" s="121">
        <f t="shared" si="235"/>
        <v>0.645141440221244</v>
      </c>
      <c r="CX69" s="121">
        <f t="shared" si="235"/>
        <v>0.634007636027876</v>
      </c>
      <c r="CY69" s="121">
        <f t="shared" si="235"/>
        <v>0.66263252009147</v>
      </c>
      <c r="CZ69" s="121">
        <f t="shared" si="235"/>
        <v>0.593396509153236</v>
      </c>
      <c r="DA69" s="121">
        <f t="shared" si="235"/>
        <v>0.660193311616228</v>
      </c>
      <c r="DB69" s="121">
        <f t="shared" si="235"/>
        <v>0.691758099358958</v>
      </c>
      <c r="DC69" s="122">
        <f t="shared" si="235"/>
        <v>0.649470873281473</v>
      </c>
      <c r="DD69" s="121">
        <f t="shared" si="235"/>
        <v>0.583988573485351</v>
      </c>
      <c r="DE69" s="121">
        <f t="shared" si="235"/>
        <v>0.537041157381597</v>
      </c>
      <c r="DF69" s="121">
        <f t="shared" si="235"/>
        <v>0.595592540656972</v>
      </c>
      <c r="DG69" s="121">
        <f t="shared" si="235"/>
        <v>0.587016072328437</v>
      </c>
      <c r="DH69" s="121">
        <f t="shared" si="235"/>
        <v>0.532892392274117</v>
      </c>
      <c r="DI69" s="121">
        <f t="shared" si="235"/>
        <v>0.521757545150521</v>
      </c>
      <c r="DJ69" s="121">
        <f t="shared" si="235"/>
        <v>0.53616999588368</v>
      </c>
      <c r="DK69" s="121">
        <f t="shared" si="235"/>
        <v>0.605829905376997</v>
      </c>
      <c r="DL69" s="121">
        <f t="shared" si="235"/>
        <v>0.612608684518508</v>
      </c>
      <c r="DM69" s="121">
        <f t="shared" si="235"/>
        <v>0.533470482265289</v>
      </c>
      <c r="DN69" s="121">
        <f t="shared" si="235"/>
        <v>0.570539934172081</v>
      </c>
      <c r="DO69" s="121">
        <f t="shared" si="235"/>
        <v>0.643164942095053</v>
      </c>
      <c r="DP69" s="122">
        <f t="shared" si="235"/>
        <v>0.571087409142309</v>
      </c>
      <c r="DQ69" s="121">
        <f t="shared" si="235"/>
        <v>0.509554014180899</v>
      </c>
      <c r="DR69" s="121">
        <f t="shared" si="235"/>
        <v>0.57488266491098</v>
      </c>
      <c r="DS69" s="121">
        <f t="shared" si="235"/>
        <v>0.556356525484848</v>
      </c>
      <c r="DT69" s="121">
        <f t="shared" si="235"/>
        <v>0.517018103871278</v>
      </c>
      <c r="DU69" s="121">
        <f t="shared" si="235"/>
        <v>0.512024086985246</v>
      </c>
      <c r="DV69" s="121">
        <f t="shared" si="235"/>
        <v>0.473851398837642</v>
      </c>
      <c r="DW69" s="121">
        <f t="shared" si="235"/>
        <v>0.513516355876553</v>
      </c>
      <c r="DX69" s="121">
        <f t="shared" si="235"/>
        <v>0.558800984034316</v>
      </c>
      <c r="DY69" s="121">
        <f t="shared" si="235"/>
        <v>0.572746684857469</v>
      </c>
      <c r="DZ69" s="121">
        <f t="shared" si="235"/>
        <v>0.58452807849814</v>
      </c>
      <c r="EA69" s="121">
        <f t="shared" si="235"/>
        <v>0.651986787805575</v>
      </c>
      <c r="EB69" s="121">
        <f t="shared" ref="EB69:FT69" si="236">EB29/EB$39</f>
        <v>0.690538241651659</v>
      </c>
      <c r="EC69" s="121">
        <f t="shared" si="236"/>
        <v>0.55604854465132</v>
      </c>
      <c r="ED69" s="123">
        <f t="shared" si="236"/>
        <v>0.79699018365081</v>
      </c>
      <c r="EE69" s="121">
        <f t="shared" si="236"/>
        <v>0.482087623746199</v>
      </c>
      <c r="EF69" s="121">
        <f t="shared" si="236"/>
        <v>0</v>
      </c>
      <c r="EG69" s="121">
        <f t="shared" si="236"/>
        <v>0.831264589135559</v>
      </c>
      <c r="EH69" s="121" t="e">
        <f t="shared" si="236"/>
        <v>#DIV/0!</v>
      </c>
      <c r="EI69" s="121" t="e">
        <f t="shared" si="236"/>
        <v>#DIV/0!</v>
      </c>
      <c r="EJ69" s="121" t="e">
        <f t="shared" si="236"/>
        <v>#DIV/0!</v>
      </c>
      <c r="EK69" s="121" t="e">
        <f t="shared" si="236"/>
        <v>#DIV/0!</v>
      </c>
      <c r="EL69" s="121" t="e">
        <f t="shared" si="236"/>
        <v>#DIV/0!</v>
      </c>
      <c r="EM69" s="121" t="e">
        <f t="shared" si="236"/>
        <v>#DIV/0!</v>
      </c>
      <c r="EN69" s="121" t="e">
        <f t="shared" si="236"/>
        <v>#DIV/0!</v>
      </c>
      <c r="EO69" s="121" t="e">
        <f t="shared" si="236"/>
        <v>#DIV/0!</v>
      </c>
      <c r="EP69" s="122">
        <f t="shared" si="236"/>
        <v>0.751167571661248</v>
      </c>
      <c r="EQ69" s="121">
        <f t="shared" si="236"/>
        <v>0.448302757374234</v>
      </c>
      <c r="ER69" s="121">
        <f t="shared" si="236"/>
        <v>0.482708204008322</v>
      </c>
      <c r="ES69" s="121">
        <f t="shared" si="236"/>
        <v>0.494601747784129</v>
      </c>
      <c r="ET69" s="121">
        <f t="shared" si="236"/>
        <v>0.43041941711399</v>
      </c>
      <c r="EU69" s="121">
        <f t="shared" si="236"/>
        <v>0.467962362713919</v>
      </c>
      <c r="EV69" s="121">
        <f t="shared" si="236"/>
        <v>0.466423207838663</v>
      </c>
      <c r="EW69" s="121">
        <f t="shared" si="236"/>
        <v>0.439266378547948</v>
      </c>
      <c r="EX69" s="121">
        <f t="shared" si="236"/>
        <v>0.479035419550244</v>
      </c>
      <c r="EY69" s="121">
        <f t="shared" si="236"/>
        <v>0.509593779192176</v>
      </c>
      <c r="EZ69" s="121">
        <f t="shared" si="236"/>
        <v>0.476892255689794</v>
      </c>
      <c r="FA69" s="121">
        <f t="shared" si="236"/>
        <v>0.510677932946306</v>
      </c>
      <c r="FB69" s="121">
        <f t="shared" si="236"/>
        <v>0.562124146978781</v>
      </c>
      <c r="FC69" s="121">
        <f t="shared" si="236"/>
        <v>0.482222690853659</v>
      </c>
      <c r="FD69" s="123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2"/>
      <c r="FQ69" s="123">
        <f t="shared" si="236"/>
        <v>0.69075720302792</v>
      </c>
      <c r="FR69" s="121">
        <f t="shared" si="236"/>
        <v>0.747749613614972</v>
      </c>
      <c r="FS69" s="121">
        <f t="shared" si="236"/>
        <v>0.737074488116527</v>
      </c>
      <c r="FT69" s="121">
        <f t="shared" si="236"/>
        <v>0.627897598755605</v>
      </c>
      <c r="FU69" s="121">
        <f t="shared" ref="FU69:GC69" si="237">FU29/FU$39</f>
        <v>0.628294635091047</v>
      </c>
      <c r="FV69" s="121">
        <f t="shared" si="237"/>
        <v>0.589062846766567</v>
      </c>
      <c r="FW69" s="121">
        <f t="shared" si="237"/>
        <v>0.666140142771141</v>
      </c>
      <c r="FX69" s="121">
        <f t="shared" si="237"/>
        <v>0.670189534167593</v>
      </c>
      <c r="FY69" s="121">
        <f t="shared" si="237"/>
        <v>0.70618187952426</v>
      </c>
      <c r="FZ69" s="121">
        <f t="shared" si="237"/>
        <v>0.645048110457203</v>
      </c>
      <c r="GA69" s="121">
        <f t="shared" si="237"/>
        <v>0.75653149273438</v>
      </c>
      <c r="GB69" s="121">
        <f t="shared" si="237"/>
        <v>0.80003744791019</v>
      </c>
      <c r="GC69" s="122">
        <f t="shared" si="237"/>
        <v>0.697090011099678</v>
      </c>
    </row>
    <row r="70" customHeight="1" spans="1:185">
      <c r="A70" s="108" t="s">
        <v>29</v>
      </c>
      <c r="B70" s="109" t="s">
        <v>423</v>
      </c>
      <c r="C70" s="110">
        <f t="shared" si="87"/>
        <v>-0.791266385732791</v>
      </c>
      <c r="D70" s="111">
        <f t="shared" ref="D70:AI70" si="238">D30/D$39</f>
        <v>0.0377023593140497</v>
      </c>
      <c r="E70" s="111">
        <f t="shared" si="238"/>
        <v>0.0283000911514636</v>
      </c>
      <c r="F70" s="111">
        <f t="shared" si="238"/>
        <v>0.0370660439007865</v>
      </c>
      <c r="G70" s="111">
        <f t="shared" si="238"/>
        <v>0.0230892418583099</v>
      </c>
      <c r="H70" s="111">
        <f t="shared" si="238"/>
        <v>0.0244178006917381</v>
      </c>
      <c r="I70" s="111">
        <f t="shared" si="238"/>
        <v>0.0318917745651457</v>
      </c>
      <c r="J70" s="111">
        <f t="shared" si="238"/>
        <v>0.0248829518626995</v>
      </c>
      <c r="K70" s="111">
        <f t="shared" si="238"/>
        <v>0.0110603925792755</v>
      </c>
      <c r="L70" s="111">
        <f t="shared" si="238"/>
        <v>0.0129684179203381</v>
      </c>
      <c r="M70" s="111">
        <f t="shared" si="238"/>
        <v>0.011833806415679</v>
      </c>
      <c r="N70" s="111">
        <f t="shared" si="238"/>
        <v>0.00991807668708936</v>
      </c>
      <c r="O70" s="111">
        <f t="shared" si="238"/>
        <v>0.0123592270902625</v>
      </c>
      <c r="P70" s="112">
        <f t="shared" si="238"/>
        <v>0.0223972104485603</v>
      </c>
      <c r="Q70" s="111">
        <f t="shared" si="238"/>
        <v>0.0185856266406153</v>
      </c>
      <c r="R70" s="111">
        <f t="shared" si="238"/>
        <v>0.0145127832349565</v>
      </c>
      <c r="S70" s="111">
        <f t="shared" si="238"/>
        <v>0.0107289179022555</v>
      </c>
      <c r="T70" s="111">
        <f t="shared" si="238"/>
        <v>0.011787712141152</v>
      </c>
      <c r="U70" s="111">
        <f t="shared" si="238"/>
        <v>0.0103401537360158</v>
      </c>
      <c r="V70" s="111">
        <f t="shared" si="238"/>
        <v>0.0223206637292479</v>
      </c>
      <c r="W70" s="111">
        <f t="shared" si="238"/>
        <v>0.0187865114517821</v>
      </c>
      <c r="X70" s="111">
        <f t="shared" si="238"/>
        <v>0.00695821702758789</v>
      </c>
      <c r="Y70" s="111">
        <f t="shared" si="238"/>
        <v>0.00426070576398164</v>
      </c>
      <c r="Z70" s="111">
        <f t="shared" si="238"/>
        <v>0.00554762244506784</v>
      </c>
      <c r="AA70" s="111">
        <f t="shared" si="238"/>
        <v>0.00861469623777051</v>
      </c>
      <c r="AB70" s="111">
        <f t="shared" si="238"/>
        <v>0.00885350042283043</v>
      </c>
      <c r="AC70" s="112">
        <f t="shared" si="238"/>
        <v>0.0116641644110938</v>
      </c>
      <c r="AD70" s="111">
        <f t="shared" si="238"/>
        <v>0.0222131289136342</v>
      </c>
      <c r="AE70" s="111">
        <f t="shared" si="238"/>
        <v>0.0114236929612321</v>
      </c>
      <c r="AF70" s="111">
        <f t="shared" si="238"/>
        <v>0.0127687269030273</v>
      </c>
      <c r="AG70" s="111">
        <f t="shared" si="238"/>
        <v>0.00997888774273654</v>
      </c>
      <c r="AH70" s="111">
        <f t="shared" si="238"/>
        <v>0.00923883378104812</v>
      </c>
      <c r="AI70" s="111">
        <f t="shared" si="238"/>
        <v>0.0140746580656864</v>
      </c>
      <c r="AJ70" s="111">
        <f t="shared" ref="AJ70:BO70" si="239">AJ30/AJ$39</f>
        <v>0.0134873539749276</v>
      </c>
      <c r="AK70" s="111">
        <f t="shared" si="239"/>
        <v>0.00468644100852462</v>
      </c>
      <c r="AL70" s="111">
        <f t="shared" si="239"/>
        <v>0.00407175248847983</v>
      </c>
      <c r="AM70" s="111">
        <f t="shared" si="239"/>
        <v>0.00270856321277979</v>
      </c>
      <c r="AN70" s="111">
        <f t="shared" si="239"/>
        <v>0.00214249017416457</v>
      </c>
      <c r="AO70" s="111">
        <f t="shared" si="239"/>
        <v>0.00487692394555956</v>
      </c>
      <c r="AP70" s="112">
        <f t="shared" si="239"/>
        <v>0.00884136258786536</v>
      </c>
      <c r="AQ70" s="111">
        <f t="shared" si="239"/>
        <v>0.0304795321004358</v>
      </c>
      <c r="AR70" s="111">
        <f t="shared" si="239"/>
        <v>0.0255516648798998</v>
      </c>
      <c r="AS70" s="111">
        <f t="shared" si="239"/>
        <v>0.0369314788643039</v>
      </c>
      <c r="AT70" s="111">
        <f t="shared" si="239"/>
        <v>0.0173166892588105</v>
      </c>
      <c r="AU70" s="111">
        <f t="shared" si="239"/>
        <v>0.0148963395686902</v>
      </c>
      <c r="AV70" s="111">
        <f t="shared" si="239"/>
        <v>0.0396020520064112</v>
      </c>
      <c r="AW70" s="111">
        <f t="shared" si="239"/>
        <v>0.0196527951682081</v>
      </c>
      <c r="AX70" s="111">
        <f t="shared" si="239"/>
        <v>0.0109622531293642</v>
      </c>
      <c r="AY70" s="111">
        <f t="shared" si="239"/>
        <v>0.00748215365829247</v>
      </c>
      <c r="AZ70" s="111">
        <f t="shared" si="239"/>
        <v>0.0117002031698275</v>
      </c>
      <c r="BA70" s="111">
        <f t="shared" si="239"/>
        <v>0.0120569847089408</v>
      </c>
      <c r="BB70" s="111">
        <f t="shared" si="239"/>
        <v>0.0153663925855165</v>
      </c>
      <c r="BC70" s="112">
        <f t="shared" si="239"/>
        <v>0.0197195700379791</v>
      </c>
      <c r="BD70" s="111">
        <f t="shared" si="239"/>
        <v>0.0284537718714137</v>
      </c>
      <c r="BE70" s="111">
        <f t="shared" si="239"/>
        <v>0.0168879677770639</v>
      </c>
      <c r="BF70" s="111">
        <f t="shared" si="239"/>
        <v>0.0175087074349382</v>
      </c>
      <c r="BG70" s="111">
        <f t="shared" si="239"/>
        <v>0.0161080765858912</v>
      </c>
      <c r="BH70" s="111">
        <f t="shared" si="239"/>
        <v>0.0127177033632964</v>
      </c>
      <c r="BI70" s="111">
        <f t="shared" si="239"/>
        <v>0.0193791265087351</v>
      </c>
      <c r="BJ70" s="111">
        <f t="shared" si="239"/>
        <v>0.0131948837548329</v>
      </c>
      <c r="BK70" s="111">
        <f t="shared" si="239"/>
        <v>0.00802061440627323</v>
      </c>
      <c r="BL70" s="111">
        <f t="shared" si="239"/>
        <v>0.00370369652091136</v>
      </c>
      <c r="BM70" s="111">
        <f t="shared" si="239"/>
        <v>0.00655387730980931</v>
      </c>
      <c r="BN70" s="111">
        <f t="shared" si="239"/>
        <v>0.00450766225399004</v>
      </c>
      <c r="BO70" s="111">
        <f t="shared" si="239"/>
        <v>0.0064402591433787</v>
      </c>
      <c r="BP70" s="112">
        <f t="shared" ref="BP70:CU70" si="240">BP30/BP$39</f>
        <v>0.0130033721786039</v>
      </c>
      <c r="BQ70" s="111">
        <f t="shared" si="240"/>
        <v>0.0671075401337997</v>
      </c>
      <c r="BR70" s="111">
        <f t="shared" si="240"/>
        <v>0.0510517102950976</v>
      </c>
      <c r="BS70" s="111">
        <f t="shared" si="240"/>
        <v>0.0806572123975644</v>
      </c>
      <c r="BT70" s="111">
        <f t="shared" si="240"/>
        <v>0.0540446040912646</v>
      </c>
      <c r="BU70" s="111">
        <f t="shared" si="240"/>
        <v>0.0567864403252001</v>
      </c>
      <c r="BV70" s="111">
        <f t="shared" si="240"/>
        <v>0.0691141990262485</v>
      </c>
      <c r="BW70" s="111">
        <f t="shared" si="240"/>
        <v>0.0433351506053277</v>
      </c>
      <c r="BX70" s="111">
        <f t="shared" si="240"/>
        <v>0.0254200363193288</v>
      </c>
      <c r="BY70" s="111">
        <f t="shared" si="240"/>
        <v>0.0457739531661225</v>
      </c>
      <c r="BZ70" s="111">
        <f t="shared" si="240"/>
        <v>0.0385186569905156</v>
      </c>
      <c r="CA70" s="111">
        <f t="shared" si="240"/>
        <v>0.0260756275964347</v>
      </c>
      <c r="CB70" s="111">
        <f t="shared" si="240"/>
        <v>0.0342517788175737</v>
      </c>
      <c r="CC70" s="112">
        <f t="shared" si="240"/>
        <v>0.0504569971623084</v>
      </c>
      <c r="CD70" s="111">
        <f t="shared" si="240"/>
        <v>0.0236889764076587</v>
      </c>
      <c r="CE70" s="111">
        <f t="shared" si="240"/>
        <v>0.0219863663794778</v>
      </c>
      <c r="CF70" s="111">
        <f t="shared" si="240"/>
        <v>0.0194149462152317</v>
      </c>
      <c r="CG70" s="111">
        <f t="shared" si="240"/>
        <v>0.0222568047462175</v>
      </c>
      <c r="CH70" s="111">
        <f t="shared" si="240"/>
        <v>0.0100411358651994</v>
      </c>
      <c r="CI70" s="111">
        <f t="shared" si="240"/>
        <v>0.0364473174189813</v>
      </c>
      <c r="CJ70" s="111">
        <f t="shared" si="240"/>
        <v>0.0219654008299987</v>
      </c>
      <c r="CK70" s="111">
        <f t="shared" si="240"/>
        <v>0.00704488077310348</v>
      </c>
      <c r="CL70" s="111">
        <f t="shared" si="240"/>
        <v>0.00434102357367657</v>
      </c>
      <c r="CM70" s="111">
        <f t="shared" si="240"/>
        <v>0.00616350863931176</v>
      </c>
      <c r="CN70" s="111">
        <f t="shared" si="240"/>
        <v>0.00666705961656483</v>
      </c>
      <c r="CO70" s="111">
        <f t="shared" si="240"/>
        <v>0.01423401092163</v>
      </c>
      <c r="CP70" s="112">
        <f t="shared" si="240"/>
        <v>0.0162370066478521</v>
      </c>
      <c r="CQ70" s="111">
        <f t="shared" si="240"/>
        <v>0.0183983133886079</v>
      </c>
      <c r="CR70" s="111">
        <f t="shared" si="240"/>
        <v>0.0139041578703907</v>
      </c>
      <c r="CS70" s="111">
        <f t="shared" si="240"/>
        <v>0.0140024041653358</v>
      </c>
      <c r="CT70" s="111">
        <f t="shared" si="240"/>
        <v>0.01354192528147</v>
      </c>
      <c r="CU70" s="111">
        <f t="shared" si="240"/>
        <v>0.00947861839607469</v>
      </c>
      <c r="CV70" s="111">
        <f t="shared" ref="CV70:EA70" si="241">CV30/CV$39</f>
        <v>0.015556549813818</v>
      </c>
      <c r="CW70" s="111">
        <f t="shared" si="241"/>
        <v>0.0143893282922059</v>
      </c>
      <c r="CX70" s="111">
        <f t="shared" si="241"/>
        <v>0.00935329005814644</v>
      </c>
      <c r="CY70" s="111">
        <f t="shared" si="241"/>
        <v>0.00153956979231819</v>
      </c>
      <c r="CZ70" s="111">
        <f t="shared" si="241"/>
        <v>0.00412579279199993</v>
      </c>
      <c r="DA70" s="111">
        <f t="shared" si="241"/>
        <v>0.0024990643334452</v>
      </c>
      <c r="DB70" s="111">
        <f t="shared" si="241"/>
        <v>0.00388557448811307</v>
      </c>
      <c r="DC70" s="112">
        <f t="shared" si="241"/>
        <v>0.0104000747487753</v>
      </c>
      <c r="DD70" s="111">
        <f t="shared" si="241"/>
        <v>0.0141870994439102</v>
      </c>
      <c r="DE70" s="111">
        <f t="shared" si="241"/>
        <v>0.0252218784153296</v>
      </c>
      <c r="DF70" s="111">
        <f t="shared" si="241"/>
        <v>0.0286779926776343</v>
      </c>
      <c r="DG70" s="111">
        <f t="shared" si="241"/>
        <v>0.0146537580752929</v>
      </c>
      <c r="DH70" s="111">
        <f t="shared" si="241"/>
        <v>0.0114885518156636</v>
      </c>
      <c r="DI70" s="111">
        <f t="shared" si="241"/>
        <v>0.062620565324752</v>
      </c>
      <c r="DJ70" s="111">
        <f t="shared" si="241"/>
        <v>0.0559309873965567</v>
      </c>
      <c r="DK70" s="111">
        <f t="shared" si="241"/>
        <v>0.0162357046528825</v>
      </c>
      <c r="DL70" s="111">
        <f t="shared" si="241"/>
        <v>0.0104080371349297</v>
      </c>
      <c r="DM70" s="111">
        <f t="shared" si="241"/>
        <v>0.0255952456252579</v>
      </c>
      <c r="DN70" s="111">
        <f t="shared" si="241"/>
        <v>0.0313509551207498</v>
      </c>
      <c r="DO70" s="111">
        <f t="shared" si="241"/>
        <v>0.056507027500112</v>
      </c>
      <c r="DP70" s="112">
        <f t="shared" si="241"/>
        <v>0.0284104345007086</v>
      </c>
      <c r="DQ70" s="111">
        <f t="shared" si="241"/>
        <v>0.0246341270201329</v>
      </c>
      <c r="DR70" s="111">
        <f t="shared" si="241"/>
        <v>0.0195824199004378</v>
      </c>
      <c r="DS70" s="111">
        <f t="shared" si="241"/>
        <v>0.0157878720813703</v>
      </c>
      <c r="DT70" s="111">
        <f t="shared" si="241"/>
        <v>0.0130648318555132</v>
      </c>
      <c r="DU70" s="111">
        <f t="shared" si="241"/>
        <v>0.0157950670374902</v>
      </c>
      <c r="DV70" s="111">
        <f t="shared" si="241"/>
        <v>0.0312640418745495</v>
      </c>
      <c r="DW70" s="111">
        <f t="shared" si="241"/>
        <v>0.0367174084008856</v>
      </c>
      <c r="DX70" s="111">
        <f t="shared" si="241"/>
        <v>0.0141052302349317</v>
      </c>
      <c r="DY70" s="111">
        <f t="shared" si="241"/>
        <v>0.004226188243436</v>
      </c>
      <c r="DZ70" s="111">
        <f t="shared" si="241"/>
        <v>0.00443455653145972</v>
      </c>
      <c r="EA70" s="111">
        <f t="shared" si="241"/>
        <v>0.00723855968671498</v>
      </c>
      <c r="EB70" s="111">
        <f t="shared" ref="EB70:FT70" si="242">EB30/EB$39</f>
        <v>0.0144134746179926</v>
      </c>
      <c r="EC70" s="111">
        <f t="shared" si="242"/>
        <v>0.0170847804681227</v>
      </c>
      <c r="ED70" s="113">
        <f t="shared" si="242"/>
        <v>0.0243207972596292</v>
      </c>
      <c r="EE70" s="111">
        <f t="shared" si="242"/>
        <v>0</v>
      </c>
      <c r="EF70" s="111">
        <f t="shared" si="242"/>
        <v>0</v>
      </c>
      <c r="EG70" s="111">
        <f t="shared" si="242"/>
        <v>0</v>
      </c>
      <c r="EH70" s="111" t="e">
        <f t="shared" si="242"/>
        <v>#DIV/0!</v>
      </c>
      <c r="EI70" s="111" t="e">
        <f t="shared" si="242"/>
        <v>#DIV/0!</v>
      </c>
      <c r="EJ70" s="111" t="e">
        <f t="shared" si="242"/>
        <v>#DIV/0!</v>
      </c>
      <c r="EK70" s="111" t="e">
        <f t="shared" si="242"/>
        <v>#DIV/0!</v>
      </c>
      <c r="EL70" s="111" t="e">
        <f t="shared" si="242"/>
        <v>#DIV/0!</v>
      </c>
      <c r="EM70" s="111" t="e">
        <f t="shared" si="242"/>
        <v>#DIV/0!</v>
      </c>
      <c r="EN70" s="111" t="e">
        <f t="shared" si="242"/>
        <v>#DIV/0!</v>
      </c>
      <c r="EO70" s="111" t="e">
        <f t="shared" si="242"/>
        <v>#DIV/0!</v>
      </c>
      <c r="EP70" s="112">
        <f t="shared" si="242"/>
        <v>0.0198848211157761</v>
      </c>
      <c r="EQ70" s="111">
        <f t="shared" si="242"/>
        <v>0.0878218553571203</v>
      </c>
      <c r="ER70" s="111">
        <f t="shared" si="242"/>
        <v>0.0608480680784431</v>
      </c>
      <c r="ES70" s="111">
        <f t="shared" si="242"/>
        <v>0.0486003428645291</v>
      </c>
      <c r="ET70" s="111">
        <f t="shared" si="242"/>
        <v>0.0232152868069798</v>
      </c>
      <c r="EU70" s="111">
        <f t="shared" si="242"/>
        <v>0.0504955004173831</v>
      </c>
      <c r="EV70" s="111">
        <f t="shared" si="242"/>
        <v>0.0353671943745283</v>
      </c>
      <c r="EW70" s="111">
        <f t="shared" si="242"/>
        <v>0.0284121518448163</v>
      </c>
      <c r="EX70" s="111">
        <f t="shared" si="242"/>
        <v>0.0133240575406618</v>
      </c>
      <c r="EY70" s="111">
        <f t="shared" si="242"/>
        <v>0.0101710532736469</v>
      </c>
      <c r="EZ70" s="111">
        <f t="shared" si="242"/>
        <v>0.00590524203567572</v>
      </c>
      <c r="FA70" s="111">
        <f t="shared" si="242"/>
        <v>0.00442960779058036</v>
      </c>
      <c r="FB70" s="111">
        <f t="shared" si="242"/>
        <v>0.00825246078473182</v>
      </c>
      <c r="FC70" s="111">
        <f t="shared" si="242"/>
        <v>0.0288484668437724</v>
      </c>
      <c r="FD70" s="113"/>
      <c r="FE70" s="111"/>
      <c r="FF70" s="111"/>
      <c r="FG70" s="111"/>
      <c r="FH70" s="111"/>
      <c r="FI70" s="111"/>
      <c r="FJ70" s="111"/>
      <c r="FK70" s="111"/>
      <c r="FL70" s="111"/>
      <c r="FM70" s="111"/>
      <c r="FN70" s="111"/>
      <c r="FO70" s="111"/>
      <c r="FP70" s="112"/>
      <c r="FQ70" s="113">
        <f t="shared" si="242"/>
        <v>0.0400335967398369</v>
      </c>
      <c r="FR70" s="111">
        <f t="shared" si="242"/>
        <v>0.0293548176066084</v>
      </c>
      <c r="FS70" s="111">
        <f t="shared" si="242"/>
        <v>0.0412286499947671</v>
      </c>
      <c r="FT70" s="111">
        <f t="shared" si="242"/>
        <v>0.0198030192387707</v>
      </c>
      <c r="FU70" s="111">
        <f t="shared" ref="FU70:GC70" si="243">FU30/FU$39</f>
        <v>0.0244758247882949</v>
      </c>
      <c r="FV70" s="111">
        <f t="shared" si="243"/>
        <v>0.0198001061987479</v>
      </c>
      <c r="FW70" s="111">
        <f t="shared" si="243"/>
        <v>0.0231387644149285</v>
      </c>
      <c r="FX70" s="111">
        <f t="shared" si="243"/>
        <v>0.00692567990101731</v>
      </c>
      <c r="FY70" s="111">
        <f t="shared" si="243"/>
        <v>0.00920644501103731</v>
      </c>
      <c r="FZ70" s="111">
        <f t="shared" si="243"/>
        <v>0.00623115833198934</v>
      </c>
      <c r="GA70" s="111">
        <f t="shared" si="243"/>
        <v>0.00636705783096585</v>
      </c>
      <c r="GB70" s="111">
        <f t="shared" si="243"/>
        <v>0.00546203772762275</v>
      </c>
      <c r="GC70" s="112">
        <f t="shared" si="243"/>
        <v>0.0202371597000777</v>
      </c>
    </row>
    <row r="71" customHeight="1" spans="1:185">
      <c r="A71" s="114"/>
      <c r="B71" s="115" t="s">
        <v>424</v>
      </c>
      <c r="C71" s="116">
        <f t="shared" si="87"/>
        <v>-0.355723079284458</v>
      </c>
      <c r="D71" s="117">
        <f t="shared" ref="D71:BO71" si="244">D31/D$39</f>
        <v>-3.31785898095296e-6</v>
      </c>
      <c r="E71" s="117">
        <f t="shared" si="244"/>
        <v>0</v>
      </c>
      <c r="F71" s="117">
        <f t="shared" si="244"/>
        <v>0.000202712649342543</v>
      </c>
      <c r="G71" s="117">
        <f t="shared" si="244"/>
        <v>4.58446104002325e-5</v>
      </c>
      <c r="H71" s="117">
        <f t="shared" si="244"/>
        <v>2.06937330505092e-5</v>
      </c>
      <c r="I71" s="117">
        <f t="shared" si="244"/>
        <v>0.000920343028810482</v>
      </c>
      <c r="J71" s="117">
        <f t="shared" si="244"/>
        <v>0.000393152276994413</v>
      </c>
      <c r="K71" s="117">
        <f t="shared" si="244"/>
        <v>1.77865930850135e-5</v>
      </c>
      <c r="L71" s="117">
        <f t="shared" si="244"/>
        <v>0.000323855611855741</v>
      </c>
      <c r="M71" s="117">
        <f t="shared" si="244"/>
        <v>1.78441982279473e-5</v>
      </c>
      <c r="N71" s="117">
        <f t="shared" si="244"/>
        <v>0</v>
      </c>
      <c r="O71" s="117">
        <f t="shared" si="244"/>
        <v>0</v>
      </c>
      <c r="P71" s="9">
        <f t="shared" si="244"/>
        <v>0.000141191451959187</v>
      </c>
      <c r="Q71" s="117">
        <f t="shared" si="244"/>
        <v>0</v>
      </c>
      <c r="R71" s="117">
        <f t="shared" si="244"/>
        <v>0</v>
      </c>
      <c r="S71" s="117">
        <f t="shared" si="244"/>
        <v>0</v>
      </c>
      <c r="T71" s="117">
        <f t="shared" si="244"/>
        <v>0</v>
      </c>
      <c r="U71" s="117">
        <f t="shared" si="244"/>
        <v>0</v>
      </c>
      <c r="V71" s="117">
        <f t="shared" si="244"/>
        <v>0.000426360777693583</v>
      </c>
      <c r="W71" s="117">
        <f t="shared" si="244"/>
        <v>0.000223540594983089</v>
      </c>
      <c r="X71" s="117">
        <f t="shared" si="244"/>
        <v>0</v>
      </c>
      <c r="Y71" s="117">
        <f t="shared" si="244"/>
        <v>0</v>
      </c>
      <c r="Z71" s="117">
        <f t="shared" si="244"/>
        <v>0</v>
      </c>
      <c r="AA71" s="117">
        <f t="shared" si="244"/>
        <v>0</v>
      </c>
      <c r="AB71" s="117">
        <f t="shared" si="244"/>
        <v>0</v>
      </c>
      <c r="AC71" s="9">
        <f t="shared" si="244"/>
        <v>4.65603719620357e-5</v>
      </c>
      <c r="AD71" s="117">
        <f t="shared" si="244"/>
        <v>0</v>
      </c>
      <c r="AE71" s="117">
        <f t="shared" si="244"/>
        <v>0</v>
      </c>
      <c r="AF71" s="117">
        <f t="shared" si="244"/>
        <v>0</v>
      </c>
      <c r="AG71" s="117">
        <f t="shared" si="244"/>
        <v>0</v>
      </c>
      <c r="AH71" s="117">
        <f t="shared" si="244"/>
        <v>0</v>
      </c>
      <c r="AI71" s="117">
        <f t="shared" si="244"/>
        <v>0</v>
      </c>
      <c r="AJ71" s="117">
        <f t="shared" si="244"/>
        <v>0.000177635759120331</v>
      </c>
      <c r="AK71" s="117">
        <f t="shared" si="244"/>
        <v>0</v>
      </c>
      <c r="AL71" s="117">
        <f t="shared" si="244"/>
        <v>0</v>
      </c>
      <c r="AM71" s="117">
        <f t="shared" si="244"/>
        <v>0</v>
      </c>
      <c r="AN71" s="117">
        <f t="shared" si="244"/>
        <v>0</v>
      </c>
      <c r="AO71" s="117">
        <f t="shared" si="244"/>
        <v>0</v>
      </c>
      <c r="AP71" s="9">
        <f t="shared" si="244"/>
        <v>1.41395199094048e-5</v>
      </c>
      <c r="AQ71" s="117">
        <f t="shared" si="244"/>
        <v>0</v>
      </c>
      <c r="AR71" s="117">
        <f t="shared" si="244"/>
        <v>0</v>
      </c>
      <c r="AS71" s="117">
        <f t="shared" si="244"/>
        <v>0.000399849826420157</v>
      </c>
      <c r="AT71" s="117">
        <f t="shared" si="244"/>
        <v>5.71215736855804e-5</v>
      </c>
      <c r="AU71" s="117">
        <f t="shared" si="244"/>
        <v>0.00019964275540587</v>
      </c>
      <c r="AV71" s="117">
        <f t="shared" si="244"/>
        <v>0.00409635073093586</v>
      </c>
      <c r="AW71" s="117">
        <f t="shared" si="244"/>
        <v>0.000146234404970349</v>
      </c>
      <c r="AX71" s="117">
        <f t="shared" si="244"/>
        <v>0</v>
      </c>
      <c r="AY71" s="117">
        <f t="shared" si="244"/>
        <v>0</v>
      </c>
      <c r="AZ71" s="117">
        <f t="shared" si="244"/>
        <v>0</v>
      </c>
      <c r="BA71" s="117">
        <f t="shared" si="244"/>
        <v>0</v>
      </c>
      <c r="BB71" s="117">
        <f t="shared" si="244"/>
        <v>0</v>
      </c>
      <c r="BC71" s="9">
        <f t="shared" si="244"/>
        <v>0.000339206983378853</v>
      </c>
      <c r="BD71" s="117">
        <f t="shared" si="244"/>
        <v>0</v>
      </c>
      <c r="BE71" s="117">
        <f t="shared" si="244"/>
        <v>0</v>
      </c>
      <c r="BF71" s="117">
        <f t="shared" si="244"/>
        <v>0</v>
      </c>
      <c r="BG71" s="117">
        <f t="shared" si="244"/>
        <v>0</v>
      </c>
      <c r="BH71" s="117">
        <f t="shared" si="244"/>
        <v>0</v>
      </c>
      <c r="BI71" s="117">
        <f t="shared" si="244"/>
        <v>0.000582307175856512</v>
      </c>
      <c r="BJ71" s="117">
        <f t="shared" si="244"/>
        <v>0.000259612765404378</v>
      </c>
      <c r="BK71" s="117">
        <f t="shared" si="244"/>
        <v>0</v>
      </c>
      <c r="BL71" s="117">
        <f t="shared" si="244"/>
        <v>0</v>
      </c>
      <c r="BM71" s="117">
        <f t="shared" si="244"/>
        <v>0</v>
      </c>
      <c r="BN71" s="117">
        <f t="shared" si="244"/>
        <v>0</v>
      </c>
      <c r="BO71" s="117">
        <f t="shared" si="244"/>
        <v>0</v>
      </c>
      <c r="BP71" s="9">
        <f t="shared" ref="BP71:EA71" si="245">BP31/BP$39</f>
        <v>5.85952898279423e-5</v>
      </c>
      <c r="BQ71" s="117">
        <f t="shared" si="245"/>
        <v>0</v>
      </c>
      <c r="BR71" s="117">
        <f t="shared" si="245"/>
        <v>0</v>
      </c>
      <c r="BS71" s="117">
        <f t="shared" si="245"/>
        <v>0.000764184692661763</v>
      </c>
      <c r="BT71" s="117">
        <f t="shared" si="245"/>
        <v>0.000115867089358378</v>
      </c>
      <c r="BU71" s="117">
        <f t="shared" si="245"/>
        <v>0</v>
      </c>
      <c r="BV71" s="117">
        <f t="shared" si="245"/>
        <v>0.00169834939323683</v>
      </c>
      <c r="BW71" s="117">
        <f t="shared" si="245"/>
        <v>0.000288024650576891</v>
      </c>
      <c r="BX71" s="117">
        <f t="shared" si="245"/>
        <v>0</v>
      </c>
      <c r="BY71" s="117">
        <f t="shared" si="245"/>
        <v>0.000542011392485819</v>
      </c>
      <c r="BZ71" s="117">
        <f t="shared" si="245"/>
        <v>0</v>
      </c>
      <c r="CA71" s="117">
        <f t="shared" si="245"/>
        <v>0</v>
      </c>
      <c r="CB71" s="117">
        <f t="shared" si="245"/>
        <v>0</v>
      </c>
      <c r="CC71" s="9">
        <f t="shared" si="245"/>
        <v>0.000247774630773611</v>
      </c>
      <c r="CD71" s="117">
        <f t="shared" si="245"/>
        <v>0</v>
      </c>
      <c r="CE71" s="117">
        <f t="shared" si="245"/>
        <v>0</v>
      </c>
      <c r="CF71" s="117">
        <f t="shared" si="245"/>
        <v>0</v>
      </c>
      <c r="CG71" s="117">
        <f t="shared" si="245"/>
        <v>0</v>
      </c>
      <c r="CH71" s="117">
        <f t="shared" si="245"/>
        <v>0</v>
      </c>
      <c r="CI71" s="117">
        <f t="shared" si="245"/>
        <v>0.00238443070386586</v>
      </c>
      <c r="CJ71" s="117">
        <f t="shared" si="245"/>
        <v>0.000405162023860271</v>
      </c>
      <c r="CK71" s="117">
        <f t="shared" si="245"/>
        <v>0</v>
      </c>
      <c r="CL71" s="117">
        <f t="shared" si="245"/>
        <v>0.00123778615365442</v>
      </c>
      <c r="CM71" s="117">
        <f t="shared" si="245"/>
        <v>0.000786438396576899</v>
      </c>
      <c r="CN71" s="117">
        <f t="shared" si="245"/>
        <v>0</v>
      </c>
      <c r="CO71" s="117">
        <f t="shared" si="245"/>
        <v>0</v>
      </c>
      <c r="CP71" s="9">
        <f t="shared" si="245"/>
        <v>0.00042730778311014</v>
      </c>
      <c r="CQ71" s="117">
        <f t="shared" si="245"/>
        <v>-4.55603854626411e-5</v>
      </c>
      <c r="CR71" s="117">
        <f t="shared" si="245"/>
        <v>0</v>
      </c>
      <c r="CS71" s="117">
        <f t="shared" si="245"/>
        <v>0.00030795272408986</v>
      </c>
      <c r="CT71" s="117">
        <f t="shared" si="245"/>
        <v>0.000252876200646809</v>
      </c>
      <c r="CU71" s="117">
        <f t="shared" si="245"/>
        <v>6.94733545852197e-5</v>
      </c>
      <c r="CV71" s="117">
        <f t="shared" si="245"/>
        <v>0.000262263981630196</v>
      </c>
      <c r="CW71" s="117">
        <f t="shared" si="245"/>
        <v>0.000515179086178277</v>
      </c>
      <c r="CX71" s="117">
        <f t="shared" si="245"/>
        <v>0.000227690178044487</v>
      </c>
      <c r="CY71" s="117">
        <f t="shared" si="245"/>
        <v>0</v>
      </c>
      <c r="CZ71" s="117">
        <f t="shared" si="245"/>
        <v>0</v>
      </c>
      <c r="DA71" s="117">
        <f t="shared" si="245"/>
        <v>0</v>
      </c>
      <c r="DB71" s="117">
        <f t="shared" si="245"/>
        <v>0</v>
      </c>
      <c r="DC71" s="9">
        <f t="shared" si="245"/>
        <v>0.000123968861339776</v>
      </c>
      <c r="DD71" s="117">
        <f t="shared" si="245"/>
        <v>0</v>
      </c>
      <c r="DE71" s="117">
        <f t="shared" si="245"/>
        <v>0</v>
      </c>
      <c r="DF71" s="117">
        <f t="shared" si="245"/>
        <v>0</v>
      </c>
      <c r="DG71" s="117">
        <f t="shared" si="245"/>
        <v>0</v>
      </c>
      <c r="DH71" s="117">
        <f t="shared" si="245"/>
        <v>0</v>
      </c>
      <c r="DI71" s="117">
        <f t="shared" si="245"/>
        <v>0.0102739273539783</v>
      </c>
      <c r="DJ71" s="117">
        <f t="shared" si="245"/>
        <v>0</v>
      </c>
      <c r="DK71" s="117">
        <f t="shared" si="245"/>
        <v>0</v>
      </c>
      <c r="DL71" s="117">
        <f t="shared" si="245"/>
        <v>0</v>
      </c>
      <c r="DM71" s="117">
        <f t="shared" si="245"/>
        <v>0</v>
      </c>
      <c r="DN71" s="117">
        <f t="shared" si="245"/>
        <v>0</v>
      </c>
      <c r="DO71" s="117">
        <f t="shared" si="245"/>
        <v>0</v>
      </c>
      <c r="DP71" s="9">
        <f t="shared" si="245"/>
        <v>0.0007480242369955</v>
      </c>
      <c r="DQ71" s="117">
        <f t="shared" si="245"/>
        <v>0</v>
      </c>
      <c r="DR71" s="117">
        <f t="shared" si="245"/>
        <v>0</v>
      </c>
      <c r="DS71" s="117">
        <f t="shared" si="245"/>
        <v>0</v>
      </c>
      <c r="DT71" s="117">
        <f t="shared" si="245"/>
        <v>0</v>
      </c>
      <c r="DU71" s="117">
        <f t="shared" si="245"/>
        <v>0</v>
      </c>
      <c r="DV71" s="117">
        <f t="shared" si="245"/>
        <v>0</v>
      </c>
      <c r="DW71" s="117">
        <f t="shared" si="245"/>
        <v>0.000426552238395613</v>
      </c>
      <c r="DX71" s="117">
        <f t="shared" si="245"/>
        <v>0</v>
      </c>
      <c r="DY71" s="117">
        <f t="shared" si="245"/>
        <v>0</v>
      </c>
      <c r="DZ71" s="117">
        <f t="shared" si="245"/>
        <v>0</v>
      </c>
      <c r="EA71" s="117">
        <f t="shared" si="245"/>
        <v>0</v>
      </c>
      <c r="EB71" s="117">
        <f t="shared" ref="EB71:FC71" si="246">EB31/EB$39</f>
        <v>0</v>
      </c>
      <c r="EC71" s="117">
        <f t="shared" si="246"/>
        <v>3.29119340253087e-5</v>
      </c>
      <c r="ED71" s="118">
        <f t="shared" si="246"/>
        <v>0</v>
      </c>
      <c r="EE71" s="117">
        <f t="shared" si="246"/>
        <v>0</v>
      </c>
      <c r="EF71" s="117">
        <f t="shared" si="246"/>
        <v>0</v>
      </c>
      <c r="EG71" s="117">
        <f t="shared" si="246"/>
        <v>0</v>
      </c>
      <c r="EH71" s="117" t="e">
        <f t="shared" si="246"/>
        <v>#DIV/0!</v>
      </c>
      <c r="EI71" s="117" t="e">
        <f t="shared" si="246"/>
        <v>#DIV/0!</v>
      </c>
      <c r="EJ71" s="117" t="e">
        <f t="shared" si="246"/>
        <v>#DIV/0!</v>
      </c>
      <c r="EK71" s="117" t="e">
        <f t="shared" si="246"/>
        <v>#DIV/0!</v>
      </c>
      <c r="EL71" s="117" t="e">
        <f t="shared" si="246"/>
        <v>#DIV/0!</v>
      </c>
      <c r="EM71" s="117" t="e">
        <f t="shared" si="246"/>
        <v>#DIV/0!</v>
      </c>
      <c r="EN71" s="117" t="e">
        <f t="shared" si="246"/>
        <v>#DIV/0!</v>
      </c>
      <c r="EO71" s="117" t="e">
        <f t="shared" si="246"/>
        <v>#DIV/0!</v>
      </c>
      <c r="EP71" s="9">
        <f t="shared" si="246"/>
        <v>0</v>
      </c>
      <c r="EQ71" s="117">
        <f t="shared" si="246"/>
        <v>0</v>
      </c>
      <c r="ER71" s="117">
        <f t="shared" si="246"/>
        <v>0</v>
      </c>
      <c r="ES71" s="117">
        <f t="shared" si="246"/>
        <v>0</v>
      </c>
      <c r="ET71" s="117">
        <f t="shared" si="246"/>
        <v>0</v>
      </c>
      <c r="EU71" s="117">
        <f t="shared" si="246"/>
        <v>0</v>
      </c>
      <c r="EV71" s="117">
        <f t="shared" si="246"/>
        <v>0</v>
      </c>
      <c r="EW71" s="117">
        <f t="shared" si="246"/>
        <v>0</v>
      </c>
      <c r="EX71" s="117">
        <f t="shared" si="246"/>
        <v>0</v>
      </c>
      <c r="EY71" s="117">
        <f t="shared" si="246"/>
        <v>0</v>
      </c>
      <c r="EZ71" s="117">
        <f t="shared" si="246"/>
        <v>0</v>
      </c>
      <c r="FA71" s="117">
        <f t="shared" si="246"/>
        <v>0</v>
      </c>
      <c r="FB71" s="117">
        <f t="shared" si="246"/>
        <v>0</v>
      </c>
      <c r="FC71" s="117">
        <f t="shared" si="246"/>
        <v>0</v>
      </c>
      <c r="FD71" s="118"/>
      <c r="FE71" s="117"/>
      <c r="FF71" s="117"/>
      <c r="FG71" s="117"/>
      <c r="FH71" s="117"/>
      <c r="FI71" s="117"/>
      <c r="FJ71" s="117"/>
      <c r="FK71" s="117"/>
      <c r="FL71" s="117"/>
      <c r="FM71" s="117"/>
      <c r="FN71" s="117"/>
      <c r="FO71" s="117"/>
      <c r="FP71" s="9"/>
      <c r="FQ71" s="118">
        <f t="shared" ref="FQ71:GC71" si="247">FQ31/FQ$39</f>
        <v>0</v>
      </c>
      <c r="FR71" s="117">
        <f t="shared" si="247"/>
        <v>0</v>
      </c>
      <c r="FS71" s="117">
        <f t="shared" si="247"/>
        <v>0</v>
      </c>
      <c r="FT71" s="117">
        <f t="shared" si="247"/>
        <v>0</v>
      </c>
      <c r="FU71" s="117">
        <f t="shared" si="247"/>
        <v>0</v>
      </c>
      <c r="FV71" s="117">
        <f t="shared" si="247"/>
        <v>0</v>
      </c>
      <c r="FW71" s="117">
        <f t="shared" si="247"/>
        <v>0.00078492162536422</v>
      </c>
      <c r="FX71" s="117">
        <f t="shared" si="247"/>
        <v>0</v>
      </c>
      <c r="FY71" s="117">
        <f t="shared" si="247"/>
        <v>0.000918445422603748</v>
      </c>
      <c r="FZ71" s="117">
        <f t="shared" si="247"/>
        <v>0</v>
      </c>
      <c r="GA71" s="117">
        <f t="shared" si="247"/>
        <v>0</v>
      </c>
      <c r="GB71" s="117">
        <f t="shared" si="247"/>
        <v>0</v>
      </c>
      <c r="GC71" s="9">
        <f t="shared" si="247"/>
        <v>0.000127083468100836</v>
      </c>
    </row>
    <row r="72" customHeight="1" spans="1:185">
      <c r="A72" s="114"/>
      <c r="B72" s="115" t="s">
        <v>425</v>
      </c>
      <c r="C72" s="116">
        <f t="shared" si="87"/>
        <v>-0.865478704588249</v>
      </c>
      <c r="D72" s="117">
        <f t="shared" ref="D72:AI72" si="248">D32/D$39</f>
        <v>3.40366405370283e-5</v>
      </c>
      <c r="E72" s="117">
        <f t="shared" si="248"/>
        <v>5.97547726088454e-5</v>
      </c>
      <c r="F72" s="117">
        <f t="shared" si="248"/>
        <v>5.40455088207362e-5</v>
      </c>
      <c r="G72" s="117">
        <f t="shared" si="248"/>
        <v>4.90192305887621e-5</v>
      </c>
      <c r="H72" s="117">
        <f t="shared" si="248"/>
        <v>0.000106079127994682</v>
      </c>
      <c r="I72" s="117">
        <f t="shared" si="248"/>
        <v>0</v>
      </c>
      <c r="J72" s="117">
        <f t="shared" si="248"/>
        <v>0</v>
      </c>
      <c r="K72" s="117">
        <f t="shared" si="248"/>
        <v>0</v>
      </c>
      <c r="L72" s="117">
        <f t="shared" si="248"/>
        <v>0</v>
      </c>
      <c r="M72" s="117">
        <f t="shared" si="248"/>
        <v>0</v>
      </c>
      <c r="N72" s="117">
        <f t="shared" si="248"/>
        <v>0</v>
      </c>
      <c r="O72" s="117">
        <f t="shared" si="248"/>
        <v>0</v>
      </c>
      <c r="P72" s="9">
        <f t="shared" si="248"/>
        <v>2.46949940460306e-5</v>
      </c>
      <c r="Q72" s="117">
        <f t="shared" si="248"/>
        <v>0</v>
      </c>
      <c r="R72" s="117">
        <f t="shared" si="248"/>
        <v>0</v>
      </c>
      <c r="S72" s="117">
        <f t="shared" si="248"/>
        <v>0</v>
      </c>
      <c r="T72" s="117">
        <f t="shared" si="248"/>
        <v>0</v>
      </c>
      <c r="U72" s="117">
        <f t="shared" si="248"/>
        <v>0</v>
      </c>
      <c r="V72" s="117">
        <f t="shared" si="248"/>
        <v>0</v>
      </c>
      <c r="W72" s="117">
        <f t="shared" si="248"/>
        <v>0</v>
      </c>
      <c r="X72" s="117">
        <f t="shared" si="248"/>
        <v>0</v>
      </c>
      <c r="Y72" s="117">
        <f t="shared" si="248"/>
        <v>0</v>
      </c>
      <c r="Z72" s="117">
        <f t="shared" si="248"/>
        <v>0</v>
      </c>
      <c r="AA72" s="117">
        <f t="shared" si="248"/>
        <v>0</v>
      </c>
      <c r="AB72" s="117">
        <f t="shared" si="248"/>
        <v>0</v>
      </c>
      <c r="AC72" s="9">
        <f t="shared" si="248"/>
        <v>0</v>
      </c>
      <c r="AD72" s="117">
        <f t="shared" si="248"/>
        <v>0</v>
      </c>
      <c r="AE72" s="117">
        <f t="shared" si="248"/>
        <v>0</v>
      </c>
      <c r="AF72" s="117">
        <f t="shared" si="248"/>
        <v>0</v>
      </c>
      <c r="AG72" s="117">
        <f t="shared" si="248"/>
        <v>0</v>
      </c>
      <c r="AH72" s="117">
        <f t="shared" si="248"/>
        <v>0</v>
      </c>
      <c r="AI72" s="117">
        <f t="shared" si="248"/>
        <v>0</v>
      </c>
      <c r="AJ72" s="117">
        <f t="shared" ref="AJ72:BO72" si="249">AJ32/AJ$39</f>
        <v>0</v>
      </c>
      <c r="AK72" s="117">
        <f t="shared" si="249"/>
        <v>0</v>
      </c>
      <c r="AL72" s="117">
        <f t="shared" si="249"/>
        <v>0</v>
      </c>
      <c r="AM72" s="117">
        <f t="shared" si="249"/>
        <v>0</v>
      </c>
      <c r="AN72" s="117">
        <f t="shared" si="249"/>
        <v>0</v>
      </c>
      <c r="AO72" s="117">
        <f t="shared" si="249"/>
        <v>0</v>
      </c>
      <c r="AP72" s="9">
        <f t="shared" si="249"/>
        <v>0</v>
      </c>
      <c r="AQ72" s="117">
        <f t="shared" si="249"/>
        <v>0</v>
      </c>
      <c r="AR72" s="117">
        <f t="shared" si="249"/>
        <v>0</v>
      </c>
      <c r="AS72" s="117">
        <f t="shared" si="249"/>
        <v>0</v>
      </c>
      <c r="AT72" s="117">
        <f t="shared" si="249"/>
        <v>0</v>
      </c>
      <c r="AU72" s="117">
        <f t="shared" si="249"/>
        <v>0</v>
      </c>
      <c r="AV72" s="117">
        <f t="shared" si="249"/>
        <v>0</v>
      </c>
      <c r="AW72" s="117">
        <f t="shared" si="249"/>
        <v>0</v>
      </c>
      <c r="AX72" s="117">
        <f t="shared" si="249"/>
        <v>0</v>
      </c>
      <c r="AY72" s="117">
        <f t="shared" si="249"/>
        <v>0</v>
      </c>
      <c r="AZ72" s="117">
        <f t="shared" si="249"/>
        <v>0</v>
      </c>
      <c r="BA72" s="117">
        <f t="shared" si="249"/>
        <v>0</v>
      </c>
      <c r="BB72" s="117">
        <f t="shared" si="249"/>
        <v>0</v>
      </c>
      <c r="BC72" s="9">
        <f t="shared" si="249"/>
        <v>0</v>
      </c>
      <c r="BD72" s="117">
        <f t="shared" si="249"/>
        <v>0</v>
      </c>
      <c r="BE72" s="117">
        <f t="shared" si="249"/>
        <v>0</v>
      </c>
      <c r="BF72" s="117">
        <f t="shared" si="249"/>
        <v>0</v>
      </c>
      <c r="BG72" s="117">
        <f t="shared" si="249"/>
        <v>0</v>
      </c>
      <c r="BH72" s="117">
        <f t="shared" si="249"/>
        <v>0</v>
      </c>
      <c r="BI72" s="117">
        <f t="shared" si="249"/>
        <v>0</v>
      </c>
      <c r="BJ72" s="117">
        <f t="shared" si="249"/>
        <v>0</v>
      </c>
      <c r="BK72" s="117">
        <f t="shared" si="249"/>
        <v>0</v>
      </c>
      <c r="BL72" s="117">
        <f t="shared" si="249"/>
        <v>0</v>
      </c>
      <c r="BM72" s="117">
        <f t="shared" si="249"/>
        <v>0</v>
      </c>
      <c r="BN72" s="117">
        <f t="shared" si="249"/>
        <v>0</v>
      </c>
      <c r="BO72" s="117">
        <f t="shared" si="249"/>
        <v>0</v>
      </c>
      <c r="BP72" s="9">
        <f t="shared" ref="BP72:CU72" si="250">BP32/BP$39</f>
        <v>0</v>
      </c>
      <c r="BQ72" s="117">
        <f t="shared" si="250"/>
        <v>9.86499819754293e-5</v>
      </c>
      <c r="BR72" s="117">
        <f t="shared" si="250"/>
        <v>5.24219135829259e-5</v>
      </c>
      <c r="BS72" s="117">
        <f t="shared" si="250"/>
        <v>4.63286461200606e-5</v>
      </c>
      <c r="BT72" s="117">
        <f t="shared" si="250"/>
        <v>0.000262245683377817</v>
      </c>
      <c r="BU72" s="117">
        <f t="shared" si="250"/>
        <v>0.000485709630511888</v>
      </c>
      <c r="BV72" s="117">
        <f t="shared" si="250"/>
        <v>0</v>
      </c>
      <c r="BW72" s="117">
        <f t="shared" si="250"/>
        <v>0</v>
      </c>
      <c r="BX72" s="117">
        <f t="shared" si="250"/>
        <v>0</v>
      </c>
      <c r="BY72" s="117">
        <f t="shared" si="250"/>
        <v>0</v>
      </c>
      <c r="BZ72" s="117">
        <f t="shared" si="250"/>
        <v>0</v>
      </c>
      <c r="CA72" s="117">
        <f t="shared" si="250"/>
        <v>0</v>
      </c>
      <c r="CB72" s="117">
        <f t="shared" si="250"/>
        <v>0</v>
      </c>
      <c r="CC72" s="9">
        <f t="shared" si="250"/>
        <v>7.59009503672859e-5</v>
      </c>
      <c r="CD72" s="117">
        <f t="shared" si="250"/>
        <v>0</v>
      </c>
      <c r="CE72" s="117">
        <f t="shared" si="250"/>
        <v>0.00383069948144894</v>
      </c>
      <c r="CF72" s="117">
        <f t="shared" si="250"/>
        <v>0</v>
      </c>
      <c r="CG72" s="117">
        <f t="shared" si="250"/>
        <v>0</v>
      </c>
      <c r="CH72" s="117">
        <f t="shared" si="250"/>
        <v>0</v>
      </c>
      <c r="CI72" s="117">
        <f t="shared" si="250"/>
        <v>0</v>
      </c>
      <c r="CJ72" s="117">
        <f t="shared" si="250"/>
        <v>0</v>
      </c>
      <c r="CK72" s="117">
        <f t="shared" si="250"/>
        <v>0</v>
      </c>
      <c r="CL72" s="117">
        <f t="shared" si="250"/>
        <v>0</v>
      </c>
      <c r="CM72" s="117">
        <f t="shared" si="250"/>
        <v>0</v>
      </c>
      <c r="CN72" s="117">
        <f t="shared" si="250"/>
        <v>0</v>
      </c>
      <c r="CO72" s="117">
        <f t="shared" si="250"/>
        <v>0</v>
      </c>
      <c r="CP72" s="9">
        <f t="shared" si="250"/>
        <v>0.000179971060922828</v>
      </c>
      <c r="CQ72" s="117">
        <f t="shared" si="250"/>
        <v>0</v>
      </c>
      <c r="CR72" s="117">
        <f t="shared" si="250"/>
        <v>8.98739512353805e-5</v>
      </c>
      <c r="CS72" s="117">
        <f t="shared" si="250"/>
        <v>0</v>
      </c>
      <c r="CT72" s="117">
        <f t="shared" si="250"/>
        <v>0</v>
      </c>
      <c r="CU72" s="117">
        <f t="shared" si="250"/>
        <v>0.000123951589991036</v>
      </c>
      <c r="CV72" s="117">
        <f t="shared" ref="CV72:EA72" si="251">CV32/CV$39</f>
        <v>0</v>
      </c>
      <c r="CW72" s="117">
        <f t="shared" si="251"/>
        <v>0</v>
      </c>
      <c r="CX72" s="117">
        <f t="shared" si="251"/>
        <v>0</v>
      </c>
      <c r="CY72" s="117">
        <f t="shared" si="251"/>
        <v>0</v>
      </c>
      <c r="CZ72" s="117">
        <f t="shared" si="251"/>
        <v>0</v>
      </c>
      <c r="DA72" s="117">
        <f t="shared" si="251"/>
        <v>0</v>
      </c>
      <c r="DB72" s="117">
        <f t="shared" si="251"/>
        <v>0</v>
      </c>
      <c r="DC72" s="9">
        <f t="shared" si="251"/>
        <v>1.93486285299979e-5</v>
      </c>
      <c r="DD72" s="117">
        <f t="shared" si="251"/>
        <v>0</v>
      </c>
      <c r="DE72" s="117">
        <f t="shared" si="251"/>
        <v>0</v>
      </c>
      <c r="DF72" s="117">
        <f t="shared" si="251"/>
        <v>0</v>
      </c>
      <c r="DG72" s="117">
        <f t="shared" si="251"/>
        <v>0</v>
      </c>
      <c r="DH72" s="117">
        <f t="shared" si="251"/>
        <v>0</v>
      </c>
      <c r="DI72" s="117">
        <f t="shared" si="251"/>
        <v>0</v>
      </c>
      <c r="DJ72" s="117">
        <f t="shared" si="251"/>
        <v>0</v>
      </c>
      <c r="DK72" s="117">
        <f t="shared" si="251"/>
        <v>0</v>
      </c>
      <c r="DL72" s="117">
        <f t="shared" si="251"/>
        <v>0</v>
      </c>
      <c r="DM72" s="117">
        <f t="shared" si="251"/>
        <v>0</v>
      </c>
      <c r="DN72" s="117">
        <f t="shared" si="251"/>
        <v>0</v>
      </c>
      <c r="DO72" s="117">
        <f t="shared" si="251"/>
        <v>0</v>
      </c>
      <c r="DP72" s="9">
        <f t="shared" si="251"/>
        <v>0</v>
      </c>
      <c r="DQ72" s="117">
        <f t="shared" si="251"/>
        <v>0</v>
      </c>
      <c r="DR72" s="117">
        <f t="shared" si="251"/>
        <v>0</v>
      </c>
      <c r="DS72" s="117">
        <f t="shared" si="251"/>
        <v>0</v>
      </c>
      <c r="DT72" s="117">
        <f t="shared" si="251"/>
        <v>0</v>
      </c>
      <c r="DU72" s="117">
        <f t="shared" si="251"/>
        <v>0</v>
      </c>
      <c r="DV72" s="117">
        <f t="shared" si="251"/>
        <v>0</v>
      </c>
      <c r="DW72" s="117">
        <f t="shared" si="251"/>
        <v>0</v>
      </c>
      <c r="DX72" s="117">
        <f t="shared" si="251"/>
        <v>0</v>
      </c>
      <c r="DY72" s="117">
        <f t="shared" si="251"/>
        <v>0</v>
      </c>
      <c r="DZ72" s="117">
        <f t="shared" si="251"/>
        <v>0</v>
      </c>
      <c r="EA72" s="117">
        <f t="shared" si="251"/>
        <v>0</v>
      </c>
      <c r="EB72" s="117">
        <f t="shared" ref="EB72:FT72" si="252">EB32/EB$39</f>
        <v>0</v>
      </c>
      <c r="EC72" s="117">
        <f t="shared" si="252"/>
        <v>0</v>
      </c>
      <c r="ED72" s="118">
        <f t="shared" si="252"/>
        <v>0</v>
      </c>
      <c r="EE72" s="117">
        <f t="shared" si="252"/>
        <v>0</v>
      </c>
      <c r="EF72" s="117">
        <f t="shared" si="252"/>
        <v>0</v>
      </c>
      <c r="EG72" s="117">
        <f t="shared" si="252"/>
        <v>0</v>
      </c>
      <c r="EH72" s="117" t="e">
        <f t="shared" si="252"/>
        <v>#DIV/0!</v>
      </c>
      <c r="EI72" s="117" t="e">
        <f t="shared" si="252"/>
        <v>#DIV/0!</v>
      </c>
      <c r="EJ72" s="117" t="e">
        <f t="shared" si="252"/>
        <v>#DIV/0!</v>
      </c>
      <c r="EK72" s="117" t="e">
        <f t="shared" si="252"/>
        <v>#DIV/0!</v>
      </c>
      <c r="EL72" s="117" t="e">
        <f t="shared" si="252"/>
        <v>#DIV/0!</v>
      </c>
      <c r="EM72" s="117" t="e">
        <f t="shared" si="252"/>
        <v>#DIV/0!</v>
      </c>
      <c r="EN72" s="117" t="e">
        <f t="shared" si="252"/>
        <v>#DIV/0!</v>
      </c>
      <c r="EO72" s="117" t="e">
        <f t="shared" si="252"/>
        <v>#DIV/0!</v>
      </c>
      <c r="EP72" s="9">
        <f t="shared" si="252"/>
        <v>0</v>
      </c>
      <c r="EQ72" s="117">
        <f t="shared" si="252"/>
        <v>0.000992572070238639</v>
      </c>
      <c r="ER72" s="117">
        <f t="shared" si="252"/>
        <v>0</v>
      </c>
      <c r="ES72" s="117">
        <f t="shared" si="252"/>
        <v>0</v>
      </c>
      <c r="ET72" s="117">
        <f t="shared" si="252"/>
        <v>0</v>
      </c>
      <c r="EU72" s="117">
        <f t="shared" si="252"/>
        <v>0</v>
      </c>
      <c r="EV72" s="117">
        <f t="shared" si="252"/>
        <v>0</v>
      </c>
      <c r="EW72" s="117">
        <f t="shared" si="252"/>
        <v>0</v>
      </c>
      <c r="EX72" s="117">
        <f t="shared" si="252"/>
        <v>0</v>
      </c>
      <c r="EY72" s="117">
        <f t="shared" si="252"/>
        <v>0</v>
      </c>
      <c r="EZ72" s="117">
        <f t="shared" si="252"/>
        <v>0</v>
      </c>
      <c r="FA72" s="117">
        <f t="shared" si="252"/>
        <v>0</v>
      </c>
      <c r="FB72" s="117">
        <f t="shared" si="252"/>
        <v>0</v>
      </c>
      <c r="FC72" s="117">
        <f t="shared" si="252"/>
        <v>5.81891774079689e-5</v>
      </c>
      <c r="FD72" s="118"/>
      <c r="FE72" s="117"/>
      <c r="FF72" s="117"/>
      <c r="FG72" s="117"/>
      <c r="FH72" s="117"/>
      <c r="FI72" s="117"/>
      <c r="FJ72" s="117"/>
      <c r="FK72" s="117"/>
      <c r="FL72" s="117"/>
      <c r="FM72" s="117"/>
      <c r="FN72" s="117"/>
      <c r="FO72" s="117"/>
      <c r="FP72" s="9"/>
      <c r="FQ72" s="118">
        <f t="shared" si="252"/>
        <v>0</v>
      </c>
      <c r="FR72" s="117">
        <f t="shared" si="252"/>
        <v>0</v>
      </c>
      <c r="FS72" s="117">
        <f t="shared" si="252"/>
        <v>0.000168109848220359</v>
      </c>
      <c r="FT72" s="117">
        <f t="shared" si="252"/>
        <v>0</v>
      </c>
      <c r="FU72" s="117">
        <f t="shared" ref="FU72:GC72" si="253">FU32/FU$39</f>
        <v>0</v>
      </c>
      <c r="FV72" s="117">
        <f t="shared" si="253"/>
        <v>0</v>
      </c>
      <c r="FW72" s="117">
        <f t="shared" si="253"/>
        <v>0</v>
      </c>
      <c r="FX72" s="117">
        <f t="shared" si="253"/>
        <v>0</v>
      </c>
      <c r="FY72" s="117">
        <f t="shared" si="253"/>
        <v>0</v>
      </c>
      <c r="FZ72" s="117">
        <f t="shared" si="253"/>
        <v>0</v>
      </c>
      <c r="GA72" s="117">
        <f t="shared" si="253"/>
        <v>0</v>
      </c>
      <c r="GB72" s="117">
        <f t="shared" si="253"/>
        <v>0</v>
      </c>
      <c r="GC72" s="9">
        <f t="shared" si="253"/>
        <v>1.56332885376753e-5</v>
      </c>
    </row>
    <row r="73" s="56" customFormat="1" ht="16.5" spans="1:185">
      <c r="A73" s="88" t="s">
        <v>426</v>
      </c>
      <c r="B73" s="119"/>
      <c r="C73" s="120">
        <f t="shared" si="87"/>
        <v>-0.790506664267114</v>
      </c>
      <c r="D73" s="121">
        <f t="shared" ref="D73:AI73" si="254">D33/D$39</f>
        <v>0.0377330780956058</v>
      </c>
      <c r="E73" s="121">
        <f t="shared" si="254"/>
        <v>0.0283598459240724</v>
      </c>
      <c r="F73" s="121">
        <f t="shared" si="254"/>
        <v>0.0373228020589498</v>
      </c>
      <c r="G73" s="121">
        <f t="shared" si="254"/>
        <v>0.0231841056992989</v>
      </c>
      <c r="H73" s="121">
        <f t="shared" si="254"/>
        <v>0.0245445735527833</v>
      </c>
      <c r="I73" s="121">
        <f t="shared" si="254"/>
        <v>0.0328121175939562</v>
      </c>
      <c r="J73" s="121">
        <f t="shared" si="254"/>
        <v>0.0252761041396939</v>
      </c>
      <c r="K73" s="121">
        <f t="shared" si="254"/>
        <v>0.0110781791723605</v>
      </c>
      <c r="L73" s="121">
        <f t="shared" si="254"/>
        <v>0.0132922735321938</v>
      </c>
      <c r="M73" s="121">
        <f t="shared" si="254"/>
        <v>0.011851650613907</v>
      </c>
      <c r="N73" s="121">
        <f t="shared" si="254"/>
        <v>0.00991807668708936</v>
      </c>
      <c r="O73" s="121">
        <f t="shared" si="254"/>
        <v>0.0123592270902625</v>
      </c>
      <c r="P73" s="122">
        <f t="shared" si="254"/>
        <v>0.0225630968945655</v>
      </c>
      <c r="Q73" s="121">
        <f t="shared" si="254"/>
        <v>0.0185856266406153</v>
      </c>
      <c r="R73" s="121">
        <f t="shared" si="254"/>
        <v>0.0145127832349565</v>
      </c>
      <c r="S73" s="121">
        <f t="shared" si="254"/>
        <v>0.0107289179022555</v>
      </c>
      <c r="T73" s="121">
        <f t="shared" si="254"/>
        <v>0.011787712141152</v>
      </c>
      <c r="U73" s="121">
        <f t="shared" si="254"/>
        <v>0.0103401537360158</v>
      </c>
      <c r="V73" s="121">
        <f t="shared" si="254"/>
        <v>0.0227470245069415</v>
      </c>
      <c r="W73" s="121">
        <f t="shared" si="254"/>
        <v>0.0190100520467652</v>
      </c>
      <c r="X73" s="121">
        <f t="shared" si="254"/>
        <v>0.00695821702758789</v>
      </c>
      <c r="Y73" s="121">
        <f t="shared" si="254"/>
        <v>0.00426070576398164</v>
      </c>
      <c r="Z73" s="121">
        <f t="shared" si="254"/>
        <v>0.00554762244506784</v>
      </c>
      <c r="AA73" s="121">
        <f t="shared" si="254"/>
        <v>0.00861469623777051</v>
      </c>
      <c r="AB73" s="121">
        <f t="shared" si="254"/>
        <v>0.00885350042283043</v>
      </c>
      <c r="AC73" s="122">
        <f t="shared" si="254"/>
        <v>0.0117107247830559</v>
      </c>
      <c r="AD73" s="121">
        <f t="shared" si="254"/>
        <v>0.0222131289136342</v>
      </c>
      <c r="AE73" s="121">
        <f t="shared" si="254"/>
        <v>0.0114236929612321</v>
      </c>
      <c r="AF73" s="121">
        <f t="shared" si="254"/>
        <v>0.0127687269030273</v>
      </c>
      <c r="AG73" s="121">
        <f t="shared" si="254"/>
        <v>0.00997888774273654</v>
      </c>
      <c r="AH73" s="121">
        <f t="shared" si="254"/>
        <v>0.00923883378104812</v>
      </c>
      <c r="AI73" s="121">
        <f t="shared" si="254"/>
        <v>0.0140746580656864</v>
      </c>
      <c r="AJ73" s="121">
        <f t="shared" ref="AJ73:BO73" si="255">AJ33/AJ$39</f>
        <v>0.013664989734048</v>
      </c>
      <c r="AK73" s="121">
        <f t="shared" si="255"/>
        <v>0.00468644100852462</v>
      </c>
      <c r="AL73" s="121">
        <f t="shared" si="255"/>
        <v>0.00407175248847983</v>
      </c>
      <c r="AM73" s="121">
        <f t="shared" si="255"/>
        <v>0.00270856321277979</v>
      </c>
      <c r="AN73" s="121">
        <f t="shared" si="255"/>
        <v>0.00214249017416457</v>
      </c>
      <c r="AO73" s="121">
        <f t="shared" si="255"/>
        <v>0.00487692394555956</v>
      </c>
      <c r="AP73" s="122">
        <f t="shared" si="255"/>
        <v>0.00885550210777476</v>
      </c>
      <c r="AQ73" s="121">
        <f t="shared" si="255"/>
        <v>0.0304795321004358</v>
      </c>
      <c r="AR73" s="121">
        <f t="shared" si="255"/>
        <v>0.0255516648798998</v>
      </c>
      <c r="AS73" s="121">
        <f t="shared" si="255"/>
        <v>0.0373313286907241</v>
      </c>
      <c r="AT73" s="121">
        <f t="shared" si="255"/>
        <v>0.017373810832496</v>
      </c>
      <c r="AU73" s="121">
        <f t="shared" si="255"/>
        <v>0.0150959823240961</v>
      </c>
      <c r="AV73" s="121">
        <f t="shared" si="255"/>
        <v>0.043698402737347</v>
      </c>
      <c r="AW73" s="121">
        <f t="shared" si="255"/>
        <v>0.0197990295731785</v>
      </c>
      <c r="AX73" s="121">
        <f t="shared" si="255"/>
        <v>0.0109622531293642</v>
      </c>
      <c r="AY73" s="121">
        <f t="shared" si="255"/>
        <v>0.00748215365829247</v>
      </c>
      <c r="AZ73" s="121">
        <f t="shared" si="255"/>
        <v>0.0117002031698275</v>
      </c>
      <c r="BA73" s="121">
        <f t="shared" si="255"/>
        <v>0.0120569847089408</v>
      </c>
      <c r="BB73" s="121">
        <f t="shared" si="255"/>
        <v>0.0153663925855165</v>
      </c>
      <c r="BC73" s="122">
        <f t="shared" si="255"/>
        <v>0.020058777021358</v>
      </c>
      <c r="BD73" s="121">
        <f t="shared" si="255"/>
        <v>0.0284537718714137</v>
      </c>
      <c r="BE73" s="121">
        <f t="shared" si="255"/>
        <v>0.0168879677770639</v>
      </c>
      <c r="BF73" s="121">
        <f t="shared" si="255"/>
        <v>0.0175087074349382</v>
      </c>
      <c r="BG73" s="121">
        <f t="shared" si="255"/>
        <v>0.0161080765858912</v>
      </c>
      <c r="BH73" s="121">
        <f t="shared" si="255"/>
        <v>0.0127177033632964</v>
      </c>
      <c r="BI73" s="121">
        <f t="shared" si="255"/>
        <v>0.0199614336845916</v>
      </c>
      <c r="BJ73" s="121">
        <f t="shared" si="255"/>
        <v>0.0134544965202372</v>
      </c>
      <c r="BK73" s="121">
        <f t="shared" si="255"/>
        <v>0.00802061440627323</v>
      </c>
      <c r="BL73" s="121">
        <f t="shared" si="255"/>
        <v>0.00370369652091136</v>
      </c>
      <c r="BM73" s="121">
        <f t="shared" si="255"/>
        <v>0.00655387730980931</v>
      </c>
      <c r="BN73" s="121">
        <f t="shared" si="255"/>
        <v>0.00450766225399004</v>
      </c>
      <c r="BO73" s="121">
        <f t="shared" si="255"/>
        <v>0.0064402591433787</v>
      </c>
      <c r="BP73" s="122">
        <f t="shared" ref="BP73:CU73" si="256">BP33/BP$39</f>
        <v>0.0130619674684319</v>
      </c>
      <c r="BQ73" s="121">
        <f t="shared" si="256"/>
        <v>0.0672061901157752</v>
      </c>
      <c r="BR73" s="121">
        <f t="shared" si="256"/>
        <v>0.0511041322086806</v>
      </c>
      <c r="BS73" s="121">
        <f t="shared" si="256"/>
        <v>0.0814677257363462</v>
      </c>
      <c r="BT73" s="121">
        <f t="shared" si="256"/>
        <v>0.0544227168640008</v>
      </c>
      <c r="BU73" s="121">
        <f t="shared" si="256"/>
        <v>0.057272149955712</v>
      </c>
      <c r="BV73" s="121">
        <f t="shared" si="256"/>
        <v>0.0708125484194854</v>
      </c>
      <c r="BW73" s="121">
        <f t="shared" si="256"/>
        <v>0.0436231752559046</v>
      </c>
      <c r="BX73" s="121">
        <f t="shared" si="256"/>
        <v>0.0254200363193288</v>
      </c>
      <c r="BY73" s="121">
        <f t="shared" si="256"/>
        <v>0.0463159645586083</v>
      </c>
      <c r="BZ73" s="121">
        <f t="shared" si="256"/>
        <v>0.0385186569905156</v>
      </c>
      <c r="CA73" s="121">
        <f t="shared" si="256"/>
        <v>0.0260756275964347</v>
      </c>
      <c r="CB73" s="121">
        <f t="shared" si="256"/>
        <v>0.0342517788175737</v>
      </c>
      <c r="CC73" s="122">
        <f t="shared" si="256"/>
        <v>0.0507806727434493</v>
      </c>
      <c r="CD73" s="121">
        <f t="shared" si="256"/>
        <v>0.0236889764076587</v>
      </c>
      <c r="CE73" s="121">
        <f t="shared" si="256"/>
        <v>0.0258170658609267</v>
      </c>
      <c r="CF73" s="121">
        <f t="shared" si="256"/>
        <v>0.0194149462152317</v>
      </c>
      <c r="CG73" s="121">
        <f t="shared" si="256"/>
        <v>0.0222568047462175</v>
      </c>
      <c r="CH73" s="121">
        <f t="shared" si="256"/>
        <v>0.0100411358651994</v>
      </c>
      <c r="CI73" s="121">
        <f t="shared" si="256"/>
        <v>0.0388317481228471</v>
      </c>
      <c r="CJ73" s="121">
        <f t="shared" si="256"/>
        <v>0.022370562853859</v>
      </c>
      <c r="CK73" s="121">
        <f t="shared" si="256"/>
        <v>0.00704488077310348</v>
      </c>
      <c r="CL73" s="121">
        <f t="shared" si="256"/>
        <v>0.00557880972733099</v>
      </c>
      <c r="CM73" s="121">
        <f t="shared" si="256"/>
        <v>0.00694994703588866</v>
      </c>
      <c r="CN73" s="121">
        <f t="shared" si="256"/>
        <v>0.00666705961656483</v>
      </c>
      <c r="CO73" s="121">
        <f t="shared" si="256"/>
        <v>0.01423401092163</v>
      </c>
      <c r="CP73" s="122">
        <f t="shared" si="256"/>
        <v>0.016844285491885</v>
      </c>
      <c r="CQ73" s="121">
        <f t="shared" si="256"/>
        <v>0.0183527530031452</v>
      </c>
      <c r="CR73" s="121">
        <f t="shared" si="256"/>
        <v>0.0139940318216261</v>
      </c>
      <c r="CS73" s="121">
        <f t="shared" si="256"/>
        <v>0.0143103568894256</v>
      </c>
      <c r="CT73" s="121">
        <f t="shared" si="256"/>
        <v>0.0137948014821168</v>
      </c>
      <c r="CU73" s="121">
        <f t="shared" si="256"/>
        <v>0.00967204334065095</v>
      </c>
      <c r="CV73" s="121">
        <f t="shared" ref="CV73:EA73" si="257">CV33/CV$39</f>
        <v>0.0158188137954482</v>
      </c>
      <c r="CW73" s="121">
        <f t="shared" si="257"/>
        <v>0.0149045073783842</v>
      </c>
      <c r="CX73" s="121">
        <f t="shared" si="257"/>
        <v>0.00958098023619093</v>
      </c>
      <c r="CY73" s="121">
        <f t="shared" si="257"/>
        <v>0.00153956979231819</v>
      </c>
      <c r="CZ73" s="121">
        <f t="shared" si="257"/>
        <v>0.00412579279199993</v>
      </c>
      <c r="DA73" s="121">
        <f t="shared" si="257"/>
        <v>0.0024990643334452</v>
      </c>
      <c r="DB73" s="121">
        <f t="shared" si="257"/>
        <v>0.00388557448811307</v>
      </c>
      <c r="DC73" s="122">
        <f t="shared" si="257"/>
        <v>0.0105433922386451</v>
      </c>
      <c r="DD73" s="121">
        <f t="shared" si="257"/>
        <v>0.0141870994439102</v>
      </c>
      <c r="DE73" s="121">
        <f t="shared" si="257"/>
        <v>0.0252218784153296</v>
      </c>
      <c r="DF73" s="121">
        <f t="shared" si="257"/>
        <v>0.0286779926776343</v>
      </c>
      <c r="DG73" s="121">
        <f t="shared" si="257"/>
        <v>0.0146537580752929</v>
      </c>
      <c r="DH73" s="121">
        <f t="shared" si="257"/>
        <v>0.0114885518156636</v>
      </c>
      <c r="DI73" s="121">
        <f t="shared" si="257"/>
        <v>0.0728944926787303</v>
      </c>
      <c r="DJ73" s="121">
        <f t="shared" si="257"/>
        <v>0.0559309873965567</v>
      </c>
      <c r="DK73" s="121">
        <f t="shared" si="257"/>
        <v>0.0162357046528825</v>
      </c>
      <c r="DL73" s="121">
        <f t="shared" si="257"/>
        <v>0.0104080371349297</v>
      </c>
      <c r="DM73" s="121">
        <f t="shared" si="257"/>
        <v>0.0255952456252579</v>
      </c>
      <c r="DN73" s="121">
        <f t="shared" si="257"/>
        <v>0.0313509551207498</v>
      </c>
      <c r="DO73" s="121">
        <f t="shared" si="257"/>
        <v>0.056507027500112</v>
      </c>
      <c r="DP73" s="122">
        <f t="shared" si="257"/>
        <v>0.0291584587377041</v>
      </c>
      <c r="DQ73" s="121">
        <f t="shared" si="257"/>
        <v>0.0246341270201329</v>
      </c>
      <c r="DR73" s="121">
        <f t="shared" si="257"/>
        <v>0.0195824199004378</v>
      </c>
      <c r="DS73" s="121">
        <f t="shared" si="257"/>
        <v>0.0157878720813703</v>
      </c>
      <c r="DT73" s="121">
        <f t="shared" si="257"/>
        <v>0.0130648318555132</v>
      </c>
      <c r="DU73" s="121">
        <f t="shared" si="257"/>
        <v>0.0157950670374902</v>
      </c>
      <c r="DV73" s="121">
        <f t="shared" si="257"/>
        <v>0.0312640418745495</v>
      </c>
      <c r="DW73" s="121">
        <f t="shared" si="257"/>
        <v>0.0371439606392812</v>
      </c>
      <c r="DX73" s="121">
        <f t="shared" si="257"/>
        <v>0.0141052302349317</v>
      </c>
      <c r="DY73" s="121">
        <f t="shared" si="257"/>
        <v>0.004226188243436</v>
      </c>
      <c r="DZ73" s="121">
        <f t="shared" si="257"/>
        <v>0.00443455653145972</v>
      </c>
      <c r="EA73" s="121">
        <f t="shared" si="257"/>
        <v>0.00723855968671498</v>
      </c>
      <c r="EB73" s="121">
        <f t="shared" ref="EB73:FT73" si="258">EB33/EB$39</f>
        <v>0.0144134746179926</v>
      </c>
      <c r="EC73" s="121">
        <f t="shared" si="258"/>
        <v>0.017117692402148</v>
      </c>
      <c r="ED73" s="123">
        <f t="shared" si="258"/>
        <v>0.0243207972596292</v>
      </c>
      <c r="EE73" s="121">
        <f t="shared" si="258"/>
        <v>0</v>
      </c>
      <c r="EF73" s="121">
        <f t="shared" si="258"/>
        <v>0</v>
      </c>
      <c r="EG73" s="121">
        <f t="shared" si="258"/>
        <v>0</v>
      </c>
      <c r="EH73" s="121" t="e">
        <f t="shared" si="258"/>
        <v>#DIV/0!</v>
      </c>
      <c r="EI73" s="121" t="e">
        <f t="shared" si="258"/>
        <v>#DIV/0!</v>
      </c>
      <c r="EJ73" s="121" t="e">
        <f t="shared" si="258"/>
        <v>#DIV/0!</v>
      </c>
      <c r="EK73" s="121" t="e">
        <f t="shared" si="258"/>
        <v>#DIV/0!</v>
      </c>
      <c r="EL73" s="121" t="e">
        <f t="shared" si="258"/>
        <v>#DIV/0!</v>
      </c>
      <c r="EM73" s="121" t="e">
        <f t="shared" si="258"/>
        <v>#DIV/0!</v>
      </c>
      <c r="EN73" s="121" t="e">
        <f t="shared" si="258"/>
        <v>#DIV/0!</v>
      </c>
      <c r="EO73" s="121" t="e">
        <f t="shared" si="258"/>
        <v>#DIV/0!</v>
      </c>
      <c r="EP73" s="122">
        <f t="shared" si="258"/>
        <v>0.0198848211157761</v>
      </c>
      <c r="EQ73" s="121">
        <f t="shared" si="258"/>
        <v>0.0888144274273589</v>
      </c>
      <c r="ER73" s="121">
        <f t="shared" si="258"/>
        <v>0.0608480680784431</v>
      </c>
      <c r="ES73" s="121">
        <f t="shared" si="258"/>
        <v>0.0486003428645291</v>
      </c>
      <c r="ET73" s="121">
        <f t="shared" si="258"/>
        <v>0.0232152868069798</v>
      </c>
      <c r="EU73" s="121">
        <f t="shared" si="258"/>
        <v>0.0504955004173831</v>
      </c>
      <c r="EV73" s="121">
        <f t="shared" si="258"/>
        <v>0.0353671943745283</v>
      </c>
      <c r="EW73" s="121">
        <f t="shared" si="258"/>
        <v>0.0284121518448163</v>
      </c>
      <c r="EX73" s="121">
        <f t="shared" si="258"/>
        <v>0.0133240575406618</v>
      </c>
      <c r="EY73" s="121">
        <f t="shared" si="258"/>
        <v>0.0101710532736469</v>
      </c>
      <c r="EZ73" s="121">
        <f t="shared" si="258"/>
        <v>0.00590524203567572</v>
      </c>
      <c r="FA73" s="121">
        <f t="shared" si="258"/>
        <v>0.00442960779058036</v>
      </c>
      <c r="FB73" s="121">
        <f t="shared" si="258"/>
        <v>0.00825246078473182</v>
      </c>
      <c r="FC73" s="121">
        <f t="shared" si="258"/>
        <v>0.0289066560211804</v>
      </c>
      <c r="FD73" s="123"/>
      <c r="FE73" s="121"/>
      <c r="FF73" s="121"/>
      <c r="FG73" s="121"/>
      <c r="FH73" s="121"/>
      <c r="FI73" s="121"/>
      <c r="FJ73" s="121"/>
      <c r="FK73" s="121"/>
      <c r="FL73" s="121"/>
      <c r="FM73" s="121"/>
      <c r="FN73" s="121"/>
      <c r="FO73" s="121"/>
      <c r="FP73" s="122"/>
      <c r="FQ73" s="123">
        <f t="shared" si="258"/>
        <v>0.0400335967398369</v>
      </c>
      <c r="FR73" s="121">
        <f t="shared" si="258"/>
        <v>0.0293548176066084</v>
      </c>
      <c r="FS73" s="121">
        <f t="shared" si="258"/>
        <v>0.0413967598429875</v>
      </c>
      <c r="FT73" s="121">
        <f t="shared" si="258"/>
        <v>0.0198030192387707</v>
      </c>
      <c r="FU73" s="121">
        <f t="shared" ref="FU73:GC73" si="259">FU33/FU$39</f>
        <v>0.0244758247882949</v>
      </c>
      <c r="FV73" s="121">
        <f t="shared" si="259"/>
        <v>0.0198001061987479</v>
      </c>
      <c r="FW73" s="121">
        <f t="shared" si="259"/>
        <v>0.0239236860402928</v>
      </c>
      <c r="FX73" s="121">
        <f t="shared" si="259"/>
        <v>0.00692567990101731</v>
      </c>
      <c r="FY73" s="121">
        <f t="shared" si="259"/>
        <v>0.0101248904336411</v>
      </c>
      <c r="FZ73" s="121">
        <f t="shared" si="259"/>
        <v>0.00623115833198934</v>
      </c>
      <c r="GA73" s="121">
        <f t="shared" si="259"/>
        <v>0.00636705783096585</v>
      </c>
      <c r="GB73" s="121">
        <f t="shared" si="259"/>
        <v>0.00546203772762275</v>
      </c>
      <c r="GC73" s="122">
        <f t="shared" si="259"/>
        <v>0.0203798764567162</v>
      </c>
    </row>
    <row r="74" spans="1:185">
      <c r="A74" s="108" t="s">
        <v>38</v>
      </c>
      <c r="B74" s="109" t="s">
        <v>427</v>
      </c>
      <c r="C74" s="110">
        <f t="shared" si="87"/>
        <v>57.686521205116</v>
      </c>
      <c r="D74" s="111">
        <f t="shared" ref="D74:AI74" si="260">D34/D$39</f>
        <v>0.000400001770156867</v>
      </c>
      <c r="E74" s="111">
        <f t="shared" si="260"/>
        <v>0.000208351828483246</v>
      </c>
      <c r="F74" s="111">
        <f t="shared" si="260"/>
        <v>0.000226624470439646</v>
      </c>
      <c r="G74" s="111">
        <f t="shared" si="260"/>
        <v>0.000257276360814406</v>
      </c>
      <c r="H74" s="111">
        <f t="shared" si="260"/>
        <v>0.000389192638890576</v>
      </c>
      <c r="I74" s="111">
        <f t="shared" si="260"/>
        <v>0</v>
      </c>
      <c r="J74" s="111">
        <f t="shared" si="260"/>
        <v>0</v>
      </c>
      <c r="K74" s="111">
        <f t="shared" si="260"/>
        <v>0</v>
      </c>
      <c r="L74" s="111">
        <f t="shared" si="260"/>
        <v>0</v>
      </c>
      <c r="M74" s="111">
        <f t="shared" si="260"/>
        <v>0</v>
      </c>
      <c r="N74" s="111">
        <f t="shared" si="260"/>
        <v>0</v>
      </c>
      <c r="O74" s="111">
        <f t="shared" si="260"/>
        <v>0</v>
      </c>
      <c r="P74" s="112">
        <f t="shared" si="260"/>
        <v>0.000129923182338675</v>
      </c>
      <c r="Q74" s="111">
        <f t="shared" si="260"/>
        <v>0</v>
      </c>
      <c r="R74" s="111">
        <f t="shared" si="260"/>
        <v>0</v>
      </c>
      <c r="S74" s="111">
        <f t="shared" si="260"/>
        <v>0</v>
      </c>
      <c r="T74" s="111">
        <f t="shared" si="260"/>
        <v>0</v>
      </c>
      <c r="U74" s="111">
        <f t="shared" si="260"/>
        <v>0</v>
      </c>
      <c r="V74" s="111">
        <f t="shared" si="260"/>
        <v>0</v>
      </c>
      <c r="W74" s="111">
        <f t="shared" si="260"/>
        <v>0</v>
      </c>
      <c r="X74" s="111">
        <f t="shared" si="260"/>
        <v>0</v>
      </c>
      <c r="Y74" s="111">
        <f t="shared" si="260"/>
        <v>0</v>
      </c>
      <c r="Z74" s="111">
        <f t="shared" si="260"/>
        <v>0</v>
      </c>
      <c r="AA74" s="111">
        <f t="shared" si="260"/>
        <v>0</v>
      </c>
      <c r="AB74" s="111">
        <f t="shared" si="260"/>
        <v>0</v>
      </c>
      <c r="AC74" s="112">
        <f t="shared" si="260"/>
        <v>0</v>
      </c>
      <c r="AD74" s="111">
        <f t="shared" si="260"/>
        <v>0</v>
      </c>
      <c r="AE74" s="111">
        <f t="shared" si="260"/>
        <v>0</v>
      </c>
      <c r="AF74" s="111">
        <f t="shared" si="260"/>
        <v>0</v>
      </c>
      <c r="AG74" s="111">
        <f t="shared" si="260"/>
        <v>0</v>
      </c>
      <c r="AH74" s="111">
        <f t="shared" si="260"/>
        <v>0.000510008509319459</v>
      </c>
      <c r="AI74" s="111">
        <f t="shared" si="260"/>
        <v>0</v>
      </c>
      <c r="AJ74" s="111">
        <f t="shared" ref="AJ74:BO74" si="261">AJ34/AJ$39</f>
        <v>0</v>
      </c>
      <c r="AK74" s="111">
        <f t="shared" si="261"/>
        <v>0</v>
      </c>
      <c r="AL74" s="111">
        <f t="shared" si="261"/>
        <v>0</v>
      </c>
      <c r="AM74" s="111">
        <f t="shared" si="261"/>
        <v>0</v>
      </c>
      <c r="AN74" s="111">
        <f t="shared" si="261"/>
        <v>0</v>
      </c>
      <c r="AO74" s="111">
        <f t="shared" si="261"/>
        <v>0</v>
      </c>
      <c r="AP74" s="112">
        <f t="shared" si="261"/>
        <v>3.43634680844013e-5</v>
      </c>
      <c r="AQ74" s="111">
        <f t="shared" si="261"/>
        <v>0</v>
      </c>
      <c r="AR74" s="111">
        <f t="shared" si="261"/>
        <v>0</v>
      </c>
      <c r="AS74" s="111">
        <f t="shared" si="261"/>
        <v>0</v>
      </c>
      <c r="AT74" s="111">
        <f t="shared" si="261"/>
        <v>0</v>
      </c>
      <c r="AU74" s="111">
        <f t="shared" si="261"/>
        <v>0</v>
      </c>
      <c r="AV74" s="111">
        <f t="shared" si="261"/>
        <v>0</v>
      </c>
      <c r="AW74" s="111">
        <f t="shared" si="261"/>
        <v>0</v>
      </c>
      <c r="AX74" s="111">
        <f t="shared" si="261"/>
        <v>0</v>
      </c>
      <c r="AY74" s="111">
        <f t="shared" si="261"/>
        <v>0</v>
      </c>
      <c r="AZ74" s="111">
        <f t="shared" si="261"/>
        <v>0</v>
      </c>
      <c r="BA74" s="111">
        <f t="shared" si="261"/>
        <v>0</v>
      </c>
      <c r="BB74" s="111">
        <f t="shared" si="261"/>
        <v>0</v>
      </c>
      <c r="BC74" s="112">
        <f t="shared" si="261"/>
        <v>0</v>
      </c>
      <c r="BD74" s="111">
        <f t="shared" si="261"/>
        <v>0.00112108555764522</v>
      </c>
      <c r="BE74" s="111">
        <f t="shared" si="261"/>
        <v>0.000111287608849711</v>
      </c>
      <c r="BF74" s="111">
        <f t="shared" si="261"/>
        <v>0</v>
      </c>
      <c r="BG74" s="111">
        <f t="shared" si="261"/>
        <v>0</v>
      </c>
      <c r="BH74" s="111">
        <f t="shared" si="261"/>
        <v>0</v>
      </c>
      <c r="BI74" s="111">
        <f t="shared" si="261"/>
        <v>0</v>
      </c>
      <c r="BJ74" s="111">
        <f t="shared" si="261"/>
        <v>0</v>
      </c>
      <c r="BK74" s="111">
        <f t="shared" si="261"/>
        <v>0</v>
      </c>
      <c r="BL74" s="111">
        <f t="shared" si="261"/>
        <v>0</v>
      </c>
      <c r="BM74" s="111">
        <f t="shared" si="261"/>
        <v>0</v>
      </c>
      <c r="BN74" s="111">
        <f t="shared" si="261"/>
        <v>0</v>
      </c>
      <c r="BO74" s="111">
        <f t="shared" si="261"/>
        <v>0</v>
      </c>
      <c r="BP74" s="112">
        <f t="shared" ref="BP74:CU74" si="262">BP34/BP$39</f>
        <v>0.00014113058404427</v>
      </c>
      <c r="BQ74" s="111">
        <f t="shared" si="262"/>
        <v>0.0015309722325144</v>
      </c>
      <c r="BR74" s="111">
        <f t="shared" si="262"/>
        <v>0.000917036485273424</v>
      </c>
      <c r="BS74" s="111">
        <f t="shared" si="262"/>
        <v>0.00115123524066307</v>
      </c>
      <c r="BT74" s="111">
        <f t="shared" si="262"/>
        <v>0.00137639073988647</v>
      </c>
      <c r="BU74" s="111">
        <f t="shared" si="262"/>
        <v>0.00177105738058231</v>
      </c>
      <c r="BV74" s="111">
        <f t="shared" si="262"/>
        <v>0</v>
      </c>
      <c r="BW74" s="111">
        <f t="shared" si="262"/>
        <v>0</v>
      </c>
      <c r="BX74" s="111">
        <f t="shared" si="262"/>
        <v>0</v>
      </c>
      <c r="BY74" s="111">
        <f t="shared" si="262"/>
        <v>0</v>
      </c>
      <c r="BZ74" s="111">
        <f t="shared" si="262"/>
        <v>0</v>
      </c>
      <c r="CA74" s="111">
        <f t="shared" si="262"/>
        <v>0</v>
      </c>
      <c r="CB74" s="111">
        <f t="shared" si="262"/>
        <v>0</v>
      </c>
      <c r="CC74" s="112">
        <f t="shared" si="262"/>
        <v>0.000633628892979452</v>
      </c>
      <c r="CD74" s="111">
        <f t="shared" si="262"/>
        <v>0</v>
      </c>
      <c r="CE74" s="111">
        <f t="shared" si="262"/>
        <v>0</v>
      </c>
      <c r="CF74" s="111">
        <f t="shared" si="262"/>
        <v>0</v>
      </c>
      <c r="CG74" s="111">
        <f t="shared" si="262"/>
        <v>0</v>
      </c>
      <c r="CH74" s="111">
        <f t="shared" si="262"/>
        <v>0</v>
      </c>
      <c r="CI74" s="111">
        <f t="shared" si="262"/>
        <v>0</v>
      </c>
      <c r="CJ74" s="111">
        <f t="shared" si="262"/>
        <v>0</v>
      </c>
      <c r="CK74" s="111">
        <f t="shared" si="262"/>
        <v>0</v>
      </c>
      <c r="CL74" s="111">
        <f t="shared" si="262"/>
        <v>0</v>
      </c>
      <c r="CM74" s="111">
        <f t="shared" si="262"/>
        <v>0</v>
      </c>
      <c r="CN74" s="111">
        <f t="shared" si="262"/>
        <v>0</v>
      </c>
      <c r="CO74" s="111">
        <f t="shared" si="262"/>
        <v>0</v>
      </c>
      <c r="CP74" s="112">
        <f t="shared" si="262"/>
        <v>0</v>
      </c>
      <c r="CQ74" s="111">
        <f t="shared" si="262"/>
        <v>0</v>
      </c>
      <c r="CR74" s="111">
        <f t="shared" si="262"/>
        <v>0</v>
      </c>
      <c r="CS74" s="111">
        <f t="shared" si="262"/>
        <v>0</v>
      </c>
      <c r="CT74" s="111">
        <f t="shared" si="262"/>
        <v>0</v>
      </c>
      <c r="CU74" s="111">
        <f t="shared" si="262"/>
        <v>0</v>
      </c>
      <c r="CV74" s="111">
        <f t="shared" ref="CV74:EA74" si="263">CV34/CV$39</f>
        <v>0</v>
      </c>
      <c r="CW74" s="111">
        <f t="shared" si="263"/>
        <v>0</v>
      </c>
      <c r="CX74" s="111">
        <f t="shared" si="263"/>
        <v>0</v>
      </c>
      <c r="CY74" s="111">
        <f t="shared" si="263"/>
        <v>0</v>
      </c>
      <c r="CZ74" s="111">
        <f t="shared" si="263"/>
        <v>0</v>
      </c>
      <c r="DA74" s="111">
        <f t="shared" si="263"/>
        <v>0</v>
      </c>
      <c r="DB74" s="111">
        <f t="shared" si="263"/>
        <v>0</v>
      </c>
      <c r="DC74" s="112">
        <f t="shared" si="263"/>
        <v>0</v>
      </c>
      <c r="DD74" s="111">
        <f t="shared" si="263"/>
        <v>0</v>
      </c>
      <c r="DE74" s="111">
        <f t="shared" si="263"/>
        <v>0</v>
      </c>
      <c r="DF74" s="111">
        <f t="shared" si="263"/>
        <v>0</v>
      </c>
      <c r="DG74" s="111">
        <f t="shared" si="263"/>
        <v>0</v>
      </c>
      <c r="DH74" s="111">
        <f t="shared" si="263"/>
        <v>0</v>
      </c>
      <c r="DI74" s="111">
        <f t="shared" si="263"/>
        <v>0</v>
      </c>
      <c r="DJ74" s="111">
        <f t="shared" si="263"/>
        <v>0</v>
      </c>
      <c r="DK74" s="111">
        <f t="shared" si="263"/>
        <v>0</v>
      </c>
      <c r="DL74" s="111">
        <f t="shared" si="263"/>
        <v>0</v>
      </c>
      <c r="DM74" s="111">
        <f t="shared" si="263"/>
        <v>0</v>
      </c>
      <c r="DN74" s="111">
        <f t="shared" si="263"/>
        <v>0</v>
      </c>
      <c r="DO74" s="111">
        <f t="shared" si="263"/>
        <v>0</v>
      </c>
      <c r="DP74" s="112">
        <f t="shared" si="263"/>
        <v>0</v>
      </c>
      <c r="DQ74" s="111">
        <f t="shared" si="263"/>
        <v>0</v>
      </c>
      <c r="DR74" s="111">
        <f t="shared" si="263"/>
        <v>0</v>
      </c>
      <c r="DS74" s="111">
        <f t="shared" si="263"/>
        <v>0</v>
      </c>
      <c r="DT74" s="111">
        <f t="shared" si="263"/>
        <v>0</v>
      </c>
      <c r="DU74" s="111">
        <f t="shared" si="263"/>
        <v>0</v>
      </c>
      <c r="DV74" s="111">
        <f t="shared" si="263"/>
        <v>0</v>
      </c>
      <c r="DW74" s="111">
        <f t="shared" si="263"/>
        <v>0</v>
      </c>
      <c r="DX74" s="111">
        <f t="shared" si="263"/>
        <v>0</v>
      </c>
      <c r="DY74" s="111">
        <f t="shared" si="263"/>
        <v>0</v>
      </c>
      <c r="DZ74" s="111">
        <f t="shared" si="263"/>
        <v>0</v>
      </c>
      <c r="EA74" s="111">
        <f t="shared" si="263"/>
        <v>0</v>
      </c>
      <c r="EB74" s="111">
        <f t="shared" ref="EB74:FT74" si="264">EB34/EB$39</f>
        <v>0</v>
      </c>
      <c r="EC74" s="111">
        <f t="shared" si="264"/>
        <v>0</v>
      </c>
      <c r="ED74" s="113">
        <f t="shared" si="264"/>
        <v>0</v>
      </c>
      <c r="EE74" s="111">
        <f t="shared" si="264"/>
        <v>0</v>
      </c>
      <c r="EF74" s="111">
        <f t="shared" si="264"/>
        <v>0</v>
      </c>
      <c r="EG74" s="111">
        <f t="shared" si="264"/>
        <v>0</v>
      </c>
      <c r="EH74" s="111" t="e">
        <f t="shared" si="264"/>
        <v>#DIV/0!</v>
      </c>
      <c r="EI74" s="111" t="e">
        <f t="shared" si="264"/>
        <v>#DIV/0!</v>
      </c>
      <c r="EJ74" s="111" t="e">
        <f t="shared" si="264"/>
        <v>#DIV/0!</v>
      </c>
      <c r="EK74" s="111" t="e">
        <f t="shared" si="264"/>
        <v>#DIV/0!</v>
      </c>
      <c r="EL74" s="111" t="e">
        <f t="shared" si="264"/>
        <v>#DIV/0!</v>
      </c>
      <c r="EM74" s="111" t="e">
        <f t="shared" si="264"/>
        <v>#DIV/0!</v>
      </c>
      <c r="EN74" s="111" t="e">
        <f t="shared" si="264"/>
        <v>#DIV/0!</v>
      </c>
      <c r="EO74" s="111" t="e">
        <f t="shared" si="264"/>
        <v>#DIV/0!</v>
      </c>
      <c r="EP74" s="112">
        <f t="shared" si="264"/>
        <v>0</v>
      </c>
      <c r="EQ74" s="111">
        <f t="shared" si="264"/>
        <v>0</v>
      </c>
      <c r="ER74" s="111">
        <f t="shared" si="264"/>
        <v>0</v>
      </c>
      <c r="ES74" s="111">
        <f t="shared" si="264"/>
        <v>0</v>
      </c>
      <c r="ET74" s="111">
        <f t="shared" si="264"/>
        <v>0</v>
      </c>
      <c r="EU74" s="111">
        <f t="shared" si="264"/>
        <v>0</v>
      </c>
      <c r="EV74" s="111">
        <f t="shared" si="264"/>
        <v>0</v>
      </c>
      <c r="EW74" s="111">
        <f t="shared" si="264"/>
        <v>0</v>
      </c>
      <c r="EX74" s="111">
        <f t="shared" si="264"/>
        <v>0</v>
      </c>
      <c r="EY74" s="111">
        <f t="shared" si="264"/>
        <v>0</v>
      </c>
      <c r="EZ74" s="111">
        <f t="shared" si="264"/>
        <v>0</v>
      </c>
      <c r="FA74" s="111">
        <f t="shared" si="264"/>
        <v>0</v>
      </c>
      <c r="FB74" s="111">
        <f t="shared" si="264"/>
        <v>0</v>
      </c>
      <c r="FC74" s="111">
        <f t="shared" si="264"/>
        <v>0</v>
      </c>
      <c r="FD74" s="113"/>
      <c r="FE74" s="111"/>
      <c r="FF74" s="111"/>
      <c r="FG74" s="111"/>
      <c r="FH74" s="111"/>
      <c r="FI74" s="111"/>
      <c r="FJ74" s="111"/>
      <c r="FK74" s="111"/>
      <c r="FL74" s="111"/>
      <c r="FM74" s="111"/>
      <c r="FN74" s="111"/>
      <c r="FO74" s="111"/>
      <c r="FP74" s="112"/>
      <c r="FQ74" s="113">
        <f t="shared" si="264"/>
        <v>0</v>
      </c>
      <c r="FR74" s="111">
        <f t="shared" si="264"/>
        <v>0</v>
      </c>
      <c r="FS74" s="111">
        <f t="shared" si="264"/>
        <v>0</v>
      </c>
      <c r="FT74" s="111">
        <f t="shared" si="264"/>
        <v>0</v>
      </c>
      <c r="FU74" s="111">
        <f t="shared" ref="FU74:GC74" si="265">FU34/FU$39</f>
        <v>0</v>
      </c>
      <c r="FV74" s="111">
        <f t="shared" si="265"/>
        <v>0</v>
      </c>
      <c r="FW74" s="111">
        <f t="shared" si="265"/>
        <v>0</v>
      </c>
      <c r="FX74" s="111">
        <f t="shared" si="265"/>
        <v>0</v>
      </c>
      <c r="FY74" s="111">
        <f t="shared" si="265"/>
        <v>0</v>
      </c>
      <c r="FZ74" s="111">
        <f t="shared" si="265"/>
        <v>0</v>
      </c>
      <c r="GA74" s="111">
        <f t="shared" si="265"/>
        <v>0</v>
      </c>
      <c r="GB74" s="111">
        <f t="shared" si="265"/>
        <v>0</v>
      </c>
      <c r="GC74" s="112">
        <f t="shared" si="265"/>
        <v>0</v>
      </c>
    </row>
    <row r="75" s="56" customFormat="1" ht="16.5" spans="1:185">
      <c r="A75" s="88" t="s">
        <v>428</v>
      </c>
      <c r="B75" s="119"/>
      <c r="C75" s="120">
        <f t="shared" si="87"/>
        <v>57.686521205116</v>
      </c>
      <c r="D75" s="121">
        <f t="shared" ref="D75:AI75" si="266">D35/D$39</f>
        <v>0.000400001770156867</v>
      </c>
      <c r="E75" s="121">
        <f t="shared" si="266"/>
        <v>0.000208351828483246</v>
      </c>
      <c r="F75" s="121">
        <f t="shared" si="266"/>
        <v>0.000226624470439646</v>
      </c>
      <c r="G75" s="121">
        <f t="shared" si="266"/>
        <v>0.000257276360814406</v>
      </c>
      <c r="H75" s="121">
        <f t="shared" si="266"/>
        <v>0.000389192638890576</v>
      </c>
      <c r="I75" s="121">
        <f t="shared" si="266"/>
        <v>0</v>
      </c>
      <c r="J75" s="121">
        <f t="shared" si="266"/>
        <v>0</v>
      </c>
      <c r="K75" s="121">
        <f t="shared" si="266"/>
        <v>0</v>
      </c>
      <c r="L75" s="121">
        <f t="shared" si="266"/>
        <v>0</v>
      </c>
      <c r="M75" s="121">
        <f t="shared" si="266"/>
        <v>0</v>
      </c>
      <c r="N75" s="121">
        <f t="shared" si="266"/>
        <v>0</v>
      </c>
      <c r="O75" s="121">
        <f t="shared" si="266"/>
        <v>0</v>
      </c>
      <c r="P75" s="122">
        <f t="shared" si="266"/>
        <v>0.000129923182338675</v>
      </c>
      <c r="Q75" s="121">
        <f t="shared" si="266"/>
        <v>0</v>
      </c>
      <c r="R75" s="121">
        <f t="shared" si="266"/>
        <v>0</v>
      </c>
      <c r="S75" s="121">
        <f t="shared" si="266"/>
        <v>0</v>
      </c>
      <c r="T75" s="121">
        <f t="shared" si="266"/>
        <v>0</v>
      </c>
      <c r="U75" s="121">
        <f t="shared" si="266"/>
        <v>0</v>
      </c>
      <c r="V75" s="121">
        <f t="shared" si="266"/>
        <v>0</v>
      </c>
      <c r="W75" s="121">
        <f t="shared" si="266"/>
        <v>0</v>
      </c>
      <c r="X75" s="121">
        <f t="shared" si="266"/>
        <v>0</v>
      </c>
      <c r="Y75" s="121">
        <f t="shared" si="266"/>
        <v>0</v>
      </c>
      <c r="Z75" s="121">
        <f t="shared" si="266"/>
        <v>0</v>
      </c>
      <c r="AA75" s="121">
        <f t="shared" si="266"/>
        <v>0</v>
      </c>
      <c r="AB75" s="121">
        <f t="shared" si="266"/>
        <v>0</v>
      </c>
      <c r="AC75" s="122">
        <f t="shared" si="266"/>
        <v>0</v>
      </c>
      <c r="AD75" s="121">
        <f t="shared" si="266"/>
        <v>0</v>
      </c>
      <c r="AE75" s="121">
        <f t="shared" si="266"/>
        <v>0</v>
      </c>
      <c r="AF75" s="121">
        <f t="shared" si="266"/>
        <v>0</v>
      </c>
      <c r="AG75" s="121">
        <f t="shared" si="266"/>
        <v>0</v>
      </c>
      <c r="AH75" s="121">
        <f t="shared" si="266"/>
        <v>0.000510008509319459</v>
      </c>
      <c r="AI75" s="121">
        <f t="shared" si="266"/>
        <v>0</v>
      </c>
      <c r="AJ75" s="121">
        <f t="shared" ref="AJ75:BO75" si="267">AJ35/AJ$39</f>
        <v>0</v>
      </c>
      <c r="AK75" s="121">
        <f t="shared" si="267"/>
        <v>0</v>
      </c>
      <c r="AL75" s="121">
        <f t="shared" si="267"/>
        <v>0</v>
      </c>
      <c r="AM75" s="121">
        <f t="shared" si="267"/>
        <v>0</v>
      </c>
      <c r="AN75" s="121">
        <f t="shared" si="267"/>
        <v>0</v>
      </c>
      <c r="AO75" s="121">
        <f t="shared" si="267"/>
        <v>0</v>
      </c>
      <c r="AP75" s="122">
        <f t="shared" si="267"/>
        <v>3.43634680844013e-5</v>
      </c>
      <c r="AQ75" s="121">
        <f t="shared" si="267"/>
        <v>0</v>
      </c>
      <c r="AR75" s="121">
        <f t="shared" si="267"/>
        <v>0</v>
      </c>
      <c r="AS75" s="121">
        <f t="shared" si="267"/>
        <v>0</v>
      </c>
      <c r="AT75" s="121">
        <f t="shared" si="267"/>
        <v>0</v>
      </c>
      <c r="AU75" s="121">
        <f t="shared" si="267"/>
        <v>0</v>
      </c>
      <c r="AV75" s="121">
        <f t="shared" si="267"/>
        <v>0</v>
      </c>
      <c r="AW75" s="121">
        <f t="shared" si="267"/>
        <v>0</v>
      </c>
      <c r="AX75" s="121">
        <f t="shared" si="267"/>
        <v>0</v>
      </c>
      <c r="AY75" s="121">
        <f t="shared" si="267"/>
        <v>0</v>
      </c>
      <c r="AZ75" s="121">
        <f t="shared" si="267"/>
        <v>0</v>
      </c>
      <c r="BA75" s="121">
        <f t="shared" si="267"/>
        <v>0</v>
      </c>
      <c r="BB75" s="121">
        <f t="shared" si="267"/>
        <v>0</v>
      </c>
      <c r="BC75" s="122">
        <f t="shared" si="267"/>
        <v>0</v>
      </c>
      <c r="BD75" s="121">
        <f t="shared" si="267"/>
        <v>0.00112108555764522</v>
      </c>
      <c r="BE75" s="121">
        <f t="shared" si="267"/>
        <v>0.000111287608849711</v>
      </c>
      <c r="BF75" s="121">
        <f t="shared" si="267"/>
        <v>0</v>
      </c>
      <c r="BG75" s="121">
        <f t="shared" si="267"/>
        <v>0</v>
      </c>
      <c r="BH75" s="121">
        <f t="shared" si="267"/>
        <v>0</v>
      </c>
      <c r="BI75" s="121">
        <f t="shared" si="267"/>
        <v>0</v>
      </c>
      <c r="BJ75" s="121">
        <f t="shared" si="267"/>
        <v>0</v>
      </c>
      <c r="BK75" s="121">
        <f t="shared" si="267"/>
        <v>0</v>
      </c>
      <c r="BL75" s="121">
        <f t="shared" si="267"/>
        <v>0</v>
      </c>
      <c r="BM75" s="121">
        <f t="shared" si="267"/>
        <v>0</v>
      </c>
      <c r="BN75" s="121">
        <f t="shared" si="267"/>
        <v>0</v>
      </c>
      <c r="BO75" s="121">
        <f t="shared" si="267"/>
        <v>0</v>
      </c>
      <c r="BP75" s="122">
        <f t="shared" ref="BP75:CU75" si="268">BP35/BP$39</f>
        <v>0.00014113058404427</v>
      </c>
      <c r="BQ75" s="121">
        <f t="shared" si="268"/>
        <v>0.0015309722325144</v>
      </c>
      <c r="BR75" s="121">
        <f t="shared" si="268"/>
        <v>0.000917036485273424</v>
      </c>
      <c r="BS75" s="121">
        <f t="shared" si="268"/>
        <v>0.00115123524066307</v>
      </c>
      <c r="BT75" s="121">
        <f t="shared" si="268"/>
        <v>0.00137639073988647</v>
      </c>
      <c r="BU75" s="121">
        <f t="shared" si="268"/>
        <v>0.00177105738058231</v>
      </c>
      <c r="BV75" s="121">
        <f t="shared" si="268"/>
        <v>0</v>
      </c>
      <c r="BW75" s="121">
        <f t="shared" si="268"/>
        <v>0</v>
      </c>
      <c r="BX75" s="121">
        <f t="shared" si="268"/>
        <v>0</v>
      </c>
      <c r="BY75" s="121">
        <f t="shared" si="268"/>
        <v>0</v>
      </c>
      <c r="BZ75" s="121">
        <f t="shared" si="268"/>
        <v>0</v>
      </c>
      <c r="CA75" s="121">
        <f t="shared" si="268"/>
        <v>0</v>
      </c>
      <c r="CB75" s="121">
        <f t="shared" si="268"/>
        <v>0</v>
      </c>
      <c r="CC75" s="122">
        <f t="shared" si="268"/>
        <v>0.000633628892979452</v>
      </c>
      <c r="CD75" s="121">
        <f t="shared" si="268"/>
        <v>0</v>
      </c>
      <c r="CE75" s="121">
        <f t="shared" si="268"/>
        <v>0</v>
      </c>
      <c r="CF75" s="121">
        <f t="shared" si="268"/>
        <v>0</v>
      </c>
      <c r="CG75" s="121">
        <f t="shared" si="268"/>
        <v>0</v>
      </c>
      <c r="CH75" s="121">
        <f t="shared" si="268"/>
        <v>0</v>
      </c>
      <c r="CI75" s="121">
        <f t="shared" si="268"/>
        <v>0</v>
      </c>
      <c r="CJ75" s="121">
        <f t="shared" si="268"/>
        <v>0</v>
      </c>
      <c r="CK75" s="121">
        <f t="shared" si="268"/>
        <v>0</v>
      </c>
      <c r="CL75" s="121">
        <f t="shared" si="268"/>
        <v>0</v>
      </c>
      <c r="CM75" s="121">
        <f t="shared" si="268"/>
        <v>0</v>
      </c>
      <c r="CN75" s="121">
        <f t="shared" si="268"/>
        <v>0</v>
      </c>
      <c r="CO75" s="121">
        <f t="shared" si="268"/>
        <v>0</v>
      </c>
      <c r="CP75" s="122">
        <f t="shared" si="268"/>
        <v>0</v>
      </c>
      <c r="CQ75" s="121">
        <f t="shared" si="268"/>
        <v>0</v>
      </c>
      <c r="CR75" s="121">
        <f t="shared" si="268"/>
        <v>0</v>
      </c>
      <c r="CS75" s="121">
        <f t="shared" si="268"/>
        <v>0</v>
      </c>
      <c r="CT75" s="121">
        <f t="shared" si="268"/>
        <v>0</v>
      </c>
      <c r="CU75" s="121">
        <f t="shared" si="268"/>
        <v>0</v>
      </c>
      <c r="CV75" s="121">
        <f t="shared" ref="CV75:EA75" si="269">CV35/CV$39</f>
        <v>0</v>
      </c>
      <c r="CW75" s="121">
        <f t="shared" si="269"/>
        <v>0</v>
      </c>
      <c r="CX75" s="121">
        <f t="shared" si="269"/>
        <v>0</v>
      </c>
      <c r="CY75" s="121">
        <f t="shared" si="269"/>
        <v>0</v>
      </c>
      <c r="CZ75" s="121">
        <f t="shared" si="269"/>
        <v>0</v>
      </c>
      <c r="DA75" s="121">
        <f t="shared" si="269"/>
        <v>0</v>
      </c>
      <c r="DB75" s="121">
        <f t="shared" si="269"/>
        <v>0</v>
      </c>
      <c r="DC75" s="122">
        <f t="shared" si="269"/>
        <v>0</v>
      </c>
      <c r="DD75" s="121">
        <f t="shared" si="269"/>
        <v>0</v>
      </c>
      <c r="DE75" s="121">
        <f t="shared" si="269"/>
        <v>0</v>
      </c>
      <c r="DF75" s="121">
        <f t="shared" si="269"/>
        <v>0</v>
      </c>
      <c r="DG75" s="121">
        <f t="shared" si="269"/>
        <v>0</v>
      </c>
      <c r="DH75" s="121">
        <f t="shared" si="269"/>
        <v>0</v>
      </c>
      <c r="DI75" s="121">
        <f t="shared" si="269"/>
        <v>0</v>
      </c>
      <c r="DJ75" s="121">
        <f t="shared" si="269"/>
        <v>0</v>
      </c>
      <c r="DK75" s="121">
        <f t="shared" si="269"/>
        <v>0</v>
      </c>
      <c r="DL75" s="121">
        <f t="shared" si="269"/>
        <v>0</v>
      </c>
      <c r="DM75" s="121">
        <f t="shared" si="269"/>
        <v>0</v>
      </c>
      <c r="DN75" s="121">
        <f t="shared" si="269"/>
        <v>0</v>
      </c>
      <c r="DO75" s="121">
        <f t="shared" si="269"/>
        <v>0</v>
      </c>
      <c r="DP75" s="122">
        <f t="shared" si="269"/>
        <v>0</v>
      </c>
      <c r="DQ75" s="121">
        <f t="shared" si="269"/>
        <v>0</v>
      </c>
      <c r="DR75" s="121">
        <f t="shared" si="269"/>
        <v>0</v>
      </c>
      <c r="DS75" s="121">
        <f t="shared" si="269"/>
        <v>0</v>
      </c>
      <c r="DT75" s="121">
        <f t="shared" si="269"/>
        <v>0</v>
      </c>
      <c r="DU75" s="121">
        <f t="shared" si="269"/>
        <v>0</v>
      </c>
      <c r="DV75" s="121">
        <f t="shared" si="269"/>
        <v>0</v>
      </c>
      <c r="DW75" s="121">
        <f t="shared" si="269"/>
        <v>0</v>
      </c>
      <c r="DX75" s="121">
        <f t="shared" si="269"/>
        <v>0</v>
      </c>
      <c r="DY75" s="121">
        <f t="shared" si="269"/>
        <v>0</v>
      </c>
      <c r="DZ75" s="121">
        <f t="shared" si="269"/>
        <v>0</v>
      </c>
      <c r="EA75" s="121">
        <f t="shared" si="269"/>
        <v>0</v>
      </c>
      <c r="EB75" s="121">
        <f t="shared" ref="EB75:FT75" si="270">EB35/EB$39</f>
        <v>0</v>
      </c>
      <c r="EC75" s="121">
        <f t="shared" si="270"/>
        <v>0</v>
      </c>
      <c r="ED75" s="123">
        <f t="shared" si="270"/>
        <v>0</v>
      </c>
      <c r="EE75" s="121">
        <f t="shared" si="270"/>
        <v>0</v>
      </c>
      <c r="EF75" s="121">
        <f t="shared" si="270"/>
        <v>0</v>
      </c>
      <c r="EG75" s="121">
        <f t="shared" si="270"/>
        <v>0</v>
      </c>
      <c r="EH75" s="121" t="e">
        <f t="shared" si="270"/>
        <v>#DIV/0!</v>
      </c>
      <c r="EI75" s="121" t="e">
        <f t="shared" si="270"/>
        <v>#DIV/0!</v>
      </c>
      <c r="EJ75" s="121" t="e">
        <f t="shared" si="270"/>
        <v>#DIV/0!</v>
      </c>
      <c r="EK75" s="121" t="e">
        <f t="shared" si="270"/>
        <v>#DIV/0!</v>
      </c>
      <c r="EL75" s="121" t="e">
        <f t="shared" si="270"/>
        <v>#DIV/0!</v>
      </c>
      <c r="EM75" s="121" t="e">
        <f t="shared" si="270"/>
        <v>#DIV/0!</v>
      </c>
      <c r="EN75" s="121" t="e">
        <f t="shared" si="270"/>
        <v>#DIV/0!</v>
      </c>
      <c r="EO75" s="121" t="e">
        <f t="shared" si="270"/>
        <v>#DIV/0!</v>
      </c>
      <c r="EP75" s="122">
        <f t="shared" si="270"/>
        <v>0</v>
      </c>
      <c r="EQ75" s="121">
        <f t="shared" si="270"/>
        <v>0</v>
      </c>
      <c r="ER75" s="121">
        <f t="shared" si="270"/>
        <v>0</v>
      </c>
      <c r="ES75" s="121">
        <f t="shared" si="270"/>
        <v>0</v>
      </c>
      <c r="ET75" s="121">
        <f t="shared" si="270"/>
        <v>0</v>
      </c>
      <c r="EU75" s="121">
        <f t="shared" si="270"/>
        <v>0</v>
      </c>
      <c r="EV75" s="121">
        <f t="shared" si="270"/>
        <v>0</v>
      </c>
      <c r="EW75" s="121">
        <f t="shared" si="270"/>
        <v>0</v>
      </c>
      <c r="EX75" s="121">
        <f t="shared" si="270"/>
        <v>0</v>
      </c>
      <c r="EY75" s="121">
        <f t="shared" si="270"/>
        <v>0</v>
      </c>
      <c r="EZ75" s="121">
        <f t="shared" si="270"/>
        <v>0</v>
      </c>
      <c r="FA75" s="121">
        <f t="shared" si="270"/>
        <v>0</v>
      </c>
      <c r="FB75" s="121">
        <f t="shared" si="270"/>
        <v>0</v>
      </c>
      <c r="FC75" s="121">
        <f t="shared" si="270"/>
        <v>0</v>
      </c>
      <c r="FD75" s="123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2"/>
      <c r="FQ75" s="123">
        <f t="shared" si="270"/>
        <v>0</v>
      </c>
      <c r="FR75" s="121">
        <f t="shared" si="270"/>
        <v>0</v>
      </c>
      <c r="FS75" s="121">
        <f t="shared" si="270"/>
        <v>0</v>
      </c>
      <c r="FT75" s="121">
        <f t="shared" si="270"/>
        <v>0</v>
      </c>
      <c r="FU75" s="121">
        <f t="shared" ref="FU75:GC75" si="271">FU35/FU$39</f>
        <v>0</v>
      </c>
      <c r="FV75" s="121">
        <f t="shared" si="271"/>
        <v>0</v>
      </c>
      <c r="FW75" s="121">
        <f t="shared" si="271"/>
        <v>0</v>
      </c>
      <c r="FX75" s="121">
        <f t="shared" si="271"/>
        <v>0</v>
      </c>
      <c r="FY75" s="121">
        <f t="shared" si="271"/>
        <v>0</v>
      </c>
      <c r="FZ75" s="121">
        <f t="shared" si="271"/>
        <v>0</v>
      </c>
      <c r="GA75" s="121">
        <f t="shared" si="271"/>
        <v>0</v>
      </c>
      <c r="GB75" s="121">
        <f t="shared" si="271"/>
        <v>0</v>
      </c>
      <c r="GC75" s="122">
        <f t="shared" si="271"/>
        <v>0</v>
      </c>
    </row>
    <row r="76" customHeight="1" spans="1:185">
      <c r="A76" s="108" t="s">
        <v>41</v>
      </c>
      <c r="B76" s="109" t="s">
        <v>429</v>
      </c>
      <c r="C76" s="110">
        <f t="shared" si="87"/>
        <v>-0.40298352384047</v>
      </c>
      <c r="D76" s="111">
        <f t="shared" ref="D76:AI76" si="272">D36/D$39</f>
        <v>0.000515875378269394</v>
      </c>
      <c r="E76" s="111">
        <f t="shared" si="272"/>
        <v>0.00018623403736255</v>
      </c>
      <c r="F76" s="111">
        <f t="shared" si="272"/>
        <v>0.000123650326663287</v>
      </c>
      <c r="G76" s="111">
        <f t="shared" si="272"/>
        <v>7.11429477869369e-5</v>
      </c>
      <c r="H76" s="111">
        <f t="shared" si="272"/>
        <v>5.76894644507483e-5</v>
      </c>
      <c r="I76" s="111">
        <f t="shared" si="272"/>
        <v>4.42016253733456e-5</v>
      </c>
      <c r="J76" s="111">
        <f t="shared" si="272"/>
        <v>3.67836005094772e-5</v>
      </c>
      <c r="K76" s="111">
        <f t="shared" si="272"/>
        <v>2.99276067026627e-5</v>
      </c>
      <c r="L76" s="111">
        <f t="shared" si="272"/>
        <v>2.70304703743932e-5</v>
      </c>
      <c r="M76" s="111">
        <f t="shared" si="272"/>
        <v>1.35590711418723e-5</v>
      </c>
      <c r="N76" s="111">
        <f t="shared" si="272"/>
        <v>0.0040820643221668</v>
      </c>
      <c r="O76" s="111">
        <f t="shared" si="272"/>
        <v>0.00127278910314209</v>
      </c>
      <c r="P76" s="112">
        <f t="shared" si="272"/>
        <v>0.000567657173004717</v>
      </c>
      <c r="Q76" s="111">
        <f t="shared" si="272"/>
        <v>9.48344566937438e-6</v>
      </c>
      <c r="R76" s="111">
        <f t="shared" si="272"/>
        <v>6.24942644498525e-5</v>
      </c>
      <c r="S76" s="111">
        <f t="shared" si="272"/>
        <v>5.24489288947984e-5</v>
      </c>
      <c r="T76" s="111">
        <f t="shared" si="272"/>
        <v>2.51087137043148e-5</v>
      </c>
      <c r="U76" s="111">
        <f t="shared" si="272"/>
        <v>5.46758495051141e-5</v>
      </c>
      <c r="V76" s="111">
        <f t="shared" si="272"/>
        <v>0</v>
      </c>
      <c r="W76" s="111">
        <f t="shared" si="272"/>
        <v>0</v>
      </c>
      <c r="X76" s="111">
        <f t="shared" si="272"/>
        <v>0</v>
      </c>
      <c r="Y76" s="111">
        <f t="shared" si="272"/>
        <v>0</v>
      </c>
      <c r="Z76" s="111">
        <f t="shared" si="272"/>
        <v>0</v>
      </c>
      <c r="AA76" s="111">
        <f t="shared" si="272"/>
        <v>0.000458488449239675</v>
      </c>
      <c r="AB76" s="111">
        <f t="shared" si="272"/>
        <v>0.000485142325962448</v>
      </c>
      <c r="AC76" s="112">
        <f t="shared" si="272"/>
        <v>9.78433162162132e-5</v>
      </c>
      <c r="AD76" s="111">
        <f t="shared" si="272"/>
        <v>0</v>
      </c>
      <c r="AE76" s="111">
        <f t="shared" si="272"/>
        <v>0</v>
      </c>
      <c r="AF76" s="111">
        <f t="shared" si="272"/>
        <v>0</v>
      </c>
      <c r="AG76" s="111">
        <f t="shared" si="272"/>
        <v>0</v>
      </c>
      <c r="AH76" s="111">
        <f t="shared" si="272"/>
        <v>0</v>
      </c>
      <c r="AI76" s="111">
        <f t="shared" si="272"/>
        <v>0</v>
      </c>
      <c r="AJ76" s="111">
        <f t="shared" ref="AJ76:BO76" si="273">AJ36/AJ$39</f>
        <v>0</v>
      </c>
      <c r="AK76" s="111">
        <f t="shared" si="273"/>
        <v>0</v>
      </c>
      <c r="AL76" s="111">
        <f t="shared" si="273"/>
        <v>0</v>
      </c>
      <c r="AM76" s="111">
        <f t="shared" si="273"/>
        <v>0</v>
      </c>
      <c r="AN76" s="111">
        <f t="shared" si="273"/>
        <v>0</v>
      </c>
      <c r="AO76" s="111">
        <f t="shared" si="273"/>
        <v>0</v>
      </c>
      <c r="AP76" s="112">
        <f t="shared" si="273"/>
        <v>0</v>
      </c>
      <c r="AQ76" s="111">
        <f t="shared" si="273"/>
        <v>0.000186731743348598</v>
      </c>
      <c r="AR76" s="111">
        <f t="shared" si="273"/>
        <v>0.000229592120961021</v>
      </c>
      <c r="AS76" s="111">
        <f t="shared" si="273"/>
        <v>0.000182551469825979</v>
      </c>
      <c r="AT76" s="111">
        <f t="shared" si="273"/>
        <v>5.14165615309013e-5</v>
      </c>
      <c r="AU76" s="111">
        <f t="shared" si="273"/>
        <v>6.64982706668261e-5</v>
      </c>
      <c r="AV76" s="111">
        <f t="shared" si="273"/>
        <v>0</v>
      </c>
      <c r="AW76" s="111">
        <f t="shared" si="273"/>
        <v>0</v>
      </c>
      <c r="AX76" s="111">
        <f t="shared" si="273"/>
        <v>0</v>
      </c>
      <c r="AY76" s="111">
        <f t="shared" si="273"/>
        <v>0</v>
      </c>
      <c r="AZ76" s="111">
        <f t="shared" si="273"/>
        <v>0</v>
      </c>
      <c r="BA76" s="111">
        <f t="shared" si="273"/>
        <v>0.00532626148045564</v>
      </c>
      <c r="BB76" s="111">
        <f t="shared" si="273"/>
        <v>0</v>
      </c>
      <c r="BC76" s="112">
        <f t="shared" si="273"/>
        <v>0.000544445665538775</v>
      </c>
      <c r="BD76" s="111">
        <f t="shared" si="273"/>
        <v>0</v>
      </c>
      <c r="BE76" s="111">
        <f t="shared" si="273"/>
        <v>0</v>
      </c>
      <c r="BF76" s="111">
        <f t="shared" si="273"/>
        <v>0</v>
      </c>
      <c r="BG76" s="111">
        <f t="shared" si="273"/>
        <v>0</v>
      </c>
      <c r="BH76" s="111">
        <f t="shared" si="273"/>
        <v>0</v>
      </c>
      <c r="BI76" s="111">
        <f t="shared" si="273"/>
        <v>0</v>
      </c>
      <c r="BJ76" s="111">
        <f t="shared" si="273"/>
        <v>0</v>
      </c>
      <c r="BK76" s="111">
        <f t="shared" si="273"/>
        <v>0</v>
      </c>
      <c r="BL76" s="111">
        <f t="shared" si="273"/>
        <v>0</v>
      </c>
      <c r="BM76" s="111">
        <f t="shared" si="273"/>
        <v>0</v>
      </c>
      <c r="BN76" s="111">
        <f t="shared" si="273"/>
        <v>0.00248053967827798</v>
      </c>
      <c r="BO76" s="111">
        <f t="shared" si="273"/>
        <v>0.00514537625723984</v>
      </c>
      <c r="BP76" s="112">
        <f t="shared" ref="BP76:CU76" si="274">BP36/BP$39</f>
        <v>0.000664472868100774</v>
      </c>
      <c r="BQ76" s="111">
        <f t="shared" si="274"/>
        <v>5.14962353634993e-5</v>
      </c>
      <c r="BR76" s="111">
        <f t="shared" si="274"/>
        <v>5.54136092320771e-5</v>
      </c>
      <c r="BS76" s="111">
        <f t="shared" si="274"/>
        <v>7.98072609226962e-5</v>
      </c>
      <c r="BT76" s="111">
        <f t="shared" si="274"/>
        <v>8.80038396857379e-6</v>
      </c>
      <c r="BU76" s="111">
        <f t="shared" si="274"/>
        <v>9.41549473297651e-6</v>
      </c>
      <c r="BV76" s="111">
        <f t="shared" si="274"/>
        <v>0</v>
      </c>
      <c r="BW76" s="111">
        <f t="shared" si="274"/>
        <v>0</v>
      </c>
      <c r="BX76" s="111">
        <f t="shared" si="274"/>
        <v>0</v>
      </c>
      <c r="BY76" s="111">
        <f t="shared" si="274"/>
        <v>0</v>
      </c>
      <c r="BZ76" s="111">
        <f t="shared" si="274"/>
        <v>0</v>
      </c>
      <c r="CA76" s="111">
        <f t="shared" si="274"/>
        <v>0.00969906520562452</v>
      </c>
      <c r="CB76" s="111">
        <f t="shared" si="274"/>
        <v>0</v>
      </c>
      <c r="CC76" s="112">
        <f t="shared" si="274"/>
        <v>0.000810018828345972</v>
      </c>
      <c r="CD76" s="111">
        <f t="shared" si="274"/>
        <v>8.08552861903867e-5</v>
      </c>
      <c r="CE76" s="111">
        <f t="shared" si="274"/>
        <v>0.000137818762741785</v>
      </c>
      <c r="CF76" s="111">
        <f t="shared" si="274"/>
        <v>0.000114434029713185</v>
      </c>
      <c r="CG76" s="111">
        <f t="shared" si="274"/>
        <v>0</v>
      </c>
      <c r="CH76" s="111">
        <f t="shared" si="274"/>
        <v>0</v>
      </c>
      <c r="CI76" s="111">
        <f t="shared" si="274"/>
        <v>0</v>
      </c>
      <c r="CJ76" s="111">
        <f t="shared" si="274"/>
        <v>0</v>
      </c>
      <c r="CK76" s="111">
        <f t="shared" si="274"/>
        <v>0</v>
      </c>
      <c r="CL76" s="111">
        <f t="shared" si="274"/>
        <v>0</v>
      </c>
      <c r="CM76" s="111">
        <f t="shared" si="274"/>
        <v>0</v>
      </c>
      <c r="CN76" s="111">
        <f t="shared" si="274"/>
        <v>0.00522376353111746</v>
      </c>
      <c r="CO76" s="111">
        <f t="shared" si="274"/>
        <v>0.0078140663583199</v>
      </c>
      <c r="CP76" s="112">
        <f t="shared" si="274"/>
        <v>0.00101133890949389</v>
      </c>
      <c r="CQ76" s="111">
        <f t="shared" si="274"/>
        <v>0</v>
      </c>
      <c r="CR76" s="111">
        <f t="shared" si="274"/>
        <v>9.34542956341884e-6</v>
      </c>
      <c r="CS76" s="111">
        <f t="shared" si="274"/>
        <v>0</v>
      </c>
      <c r="CT76" s="111">
        <f t="shared" si="274"/>
        <v>0</v>
      </c>
      <c r="CU76" s="111">
        <f t="shared" si="274"/>
        <v>0</v>
      </c>
      <c r="CV76" s="111">
        <f t="shared" ref="CV76:EA76" si="275">CV36/CV$39</f>
        <v>0</v>
      </c>
      <c r="CW76" s="111">
        <f t="shared" si="275"/>
        <v>0</v>
      </c>
      <c r="CX76" s="111">
        <f t="shared" si="275"/>
        <v>0</v>
      </c>
      <c r="CY76" s="111">
        <f t="shared" si="275"/>
        <v>0</v>
      </c>
      <c r="CZ76" s="111">
        <f t="shared" si="275"/>
        <v>0</v>
      </c>
      <c r="DA76" s="111">
        <f t="shared" si="275"/>
        <v>0.00472395031999188</v>
      </c>
      <c r="DB76" s="111">
        <f t="shared" si="275"/>
        <v>0.00508013236542882</v>
      </c>
      <c r="DC76" s="112">
        <f t="shared" si="275"/>
        <v>0.000780969822793144</v>
      </c>
      <c r="DD76" s="111">
        <f t="shared" si="275"/>
        <v>0.00152620802721807</v>
      </c>
      <c r="DE76" s="111">
        <f t="shared" si="275"/>
        <v>0.00074000885366839</v>
      </c>
      <c r="DF76" s="111">
        <f t="shared" si="275"/>
        <v>0</v>
      </c>
      <c r="DG76" s="111">
        <f t="shared" si="275"/>
        <v>0</v>
      </c>
      <c r="DH76" s="111">
        <f t="shared" si="275"/>
        <v>0</v>
      </c>
      <c r="DI76" s="111">
        <f t="shared" si="275"/>
        <v>0</v>
      </c>
      <c r="DJ76" s="111">
        <f t="shared" si="275"/>
        <v>0</v>
      </c>
      <c r="DK76" s="111">
        <f t="shared" si="275"/>
        <v>0</v>
      </c>
      <c r="DL76" s="111">
        <f t="shared" si="275"/>
        <v>0</v>
      </c>
      <c r="DM76" s="111">
        <f t="shared" si="275"/>
        <v>0</v>
      </c>
      <c r="DN76" s="111">
        <f t="shared" si="275"/>
        <v>0.00398640250841099</v>
      </c>
      <c r="DO76" s="111">
        <f t="shared" si="275"/>
        <v>0.00240854257331583</v>
      </c>
      <c r="DP76" s="112">
        <f t="shared" si="275"/>
        <v>0.000740541436273428</v>
      </c>
      <c r="DQ76" s="111">
        <f t="shared" si="275"/>
        <v>0.000470152134863917</v>
      </c>
      <c r="DR76" s="111">
        <f t="shared" si="275"/>
        <v>0.000413807010817799</v>
      </c>
      <c r="DS76" s="111">
        <f t="shared" si="275"/>
        <v>0.000338119481853938</v>
      </c>
      <c r="DT76" s="111">
        <f t="shared" si="275"/>
        <v>0.000239306342998136</v>
      </c>
      <c r="DU76" s="111">
        <f t="shared" si="275"/>
        <v>0.000118192505642415</v>
      </c>
      <c r="DV76" s="111">
        <f t="shared" si="275"/>
        <v>0.000139739086592638</v>
      </c>
      <c r="DW76" s="111">
        <f t="shared" si="275"/>
        <v>8.42033726954938e-5</v>
      </c>
      <c r="DX76" s="111">
        <f t="shared" si="275"/>
        <v>4.92905028001994e-5</v>
      </c>
      <c r="DY76" s="111">
        <f t="shared" si="275"/>
        <v>0</v>
      </c>
      <c r="DZ76" s="111">
        <f t="shared" si="275"/>
        <v>0</v>
      </c>
      <c r="EA76" s="111">
        <f t="shared" si="275"/>
        <v>0.00321380684524306</v>
      </c>
      <c r="EB76" s="111">
        <f t="shared" ref="EB76:FT76" si="276">EB36/EB$39</f>
        <v>0.00113473178609381</v>
      </c>
      <c r="EC76" s="111">
        <f t="shared" si="276"/>
        <v>0.000506185803807292</v>
      </c>
      <c r="ED76" s="113">
        <f t="shared" si="276"/>
        <v>0</v>
      </c>
      <c r="EE76" s="111">
        <f t="shared" si="276"/>
        <v>0</v>
      </c>
      <c r="EF76" s="111">
        <f t="shared" si="276"/>
        <v>0</v>
      </c>
      <c r="EG76" s="111">
        <f t="shared" si="276"/>
        <v>0</v>
      </c>
      <c r="EH76" s="111" t="e">
        <f t="shared" si="276"/>
        <v>#DIV/0!</v>
      </c>
      <c r="EI76" s="111" t="e">
        <f t="shared" si="276"/>
        <v>#DIV/0!</v>
      </c>
      <c r="EJ76" s="111" t="e">
        <f t="shared" si="276"/>
        <v>#DIV/0!</v>
      </c>
      <c r="EK76" s="111" t="e">
        <f t="shared" si="276"/>
        <v>#DIV/0!</v>
      </c>
      <c r="EL76" s="111" t="e">
        <f t="shared" si="276"/>
        <v>#DIV/0!</v>
      </c>
      <c r="EM76" s="111" t="e">
        <f t="shared" si="276"/>
        <v>#DIV/0!</v>
      </c>
      <c r="EN76" s="111" t="e">
        <f t="shared" si="276"/>
        <v>#DIV/0!</v>
      </c>
      <c r="EO76" s="111" t="e">
        <f t="shared" si="276"/>
        <v>#DIV/0!</v>
      </c>
      <c r="EP76" s="112">
        <f t="shared" si="276"/>
        <v>0</v>
      </c>
      <c r="EQ76" s="111">
        <f t="shared" si="276"/>
        <v>0.00479632604213737</v>
      </c>
      <c r="ER76" s="111">
        <f t="shared" si="276"/>
        <v>0</v>
      </c>
      <c r="ES76" s="111">
        <f t="shared" si="276"/>
        <v>0</v>
      </c>
      <c r="ET76" s="111">
        <f t="shared" si="276"/>
        <v>0</v>
      </c>
      <c r="EU76" s="111">
        <f t="shared" si="276"/>
        <v>0</v>
      </c>
      <c r="EV76" s="111">
        <f t="shared" si="276"/>
        <v>0</v>
      </c>
      <c r="EW76" s="111">
        <f t="shared" si="276"/>
        <v>0</v>
      </c>
      <c r="EX76" s="111">
        <f t="shared" si="276"/>
        <v>0</v>
      </c>
      <c r="EY76" s="111">
        <f t="shared" si="276"/>
        <v>0</v>
      </c>
      <c r="EZ76" s="111">
        <f t="shared" si="276"/>
        <v>0</v>
      </c>
      <c r="FA76" s="111">
        <f t="shared" si="276"/>
        <v>0.00534083528067008</v>
      </c>
      <c r="FB76" s="111">
        <f t="shared" si="276"/>
        <v>0.00665785740991691</v>
      </c>
      <c r="FC76" s="111">
        <f t="shared" si="276"/>
        <v>0.00131329600624721</v>
      </c>
      <c r="FD76" s="113"/>
      <c r="FE76" s="111"/>
      <c r="FF76" s="111"/>
      <c r="FG76" s="111"/>
      <c r="FH76" s="111"/>
      <c r="FI76" s="111"/>
      <c r="FJ76" s="111"/>
      <c r="FK76" s="111"/>
      <c r="FL76" s="111"/>
      <c r="FM76" s="111"/>
      <c r="FN76" s="111"/>
      <c r="FO76" s="111"/>
      <c r="FP76" s="112"/>
      <c r="FQ76" s="113">
        <f t="shared" si="276"/>
        <v>0.00140168938563817</v>
      </c>
      <c r="FR76" s="111">
        <f t="shared" si="276"/>
        <v>0.000458439262774565</v>
      </c>
      <c r="FS76" s="111">
        <f t="shared" si="276"/>
        <v>0.000226388908986774</v>
      </c>
      <c r="FT76" s="111">
        <f t="shared" si="276"/>
        <v>0.000165149041183203</v>
      </c>
      <c r="FU76" s="111">
        <f t="shared" ref="FU76:GC76" si="277">FU36/FU$39</f>
        <v>0.000163830109050108</v>
      </c>
      <c r="FV76" s="111">
        <f t="shared" si="277"/>
        <v>0.000162512150478371</v>
      </c>
      <c r="FW76" s="111">
        <f t="shared" si="277"/>
        <v>0.000130155595152774</v>
      </c>
      <c r="FX76" s="111">
        <f t="shared" si="277"/>
        <v>0.000109557145907566</v>
      </c>
      <c r="FY76" s="111">
        <f t="shared" si="277"/>
        <v>0.000123676634176574</v>
      </c>
      <c r="FZ76" s="111">
        <f t="shared" si="277"/>
        <v>5.76228885946358e-5</v>
      </c>
      <c r="GA76" s="111">
        <f t="shared" si="277"/>
        <v>0.00348267476517148</v>
      </c>
      <c r="GB76" s="111">
        <f t="shared" si="277"/>
        <v>0.000100411789260538</v>
      </c>
      <c r="GC76" s="112">
        <f t="shared" si="277"/>
        <v>0.000628844503235444</v>
      </c>
    </row>
    <row r="77" customHeight="1" spans="1:185">
      <c r="A77" s="114"/>
      <c r="B77" s="115" t="s">
        <v>430</v>
      </c>
      <c r="C77" s="116">
        <f t="shared" si="87"/>
        <v>0.402059325838246</v>
      </c>
      <c r="D77" s="117">
        <f t="shared" ref="D77:AI77" si="278">D37/D$39</f>
        <v>3.67237175359655e-5</v>
      </c>
      <c r="E77" s="117">
        <f t="shared" si="278"/>
        <v>0.000105057205893247</v>
      </c>
      <c r="F77" s="117">
        <f t="shared" si="278"/>
        <v>0.000116227452472482</v>
      </c>
      <c r="G77" s="117">
        <f t="shared" si="278"/>
        <v>3.61518546474441e-5</v>
      </c>
      <c r="H77" s="117">
        <f t="shared" si="278"/>
        <v>6.47021234413676e-5</v>
      </c>
      <c r="I77" s="117">
        <f t="shared" si="278"/>
        <v>1.38306000082751e-6</v>
      </c>
      <c r="J77" s="117">
        <f t="shared" si="278"/>
        <v>5.90995325707034e-7</v>
      </c>
      <c r="K77" s="117">
        <f t="shared" si="278"/>
        <v>0</v>
      </c>
      <c r="L77" s="117">
        <f t="shared" si="278"/>
        <v>0</v>
      </c>
      <c r="M77" s="117">
        <f t="shared" si="278"/>
        <v>0</v>
      </c>
      <c r="N77" s="117">
        <f t="shared" si="278"/>
        <v>0</v>
      </c>
      <c r="O77" s="117">
        <f t="shared" si="278"/>
        <v>0</v>
      </c>
      <c r="P77" s="9">
        <f t="shared" si="278"/>
        <v>3.10634680104122e-5</v>
      </c>
      <c r="Q77" s="117">
        <f t="shared" si="278"/>
        <v>0</v>
      </c>
      <c r="R77" s="117">
        <f t="shared" si="278"/>
        <v>0</v>
      </c>
      <c r="S77" s="117">
        <f t="shared" si="278"/>
        <v>0</v>
      </c>
      <c r="T77" s="117">
        <f t="shared" si="278"/>
        <v>0</v>
      </c>
      <c r="U77" s="117">
        <f t="shared" si="278"/>
        <v>0</v>
      </c>
      <c r="V77" s="117">
        <f t="shared" si="278"/>
        <v>0</v>
      </c>
      <c r="W77" s="117">
        <f t="shared" si="278"/>
        <v>0</v>
      </c>
      <c r="X77" s="117">
        <f t="shared" si="278"/>
        <v>0</v>
      </c>
      <c r="Y77" s="117">
        <f t="shared" si="278"/>
        <v>0</v>
      </c>
      <c r="Z77" s="117">
        <f t="shared" si="278"/>
        <v>0</v>
      </c>
      <c r="AA77" s="117">
        <f t="shared" si="278"/>
        <v>0</v>
      </c>
      <c r="AB77" s="117">
        <f t="shared" si="278"/>
        <v>0</v>
      </c>
      <c r="AC77" s="9">
        <f t="shared" si="278"/>
        <v>0</v>
      </c>
      <c r="AD77" s="117">
        <f t="shared" si="278"/>
        <v>0</v>
      </c>
      <c r="AE77" s="117">
        <f t="shared" si="278"/>
        <v>0</v>
      </c>
      <c r="AF77" s="117">
        <f t="shared" si="278"/>
        <v>0</v>
      </c>
      <c r="AG77" s="117">
        <f t="shared" si="278"/>
        <v>0</v>
      </c>
      <c r="AH77" s="117">
        <f t="shared" si="278"/>
        <v>0</v>
      </c>
      <c r="AI77" s="117">
        <f t="shared" si="278"/>
        <v>0</v>
      </c>
      <c r="AJ77" s="117">
        <f t="shared" ref="AJ77:BO77" si="279">AJ37/AJ$39</f>
        <v>0</v>
      </c>
      <c r="AK77" s="117">
        <f t="shared" si="279"/>
        <v>0</v>
      </c>
      <c r="AL77" s="117">
        <f t="shared" si="279"/>
        <v>0</v>
      </c>
      <c r="AM77" s="117">
        <f t="shared" si="279"/>
        <v>0</v>
      </c>
      <c r="AN77" s="117">
        <f t="shared" si="279"/>
        <v>0</v>
      </c>
      <c r="AO77" s="117">
        <f t="shared" si="279"/>
        <v>0</v>
      </c>
      <c r="AP77" s="9">
        <f t="shared" si="279"/>
        <v>0</v>
      </c>
      <c r="AQ77" s="117">
        <f t="shared" si="279"/>
        <v>0</v>
      </c>
      <c r="AR77" s="117">
        <f t="shared" si="279"/>
        <v>0</v>
      </c>
      <c r="AS77" s="117">
        <f t="shared" si="279"/>
        <v>0</v>
      </c>
      <c r="AT77" s="117">
        <f t="shared" si="279"/>
        <v>0</v>
      </c>
      <c r="AU77" s="117">
        <f t="shared" si="279"/>
        <v>0</v>
      </c>
      <c r="AV77" s="117">
        <f t="shared" si="279"/>
        <v>0</v>
      </c>
      <c r="AW77" s="117">
        <f t="shared" si="279"/>
        <v>0</v>
      </c>
      <c r="AX77" s="117">
        <f t="shared" si="279"/>
        <v>0</v>
      </c>
      <c r="AY77" s="117">
        <f t="shared" si="279"/>
        <v>0</v>
      </c>
      <c r="AZ77" s="117">
        <f t="shared" si="279"/>
        <v>0</v>
      </c>
      <c r="BA77" s="117">
        <f t="shared" si="279"/>
        <v>0</v>
      </c>
      <c r="BB77" s="117">
        <f t="shared" si="279"/>
        <v>0</v>
      </c>
      <c r="BC77" s="9">
        <f t="shared" si="279"/>
        <v>0</v>
      </c>
      <c r="BD77" s="117">
        <f t="shared" si="279"/>
        <v>0</v>
      </c>
      <c r="BE77" s="117">
        <f t="shared" si="279"/>
        <v>0</v>
      </c>
      <c r="BF77" s="117">
        <f t="shared" si="279"/>
        <v>0</v>
      </c>
      <c r="BG77" s="117">
        <f t="shared" si="279"/>
        <v>0</v>
      </c>
      <c r="BH77" s="117">
        <f t="shared" si="279"/>
        <v>0</v>
      </c>
      <c r="BI77" s="117">
        <f t="shared" si="279"/>
        <v>0</v>
      </c>
      <c r="BJ77" s="117">
        <f t="shared" si="279"/>
        <v>0</v>
      </c>
      <c r="BK77" s="117">
        <f t="shared" si="279"/>
        <v>0</v>
      </c>
      <c r="BL77" s="117">
        <f t="shared" si="279"/>
        <v>0</v>
      </c>
      <c r="BM77" s="117">
        <f t="shared" si="279"/>
        <v>0</v>
      </c>
      <c r="BN77" s="117">
        <f t="shared" si="279"/>
        <v>0</v>
      </c>
      <c r="BO77" s="117">
        <f t="shared" si="279"/>
        <v>0</v>
      </c>
      <c r="BP77" s="9">
        <f t="shared" ref="BP77:CU77" si="280">BP37/BP$39</f>
        <v>0</v>
      </c>
      <c r="BQ77" s="117">
        <f t="shared" si="280"/>
        <v>0.000111967561190983</v>
      </c>
      <c r="BR77" s="117">
        <f t="shared" si="280"/>
        <v>1.3124728916723e-6</v>
      </c>
      <c r="BS77" s="117">
        <f t="shared" si="280"/>
        <v>1.54656422542212e-6</v>
      </c>
      <c r="BT77" s="117">
        <f t="shared" si="280"/>
        <v>0</v>
      </c>
      <c r="BU77" s="117">
        <f t="shared" si="280"/>
        <v>0</v>
      </c>
      <c r="BV77" s="117">
        <f t="shared" si="280"/>
        <v>0</v>
      </c>
      <c r="BW77" s="117">
        <f t="shared" si="280"/>
        <v>0</v>
      </c>
      <c r="BX77" s="117">
        <f t="shared" si="280"/>
        <v>0</v>
      </c>
      <c r="BY77" s="117">
        <f t="shared" si="280"/>
        <v>0</v>
      </c>
      <c r="BZ77" s="117">
        <f t="shared" si="280"/>
        <v>0</v>
      </c>
      <c r="CA77" s="117">
        <f t="shared" si="280"/>
        <v>0</v>
      </c>
      <c r="CB77" s="117">
        <f t="shared" si="280"/>
        <v>0</v>
      </c>
      <c r="CC77" s="9">
        <f t="shared" si="280"/>
        <v>1.51884843859807e-5</v>
      </c>
      <c r="CD77" s="117">
        <f t="shared" si="280"/>
        <v>0.000603855817169918</v>
      </c>
      <c r="CE77" s="117">
        <f t="shared" si="280"/>
        <v>0.00116924896795861</v>
      </c>
      <c r="CF77" s="117">
        <f t="shared" si="280"/>
        <v>0.00353235844661188</v>
      </c>
      <c r="CG77" s="117">
        <f t="shared" si="280"/>
        <v>0.0013092526245576</v>
      </c>
      <c r="CH77" s="117">
        <f t="shared" si="280"/>
        <v>0.00158995727108454</v>
      </c>
      <c r="CI77" s="117">
        <f t="shared" si="280"/>
        <v>0</v>
      </c>
      <c r="CJ77" s="117">
        <f t="shared" si="280"/>
        <v>0</v>
      </c>
      <c r="CK77" s="117">
        <f t="shared" si="280"/>
        <v>0</v>
      </c>
      <c r="CL77" s="117">
        <f t="shared" si="280"/>
        <v>0</v>
      </c>
      <c r="CM77" s="117">
        <f t="shared" si="280"/>
        <v>0</v>
      </c>
      <c r="CN77" s="117">
        <f t="shared" si="280"/>
        <v>0</v>
      </c>
      <c r="CO77" s="117">
        <f t="shared" si="280"/>
        <v>0</v>
      </c>
      <c r="CP77" s="9">
        <f t="shared" si="280"/>
        <v>0.000580911486553393</v>
      </c>
      <c r="CQ77" s="117">
        <f t="shared" si="280"/>
        <v>0</v>
      </c>
      <c r="CR77" s="117">
        <f t="shared" si="280"/>
        <v>0</v>
      </c>
      <c r="CS77" s="117">
        <f t="shared" si="280"/>
        <v>0</v>
      </c>
      <c r="CT77" s="117">
        <f t="shared" si="280"/>
        <v>0</v>
      </c>
      <c r="CU77" s="117">
        <f t="shared" si="280"/>
        <v>0</v>
      </c>
      <c r="CV77" s="117">
        <f t="shared" ref="CV77:EA77" si="281">CV37/CV$39</f>
        <v>0</v>
      </c>
      <c r="CW77" s="117">
        <f t="shared" si="281"/>
        <v>0</v>
      </c>
      <c r="CX77" s="117">
        <f t="shared" si="281"/>
        <v>0</v>
      </c>
      <c r="CY77" s="117">
        <f t="shared" si="281"/>
        <v>0</v>
      </c>
      <c r="CZ77" s="117">
        <f t="shared" si="281"/>
        <v>0</v>
      </c>
      <c r="DA77" s="117">
        <f t="shared" si="281"/>
        <v>0</v>
      </c>
      <c r="DB77" s="117">
        <f t="shared" si="281"/>
        <v>0</v>
      </c>
      <c r="DC77" s="9">
        <f t="shared" si="281"/>
        <v>0</v>
      </c>
      <c r="DD77" s="117">
        <f t="shared" si="281"/>
        <v>0</v>
      </c>
      <c r="DE77" s="117">
        <f t="shared" si="281"/>
        <v>0.00219942488155066</v>
      </c>
      <c r="DF77" s="117">
        <f t="shared" si="281"/>
        <v>0.00204126432377768</v>
      </c>
      <c r="DG77" s="117">
        <f t="shared" si="281"/>
        <v>3.86784333984677e-5</v>
      </c>
      <c r="DH77" s="117">
        <f t="shared" si="281"/>
        <v>0.00177777565333854</v>
      </c>
      <c r="DI77" s="117">
        <f t="shared" si="281"/>
        <v>0</v>
      </c>
      <c r="DJ77" s="117">
        <f t="shared" si="281"/>
        <v>0</v>
      </c>
      <c r="DK77" s="117">
        <f t="shared" si="281"/>
        <v>0</v>
      </c>
      <c r="DL77" s="117">
        <f t="shared" si="281"/>
        <v>0</v>
      </c>
      <c r="DM77" s="117">
        <f t="shared" si="281"/>
        <v>0</v>
      </c>
      <c r="DN77" s="117">
        <f t="shared" si="281"/>
        <v>0</v>
      </c>
      <c r="DO77" s="117">
        <f t="shared" si="281"/>
        <v>0</v>
      </c>
      <c r="DP77" s="9">
        <f t="shared" si="281"/>
        <v>0.000566266736275675</v>
      </c>
      <c r="DQ77" s="117">
        <f t="shared" si="281"/>
        <v>0</v>
      </c>
      <c r="DR77" s="117">
        <f t="shared" si="281"/>
        <v>0.000900328963203881</v>
      </c>
      <c r="DS77" s="117">
        <f t="shared" si="281"/>
        <v>0.000594352270860588</v>
      </c>
      <c r="DT77" s="117">
        <f t="shared" si="281"/>
        <v>4.23793319532392e-6</v>
      </c>
      <c r="DU77" s="117">
        <f t="shared" si="281"/>
        <v>1.04656194776198e-5</v>
      </c>
      <c r="DV77" s="117">
        <f t="shared" si="281"/>
        <v>1.54725033204941e-5</v>
      </c>
      <c r="DW77" s="117">
        <f t="shared" si="281"/>
        <v>7.45868315241421e-6</v>
      </c>
      <c r="DX77" s="117">
        <f t="shared" si="281"/>
        <v>0</v>
      </c>
      <c r="DY77" s="117">
        <f t="shared" si="281"/>
        <v>0</v>
      </c>
      <c r="DZ77" s="117">
        <f t="shared" si="281"/>
        <v>0</v>
      </c>
      <c r="EA77" s="117">
        <f t="shared" si="281"/>
        <v>0</v>
      </c>
      <c r="EB77" s="117">
        <f t="shared" ref="EB77:FT77" si="282">EB37/EB$39</f>
        <v>0</v>
      </c>
      <c r="EC77" s="117">
        <f t="shared" si="282"/>
        <v>0.000134999653629874</v>
      </c>
      <c r="ED77" s="118">
        <f t="shared" si="282"/>
        <v>0</v>
      </c>
      <c r="EE77" s="117">
        <f t="shared" si="282"/>
        <v>0</v>
      </c>
      <c r="EF77" s="117">
        <f t="shared" si="282"/>
        <v>0</v>
      </c>
      <c r="EG77" s="117">
        <f t="shared" si="282"/>
        <v>0</v>
      </c>
      <c r="EH77" s="117" t="e">
        <f t="shared" si="282"/>
        <v>#DIV/0!</v>
      </c>
      <c r="EI77" s="117" t="e">
        <f t="shared" si="282"/>
        <v>#DIV/0!</v>
      </c>
      <c r="EJ77" s="117" t="e">
        <f t="shared" si="282"/>
        <v>#DIV/0!</v>
      </c>
      <c r="EK77" s="117" t="e">
        <f t="shared" si="282"/>
        <v>#DIV/0!</v>
      </c>
      <c r="EL77" s="117" t="e">
        <f t="shared" si="282"/>
        <v>#DIV/0!</v>
      </c>
      <c r="EM77" s="117" t="e">
        <f t="shared" si="282"/>
        <v>#DIV/0!</v>
      </c>
      <c r="EN77" s="117" t="e">
        <f t="shared" si="282"/>
        <v>#DIV/0!</v>
      </c>
      <c r="EO77" s="117" t="e">
        <f t="shared" si="282"/>
        <v>#DIV/0!</v>
      </c>
      <c r="EP77" s="9">
        <f t="shared" si="282"/>
        <v>0</v>
      </c>
      <c r="EQ77" s="117">
        <f t="shared" si="282"/>
        <v>0</v>
      </c>
      <c r="ER77" s="117">
        <f t="shared" si="282"/>
        <v>0</v>
      </c>
      <c r="ES77" s="117">
        <f t="shared" si="282"/>
        <v>0</v>
      </c>
      <c r="ET77" s="117">
        <f t="shared" si="282"/>
        <v>0</v>
      </c>
      <c r="EU77" s="117">
        <f t="shared" si="282"/>
        <v>0</v>
      </c>
      <c r="EV77" s="117">
        <f t="shared" si="282"/>
        <v>0</v>
      </c>
      <c r="EW77" s="117">
        <f t="shared" si="282"/>
        <v>0</v>
      </c>
      <c r="EX77" s="117">
        <f t="shared" si="282"/>
        <v>0</v>
      </c>
      <c r="EY77" s="117">
        <f t="shared" si="282"/>
        <v>0</v>
      </c>
      <c r="EZ77" s="117">
        <f t="shared" si="282"/>
        <v>0</v>
      </c>
      <c r="FA77" s="117">
        <f t="shared" si="282"/>
        <v>0</v>
      </c>
      <c r="FB77" s="117">
        <f t="shared" si="282"/>
        <v>0</v>
      </c>
      <c r="FC77" s="117">
        <f t="shared" si="282"/>
        <v>0</v>
      </c>
      <c r="FD77" s="118"/>
      <c r="FE77" s="117"/>
      <c r="FF77" s="117"/>
      <c r="FG77" s="117"/>
      <c r="FH77" s="117"/>
      <c r="FI77" s="117"/>
      <c r="FJ77" s="117"/>
      <c r="FK77" s="117"/>
      <c r="FL77" s="117"/>
      <c r="FM77" s="117"/>
      <c r="FN77" s="117"/>
      <c r="FO77" s="117"/>
      <c r="FP77" s="9"/>
      <c r="FQ77" s="118">
        <f t="shared" si="282"/>
        <v>0</v>
      </c>
      <c r="FR77" s="117">
        <f t="shared" si="282"/>
        <v>0</v>
      </c>
      <c r="FS77" s="117">
        <f t="shared" si="282"/>
        <v>5.01703995647926e-6</v>
      </c>
      <c r="FT77" s="117">
        <f t="shared" si="282"/>
        <v>3.44975877471799e-6</v>
      </c>
      <c r="FU77" s="117">
        <f t="shared" ref="FU77:GC77" si="283">FU37/FU$39</f>
        <v>0</v>
      </c>
      <c r="FV77" s="117">
        <f t="shared" si="283"/>
        <v>0</v>
      </c>
      <c r="FW77" s="117">
        <f t="shared" si="283"/>
        <v>0</v>
      </c>
      <c r="FX77" s="117">
        <f t="shared" si="283"/>
        <v>0</v>
      </c>
      <c r="FY77" s="117">
        <f t="shared" si="283"/>
        <v>0</v>
      </c>
      <c r="FZ77" s="117">
        <f t="shared" si="283"/>
        <v>0</v>
      </c>
      <c r="GA77" s="117">
        <f t="shared" si="283"/>
        <v>0</v>
      </c>
      <c r="GB77" s="117">
        <f t="shared" si="283"/>
        <v>0</v>
      </c>
      <c r="GC77" s="9">
        <f t="shared" si="283"/>
        <v>7.20345431962074e-7</v>
      </c>
    </row>
    <row r="78" s="56" customFormat="1" ht="16.5" spans="1:185">
      <c r="A78" s="88" t="s">
        <v>431</v>
      </c>
      <c r="B78" s="119"/>
      <c r="C78" s="120">
        <f t="shared" si="87"/>
        <v>-0.384651976459965</v>
      </c>
      <c r="D78" s="121">
        <f t="shared" ref="D78:AI78" si="284">D38/D$39</f>
        <v>0.00055259909580536</v>
      </c>
      <c r="E78" s="121">
        <f t="shared" si="284"/>
        <v>0.000291291243255797</v>
      </c>
      <c r="F78" s="121">
        <f t="shared" si="284"/>
        <v>0.000239877779135769</v>
      </c>
      <c r="G78" s="121">
        <f t="shared" si="284"/>
        <v>0.000107294802434381</v>
      </c>
      <c r="H78" s="121">
        <f t="shared" si="284"/>
        <v>0.000122391587892116</v>
      </c>
      <c r="I78" s="121">
        <f t="shared" si="284"/>
        <v>4.55846853741731e-5</v>
      </c>
      <c r="J78" s="121">
        <f t="shared" si="284"/>
        <v>3.73745958351842e-5</v>
      </c>
      <c r="K78" s="121">
        <f t="shared" si="284"/>
        <v>2.99276067026627e-5</v>
      </c>
      <c r="L78" s="121">
        <f t="shared" si="284"/>
        <v>2.70304703743932e-5</v>
      </c>
      <c r="M78" s="121">
        <f t="shared" si="284"/>
        <v>1.35590711418723e-5</v>
      </c>
      <c r="N78" s="121">
        <f t="shared" si="284"/>
        <v>0.0040820643221668</v>
      </c>
      <c r="O78" s="121">
        <f t="shared" si="284"/>
        <v>0.00127278910314209</v>
      </c>
      <c r="P78" s="122">
        <f t="shared" si="284"/>
        <v>0.000598720641015129</v>
      </c>
      <c r="Q78" s="121">
        <f t="shared" si="284"/>
        <v>9.48344566937438e-6</v>
      </c>
      <c r="R78" s="121">
        <f t="shared" si="284"/>
        <v>6.24942644498525e-5</v>
      </c>
      <c r="S78" s="121">
        <f t="shared" si="284"/>
        <v>5.24489288947984e-5</v>
      </c>
      <c r="T78" s="121">
        <f t="shared" si="284"/>
        <v>2.51087137043148e-5</v>
      </c>
      <c r="U78" s="121">
        <f t="shared" si="284"/>
        <v>5.46758495051141e-5</v>
      </c>
      <c r="V78" s="121">
        <f t="shared" si="284"/>
        <v>0</v>
      </c>
      <c r="W78" s="121">
        <f t="shared" si="284"/>
        <v>0</v>
      </c>
      <c r="X78" s="121">
        <f t="shared" si="284"/>
        <v>0</v>
      </c>
      <c r="Y78" s="121">
        <f t="shared" si="284"/>
        <v>0</v>
      </c>
      <c r="Z78" s="121">
        <f t="shared" si="284"/>
        <v>0</v>
      </c>
      <c r="AA78" s="121">
        <f t="shared" si="284"/>
        <v>0.000458488449239675</v>
      </c>
      <c r="AB78" s="121">
        <f t="shared" si="284"/>
        <v>0.000485142325962448</v>
      </c>
      <c r="AC78" s="122">
        <f t="shared" si="284"/>
        <v>9.78433162162132e-5</v>
      </c>
      <c r="AD78" s="121">
        <f t="shared" si="284"/>
        <v>0</v>
      </c>
      <c r="AE78" s="121">
        <f t="shared" si="284"/>
        <v>0</v>
      </c>
      <c r="AF78" s="121">
        <f t="shared" si="284"/>
        <v>0</v>
      </c>
      <c r="AG78" s="121">
        <f t="shared" si="284"/>
        <v>0</v>
      </c>
      <c r="AH78" s="121">
        <f t="shared" si="284"/>
        <v>0</v>
      </c>
      <c r="AI78" s="121">
        <f t="shared" si="284"/>
        <v>0</v>
      </c>
      <c r="AJ78" s="121">
        <f t="shared" ref="AJ78:BO78" si="285">AJ38/AJ$39</f>
        <v>0</v>
      </c>
      <c r="AK78" s="121">
        <f t="shared" si="285"/>
        <v>0</v>
      </c>
      <c r="AL78" s="121">
        <f t="shared" si="285"/>
        <v>0</v>
      </c>
      <c r="AM78" s="121">
        <f t="shared" si="285"/>
        <v>0</v>
      </c>
      <c r="AN78" s="121">
        <f t="shared" si="285"/>
        <v>0</v>
      </c>
      <c r="AO78" s="121">
        <f t="shared" si="285"/>
        <v>0</v>
      </c>
      <c r="AP78" s="122">
        <f t="shared" si="285"/>
        <v>0</v>
      </c>
      <c r="AQ78" s="121">
        <f t="shared" si="285"/>
        <v>0.000186731743348598</v>
      </c>
      <c r="AR78" s="121">
        <f t="shared" si="285"/>
        <v>0.000229592120961021</v>
      </c>
      <c r="AS78" s="121">
        <f t="shared" si="285"/>
        <v>0.000182551469825979</v>
      </c>
      <c r="AT78" s="121">
        <f t="shared" si="285"/>
        <v>5.14165615309013e-5</v>
      </c>
      <c r="AU78" s="121">
        <f t="shared" si="285"/>
        <v>6.64982706668261e-5</v>
      </c>
      <c r="AV78" s="121">
        <f t="shared" si="285"/>
        <v>0</v>
      </c>
      <c r="AW78" s="121">
        <f t="shared" si="285"/>
        <v>0</v>
      </c>
      <c r="AX78" s="121">
        <f t="shared" si="285"/>
        <v>0</v>
      </c>
      <c r="AY78" s="121">
        <f t="shared" si="285"/>
        <v>0</v>
      </c>
      <c r="AZ78" s="121">
        <f t="shared" si="285"/>
        <v>0</v>
      </c>
      <c r="BA78" s="121">
        <f t="shared" si="285"/>
        <v>0.00532626148045564</v>
      </c>
      <c r="BB78" s="121">
        <f t="shared" si="285"/>
        <v>0</v>
      </c>
      <c r="BC78" s="122">
        <f t="shared" si="285"/>
        <v>0.000544445665538775</v>
      </c>
      <c r="BD78" s="121">
        <f t="shared" si="285"/>
        <v>0</v>
      </c>
      <c r="BE78" s="121">
        <f t="shared" si="285"/>
        <v>0</v>
      </c>
      <c r="BF78" s="121">
        <f t="shared" si="285"/>
        <v>0</v>
      </c>
      <c r="BG78" s="121">
        <f t="shared" si="285"/>
        <v>0</v>
      </c>
      <c r="BH78" s="121">
        <f t="shared" si="285"/>
        <v>0</v>
      </c>
      <c r="BI78" s="121">
        <f t="shared" si="285"/>
        <v>0</v>
      </c>
      <c r="BJ78" s="121">
        <f t="shared" si="285"/>
        <v>0</v>
      </c>
      <c r="BK78" s="121">
        <f t="shared" si="285"/>
        <v>0</v>
      </c>
      <c r="BL78" s="121">
        <f t="shared" si="285"/>
        <v>0</v>
      </c>
      <c r="BM78" s="121">
        <f t="shared" si="285"/>
        <v>0</v>
      </c>
      <c r="BN78" s="121">
        <f t="shared" si="285"/>
        <v>0.00248053967827798</v>
      </c>
      <c r="BO78" s="121">
        <f t="shared" si="285"/>
        <v>0.00514537625723984</v>
      </c>
      <c r="BP78" s="122">
        <f t="shared" ref="BP78:CU78" si="286">BP38/BP$39</f>
        <v>0.000664472868100774</v>
      </c>
      <c r="BQ78" s="121">
        <f t="shared" si="286"/>
        <v>0.000163463796554482</v>
      </c>
      <c r="BR78" s="121">
        <f t="shared" si="286"/>
        <v>5.67260821237494e-5</v>
      </c>
      <c r="BS78" s="121">
        <f t="shared" si="286"/>
        <v>8.13538251481183e-5</v>
      </c>
      <c r="BT78" s="121">
        <f t="shared" si="286"/>
        <v>8.80038396857379e-6</v>
      </c>
      <c r="BU78" s="121">
        <f t="shared" si="286"/>
        <v>9.41549473297651e-6</v>
      </c>
      <c r="BV78" s="121">
        <f t="shared" si="286"/>
        <v>0</v>
      </c>
      <c r="BW78" s="121">
        <f t="shared" si="286"/>
        <v>0</v>
      </c>
      <c r="BX78" s="121">
        <f t="shared" si="286"/>
        <v>0</v>
      </c>
      <c r="BY78" s="121">
        <f t="shared" si="286"/>
        <v>0</v>
      </c>
      <c r="BZ78" s="121">
        <f t="shared" si="286"/>
        <v>0</v>
      </c>
      <c r="CA78" s="121">
        <f t="shared" si="286"/>
        <v>0.00969906520562452</v>
      </c>
      <c r="CB78" s="121">
        <f t="shared" si="286"/>
        <v>0</v>
      </c>
      <c r="CC78" s="122">
        <f t="shared" si="286"/>
        <v>0.000825207312731952</v>
      </c>
      <c r="CD78" s="121">
        <f t="shared" si="286"/>
        <v>0.000684711103360305</v>
      </c>
      <c r="CE78" s="121">
        <f t="shared" si="286"/>
        <v>0.0013070677307004</v>
      </c>
      <c r="CF78" s="121">
        <f t="shared" si="286"/>
        <v>0.00364679247632507</v>
      </c>
      <c r="CG78" s="121">
        <f t="shared" si="286"/>
        <v>0.0013092526245576</v>
      </c>
      <c r="CH78" s="121">
        <f t="shared" si="286"/>
        <v>0.00158995727108454</v>
      </c>
      <c r="CI78" s="121">
        <f t="shared" si="286"/>
        <v>0</v>
      </c>
      <c r="CJ78" s="121">
        <f t="shared" si="286"/>
        <v>0</v>
      </c>
      <c r="CK78" s="121">
        <f t="shared" si="286"/>
        <v>0</v>
      </c>
      <c r="CL78" s="121">
        <f t="shared" si="286"/>
        <v>0</v>
      </c>
      <c r="CM78" s="121">
        <f t="shared" si="286"/>
        <v>0</v>
      </c>
      <c r="CN78" s="121">
        <f t="shared" si="286"/>
        <v>0.00522376353111746</v>
      </c>
      <c r="CO78" s="121">
        <f t="shared" si="286"/>
        <v>0.0078140663583199</v>
      </c>
      <c r="CP78" s="122">
        <f t="shared" si="286"/>
        <v>0.00159225039604728</v>
      </c>
      <c r="CQ78" s="121">
        <f t="shared" si="286"/>
        <v>0</v>
      </c>
      <c r="CR78" s="121">
        <f t="shared" si="286"/>
        <v>9.34542956341884e-6</v>
      </c>
      <c r="CS78" s="121">
        <f t="shared" si="286"/>
        <v>0</v>
      </c>
      <c r="CT78" s="121">
        <f t="shared" si="286"/>
        <v>0</v>
      </c>
      <c r="CU78" s="121">
        <f t="shared" si="286"/>
        <v>0</v>
      </c>
      <c r="CV78" s="121">
        <f t="shared" ref="CV78:EA78" si="287">CV38/CV$39</f>
        <v>0</v>
      </c>
      <c r="CW78" s="121">
        <f t="shared" si="287"/>
        <v>0</v>
      </c>
      <c r="CX78" s="121">
        <f t="shared" si="287"/>
        <v>0</v>
      </c>
      <c r="CY78" s="121">
        <f t="shared" si="287"/>
        <v>0</v>
      </c>
      <c r="CZ78" s="121">
        <f t="shared" si="287"/>
        <v>0</v>
      </c>
      <c r="DA78" s="121">
        <f t="shared" si="287"/>
        <v>0.00472395031999188</v>
      </c>
      <c r="DB78" s="121">
        <f t="shared" si="287"/>
        <v>0.00508013236542882</v>
      </c>
      <c r="DC78" s="122">
        <f t="shared" si="287"/>
        <v>0.000780969822793144</v>
      </c>
      <c r="DD78" s="121">
        <f t="shared" si="287"/>
        <v>0.00152620802721807</v>
      </c>
      <c r="DE78" s="121">
        <f t="shared" si="287"/>
        <v>0.00293943373521905</v>
      </c>
      <c r="DF78" s="121">
        <f t="shared" si="287"/>
        <v>0.00204126432377768</v>
      </c>
      <c r="DG78" s="121">
        <f t="shared" si="287"/>
        <v>3.86784333984677e-5</v>
      </c>
      <c r="DH78" s="121">
        <f t="shared" si="287"/>
        <v>0.00177777565333854</v>
      </c>
      <c r="DI78" s="121">
        <f t="shared" si="287"/>
        <v>0</v>
      </c>
      <c r="DJ78" s="121">
        <f t="shared" si="287"/>
        <v>0</v>
      </c>
      <c r="DK78" s="121">
        <f t="shared" si="287"/>
        <v>0</v>
      </c>
      <c r="DL78" s="121">
        <f t="shared" si="287"/>
        <v>0</v>
      </c>
      <c r="DM78" s="121">
        <f t="shared" si="287"/>
        <v>0</v>
      </c>
      <c r="DN78" s="121">
        <f t="shared" si="287"/>
        <v>0.00398640250841099</v>
      </c>
      <c r="DO78" s="121">
        <f t="shared" si="287"/>
        <v>0.00240854257331583</v>
      </c>
      <c r="DP78" s="122">
        <f t="shared" si="287"/>
        <v>0.0013068081725491</v>
      </c>
      <c r="DQ78" s="121">
        <f t="shared" si="287"/>
        <v>0.000470152134863917</v>
      </c>
      <c r="DR78" s="121">
        <f t="shared" si="287"/>
        <v>0.00131413597402168</v>
      </c>
      <c r="DS78" s="121">
        <f t="shared" si="287"/>
        <v>0.000932471752714525</v>
      </c>
      <c r="DT78" s="121">
        <f t="shared" si="287"/>
        <v>0.00024354427619346</v>
      </c>
      <c r="DU78" s="121">
        <f t="shared" si="287"/>
        <v>0.000128658125120035</v>
      </c>
      <c r="DV78" s="121">
        <f t="shared" si="287"/>
        <v>0.000155211589913133</v>
      </c>
      <c r="DW78" s="121">
        <f t="shared" si="287"/>
        <v>9.1662055847908e-5</v>
      </c>
      <c r="DX78" s="121">
        <f t="shared" si="287"/>
        <v>4.92905028001994e-5</v>
      </c>
      <c r="DY78" s="121">
        <f t="shared" si="287"/>
        <v>0</v>
      </c>
      <c r="DZ78" s="121">
        <f t="shared" si="287"/>
        <v>0</v>
      </c>
      <c r="EA78" s="121">
        <f t="shared" si="287"/>
        <v>0.00321380684524306</v>
      </c>
      <c r="EB78" s="121">
        <f t="shared" ref="EB78:FT78" si="288">EB38/EB$39</f>
        <v>0.00113473178609381</v>
      </c>
      <c r="EC78" s="121">
        <f t="shared" si="288"/>
        <v>0.000641185457437166</v>
      </c>
      <c r="ED78" s="123">
        <f t="shared" si="288"/>
        <v>0</v>
      </c>
      <c r="EE78" s="121">
        <f t="shared" si="288"/>
        <v>0</v>
      </c>
      <c r="EF78" s="121">
        <f t="shared" si="288"/>
        <v>0</v>
      </c>
      <c r="EG78" s="121">
        <f t="shared" si="288"/>
        <v>0</v>
      </c>
      <c r="EH78" s="121" t="e">
        <f t="shared" si="288"/>
        <v>#DIV/0!</v>
      </c>
      <c r="EI78" s="121" t="e">
        <f t="shared" si="288"/>
        <v>#DIV/0!</v>
      </c>
      <c r="EJ78" s="121" t="e">
        <f t="shared" si="288"/>
        <v>#DIV/0!</v>
      </c>
      <c r="EK78" s="121" t="e">
        <f t="shared" si="288"/>
        <v>#DIV/0!</v>
      </c>
      <c r="EL78" s="121" t="e">
        <f t="shared" si="288"/>
        <v>#DIV/0!</v>
      </c>
      <c r="EM78" s="121" t="e">
        <f t="shared" si="288"/>
        <v>#DIV/0!</v>
      </c>
      <c r="EN78" s="121" t="e">
        <f t="shared" si="288"/>
        <v>#DIV/0!</v>
      </c>
      <c r="EO78" s="121" t="e">
        <f t="shared" si="288"/>
        <v>#DIV/0!</v>
      </c>
      <c r="EP78" s="122">
        <f t="shared" si="288"/>
        <v>0</v>
      </c>
      <c r="EQ78" s="121">
        <f t="shared" si="288"/>
        <v>0.00479632604213737</v>
      </c>
      <c r="ER78" s="121">
        <f t="shared" si="288"/>
        <v>0</v>
      </c>
      <c r="ES78" s="121">
        <f t="shared" si="288"/>
        <v>0</v>
      </c>
      <c r="ET78" s="121">
        <f t="shared" si="288"/>
        <v>0</v>
      </c>
      <c r="EU78" s="121">
        <f t="shared" si="288"/>
        <v>0</v>
      </c>
      <c r="EV78" s="121">
        <f t="shared" si="288"/>
        <v>0</v>
      </c>
      <c r="EW78" s="121">
        <f t="shared" si="288"/>
        <v>0</v>
      </c>
      <c r="EX78" s="121">
        <f t="shared" si="288"/>
        <v>0</v>
      </c>
      <c r="EY78" s="121">
        <f t="shared" si="288"/>
        <v>0</v>
      </c>
      <c r="EZ78" s="121">
        <f t="shared" si="288"/>
        <v>0</v>
      </c>
      <c r="FA78" s="121">
        <f t="shared" si="288"/>
        <v>0.00534083528067008</v>
      </c>
      <c r="FB78" s="121">
        <f t="shared" si="288"/>
        <v>0.00665785740991691</v>
      </c>
      <c r="FC78" s="121">
        <f t="shared" si="288"/>
        <v>0.00131329600624721</v>
      </c>
      <c r="FD78" s="123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2"/>
      <c r="FQ78" s="123">
        <f t="shared" si="288"/>
        <v>0.00140168938563817</v>
      </c>
      <c r="FR78" s="121">
        <f t="shared" si="288"/>
        <v>0.000458439262774565</v>
      </c>
      <c r="FS78" s="121">
        <f t="shared" si="288"/>
        <v>0.000231405948943254</v>
      </c>
      <c r="FT78" s="121">
        <f t="shared" si="288"/>
        <v>0.000168598799957921</v>
      </c>
      <c r="FU78" s="121">
        <f t="shared" ref="FU78:GC78" si="289">FU38/FU$39</f>
        <v>0.000163830109050108</v>
      </c>
      <c r="FV78" s="121">
        <f t="shared" si="289"/>
        <v>0.000162512150478371</v>
      </c>
      <c r="FW78" s="121">
        <f t="shared" si="289"/>
        <v>0.000130155595152774</v>
      </c>
      <c r="FX78" s="121">
        <f t="shared" si="289"/>
        <v>0.000109557145907566</v>
      </c>
      <c r="FY78" s="121">
        <f t="shared" si="289"/>
        <v>0.000123676634176574</v>
      </c>
      <c r="FZ78" s="121">
        <f t="shared" si="289"/>
        <v>5.76228885946358e-5</v>
      </c>
      <c r="GA78" s="121">
        <f t="shared" si="289"/>
        <v>0.00348267476517148</v>
      </c>
      <c r="GB78" s="121">
        <f t="shared" si="289"/>
        <v>0.000100411789260538</v>
      </c>
      <c r="GC78" s="122">
        <f t="shared" si="289"/>
        <v>0.000629564848667406</v>
      </c>
    </row>
    <row r="79" ht="16.5" spans="1:185">
      <c r="A79" s="124" t="s">
        <v>305</v>
      </c>
      <c r="B79" s="124"/>
      <c r="C79" s="125">
        <f t="shared" si="87"/>
        <v>-0.371126171810626</v>
      </c>
      <c r="D79" s="126">
        <f t="shared" ref="D79:BO79" si="290">D39/D$39</f>
        <v>1</v>
      </c>
      <c r="E79" s="126">
        <f t="shared" si="290"/>
        <v>1</v>
      </c>
      <c r="F79" s="126">
        <f t="shared" si="290"/>
        <v>1</v>
      </c>
      <c r="G79" s="126">
        <f t="shared" si="290"/>
        <v>1</v>
      </c>
      <c r="H79" s="126">
        <f t="shared" si="290"/>
        <v>1</v>
      </c>
      <c r="I79" s="126">
        <f t="shared" si="290"/>
        <v>1</v>
      </c>
      <c r="J79" s="126">
        <f t="shared" si="290"/>
        <v>1</v>
      </c>
      <c r="K79" s="126">
        <f t="shared" si="290"/>
        <v>1</v>
      </c>
      <c r="L79" s="126">
        <f t="shared" si="290"/>
        <v>1</v>
      </c>
      <c r="M79" s="126">
        <f t="shared" si="290"/>
        <v>1</v>
      </c>
      <c r="N79" s="126">
        <f t="shared" si="290"/>
        <v>1</v>
      </c>
      <c r="O79" s="126">
        <f t="shared" si="290"/>
        <v>1</v>
      </c>
      <c r="P79" s="33">
        <f t="shared" si="290"/>
        <v>1</v>
      </c>
      <c r="Q79" s="126">
        <f t="shared" si="290"/>
        <v>1</v>
      </c>
      <c r="R79" s="126">
        <f t="shared" si="290"/>
        <v>1</v>
      </c>
      <c r="S79" s="126">
        <f t="shared" si="290"/>
        <v>1</v>
      </c>
      <c r="T79" s="126">
        <f t="shared" si="290"/>
        <v>1</v>
      </c>
      <c r="U79" s="126">
        <f t="shared" si="290"/>
        <v>1</v>
      </c>
      <c r="V79" s="126">
        <f t="shared" si="290"/>
        <v>1</v>
      </c>
      <c r="W79" s="126">
        <f t="shared" si="290"/>
        <v>1</v>
      </c>
      <c r="X79" s="126">
        <f t="shared" si="290"/>
        <v>1</v>
      </c>
      <c r="Y79" s="126">
        <f t="shared" si="290"/>
        <v>1</v>
      </c>
      <c r="Z79" s="126">
        <f t="shared" si="290"/>
        <v>1</v>
      </c>
      <c r="AA79" s="126">
        <f t="shared" si="290"/>
        <v>1</v>
      </c>
      <c r="AB79" s="126">
        <f t="shared" si="290"/>
        <v>1</v>
      </c>
      <c r="AC79" s="33">
        <f t="shared" si="290"/>
        <v>1</v>
      </c>
      <c r="AD79" s="126">
        <f t="shared" si="290"/>
        <v>1</v>
      </c>
      <c r="AE79" s="126">
        <f t="shared" si="290"/>
        <v>1</v>
      </c>
      <c r="AF79" s="126">
        <f t="shared" si="290"/>
        <v>1</v>
      </c>
      <c r="AG79" s="126">
        <f t="shared" si="290"/>
        <v>1</v>
      </c>
      <c r="AH79" s="126">
        <f t="shared" si="290"/>
        <v>1</v>
      </c>
      <c r="AI79" s="126">
        <f t="shared" si="290"/>
        <v>1</v>
      </c>
      <c r="AJ79" s="126">
        <f t="shared" si="290"/>
        <v>1</v>
      </c>
      <c r="AK79" s="126">
        <f t="shared" si="290"/>
        <v>1</v>
      </c>
      <c r="AL79" s="126">
        <f t="shared" si="290"/>
        <v>1</v>
      </c>
      <c r="AM79" s="126">
        <f t="shared" si="290"/>
        <v>1</v>
      </c>
      <c r="AN79" s="126">
        <f t="shared" si="290"/>
        <v>1</v>
      </c>
      <c r="AO79" s="126">
        <f t="shared" si="290"/>
        <v>1</v>
      </c>
      <c r="AP79" s="33">
        <f t="shared" si="290"/>
        <v>1</v>
      </c>
      <c r="AQ79" s="126">
        <f t="shared" si="290"/>
        <v>1</v>
      </c>
      <c r="AR79" s="126">
        <f t="shared" si="290"/>
        <v>1</v>
      </c>
      <c r="AS79" s="126">
        <f t="shared" si="290"/>
        <v>1</v>
      </c>
      <c r="AT79" s="126">
        <f t="shared" si="290"/>
        <v>1</v>
      </c>
      <c r="AU79" s="126">
        <f t="shared" si="290"/>
        <v>1</v>
      </c>
      <c r="AV79" s="126">
        <f t="shared" si="290"/>
        <v>1</v>
      </c>
      <c r="AW79" s="126">
        <f t="shared" si="290"/>
        <v>1</v>
      </c>
      <c r="AX79" s="126">
        <f t="shared" si="290"/>
        <v>1</v>
      </c>
      <c r="AY79" s="126">
        <f t="shared" si="290"/>
        <v>1</v>
      </c>
      <c r="AZ79" s="126">
        <f t="shared" si="290"/>
        <v>1</v>
      </c>
      <c r="BA79" s="126">
        <f t="shared" si="290"/>
        <v>1</v>
      </c>
      <c r="BB79" s="126">
        <f t="shared" si="290"/>
        <v>1</v>
      </c>
      <c r="BC79" s="33">
        <f t="shared" si="290"/>
        <v>1</v>
      </c>
      <c r="BD79" s="126">
        <f t="shared" si="290"/>
        <v>1</v>
      </c>
      <c r="BE79" s="126">
        <f t="shared" si="290"/>
        <v>1</v>
      </c>
      <c r="BF79" s="126">
        <f t="shared" si="290"/>
        <v>1</v>
      </c>
      <c r="BG79" s="126">
        <f t="shared" si="290"/>
        <v>1</v>
      </c>
      <c r="BH79" s="126">
        <f t="shared" si="290"/>
        <v>1</v>
      </c>
      <c r="BI79" s="126">
        <f t="shared" si="290"/>
        <v>1</v>
      </c>
      <c r="BJ79" s="126">
        <f t="shared" si="290"/>
        <v>1</v>
      </c>
      <c r="BK79" s="126">
        <f t="shared" si="290"/>
        <v>1</v>
      </c>
      <c r="BL79" s="126">
        <f t="shared" si="290"/>
        <v>1</v>
      </c>
      <c r="BM79" s="126">
        <f t="shared" si="290"/>
        <v>1</v>
      </c>
      <c r="BN79" s="126">
        <f t="shared" si="290"/>
        <v>1</v>
      </c>
      <c r="BO79" s="126">
        <f t="shared" si="290"/>
        <v>1</v>
      </c>
      <c r="BP79" s="33">
        <f t="shared" ref="BP79:BV79" si="291">BP39/BP$39</f>
        <v>1</v>
      </c>
      <c r="BQ79" s="126">
        <f t="shared" si="291"/>
        <v>1</v>
      </c>
      <c r="BR79" s="126">
        <f t="shared" si="291"/>
        <v>1</v>
      </c>
      <c r="BS79" s="126">
        <f t="shared" si="291"/>
        <v>1</v>
      </c>
      <c r="BT79" s="126">
        <f t="shared" si="291"/>
        <v>1</v>
      </c>
      <c r="BU79" s="126">
        <f t="shared" si="291"/>
        <v>1</v>
      </c>
      <c r="BV79" s="126">
        <f t="shared" si="291"/>
        <v>1</v>
      </c>
      <c r="BW79" s="126">
        <f t="shared" ref="BW79:EC79" si="292">BW39/BW$39</f>
        <v>1</v>
      </c>
      <c r="BX79" s="126">
        <f t="shared" si="292"/>
        <v>1</v>
      </c>
      <c r="BY79" s="126">
        <f t="shared" si="292"/>
        <v>1</v>
      </c>
      <c r="BZ79" s="126">
        <f t="shared" si="292"/>
        <v>1</v>
      </c>
      <c r="CA79" s="126">
        <f t="shared" si="292"/>
        <v>1</v>
      </c>
      <c r="CB79" s="126">
        <f t="shared" si="292"/>
        <v>1</v>
      </c>
      <c r="CC79" s="33">
        <f t="shared" si="292"/>
        <v>1</v>
      </c>
      <c r="CD79" s="126">
        <f t="shared" si="292"/>
        <v>1</v>
      </c>
      <c r="CE79" s="126">
        <f t="shared" si="292"/>
        <v>1</v>
      </c>
      <c r="CF79" s="126">
        <f t="shared" si="292"/>
        <v>1</v>
      </c>
      <c r="CG79" s="126">
        <f t="shared" si="292"/>
        <v>1</v>
      </c>
      <c r="CH79" s="126">
        <f t="shared" si="292"/>
        <v>1</v>
      </c>
      <c r="CI79" s="126">
        <f t="shared" si="292"/>
        <v>1</v>
      </c>
      <c r="CJ79" s="126">
        <f t="shared" si="292"/>
        <v>1</v>
      </c>
      <c r="CK79" s="126">
        <f t="shared" si="292"/>
        <v>1</v>
      </c>
      <c r="CL79" s="126">
        <f t="shared" si="292"/>
        <v>1</v>
      </c>
      <c r="CM79" s="126">
        <f t="shared" si="292"/>
        <v>1</v>
      </c>
      <c r="CN79" s="126">
        <f t="shared" si="292"/>
        <v>1</v>
      </c>
      <c r="CO79" s="126">
        <f t="shared" si="292"/>
        <v>1</v>
      </c>
      <c r="CP79" s="33">
        <f t="shared" si="292"/>
        <v>1</v>
      </c>
      <c r="CQ79" s="126">
        <f t="shared" si="292"/>
        <v>1</v>
      </c>
      <c r="CR79" s="126">
        <f t="shared" si="292"/>
        <v>1</v>
      </c>
      <c r="CS79" s="126">
        <f t="shared" si="292"/>
        <v>1</v>
      </c>
      <c r="CT79" s="126">
        <f t="shared" si="292"/>
        <v>1</v>
      </c>
      <c r="CU79" s="126">
        <f t="shared" si="292"/>
        <v>1</v>
      </c>
      <c r="CV79" s="126">
        <f t="shared" si="292"/>
        <v>1</v>
      </c>
      <c r="CW79" s="126">
        <f t="shared" si="292"/>
        <v>1</v>
      </c>
      <c r="CX79" s="126">
        <f t="shared" si="292"/>
        <v>1</v>
      </c>
      <c r="CY79" s="126">
        <f t="shared" si="292"/>
        <v>1</v>
      </c>
      <c r="CZ79" s="126">
        <f t="shared" si="292"/>
        <v>1</v>
      </c>
      <c r="DA79" s="126">
        <f t="shared" si="292"/>
        <v>1</v>
      </c>
      <c r="DB79" s="126">
        <f t="shared" si="292"/>
        <v>1</v>
      </c>
      <c r="DC79" s="33">
        <f t="shared" si="292"/>
        <v>1</v>
      </c>
      <c r="DD79" s="126">
        <f t="shared" si="292"/>
        <v>1</v>
      </c>
      <c r="DE79" s="126">
        <f t="shared" si="292"/>
        <v>1</v>
      </c>
      <c r="DF79" s="126">
        <f t="shared" si="292"/>
        <v>1</v>
      </c>
      <c r="DG79" s="126">
        <f t="shared" si="292"/>
        <v>1</v>
      </c>
      <c r="DH79" s="126">
        <f t="shared" si="292"/>
        <v>1</v>
      </c>
      <c r="DI79" s="126">
        <f t="shared" si="292"/>
        <v>1</v>
      </c>
      <c r="DJ79" s="126">
        <f t="shared" si="292"/>
        <v>1</v>
      </c>
      <c r="DK79" s="126">
        <f t="shared" si="292"/>
        <v>1</v>
      </c>
      <c r="DL79" s="126">
        <f t="shared" si="292"/>
        <v>1</v>
      </c>
      <c r="DM79" s="126">
        <f t="shared" si="292"/>
        <v>1</v>
      </c>
      <c r="DN79" s="126">
        <f t="shared" si="292"/>
        <v>1</v>
      </c>
      <c r="DO79" s="126">
        <f t="shared" si="292"/>
        <v>1</v>
      </c>
      <c r="DP79" s="33">
        <f t="shared" si="292"/>
        <v>1</v>
      </c>
      <c r="DQ79" s="126">
        <f t="shared" si="292"/>
        <v>1</v>
      </c>
      <c r="DR79" s="126">
        <f t="shared" si="292"/>
        <v>1</v>
      </c>
      <c r="DS79" s="126">
        <f t="shared" si="292"/>
        <v>1</v>
      </c>
      <c r="DT79" s="126">
        <f t="shared" si="292"/>
        <v>1</v>
      </c>
      <c r="DU79" s="126">
        <f t="shared" si="292"/>
        <v>1</v>
      </c>
      <c r="DV79" s="126">
        <f t="shared" si="292"/>
        <v>1</v>
      </c>
      <c r="DW79" s="126">
        <f t="shared" si="292"/>
        <v>1</v>
      </c>
      <c r="DX79" s="126">
        <f t="shared" si="292"/>
        <v>1</v>
      </c>
      <c r="DY79" s="126">
        <f t="shared" si="292"/>
        <v>1</v>
      </c>
      <c r="DZ79" s="126">
        <f t="shared" si="292"/>
        <v>1</v>
      </c>
      <c r="EA79" s="126">
        <f t="shared" si="292"/>
        <v>1</v>
      </c>
      <c r="EB79" s="126">
        <f t="shared" si="292"/>
        <v>1</v>
      </c>
      <c r="EC79" s="126">
        <f t="shared" si="292"/>
        <v>1</v>
      </c>
      <c r="ED79" s="127">
        <f t="shared" ref="ED79:GC79" si="293">ED39/ED$39</f>
        <v>1</v>
      </c>
      <c r="EE79" s="126">
        <f t="shared" si="293"/>
        <v>1</v>
      </c>
      <c r="EF79" s="126">
        <f t="shared" si="293"/>
        <v>1</v>
      </c>
      <c r="EG79" s="126">
        <f t="shared" si="293"/>
        <v>1</v>
      </c>
      <c r="EH79" s="126" t="e">
        <f t="shared" si="293"/>
        <v>#DIV/0!</v>
      </c>
      <c r="EI79" s="126" t="e">
        <f t="shared" si="293"/>
        <v>#DIV/0!</v>
      </c>
      <c r="EJ79" s="126" t="e">
        <f t="shared" si="293"/>
        <v>#DIV/0!</v>
      </c>
      <c r="EK79" s="126" t="e">
        <f t="shared" si="293"/>
        <v>#DIV/0!</v>
      </c>
      <c r="EL79" s="126" t="e">
        <f t="shared" si="293"/>
        <v>#DIV/0!</v>
      </c>
      <c r="EM79" s="126" t="e">
        <f t="shared" si="293"/>
        <v>#DIV/0!</v>
      </c>
      <c r="EN79" s="126" t="e">
        <f t="shared" si="293"/>
        <v>#DIV/0!</v>
      </c>
      <c r="EO79" s="126" t="e">
        <f t="shared" si="293"/>
        <v>#DIV/0!</v>
      </c>
      <c r="EP79" s="33">
        <f t="shared" si="293"/>
        <v>1</v>
      </c>
      <c r="EQ79" s="126">
        <f t="shared" si="293"/>
        <v>1</v>
      </c>
      <c r="ER79" s="126">
        <f t="shared" si="293"/>
        <v>1</v>
      </c>
      <c r="ES79" s="126">
        <f t="shared" si="293"/>
        <v>1</v>
      </c>
      <c r="ET79" s="126">
        <f t="shared" si="293"/>
        <v>1</v>
      </c>
      <c r="EU79" s="126">
        <f t="shared" si="293"/>
        <v>1</v>
      </c>
      <c r="EV79" s="126">
        <f t="shared" si="293"/>
        <v>1</v>
      </c>
      <c r="EW79" s="126">
        <f t="shared" si="293"/>
        <v>1</v>
      </c>
      <c r="EX79" s="126">
        <f t="shared" si="293"/>
        <v>1</v>
      </c>
      <c r="EY79" s="126">
        <f t="shared" si="293"/>
        <v>1</v>
      </c>
      <c r="EZ79" s="126">
        <f t="shared" si="293"/>
        <v>1</v>
      </c>
      <c r="FA79" s="126">
        <f t="shared" si="293"/>
        <v>1</v>
      </c>
      <c r="FB79" s="126">
        <f t="shared" si="293"/>
        <v>1</v>
      </c>
      <c r="FC79" s="126">
        <f t="shared" si="293"/>
        <v>1</v>
      </c>
      <c r="FD79" s="127"/>
      <c r="FE79" s="126"/>
      <c r="FF79" s="126"/>
      <c r="FG79" s="126"/>
      <c r="FH79" s="126"/>
      <c r="FI79" s="126"/>
      <c r="FJ79" s="126"/>
      <c r="FK79" s="126"/>
      <c r="FL79" s="126"/>
      <c r="FM79" s="126"/>
      <c r="FN79" s="126"/>
      <c r="FO79" s="126"/>
      <c r="FP79" s="33"/>
      <c r="FQ79" s="127">
        <f t="shared" si="293"/>
        <v>1</v>
      </c>
      <c r="FR79" s="126">
        <f t="shared" si="293"/>
        <v>1</v>
      </c>
      <c r="FS79" s="126">
        <f t="shared" si="293"/>
        <v>1</v>
      </c>
      <c r="FT79" s="126">
        <f t="shared" si="293"/>
        <v>1</v>
      </c>
      <c r="FU79" s="126">
        <f t="shared" si="293"/>
        <v>1</v>
      </c>
      <c r="FV79" s="126">
        <f t="shared" si="293"/>
        <v>1</v>
      </c>
      <c r="FW79" s="126">
        <f t="shared" si="293"/>
        <v>1</v>
      </c>
      <c r="FX79" s="126">
        <f t="shared" si="293"/>
        <v>1</v>
      </c>
      <c r="FY79" s="126">
        <f t="shared" si="293"/>
        <v>1</v>
      </c>
      <c r="FZ79" s="126">
        <f t="shared" si="293"/>
        <v>1</v>
      </c>
      <c r="GA79" s="126">
        <f t="shared" si="293"/>
        <v>1</v>
      </c>
      <c r="GB79" s="126">
        <f t="shared" si="293"/>
        <v>1</v>
      </c>
      <c r="GC79" s="33">
        <f t="shared" si="293"/>
        <v>1</v>
      </c>
    </row>
    <row r="84" spans="4:185">
      <c r="D84" s="128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  <c r="AM84" s="100"/>
      <c r="AN84" s="100"/>
      <c r="AO84" s="100"/>
      <c r="AP84" s="100"/>
      <c r="AQ84" s="100"/>
      <c r="AR84" s="100"/>
      <c r="AS84" s="100"/>
      <c r="AT84" s="100"/>
      <c r="AU84" s="100"/>
      <c r="AV84" s="100"/>
      <c r="AW84" s="100"/>
      <c r="AX84" s="100"/>
      <c r="AY84" s="100"/>
      <c r="AZ84" s="100"/>
      <c r="BA84" s="100"/>
      <c r="BB84" s="100"/>
      <c r="BC84" s="100"/>
      <c r="BD84" s="100"/>
      <c r="BE84" s="100"/>
      <c r="BF84" s="100"/>
      <c r="BG84" s="100"/>
      <c r="BH84" s="100"/>
      <c r="BI84" s="100"/>
      <c r="BJ84" s="100"/>
      <c r="BK84" s="100"/>
      <c r="BL84" s="100"/>
      <c r="BM84" s="100"/>
      <c r="BN84" s="100"/>
      <c r="BO84" s="100"/>
      <c r="BP84" s="100"/>
      <c r="BQ84" s="100"/>
      <c r="BR84" s="100"/>
      <c r="BS84" s="100"/>
      <c r="BT84" s="100"/>
      <c r="BU84" s="100"/>
      <c r="BV84" s="100"/>
      <c r="BW84" s="100"/>
      <c r="BX84" s="100"/>
      <c r="BY84" s="100"/>
      <c r="BZ84" s="100"/>
      <c r="CA84" s="100"/>
      <c r="CB84" s="100"/>
      <c r="CC84" s="100"/>
      <c r="CD84" s="100"/>
      <c r="CE84" s="100"/>
      <c r="CF84" s="100"/>
      <c r="CG84" s="100"/>
      <c r="CH84" s="100"/>
      <c r="CI84" s="100"/>
      <c r="CJ84" s="100"/>
      <c r="CK84" s="100"/>
      <c r="CL84" s="100"/>
      <c r="CM84" s="100"/>
      <c r="CN84" s="100"/>
      <c r="CO84" s="100"/>
      <c r="CP84" s="100"/>
      <c r="CQ84" s="100"/>
      <c r="CR84" s="100"/>
      <c r="CS84" s="100"/>
      <c r="CT84" s="100"/>
      <c r="CU84" s="100"/>
      <c r="CV84" s="100"/>
      <c r="CW84" s="100"/>
      <c r="CX84" s="100"/>
      <c r="CY84" s="100"/>
      <c r="CZ84" s="100"/>
      <c r="DA84" s="100"/>
      <c r="DB84" s="100"/>
      <c r="DC84" s="100"/>
      <c r="DD84" s="100"/>
      <c r="DE84" s="100"/>
      <c r="DF84" s="100"/>
      <c r="DG84" s="100"/>
      <c r="DH84" s="100"/>
      <c r="DI84" s="100"/>
      <c r="DJ84" s="100"/>
      <c r="DK84" s="100"/>
      <c r="DL84" s="100"/>
      <c r="DM84" s="100"/>
      <c r="DN84" s="100"/>
      <c r="DO84" s="100"/>
      <c r="DP84" s="100"/>
      <c r="DQ84" s="100"/>
      <c r="DR84" s="100"/>
      <c r="DS84" s="100"/>
      <c r="DT84" s="100"/>
      <c r="DU84" s="100"/>
      <c r="DV84" s="100"/>
      <c r="DW84" s="100"/>
      <c r="DX84" s="100"/>
      <c r="DY84" s="100"/>
      <c r="DZ84" s="100"/>
      <c r="EA84" s="100"/>
      <c r="EB84" s="100"/>
      <c r="EC84" s="100"/>
      <c r="ED84" s="102"/>
      <c r="EE84" s="101"/>
      <c r="EF84" s="101"/>
      <c r="EG84" s="101"/>
      <c r="EH84" s="101"/>
      <c r="EI84" s="101"/>
      <c r="EJ84" s="101"/>
      <c r="EK84" s="101"/>
      <c r="EL84" s="101"/>
      <c r="EM84" s="101"/>
      <c r="EN84" s="101"/>
      <c r="EO84" s="101"/>
      <c r="EP84" s="129"/>
      <c r="EQ84" s="101"/>
      <c r="ER84" s="101"/>
      <c r="ES84" s="101"/>
      <c r="ET84" s="101"/>
      <c r="EU84" s="101"/>
      <c r="EV84" s="101"/>
      <c r="EW84" s="101"/>
      <c r="EX84" s="101"/>
      <c r="EY84" s="101"/>
      <c r="EZ84" s="101"/>
      <c r="FA84" s="101"/>
      <c r="FB84" s="101"/>
      <c r="FC84" s="101"/>
      <c r="FD84" s="102"/>
      <c r="FE84" s="101"/>
      <c r="FF84" s="101"/>
      <c r="FG84" s="101"/>
      <c r="FH84" s="101"/>
      <c r="FI84" s="101"/>
      <c r="FJ84" s="101"/>
      <c r="FK84" s="101"/>
      <c r="FL84" s="101"/>
      <c r="FM84" s="101"/>
      <c r="FN84" s="101"/>
      <c r="FO84" s="101"/>
      <c r="FP84" s="129"/>
      <c r="FQ84" s="102"/>
      <c r="FR84" s="101"/>
      <c r="FS84" s="101"/>
      <c r="FT84" s="101"/>
      <c r="FU84" s="101"/>
      <c r="FV84" s="101"/>
      <c r="FW84" s="101"/>
      <c r="FX84" s="101"/>
      <c r="FY84" s="101"/>
      <c r="FZ84" s="101"/>
      <c r="GA84" s="101"/>
      <c r="GB84" s="101"/>
      <c r="GC84" s="129"/>
    </row>
  </sheetData>
  <mergeCells count="10">
    <mergeCell ref="A3:A13"/>
    <mergeCell ref="A15:A25"/>
    <mergeCell ref="A27:A28"/>
    <mergeCell ref="A30:A32"/>
    <mergeCell ref="A36:A37"/>
    <mergeCell ref="A43:A53"/>
    <mergeCell ref="A55:A65"/>
    <mergeCell ref="A67:A68"/>
    <mergeCell ref="A70:A72"/>
    <mergeCell ref="A76:A77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O83"/>
  <sheetViews>
    <sheetView topLeftCell="B1" workbookViewId="0">
      <selection activeCell="T33" sqref="T33"/>
    </sheetView>
  </sheetViews>
  <sheetFormatPr defaultColWidth="8.73451327433628" defaultRowHeight="15"/>
  <cols>
    <col min="1" max="2" width="8.73451327433628" style="1"/>
    <col min="3" max="3" width="11.2035398230088" style="1" customWidth="1"/>
    <col min="4" max="4" width="10.3362831858407" style="1" customWidth="1"/>
    <col min="5" max="15" width="12.6017699115044" style="1" customWidth="1"/>
    <col min="16" max="16384" width="8.73451327433628" style="1"/>
  </cols>
  <sheetData>
    <row r="2" spans="3:15">
      <c r="C2" s="2" t="s">
        <v>19</v>
      </c>
      <c r="D2" s="3" t="s">
        <v>395</v>
      </c>
      <c r="E2" s="4" t="s">
        <v>432</v>
      </c>
      <c r="F2" s="4" t="s">
        <v>433</v>
      </c>
      <c r="G2" s="5" t="s">
        <v>434</v>
      </c>
      <c r="H2" s="6" t="s">
        <v>3</v>
      </c>
      <c r="I2" s="6" t="s">
        <v>435</v>
      </c>
      <c r="J2" s="6" t="s">
        <v>4</v>
      </c>
      <c r="K2" s="5" t="s">
        <v>436</v>
      </c>
      <c r="L2" s="6" t="s">
        <v>15</v>
      </c>
      <c r="M2" s="5" t="s">
        <v>437</v>
      </c>
      <c r="N2" s="6" t="s">
        <v>9</v>
      </c>
      <c r="O2" s="5" t="s">
        <v>438</v>
      </c>
    </row>
    <row r="3" hidden="1" outlineLevel="1" spans="3:15">
      <c r="C3" s="7"/>
      <c r="D3" s="8" t="s">
        <v>439</v>
      </c>
      <c r="E3" s="9">
        <v>0.467760204774722</v>
      </c>
      <c r="F3" s="10">
        <v>0.404834901186794</v>
      </c>
      <c r="G3" s="10">
        <v>0.390700013054405</v>
      </c>
      <c r="H3" s="10">
        <v>0.496439918910166</v>
      </c>
      <c r="I3" s="10">
        <v>0.23541931207068</v>
      </c>
      <c r="J3" s="10">
        <v>0.384209244886111</v>
      </c>
      <c r="K3" s="10">
        <v>0.540326735784212</v>
      </c>
      <c r="L3" s="10">
        <v>0.491405994951492</v>
      </c>
      <c r="M3" s="10">
        <v>0.384048847611056</v>
      </c>
      <c r="N3" s="9">
        <v>0.483108522572968</v>
      </c>
      <c r="O3" s="10">
        <v>0.47076748861726</v>
      </c>
    </row>
    <row r="4" hidden="1" outlineLevel="1" spans="3:15">
      <c r="C4" s="7"/>
      <c r="D4" s="11" t="s">
        <v>397</v>
      </c>
      <c r="E4" s="12">
        <v>0.0202152692122976</v>
      </c>
      <c r="F4" s="13">
        <v>0.0180609902123444</v>
      </c>
      <c r="G4" s="13">
        <v>0.021211389063273</v>
      </c>
      <c r="H4" s="13">
        <v>0.0289378724198716</v>
      </c>
      <c r="I4" s="13">
        <v>0.0110894204803983</v>
      </c>
      <c r="J4" s="13">
        <v>0.0183589442789263</v>
      </c>
      <c r="K4" s="13">
        <v>0.0163366254785402</v>
      </c>
      <c r="L4" s="13">
        <v>0.0140864632001855</v>
      </c>
      <c r="M4" s="13">
        <v>0.0152302077625789</v>
      </c>
      <c r="N4" s="12">
        <v>0.0129422384677622</v>
      </c>
      <c r="O4" s="13">
        <v>0.0207375613200592</v>
      </c>
    </row>
    <row r="5" hidden="1" outlineLevel="1" spans="3:15">
      <c r="C5" s="7"/>
      <c r="D5" s="8" t="s">
        <v>399</v>
      </c>
      <c r="E5" s="9">
        <v>0.00487098110339623</v>
      </c>
      <c r="F5" s="10">
        <v>0.0160843122265843</v>
      </c>
      <c r="G5" s="10">
        <v>0.0173766709162623</v>
      </c>
      <c r="H5" s="10">
        <v>0.0120403538117791</v>
      </c>
      <c r="I5" s="10">
        <v>0.0166869292776883</v>
      </c>
      <c r="J5" s="10">
        <v>0.0157892097576597</v>
      </c>
      <c r="K5" s="10">
        <v>0.0155731185591708</v>
      </c>
      <c r="L5" s="10">
        <v>0.0108126804847546</v>
      </c>
      <c r="M5" s="10">
        <v>0.0156814989739645</v>
      </c>
      <c r="N5" s="9">
        <v>0.0177944276599262</v>
      </c>
      <c r="O5" s="10">
        <v>0.012387369852383</v>
      </c>
    </row>
    <row r="6" hidden="1" outlineLevel="1" spans="3:15">
      <c r="C6" s="7"/>
      <c r="D6" s="11" t="s">
        <v>396</v>
      </c>
      <c r="E6" s="12">
        <v>0.0212914766400339</v>
      </c>
      <c r="F6" s="13">
        <v>0.0097523752223569</v>
      </c>
      <c r="G6" s="13">
        <v>0.0109180452267765</v>
      </c>
      <c r="H6" s="13">
        <v>0.00202722785139559</v>
      </c>
      <c r="I6" s="13">
        <v>0.0154486904190696</v>
      </c>
      <c r="J6" s="13">
        <v>0.00762457155731052</v>
      </c>
      <c r="K6" s="13">
        <v>0.00471321912091632</v>
      </c>
      <c r="L6" s="13">
        <v>0.00409180329100688</v>
      </c>
      <c r="M6" s="13">
        <v>0.0105769297744975</v>
      </c>
      <c r="N6" s="12">
        <v>0.0101975822563067</v>
      </c>
      <c r="O6" s="13">
        <v>0.00369834552830628</v>
      </c>
    </row>
    <row r="7" hidden="1" outlineLevel="1" spans="3:15">
      <c r="C7" s="7"/>
      <c r="D7" s="8" t="s">
        <v>398</v>
      </c>
      <c r="E7" s="9">
        <v>0.00731579539770157</v>
      </c>
      <c r="F7" s="10">
        <v>0.00903613095926227</v>
      </c>
      <c r="G7" s="10">
        <v>0.00746324513463506</v>
      </c>
      <c r="H7" s="10">
        <v>0.00530532788399559</v>
      </c>
      <c r="I7" s="10">
        <v>0.00530053916825335</v>
      </c>
      <c r="J7" s="10">
        <v>0.00986261506717648</v>
      </c>
      <c r="K7" s="10">
        <v>0.00349420606092608</v>
      </c>
      <c r="L7" s="13">
        <v>0.00286038085063188</v>
      </c>
      <c r="M7" s="10">
        <v>0.0112831854987981</v>
      </c>
      <c r="N7" s="12">
        <v>0.00443685904926885</v>
      </c>
      <c r="O7" s="10">
        <v>0.00891874470109359</v>
      </c>
    </row>
    <row r="8" hidden="1" outlineLevel="1" spans="3:15">
      <c r="C8" s="7"/>
      <c r="D8" s="11" t="s">
        <v>400</v>
      </c>
      <c r="E8" s="12">
        <v>0.0189833466155695</v>
      </c>
      <c r="F8" s="13">
        <v>0.00846215344121163</v>
      </c>
      <c r="G8" s="13">
        <v>0.00776949397682767</v>
      </c>
      <c r="H8" s="13">
        <v>0.00460861177099538</v>
      </c>
      <c r="I8" s="13">
        <v>0.00724168514689059</v>
      </c>
      <c r="J8" s="13">
        <v>0</v>
      </c>
      <c r="K8" s="13">
        <v>0.00181687502150503</v>
      </c>
      <c r="L8" s="10">
        <v>0.000318881734920312</v>
      </c>
      <c r="M8" s="13">
        <v>0.0110638114648782</v>
      </c>
      <c r="N8" s="9">
        <v>0.0206387961472768</v>
      </c>
      <c r="O8" s="13">
        <v>0.002750438032196</v>
      </c>
    </row>
    <row r="9" hidden="1" outlineLevel="1" spans="3:15">
      <c r="C9" s="7"/>
      <c r="D9" s="8" t="s">
        <v>401</v>
      </c>
      <c r="E9" s="9">
        <v>0.00863932654236718</v>
      </c>
      <c r="F9" s="10">
        <v>0.00754658272023249</v>
      </c>
      <c r="G9" s="10">
        <v>0.00974880538979168</v>
      </c>
      <c r="H9" s="10">
        <v>0.00828387991766387</v>
      </c>
      <c r="I9" s="10">
        <v>0.00733406918900873</v>
      </c>
      <c r="J9" s="10">
        <v>0.0144236305217314</v>
      </c>
      <c r="K9" s="10">
        <v>0.00229256313601753</v>
      </c>
      <c r="L9" s="10">
        <v>0.00271460492830515</v>
      </c>
      <c r="M9" s="10">
        <v>0.00667964485584612</v>
      </c>
      <c r="N9" s="9">
        <v>0.00963266842410668</v>
      </c>
      <c r="O9" s="10">
        <v>0.00664024450018982</v>
      </c>
    </row>
    <row r="10" hidden="1" outlineLevel="1" spans="3:15">
      <c r="C10" s="7"/>
      <c r="D10" s="11" t="s">
        <v>403</v>
      </c>
      <c r="E10" s="12">
        <v>0.0133835112531588</v>
      </c>
      <c r="F10" s="13">
        <v>0.00110647642874472</v>
      </c>
      <c r="G10" s="13">
        <v>0.00065721319848878</v>
      </c>
      <c r="H10" s="13">
        <v>4.87028560792629e-5</v>
      </c>
      <c r="I10" s="13">
        <v>2.74661057743851e-5</v>
      </c>
      <c r="J10" s="13">
        <v>0.000334268180316323</v>
      </c>
      <c r="K10" s="13">
        <v>0.000589433779424959</v>
      </c>
      <c r="L10" s="10">
        <v>0.000270555739444661</v>
      </c>
      <c r="M10" s="13">
        <v>0.00171838158923191</v>
      </c>
      <c r="N10" s="12">
        <v>6.13610284665297e-5</v>
      </c>
      <c r="O10" s="13">
        <v>0.000209322633225757</v>
      </c>
    </row>
    <row r="11" hidden="1" outlineLevel="1" spans="3:15">
      <c r="C11" s="7"/>
      <c r="D11" s="8" t="s">
        <v>404</v>
      </c>
      <c r="E11" s="9">
        <v>0.00125424466700966</v>
      </c>
      <c r="F11" s="10">
        <v>0.000575232827854165</v>
      </c>
      <c r="G11" s="10">
        <v>0.000480074477341193</v>
      </c>
      <c r="H11" s="10">
        <v>0.00101957152997298</v>
      </c>
      <c r="I11" s="10">
        <v>0.000838011001987627</v>
      </c>
      <c r="J11" s="10">
        <v>0.000761320047164694</v>
      </c>
      <c r="K11" s="10">
        <v>0.00155009290233438</v>
      </c>
      <c r="L11" s="13">
        <v>0.00223561520527612</v>
      </c>
      <c r="M11" s="10">
        <v>0.000256538119004858</v>
      </c>
      <c r="N11" s="9">
        <v>0.000435589139391628</v>
      </c>
      <c r="O11" s="10">
        <v>0.00204241835122898</v>
      </c>
    </row>
    <row r="12" hidden="1" outlineLevel="1" spans="3:15">
      <c r="C12" s="7"/>
      <c r="D12" s="11" t="s">
        <v>406</v>
      </c>
      <c r="E12" s="12">
        <v>0.00137505213220971</v>
      </c>
      <c r="F12" s="13">
        <v>1.11702684329889e-6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0">
        <v>0</v>
      </c>
      <c r="M12" s="13">
        <v>2.42770127895428e-6</v>
      </c>
      <c r="N12" s="12">
        <v>0</v>
      </c>
      <c r="O12" s="13">
        <v>0</v>
      </c>
    </row>
    <row r="13" collapsed="1" spans="3:15">
      <c r="C13" s="7" t="s">
        <v>26</v>
      </c>
      <c r="D13" s="8" t="s">
        <v>305</v>
      </c>
      <c r="E13" s="14">
        <v>0.565089208338466</v>
      </c>
      <c r="F13" s="15">
        <v>0.475460272252229</v>
      </c>
      <c r="G13" s="15">
        <v>0.466324950437801</v>
      </c>
      <c r="H13" s="15">
        <v>0.558711466951919</v>
      </c>
      <c r="I13" s="15">
        <v>0.299386122859751</v>
      </c>
      <c r="J13" s="15">
        <v>0.451363804296397</v>
      </c>
      <c r="K13" s="15">
        <v>0.586692869843047</v>
      </c>
      <c r="L13" s="15">
        <v>0.528796980386017</v>
      </c>
      <c r="M13" s="15">
        <v>0.456541473351135</v>
      </c>
      <c r="N13" s="14">
        <v>0.559248044745473</v>
      </c>
      <c r="O13" s="15">
        <v>0.528151933535943</v>
      </c>
    </row>
    <row r="14" hidden="1" outlineLevel="1" spans="3:15">
      <c r="C14" s="16"/>
      <c r="D14" s="8" t="s">
        <v>440</v>
      </c>
      <c r="E14" s="9">
        <v>0.216153535238566</v>
      </c>
      <c r="F14" s="10">
        <v>0.246867663734214</v>
      </c>
      <c r="G14" s="10">
        <v>0.23738900298288</v>
      </c>
      <c r="H14" s="10">
        <v>0.185342936270848</v>
      </c>
      <c r="I14" s="10">
        <v>0.386703265031547</v>
      </c>
      <c r="J14" s="10">
        <v>0.33080136988774</v>
      </c>
      <c r="K14" s="10">
        <v>0.302597141402022</v>
      </c>
      <c r="L14" s="13">
        <v>0.355689329185798</v>
      </c>
      <c r="M14" s="10">
        <v>0.249438501173356</v>
      </c>
      <c r="N14" s="9">
        <v>0.245085242453875</v>
      </c>
      <c r="O14" s="10">
        <v>0.225339204246342</v>
      </c>
    </row>
    <row r="15" hidden="1" outlineLevel="1" spans="3:15">
      <c r="C15" s="16"/>
      <c r="D15" s="8" t="s">
        <v>441</v>
      </c>
      <c r="E15" s="12">
        <v>0.0267309088476922</v>
      </c>
      <c r="F15" s="13">
        <v>0.0476431337799932</v>
      </c>
      <c r="G15" s="13">
        <v>0.0490058874106415</v>
      </c>
      <c r="H15" s="13">
        <v>0.0513416591205385</v>
      </c>
      <c r="I15" s="13">
        <v>0.0482035509860251</v>
      </c>
      <c r="J15" s="13">
        <v>0.0487028125998451</v>
      </c>
      <c r="K15" s="13">
        <v>0.0270888263827523</v>
      </c>
      <c r="L15" s="10">
        <v>0.031591112291675</v>
      </c>
      <c r="M15" s="13">
        <v>0.0471141177824308</v>
      </c>
      <c r="N15" s="12">
        <v>0.026565396548075</v>
      </c>
      <c r="O15" s="13">
        <v>0.064004153963849</v>
      </c>
    </row>
    <row r="16" hidden="1" outlineLevel="1" spans="3:15">
      <c r="C16" s="16"/>
      <c r="D16" s="8" t="s">
        <v>442</v>
      </c>
      <c r="E16" s="9">
        <v>0.00672508058109815</v>
      </c>
      <c r="F16" s="10">
        <v>0.00329544628139732</v>
      </c>
      <c r="G16" s="10">
        <v>0.00373637601800284</v>
      </c>
      <c r="H16" s="10">
        <v>0.00237504257143188</v>
      </c>
      <c r="I16" s="10">
        <v>0.00176393322299707</v>
      </c>
      <c r="J16" s="10">
        <v>0.00565600218920789</v>
      </c>
      <c r="K16" s="10">
        <v>0.00125062818366535</v>
      </c>
      <c r="L16" s="13">
        <v>0.00145913819902558</v>
      </c>
      <c r="M16" s="10">
        <v>0.00268043067893159</v>
      </c>
      <c r="N16" s="9">
        <v>0.00201298919670553</v>
      </c>
      <c r="O16" s="10">
        <v>0.00676642565894872</v>
      </c>
    </row>
    <row r="17" hidden="1" outlineLevel="1" spans="3:15">
      <c r="C17" s="16"/>
      <c r="D17" s="8" t="s">
        <v>443</v>
      </c>
      <c r="E17" s="12">
        <v>2.72787496743184e-5</v>
      </c>
      <c r="F17" s="13">
        <v>4.67395496049283e-7</v>
      </c>
      <c r="G17" s="13">
        <v>8.30348595017747e-7</v>
      </c>
      <c r="H17" s="13">
        <v>0</v>
      </c>
      <c r="I17" s="13">
        <v>0</v>
      </c>
      <c r="J17" s="13">
        <v>0</v>
      </c>
      <c r="K17" s="13">
        <v>1.24668813167739e-6</v>
      </c>
      <c r="L17" s="10">
        <v>0</v>
      </c>
      <c r="M17" s="13">
        <v>0</v>
      </c>
      <c r="N17" s="12">
        <v>0</v>
      </c>
      <c r="O17" s="13">
        <v>6.74063727841271e-7</v>
      </c>
    </row>
    <row r="18" collapsed="1" spans="3:15">
      <c r="C18" s="16" t="s">
        <v>28</v>
      </c>
      <c r="D18" s="8" t="s">
        <v>305</v>
      </c>
      <c r="E18" s="14">
        <v>0.24963680341703</v>
      </c>
      <c r="F18" s="15">
        <v>0.297806711191101</v>
      </c>
      <c r="G18" s="15">
        <v>0.290132096760119</v>
      </c>
      <c r="H18" s="15">
        <v>0.239059637962818</v>
      </c>
      <c r="I18" s="15">
        <v>0.436670749240569</v>
      </c>
      <c r="J18" s="15">
        <v>0.385160184676793</v>
      </c>
      <c r="K18" s="15">
        <v>0.330937842656571</v>
      </c>
      <c r="L18" s="15">
        <v>0.388739579676499</v>
      </c>
      <c r="M18" s="15">
        <v>0.299233049634718</v>
      </c>
      <c r="N18" s="14">
        <v>0.273663628198656</v>
      </c>
      <c r="O18" s="15">
        <v>0.296110457932867</v>
      </c>
    </row>
    <row r="19" hidden="1" outlineLevel="1" spans="3:15">
      <c r="C19" s="7"/>
      <c r="D19" s="17" t="s">
        <v>423</v>
      </c>
      <c r="E19" s="9">
        <v>0.106578782535577</v>
      </c>
      <c r="F19" s="10">
        <v>0.153823701174065</v>
      </c>
      <c r="G19" s="10">
        <v>0.188932102395074</v>
      </c>
      <c r="H19" s="10">
        <v>0.166844067270373</v>
      </c>
      <c r="I19" s="10">
        <v>0.230340941696538</v>
      </c>
      <c r="J19" s="10">
        <v>0.112646985267947</v>
      </c>
      <c r="K19" s="10">
        <v>0.0383923968240708</v>
      </c>
      <c r="L19" s="13">
        <v>0.0432529870105342</v>
      </c>
      <c r="M19" s="10">
        <v>0.150168594570533</v>
      </c>
      <c r="N19" s="9">
        <v>0.115207659046074</v>
      </c>
      <c r="O19" s="10">
        <v>0.108738442493402</v>
      </c>
    </row>
    <row r="20" hidden="1" outlineLevel="1" spans="3:15">
      <c r="C20" s="7"/>
      <c r="D20" s="17" t="s">
        <v>425</v>
      </c>
      <c r="E20" s="12">
        <v>0.000247678919374874</v>
      </c>
      <c r="F20" s="13">
        <v>0.000889232124344119</v>
      </c>
      <c r="G20" s="13">
        <v>0.000849239682702549</v>
      </c>
      <c r="H20" s="13">
        <v>0.000528798673582891</v>
      </c>
      <c r="I20" s="13">
        <v>0.00033639388025869</v>
      </c>
      <c r="J20" s="13">
        <v>0.00117522037740709</v>
      </c>
      <c r="K20" s="13">
        <v>0.000726422802840006</v>
      </c>
      <c r="L20" s="10">
        <v>2.90724185896013e-5</v>
      </c>
      <c r="M20" s="13">
        <v>0.00107373824753594</v>
      </c>
      <c r="N20" s="12">
        <v>0</v>
      </c>
      <c r="O20" s="13">
        <v>0.000134761314411343</v>
      </c>
    </row>
    <row r="21" collapsed="1" spans="3:15">
      <c r="C21" s="7" t="s">
        <v>29</v>
      </c>
      <c r="D21" s="8" t="s">
        <v>305</v>
      </c>
      <c r="E21" s="18">
        <v>0.106826461454952</v>
      </c>
      <c r="F21" s="15">
        <v>0.154712933298409</v>
      </c>
      <c r="G21" s="15">
        <v>0.189781342077777</v>
      </c>
      <c r="H21" s="15">
        <v>0.167372865943956</v>
      </c>
      <c r="I21" s="15">
        <v>0.230677335576797</v>
      </c>
      <c r="J21" s="15">
        <v>0.113822205645354</v>
      </c>
      <c r="K21" s="15">
        <v>0.0391188196269108</v>
      </c>
      <c r="L21" s="15">
        <v>0.0432820594291238</v>
      </c>
      <c r="M21" s="15">
        <v>0.151242332818069</v>
      </c>
      <c r="N21" s="18">
        <v>0.115207659046074</v>
      </c>
      <c r="O21" s="15">
        <v>0.108873203807813</v>
      </c>
    </row>
    <row r="22" spans="3:15">
      <c r="C22" s="19" t="s">
        <v>27</v>
      </c>
      <c r="D22" s="20" t="s">
        <v>412</v>
      </c>
      <c r="E22" s="9">
        <v>0.0130801408052198</v>
      </c>
      <c r="F22" s="21">
        <v>0.0144002746661992</v>
      </c>
      <c r="G22" s="21">
        <v>0.0098758925212875</v>
      </c>
      <c r="H22" s="21">
        <v>0.00790258441045196</v>
      </c>
      <c r="I22" s="21">
        <v>0.00719782022418801</v>
      </c>
      <c r="J22" s="21">
        <v>0.0093248746169938</v>
      </c>
      <c r="K22" s="21">
        <v>0.00646010568747035</v>
      </c>
      <c r="L22" s="21">
        <v>0.00756293357130916</v>
      </c>
      <c r="M22" s="21">
        <v>0.0194706422544933</v>
      </c>
      <c r="N22" s="9">
        <v>0.0125536420558205</v>
      </c>
      <c r="O22" s="21">
        <v>0.0146718498516838</v>
      </c>
    </row>
    <row r="23" spans="3:15">
      <c r="C23" s="16"/>
      <c r="D23" s="11" t="s">
        <v>409</v>
      </c>
      <c r="E23" s="12">
        <v>0.0154120872731705</v>
      </c>
      <c r="F23" s="22">
        <v>0.0138371677076814</v>
      </c>
      <c r="G23" s="22">
        <v>0.0111318441601877</v>
      </c>
      <c r="H23" s="22">
        <v>0.00511456431483669</v>
      </c>
      <c r="I23" s="22">
        <v>0.00773160946103816</v>
      </c>
      <c r="J23" s="22">
        <v>0.014904428889475</v>
      </c>
      <c r="K23" s="22">
        <v>0.00638666988694742</v>
      </c>
      <c r="L23" s="22">
        <v>0.00607840197520206</v>
      </c>
      <c r="M23" s="22">
        <v>0.0174303226907367</v>
      </c>
      <c r="N23" s="12">
        <v>0.0120368210509703</v>
      </c>
      <c r="O23" s="22">
        <v>0.0132431589756186</v>
      </c>
    </row>
    <row r="24" spans="3:15">
      <c r="C24" s="16"/>
      <c r="D24" s="8" t="s">
        <v>418</v>
      </c>
      <c r="E24" s="9">
        <v>0.00912663701311487</v>
      </c>
      <c r="F24" s="23">
        <v>0.0136182053456749</v>
      </c>
      <c r="G24" s="23">
        <v>0.0110516420857646</v>
      </c>
      <c r="H24" s="23">
        <v>0.00864363541800788</v>
      </c>
      <c r="I24" s="23">
        <v>0.00244264536952543</v>
      </c>
      <c r="J24" s="23">
        <v>0.00816943481208215</v>
      </c>
      <c r="K24" s="23">
        <v>0.0146159762908938</v>
      </c>
      <c r="L24" s="22">
        <v>0.00684058926966684</v>
      </c>
      <c r="M24" s="23">
        <v>0.015325396977511</v>
      </c>
      <c r="N24" s="12">
        <v>0.010049792774415</v>
      </c>
      <c r="O24" s="23">
        <v>0.0154717518367151</v>
      </c>
    </row>
    <row r="25" spans="3:15">
      <c r="C25" s="16"/>
      <c r="D25" s="11" t="s">
        <v>413</v>
      </c>
      <c r="E25" s="12">
        <v>0.0228094377833333</v>
      </c>
      <c r="F25" s="22">
        <v>0.013206302272127</v>
      </c>
      <c r="G25" s="22">
        <v>0.00941882691939959</v>
      </c>
      <c r="H25" s="22">
        <v>0.00240978272746169</v>
      </c>
      <c r="I25" s="22">
        <v>0.00604381470889377</v>
      </c>
      <c r="J25" s="22">
        <v>0.00359972347166306</v>
      </c>
      <c r="K25" s="22">
        <v>0.0067326652499373</v>
      </c>
      <c r="L25" s="23">
        <v>0.00744443720772592</v>
      </c>
      <c r="M25" s="22">
        <v>0.0179587110809226</v>
      </c>
      <c r="N25" s="9">
        <v>0.00800829981105023</v>
      </c>
      <c r="O25" s="22">
        <v>0.0101816791201296</v>
      </c>
    </row>
    <row r="26" spans="3:15">
      <c r="C26" s="16"/>
      <c r="D26" s="8" t="s">
        <v>408</v>
      </c>
      <c r="E26" s="9">
        <v>0.0134234340123765</v>
      </c>
      <c r="F26" s="23">
        <v>0.0109805225475411</v>
      </c>
      <c r="G26" s="23">
        <v>0.00819082089730317</v>
      </c>
      <c r="H26" s="23">
        <v>0.00584600397865069</v>
      </c>
      <c r="I26" s="23">
        <v>0.00737765412952189</v>
      </c>
      <c r="J26" s="23">
        <v>0.0108769909938446</v>
      </c>
      <c r="K26" s="23">
        <v>0.00611935116936777</v>
      </c>
      <c r="L26" s="22">
        <v>0.00747405574259602</v>
      </c>
      <c r="M26" s="23">
        <v>0.0144490419989299</v>
      </c>
      <c r="N26" s="9">
        <v>0.00609661268231511</v>
      </c>
      <c r="O26" s="23">
        <v>0.00903751987443754</v>
      </c>
    </row>
    <row r="27" spans="3:15">
      <c r="C27" s="16"/>
      <c r="D27" s="11" t="s">
        <v>411</v>
      </c>
      <c r="E27" s="12">
        <v>0.00243937876600786</v>
      </c>
      <c r="F27" s="22">
        <v>0.00306622061211172</v>
      </c>
      <c r="G27" s="22">
        <v>0.00186050365250211</v>
      </c>
      <c r="H27" s="22">
        <v>0.0023869726850179</v>
      </c>
      <c r="I27" s="22">
        <v>0.00174142529683062</v>
      </c>
      <c r="J27" s="22">
        <v>0.00155185432579584</v>
      </c>
      <c r="K27" s="22">
        <v>0.00072697375269279</v>
      </c>
      <c r="L27" s="22">
        <v>0.00116555361322427</v>
      </c>
      <c r="M27" s="22">
        <v>0.00470348987486558</v>
      </c>
      <c r="N27" s="12">
        <v>0.00046127460282012</v>
      </c>
      <c r="O27" s="22">
        <v>0.00162159936063014</v>
      </c>
    </row>
    <row r="28" spans="3:15">
      <c r="C28" s="16"/>
      <c r="D28" s="8" t="s">
        <v>410</v>
      </c>
      <c r="E28" s="9">
        <v>0.00197627819888235</v>
      </c>
      <c r="F28" s="23">
        <v>0.00198427075478237</v>
      </c>
      <c r="G28" s="23">
        <v>0.00136479589064645</v>
      </c>
      <c r="H28" s="23">
        <v>0.00153662517177254</v>
      </c>
      <c r="I28" s="23">
        <v>0.000583931418906849</v>
      </c>
      <c r="J28" s="23">
        <v>0.000776990424116078</v>
      </c>
      <c r="K28" s="23">
        <v>0.00202643024318709</v>
      </c>
      <c r="L28" s="23">
        <v>0.00251845835829857</v>
      </c>
      <c r="M28" s="23">
        <v>0.00244945371143416</v>
      </c>
      <c r="N28" s="9">
        <v>0.00215248675757232</v>
      </c>
      <c r="O28" s="23">
        <v>0.00230404290991201</v>
      </c>
    </row>
    <row r="29" spans="3:15">
      <c r="C29" s="16"/>
      <c r="D29" s="11" t="s">
        <v>414</v>
      </c>
      <c r="E29" s="12">
        <v>2.15648749227465e-6</v>
      </c>
      <c r="F29" s="22">
        <v>7.79110188424448e-5</v>
      </c>
      <c r="G29" s="22">
        <v>7.59863274557024e-9</v>
      </c>
      <c r="H29" s="22">
        <v>0</v>
      </c>
      <c r="I29" s="22">
        <v>0</v>
      </c>
      <c r="J29" s="22">
        <v>0</v>
      </c>
      <c r="K29" s="22">
        <v>1.12022683574823e-6</v>
      </c>
      <c r="L29" s="23">
        <v>6.85804646659232e-7</v>
      </c>
      <c r="M29" s="22">
        <v>0.000169141231288593</v>
      </c>
      <c r="N29" s="12">
        <v>0</v>
      </c>
      <c r="O29" s="22">
        <v>0</v>
      </c>
    </row>
    <row r="30" spans="3:15">
      <c r="C30" s="24"/>
      <c r="D30" s="25" t="s">
        <v>305</v>
      </c>
      <c r="E30" s="26">
        <v>0.0782695503395976</v>
      </c>
      <c r="F30" s="27">
        <v>0.0711708749249602</v>
      </c>
      <c r="G30" s="27">
        <v>0.0528943337257239</v>
      </c>
      <c r="H30" s="28">
        <v>0.0338401687061994</v>
      </c>
      <c r="I30" s="28">
        <v>0.0331189006089047</v>
      </c>
      <c r="J30" s="28">
        <v>0.0492042975339705</v>
      </c>
      <c r="K30" s="27">
        <v>0.0430692925073323</v>
      </c>
      <c r="L30" s="28">
        <v>0.0390851155426695</v>
      </c>
      <c r="M30" s="27">
        <v>0.0919561998201818</v>
      </c>
      <c r="N30" s="29">
        <v>0.0513589297349636</v>
      </c>
      <c r="O30" s="27">
        <v>0.0665316019291269</v>
      </c>
    </row>
    <row r="31" hidden="1" outlineLevel="1" spans="3:15">
      <c r="C31" s="7"/>
      <c r="D31" s="8" t="s">
        <v>429</v>
      </c>
      <c r="E31" s="9">
        <v>0.000855370212432323</v>
      </c>
      <c r="F31" s="10">
        <v>0.000599749383077935</v>
      </c>
      <c r="G31" s="10">
        <v>0.000361726172763306</v>
      </c>
      <c r="H31" s="10">
        <v>0.000411757205175344</v>
      </c>
      <c r="I31" s="10">
        <v>0.000146891713979143</v>
      </c>
      <c r="J31" s="10">
        <v>0.000320067942852077</v>
      </c>
      <c r="K31" s="10">
        <v>0.000138034708785226</v>
      </c>
      <c r="L31" s="13">
        <v>0</v>
      </c>
      <c r="M31" s="10">
        <v>0.000923238106384697</v>
      </c>
      <c r="N31" s="9">
        <v>0.000521738274833199</v>
      </c>
      <c r="O31" s="10">
        <v>0.000312834365486686</v>
      </c>
    </row>
    <row r="32" hidden="1" outlineLevel="1" spans="3:15">
      <c r="C32" s="7"/>
      <c r="D32" s="11" t="s">
        <v>430</v>
      </c>
      <c r="E32" s="12">
        <v>0</v>
      </c>
      <c r="F32" s="13">
        <v>4.61401224182043e-5</v>
      </c>
      <c r="G32" s="13">
        <v>0.000118394678401223</v>
      </c>
      <c r="H32" s="13">
        <v>0.000604103229932622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2">
        <v>0</v>
      </c>
      <c r="O32" s="13">
        <v>0</v>
      </c>
    </row>
    <row r="33" collapsed="1" spans="3:15">
      <c r="C33" s="7" t="s">
        <v>41</v>
      </c>
      <c r="D33" s="8" t="s">
        <v>305</v>
      </c>
      <c r="E33" s="14">
        <v>0</v>
      </c>
      <c r="F33" s="15">
        <v>0.000645889505496139</v>
      </c>
      <c r="G33" s="15">
        <v>0.000480120851164529</v>
      </c>
      <c r="H33" s="15">
        <v>0.00101586043510797</v>
      </c>
      <c r="I33" s="15">
        <v>0.000146891713979143</v>
      </c>
      <c r="J33" s="15">
        <v>0.000320067942852077</v>
      </c>
      <c r="K33" s="15">
        <v>0.000138034708785226</v>
      </c>
      <c r="L33" s="15">
        <v>0</v>
      </c>
      <c r="M33" s="15">
        <v>0.000923238106384697</v>
      </c>
      <c r="N33" s="14">
        <v>0.000521738274833199</v>
      </c>
      <c r="O33" s="15">
        <v>0.000312834365486686</v>
      </c>
    </row>
    <row r="34" hidden="1" outlineLevel="1" spans="3:15">
      <c r="C34" s="16"/>
      <c r="D34" s="8" t="s">
        <v>444</v>
      </c>
      <c r="E34" s="9">
        <v>0</v>
      </c>
      <c r="F34" s="10">
        <v>0.000121191062488554</v>
      </c>
      <c r="G34" s="10">
        <v>0.00030901320844346</v>
      </c>
      <c r="H34" s="10">
        <v>0</v>
      </c>
      <c r="I34" s="10">
        <v>0</v>
      </c>
      <c r="J34" s="10">
        <v>6.49589880319822e-7</v>
      </c>
      <c r="K34" s="10">
        <v>0</v>
      </c>
      <c r="L34" s="10">
        <v>9.62649656899079e-5</v>
      </c>
      <c r="M34" s="10">
        <v>0</v>
      </c>
      <c r="N34" s="9">
        <v>0</v>
      </c>
      <c r="O34" s="10">
        <v>1.00782433324774e-5</v>
      </c>
    </row>
    <row r="35" hidden="1" outlineLevel="1" spans="3:15">
      <c r="C35" s="16"/>
      <c r="D35" s="8" t="s">
        <v>445</v>
      </c>
      <c r="E35" s="12">
        <v>0</v>
      </c>
      <c r="F35" s="13">
        <v>2.89714265012683e-5</v>
      </c>
      <c r="G35" s="13">
        <v>6.41857674395439e-5</v>
      </c>
      <c r="H35" s="13">
        <v>0</v>
      </c>
      <c r="I35" s="13">
        <v>0</v>
      </c>
      <c r="J35" s="13">
        <v>3.08411225415413e-5</v>
      </c>
      <c r="K35" s="13">
        <v>4.31406573524947e-5</v>
      </c>
      <c r="L35" s="13">
        <v>0</v>
      </c>
      <c r="M35" s="13">
        <v>0</v>
      </c>
      <c r="N35" s="12">
        <v>0</v>
      </c>
      <c r="O35" s="13">
        <v>9.89018543018031e-6</v>
      </c>
    </row>
    <row r="36" collapsed="1" spans="3:15">
      <c r="C36" s="16" t="s">
        <v>446</v>
      </c>
      <c r="D36" s="8" t="s">
        <v>305</v>
      </c>
      <c r="E36" s="14">
        <v>0</v>
      </c>
      <c r="F36" s="15">
        <v>0.000150162488989823</v>
      </c>
      <c r="G36" s="15">
        <v>0.000373198975883004</v>
      </c>
      <c r="H36" s="15">
        <v>0</v>
      </c>
      <c r="I36" s="15">
        <v>0</v>
      </c>
      <c r="J36" s="15">
        <v>3.14907124218611e-5</v>
      </c>
      <c r="K36" s="15">
        <v>4.31406573524947e-5</v>
      </c>
      <c r="L36" s="15">
        <v>9.62649656899079e-5</v>
      </c>
      <c r="M36" s="15">
        <v>0</v>
      </c>
      <c r="N36" s="14">
        <v>0</v>
      </c>
      <c r="O36" s="15">
        <v>1.99684287626577e-5</v>
      </c>
    </row>
    <row r="37" hidden="1" outlineLevel="1" spans="3:15">
      <c r="C37" s="7"/>
      <c r="D37" s="8" t="s">
        <v>427</v>
      </c>
      <c r="E37" s="12">
        <v>0.000177976449953882</v>
      </c>
      <c r="F37" s="13">
        <v>5.31563388155814e-5</v>
      </c>
      <c r="G37" s="13">
        <v>1.39571715314823e-5</v>
      </c>
      <c r="H37" s="13">
        <v>0</v>
      </c>
      <c r="I37" s="13">
        <v>0</v>
      </c>
      <c r="J37" s="30">
        <v>9.79491922121692e-5</v>
      </c>
      <c r="K37" s="13">
        <v>0</v>
      </c>
      <c r="L37" s="30">
        <v>0</v>
      </c>
      <c r="M37" s="13">
        <v>0.000103706269510641</v>
      </c>
      <c r="N37" s="9">
        <v>0</v>
      </c>
      <c r="O37" s="13">
        <v>0</v>
      </c>
    </row>
    <row r="38" collapsed="1" spans="3:15">
      <c r="C38" s="7" t="s">
        <v>38</v>
      </c>
      <c r="D38" s="8" t="s">
        <v>305</v>
      </c>
      <c r="E38" s="14">
        <v>0.000177976449953882</v>
      </c>
      <c r="F38" s="15">
        <v>5.31563388155814e-5</v>
      </c>
      <c r="G38" s="15">
        <v>1.39571715314823e-5</v>
      </c>
      <c r="H38" s="15">
        <v>0</v>
      </c>
      <c r="I38" s="15">
        <v>0</v>
      </c>
      <c r="J38" s="15">
        <v>9.79491922121692e-5</v>
      </c>
      <c r="K38" s="15">
        <v>0</v>
      </c>
      <c r="L38" s="15">
        <v>0</v>
      </c>
      <c r="M38" s="15">
        <v>0.000103706269510641</v>
      </c>
      <c r="N38" s="14">
        <v>0</v>
      </c>
      <c r="O38" s="15">
        <v>0</v>
      </c>
    </row>
    <row r="39" ht="15.75" spans="3:15">
      <c r="C39" s="31" t="s">
        <v>305</v>
      </c>
      <c r="D39" s="32"/>
      <c r="E39" s="33">
        <v>1</v>
      </c>
      <c r="F39" s="34">
        <v>1</v>
      </c>
      <c r="G39" s="34">
        <v>1</v>
      </c>
      <c r="H39" s="34">
        <v>1</v>
      </c>
      <c r="I39" s="34">
        <v>1</v>
      </c>
      <c r="J39" s="34">
        <v>1</v>
      </c>
      <c r="K39" s="34">
        <v>1</v>
      </c>
      <c r="L39" s="34">
        <v>1</v>
      </c>
      <c r="M39" s="34">
        <v>1</v>
      </c>
      <c r="N39" s="33">
        <v>1</v>
      </c>
      <c r="O39" s="34">
        <v>1</v>
      </c>
    </row>
    <row r="45" spans="3:15">
      <c r="C45" s="2" t="s">
        <v>19</v>
      </c>
      <c r="D45" s="35" t="s">
        <v>395</v>
      </c>
      <c r="E45" s="4" t="s">
        <v>432</v>
      </c>
      <c r="F45" s="4" t="s">
        <v>433</v>
      </c>
      <c r="G45" s="5" t="s">
        <v>434</v>
      </c>
      <c r="H45" s="6" t="s">
        <v>3</v>
      </c>
      <c r="I45" s="6" t="s">
        <v>435</v>
      </c>
      <c r="J45" s="6" t="s">
        <v>4</v>
      </c>
      <c r="K45" s="5" t="s">
        <v>436</v>
      </c>
      <c r="L45" s="6" t="s">
        <v>15</v>
      </c>
      <c r="M45" s="5" t="s">
        <v>437</v>
      </c>
      <c r="N45" s="6" t="s">
        <v>9</v>
      </c>
      <c r="O45" s="5" t="s">
        <v>438</v>
      </c>
    </row>
    <row r="46" hidden="1" outlineLevel="1" spans="3:15">
      <c r="C46" s="36"/>
      <c r="D46" s="37" t="s">
        <v>439</v>
      </c>
      <c r="E46" s="38">
        <v>0.163096101832293</v>
      </c>
      <c r="F46" s="39">
        <v>0.250838052069972</v>
      </c>
      <c r="G46" s="39">
        <v>0.287121597861774</v>
      </c>
      <c r="H46" s="39">
        <v>0.372140661591884</v>
      </c>
      <c r="I46" s="39">
        <v>0.324990843378672</v>
      </c>
      <c r="J46" s="39">
        <v>0.379758510783938</v>
      </c>
      <c r="K46" s="39">
        <v>0.296171724011716</v>
      </c>
      <c r="L46" s="39">
        <v>0.345733233836342</v>
      </c>
      <c r="M46" s="39">
        <v>0.298500574757684</v>
      </c>
      <c r="N46" s="39">
        <v>0.377475602086826</v>
      </c>
      <c r="O46" s="39">
        <v>0.322065229316029</v>
      </c>
    </row>
    <row r="47" hidden="1" outlineLevel="1" spans="3:15">
      <c r="C47" s="7"/>
      <c r="D47" s="40" t="s">
        <v>399</v>
      </c>
      <c r="E47" s="41">
        <v>0.038693701960636</v>
      </c>
      <c r="F47" s="13">
        <v>0.0743227984571407</v>
      </c>
      <c r="G47" s="13">
        <v>0.0823290103383254</v>
      </c>
      <c r="H47" s="13">
        <v>0.0841323446310716</v>
      </c>
      <c r="I47" s="13">
        <v>0.0945655588262057</v>
      </c>
      <c r="J47" s="13">
        <v>0.0917703091285947</v>
      </c>
      <c r="K47" s="13">
        <v>0.0906279523381969</v>
      </c>
      <c r="L47" s="13">
        <v>0.0944271764036985</v>
      </c>
      <c r="M47" s="13">
        <v>0.0889416677225659</v>
      </c>
      <c r="N47" s="13">
        <v>0.0738134154393817</v>
      </c>
      <c r="O47" s="13">
        <v>0.059207486455565</v>
      </c>
    </row>
    <row r="48" hidden="1" outlineLevel="1" spans="3:15">
      <c r="C48" s="7"/>
      <c r="D48" s="40" t="s">
        <v>398</v>
      </c>
      <c r="E48" s="42">
        <v>0.0508339273541765</v>
      </c>
      <c r="F48" s="10">
        <v>0.0737118185338439</v>
      </c>
      <c r="G48" s="10">
        <v>0.0676399787812662</v>
      </c>
      <c r="H48" s="10">
        <v>0.0363326349886752</v>
      </c>
      <c r="I48" s="10">
        <v>0.0467616297948047</v>
      </c>
      <c r="J48" s="10">
        <v>0.0650818198088219</v>
      </c>
      <c r="K48" s="10">
        <v>0.0379187495832363</v>
      </c>
      <c r="L48" s="10">
        <v>0.0270298277456491</v>
      </c>
      <c r="M48" s="10">
        <v>0.0567128268403446</v>
      </c>
      <c r="N48" s="10">
        <v>0.0322111112894473</v>
      </c>
      <c r="O48" s="10">
        <v>0.0594436358528026</v>
      </c>
    </row>
    <row r="49" hidden="1" outlineLevel="1" spans="3:15">
      <c r="C49" s="7"/>
      <c r="D49" s="40" t="s">
        <v>396</v>
      </c>
      <c r="E49" s="41">
        <v>0.137768870628775</v>
      </c>
      <c r="F49" s="13">
        <v>0.0648151172810761</v>
      </c>
      <c r="G49" s="13">
        <v>0.0326856571849857</v>
      </c>
      <c r="H49" s="13">
        <v>0.00988271082047434</v>
      </c>
      <c r="I49" s="13">
        <v>0.0369034329419037</v>
      </c>
      <c r="J49" s="13">
        <v>0.0415269007634967</v>
      </c>
      <c r="K49" s="13">
        <v>0.06358571953169</v>
      </c>
      <c r="L49" s="13">
        <v>0.0236958149716034</v>
      </c>
      <c r="M49" s="13">
        <v>0.0343217116626884</v>
      </c>
      <c r="N49" s="13">
        <v>0.0346598780713965</v>
      </c>
      <c r="O49" s="13">
        <v>0.0388968755329316</v>
      </c>
    </row>
    <row r="50" hidden="1" outlineLevel="1" spans="3:15">
      <c r="C50" s="7"/>
      <c r="D50" s="40" t="s">
        <v>401</v>
      </c>
      <c r="E50" s="42">
        <v>0.0312046266229496</v>
      </c>
      <c r="F50" s="10">
        <v>0.026674351715963</v>
      </c>
      <c r="G50" s="10">
        <v>0.0244829106215475</v>
      </c>
      <c r="H50" s="10">
        <v>0.0189854019575677</v>
      </c>
      <c r="I50" s="10">
        <v>0.0314325104965117</v>
      </c>
      <c r="J50" s="10">
        <v>0.0238133176084881</v>
      </c>
      <c r="K50" s="10">
        <v>0.0207210774035819</v>
      </c>
      <c r="L50" s="10">
        <v>0.0150445715797223</v>
      </c>
      <c r="M50" s="10">
        <v>0.0267820735443765</v>
      </c>
      <c r="N50" s="10">
        <v>0.0292364456315069</v>
      </c>
      <c r="O50" s="10">
        <v>0.0273545627299762</v>
      </c>
    </row>
    <row r="51" hidden="1" outlineLevel="1" spans="3:15">
      <c r="C51" s="7"/>
      <c r="D51" s="40" t="s">
        <v>397</v>
      </c>
      <c r="E51" s="41">
        <v>0.0172357027975819</v>
      </c>
      <c r="F51" s="13">
        <v>0.0246220000369954</v>
      </c>
      <c r="G51" s="13">
        <v>0.0258903293928074</v>
      </c>
      <c r="H51" s="13">
        <v>0.0337535935828675</v>
      </c>
      <c r="I51" s="13">
        <v>0.0210095350490935</v>
      </c>
      <c r="J51" s="13">
        <v>0.0231957726207475</v>
      </c>
      <c r="K51" s="13">
        <v>0.0173520386262442</v>
      </c>
      <c r="L51" s="13">
        <v>0.0171788414582228</v>
      </c>
      <c r="M51" s="13">
        <v>0.0210581617594667</v>
      </c>
      <c r="N51" s="13">
        <v>0.0238714240011072</v>
      </c>
      <c r="O51" s="13">
        <v>0.0288145222897547</v>
      </c>
    </row>
    <row r="52" hidden="1" outlineLevel="1" spans="3:15">
      <c r="C52" s="7"/>
      <c r="D52" s="40" t="s">
        <v>403</v>
      </c>
      <c r="E52" s="42">
        <v>0</v>
      </c>
      <c r="F52" s="10">
        <v>0.00874300468788287</v>
      </c>
      <c r="G52" s="10">
        <v>0.0068498304024791</v>
      </c>
      <c r="H52" s="10">
        <v>0.000238549618320611</v>
      </c>
      <c r="I52" s="10">
        <v>0.000681017294941346</v>
      </c>
      <c r="J52" s="10">
        <v>0.00439689563536396</v>
      </c>
      <c r="K52" s="10">
        <v>0.00181425462384737</v>
      </c>
      <c r="L52" s="10">
        <v>0.000752905328798186</v>
      </c>
      <c r="M52" s="10">
        <v>0.00568814907087589</v>
      </c>
      <c r="N52" s="10">
        <v>0.000302663438256659</v>
      </c>
      <c r="O52" s="10">
        <v>0.000464525432814635</v>
      </c>
    </row>
    <row r="53" hidden="1" outlineLevel="1" spans="3:15">
      <c r="C53" s="7"/>
      <c r="D53" s="40" t="s">
        <v>400</v>
      </c>
      <c r="E53" s="41">
        <v>0.00648319695217993</v>
      </c>
      <c r="F53" s="13">
        <v>0.00606967440874742</v>
      </c>
      <c r="G53" s="13">
        <v>0.00842671108615194</v>
      </c>
      <c r="H53" s="13">
        <v>0.000743854301761923</v>
      </c>
      <c r="I53" s="13">
        <v>0.0156653269657035</v>
      </c>
      <c r="J53" s="13">
        <v>0</v>
      </c>
      <c r="K53" s="13">
        <v>0.000492040063368627</v>
      </c>
      <c r="L53" s="13">
        <v>0.00049642767709018</v>
      </c>
      <c r="M53" s="13">
        <v>0.00931045754632346</v>
      </c>
      <c r="N53" s="13">
        <v>0.0169154925388079</v>
      </c>
      <c r="O53" s="13">
        <v>0.000364186346786622</v>
      </c>
    </row>
    <row r="54" hidden="1" outlineLevel="1" spans="3:15">
      <c r="C54" s="7"/>
      <c r="D54" s="40" t="s">
        <v>404</v>
      </c>
      <c r="E54" s="42">
        <v>0.00396287098981479</v>
      </c>
      <c r="F54" s="10">
        <v>0.0049714168802138</v>
      </c>
      <c r="G54" s="10">
        <v>0.00424083537094035</v>
      </c>
      <c r="H54" s="10">
        <v>0.00539470028090248</v>
      </c>
      <c r="I54" s="10">
        <v>0.00207578293796031</v>
      </c>
      <c r="J54" s="10">
        <v>0.00618893497846667</v>
      </c>
      <c r="K54" s="10">
        <v>0.00655423299164727</v>
      </c>
      <c r="L54" s="10">
        <v>0.00621736123656666</v>
      </c>
      <c r="M54" s="10">
        <v>0.00303192249464472</v>
      </c>
      <c r="N54" s="10">
        <v>0.00288217536047607</v>
      </c>
      <c r="O54" s="10">
        <v>0.00782997088967095</v>
      </c>
    </row>
    <row r="55" hidden="1" outlineLevel="1" spans="3:15">
      <c r="C55" s="7"/>
      <c r="D55" s="40" t="s">
        <v>406</v>
      </c>
      <c r="E55" s="41">
        <v>0.00204575531219445</v>
      </c>
      <c r="F55" s="13">
        <v>0.000100806451612903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0.000164473684210526</v>
      </c>
      <c r="N55" s="13">
        <v>0</v>
      </c>
      <c r="O55" s="13">
        <v>0</v>
      </c>
    </row>
    <row r="56" collapsed="1" spans="3:15">
      <c r="C56" s="7" t="s">
        <v>26</v>
      </c>
      <c r="D56" s="40"/>
      <c r="E56" s="43">
        <v>0.451324754450601</v>
      </c>
      <c r="F56" s="15">
        <v>0.534869040523448</v>
      </c>
      <c r="G56" s="15">
        <v>0.539666861040278</v>
      </c>
      <c r="H56" s="15">
        <v>0.561604451773525</v>
      </c>
      <c r="I56" s="15">
        <v>0.574085637685797</v>
      </c>
      <c r="J56" s="15">
        <v>0.635732461327918</v>
      </c>
      <c r="K56" s="15">
        <v>0.535237789173528</v>
      </c>
      <c r="L56" s="15">
        <v>0.530576160237693</v>
      </c>
      <c r="M56" s="15">
        <v>0.54451201908318</v>
      </c>
      <c r="N56" s="15">
        <v>0.591368207857206</v>
      </c>
      <c r="O56" s="15">
        <v>0.544440994846332</v>
      </c>
    </row>
    <row r="57" hidden="1" outlineLevel="1" spans="3:15">
      <c r="C57" s="16"/>
      <c r="D57" s="40" t="s">
        <v>441</v>
      </c>
      <c r="E57" s="42">
        <v>0.0295067296593945</v>
      </c>
      <c r="F57" s="10">
        <v>0.0209760740656897</v>
      </c>
      <c r="G57" s="10">
        <v>0.0232893030961123</v>
      </c>
      <c r="H57" s="10">
        <v>0.0327058950133487</v>
      </c>
      <c r="I57" s="10">
        <v>0.0328485931520962</v>
      </c>
      <c r="J57" s="10">
        <v>0.033214194596067</v>
      </c>
      <c r="K57" s="10">
        <v>0.0257841825959619</v>
      </c>
      <c r="L57" s="10">
        <v>0.0286606998166748</v>
      </c>
      <c r="M57" s="10">
        <v>0.0254428323916945</v>
      </c>
      <c r="N57" s="10">
        <v>0.022087372428649</v>
      </c>
      <c r="O57" s="10">
        <v>0.0223134180671447</v>
      </c>
    </row>
    <row r="58" hidden="1" outlineLevel="1" spans="3:15">
      <c r="C58" s="16"/>
      <c r="D58" s="40" t="s">
        <v>440</v>
      </c>
      <c r="E58" s="41">
        <v>0.0114187488727796</v>
      </c>
      <c r="F58" s="13">
        <v>0.0152608230870609</v>
      </c>
      <c r="G58" s="13">
        <v>0.0162951240563632</v>
      </c>
      <c r="H58" s="13">
        <v>0.0280315866595105</v>
      </c>
      <c r="I58" s="13">
        <v>0.0255615780517922</v>
      </c>
      <c r="J58" s="13">
        <v>0.0245212551776087</v>
      </c>
      <c r="K58" s="13">
        <v>0.0225610381597807</v>
      </c>
      <c r="L58" s="13">
        <v>0.0294350350956951</v>
      </c>
      <c r="M58" s="13">
        <v>0.0207693934591215</v>
      </c>
      <c r="N58" s="13">
        <v>0.0260134172040828</v>
      </c>
      <c r="O58" s="13">
        <v>0.0179431179708671</v>
      </c>
    </row>
    <row r="59" hidden="1" outlineLevel="1" spans="3:15">
      <c r="C59" s="16"/>
      <c r="D59" s="40" t="s">
        <v>442</v>
      </c>
      <c r="E59" s="42">
        <v>0.00928549730402511</v>
      </c>
      <c r="F59" s="10">
        <v>0.00527486874599282</v>
      </c>
      <c r="G59" s="10">
        <v>0.00560337053571071</v>
      </c>
      <c r="H59" s="10">
        <v>0.00510991863206481</v>
      </c>
      <c r="I59" s="10">
        <v>0.00464209522720605</v>
      </c>
      <c r="J59" s="10">
        <v>0.00716323882800588</v>
      </c>
      <c r="K59" s="10">
        <v>0.00291049161763805</v>
      </c>
      <c r="L59" s="10">
        <v>0.00244893420851983</v>
      </c>
      <c r="M59" s="10">
        <v>0.00486105130081674</v>
      </c>
      <c r="N59" s="10">
        <v>0.00458513928103222</v>
      </c>
      <c r="O59" s="10">
        <v>0.00796904425655217</v>
      </c>
    </row>
    <row r="60" hidden="1" outlineLevel="1" spans="3:15">
      <c r="C60" s="16"/>
      <c r="D60" s="40" t="s">
        <v>443</v>
      </c>
      <c r="E60" s="41">
        <v>0.00383127230897515</v>
      </c>
      <c r="F60" s="13">
        <v>0.000695227631545852</v>
      </c>
      <c r="G60" s="13">
        <v>0.000659543298078787</v>
      </c>
      <c r="H60" s="13">
        <v>0</v>
      </c>
      <c r="I60" s="13">
        <v>0</v>
      </c>
      <c r="J60" s="13">
        <v>0</v>
      </c>
      <c r="K60" s="13">
        <v>0.000309405940594059</v>
      </c>
      <c r="L60" s="13">
        <v>0</v>
      </c>
      <c r="M60" s="13">
        <v>0</v>
      </c>
      <c r="N60" s="13">
        <v>0</v>
      </c>
      <c r="O60" s="13">
        <v>0.000141562853907135</v>
      </c>
    </row>
    <row r="61" collapsed="1" spans="3:15">
      <c r="C61" s="16" t="s">
        <v>28</v>
      </c>
      <c r="D61" s="40"/>
      <c r="E61" s="43">
        <v>0.052685928913764</v>
      </c>
      <c r="F61" s="15">
        <v>0.0422069935302893</v>
      </c>
      <c r="G61" s="15">
        <v>0.0458473409862649</v>
      </c>
      <c r="H61" s="15">
        <v>0.065847400304924</v>
      </c>
      <c r="I61" s="15">
        <v>0.0630522664310945</v>
      </c>
      <c r="J61" s="15">
        <v>0.0648986886016815</v>
      </c>
      <c r="K61" s="15">
        <v>0.0515651183139747</v>
      </c>
      <c r="L61" s="15">
        <v>0.0605446691208897</v>
      </c>
      <c r="M61" s="15">
        <v>0.0510732771516328</v>
      </c>
      <c r="N61" s="15">
        <v>0.052685928913764</v>
      </c>
      <c r="O61" s="15">
        <v>0.0483671431484711</v>
      </c>
    </row>
    <row r="62" hidden="1" outlineLevel="1" spans="3:15">
      <c r="C62" s="7"/>
      <c r="D62" s="40" t="s">
        <v>423</v>
      </c>
      <c r="E62" s="42">
        <v>0.025586365721008</v>
      </c>
      <c r="F62" s="10">
        <v>0.054520677015844</v>
      </c>
      <c r="G62" s="10">
        <v>0.0537614335110179</v>
      </c>
      <c r="H62" s="10">
        <v>0.046424615852749</v>
      </c>
      <c r="I62" s="10">
        <v>0.0527517479404765</v>
      </c>
      <c r="J62" s="10">
        <v>0.0662340009620847</v>
      </c>
      <c r="K62" s="10">
        <v>0.0499896400283296</v>
      </c>
      <c r="L62" s="10">
        <v>0.0437811859939847</v>
      </c>
      <c r="M62" s="10">
        <v>0.0544944943858508</v>
      </c>
      <c r="N62" s="10">
        <v>0.0497162374352726</v>
      </c>
      <c r="O62" s="10">
        <v>0.0603965963087393</v>
      </c>
    </row>
    <row r="63" hidden="1" outlineLevel="1" spans="3:15">
      <c r="C63" s="7"/>
      <c r="D63" s="40" t="s">
        <v>425</v>
      </c>
      <c r="E63" s="41">
        <v>0.000810695621506758</v>
      </c>
      <c r="F63" s="13">
        <v>0.0117756970700201</v>
      </c>
      <c r="G63" s="13">
        <v>0.00939307084502025</v>
      </c>
      <c r="H63" s="13">
        <v>0.000694379142330746</v>
      </c>
      <c r="I63" s="13">
        <v>0.00215342350349962</v>
      </c>
      <c r="J63" s="13">
        <v>0.00295413798315583</v>
      </c>
      <c r="K63" s="13">
        <v>0.00367461504521667</v>
      </c>
      <c r="L63" s="13">
        <v>0.000318877551020409</v>
      </c>
      <c r="M63" s="13">
        <v>0.00685388751326914</v>
      </c>
      <c r="N63" s="13">
        <v>0</v>
      </c>
      <c r="O63" s="13">
        <v>0.000633657406864601</v>
      </c>
    </row>
    <row r="64" collapsed="1" spans="3:15">
      <c r="C64" s="7" t="s">
        <v>29</v>
      </c>
      <c r="D64" s="40"/>
      <c r="E64" s="43">
        <v>0.0263970613425148</v>
      </c>
      <c r="F64" s="15">
        <v>0.0662963740858642</v>
      </c>
      <c r="G64" s="15">
        <v>0.0631545043560382</v>
      </c>
      <c r="H64" s="15">
        <v>0.0471189949950797</v>
      </c>
      <c r="I64" s="15">
        <v>0.0549051714439761</v>
      </c>
      <c r="J64" s="15">
        <v>0.0691881389452406</v>
      </c>
      <c r="K64" s="15">
        <v>0.0536642550735463</v>
      </c>
      <c r="L64" s="15">
        <v>0.0441000635450051</v>
      </c>
      <c r="M64" s="15">
        <v>0.0613483818991199</v>
      </c>
      <c r="N64" s="15">
        <v>0.0497162374352726</v>
      </c>
      <c r="O64" s="15">
        <v>0.0610302537156038</v>
      </c>
    </row>
    <row r="65" spans="3:15">
      <c r="C65" s="19" t="s">
        <v>27</v>
      </c>
      <c r="D65" s="44" t="s">
        <v>412</v>
      </c>
      <c r="E65" s="45">
        <v>0.0326443606395313</v>
      </c>
      <c r="F65" s="21">
        <v>0.0283778416846332</v>
      </c>
      <c r="G65" s="21">
        <v>0.0318228554327376</v>
      </c>
      <c r="H65" s="21">
        <v>0.04321577943529</v>
      </c>
      <c r="I65" s="21">
        <v>0.0280094865204098</v>
      </c>
      <c r="J65" s="21">
        <v>0.0350023047532976</v>
      </c>
      <c r="K65" s="21">
        <v>0.033495997621219</v>
      </c>
      <c r="L65" s="21">
        <v>0.0386935819996246</v>
      </c>
      <c r="M65" s="21">
        <v>0.0282995298046348</v>
      </c>
      <c r="N65" s="21">
        <v>0.0308186743550828</v>
      </c>
      <c r="O65" s="21">
        <v>0.0369107902716923</v>
      </c>
    </row>
    <row r="66" spans="3:15">
      <c r="C66" s="16"/>
      <c r="D66" s="46" t="s">
        <v>409</v>
      </c>
      <c r="E66" s="47">
        <v>0.0478511837234352</v>
      </c>
      <c r="F66" s="22">
        <v>0.0343591685995182</v>
      </c>
      <c r="G66" s="22">
        <v>0.0356525016558822</v>
      </c>
      <c r="H66" s="22">
        <v>0.031529340671588</v>
      </c>
      <c r="I66" s="22">
        <v>0.0252787724556888</v>
      </c>
      <c r="J66" s="22">
        <v>0.0376307320208498</v>
      </c>
      <c r="K66" s="22">
        <v>0.0363850248982752</v>
      </c>
      <c r="L66" s="22">
        <v>0.0325325392681828</v>
      </c>
      <c r="M66" s="22">
        <v>0.0416435570054442</v>
      </c>
      <c r="N66" s="22">
        <v>0.040402656613053</v>
      </c>
      <c r="O66" s="22">
        <v>0.0302104762275249</v>
      </c>
    </row>
    <row r="67" spans="3:15">
      <c r="C67" s="16"/>
      <c r="D67" s="48" t="s">
        <v>418</v>
      </c>
      <c r="E67" s="49">
        <v>0.0715707513817211</v>
      </c>
      <c r="F67" s="23">
        <v>0.0830680912573989</v>
      </c>
      <c r="G67" s="23">
        <v>0.0715641923172975</v>
      </c>
      <c r="H67" s="23">
        <v>0.0867353447067811</v>
      </c>
      <c r="I67" s="23">
        <v>0.0362197067418191</v>
      </c>
      <c r="J67" s="23">
        <v>0.0556812588809498</v>
      </c>
      <c r="K67" s="23">
        <v>0.0733996232387144</v>
      </c>
      <c r="L67" s="22">
        <v>0.0699808584599844</v>
      </c>
      <c r="M67" s="23">
        <v>0.0857416599910908</v>
      </c>
      <c r="N67" s="23">
        <v>0.0766283467779751</v>
      </c>
      <c r="O67" s="23">
        <v>0.0742218224935834</v>
      </c>
    </row>
    <row r="68" spans="3:15">
      <c r="C68" s="16"/>
      <c r="D68" s="46" t="s">
        <v>413</v>
      </c>
      <c r="E68" s="47">
        <v>0.0969027779502743</v>
      </c>
      <c r="F68" s="22">
        <v>0.0718503931754428</v>
      </c>
      <c r="G68" s="22">
        <v>0.0815739167975509</v>
      </c>
      <c r="H68" s="22">
        <v>0.0355631042546275</v>
      </c>
      <c r="I68" s="22">
        <v>0.0734232743040644</v>
      </c>
      <c r="J68" s="22">
        <v>0.0356821583171292</v>
      </c>
      <c r="K68" s="22">
        <v>0.0806902638798363</v>
      </c>
      <c r="L68" s="23">
        <v>0.0888051443352596</v>
      </c>
      <c r="M68" s="22">
        <v>0.0632999552916331</v>
      </c>
      <c r="N68" s="22">
        <v>0.0533290071315556</v>
      </c>
      <c r="O68" s="22">
        <v>0.0652688770186122</v>
      </c>
    </row>
    <row r="69" spans="3:15">
      <c r="C69" s="16"/>
      <c r="D69" s="48" t="s">
        <v>408</v>
      </c>
      <c r="E69" s="49">
        <v>0.126811781312353</v>
      </c>
      <c r="F69" s="23">
        <v>0.095479356955221</v>
      </c>
      <c r="G69" s="23">
        <v>0.102555147119845</v>
      </c>
      <c r="H69" s="23">
        <v>0.0996166867830686</v>
      </c>
      <c r="I69" s="23">
        <v>0.116873653178861</v>
      </c>
      <c r="J69" s="23">
        <v>0.0430590714135552</v>
      </c>
      <c r="K69" s="23">
        <v>0.105931870319078</v>
      </c>
      <c r="L69" s="22">
        <v>0.109888358335469</v>
      </c>
      <c r="M69" s="23">
        <v>0.071786627550985</v>
      </c>
      <c r="N69" s="23">
        <v>0.0852677004627318</v>
      </c>
      <c r="O69" s="23">
        <v>0.111886912392616</v>
      </c>
    </row>
    <row r="70" spans="3:15">
      <c r="C70" s="16"/>
      <c r="D70" s="46" t="s">
        <v>411</v>
      </c>
      <c r="E70" s="47">
        <v>0.0435895426752618</v>
      </c>
      <c r="F70" s="22">
        <v>0.0173043036572319</v>
      </c>
      <c r="G70" s="22">
        <v>0.00796950471357485</v>
      </c>
      <c r="H70" s="22">
        <v>0.00973272526121139</v>
      </c>
      <c r="I70" s="22">
        <v>0.00642610822553381</v>
      </c>
      <c r="J70" s="22">
        <v>0.00871106444138665</v>
      </c>
      <c r="K70" s="22">
        <v>0.00771391350183756</v>
      </c>
      <c r="L70" s="22">
        <v>0.00863648992830689</v>
      </c>
      <c r="M70" s="22">
        <v>0.0260249632775795</v>
      </c>
      <c r="N70" s="22">
        <v>0.00704019677961461</v>
      </c>
      <c r="O70" s="22">
        <v>0.0044822008730733</v>
      </c>
    </row>
    <row r="71" spans="3:15">
      <c r="C71" s="16"/>
      <c r="D71" s="48" t="s">
        <v>410</v>
      </c>
      <c r="E71" s="49">
        <v>0.0239608155631836</v>
      </c>
      <c r="F71" s="23">
        <v>0.0190333847242858</v>
      </c>
      <c r="G71" s="23">
        <v>0.0180610541092491</v>
      </c>
      <c r="H71" s="23">
        <v>0.0172617010915578</v>
      </c>
      <c r="I71" s="23">
        <v>0.0212309759633038</v>
      </c>
      <c r="J71" s="23">
        <v>0.012415314292252</v>
      </c>
      <c r="K71" s="23">
        <v>0.0203830155370018</v>
      </c>
      <c r="L71" s="23">
        <v>0.014771722511261</v>
      </c>
      <c r="M71" s="23">
        <v>0.0186938935913155</v>
      </c>
      <c r="N71" s="23">
        <v>0.0116945174009799</v>
      </c>
      <c r="O71" s="23">
        <v>0.0217010307399005</v>
      </c>
    </row>
    <row r="72" spans="3:15">
      <c r="C72" s="16"/>
      <c r="D72" s="46" t="s">
        <v>414</v>
      </c>
      <c r="E72" s="47">
        <v>0.000559919890573299</v>
      </c>
      <c r="F72" s="22">
        <v>0.000788945627333218</v>
      </c>
      <c r="G72" s="22">
        <v>0.000367249497534467</v>
      </c>
      <c r="H72" s="22">
        <v>0</v>
      </c>
      <c r="I72" s="22">
        <v>0</v>
      </c>
      <c r="J72" s="22">
        <v>0</v>
      </c>
      <c r="K72" s="22">
        <v>0.000492040063368627</v>
      </c>
      <c r="L72" s="23">
        <v>0.000443463164251208</v>
      </c>
      <c r="M72" s="22">
        <v>0.000707056099699085</v>
      </c>
      <c r="N72" s="22">
        <v>0.000515463917525774</v>
      </c>
      <c r="O72" s="22">
        <v>0</v>
      </c>
    </row>
    <row r="73" spans="3:15">
      <c r="C73" s="24"/>
      <c r="D73" s="50" t="s">
        <v>305</v>
      </c>
      <c r="E73" s="51">
        <v>0.443891133136333</v>
      </c>
      <c r="F73" s="27">
        <v>0.350261485681065</v>
      </c>
      <c r="G73" s="27">
        <v>0.349566421643671</v>
      </c>
      <c r="H73" s="28">
        <v>0.323654682204124</v>
      </c>
      <c r="I73" s="28">
        <v>0.307461977389681</v>
      </c>
      <c r="J73" s="28">
        <v>0.22818190411942</v>
      </c>
      <c r="K73" s="27">
        <v>0.35849174905933</v>
      </c>
      <c r="L73" s="28">
        <v>0.36375215800234</v>
      </c>
      <c r="M73" s="27">
        <v>0.336197242612382</v>
      </c>
      <c r="N73" s="27">
        <v>0.305696563438518</v>
      </c>
      <c r="O73" s="27">
        <v>0.344682110017002</v>
      </c>
    </row>
    <row r="74" hidden="1" outlineLevel="1" spans="3:15">
      <c r="C74" s="7"/>
      <c r="D74" s="40" t="s">
        <v>429</v>
      </c>
      <c r="E74" s="42">
        <v>0.000154931025014458</v>
      </c>
      <c r="F74" s="10">
        <v>0.000350837688653819</v>
      </c>
      <c r="G74" s="10">
        <v>0.00037473123975058</v>
      </c>
      <c r="H74" s="10">
        <v>0.000743854301761923</v>
      </c>
      <c r="I74" s="10">
        <v>0.000494947049451751</v>
      </c>
      <c r="J74" s="10">
        <v>0.00077872626353253</v>
      </c>
      <c r="K74" s="10">
        <v>0.000337337093071598</v>
      </c>
      <c r="L74" s="10">
        <v>0</v>
      </c>
      <c r="M74" s="10">
        <v>0.000564199086328134</v>
      </c>
      <c r="N74" s="10">
        <v>0.000533062355238657</v>
      </c>
      <c r="O74" s="10">
        <v>0.000157232704402516</v>
      </c>
    </row>
    <row r="75" hidden="1" outlineLevel="1" spans="3:15">
      <c r="C75" s="7"/>
      <c r="D75" s="40" t="s">
        <v>430</v>
      </c>
      <c r="E75" s="41">
        <v>0</v>
      </c>
      <c r="F75" s="13">
        <v>0.000275975796854662</v>
      </c>
      <c r="G75" s="13">
        <v>0.000373460947901325</v>
      </c>
      <c r="H75" s="13">
        <v>0.000802929717488437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</row>
    <row r="76" collapsed="1" spans="3:15">
      <c r="C76" s="7" t="s">
        <v>41</v>
      </c>
      <c r="D76" s="40"/>
      <c r="E76" s="43">
        <v>0</v>
      </c>
      <c r="F76" s="15">
        <v>0.000626813485508481</v>
      </c>
      <c r="G76" s="15">
        <v>0.000748192187651906</v>
      </c>
      <c r="H76" s="15">
        <v>0.00154678401925036</v>
      </c>
      <c r="I76" s="15">
        <v>0.000494947049451751</v>
      </c>
      <c r="J76" s="15">
        <v>0.00077872626353253</v>
      </c>
      <c r="K76" s="15">
        <v>0.000337337093071598</v>
      </c>
      <c r="L76" s="15">
        <v>0</v>
      </c>
      <c r="M76" s="15">
        <v>0.000564199086328134</v>
      </c>
      <c r="N76" s="15">
        <v>0</v>
      </c>
      <c r="O76" s="15">
        <v>0.000157232704402516</v>
      </c>
    </row>
    <row r="77" hidden="1" outlineLevel="1" spans="3:15">
      <c r="C77" s="16"/>
      <c r="D77" s="40" t="s">
        <v>444</v>
      </c>
      <c r="E77" s="42">
        <v>0</v>
      </c>
      <c r="F77" s="10">
        <v>0.000822277046531433</v>
      </c>
      <c r="G77" s="10">
        <v>0.000364110972041805</v>
      </c>
      <c r="H77" s="10">
        <v>0</v>
      </c>
      <c r="I77" s="10">
        <v>0</v>
      </c>
      <c r="J77" s="10">
        <v>0.000451263537906137</v>
      </c>
      <c r="K77" s="10">
        <v>0</v>
      </c>
      <c r="L77" s="10">
        <v>0</v>
      </c>
      <c r="M77" s="10">
        <v>0</v>
      </c>
      <c r="N77" s="10">
        <v>0</v>
      </c>
      <c r="O77" s="10">
        <v>0.00100061207653618</v>
      </c>
    </row>
    <row r="78" hidden="1" outlineLevel="1" spans="3:15">
      <c r="C78" s="16"/>
      <c r="D78" s="40" t="s">
        <v>445</v>
      </c>
      <c r="E78" s="41">
        <v>0</v>
      </c>
      <c r="F78" s="13">
        <v>0.000649736681848632</v>
      </c>
      <c r="G78" s="13">
        <v>0.000384328470706414</v>
      </c>
      <c r="H78" s="13">
        <v>0.000227686703096539</v>
      </c>
      <c r="I78" s="13">
        <v>0</v>
      </c>
      <c r="J78" s="13">
        <v>0.000268817204301075</v>
      </c>
      <c r="K78" s="13">
        <v>0.00054904831625183</v>
      </c>
      <c r="L78" s="13">
        <v>0.000809935205183585</v>
      </c>
      <c r="M78" s="13">
        <v>0</v>
      </c>
      <c r="N78" s="13">
        <v>0</v>
      </c>
      <c r="O78" s="13">
        <v>0.000145348837209303</v>
      </c>
    </row>
    <row r="79" collapsed="1" spans="3:15">
      <c r="C79" s="16" t="s">
        <v>446</v>
      </c>
      <c r="D79" s="40"/>
      <c r="E79" s="43">
        <v>0</v>
      </c>
      <c r="F79" s="15">
        <v>0.00163986219093051</v>
      </c>
      <c r="G79" s="15">
        <v>0.000748439442748219</v>
      </c>
      <c r="H79" s="15">
        <v>0.000227686703096539</v>
      </c>
      <c r="I79" s="15">
        <v>0</v>
      </c>
      <c r="J79" s="15">
        <v>0.000720080742207212</v>
      </c>
      <c r="K79" s="15">
        <v>0.00070375128654886</v>
      </c>
      <c r="L79" s="15">
        <v>0.00102694909407247</v>
      </c>
      <c r="M79" s="15">
        <v>0</v>
      </c>
      <c r="N79" s="15">
        <v>0</v>
      </c>
      <c r="O79" s="15">
        <v>0.00132226556818836</v>
      </c>
    </row>
    <row r="80" hidden="1" outlineLevel="1" spans="3:15">
      <c r="C80" s="7"/>
      <c r="D80" s="40" t="s">
        <v>427</v>
      </c>
      <c r="E80" s="41">
        <v>0.0243448029253769</v>
      </c>
      <c r="F80" s="13">
        <v>0.00409943050289459</v>
      </c>
      <c r="G80" s="13">
        <v>0.000268240343347639</v>
      </c>
      <c r="H80" s="13">
        <v>0</v>
      </c>
      <c r="I80" s="13">
        <v>0</v>
      </c>
      <c r="J80" s="13">
        <v>0.0005</v>
      </c>
      <c r="K80" s="13">
        <v>0</v>
      </c>
      <c r="L80" s="13">
        <v>0</v>
      </c>
      <c r="M80" s="13">
        <v>0.00630488016735688</v>
      </c>
      <c r="N80" s="13">
        <v>0</v>
      </c>
      <c r="O80" s="13">
        <v>0</v>
      </c>
    </row>
    <row r="81" collapsed="1" spans="3:15">
      <c r="C81" s="7" t="s">
        <v>38</v>
      </c>
      <c r="D81" s="40"/>
      <c r="E81" s="43">
        <v>0.0243448029253769</v>
      </c>
      <c r="F81" s="15">
        <v>0.00409943050289459</v>
      </c>
      <c r="G81" s="15">
        <v>0.000268240343347639</v>
      </c>
      <c r="H81" s="15">
        <v>0</v>
      </c>
      <c r="I81" s="15">
        <v>0</v>
      </c>
      <c r="J81" s="15">
        <v>0.0005</v>
      </c>
      <c r="K81" s="15">
        <v>0</v>
      </c>
      <c r="L81" s="15">
        <v>0</v>
      </c>
      <c r="M81" s="15">
        <v>0.00630488016735688</v>
      </c>
      <c r="N81" s="15">
        <v>0</v>
      </c>
      <c r="O81" s="15">
        <v>0</v>
      </c>
    </row>
    <row r="82" spans="3:15">
      <c r="C82" s="31" t="s">
        <v>305</v>
      </c>
      <c r="D82" s="52"/>
      <c r="E82" s="53">
        <v>1</v>
      </c>
      <c r="F82" s="34">
        <v>1</v>
      </c>
      <c r="G82" s="34">
        <v>1</v>
      </c>
      <c r="H82" s="34">
        <v>1</v>
      </c>
      <c r="I82" s="34">
        <v>1</v>
      </c>
      <c r="J82" s="34">
        <v>1</v>
      </c>
      <c r="K82" s="34">
        <v>1</v>
      </c>
      <c r="L82" s="34">
        <v>1</v>
      </c>
      <c r="M82" s="34">
        <v>1</v>
      </c>
      <c r="N82" s="34">
        <v>1</v>
      </c>
      <c r="O82" s="34">
        <v>1</v>
      </c>
    </row>
    <row r="83" spans="3:15">
      <c r="K83" s="5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泡泡国际IP一级分类统计-金额维度</vt:lpstr>
      <vt:lpstr>泡泡国际IP统计-金额维度 深度</vt:lpstr>
      <vt:lpstr>泡泡国际IP统计-SKU维度 宽度</vt:lpstr>
      <vt:lpstr>泡泡国际IP分级统计-金额维度 深度</vt:lpstr>
      <vt:lpstr>泡泡国际IP分级统计-SKU维度 宽度</vt:lpstr>
      <vt:lpstr>泡泡国际品类统计-金额维度 深度</vt:lpstr>
      <vt:lpstr>summary目标渠道值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No Complaints!</cp:lastModifiedBy>
  <dcterms:created xsi:type="dcterms:W3CDTF">2025-02-14T07:09:00Z</dcterms:created>
  <dcterms:modified xsi:type="dcterms:W3CDTF">2026-06-10T11:34:30Z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E53CBAA46BF4432F8D6554BB004F3078_13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